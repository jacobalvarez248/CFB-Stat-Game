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8_{2E36F34F-D82F-4D7A-9C46-2959D94C80D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Google Form Transform" sheetId="6" r:id="rId6"/>
  </sheets>
  <definedNames>
    <definedName name="_xlnm._FilterDatabase" localSheetId="4" hidden="1">Data!$A$1:$J$1</definedName>
    <definedName name="_xlnm._FilterDatabase" localSheetId="3" hidden="1">Info!$A$2:$R$1158</definedName>
    <definedName name="ExternalData_1" localSheetId="5" hidden="1">'Google Form Transform'!$B$1:$G$69</definedName>
    <definedName name="_xlnm.Print_Area" localSheetId="0">Overview!$A$1:$W$68</definedName>
  </definedNames>
  <calcPr calcId="191029"/>
  <pivotCaches>
    <pivotCache cacheId="9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6" l="1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A229" i="6"/>
  <c r="A230" i="6"/>
  <c r="A231" i="6"/>
  <c r="A232" i="6"/>
  <c r="A233" i="6"/>
  <c r="A234" i="6"/>
  <c r="A235" i="6"/>
  <c r="A236" i="6"/>
  <c r="A237" i="6"/>
  <c r="A238" i="6"/>
  <c r="A239" i="6"/>
  <c r="A240" i="6"/>
  <c r="A241" i="6"/>
  <c r="A242" i="6"/>
  <c r="A243" i="6"/>
  <c r="A244" i="6"/>
  <c r="A245" i="6"/>
  <c r="A246" i="6"/>
  <c r="A247" i="6"/>
  <c r="A248" i="6"/>
  <c r="A249" i="6"/>
  <c r="A250" i="6"/>
  <c r="A251" i="6"/>
  <c r="A252" i="6"/>
  <c r="A253" i="6"/>
  <c r="A254" i="6"/>
  <c r="A255" i="6"/>
  <c r="A256" i="6"/>
  <c r="A257" i="6"/>
  <c r="A258" i="6"/>
  <c r="A259" i="6"/>
  <c r="A260" i="6"/>
  <c r="A261" i="6"/>
  <c r="A262" i="6"/>
  <c r="A263" i="6"/>
  <c r="A264" i="6"/>
  <c r="A265" i="6"/>
  <c r="A266" i="6"/>
  <c r="A267" i="6"/>
  <c r="A268" i="6"/>
  <c r="A269" i="6"/>
  <c r="A270" i="6"/>
  <c r="A271" i="6"/>
  <c r="A272" i="6"/>
  <c r="A273" i="6"/>
  <c r="A274" i="6"/>
  <c r="A275" i="6"/>
  <c r="A276" i="6"/>
  <c r="A277" i="6"/>
  <c r="A278" i="6"/>
  <c r="A279" i="6"/>
  <c r="A280" i="6"/>
  <c r="A281" i="6"/>
  <c r="A282" i="6"/>
  <c r="A283" i="6"/>
  <c r="A284" i="6"/>
  <c r="A285" i="6"/>
  <c r="A286" i="6"/>
  <c r="A287" i="6"/>
  <c r="A288" i="6"/>
  <c r="A289" i="6"/>
  <c r="A290" i="6"/>
  <c r="A291" i="6"/>
  <c r="A292" i="6"/>
  <c r="A293" i="6"/>
  <c r="A294" i="6"/>
  <c r="A295" i="6"/>
  <c r="A296" i="6"/>
  <c r="A297" i="6"/>
  <c r="A298" i="6"/>
  <c r="A299" i="6"/>
  <c r="A300" i="6"/>
  <c r="A301" i="6"/>
  <c r="A302" i="6"/>
  <c r="A303" i="6"/>
  <c r="A304" i="6"/>
  <c r="A305" i="6"/>
  <c r="A306" i="6"/>
  <c r="A307" i="6"/>
  <c r="A308" i="6"/>
  <c r="A309" i="6"/>
  <c r="A310" i="6"/>
  <c r="A311" i="6"/>
  <c r="A312" i="6"/>
  <c r="A313" i="6"/>
  <c r="A314" i="6"/>
  <c r="A315" i="6"/>
  <c r="A316" i="6"/>
  <c r="A317" i="6"/>
  <c r="A318" i="6"/>
  <c r="A319" i="6"/>
  <c r="A320" i="6"/>
  <c r="A321" i="6"/>
  <c r="A322" i="6"/>
  <c r="A323" i="6"/>
  <c r="A324" i="6"/>
  <c r="A325" i="6"/>
  <c r="A326" i="6"/>
  <c r="A327" i="6"/>
  <c r="A328" i="6"/>
  <c r="A329" i="6"/>
  <c r="A330" i="6"/>
  <c r="A331" i="6"/>
  <c r="A332" i="6"/>
  <c r="A333" i="6"/>
  <c r="A334" i="6"/>
  <c r="A335" i="6"/>
  <c r="A336" i="6"/>
  <c r="A337" i="6"/>
  <c r="A338" i="6"/>
  <c r="A339" i="6"/>
  <c r="A340" i="6"/>
  <c r="A341" i="6"/>
  <c r="A342" i="6"/>
  <c r="A343" i="6"/>
  <c r="A344" i="6"/>
  <c r="A345" i="6"/>
  <c r="A346" i="6"/>
  <c r="A347" i="6"/>
  <c r="A348" i="6"/>
  <c r="A349" i="6"/>
  <c r="A350" i="6"/>
  <c r="A351" i="6"/>
  <c r="A352" i="6"/>
  <c r="A353" i="6"/>
  <c r="A354" i="6"/>
  <c r="A355" i="6"/>
  <c r="A356" i="6"/>
  <c r="A357" i="6"/>
  <c r="A358" i="6"/>
  <c r="A359" i="6"/>
  <c r="A360" i="6"/>
  <c r="A361" i="6"/>
  <c r="A362" i="6"/>
  <c r="A363" i="6"/>
  <c r="A364" i="6"/>
  <c r="A365" i="6"/>
  <c r="A366" i="6"/>
  <c r="A367" i="6"/>
  <c r="A368" i="6"/>
  <c r="A369" i="6"/>
  <c r="A370" i="6"/>
  <c r="A371" i="6"/>
  <c r="A372" i="6"/>
  <c r="A373" i="6"/>
  <c r="A374" i="6"/>
  <c r="A375" i="6"/>
  <c r="A376" i="6"/>
  <c r="A377" i="6"/>
  <c r="A378" i="6"/>
  <c r="A379" i="6"/>
  <c r="A380" i="6"/>
  <c r="A381" i="6"/>
  <c r="A382" i="6"/>
  <c r="A383" i="6"/>
  <c r="A384" i="6"/>
  <c r="A385" i="6"/>
  <c r="A386" i="6"/>
  <c r="A387" i="6"/>
  <c r="A388" i="6"/>
  <c r="A389" i="6"/>
  <c r="A390" i="6"/>
  <c r="A391" i="6"/>
  <c r="A392" i="6"/>
  <c r="A393" i="6"/>
  <c r="A394" i="6"/>
  <c r="A395" i="6"/>
  <c r="A396" i="6"/>
  <c r="A397" i="6"/>
  <c r="A398" i="6"/>
  <c r="A399" i="6"/>
  <c r="A400" i="6"/>
  <c r="A401" i="6"/>
  <c r="A402" i="6"/>
  <c r="A403" i="6"/>
  <c r="A404" i="6"/>
  <c r="A405" i="6"/>
  <c r="A406" i="6"/>
  <c r="A407" i="6"/>
  <c r="A408" i="6"/>
  <c r="A409" i="6"/>
  <c r="A410" i="6"/>
  <c r="A411" i="6"/>
  <c r="A412" i="6"/>
  <c r="A413" i="6"/>
  <c r="A414" i="6"/>
  <c r="A415" i="6"/>
  <c r="A416" i="6"/>
  <c r="A417" i="6"/>
  <c r="A418" i="6"/>
  <c r="A419" i="6"/>
  <c r="A420" i="6"/>
  <c r="A421" i="6"/>
  <c r="A422" i="6"/>
  <c r="A423" i="6"/>
  <c r="A424" i="6"/>
  <c r="A425" i="6"/>
  <c r="A426" i="6"/>
  <c r="A427" i="6"/>
  <c r="A428" i="6"/>
  <c r="A429" i="6"/>
  <c r="A430" i="6"/>
  <c r="A431" i="6"/>
  <c r="A432" i="6"/>
  <c r="A433" i="6"/>
  <c r="A434" i="6"/>
  <c r="A435" i="6"/>
  <c r="A436" i="6"/>
  <c r="A437" i="6"/>
  <c r="A438" i="6"/>
  <c r="A439" i="6"/>
  <c r="A440" i="6"/>
  <c r="A441" i="6"/>
  <c r="A442" i="6"/>
  <c r="A443" i="6"/>
  <c r="A444" i="6"/>
  <c r="A445" i="6"/>
  <c r="A446" i="6"/>
  <c r="A447" i="6"/>
  <c r="A448" i="6"/>
  <c r="A449" i="6"/>
  <c r="A450" i="6"/>
  <c r="A451" i="6"/>
  <c r="A452" i="6"/>
  <c r="A453" i="6"/>
  <c r="A454" i="6"/>
  <c r="A455" i="6"/>
  <c r="A456" i="6"/>
  <c r="A457" i="6"/>
  <c r="A458" i="6"/>
  <c r="A459" i="6"/>
  <c r="A460" i="6"/>
  <c r="A461" i="6"/>
  <c r="A462" i="6"/>
  <c r="A463" i="6"/>
  <c r="A464" i="6"/>
  <c r="A465" i="6"/>
  <c r="A466" i="6"/>
  <c r="A467" i="6"/>
  <c r="A468" i="6"/>
  <c r="A469" i="6"/>
  <c r="A470" i="6"/>
  <c r="A471" i="6"/>
  <c r="A472" i="6"/>
  <c r="A473" i="6"/>
  <c r="A474" i="6"/>
  <c r="A475" i="6"/>
  <c r="A476" i="6"/>
  <c r="A477" i="6"/>
  <c r="A478" i="6"/>
  <c r="A479" i="6"/>
  <c r="A480" i="6"/>
  <c r="A481" i="6"/>
  <c r="A482" i="6"/>
  <c r="A483" i="6"/>
  <c r="A484" i="6"/>
  <c r="A485" i="6"/>
  <c r="A486" i="6"/>
  <c r="A487" i="6"/>
  <c r="A488" i="6"/>
  <c r="A489" i="6"/>
  <c r="A490" i="6"/>
  <c r="A491" i="6"/>
  <c r="A492" i="6"/>
  <c r="A493" i="6"/>
  <c r="A494" i="6"/>
  <c r="A495" i="6"/>
  <c r="A496" i="6"/>
  <c r="A497" i="6"/>
  <c r="A498" i="6"/>
  <c r="A499" i="6"/>
  <c r="A500" i="6"/>
  <c r="A501" i="6"/>
  <c r="A502" i="6"/>
  <c r="A503" i="6"/>
  <c r="A504" i="6"/>
  <c r="A505" i="6"/>
  <c r="A506" i="6"/>
  <c r="A507" i="6"/>
  <c r="A508" i="6"/>
  <c r="A509" i="6"/>
  <c r="A510" i="6"/>
  <c r="A511" i="6"/>
  <c r="A512" i="6"/>
  <c r="A513" i="6"/>
  <c r="A514" i="6"/>
  <c r="A515" i="6"/>
  <c r="A516" i="6"/>
  <c r="A517" i="6"/>
  <c r="A518" i="6"/>
  <c r="A519" i="6"/>
  <c r="A520" i="6"/>
  <c r="A521" i="6"/>
  <c r="A522" i="6"/>
  <c r="A523" i="6"/>
  <c r="A524" i="6"/>
  <c r="A525" i="6"/>
  <c r="A526" i="6"/>
  <c r="A527" i="6"/>
  <c r="A528" i="6"/>
  <c r="A529" i="6"/>
  <c r="A530" i="6"/>
  <c r="A531" i="6"/>
  <c r="A532" i="6"/>
  <c r="A533" i="6"/>
  <c r="A534" i="6"/>
  <c r="A535" i="6"/>
  <c r="A536" i="6"/>
  <c r="A537" i="6"/>
  <c r="A538" i="6"/>
  <c r="A539" i="6"/>
  <c r="A540" i="6"/>
  <c r="A541" i="6"/>
  <c r="A542" i="6"/>
  <c r="A543" i="6"/>
  <c r="A544" i="6"/>
  <c r="A545" i="6"/>
  <c r="A546" i="6"/>
  <c r="A547" i="6"/>
  <c r="A548" i="6"/>
  <c r="A549" i="6"/>
  <c r="A550" i="6"/>
  <c r="A551" i="6"/>
  <c r="A552" i="6"/>
  <c r="A553" i="6"/>
  <c r="A554" i="6"/>
  <c r="A555" i="6"/>
  <c r="A556" i="6"/>
  <c r="A557" i="6"/>
  <c r="A558" i="6"/>
  <c r="A559" i="6"/>
  <c r="A560" i="6"/>
  <c r="A561" i="6"/>
  <c r="A562" i="6"/>
  <c r="A563" i="6"/>
  <c r="A564" i="6"/>
  <c r="A565" i="6"/>
  <c r="A566" i="6"/>
  <c r="A567" i="6"/>
  <c r="A568" i="6"/>
  <c r="A569" i="6"/>
  <c r="A570" i="6"/>
  <c r="A571" i="6"/>
  <c r="A572" i="6"/>
  <c r="A573" i="6"/>
  <c r="A574" i="6"/>
  <c r="A575" i="6"/>
  <c r="A576" i="6"/>
  <c r="A577" i="6"/>
  <c r="A578" i="6"/>
  <c r="A579" i="6"/>
  <c r="A580" i="6"/>
  <c r="A581" i="6"/>
  <c r="A582" i="6"/>
  <c r="A583" i="6"/>
  <c r="A584" i="6"/>
  <c r="A585" i="6"/>
  <c r="A586" i="6"/>
  <c r="A587" i="6"/>
  <c r="A588" i="6"/>
  <c r="A589" i="6"/>
  <c r="A590" i="6"/>
  <c r="A591" i="6"/>
  <c r="A592" i="6"/>
  <c r="A593" i="6"/>
  <c r="A594" i="6"/>
  <c r="A595" i="6"/>
  <c r="A596" i="6"/>
  <c r="A597" i="6"/>
  <c r="A598" i="6"/>
  <c r="A599" i="6"/>
  <c r="A600" i="6"/>
  <c r="A601" i="6"/>
  <c r="A602" i="6"/>
  <c r="A603" i="6"/>
  <c r="A604" i="6"/>
  <c r="A605" i="6"/>
  <c r="A606" i="6"/>
  <c r="A607" i="6"/>
  <c r="A608" i="6"/>
  <c r="A609" i="6"/>
  <c r="A610" i="6"/>
  <c r="A611" i="6"/>
  <c r="A612" i="6"/>
  <c r="A613" i="6"/>
  <c r="A614" i="6"/>
  <c r="A615" i="6"/>
  <c r="A616" i="6"/>
  <c r="A617" i="6"/>
  <c r="A618" i="6"/>
  <c r="A619" i="6"/>
  <c r="A620" i="6"/>
  <c r="A621" i="6"/>
  <c r="A622" i="6"/>
  <c r="A623" i="6"/>
  <c r="A624" i="6"/>
  <c r="A625" i="6"/>
  <c r="A626" i="6"/>
  <c r="A627" i="6"/>
  <c r="A628" i="6"/>
  <c r="A629" i="6"/>
  <c r="A630" i="6"/>
  <c r="A631" i="6"/>
  <c r="A632" i="6"/>
  <c r="A633" i="6"/>
  <c r="A634" i="6"/>
  <c r="A635" i="6"/>
  <c r="A636" i="6"/>
  <c r="A637" i="6"/>
  <c r="A638" i="6"/>
  <c r="A639" i="6"/>
  <c r="A640" i="6"/>
  <c r="A641" i="6"/>
  <c r="A642" i="6"/>
  <c r="A643" i="6"/>
  <c r="A644" i="6"/>
  <c r="A645" i="6"/>
  <c r="A646" i="6"/>
  <c r="A647" i="6"/>
  <c r="A648" i="6"/>
  <c r="A649" i="6"/>
  <c r="A650" i="6"/>
  <c r="A651" i="6"/>
  <c r="A652" i="6"/>
  <c r="A653" i="6"/>
  <c r="A654" i="6"/>
  <c r="A655" i="6"/>
  <c r="A656" i="6"/>
  <c r="A657" i="6"/>
  <c r="A658" i="6"/>
  <c r="A659" i="6"/>
  <c r="A660" i="6"/>
  <c r="A661" i="6"/>
  <c r="A662" i="6"/>
  <c r="A663" i="6"/>
  <c r="A664" i="6"/>
  <c r="A665" i="6"/>
  <c r="A666" i="6"/>
  <c r="A667" i="6"/>
  <c r="A668" i="6"/>
  <c r="A669" i="6"/>
  <c r="A670" i="6"/>
  <c r="A671" i="6"/>
  <c r="A672" i="6"/>
  <c r="A673" i="6"/>
  <c r="A674" i="6"/>
  <c r="A675" i="6"/>
  <c r="A676" i="6"/>
  <c r="A677" i="6"/>
  <c r="A678" i="6"/>
  <c r="A679" i="6"/>
  <c r="A680" i="6"/>
  <c r="A681" i="6"/>
  <c r="A682" i="6"/>
  <c r="A683" i="6"/>
  <c r="A684" i="6"/>
  <c r="A685" i="6"/>
  <c r="A686" i="6"/>
  <c r="A687" i="6"/>
  <c r="A688" i="6"/>
  <c r="A689" i="6"/>
  <c r="A690" i="6"/>
  <c r="A691" i="6"/>
  <c r="A692" i="6"/>
  <c r="A693" i="6"/>
  <c r="A694" i="6"/>
  <c r="A695" i="6"/>
  <c r="A696" i="6"/>
  <c r="A697" i="6"/>
  <c r="A698" i="6"/>
  <c r="A699" i="6"/>
  <c r="A700" i="6"/>
  <c r="A701" i="6"/>
  <c r="A702" i="6"/>
  <c r="A703" i="6"/>
  <c r="A704" i="6"/>
  <c r="A705" i="6"/>
  <c r="A706" i="6"/>
  <c r="A707" i="6"/>
  <c r="A708" i="6"/>
  <c r="A709" i="6"/>
  <c r="A710" i="6"/>
  <c r="A711" i="6"/>
  <c r="A712" i="6"/>
  <c r="A713" i="6"/>
  <c r="A714" i="6"/>
  <c r="A715" i="6"/>
  <c r="A716" i="6"/>
  <c r="A717" i="6"/>
  <c r="A718" i="6"/>
  <c r="A719" i="6"/>
  <c r="A720" i="6"/>
  <c r="A721" i="6"/>
  <c r="A722" i="6"/>
  <c r="A723" i="6"/>
  <c r="A724" i="6"/>
  <c r="A725" i="6"/>
  <c r="A726" i="6"/>
  <c r="A727" i="6"/>
  <c r="A728" i="6"/>
  <c r="A729" i="6"/>
  <c r="A730" i="6"/>
  <c r="A731" i="6"/>
  <c r="A732" i="6"/>
  <c r="A733" i="6"/>
  <c r="A734" i="6"/>
  <c r="A735" i="6"/>
  <c r="A736" i="6"/>
  <c r="A737" i="6"/>
  <c r="A738" i="6"/>
  <c r="A739" i="6"/>
  <c r="A740" i="6"/>
  <c r="A741" i="6"/>
  <c r="A742" i="6"/>
  <c r="A743" i="6"/>
  <c r="A744" i="6"/>
  <c r="A745" i="6"/>
  <c r="A746" i="6"/>
  <c r="A747" i="6"/>
  <c r="A748" i="6"/>
  <c r="A749" i="6"/>
  <c r="A750" i="6"/>
  <c r="A751" i="6"/>
  <c r="A752" i="6"/>
  <c r="A753" i="6"/>
  <c r="A754" i="6"/>
  <c r="A755" i="6"/>
  <c r="A756" i="6"/>
  <c r="A757" i="6"/>
  <c r="A758" i="6"/>
  <c r="A759" i="6"/>
  <c r="A760" i="6"/>
  <c r="A761" i="6"/>
  <c r="A762" i="6"/>
  <c r="A763" i="6"/>
  <c r="A764" i="6"/>
  <c r="A765" i="6"/>
  <c r="A766" i="6"/>
  <c r="A767" i="6"/>
  <c r="A768" i="6"/>
  <c r="A769" i="6"/>
  <c r="A770" i="6"/>
  <c r="A771" i="6"/>
  <c r="A772" i="6"/>
  <c r="A773" i="6"/>
  <c r="A774" i="6"/>
  <c r="A775" i="6"/>
  <c r="A776" i="6"/>
  <c r="A777" i="6"/>
  <c r="A778" i="6"/>
  <c r="A779" i="6"/>
  <c r="A780" i="6"/>
  <c r="A781" i="6"/>
  <c r="A782" i="6"/>
  <c r="A783" i="6"/>
  <c r="A784" i="6"/>
  <c r="A785" i="6"/>
  <c r="A786" i="6"/>
  <c r="A787" i="6"/>
  <c r="A788" i="6"/>
  <c r="A789" i="6"/>
  <c r="A790" i="6"/>
  <c r="A791" i="6"/>
  <c r="A792" i="6"/>
  <c r="A793" i="6"/>
  <c r="A794" i="6"/>
  <c r="A795" i="6"/>
  <c r="A796" i="6"/>
  <c r="A797" i="6"/>
  <c r="A798" i="6"/>
  <c r="A799" i="6"/>
  <c r="A800" i="6"/>
  <c r="A801" i="6"/>
  <c r="A802" i="6"/>
  <c r="A803" i="6"/>
  <c r="A804" i="6"/>
  <c r="A805" i="6"/>
  <c r="A806" i="6"/>
  <c r="A807" i="6"/>
  <c r="A808" i="6"/>
  <c r="A809" i="6"/>
  <c r="A810" i="6"/>
  <c r="A811" i="6"/>
  <c r="A812" i="6"/>
  <c r="A813" i="6"/>
  <c r="A814" i="6"/>
  <c r="A815" i="6"/>
  <c r="A816" i="6"/>
  <c r="A817" i="6"/>
  <c r="A818" i="6"/>
  <c r="A819" i="6"/>
  <c r="A820" i="6"/>
  <c r="A821" i="6"/>
  <c r="A822" i="6"/>
  <c r="A823" i="6"/>
  <c r="A824" i="6"/>
  <c r="A825" i="6"/>
  <c r="A826" i="6"/>
  <c r="A827" i="6"/>
  <c r="A828" i="6"/>
  <c r="A829" i="6"/>
  <c r="A830" i="6"/>
  <c r="A831" i="6"/>
  <c r="A832" i="6"/>
  <c r="A833" i="6"/>
  <c r="A834" i="6"/>
  <c r="A835" i="6"/>
  <c r="A836" i="6"/>
  <c r="A837" i="6"/>
  <c r="A838" i="6"/>
  <c r="A839" i="6"/>
  <c r="A840" i="6"/>
  <c r="A841" i="6"/>
  <c r="A842" i="6"/>
  <c r="A843" i="6"/>
  <c r="A844" i="6"/>
  <c r="A845" i="6"/>
  <c r="A846" i="6"/>
  <c r="A847" i="6"/>
  <c r="A848" i="6"/>
  <c r="A849" i="6"/>
  <c r="A850" i="6"/>
  <c r="A851" i="6"/>
  <c r="A852" i="6"/>
  <c r="A853" i="6"/>
  <c r="A854" i="6"/>
  <c r="A855" i="6"/>
  <c r="A856" i="6"/>
  <c r="A857" i="6"/>
  <c r="A858" i="6"/>
  <c r="A859" i="6"/>
  <c r="A860" i="6"/>
  <c r="A861" i="6"/>
  <c r="A862" i="6"/>
  <c r="A863" i="6"/>
  <c r="A864" i="6"/>
  <c r="A865" i="6"/>
  <c r="A866" i="6"/>
  <c r="A867" i="6"/>
  <c r="A868" i="6"/>
  <c r="A869" i="6"/>
  <c r="A870" i="6"/>
  <c r="A871" i="6"/>
  <c r="A872" i="6"/>
  <c r="A873" i="6"/>
  <c r="A874" i="6"/>
  <c r="A875" i="6"/>
  <c r="A876" i="6"/>
  <c r="A877" i="6"/>
  <c r="A878" i="6"/>
  <c r="A879" i="6"/>
  <c r="A880" i="6"/>
  <c r="A881" i="6"/>
  <c r="A882" i="6"/>
  <c r="A883" i="6"/>
  <c r="A884" i="6"/>
  <c r="A885" i="6"/>
  <c r="A886" i="6"/>
  <c r="A887" i="6"/>
  <c r="A888" i="6"/>
  <c r="A889" i="6"/>
  <c r="A890" i="6"/>
  <c r="A891" i="6"/>
  <c r="A892" i="6"/>
  <c r="A893" i="6"/>
  <c r="A894" i="6"/>
  <c r="A895" i="6"/>
  <c r="A896" i="6"/>
  <c r="A897" i="6"/>
  <c r="A898" i="6"/>
  <c r="A899" i="6"/>
  <c r="A900" i="6"/>
  <c r="A901" i="6"/>
  <c r="A902" i="6"/>
  <c r="A903" i="6"/>
  <c r="A904" i="6"/>
  <c r="A905" i="6"/>
  <c r="A906" i="6"/>
  <c r="A907" i="6"/>
  <c r="A908" i="6"/>
  <c r="A909" i="6"/>
  <c r="A910" i="6"/>
  <c r="A911" i="6"/>
  <c r="A912" i="6"/>
  <c r="A913" i="6"/>
  <c r="A914" i="6"/>
  <c r="A915" i="6"/>
  <c r="A916" i="6"/>
  <c r="A917" i="6"/>
  <c r="A918" i="6"/>
  <c r="A919" i="6"/>
  <c r="A920" i="6"/>
  <c r="A921" i="6"/>
  <c r="A922" i="6"/>
  <c r="A923" i="6"/>
  <c r="A924" i="6"/>
  <c r="A925" i="6"/>
  <c r="A926" i="6"/>
  <c r="A927" i="6"/>
  <c r="A928" i="6"/>
  <c r="A929" i="6"/>
  <c r="A930" i="6"/>
  <c r="A931" i="6"/>
  <c r="A932" i="6"/>
  <c r="A933" i="6"/>
  <c r="A934" i="6"/>
  <c r="A935" i="6"/>
  <c r="A936" i="6"/>
  <c r="A937" i="6"/>
  <c r="A938" i="6"/>
  <c r="A939" i="6"/>
  <c r="A940" i="6"/>
  <c r="A941" i="6"/>
  <c r="A942" i="6"/>
  <c r="A943" i="6"/>
  <c r="A944" i="6"/>
  <c r="A945" i="6"/>
  <c r="A946" i="6"/>
  <c r="A947" i="6"/>
  <c r="A948" i="6"/>
  <c r="A949" i="6"/>
  <c r="A950" i="6"/>
  <c r="A951" i="6"/>
  <c r="A952" i="6"/>
  <c r="A953" i="6"/>
  <c r="A954" i="6"/>
  <c r="A955" i="6"/>
  <c r="A956" i="6"/>
  <c r="A957" i="6"/>
  <c r="A958" i="6"/>
  <c r="A959" i="6"/>
  <c r="A960" i="6"/>
  <c r="A961" i="6"/>
  <c r="A962" i="6"/>
  <c r="A963" i="6"/>
  <c r="A964" i="6"/>
  <c r="A965" i="6"/>
  <c r="A966" i="6"/>
  <c r="A967" i="6"/>
  <c r="A968" i="6"/>
  <c r="A969" i="6"/>
  <c r="A970" i="6"/>
  <c r="A971" i="6"/>
  <c r="A972" i="6"/>
  <c r="A973" i="6"/>
  <c r="A974" i="6"/>
  <c r="A975" i="6"/>
  <c r="A976" i="6"/>
  <c r="A977" i="6"/>
  <c r="A978" i="6"/>
  <c r="A979" i="6"/>
  <c r="A980" i="6"/>
  <c r="A981" i="6"/>
  <c r="A982" i="6"/>
  <c r="A983" i="6"/>
  <c r="A984" i="6"/>
  <c r="A985" i="6"/>
  <c r="A986" i="6"/>
  <c r="A987" i="6"/>
  <c r="A988" i="6"/>
  <c r="A989" i="6"/>
  <c r="A990" i="6"/>
  <c r="A2" i="6"/>
  <c r="O1091" i="2"/>
  <c r="O1092" i="2"/>
  <c r="O1093" i="2"/>
  <c r="O1095" i="2"/>
  <c r="O1096" i="2"/>
  <c r="O1097" i="2"/>
  <c r="O1099" i="2"/>
  <c r="O1100" i="2"/>
  <c r="O1101" i="2"/>
  <c r="O1103" i="2"/>
  <c r="O1104" i="2"/>
  <c r="O1105" i="2"/>
  <c r="O1107" i="2"/>
  <c r="O1108" i="2"/>
  <c r="O1109" i="2"/>
  <c r="O1111" i="2"/>
  <c r="O1112" i="2"/>
  <c r="O1113" i="2"/>
  <c r="O1115" i="2"/>
  <c r="O1116" i="2"/>
  <c r="O1117" i="2"/>
  <c r="O1119" i="2"/>
  <c r="O1120" i="2"/>
  <c r="O1121" i="2"/>
  <c r="O1123" i="2"/>
  <c r="O1124" i="2"/>
  <c r="O1125" i="2"/>
  <c r="O1127" i="2"/>
  <c r="O1128" i="2"/>
  <c r="O1129" i="2"/>
  <c r="O1131" i="2"/>
  <c r="O1132" i="2"/>
  <c r="O1133" i="2"/>
  <c r="O1135" i="2"/>
  <c r="O1136" i="2"/>
  <c r="O1137" i="2"/>
  <c r="O1139" i="2"/>
  <c r="O1140" i="2"/>
  <c r="O1141" i="2"/>
  <c r="O1143" i="2"/>
  <c r="O1144" i="2"/>
  <c r="O1145" i="2"/>
  <c r="O1147" i="2"/>
  <c r="O1148" i="2"/>
  <c r="O1149" i="2"/>
  <c r="O1151" i="2"/>
  <c r="O1152" i="2"/>
  <c r="O1153" i="2"/>
  <c r="O1155" i="2"/>
  <c r="O1156" i="2"/>
  <c r="O1157" i="2"/>
  <c r="P1091" i="2"/>
  <c r="P1092" i="2"/>
  <c r="P1093" i="2"/>
  <c r="P1095" i="2"/>
  <c r="P1096" i="2"/>
  <c r="P1097" i="2"/>
  <c r="P1099" i="2"/>
  <c r="P1100" i="2"/>
  <c r="P1101" i="2"/>
  <c r="P1103" i="2"/>
  <c r="P1104" i="2"/>
  <c r="P1105" i="2"/>
  <c r="P1107" i="2"/>
  <c r="P1108" i="2"/>
  <c r="P1109" i="2"/>
  <c r="P1111" i="2"/>
  <c r="P1112" i="2"/>
  <c r="P1113" i="2"/>
  <c r="P1115" i="2"/>
  <c r="P1116" i="2"/>
  <c r="P1117" i="2"/>
  <c r="P1119" i="2"/>
  <c r="P1120" i="2"/>
  <c r="P1121" i="2"/>
  <c r="P1123" i="2"/>
  <c r="P1124" i="2"/>
  <c r="P1125" i="2"/>
  <c r="P1127" i="2"/>
  <c r="P1128" i="2"/>
  <c r="P1129" i="2"/>
  <c r="P1131" i="2"/>
  <c r="P1132" i="2"/>
  <c r="P1133" i="2"/>
  <c r="P1135" i="2"/>
  <c r="P1136" i="2"/>
  <c r="P1137" i="2"/>
  <c r="P1139" i="2"/>
  <c r="P1140" i="2"/>
  <c r="P1141" i="2"/>
  <c r="P1143" i="2"/>
  <c r="P1144" i="2"/>
  <c r="P1145" i="2"/>
  <c r="P1147" i="2"/>
  <c r="P1148" i="2"/>
  <c r="P1149" i="2"/>
  <c r="P1151" i="2"/>
  <c r="P1152" i="2"/>
  <c r="P1153" i="2"/>
  <c r="P1155" i="2"/>
  <c r="P1156" i="2"/>
  <c r="P1157" i="2"/>
  <c r="O1087" i="2"/>
  <c r="O1088" i="2"/>
  <c r="O1089" i="2"/>
  <c r="P1087" i="2"/>
  <c r="P1088" i="2"/>
  <c r="P1089" i="2"/>
  <c r="O1083" i="2"/>
  <c r="O1084" i="2"/>
  <c r="O1085" i="2"/>
  <c r="P1083" i="2"/>
  <c r="P1084" i="2"/>
  <c r="P1085" i="2"/>
  <c r="O1079" i="2"/>
  <c r="O1080" i="2"/>
  <c r="O1081" i="2"/>
  <c r="P1079" i="2"/>
  <c r="P1080" i="2"/>
  <c r="P1081" i="2"/>
  <c r="O1075" i="2"/>
  <c r="O1076" i="2"/>
  <c r="O1077" i="2"/>
  <c r="P1075" i="2"/>
  <c r="P1076" i="2"/>
  <c r="P1077" i="2"/>
  <c r="O1071" i="2"/>
  <c r="O1072" i="2"/>
  <c r="O1073" i="2"/>
  <c r="P1071" i="2"/>
  <c r="P1072" i="2"/>
  <c r="P1073" i="2"/>
  <c r="O1067" i="2"/>
  <c r="O1068" i="2"/>
  <c r="O1069" i="2"/>
  <c r="P1067" i="2"/>
  <c r="P1068" i="2"/>
  <c r="P1069" i="2"/>
  <c r="O1063" i="2"/>
  <c r="O1064" i="2"/>
  <c r="O1065" i="2"/>
  <c r="P1063" i="2"/>
  <c r="P1064" i="2"/>
  <c r="P1065" i="2"/>
  <c r="O1059" i="2"/>
  <c r="O1060" i="2"/>
  <c r="O1061" i="2"/>
  <c r="P1059" i="2"/>
  <c r="P1060" i="2"/>
  <c r="P1061" i="2"/>
  <c r="O1055" i="2"/>
  <c r="O1056" i="2"/>
  <c r="O1057" i="2"/>
  <c r="P1055" i="2"/>
  <c r="P1056" i="2"/>
  <c r="P1057" i="2"/>
  <c r="O1051" i="2"/>
  <c r="O1052" i="2"/>
  <c r="O1053" i="2"/>
  <c r="P1051" i="2"/>
  <c r="P1052" i="2"/>
  <c r="P1053" i="2"/>
  <c r="O1047" i="2"/>
  <c r="O1048" i="2"/>
  <c r="O1049" i="2"/>
  <c r="P1047" i="2"/>
  <c r="P1048" i="2"/>
  <c r="P1049" i="2"/>
  <c r="O1043" i="2"/>
  <c r="O1044" i="2"/>
  <c r="O1045" i="2"/>
  <c r="P1043" i="2"/>
  <c r="P1044" i="2"/>
  <c r="P1045" i="2"/>
  <c r="O1039" i="2"/>
  <c r="O1040" i="2"/>
  <c r="O1041" i="2"/>
  <c r="P1039" i="2"/>
  <c r="P1040" i="2"/>
  <c r="P1041" i="2"/>
  <c r="O1035" i="2"/>
  <c r="O1036" i="2"/>
  <c r="O1037" i="2"/>
  <c r="P1035" i="2"/>
  <c r="P1036" i="2"/>
  <c r="P1037" i="2"/>
  <c r="O1031" i="2"/>
  <c r="O1032" i="2"/>
  <c r="O1033" i="2"/>
  <c r="P1031" i="2"/>
  <c r="P1032" i="2"/>
  <c r="P1033" i="2"/>
  <c r="O1027" i="2"/>
  <c r="O1028" i="2"/>
  <c r="O1029" i="2"/>
  <c r="P1027" i="2"/>
  <c r="P1028" i="2"/>
  <c r="P1029" i="2"/>
  <c r="O1024" i="2"/>
  <c r="O1025" i="2"/>
  <c r="P1024" i="2"/>
  <c r="P1025" i="2"/>
  <c r="O1023" i="2"/>
  <c r="P1023" i="2"/>
  <c r="O4" i="2"/>
  <c r="P4" i="2"/>
  <c r="O5" i="2"/>
  <c r="P5" i="2"/>
  <c r="O7" i="2"/>
  <c r="P7" i="2"/>
  <c r="O8" i="2"/>
  <c r="P8" i="2"/>
  <c r="O9" i="2"/>
  <c r="P9" i="2"/>
  <c r="O11" i="2"/>
  <c r="P11" i="2"/>
  <c r="O12" i="2"/>
  <c r="P12" i="2"/>
  <c r="O13" i="2"/>
  <c r="P13" i="2"/>
  <c r="O15" i="2"/>
  <c r="P15" i="2"/>
  <c r="O16" i="2"/>
  <c r="P16" i="2"/>
  <c r="O17" i="2"/>
  <c r="P17" i="2"/>
  <c r="O19" i="2"/>
  <c r="P19" i="2"/>
  <c r="O20" i="2"/>
  <c r="P20" i="2"/>
  <c r="O21" i="2"/>
  <c r="P21" i="2"/>
  <c r="O23" i="2"/>
  <c r="P23" i="2"/>
  <c r="O24" i="2"/>
  <c r="P24" i="2"/>
  <c r="O25" i="2"/>
  <c r="P25" i="2"/>
  <c r="O27" i="2"/>
  <c r="P27" i="2"/>
  <c r="O28" i="2"/>
  <c r="P28" i="2"/>
  <c r="O29" i="2"/>
  <c r="P29" i="2"/>
  <c r="O31" i="2"/>
  <c r="P31" i="2"/>
  <c r="O32" i="2"/>
  <c r="P32" i="2"/>
  <c r="O33" i="2"/>
  <c r="P33" i="2"/>
  <c r="O35" i="2"/>
  <c r="P35" i="2"/>
  <c r="O36" i="2"/>
  <c r="P36" i="2"/>
  <c r="O37" i="2"/>
  <c r="P37" i="2"/>
  <c r="O39" i="2"/>
  <c r="P39" i="2"/>
  <c r="O40" i="2"/>
  <c r="P40" i="2"/>
  <c r="O41" i="2"/>
  <c r="P41" i="2"/>
  <c r="O43" i="2"/>
  <c r="P43" i="2"/>
  <c r="O44" i="2"/>
  <c r="P44" i="2"/>
  <c r="O45" i="2"/>
  <c r="P45" i="2"/>
  <c r="O47" i="2"/>
  <c r="P47" i="2"/>
  <c r="O48" i="2"/>
  <c r="P48" i="2"/>
  <c r="O49" i="2"/>
  <c r="P49" i="2"/>
  <c r="O51" i="2"/>
  <c r="P51" i="2"/>
  <c r="O52" i="2"/>
  <c r="P52" i="2"/>
  <c r="O53" i="2"/>
  <c r="P53" i="2"/>
  <c r="O55" i="2"/>
  <c r="P55" i="2"/>
  <c r="O56" i="2"/>
  <c r="P56" i="2"/>
  <c r="O57" i="2"/>
  <c r="P57" i="2"/>
  <c r="O59" i="2"/>
  <c r="P59" i="2"/>
  <c r="O60" i="2"/>
  <c r="P60" i="2"/>
  <c r="O61" i="2"/>
  <c r="P61" i="2"/>
  <c r="O63" i="2"/>
  <c r="P63" i="2"/>
  <c r="O64" i="2"/>
  <c r="P64" i="2"/>
  <c r="O65" i="2"/>
  <c r="P65" i="2"/>
  <c r="O67" i="2"/>
  <c r="P67" i="2"/>
  <c r="O68" i="2"/>
  <c r="P68" i="2"/>
  <c r="O69" i="2"/>
  <c r="P69" i="2"/>
  <c r="O71" i="2"/>
  <c r="P71" i="2"/>
  <c r="O72" i="2"/>
  <c r="P72" i="2"/>
  <c r="O73" i="2"/>
  <c r="P73" i="2"/>
  <c r="O75" i="2"/>
  <c r="P75" i="2"/>
  <c r="O76" i="2"/>
  <c r="P76" i="2"/>
  <c r="O77" i="2"/>
  <c r="P77" i="2"/>
  <c r="O79" i="2"/>
  <c r="P79" i="2"/>
  <c r="O80" i="2"/>
  <c r="P80" i="2"/>
  <c r="O81" i="2"/>
  <c r="P81" i="2"/>
  <c r="O83" i="2"/>
  <c r="P83" i="2"/>
  <c r="O84" i="2"/>
  <c r="P84" i="2"/>
  <c r="O85" i="2"/>
  <c r="P85" i="2"/>
  <c r="O87" i="2"/>
  <c r="P87" i="2"/>
  <c r="O88" i="2"/>
  <c r="P88" i="2"/>
  <c r="O89" i="2"/>
  <c r="P89" i="2"/>
  <c r="O91" i="2"/>
  <c r="P91" i="2"/>
  <c r="O92" i="2"/>
  <c r="P92" i="2"/>
  <c r="O93" i="2"/>
  <c r="P93" i="2"/>
  <c r="O95" i="2"/>
  <c r="P95" i="2"/>
  <c r="O96" i="2"/>
  <c r="P96" i="2"/>
  <c r="O97" i="2"/>
  <c r="P97" i="2"/>
  <c r="O99" i="2"/>
  <c r="P99" i="2"/>
  <c r="O100" i="2"/>
  <c r="P100" i="2"/>
  <c r="O101" i="2"/>
  <c r="P101" i="2"/>
  <c r="O103" i="2"/>
  <c r="P103" i="2"/>
  <c r="O104" i="2"/>
  <c r="P104" i="2"/>
  <c r="O105" i="2"/>
  <c r="P105" i="2"/>
  <c r="O107" i="2"/>
  <c r="P107" i="2"/>
  <c r="O108" i="2"/>
  <c r="P108" i="2"/>
  <c r="O109" i="2"/>
  <c r="P109" i="2"/>
  <c r="O111" i="2"/>
  <c r="P111" i="2"/>
  <c r="O112" i="2"/>
  <c r="P112" i="2"/>
  <c r="O113" i="2"/>
  <c r="P113" i="2"/>
  <c r="O115" i="2"/>
  <c r="P115" i="2"/>
  <c r="O116" i="2"/>
  <c r="P116" i="2"/>
  <c r="O117" i="2"/>
  <c r="P117" i="2"/>
  <c r="O119" i="2"/>
  <c r="P119" i="2"/>
  <c r="O120" i="2"/>
  <c r="P120" i="2"/>
  <c r="O121" i="2"/>
  <c r="P121" i="2"/>
  <c r="O123" i="2"/>
  <c r="P123" i="2"/>
  <c r="O124" i="2"/>
  <c r="P124" i="2"/>
  <c r="O125" i="2"/>
  <c r="P125" i="2"/>
  <c r="O127" i="2"/>
  <c r="P127" i="2"/>
  <c r="O128" i="2"/>
  <c r="P128" i="2"/>
  <c r="O129" i="2"/>
  <c r="P129" i="2"/>
  <c r="O131" i="2"/>
  <c r="P131" i="2"/>
  <c r="O132" i="2"/>
  <c r="P132" i="2"/>
  <c r="O133" i="2"/>
  <c r="P133" i="2"/>
  <c r="O135" i="2"/>
  <c r="P135" i="2"/>
  <c r="O136" i="2"/>
  <c r="P136" i="2"/>
  <c r="O137" i="2"/>
  <c r="P137" i="2"/>
  <c r="O139" i="2"/>
  <c r="P139" i="2"/>
  <c r="O140" i="2"/>
  <c r="P140" i="2"/>
  <c r="O141" i="2"/>
  <c r="P141" i="2"/>
  <c r="O143" i="2"/>
  <c r="P143" i="2"/>
  <c r="O144" i="2"/>
  <c r="P144" i="2"/>
  <c r="O145" i="2"/>
  <c r="P145" i="2"/>
  <c r="O147" i="2"/>
  <c r="P147" i="2"/>
  <c r="O148" i="2"/>
  <c r="P148" i="2"/>
  <c r="O149" i="2"/>
  <c r="P149" i="2"/>
  <c r="O151" i="2"/>
  <c r="P151" i="2"/>
  <c r="O152" i="2"/>
  <c r="P152" i="2"/>
  <c r="O153" i="2"/>
  <c r="P153" i="2"/>
  <c r="O155" i="2"/>
  <c r="P155" i="2"/>
  <c r="O156" i="2"/>
  <c r="P156" i="2"/>
  <c r="O157" i="2"/>
  <c r="P157" i="2"/>
  <c r="O159" i="2"/>
  <c r="P159" i="2"/>
  <c r="O160" i="2"/>
  <c r="P160" i="2"/>
  <c r="O161" i="2"/>
  <c r="P161" i="2"/>
  <c r="O163" i="2"/>
  <c r="P163" i="2"/>
  <c r="O164" i="2"/>
  <c r="P164" i="2"/>
  <c r="O165" i="2"/>
  <c r="P165" i="2"/>
  <c r="O167" i="2"/>
  <c r="P167" i="2"/>
  <c r="O168" i="2"/>
  <c r="P168" i="2"/>
  <c r="O169" i="2"/>
  <c r="P169" i="2"/>
  <c r="O171" i="2"/>
  <c r="P171" i="2"/>
  <c r="O172" i="2"/>
  <c r="P172" i="2"/>
  <c r="O173" i="2"/>
  <c r="P173" i="2"/>
  <c r="O175" i="2"/>
  <c r="P175" i="2"/>
  <c r="O176" i="2"/>
  <c r="P176" i="2"/>
  <c r="O177" i="2"/>
  <c r="P177" i="2"/>
  <c r="O179" i="2"/>
  <c r="P179" i="2"/>
  <c r="O180" i="2"/>
  <c r="P180" i="2"/>
  <c r="O181" i="2"/>
  <c r="P181" i="2"/>
  <c r="O183" i="2"/>
  <c r="P183" i="2"/>
  <c r="O184" i="2"/>
  <c r="P184" i="2"/>
  <c r="O185" i="2"/>
  <c r="P185" i="2"/>
  <c r="O187" i="2"/>
  <c r="P187" i="2"/>
  <c r="O188" i="2"/>
  <c r="P188" i="2"/>
  <c r="O189" i="2"/>
  <c r="P189" i="2"/>
  <c r="O191" i="2"/>
  <c r="P191" i="2"/>
  <c r="O192" i="2"/>
  <c r="P192" i="2"/>
  <c r="O193" i="2"/>
  <c r="P193" i="2"/>
  <c r="O195" i="2"/>
  <c r="P195" i="2"/>
  <c r="O196" i="2"/>
  <c r="P196" i="2"/>
  <c r="O197" i="2"/>
  <c r="P197" i="2"/>
  <c r="O199" i="2"/>
  <c r="P199" i="2"/>
  <c r="O200" i="2"/>
  <c r="P200" i="2"/>
  <c r="O201" i="2"/>
  <c r="P201" i="2"/>
  <c r="O203" i="2"/>
  <c r="P203" i="2"/>
  <c r="O204" i="2"/>
  <c r="P204" i="2"/>
  <c r="O205" i="2"/>
  <c r="P205" i="2"/>
  <c r="O207" i="2"/>
  <c r="P207" i="2"/>
  <c r="O208" i="2"/>
  <c r="P208" i="2"/>
  <c r="O209" i="2"/>
  <c r="P209" i="2"/>
  <c r="O211" i="2"/>
  <c r="P211" i="2"/>
  <c r="O212" i="2"/>
  <c r="P212" i="2"/>
  <c r="O213" i="2"/>
  <c r="P213" i="2"/>
  <c r="O215" i="2"/>
  <c r="P215" i="2"/>
  <c r="O216" i="2"/>
  <c r="P216" i="2"/>
  <c r="O217" i="2"/>
  <c r="P217" i="2"/>
  <c r="O219" i="2"/>
  <c r="P219" i="2"/>
  <c r="O220" i="2"/>
  <c r="P220" i="2"/>
  <c r="O221" i="2"/>
  <c r="P221" i="2"/>
  <c r="O223" i="2"/>
  <c r="P223" i="2"/>
  <c r="O224" i="2"/>
  <c r="P224" i="2"/>
  <c r="O225" i="2"/>
  <c r="P225" i="2"/>
  <c r="O227" i="2"/>
  <c r="P227" i="2"/>
  <c r="O228" i="2"/>
  <c r="P228" i="2"/>
  <c r="O229" i="2"/>
  <c r="P229" i="2"/>
  <c r="O231" i="2"/>
  <c r="P231" i="2"/>
  <c r="O232" i="2"/>
  <c r="P232" i="2"/>
  <c r="O233" i="2"/>
  <c r="P233" i="2"/>
  <c r="O235" i="2"/>
  <c r="P235" i="2"/>
  <c r="O236" i="2"/>
  <c r="P236" i="2"/>
  <c r="O237" i="2"/>
  <c r="P237" i="2"/>
  <c r="O239" i="2"/>
  <c r="P239" i="2"/>
  <c r="O240" i="2"/>
  <c r="P240" i="2"/>
  <c r="O241" i="2"/>
  <c r="P241" i="2"/>
  <c r="O243" i="2"/>
  <c r="P243" i="2"/>
  <c r="O244" i="2"/>
  <c r="P244" i="2"/>
  <c r="O245" i="2"/>
  <c r="P245" i="2"/>
  <c r="O247" i="2"/>
  <c r="P247" i="2"/>
  <c r="O248" i="2"/>
  <c r="P248" i="2"/>
  <c r="O249" i="2"/>
  <c r="P249" i="2"/>
  <c r="O251" i="2"/>
  <c r="P251" i="2"/>
  <c r="O252" i="2"/>
  <c r="P252" i="2"/>
  <c r="O253" i="2"/>
  <c r="P253" i="2"/>
  <c r="O255" i="2"/>
  <c r="P255" i="2"/>
  <c r="O256" i="2"/>
  <c r="P256" i="2"/>
  <c r="O257" i="2"/>
  <c r="P257" i="2"/>
  <c r="O259" i="2"/>
  <c r="P259" i="2"/>
  <c r="O260" i="2"/>
  <c r="P260" i="2"/>
  <c r="O261" i="2"/>
  <c r="P261" i="2"/>
  <c r="O263" i="2"/>
  <c r="P263" i="2"/>
  <c r="O264" i="2"/>
  <c r="P264" i="2"/>
  <c r="O265" i="2"/>
  <c r="P265" i="2"/>
  <c r="O267" i="2"/>
  <c r="P267" i="2"/>
  <c r="O268" i="2"/>
  <c r="P268" i="2"/>
  <c r="O269" i="2"/>
  <c r="P269" i="2"/>
  <c r="O271" i="2"/>
  <c r="P271" i="2"/>
  <c r="O272" i="2"/>
  <c r="P272" i="2"/>
  <c r="O273" i="2"/>
  <c r="P273" i="2"/>
  <c r="O275" i="2"/>
  <c r="P275" i="2"/>
  <c r="O276" i="2"/>
  <c r="P276" i="2"/>
  <c r="O277" i="2"/>
  <c r="P277" i="2"/>
  <c r="O279" i="2"/>
  <c r="P279" i="2"/>
  <c r="O280" i="2"/>
  <c r="P280" i="2"/>
  <c r="O281" i="2"/>
  <c r="P281" i="2"/>
  <c r="O283" i="2"/>
  <c r="P283" i="2"/>
  <c r="O284" i="2"/>
  <c r="P284" i="2"/>
  <c r="O285" i="2"/>
  <c r="P285" i="2"/>
  <c r="O287" i="2"/>
  <c r="P287" i="2"/>
  <c r="O288" i="2"/>
  <c r="P288" i="2"/>
  <c r="O289" i="2"/>
  <c r="P289" i="2"/>
  <c r="O291" i="2"/>
  <c r="P291" i="2"/>
  <c r="O292" i="2"/>
  <c r="P292" i="2"/>
  <c r="O293" i="2"/>
  <c r="P293" i="2"/>
  <c r="O295" i="2"/>
  <c r="P295" i="2"/>
  <c r="O296" i="2"/>
  <c r="P296" i="2"/>
  <c r="O297" i="2"/>
  <c r="P297" i="2"/>
  <c r="O299" i="2"/>
  <c r="P299" i="2"/>
  <c r="O300" i="2"/>
  <c r="P300" i="2"/>
  <c r="O301" i="2"/>
  <c r="P301" i="2"/>
  <c r="O303" i="2"/>
  <c r="P303" i="2"/>
  <c r="O304" i="2"/>
  <c r="P304" i="2"/>
  <c r="O305" i="2"/>
  <c r="P305" i="2"/>
  <c r="O307" i="2"/>
  <c r="P307" i="2"/>
  <c r="O308" i="2"/>
  <c r="P308" i="2"/>
  <c r="O309" i="2"/>
  <c r="P309" i="2"/>
  <c r="O311" i="2"/>
  <c r="P311" i="2"/>
  <c r="O312" i="2"/>
  <c r="P312" i="2"/>
  <c r="O313" i="2"/>
  <c r="P313" i="2"/>
  <c r="O315" i="2"/>
  <c r="P315" i="2"/>
  <c r="O316" i="2"/>
  <c r="P316" i="2"/>
  <c r="O317" i="2"/>
  <c r="P317" i="2"/>
  <c r="O319" i="2"/>
  <c r="P319" i="2"/>
  <c r="O320" i="2"/>
  <c r="P320" i="2"/>
  <c r="O321" i="2"/>
  <c r="P321" i="2"/>
  <c r="O323" i="2"/>
  <c r="P323" i="2"/>
  <c r="O324" i="2"/>
  <c r="P324" i="2"/>
  <c r="O325" i="2"/>
  <c r="P325" i="2"/>
  <c r="O327" i="2"/>
  <c r="P327" i="2"/>
  <c r="O328" i="2"/>
  <c r="P328" i="2"/>
  <c r="O329" i="2"/>
  <c r="P329" i="2"/>
  <c r="O331" i="2"/>
  <c r="P331" i="2"/>
  <c r="O332" i="2"/>
  <c r="P332" i="2"/>
  <c r="O333" i="2"/>
  <c r="P333" i="2"/>
  <c r="O335" i="2"/>
  <c r="P335" i="2"/>
  <c r="O336" i="2"/>
  <c r="P336" i="2"/>
  <c r="O337" i="2"/>
  <c r="P337" i="2"/>
  <c r="O339" i="2"/>
  <c r="P339" i="2"/>
  <c r="O340" i="2"/>
  <c r="P340" i="2"/>
  <c r="O341" i="2"/>
  <c r="P341" i="2"/>
  <c r="O343" i="2"/>
  <c r="P343" i="2"/>
  <c r="O344" i="2"/>
  <c r="P344" i="2"/>
  <c r="O345" i="2"/>
  <c r="P345" i="2"/>
  <c r="O347" i="2"/>
  <c r="P347" i="2"/>
  <c r="O348" i="2"/>
  <c r="P348" i="2"/>
  <c r="O349" i="2"/>
  <c r="P349" i="2"/>
  <c r="O351" i="2"/>
  <c r="P351" i="2"/>
  <c r="O352" i="2"/>
  <c r="P352" i="2"/>
  <c r="O353" i="2"/>
  <c r="P353" i="2"/>
  <c r="O355" i="2"/>
  <c r="P355" i="2"/>
  <c r="O356" i="2"/>
  <c r="P356" i="2"/>
  <c r="O357" i="2"/>
  <c r="P357" i="2"/>
  <c r="O359" i="2"/>
  <c r="P359" i="2"/>
  <c r="O360" i="2"/>
  <c r="P360" i="2"/>
  <c r="O361" i="2"/>
  <c r="P361" i="2"/>
  <c r="O363" i="2"/>
  <c r="P363" i="2"/>
  <c r="O364" i="2"/>
  <c r="P364" i="2"/>
  <c r="O365" i="2"/>
  <c r="P365" i="2"/>
  <c r="O367" i="2"/>
  <c r="P367" i="2"/>
  <c r="O368" i="2"/>
  <c r="P368" i="2"/>
  <c r="O369" i="2"/>
  <c r="P369" i="2"/>
  <c r="O371" i="2"/>
  <c r="P371" i="2"/>
  <c r="O372" i="2"/>
  <c r="P372" i="2"/>
  <c r="O373" i="2"/>
  <c r="P373" i="2"/>
  <c r="O375" i="2"/>
  <c r="P375" i="2"/>
  <c r="O376" i="2"/>
  <c r="P376" i="2"/>
  <c r="O377" i="2"/>
  <c r="P377" i="2"/>
  <c r="O379" i="2"/>
  <c r="P379" i="2"/>
  <c r="O380" i="2"/>
  <c r="P380" i="2"/>
  <c r="O381" i="2"/>
  <c r="P381" i="2"/>
  <c r="O383" i="2"/>
  <c r="P383" i="2"/>
  <c r="O384" i="2"/>
  <c r="P384" i="2"/>
  <c r="O385" i="2"/>
  <c r="P385" i="2"/>
  <c r="O387" i="2"/>
  <c r="P387" i="2"/>
  <c r="O388" i="2"/>
  <c r="P388" i="2"/>
  <c r="O389" i="2"/>
  <c r="P389" i="2"/>
  <c r="O391" i="2"/>
  <c r="P391" i="2"/>
  <c r="O392" i="2"/>
  <c r="P392" i="2"/>
  <c r="O393" i="2"/>
  <c r="P393" i="2"/>
  <c r="O395" i="2"/>
  <c r="P395" i="2"/>
  <c r="O396" i="2"/>
  <c r="P396" i="2"/>
  <c r="O397" i="2"/>
  <c r="P397" i="2"/>
  <c r="O399" i="2"/>
  <c r="P399" i="2"/>
  <c r="O400" i="2"/>
  <c r="P400" i="2"/>
  <c r="O401" i="2"/>
  <c r="P401" i="2"/>
  <c r="O403" i="2"/>
  <c r="P403" i="2"/>
  <c r="O404" i="2"/>
  <c r="P404" i="2"/>
  <c r="O405" i="2"/>
  <c r="P405" i="2"/>
  <c r="O407" i="2"/>
  <c r="P407" i="2"/>
  <c r="O408" i="2"/>
  <c r="P408" i="2"/>
  <c r="O409" i="2"/>
  <c r="P409" i="2"/>
  <c r="O411" i="2"/>
  <c r="P411" i="2"/>
  <c r="O412" i="2"/>
  <c r="P412" i="2"/>
  <c r="O413" i="2"/>
  <c r="P413" i="2"/>
  <c r="O415" i="2"/>
  <c r="P415" i="2"/>
  <c r="O416" i="2"/>
  <c r="P416" i="2"/>
  <c r="O417" i="2"/>
  <c r="P417" i="2"/>
  <c r="O419" i="2"/>
  <c r="P419" i="2"/>
  <c r="O420" i="2"/>
  <c r="P420" i="2"/>
  <c r="O421" i="2"/>
  <c r="P421" i="2"/>
  <c r="O423" i="2"/>
  <c r="P423" i="2"/>
  <c r="O424" i="2"/>
  <c r="P424" i="2"/>
  <c r="O425" i="2"/>
  <c r="P425" i="2"/>
  <c r="O427" i="2"/>
  <c r="P427" i="2"/>
  <c r="O428" i="2"/>
  <c r="P428" i="2"/>
  <c r="O429" i="2"/>
  <c r="P429" i="2"/>
  <c r="O431" i="2"/>
  <c r="P431" i="2"/>
  <c r="O432" i="2"/>
  <c r="P432" i="2"/>
  <c r="O433" i="2"/>
  <c r="P433" i="2"/>
  <c r="O435" i="2"/>
  <c r="P435" i="2"/>
  <c r="O436" i="2"/>
  <c r="P436" i="2"/>
  <c r="O437" i="2"/>
  <c r="P437" i="2"/>
  <c r="O439" i="2"/>
  <c r="P439" i="2"/>
  <c r="O440" i="2"/>
  <c r="P440" i="2"/>
  <c r="O441" i="2"/>
  <c r="P441" i="2"/>
  <c r="O443" i="2"/>
  <c r="P443" i="2"/>
  <c r="O444" i="2"/>
  <c r="P444" i="2"/>
  <c r="O445" i="2"/>
  <c r="P445" i="2"/>
  <c r="O447" i="2"/>
  <c r="P447" i="2"/>
  <c r="O448" i="2"/>
  <c r="P448" i="2"/>
  <c r="O449" i="2"/>
  <c r="P449" i="2"/>
  <c r="O451" i="2"/>
  <c r="P451" i="2"/>
  <c r="O452" i="2"/>
  <c r="P452" i="2"/>
  <c r="O453" i="2"/>
  <c r="P453" i="2"/>
  <c r="O455" i="2"/>
  <c r="P455" i="2"/>
  <c r="O456" i="2"/>
  <c r="P456" i="2"/>
  <c r="O457" i="2"/>
  <c r="P457" i="2"/>
  <c r="O459" i="2"/>
  <c r="P459" i="2"/>
  <c r="O460" i="2"/>
  <c r="P460" i="2"/>
  <c r="O461" i="2"/>
  <c r="P461" i="2"/>
  <c r="O463" i="2"/>
  <c r="P463" i="2"/>
  <c r="O464" i="2"/>
  <c r="P464" i="2"/>
  <c r="O465" i="2"/>
  <c r="P465" i="2"/>
  <c r="O467" i="2"/>
  <c r="P467" i="2"/>
  <c r="O468" i="2"/>
  <c r="P468" i="2"/>
  <c r="O469" i="2"/>
  <c r="P469" i="2"/>
  <c r="O471" i="2"/>
  <c r="P471" i="2"/>
  <c r="O472" i="2"/>
  <c r="P472" i="2"/>
  <c r="O473" i="2"/>
  <c r="P473" i="2"/>
  <c r="O475" i="2"/>
  <c r="P475" i="2"/>
  <c r="O476" i="2"/>
  <c r="P476" i="2"/>
  <c r="O477" i="2"/>
  <c r="P477" i="2"/>
  <c r="O479" i="2"/>
  <c r="P479" i="2"/>
  <c r="O480" i="2"/>
  <c r="P480" i="2"/>
  <c r="O481" i="2"/>
  <c r="P481" i="2"/>
  <c r="O483" i="2"/>
  <c r="P483" i="2"/>
  <c r="O484" i="2"/>
  <c r="P484" i="2"/>
  <c r="O485" i="2"/>
  <c r="P485" i="2"/>
  <c r="O487" i="2"/>
  <c r="P487" i="2"/>
  <c r="O488" i="2"/>
  <c r="P488" i="2"/>
  <c r="O489" i="2"/>
  <c r="P489" i="2"/>
  <c r="O491" i="2"/>
  <c r="P491" i="2"/>
  <c r="O492" i="2"/>
  <c r="P492" i="2"/>
  <c r="O493" i="2"/>
  <c r="P493" i="2"/>
  <c r="O495" i="2"/>
  <c r="P495" i="2"/>
  <c r="O496" i="2"/>
  <c r="P496" i="2"/>
  <c r="O497" i="2"/>
  <c r="P497" i="2"/>
  <c r="O499" i="2"/>
  <c r="P499" i="2"/>
  <c r="O500" i="2"/>
  <c r="P500" i="2"/>
  <c r="O501" i="2"/>
  <c r="P501" i="2"/>
  <c r="O503" i="2"/>
  <c r="P503" i="2"/>
  <c r="O504" i="2"/>
  <c r="P504" i="2"/>
  <c r="O505" i="2"/>
  <c r="P505" i="2"/>
  <c r="O507" i="2"/>
  <c r="P507" i="2"/>
  <c r="O508" i="2"/>
  <c r="P508" i="2"/>
  <c r="O509" i="2"/>
  <c r="P509" i="2"/>
  <c r="O511" i="2"/>
  <c r="P511" i="2"/>
  <c r="O512" i="2"/>
  <c r="P512" i="2"/>
  <c r="O513" i="2"/>
  <c r="P513" i="2"/>
  <c r="O515" i="2"/>
  <c r="P515" i="2"/>
  <c r="O516" i="2"/>
  <c r="P516" i="2"/>
  <c r="O517" i="2"/>
  <c r="P517" i="2"/>
  <c r="O519" i="2"/>
  <c r="P519" i="2"/>
  <c r="O520" i="2"/>
  <c r="P520" i="2"/>
  <c r="O521" i="2"/>
  <c r="P521" i="2"/>
  <c r="O523" i="2"/>
  <c r="P523" i="2"/>
  <c r="O524" i="2"/>
  <c r="P524" i="2"/>
  <c r="O525" i="2"/>
  <c r="P525" i="2"/>
  <c r="O527" i="2"/>
  <c r="P527" i="2"/>
  <c r="O528" i="2"/>
  <c r="P528" i="2"/>
  <c r="O529" i="2"/>
  <c r="P529" i="2"/>
  <c r="O531" i="2"/>
  <c r="P531" i="2"/>
  <c r="O532" i="2"/>
  <c r="P532" i="2"/>
  <c r="O533" i="2"/>
  <c r="P533" i="2"/>
  <c r="O535" i="2"/>
  <c r="P535" i="2"/>
  <c r="O536" i="2"/>
  <c r="P536" i="2"/>
  <c r="O537" i="2"/>
  <c r="P537" i="2"/>
  <c r="O539" i="2"/>
  <c r="P539" i="2"/>
  <c r="O540" i="2"/>
  <c r="P540" i="2"/>
  <c r="O541" i="2"/>
  <c r="P541" i="2"/>
  <c r="O543" i="2"/>
  <c r="P543" i="2"/>
  <c r="O544" i="2"/>
  <c r="P544" i="2"/>
  <c r="O545" i="2"/>
  <c r="P545" i="2"/>
  <c r="O547" i="2"/>
  <c r="P547" i="2"/>
  <c r="O548" i="2"/>
  <c r="P548" i="2"/>
  <c r="O549" i="2"/>
  <c r="P549" i="2"/>
  <c r="O551" i="2"/>
  <c r="P551" i="2"/>
  <c r="O552" i="2"/>
  <c r="P552" i="2"/>
  <c r="O553" i="2"/>
  <c r="P553" i="2"/>
  <c r="O555" i="2"/>
  <c r="P555" i="2"/>
  <c r="O556" i="2"/>
  <c r="P556" i="2"/>
  <c r="O557" i="2"/>
  <c r="P557" i="2"/>
  <c r="O559" i="2"/>
  <c r="P559" i="2"/>
  <c r="O560" i="2"/>
  <c r="P560" i="2"/>
  <c r="O561" i="2"/>
  <c r="P561" i="2"/>
  <c r="O563" i="2"/>
  <c r="P563" i="2"/>
  <c r="O564" i="2"/>
  <c r="P564" i="2"/>
  <c r="O565" i="2"/>
  <c r="P565" i="2"/>
  <c r="O567" i="2"/>
  <c r="P567" i="2"/>
  <c r="O568" i="2"/>
  <c r="P568" i="2"/>
  <c r="O569" i="2"/>
  <c r="P569" i="2"/>
  <c r="O571" i="2"/>
  <c r="P571" i="2"/>
  <c r="O572" i="2"/>
  <c r="P572" i="2"/>
  <c r="O573" i="2"/>
  <c r="P573" i="2"/>
  <c r="O575" i="2"/>
  <c r="P575" i="2"/>
  <c r="O576" i="2"/>
  <c r="P576" i="2"/>
  <c r="O577" i="2"/>
  <c r="P577" i="2"/>
  <c r="O579" i="2"/>
  <c r="P579" i="2"/>
  <c r="O580" i="2"/>
  <c r="P580" i="2"/>
  <c r="O581" i="2"/>
  <c r="P581" i="2"/>
  <c r="O583" i="2"/>
  <c r="P583" i="2"/>
  <c r="O584" i="2"/>
  <c r="P584" i="2"/>
  <c r="O585" i="2"/>
  <c r="P585" i="2"/>
  <c r="O587" i="2"/>
  <c r="P587" i="2"/>
  <c r="O588" i="2"/>
  <c r="P588" i="2"/>
  <c r="O589" i="2"/>
  <c r="P589" i="2"/>
  <c r="O591" i="2"/>
  <c r="P591" i="2"/>
  <c r="O592" i="2"/>
  <c r="P592" i="2"/>
  <c r="O593" i="2"/>
  <c r="P593" i="2"/>
  <c r="O595" i="2"/>
  <c r="P595" i="2"/>
  <c r="O596" i="2"/>
  <c r="P596" i="2"/>
  <c r="O597" i="2"/>
  <c r="P597" i="2"/>
  <c r="O599" i="2"/>
  <c r="P599" i="2"/>
  <c r="O600" i="2"/>
  <c r="P600" i="2"/>
  <c r="O601" i="2"/>
  <c r="P601" i="2"/>
  <c r="O603" i="2"/>
  <c r="P603" i="2"/>
  <c r="O604" i="2"/>
  <c r="P604" i="2"/>
  <c r="O605" i="2"/>
  <c r="P605" i="2"/>
  <c r="O607" i="2"/>
  <c r="P607" i="2"/>
  <c r="O608" i="2"/>
  <c r="P608" i="2"/>
  <c r="O609" i="2"/>
  <c r="P609" i="2"/>
  <c r="O611" i="2"/>
  <c r="P611" i="2"/>
  <c r="O612" i="2"/>
  <c r="P612" i="2"/>
  <c r="O613" i="2"/>
  <c r="P613" i="2"/>
  <c r="O615" i="2"/>
  <c r="P615" i="2"/>
  <c r="O616" i="2"/>
  <c r="P616" i="2"/>
  <c r="O617" i="2"/>
  <c r="P617" i="2"/>
  <c r="O619" i="2"/>
  <c r="P619" i="2"/>
  <c r="O620" i="2"/>
  <c r="P620" i="2"/>
  <c r="O621" i="2"/>
  <c r="P621" i="2"/>
  <c r="O623" i="2"/>
  <c r="P623" i="2"/>
  <c r="O624" i="2"/>
  <c r="P624" i="2"/>
  <c r="O625" i="2"/>
  <c r="P625" i="2"/>
  <c r="O627" i="2"/>
  <c r="P627" i="2"/>
  <c r="O628" i="2"/>
  <c r="P628" i="2"/>
  <c r="O629" i="2"/>
  <c r="P629" i="2"/>
  <c r="O631" i="2"/>
  <c r="P631" i="2"/>
  <c r="O632" i="2"/>
  <c r="P632" i="2"/>
  <c r="O633" i="2"/>
  <c r="P633" i="2"/>
  <c r="O635" i="2"/>
  <c r="P635" i="2"/>
  <c r="O636" i="2"/>
  <c r="P636" i="2"/>
  <c r="O637" i="2"/>
  <c r="P637" i="2"/>
  <c r="O639" i="2"/>
  <c r="P639" i="2"/>
  <c r="O640" i="2"/>
  <c r="P640" i="2"/>
  <c r="O641" i="2"/>
  <c r="P641" i="2"/>
  <c r="O643" i="2"/>
  <c r="P643" i="2"/>
  <c r="O644" i="2"/>
  <c r="P644" i="2"/>
  <c r="O645" i="2"/>
  <c r="P645" i="2"/>
  <c r="O647" i="2"/>
  <c r="P647" i="2"/>
  <c r="O648" i="2"/>
  <c r="P648" i="2"/>
  <c r="O649" i="2"/>
  <c r="P649" i="2"/>
  <c r="O651" i="2"/>
  <c r="P651" i="2"/>
  <c r="O652" i="2"/>
  <c r="P652" i="2"/>
  <c r="O653" i="2"/>
  <c r="P653" i="2"/>
  <c r="O655" i="2"/>
  <c r="P655" i="2"/>
  <c r="O656" i="2"/>
  <c r="P656" i="2"/>
  <c r="O657" i="2"/>
  <c r="P657" i="2"/>
  <c r="O659" i="2"/>
  <c r="P659" i="2"/>
  <c r="O660" i="2"/>
  <c r="P660" i="2"/>
  <c r="O661" i="2"/>
  <c r="P661" i="2"/>
  <c r="O663" i="2"/>
  <c r="P663" i="2"/>
  <c r="O664" i="2"/>
  <c r="P664" i="2"/>
  <c r="O665" i="2"/>
  <c r="P665" i="2"/>
  <c r="O667" i="2"/>
  <c r="P667" i="2"/>
  <c r="O668" i="2"/>
  <c r="P668" i="2"/>
  <c r="O669" i="2"/>
  <c r="P669" i="2"/>
  <c r="O671" i="2"/>
  <c r="P671" i="2"/>
  <c r="O672" i="2"/>
  <c r="P672" i="2"/>
  <c r="O673" i="2"/>
  <c r="P673" i="2"/>
  <c r="O675" i="2"/>
  <c r="P675" i="2"/>
  <c r="O676" i="2"/>
  <c r="P676" i="2"/>
  <c r="O677" i="2"/>
  <c r="P677" i="2"/>
  <c r="O679" i="2"/>
  <c r="P679" i="2"/>
  <c r="O680" i="2"/>
  <c r="P680" i="2"/>
  <c r="O681" i="2"/>
  <c r="P681" i="2"/>
  <c r="O683" i="2"/>
  <c r="P683" i="2"/>
  <c r="O684" i="2"/>
  <c r="P684" i="2"/>
  <c r="O685" i="2"/>
  <c r="P685" i="2"/>
  <c r="O687" i="2"/>
  <c r="P687" i="2"/>
  <c r="O688" i="2"/>
  <c r="P688" i="2"/>
  <c r="O689" i="2"/>
  <c r="P689" i="2"/>
  <c r="O691" i="2"/>
  <c r="P691" i="2"/>
  <c r="O692" i="2"/>
  <c r="P692" i="2"/>
  <c r="O693" i="2"/>
  <c r="P693" i="2"/>
  <c r="O695" i="2"/>
  <c r="P695" i="2"/>
  <c r="O696" i="2"/>
  <c r="P696" i="2"/>
  <c r="O697" i="2"/>
  <c r="P697" i="2"/>
  <c r="O699" i="2"/>
  <c r="P699" i="2"/>
  <c r="O700" i="2"/>
  <c r="P700" i="2"/>
  <c r="O701" i="2"/>
  <c r="P701" i="2"/>
  <c r="O703" i="2"/>
  <c r="P703" i="2"/>
  <c r="O704" i="2"/>
  <c r="P704" i="2"/>
  <c r="O705" i="2"/>
  <c r="P705" i="2"/>
  <c r="O707" i="2"/>
  <c r="P707" i="2"/>
  <c r="O708" i="2"/>
  <c r="P708" i="2"/>
  <c r="O709" i="2"/>
  <c r="P709" i="2"/>
  <c r="O711" i="2"/>
  <c r="P711" i="2"/>
  <c r="O712" i="2"/>
  <c r="P712" i="2"/>
  <c r="O713" i="2"/>
  <c r="P713" i="2"/>
  <c r="O715" i="2"/>
  <c r="P715" i="2"/>
  <c r="O716" i="2"/>
  <c r="P716" i="2"/>
  <c r="O717" i="2"/>
  <c r="P717" i="2"/>
  <c r="O719" i="2"/>
  <c r="P719" i="2"/>
  <c r="O720" i="2"/>
  <c r="P720" i="2"/>
  <c r="O721" i="2"/>
  <c r="P721" i="2"/>
  <c r="O723" i="2"/>
  <c r="P723" i="2"/>
  <c r="O724" i="2"/>
  <c r="P724" i="2"/>
  <c r="O725" i="2"/>
  <c r="P725" i="2"/>
  <c r="O727" i="2"/>
  <c r="P727" i="2"/>
  <c r="O728" i="2"/>
  <c r="P728" i="2"/>
  <c r="O729" i="2"/>
  <c r="P729" i="2"/>
  <c r="O731" i="2"/>
  <c r="P731" i="2"/>
  <c r="O732" i="2"/>
  <c r="P732" i="2"/>
  <c r="O733" i="2"/>
  <c r="P733" i="2"/>
  <c r="O735" i="2"/>
  <c r="P735" i="2"/>
  <c r="O736" i="2"/>
  <c r="P736" i="2"/>
  <c r="O737" i="2"/>
  <c r="P737" i="2"/>
  <c r="O739" i="2"/>
  <c r="P739" i="2"/>
  <c r="O740" i="2"/>
  <c r="P740" i="2"/>
  <c r="O741" i="2"/>
  <c r="P741" i="2"/>
  <c r="O743" i="2"/>
  <c r="P743" i="2"/>
  <c r="O744" i="2"/>
  <c r="P744" i="2"/>
  <c r="O745" i="2"/>
  <c r="P745" i="2"/>
  <c r="O747" i="2"/>
  <c r="P747" i="2"/>
  <c r="O748" i="2"/>
  <c r="P748" i="2"/>
  <c r="O749" i="2"/>
  <c r="P749" i="2"/>
  <c r="O751" i="2"/>
  <c r="P751" i="2"/>
  <c r="O752" i="2"/>
  <c r="P752" i="2"/>
  <c r="O753" i="2"/>
  <c r="P753" i="2"/>
  <c r="O755" i="2"/>
  <c r="P755" i="2"/>
  <c r="O756" i="2"/>
  <c r="P756" i="2"/>
  <c r="O757" i="2"/>
  <c r="P757" i="2"/>
  <c r="O759" i="2"/>
  <c r="P759" i="2"/>
  <c r="O760" i="2"/>
  <c r="P760" i="2"/>
  <c r="O761" i="2"/>
  <c r="P761" i="2"/>
  <c r="O763" i="2"/>
  <c r="P763" i="2"/>
  <c r="O764" i="2"/>
  <c r="P764" i="2"/>
  <c r="O765" i="2"/>
  <c r="P765" i="2"/>
  <c r="O767" i="2"/>
  <c r="P767" i="2"/>
  <c r="O768" i="2"/>
  <c r="P768" i="2"/>
  <c r="O769" i="2"/>
  <c r="P769" i="2"/>
  <c r="O771" i="2"/>
  <c r="P771" i="2"/>
  <c r="O772" i="2"/>
  <c r="P772" i="2"/>
  <c r="O773" i="2"/>
  <c r="P773" i="2"/>
  <c r="O775" i="2"/>
  <c r="P775" i="2"/>
  <c r="O776" i="2"/>
  <c r="P776" i="2"/>
  <c r="O777" i="2"/>
  <c r="P777" i="2"/>
  <c r="O779" i="2"/>
  <c r="P779" i="2"/>
  <c r="O780" i="2"/>
  <c r="P780" i="2"/>
  <c r="O781" i="2"/>
  <c r="P781" i="2"/>
  <c r="O783" i="2"/>
  <c r="P783" i="2"/>
  <c r="O784" i="2"/>
  <c r="P784" i="2"/>
  <c r="O785" i="2"/>
  <c r="P785" i="2"/>
  <c r="O787" i="2"/>
  <c r="P787" i="2"/>
  <c r="O788" i="2"/>
  <c r="P788" i="2"/>
  <c r="O789" i="2"/>
  <c r="P789" i="2"/>
  <c r="O791" i="2"/>
  <c r="P791" i="2"/>
  <c r="O792" i="2"/>
  <c r="P792" i="2"/>
  <c r="O793" i="2"/>
  <c r="P793" i="2"/>
  <c r="O795" i="2"/>
  <c r="P795" i="2"/>
  <c r="O796" i="2"/>
  <c r="P796" i="2"/>
  <c r="O797" i="2"/>
  <c r="P797" i="2"/>
  <c r="O799" i="2"/>
  <c r="P799" i="2"/>
  <c r="O800" i="2"/>
  <c r="P800" i="2"/>
  <c r="O801" i="2"/>
  <c r="P801" i="2"/>
  <c r="O803" i="2"/>
  <c r="P803" i="2"/>
  <c r="O804" i="2"/>
  <c r="P804" i="2"/>
  <c r="O805" i="2"/>
  <c r="P805" i="2"/>
  <c r="O807" i="2"/>
  <c r="P807" i="2"/>
  <c r="O808" i="2"/>
  <c r="P808" i="2"/>
  <c r="O809" i="2"/>
  <c r="P809" i="2"/>
  <c r="O811" i="2"/>
  <c r="P811" i="2"/>
  <c r="O812" i="2"/>
  <c r="P812" i="2"/>
  <c r="O813" i="2"/>
  <c r="P813" i="2"/>
  <c r="O815" i="2"/>
  <c r="P815" i="2"/>
  <c r="O816" i="2"/>
  <c r="P816" i="2"/>
  <c r="O817" i="2"/>
  <c r="P817" i="2"/>
  <c r="O819" i="2"/>
  <c r="P819" i="2"/>
  <c r="O820" i="2"/>
  <c r="P820" i="2"/>
  <c r="O821" i="2"/>
  <c r="P821" i="2"/>
  <c r="O823" i="2"/>
  <c r="P823" i="2"/>
  <c r="O824" i="2"/>
  <c r="P824" i="2"/>
  <c r="O825" i="2"/>
  <c r="P825" i="2"/>
  <c r="O827" i="2"/>
  <c r="P827" i="2"/>
  <c r="O828" i="2"/>
  <c r="P828" i="2"/>
  <c r="O829" i="2"/>
  <c r="P829" i="2"/>
  <c r="O831" i="2"/>
  <c r="P831" i="2"/>
  <c r="O832" i="2"/>
  <c r="P832" i="2"/>
  <c r="O833" i="2"/>
  <c r="P833" i="2"/>
  <c r="O835" i="2"/>
  <c r="P835" i="2"/>
  <c r="O836" i="2"/>
  <c r="P836" i="2"/>
  <c r="O837" i="2"/>
  <c r="P837" i="2"/>
  <c r="O839" i="2"/>
  <c r="P839" i="2"/>
  <c r="O840" i="2"/>
  <c r="P840" i="2"/>
  <c r="O841" i="2"/>
  <c r="P841" i="2"/>
  <c r="O843" i="2"/>
  <c r="P843" i="2"/>
  <c r="O844" i="2"/>
  <c r="P844" i="2"/>
  <c r="O845" i="2"/>
  <c r="P845" i="2"/>
  <c r="O847" i="2"/>
  <c r="P847" i="2"/>
  <c r="O848" i="2"/>
  <c r="P848" i="2"/>
  <c r="O849" i="2"/>
  <c r="P849" i="2"/>
  <c r="O851" i="2"/>
  <c r="P851" i="2"/>
  <c r="O852" i="2"/>
  <c r="P852" i="2"/>
  <c r="O853" i="2"/>
  <c r="P853" i="2"/>
  <c r="O855" i="2"/>
  <c r="P855" i="2"/>
  <c r="O856" i="2"/>
  <c r="P856" i="2"/>
  <c r="O857" i="2"/>
  <c r="P857" i="2"/>
  <c r="O859" i="2"/>
  <c r="P859" i="2"/>
  <c r="O860" i="2"/>
  <c r="P860" i="2"/>
  <c r="O861" i="2"/>
  <c r="P861" i="2"/>
  <c r="O863" i="2"/>
  <c r="P863" i="2"/>
  <c r="O864" i="2"/>
  <c r="P864" i="2"/>
  <c r="O865" i="2"/>
  <c r="P865" i="2"/>
  <c r="O867" i="2"/>
  <c r="P867" i="2"/>
  <c r="O868" i="2"/>
  <c r="P868" i="2"/>
  <c r="O869" i="2"/>
  <c r="P869" i="2"/>
  <c r="O871" i="2"/>
  <c r="P871" i="2"/>
  <c r="O872" i="2"/>
  <c r="P872" i="2"/>
  <c r="O873" i="2"/>
  <c r="P873" i="2"/>
  <c r="O875" i="2"/>
  <c r="P875" i="2"/>
  <c r="O876" i="2"/>
  <c r="P876" i="2"/>
  <c r="O877" i="2"/>
  <c r="P877" i="2"/>
  <c r="O879" i="2"/>
  <c r="P879" i="2"/>
  <c r="O880" i="2"/>
  <c r="P880" i="2"/>
  <c r="O881" i="2"/>
  <c r="P881" i="2"/>
  <c r="O883" i="2"/>
  <c r="P883" i="2"/>
  <c r="O884" i="2"/>
  <c r="P884" i="2"/>
  <c r="O885" i="2"/>
  <c r="P885" i="2"/>
  <c r="O887" i="2"/>
  <c r="P887" i="2"/>
  <c r="O888" i="2"/>
  <c r="P888" i="2"/>
  <c r="O889" i="2"/>
  <c r="P889" i="2"/>
  <c r="O891" i="2"/>
  <c r="P891" i="2"/>
  <c r="O892" i="2"/>
  <c r="P892" i="2"/>
  <c r="O893" i="2"/>
  <c r="P893" i="2"/>
  <c r="O895" i="2"/>
  <c r="P895" i="2"/>
  <c r="O896" i="2"/>
  <c r="P896" i="2"/>
  <c r="O897" i="2"/>
  <c r="P897" i="2"/>
  <c r="O899" i="2"/>
  <c r="P899" i="2"/>
  <c r="O900" i="2"/>
  <c r="P900" i="2"/>
  <c r="O901" i="2"/>
  <c r="P901" i="2"/>
  <c r="O903" i="2"/>
  <c r="P903" i="2"/>
  <c r="O904" i="2"/>
  <c r="P904" i="2"/>
  <c r="O905" i="2"/>
  <c r="P905" i="2"/>
  <c r="O907" i="2"/>
  <c r="P907" i="2"/>
  <c r="O908" i="2"/>
  <c r="P908" i="2"/>
  <c r="O909" i="2"/>
  <c r="P909" i="2"/>
  <c r="O911" i="2"/>
  <c r="P911" i="2"/>
  <c r="O912" i="2"/>
  <c r="P912" i="2"/>
  <c r="O913" i="2"/>
  <c r="P913" i="2"/>
  <c r="O915" i="2"/>
  <c r="P915" i="2"/>
  <c r="O916" i="2"/>
  <c r="P916" i="2"/>
  <c r="O917" i="2"/>
  <c r="P917" i="2"/>
  <c r="O919" i="2"/>
  <c r="P919" i="2"/>
  <c r="O920" i="2"/>
  <c r="P920" i="2"/>
  <c r="O921" i="2"/>
  <c r="P921" i="2"/>
  <c r="O923" i="2"/>
  <c r="P923" i="2"/>
  <c r="O924" i="2"/>
  <c r="P924" i="2"/>
  <c r="O925" i="2"/>
  <c r="P925" i="2"/>
  <c r="O927" i="2"/>
  <c r="P927" i="2"/>
  <c r="O928" i="2"/>
  <c r="P928" i="2"/>
  <c r="O929" i="2"/>
  <c r="P929" i="2"/>
  <c r="O931" i="2"/>
  <c r="P931" i="2"/>
  <c r="O932" i="2"/>
  <c r="P932" i="2"/>
  <c r="O933" i="2"/>
  <c r="P933" i="2"/>
  <c r="O935" i="2"/>
  <c r="P935" i="2"/>
  <c r="O936" i="2"/>
  <c r="P936" i="2"/>
  <c r="O937" i="2"/>
  <c r="P937" i="2"/>
  <c r="O939" i="2"/>
  <c r="P939" i="2"/>
  <c r="O940" i="2"/>
  <c r="P940" i="2"/>
  <c r="O941" i="2"/>
  <c r="P941" i="2"/>
  <c r="O943" i="2"/>
  <c r="P943" i="2"/>
  <c r="O944" i="2"/>
  <c r="P944" i="2"/>
  <c r="O945" i="2"/>
  <c r="P945" i="2"/>
  <c r="O947" i="2"/>
  <c r="P947" i="2"/>
  <c r="O948" i="2"/>
  <c r="P948" i="2"/>
  <c r="O949" i="2"/>
  <c r="P949" i="2"/>
  <c r="O951" i="2"/>
  <c r="P951" i="2"/>
  <c r="O952" i="2"/>
  <c r="P952" i="2"/>
  <c r="O953" i="2"/>
  <c r="P953" i="2"/>
  <c r="O955" i="2"/>
  <c r="P955" i="2"/>
  <c r="O956" i="2"/>
  <c r="P956" i="2"/>
  <c r="O957" i="2"/>
  <c r="P957" i="2"/>
  <c r="O959" i="2"/>
  <c r="P959" i="2"/>
  <c r="O960" i="2"/>
  <c r="P960" i="2"/>
  <c r="O961" i="2"/>
  <c r="P961" i="2"/>
  <c r="O963" i="2"/>
  <c r="P963" i="2"/>
  <c r="O964" i="2"/>
  <c r="P964" i="2"/>
  <c r="O965" i="2"/>
  <c r="P965" i="2"/>
  <c r="O967" i="2"/>
  <c r="P967" i="2"/>
  <c r="O968" i="2"/>
  <c r="P968" i="2"/>
  <c r="O969" i="2"/>
  <c r="P969" i="2"/>
  <c r="O971" i="2"/>
  <c r="P971" i="2"/>
  <c r="O972" i="2"/>
  <c r="P972" i="2"/>
  <c r="O973" i="2"/>
  <c r="P973" i="2"/>
  <c r="O975" i="2"/>
  <c r="P975" i="2"/>
  <c r="O976" i="2"/>
  <c r="P976" i="2"/>
  <c r="O977" i="2"/>
  <c r="P977" i="2"/>
  <c r="O979" i="2"/>
  <c r="P979" i="2"/>
  <c r="O980" i="2"/>
  <c r="P980" i="2"/>
  <c r="O981" i="2"/>
  <c r="P981" i="2"/>
  <c r="O983" i="2"/>
  <c r="P983" i="2"/>
  <c r="O984" i="2"/>
  <c r="P984" i="2"/>
  <c r="O985" i="2"/>
  <c r="P985" i="2"/>
  <c r="O987" i="2"/>
  <c r="P987" i="2"/>
  <c r="O988" i="2"/>
  <c r="P988" i="2"/>
  <c r="O989" i="2"/>
  <c r="P989" i="2"/>
  <c r="O991" i="2"/>
  <c r="P991" i="2"/>
  <c r="O992" i="2"/>
  <c r="P992" i="2"/>
  <c r="O993" i="2"/>
  <c r="P993" i="2"/>
  <c r="O995" i="2"/>
  <c r="P995" i="2"/>
  <c r="O996" i="2"/>
  <c r="P996" i="2"/>
  <c r="O997" i="2"/>
  <c r="P997" i="2"/>
  <c r="O999" i="2"/>
  <c r="P999" i="2"/>
  <c r="O1000" i="2"/>
  <c r="P1000" i="2"/>
  <c r="O1001" i="2"/>
  <c r="P1001" i="2"/>
  <c r="O1003" i="2"/>
  <c r="P1003" i="2"/>
  <c r="O1004" i="2"/>
  <c r="P1004" i="2"/>
  <c r="O1005" i="2"/>
  <c r="P1005" i="2"/>
  <c r="O1007" i="2"/>
  <c r="P1007" i="2"/>
  <c r="O1008" i="2"/>
  <c r="P1008" i="2"/>
  <c r="O1009" i="2"/>
  <c r="P1009" i="2"/>
  <c r="O1011" i="2"/>
  <c r="P1011" i="2"/>
  <c r="O1012" i="2"/>
  <c r="P1012" i="2"/>
  <c r="O1013" i="2"/>
  <c r="P1013" i="2"/>
  <c r="O1015" i="2"/>
  <c r="P1015" i="2"/>
  <c r="O1016" i="2"/>
  <c r="P1016" i="2"/>
  <c r="O1017" i="2"/>
  <c r="P1017" i="2"/>
  <c r="O1019" i="2"/>
  <c r="P1019" i="2"/>
  <c r="O1020" i="2"/>
  <c r="P1020" i="2"/>
  <c r="O1021" i="2"/>
  <c r="P1021" i="2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D25" i="2" l="1"/>
  <c r="D26" i="2"/>
  <c r="D23" i="2"/>
  <c r="E987" i="2"/>
  <c r="F429" i="2"/>
  <c r="E426" i="2"/>
  <c r="E429" i="2"/>
  <c r="D942" i="2"/>
  <c r="N942" i="2" s="1"/>
  <c r="T942" i="2" s="1"/>
  <c r="D296" i="2"/>
  <c r="R296" i="2" s="1"/>
  <c r="D899" i="2"/>
  <c r="G899" i="2" s="1"/>
  <c r="T899" i="2" s="1"/>
  <c r="D295" i="2"/>
  <c r="M295" i="2" s="1"/>
  <c r="F918" i="2"/>
  <c r="D759" i="2"/>
  <c r="N759" i="2" s="1"/>
  <c r="D161" i="2"/>
  <c r="Q161" i="2" s="1"/>
  <c r="E910" i="2"/>
  <c r="D747" i="2"/>
  <c r="M747" i="2" s="1"/>
  <c r="D146" i="2"/>
  <c r="N146" i="2" s="1"/>
  <c r="T146" i="2" s="1"/>
  <c r="F887" i="2"/>
  <c r="D746" i="2"/>
  <c r="H746" i="2" s="1"/>
  <c r="D142" i="2"/>
  <c r="I142" i="2" s="1"/>
  <c r="E749" i="2"/>
  <c r="D744" i="2"/>
  <c r="M744" i="2" s="1"/>
  <c r="D118" i="2"/>
  <c r="H118" i="2" s="1"/>
  <c r="E743" i="2"/>
  <c r="D1129" i="2"/>
  <c r="M1129" i="2" s="1"/>
  <c r="D526" i="2"/>
  <c r="P526" i="2" s="1"/>
  <c r="D6" i="2"/>
  <c r="F724" i="2"/>
  <c r="D1082" i="2"/>
  <c r="G1082" i="2" s="1"/>
  <c r="D523" i="2"/>
  <c r="G523" i="2" s="1"/>
  <c r="T523" i="2" s="1"/>
  <c r="D5" i="2"/>
  <c r="F664" i="2"/>
  <c r="D1073" i="2"/>
  <c r="M1073" i="2" s="1"/>
  <c r="D522" i="2"/>
  <c r="M522" i="2" s="1"/>
  <c r="F1108" i="2"/>
  <c r="F455" i="2"/>
  <c r="D1067" i="2"/>
  <c r="D521" i="2"/>
  <c r="H521" i="2" s="1"/>
  <c r="E1098" i="2"/>
  <c r="D962" i="2"/>
  <c r="G962" i="2" s="1"/>
  <c r="D389" i="2"/>
  <c r="N389" i="2" s="1"/>
  <c r="F1088" i="2"/>
  <c r="D958" i="2"/>
  <c r="Q958" i="2" s="1"/>
  <c r="D372" i="2"/>
  <c r="H372" i="2" s="1"/>
  <c r="E1071" i="2"/>
  <c r="R759" i="2"/>
  <c r="G759" i="2"/>
  <c r="T759" i="2" s="1"/>
  <c r="I759" i="2"/>
  <c r="R161" i="2"/>
  <c r="H161" i="2"/>
  <c r="Q747" i="2"/>
  <c r="I146" i="2"/>
  <c r="E150" i="2"/>
  <c r="F546" i="2"/>
  <c r="F673" i="2"/>
  <c r="F823" i="2"/>
  <c r="E939" i="2"/>
  <c r="E1046" i="2"/>
  <c r="F1133" i="2"/>
  <c r="D107" i="2"/>
  <c r="D219" i="2"/>
  <c r="D349" i="2"/>
  <c r="D464" i="2"/>
  <c r="D694" i="2"/>
  <c r="D814" i="2"/>
  <c r="D903" i="2"/>
  <c r="D1095" i="2"/>
  <c r="E1044" i="2"/>
  <c r="E1132" i="2"/>
  <c r="D88" i="2"/>
  <c r="D218" i="2"/>
  <c r="D338" i="2"/>
  <c r="D452" i="2"/>
  <c r="D574" i="2"/>
  <c r="D692" i="2"/>
  <c r="D809" i="2"/>
  <c r="D901" i="2"/>
  <c r="D1010" i="2"/>
  <c r="D1093" i="2"/>
  <c r="E341" i="2"/>
  <c r="D594" i="2"/>
  <c r="D1015" i="2"/>
  <c r="E158" i="2"/>
  <c r="F370" i="2"/>
  <c r="F549" i="2"/>
  <c r="E701" i="2"/>
  <c r="E827" i="2"/>
  <c r="E959" i="2"/>
  <c r="E1061" i="2"/>
  <c r="F1137" i="2"/>
  <c r="D113" i="2"/>
  <c r="D238" i="2"/>
  <c r="D351" i="2"/>
  <c r="D470" i="2"/>
  <c r="D598" i="2"/>
  <c r="D704" i="2"/>
  <c r="D818" i="2"/>
  <c r="D927" i="2"/>
  <c r="D1019" i="2"/>
  <c r="D1109" i="2"/>
  <c r="D883" i="2"/>
  <c r="D520" i="2"/>
  <c r="D42" i="2"/>
  <c r="F425" i="2"/>
  <c r="D1044" i="2"/>
  <c r="D874" i="2"/>
  <c r="D690" i="2"/>
  <c r="D519" i="2"/>
  <c r="D290" i="2"/>
  <c r="D41" i="2"/>
  <c r="F1066" i="2"/>
  <c r="E329" i="2"/>
  <c r="G744" i="2"/>
  <c r="D1142" i="2"/>
  <c r="H1142" i="2" s="1"/>
  <c r="D1042" i="2"/>
  <c r="D857" i="2"/>
  <c r="D667" i="2"/>
  <c r="D504" i="2"/>
  <c r="D288" i="2"/>
  <c r="E1012" i="2"/>
  <c r="F859" i="2"/>
  <c r="F617" i="2"/>
  <c r="F291" i="2"/>
  <c r="D1141" i="2"/>
  <c r="R1141" i="2" s="1"/>
  <c r="D1039" i="2"/>
  <c r="D851" i="2"/>
  <c r="D653" i="2"/>
  <c r="D440" i="2"/>
  <c r="D271" i="2"/>
  <c r="D10" i="2"/>
  <c r="E1011" i="2"/>
  <c r="E850" i="2"/>
  <c r="E598" i="2"/>
  <c r="F267" i="2"/>
  <c r="D1140" i="2"/>
  <c r="D967" i="2"/>
  <c r="D847" i="2"/>
  <c r="D640" i="2"/>
  <c r="D427" i="2"/>
  <c r="D263" i="2"/>
  <c r="H6" i="2"/>
  <c r="O6" i="2"/>
  <c r="P6" i="2"/>
  <c r="M6" i="2"/>
  <c r="N6" i="2"/>
  <c r="T6" i="2" s="1"/>
  <c r="I6" i="2"/>
  <c r="R6" i="2"/>
  <c r="G6" i="2"/>
  <c r="F1010" i="2"/>
  <c r="E769" i="2"/>
  <c r="F596" i="2"/>
  <c r="E255" i="2"/>
  <c r="Q1067" i="2"/>
  <c r="G1067" i="2"/>
  <c r="T1067" i="2" s="1"/>
  <c r="N1067" i="2"/>
  <c r="M1067" i="2"/>
  <c r="H1067" i="2"/>
  <c r="I1067" i="2"/>
  <c r="I521" i="2"/>
  <c r="T521" i="2" s="1"/>
  <c r="Q521" i="2"/>
  <c r="R521" i="2"/>
  <c r="F881" i="2"/>
  <c r="F860" i="2"/>
  <c r="D1133" i="2"/>
  <c r="M1133" i="2" s="1"/>
  <c r="D622" i="2"/>
  <c r="D202" i="2"/>
  <c r="E577" i="2"/>
  <c r="E1123" i="2"/>
  <c r="D1132" i="2"/>
  <c r="D965" i="2"/>
  <c r="D767" i="2"/>
  <c r="D617" i="2"/>
  <c r="D394" i="2"/>
  <c r="D196" i="2"/>
  <c r="E1158" i="2"/>
  <c r="E995" i="2"/>
  <c r="E766" i="2"/>
  <c r="E482" i="2"/>
  <c r="E205" i="2"/>
  <c r="R295" i="2"/>
  <c r="Q295" i="2"/>
  <c r="N295" i="2"/>
  <c r="G295" i="2"/>
  <c r="T295" i="2" s="1"/>
  <c r="H295" i="2"/>
  <c r="I295" i="2"/>
  <c r="N118" i="2"/>
  <c r="T118" i="2" s="1"/>
  <c r="D1049" i="2"/>
  <c r="D739" i="2"/>
  <c r="D293" i="2"/>
  <c r="F1070" i="2"/>
  <c r="F658" i="2"/>
  <c r="H744" i="2"/>
  <c r="T744" i="2" s="1"/>
  <c r="I118" i="2"/>
  <c r="E634" i="2"/>
  <c r="Q899" i="2"/>
  <c r="D966" i="2"/>
  <c r="D826" i="2"/>
  <c r="D424" i="2"/>
  <c r="G5" i="2"/>
  <c r="H5" i="2"/>
  <c r="M5" i="2"/>
  <c r="R5" i="2"/>
  <c r="E997" i="2"/>
  <c r="F768" i="2"/>
  <c r="F205" i="2"/>
  <c r="D1131" i="2"/>
  <c r="M1131" i="2" s="1"/>
  <c r="D964" i="2"/>
  <c r="D764" i="2"/>
  <c r="D601" i="2"/>
  <c r="D390" i="2"/>
  <c r="D168" i="2"/>
  <c r="F1122" i="2"/>
  <c r="F990" i="2"/>
  <c r="F749" i="2"/>
  <c r="E477" i="2"/>
  <c r="E192" i="2"/>
  <c r="E4" i="2"/>
  <c r="E10" i="2"/>
  <c r="E16" i="2"/>
  <c r="E22" i="2"/>
  <c r="E28" i="2"/>
  <c r="E34" i="2"/>
  <c r="E40" i="2"/>
  <c r="E46" i="2"/>
  <c r="E52" i="2"/>
  <c r="E58" i="2"/>
  <c r="E64" i="2"/>
  <c r="E70" i="2"/>
  <c r="E76" i="2"/>
  <c r="E82" i="2"/>
  <c r="E88" i="2"/>
  <c r="E94" i="2"/>
  <c r="E100" i="2"/>
  <c r="E106" i="2"/>
  <c r="E112" i="2"/>
  <c r="E118" i="2"/>
  <c r="E124" i="2"/>
  <c r="E130" i="2"/>
  <c r="E136" i="2"/>
  <c r="E142" i="2"/>
  <c r="E148" i="2"/>
  <c r="E154" i="2"/>
  <c r="E160" i="2"/>
  <c r="E166" i="2"/>
  <c r="E172" i="2"/>
  <c r="E178" i="2"/>
  <c r="E184" i="2"/>
  <c r="E190" i="2"/>
  <c r="E196" i="2"/>
  <c r="E202" i="2"/>
  <c r="E208" i="2"/>
  <c r="E214" i="2"/>
  <c r="E220" i="2"/>
  <c r="E226" i="2"/>
  <c r="E232" i="2"/>
  <c r="E238" i="2"/>
  <c r="E244" i="2"/>
  <c r="E250" i="2"/>
  <c r="E256" i="2"/>
  <c r="E262" i="2"/>
  <c r="E268" i="2"/>
  <c r="E274" i="2"/>
  <c r="E280" i="2"/>
  <c r="E286" i="2"/>
  <c r="E292" i="2"/>
  <c r="E298" i="2"/>
  <c r="E304" i="2"/>
  <c r="E310" i="2"/>
  <c r="E316" i="2"/>
  <c r="E322" i="2"/>
  <c r="E328" i="2"/>
  <c r="E334" i="2"/>
  <c r="E340" i="2"/>
  <c r="E346" i="2"/>
  <c r="E352" i="2"/>
  <c r="E358" i="2"/>
  <c r="E364" i="2"/>
  <c r="E370" i="2"/>
  <c r="E376" i="2"/>
  <c r="E382" i="2"/>
  <c r="E388" i="2"/>
  <c r="E394" i="2"/>
  <c r="E400" i="2"/>
  <c r="E406" i="2"/>
  <c r="E412" i="2"/>
  <c r="E418" i="2"/>
  <c r="E424" i="2"/>
  <c r="E430" i="2"/>
  <c r="E436" i="2"/>
  <c r="E442" i="2"/>
  <c r="E448" i="2"/>
  <c r="E454" i="2"/>
  <c r="E460" i="2"/>
  <c r="E466" i="2"/>
  <c r="E472" i="2"/>
  <c r="E478" i="2"/>
  <c r="E484" i="2"/>
  <c r="E490" i="2"/>
  <c r="E496" i="2"/>
  <c r="E502" i="2"/>
  <c r="E508" i="2"/>
  <c r="F4" i="2"/>
  <c r="E11" i="2"/>
  <c r="F17" i="2"/>
  <c r="E24" i="2"/>
  <c r="F30" i="2"/>
  <c r="E37" i="2"/>
  <c r="F43" i="2"/>
  <c r="E50" i="2"/>
  <c r="F56" i="2"/>
  <c r="E63" i="2"/>
  <c r="F69" i="2"/>
  <c r="F76" i="2"/>
  <c r="E83" i="2"/>
  <c r="F89" i="2"/>
  <c r="E96" i="2"/>
  <c r="F102" i="2"/>
  <c r="E109" i="2"/>
  <c r="F115" i="2"/>
  <c r="E122" i="2"/>
  <c r="F128" i="2"/>
  <c r="E135" i="2"/>
  <c r="F141" i="2"/>
  <c r="F148" i="2"/>
  <c r="E155" i="2"/>
  <c r="F161" i="2"/>
  <c r="E168" i="2"/>
  <c r="F174" i="2"/>
  <c r="E181" i="2"/>
  <c r="F187" i="2"/>
  <c r="E194" i="2"/>
  <c r="F200" i="2"/>
  <c r="E207" i="2"/>
  <c r="E5" i="2"/>
  <c r="F11" i="2"/>
  <c r="E18" i="2"/>
  <c r="F24" i="2"/>
  <c r="E31" i="2"/>
  <c r="F37" i="2"/>
  <c r="E44" i="2"/>
  <c r="F50" i="2"/>
  <c r="E57" i="2"/>
  <c r="F63" i="2"/>
  <c r="F70" i="2"/>
  <c r="E77" i="2"/>
  <c r="F83" i="2"/>
  <c r="E90" i="2"/>
  <c r="F96" i="2"/>
  <c r="E103" i="2"/>
  <c r="F109" i="2"/>
  <c r="E116" i="2"/>
  <c r="F122" i="2"/>
  <c r="E129" i="2"/>
  <c r="F135" i="2"/>
  <c r="F142" i="2"/>
  <c r="E149" i="2"/>
  <c r="F155" i="2"/>
  <c r="E162" i="2"/>
  <c r="F168" i="2"/>
  <c r="E175" i="2"/>
  <c r="F181" i="2"/>
  <c r="E188" i="2"/>
  <c r="F194" i="2"/>
  <c r="E201" i="2"/>
  <c r="F207" i="2"/>
  <c r="F214" i="2"/>
  <c r="E221" i="2"/>
  <c r="F227" i="2"/>
  <c r="E234" i="2"/>
  <c r="F240" i="2"/>
  <c r="E247" i="2"/>
  <c r="F253" i="2"/>
  <c r="E260" i="2"/>
  <c r="F266" i="2"/>
  <c r="E273" i="2"/>
  <c r="F279" i="2"/>
  <c r="F286" i="2"/>
  <c r="E293" i="2"/>
  <c r="F299" i="2"/>
  <c r="E306" i="2"/>
  <c r="F312" i="2"/>
  <c r="E319" i="2"/>
  <c r="F325" i="2"/>
  <c r="E332" i="2"/>
  <c r="F338" i="2"/>
  <c r="E345" i="2"/>
  <c r="F351" i="2"/>
  <c r="F358" i="2"/>
  <c r="E365" i="2"/>
  <c r="F371" i="2"/>
  <c r="E378" i="2"/>
  <c r="F384" i="2"/>
  <c r="E391" i="2"/>
  <c r="F397" i="2"/>
  <c r="E404" i="2"/>
  <c r="F410" i="2"/>
  <c r="E417" i="2"/>
  <c r="F423" i="2"/>
  <c r="F430" i="2"/>
  <c r="E437" i="2"/>
  <c r="F443" i="2"/>
  <c r="E450" i="2"/>
  <c r="F456" i="2"/>
  <c r="E463" i="2"/>
  <c r="F469" i="2"/>
  <c r="E476" i="2"/>
  <c r="F482" i="2"/>
  <c r="E489" i="2"/>
  <c r="F495" i="2"/>
  <c r="F502" i="2"/>
  <c r="E509" i="2"/>
  <c r="E515" i="2"/>
  <c r="E521" i="2"/>
  <c r="E527" i="2"/>
  <c r="E533" i="2"/>
  <c r="E539" i="2"/>
  <c r="E545" i="2"/>
  <c r="E551" i="2"/>
  <c r="F5" i="2"/>
  <c r="E13" i="2"/>
  <c r="F20" i="2"/>
  <c r="F28" i="2"/>
  <c r="E36" i="2"/>
  <c r="F44" i="2"/>
  <c r="F52" i="2"/>
  <c r="E60" i="2"/>
  <c r="F67" i="2"/>
  <c r="E75" i="2"/>
  <c r="E84" i="2"/>
  <c r="F91" i="2"/>
  <c r="E99" i="2"/>
  <c r="E107" i="2"/>
  <c r="F114" i="2"/>
  <c r="E123" i="2"/>
  <c r="E131" i="2"/>
  <c r="F138" i="2"/>
  <c r="E146" i="2"/>
  <c r="F153" i="2"/>
  <c r="F162" i="2"/>
  <c r="E170" i="2"/>
  <c r="F177" i="2"/>
  <c r="F185" i="2"/>
  <c r="E193" i="2"/>
  <c r="F201" i="2"/>
  <c r="F209" i="2"/>
  <c r="F216" i="2"/>
  <c r="F223" i="2"/>
  <c r="F230" i="2"/>
  <c r="F237" i="2"/>
  <c r="E245" i="2"/>
  <c r="E252" i="2"/>
  <c r="E259" i="2"/>
  <c r="E266" i="2"/>
  <c r="F273" i="2"/>
  <c r="E281" i="2"/>
  <c r="E288" i="2"/>
  <c r="E295" i="2"/>
  <c r="E302" i="2"/>
  <c r="E309" i="2"/>
  <c r="F316" i="2"/>
  <c r="F323" i="2"/>
  <c r="F330" i="2"/>
  <c r="F337" i="2"/>
  <c r="F344" i="2"/>
  <c r="F352" i="2"/>
  <c r="F359" i="2"/>
  <c r="F366" i="2"/>
  <c r="F373" i="2"/>
  <c r="F380" i="2"/>
  <c r="F387" i="2"/>
  <c r="E395" i="2"/>
  <c r="E402" i="2"/>
  <c r="E409" i="2"/>
  <c r="E416" i="2"/>
  <c r="E423" i="2"/>
  <c r="E431" i="2"/>
  <c r="E438" i="2"/>
  <c r="E445" i="2"/>
  <c r="E452" i="2"/>
  <c r="E459" i="2"/>
  <c r="F466" i="2"/>
  <c r="F473" i="2"/>
  <c r="F480" i="2"/>
  <c r="F487" i="2"/>
  <c r="F494" i="2"/>
  <c r="F501" i="2"/>
  <c r="F509" i="2"/>
  <c r="E516" i="2"/>
  <c r="F522" i="2"/>
  <c r="E529" i="2"/>
  <c r="F535" i="2"/>
  <c r="E542" i="2"/>
  <c r="F548" i="2"/>
  <c r="E555" i="2"/>
  <c r="E561" i="2"/>
  <c r="E567" i="2"/>
  <c r="E573" i="2"/>
  <c r="E579" i="2"/>
  <c r="E585" i="2"/>
  <c r="E591" i="2"/>
  <c r="E597" i="2"/>
  <c r="E603" i="2"/>
  <c r="E609" i="2"/>
  <c r="E6" i="2"/>
  <c r="F13" i="2"/>
  <c r="E21" i="2"/>
  <c r="E29" i="2"/>
  <c r="F36" i="2"/>
  <c r="E45" i="2"/>
  <c r="E53" i="2"/>
  <c r="F60" i="2"/>
  <c r="E68" i="2"/>
  <c r="F75" i="2"/>
  <c r="F84" i="2"/>
  <c r="E92" i="2"/>
  <c r="F99" i="2"/>
  <c r="F107" i="2"/>
  <c r="E115" i="2"/>
  <c r="F123" i="2"/>
  <c r="F131" i="2"/>
  <c r="E139" i="2"/>
  <c r="F146" i="2"/>
  <c r="F154" i="2"/>
  <c r="E163" i="2"/>
  <c r="F170" i="2"/>
  <c r="F178" i="2"/>
  <c r="E186" i="2"/>
  <c r="F193" i="2"/>
  <c r="F202" i="2"/>
  <c r="E210" i="2"/>
  <c r="E217" i="2"/>
  <c r="E224" i="2"/>
  <c r="E231" i="2"/>
  <c r="F238" i="2"/>
  <c r="F245" i="2"/>
  <c r="F252" i="2"/>
  <c r="F259" i="2"/>
  <c r="E267" i="2"/>
  <c r="F274" i="2"/>
  <c r="F281" i="2"/>
  <c r="F288" i="2"/>
  <c r="F295" i="2"/>
  <c r="F302" i="2"/>
  <c r="F309" i="2"/>
  <c r="E317" i="2"/>
  <c r="E324" i="2"/>
  <c r="E331" i="2"/>
  <c r="E338" i="2"/>
  <c r="F345" i="2"/>
  <c r="E353" i="2"/>
  <c r="E360" i="2"/>
  <c r="E367" i="2"/>
  <c r="E374" i="2"/>
  <c r="E381" i="2"/>
  <c r="F388" i="2"/>
  <c r="F395" i="2"/>
  <c r="F402" i="2"/>
  <c r="F409" i="2"/>
  <c r="F416" i="2"/>
  <c r="F424" i="2"/>
  <c r="F431" i="2"/>
  <c r="F438" i="2"/>
  <c r="F445" i="2"/>
  <c r="F452" i="2"/>
  <c r="F459" i="2"/>
  <c r="E467" i="2"/>
  <c r="E474" i="2"/>
  <c r="E481" i="2"/>
  <c r="E488" i="2"/>
  <c r="E495" i="2"/>
  <c r="E503" i="2"/>
  <c r="E510" i="2"/>
  <c r="F516" i="2"/>
  <c r="E523" i="2"/>
  <c r="F529" i="2"/>
  <c r="E536" i="2"/>
  <c r="F542" i="2"/>
  <c r="E549" i="2"/>
  <c r="F555" i="2"/>
  <c r="F561" i="2"/>
  <c r="F567" i="2"/>
  <c r="F573" i="2"/>
  <c r="F579" i="2"/>
  <c r="F585" i="2"/>
  <c r="F591" i="2"/>
  <c r="F597" i="2"/>
  <c r="F603" i="2"/>
  <c r="F609" i="2"/>
  <c r="F615" i="2"/>
  <c r="F621" i="2"/>
  <c r="F627" i="2"/>
  <c r="F633" i="2"/>
  <c r="F639" i="2"/>
  <c r="F645" i="2"/>
  <c r="F651" i="2"/>
  <c r="F657" i="2"/>
  <c r="F663" i="2"/>
  <c r="F669" i="2"/>
  <c r="F675" i="2"/>
  <c r="F681" i="2"/>
  <c r="F687" i="2"/>
  <c r="F693" i="2"/>
  <c r="F699" i="2"/>
  <c r="F705" i="2"/>
  <c r="F711" i="2"/>
  <c r="F717" i="2"/>
  <c r="F723" i="2"/>
  <c r="F729" i="2"/>
  <c r="F735" i="2"/>
  <c r="F741" i="2"/>
  <c r="F747" i="2"/>
  <c r="F753" i="2"/>
  <c r="F759" i="2"/>
  <c r="F765" i="2"/>
  <c r="F771" i="2"/>
  <c r="F777" i="2"/>
  <c r="F783" i="2"/>
  <c r="F789" i="2"/>
  <c r="F795" i="2"/>
  <c r="F801" i="2"/>
  <c r="F807" i="2"/>
  <c r="F813" i="2"/>
  <c r="F819" i="2"/>
  <c r="F825" i="2"/>
  <c r="F831" i="2"/>
  <c r="F837" i="2"/>
  <c r="F843" i="2"/>
  <c r="F849" i="2"/>
  <c r="F855" i="2"/>
  <c r="F861" i="2"/>
  <c r="F867" i="2"/>
  <c r="F873" i="2"/>
  <c r="F879" i="2"/>
  <c r="F885" i="2"/>
  <c r="F891" i="2"/>
  <c r="F897" i="2"/>
  <c r="F903" i="2"/>
  <c r="F909" i="2"/>
  <c r="F915" i="2"/>
  <c r="F921" i="2"/>
  <c r="F927" i="2"/>
  <c r="F933" i="2"/>
  <c r="F939" i="2"/>
  <c r="F945" i="2"/>
  <c r="F951" i="2"/>
  <c r="F957" i="2"/>
  <c r="F963" i="2"/>
  <c r="F969" i="2"/>
  <c r="F975" i="2"/>
  <c r="F981" i="2"/>
  <c r="F987" i="2"/>
  <c r="F993" i="2"/>
  <c r="F999" i="2"/>
  <c r="F1005" i="2"/>
  <c r="F1011" i="2"/>
  <c r="F1017" i="2"/>
  <c r="F1023" i="2"/>
  <c r="F1029" i="2"/>
  <c r="F1035" i="2"/>
  <c r="F1041" i="2"/>
  <c r="F1047" i="2"/>
  <c r="F1053" i="2"/>
  <c r="F1059" i="2"/>
  <c r="F1065" i="2"/>
  <c r="F1071" i="2"/>
  <c r="F1077" i="2"/>
  <c r="F1083" i="2"/>
  <c r="F1089" i="2"/>
  <c r="F1095" i="2"/>
  <c r="F1101" i="2"/>
  <c r="F1107" i="2"/>
  <c r="F1113" i="2"/>
  <c r="F1119" i="2"/>
  <c r="F6" i="2"/>
  <c r="E15" i="2"/>
  <c r="E25" i="2"/>
  <c r="F33" i="2"/>
  <c r="F42" i="2"/>
  <c r="F53" i="2"/>
  <c r="E62" i="2"/>
  <c r="E72" i="2"/>
  <c r="F80" i="2"/>
  <c r="F90" i="2"/>
  <c r="F100" i="2"/>
  <c r="E110" i="2"/>
  <c r="E119" i="2"/>
  <c r="F127" i="2"/>
  <c r="F137" i="2"/>
  <c r="E147" i="2"/>
  <c r="E157" i="2"/>
  <c r="F165" i="2"/>
  <c r="F175" i="2"/>
  <c r="F184" i="2"/>
  <c r="E195" i="2"/>
  <c r="E204" i="2"/>
  <c r="F212" i="2"/>
  <c r="F221" i="2"/>
  <c r="F229" i="2"/>
  <c r="E239" i="2"/>
  <c r="F247" i="2"/>
  <c r="F255" i="2"/>
  <c r="E264" i="2"/>
  <c r="E272" i="2"/>
  <c r="E282" i="2"/>
  <c r="E290" i="2"/>
  <c r="F298" i="2"/>
  <c r="E307" i="2"/>
  <c r="E315" i="2"/>
  <c r="F324" i="2"/>
  <c r="E333" i="2"/>
  <c r="F341" i="2"/>
  <c r="F349" i="2"/>
  <c r="F357" i="2"/>
  <c r="F367" i="2"/>
  <c r="F375" i="2"/>
  <c r="E384" i="2"/>
  <c r="F392" i="2"/>
  <c r="E401" i="2"/>
  <c r="E410" i="2"/>
  <c r="E419" i="2"/>
  <c r="E427" i="2"/>
  <c r="E435" i="2"/>
  <c r="E444" i="2"/>
  <c r="E453" i="2"/>
  <c r="F461" i="2"/>
  <c r="E470" i="2"/>
  <c r="F478" i="2"/>
  <c r="F486" i="2"/>
  <c r="F496" i="2"/>
  <c r="F504" i="2"/>
  <c r="F512" i="2"/>
  <c r="E520" i="2"/>
  <c r="E528" i="2"/>
  <c r="F536" i="2"/>
  <c r="E544" i="2"/>
  <c r="E552" i="2"/>
  <c r="E559" i="2"/>
  <c r="E566" i="2"/>
  <c r="E574" i="2"/>
  <c r="E581" i="2"/>
  <c r="E588" i="2"/>
  <c r="E595" i="2"/>
  <c r="E602" i="2"/>
  <c r="E610" i="2"/>
  <c r="F616" i="2"/>
  <c r="E623" i="2"/>
  <c r="F629" i="2"/>
  <c r="E636" i="2"/>
  <c r="F642" i="2"/>
  <c r="E649" i="2"/>
  <c r="F655" i="2"/>
  <c r="E662" i="2"/>
  <c r="F668" i="2"/>
  <c r="E675" i="2"/>
  <c r="E682" i="2"/>
  <c r="F688" i="2"/>
  <c r="E695" i="2"/>
  <c r="F701" i="2"/>
  <c r="E708" i="2"/>
  <c r="F714" i="2"/>
  <c r="E721" i="2"/>
  <c r="F727" i="2"/>
  <c r="E734" i="2"/>
  <c r="F740" i="2"/>
  <c r="E747" i="2"/>
  <c r="E754" i="2"/>
  <c r="F760" i="2"/>
  <c r="E767" i="2"/>
  <c r="F773" i="2"/>
  <c r="E780" i="2"/>
  <c r="F786" i="2"/>
  <c r="E793" i="2"/>
  <c r="F799" i="2"/>
  <c r="E806" i="2"/>
  <c r="F812" i="2"/>
  <c r="E819" i="2"/>
  <c r="E826" i="2"/>
  <c r="F832" i="2"/>
  <c r="E839" i="2"/>
  <c r="F845" i="2"/>
  <c r="E852" i="2"/>
  <c r="F858" i="2"/>
  <c r="E865" i="2"/>
  <c r="F871" i="2"/>
  <c r="E878" i="2"/>
  <c r="F884" i="2"/>
  <c r="E891" i="2"/>
  <c r="E898" i="2"/>
  <c r="F904" i="2"/>
  <c r="E911" i="2"/>
  <c r="F917" i="2"/>
  <c r="E924" i="2"/>
  <c r="F930" i="2"/>
  <c r="E937" i="2"/>
  <c r="F943" i="2"/>
  <c r="E950" i="2"/>
  <c r="F956" i="2"/>
  <c r="E963" i="2"/>
  <c r="E970" i="2"/>
  <c r="F976" i="2"/>
  <c r="E983" i="2"/>
  <c r="F989" i="2"/>
  <c r="E996" i="2"/>
  <c r="F1002" i="2"/>
  <c r="E1009" i="2"/>
  <c r="F1015" i="2"/>
  <c r="E1022" i="2"/>
  <c r="F1028" i="2"/>
  <c r="E1035" i="2"/>
  <c r="E1042" i="2"/>
  <c r="F1048" i="2"/>
  <c r="E1055" i="2"/>
  <c r="F1061" i="2"/>
  <c r="E1068" i="2"/>
  <c r="F1074" i="2"/>
  <c r="E1081" i="2"/>
  <c r="F1087" i="2"/>
  <c r="E1094" i="2"/>
  <c r="F1100" i="2"/>
  <c r="E1107" i="2"/>
  <c r="E1114" i="2"/>
  <c r="F1120" i="2"/>
  <c r="F1126" i="2"/>
  <c r="F1132" i="2"/>
  <c r="F1138" i="2"/>
  <c r="F1144" i="2"/>
  <c r="F1150" i="2"/>
  <c r="F1156" i="2"/>
  <c r="D8" i="2"/>
  <c r="D20" i="2"/>
  <c r="D32" i="2"/>
  <c r="D44" i="2"/>
  <c r="D56" i="2"/>
  <c r="D68" i="2"/>
  <c r="D80" i="2"/>
  <c r="D92" i="2"/>
  <c r="D104" i="2"/>
  <c r="D116" i="2"/>
  <c r="D128" i="2"/>
  <c r="D140" i="2"/>
  <c r="D152" i="2"/>
  <c r="D164" i="2"/>
  <c r="D176" i="2"/>
  <c r="E7" i="2"/>
  <c r="F15" i="2"/>
  <c r="F25" i="2"/>
  <c r="F34" i="2"/>
  <c r="E43" i="2"/>
  <c r="E54" i="2"/>
  <c r="F62" i="2"/>
  <c r="F72" i="2"/>
  <c r="E81" i="2"/>
  <c r="E91" i="2"/>
  <c r="E101" i="2"/>
  <c r="F110" i="2"/>
  <c r="F119" i="2"/>
  <c r="E128" i="2"/>
  <c r="E138" i="2"/>
  <c r="F147" i="2"/>
  <c r="F157" i="2"/>
  <c r="F166" i="2"/>
  <c r="E176" i="2"/>
  <c r="E185" i="2"/>
  <c r="F195" i="2"/>
  <c r="F204" i="2"/>
  <c r="E213" i="2"/>
  <c r="E222" i="2"/>
  <c r="E230" i="2"/>
  <c r="F239" i="2"/>
  <c r="E248" i="2"/>
  <c r="F256" i="2"/>
  <c r="F264" i="2"/>
  <c r="F272" i="2"/>
  <c r="F282" i="2"/>
  <c r="F290" i="2"/>
  <c r="E299" i="2"/>
  <c r="F307" i="2"/>
  <c r="F315" i="2"/>
  <c r="E325" i="2"/>
  <c r="F333" i="2"/>
  <c r="E342" i="2"/>
  <c r="E350" i="2"/>
  <c r="E359" i="2"/>
  <c r="E368" i="2"/>
  <c r="F376" i="2"/>
  <c r="E385" i="2"/>
  <c r="E393" i="2"/>
  <c r="F401" i="2"/>
  <c r="E411" i="2"/>
  <c r="F419" i="2"/>
  <c r="F427" i="2"/>
  <c r="F435" i="2"/>
  <c r="F444" i="2"/>
  <c r="F453" i="2"/>
  <c r="E462" i="2"/>
  <c r="F470" i="2"/>
  <c r="E479" i="2"/>
  <c r="E487" i="2"/>
  <c r="E497" i="2"/>
  <c r="E505" i="2"/>
  <c r="E513" i="2"/>
  <c r="F520" i="2"/>
  <c r="F528" i="2"/>
  <c r="E537" i="2"/>
  <c r="F544" i="2"/>
  <c r="F552" i="2"/>
  <c r="F559" i="2"/>
  <c r="F566" i="2"/>
  <c r="F574" i="2"/>
  <c r="F581" i="2"/>
  <c r="F588" i="2"/>
  <c r="F595" i="2"/>
  <c r="F602" i="2"/>
  <c r="F610" i="2"/>
  <c r="E617" i="2"/>
  <c r="F623" i="2"/>
  <c r="E630" i="2"/>
  <c r="F636" i="2"/>
  <c r="E643" i="2"/>
  <c r="F649" i="2"/>
  <c r="E656" i="2"/>
  <c r="F662" i="2"/>
  <c r="E669" i="2"/>
  <c r="E676" i="2"/>
  <c r="F682" i="2"/>
  <c r="E689" i="2"/>
  <c r="F695" i="2"/>
  <c r="E702" i="2"/>
  <c r="F708" i="2"/>
  <c r="E715" i="2"/>
  <c r="F721" i="2"/>
  <c r="E728" i="2"/>
  <c r="F734" i="2"/>
  <c r="E741" i="2"/>
  <c r="E748" i="2"/>
  <c r="F754" i="2"/>
  <c r="E761" i="2"/>
  <c r="F767" i="2"/>
  <c r="E774" i="2"/>
  <c r="F780" i="2"/>
  <c r="E787" i="2"/>
  <c r="F793" i="2"/>
  <c r="E800" i="2"/>
  <c r="F806" i="2"/>
  <c r="E813" i="2"/>
  <c r="E820" i="2"/>
  <c r="F826" i="2"/>
  <c r="E833" i="2"/>
  <c r="F839" i="2"/>
  <c r="E846" i="2"/>
  <c r="F852" i="2"/>
  <c r="E859" i="2"/>
  <c r="F865" i="2"/>
  <c r="E872" i="2"/>
  <c r="F878" i="2"/>
  <c r="E885" i="2"/>
  <c r="E892" i="2"/>
  <c r="F898" i="2"/>
  <c r="E905" i="2"/>
  <c r="F911" i="2"/>
  <c r="E918" i="2"/>
  <c r="F924" i="2"/>
  <c r="E931" i="2"/>
  <c r="F937" i="2"/>
  <c r="E944" i="2"/>
  <c r="F950" i="2"/>
  <c r="E957" i="2"/>
  <c r="E964" i="2"/>
  <c r="F970" i="2"/>
  <c r="E977" i="2"/>
  <c r="F983" i="2"/>
  <c r="E990" i="2"/>
  <c r="F996" i="2"/>
  <c r="E1003" i="2"/>
  <c r="F1009" i="2"/>
  <c r="E1016" i="2"/>
  <c r="F1022" i="2"/>
  <c r="E1029" i="2"/>
  <c r="E1036" i="2"/>
  <c r="F1042" i="2"/>
  <c r="E1049" i="2"/>
  <c r="F1055" i="2"/>
  <c r="E1062" i="2"/>
  <c r="F1068" i="2"/>
  <c r="E1075" i="2"/>
  <c r="F1081" i="2"/>
  <c r="E1088" i="2"/>
  <c r="F1094" i="2"/>
  <c r="E1101" i="2"/>
  <c r="E1108" i="2"/>
  <c r="F1114" i="2"/>
  <c r="E1121" i="2"/>
  <c r="E1127" i="2"/>
  <c r="E1133" i="2"/>
  <c r="E1139" i="2"/>
  <c r="E1145" i="2"/>
  <c r="E1151" i="2"/>
  <c r="E1157" i="2"/>
  <c r="D9" i="2"/>
  <c r="D21" i="2"/>
  <c r="D33" i="2"/>
  <c r="D45" i="2"/>
  <c r="D57" i="2"/>
  <c r="D69" i="2"/>
  <c r="D81" i="2"/>
  <c r="D93" i="2"/>
  <c r="D105" i="2"/>
  <c r="D117" i="2"/>
  <c r="D129" i="2"/>
  <c r="D141" i="2"/>
  <c r="D153" i="2"/>
  <c r="D165" i="2"/>
  <c r="D177" i="2"/>
  <c r="D189" i="2"/>
  <c r="D201" i="2"/>
  <c r="D213" i="2"/>
  <c r="D225" i="2"/>
  <c r="D237" i="2"/>
  <c r="D249" i="2"/>
  <c r="D261" i="2"/>
  <c r="D273" i="2"/>
  <c r="D285" i="2"/>
  <c r="D297" i="2"/>
  <c r="D309" i="2"/>
  <c r="D321" i="2"/>
  <c r="D333" i="2"/>
  <c r="D345" i="2"/>
  <c r="D357" i="2"/>
  <c r="D369" i="2"/>
  <c r="D381" i="2"/>
  <c r="D393" i="2"/>
  <c r="D405" i="2"/>
  <c r="D417" i="2"/>
  <c r="D429" i="2"/>
  <c r="D441" i="2"/>
  <c r="D453" i="2"/>
  <c r="D465" i="2"/>
  <c r="D477" i="2"/>
  <c r="D489" i="2"/>
  <c r="D501" i="2"/>
  <c r="D513" i="2"/>
  <c r="D525" i="2"/>
  <c r="D537" i="2"/>
  <c r="D549" i="2"/>
  <c r="D561" i="2"/>
  <c r="D573" i="2"/>
  <c r="D585" i="2"/>
  <c r="D597" i="2"/>
  <c r="D609" i="2"/>
  <c r="D621" i="2"/>
  <c r="D633" i="2"/>
  <c r="D645" i="2"/>
  <c r="D657" i="2"/>
  <c r="D669" i="2"/>
  <c r="D681" i="2"/>
  <c r="D693" i="2"/>
  <c r="D705" i="2"/>
  <c r="D717" i="2"/>
  <c r="D729" i="2"/>
  <c r="D741" i="2"/>
  <c r="D753" i="2"/>
  <c r="D765" i="2"/>
  <c r="D777" i="2"/>
  <c r="D789" i="2"/>
  <c r="D801" i="2"/>
  <c r="D813" i="2"/>
  <c r="D825" i="2"/>
  <c r="D837" i="2"/>
  <c r="D849" i="2"/>
  <c r="D861" i="2"/>
  <c r="D873" i="2"/>
  <c r="D885" i="2"/>
  <c r="D897" i="2"/>
  <c r="D909" i="2"/>
  <c r="D921" i="2"/>
  <c r="D933" i="2"/>
  <c r="D945" i="2"/>
  <c r="D957" i="2"/>
  <c r="D969" i="2"/>
  <c r="D981" i="2"/>
  <c r="D993" i="2"/>
  <c r="D1005" i="2"/>
  <c r="D1017" i="2"/>
  <c r="D1029" i="2"/>
  <c r="Q1029" i="2" s="1"/>
  <c r="D1041" i="2"/>
  <c r="D1053" i="2"/>
  <c r="M1053" i="2" s="1"/>
  <c r="D1065" i="2"/>
  <c r="D1077" i="2"/>
  <c r="Q1077" i="2" s="1"/>
  <c r="D1089" i="2"/>
  <c r="D1101" i="2"/>
  <c r="Q1101" i="2" s="1"/>
  <c r="D1113" i="2"/>
  <c r="Q1113" i="2" s="1"/>
  <c r="D1125" i="2"/>
  <c r="N1125" i="2" s="1"/>
  <c r="D1137" i="2"/>
  <c r="Q1137" i="2" s="1"/>
  <c r="D1149" i="2"/>
  <c r="Q1149" i="2" s="1"/>
  <c r="F7" i="2"/>
  <c r="F18" i="2"/>
  <c r="F29" i="2"/>
  <c r="F40" i="2"/>
  <c r="E51" i="2"/>
  <c r="F64" i="2"/>
  <c r="E74" i="2"/>
  <c r="E86" i="2"/>
  <c r="E97" i="2"/>
  <c r="E108" i="2"/>
  <c r="E120" i="2"/>
  <c r="E132" i="2"/>
  <c r="E143" i="2"/>
  <c r="F152" i="2"/>
  <c r="F164" i="2"/>
  <c r="F176" i="2"/>
  <c r="F188" i="2"/>
  <c r="F198" i="2"/>
  <c r="F210" i="2"/>
  <c r="F219" i="2"/>
  <c r="F231" i="2"/>
  <c r="F241" i="2"/>
  <c r="E251" i="2"/>
  <c r="F261" i="2"/>
  <c r="E271" i="2"/>
  <c r="E283" i="2"/>
  <c r="F292" i="2"/>
  <c r="E303" i="2"/>
  <c r="E313" i="2"/>
  <c r="F322" i="2"/>
  <c r="E8" i="2"/>
  <c r="E19" i="2"/>
  <c r="E30" i="2"/>
  <c r="E41" i="2"/>
  <c r="F51" i="2"/>
  <c r="E65" i="2"/>
  <c r="F74" i="2"/>
  <c r="F86" i="2"/>
  <c r="F97" i="2"/>
  <c r="F108" i="2"/>
  <c r="F120" i="2"/>
  <c r="F132" i="2"/>
  <c r="F143" i="2"/>
  <c r="E153" i="2"/>
  <c r="E165" i="2"/>
  <c r="E177" i="2"/>
  <c r="E189" i="2"/>
  <c r="E199" i="2"/>
  <c r="E211" i="2"/>
  <c r="F220" i="2"/>
  <c r="F232" i="2"/>
  <c r="E242" i="2"/>
  <c r="F251" i="2"/>
  <c r="F262" i="2"/>
  <c r="F271" i="2"/>
  <c r="F283" i="2"/>
  <c r="F293" i="2"/>
  <c r="F303" i="2"/>
  <c r="F313" i="2"/>
  <c r="E323" i="2"/>
  <c r="E335" i="2"/>
  <c r="E344" i="2"/>
  <c r="E355" i="2"/>
  <c r="F364" i="2"/>
  <c r="E375" i="2"/>
  <c r="E386" i="2"/>
  <c r="F396" i="2"/>
  <c r="F406" i="2"/>
  <c r="F415" i="2"/>
  <c r="F426" i="2"/>
  <c r="F437" i="2"/>
  <c r="F447" i="2"/>
  <c r="F457" i="2"/>
  <c r="E468" i="2"/>
  <c r="F477" i="2"/>
  <c r="F489" i="2"/>
  <c r="E499" i="2"/>
  <c r="F508" i="2"/>
  <c r="F518" i="2"/>
  <c r="F527" i="2"/>
  <c r="E538" i="2"/>
  <c r="E547" i="2"/>
  <c r="F556" i="2"/>
  <c r="F564" i="2"/>
  <c r="F572" i="2"/>
  <c r="F582" i="2"/>
  <c r="F590" i="2"/>
  <c r="F599" i="2"/>
  <c r="F607" i="2"/>
  <c r="E616" i="2"/>
  <c r="F624" i="2"/>
  <c r="E632" i="2"/>
  <c r="E640" i="2"/>
  <c r="F647" i="2"/>
  <c r="E655" i="2"/>
  <c r="E664" i="2"/>
  <c r="F671" i="2"/>
  <c r="E679" i="2"/>
  <c r="F686" i="2"/>
  <c r="F694" i="2"/>
  <c r="E703" i="2"/>
  <c r="F710" i="2"/>
  <c r="F718" i="2"/>
  <c r="E726" i="2"/>
  <c r="F733" i="2"/>
  <c r="F742" i="2"/>
  <c r="E750" i="2"/>
  <c r="F757" i="2"/>
  <c r="E765" i="2"/>
  <c r="E773" i="2"/>
  <c r="F781" i="2"/>
  <c r="E789" i="2"/>
  <c r="E797" i="2"/>
  <c r="F804" i="2"/>
  <c r="E812" i="2"/>
  <c r="E821" i="2"/>
  <c r="F828" i="2"/>
  <c r="E836" i="2"/>
  <c r="E844" i="2"/>
  <c r="F851" i="2"/>
  <c r="E860" i="2"/>
  <c r="E868" i="2"/>
  <c r="F875" i="2"/>
  <c r="E883" i="2"/>
  <c r="F890" i="2"/>
  <c r="F899" i="2"/>
  <c r="E907" i="2"/>
  <c r="F914" i="2"/>
  <c r="F922" i="2"/>
  <c r="E930" i="2"/>
  <c r="F938" i="2"/>
  <c r="F946" i="2"/>
  <c r="E954" i="2"/>
  <c r="F961" i="2"/>
  <c r="E969" i="2"/>
  <c r="E978" i="2"/>
  <c r="F985" i="2"/>
  <c r="E993" i="2"/>
  <c r="E1001" i="2"/>
  <c r="F1008" i="2"/>
  <c r="E1017" i="2"/>
  <c r="E1025" i="2"/>
  <c r="F1032" i="2"/>
  <c r="E1040" i="2"/>
  <c r="E1048" i="2"/>
  <c r="F1056" i="2"/>
  <c r="E1064" i="2"/>
  <c r="E1072" i="2"/>
  <c r="F1079" i="2"/>
  <c r="E1087" i="2"/>
  <c r="E1096" i="2"/>
  <c r="F1103" i="2"/>
  <c r="E1111" i="2"/>
  <c r="F1118" i="2"/>
  <c r="E1126" i="2"/>
  <c r="E1134" i="2"/>
  <c r="E1141" i="2"/>
  <c r="E1148" i="2"/>
  <c r="E1155" i="2"/>
  <c r="D7" i="2"/>
  <c r="D37" i="2"/>
  <c r="D51" i="2"/>
  <c r="D65" i="2"/>
  <c r="D79" i="2"/>
  <c r="D95" i="2"/>
  <c r="D109" i="2"/>
  <c r="D123" i="2"/>
  <c r="D137" i="2"/>
  <c r="D151" i="2"/>
  <c r="F8" i="2"/>
  <c r="F19" i="2"/>
  <c r="F31" i="2"/>
  <c r="F41" i="2"/>
  <c r="F54" i="2"/>
  <c r="F65" i="2"/>
  <c r="F77" i="2"/>
  <c r="E87" i="2"/>
  <c r="E98" i="2"/>
  <c r="E111" i="2"/>
  <c r="E121" i="2"/>
  <c r="E133" i="2"/>
  <c r="E144" i="2"/>
  <c r="E156" i="2"/>
  <c r="E167" i="2"/>
  <c r="E179" i="2"/>
  <c r="F189" i="2"/>
  <c r="F199" i="2"/>
  <c r="F211" i="2"/>
  <c r="F222" i="2"/>
  <c r="E233" i="2"/>
  <c r="F242" i="2"/>
  <c r="E253" i="2"/>
  <c r="E263" i="2"/>
  <c r="E275" i="2"/>
  <c r="E284" i="2"/>
  <c r="E294" i="2"/>
  <c r="F304" i="2"/>
  <c r="E314" i="2"/>
  <c r="E326" i="2"/>
  <c r="F335" i="2"/>
  <c r="F346" i="2"/>
  <c r="F355" i="2"/>
  <c r="F365" i="2"/>
  <c r="E377" i="2"/>
  <c r="F386" i="2"/>
  <c r="E397" i="2"/>
  <c r="E407" i="2"/>
  <c r="F417" i="2"/>
  <c r="E428" i="2"/>
  <c r="E439" i="2"/>
  <c r="F448" i="2"/>
  <c r="E458" i="2"/>
  <c r="F468" i="2"/>
  <c r="F479" i="2"/>
  <c r="F490" i="2"/>
  <c r="F499" i="2"/>
  <c r="F510" i="2"/>
  <c r="E519" i="2"/>
  <c r="E530" i="2"/>
  <c r="F538" i="2"/>
  <c r="E9" i="2"/>
  <c r="E20" i="2"/>
  <c r="E32" i="2"/>
  <c r="E42" i="2"/>
  <c r="E55" i="2"/>
  <c r="E66" i="2"/>
  <c r="E78" i="2"/>
  <c r="F87" i="2"/>
  <c r="F98" i="2"/>
  <c r="F111" i="2"/>
  <c r="F121" i="2"/>
  <c r="F133" i="2"/>
  <c r="F144" i="2"/>
  <c r="F156" i="2"/>
  <c r="F167" i="2"/>
  <c r="F179" i="2"/>
  <c r="F190" i="2"/>
  <c r="E200" i="2"/>
  <c r="E212" i="2"/>
  <c r="E223" i="2"/>
  <c r="F233" i="2"/>
  <c r="E243" i="2"/>
  <c r="E254" i="2"/>
  <c r="F263" i="2"/>
  <c r="F275" i="2"/>
  <c r="F284" i="2"/>
  <c r="F294" i="2"/>
  <c r="E305" i="2"/>
  <c r="F314" i="2"/>
  <c r="F326" i="2"/>
  <c r="E336" i="2"/>
  <c r="E347" i="2"/>
  <c r="E356" i="2"/>
  <c r="E366" i="2"/>
  <c r="F377" i="2"/>
  <c r="E387" i="2"/>
  <c r="E398" i="2"/>
  <c r="F407" i="2"/>
  <c r="F418" i="2"/>
  <c r="F428" i="2"/>
  <c r="F439" i="2"/>
  <c r="E449" i="2"/>
  <c r="F458" i="2"/>
  <c r="E469" i="2"/>
  <c r="E480" i="2"/>
  <c r="E491" i="2"/>
  <c r="E500" i="2"/>
  <c r="E511" i="2"/>
  <c r="F519" i="2"/>
  <c r="F530" i="2"/>
  <c r="F539" i="2"/>
  <c r="E548" i="2"/>
  <c r="F557" i="2"/>
  <c r="F565" i="2"/>
  <c r="F575" i="2"/>
  <c r="F583" i="2"/>
  <c r="F592" i="2"/>
  <c r="F600" i="2"/>
  <c r="F608" i="2"/>
  <c r="E618" i="2"/>
  <c r="F625" i="2"/>
  <c r="E633" i="2"/>
  <c r="E641" i="2"/>
  <c r="F648" i="2"/>
  <c r="E657" i="2"/>
  <c r="E665" i="2"/>
  <c r="F672" i="2"/>
  <c r="E680" i="2"/>
  <c r="E688" i="2"/>
  <c r="F696" i="2"/>
  <c r="E704" i="2"/>
  <c r="E712" i="2"/>
  <c r="F719" i="2"/>
  <c r="E727" i="2"/>
  <c r="E736" i="2"/>
  <c r="F743" i="2"/>
  <c r="E751" i="2"/>
  <c r="F758" i="2"/>
  <c r="F766" i="2"/>
  <c r="E775" i="2"/>
  <c r="F782" i="2"/>
  <c r="F790" i="2"/>
  <c r="E798" i="2"/>
  <c r="F805" i="2"/>
  <c r="F814" i="2"/>
  <c r="F9" i="2"/>
  <c r="E26" i="2"/>
  <c r="F45" i="2"/>
  <c r="E59" i="2"/>
  <c r="F78" i="2"/>
  <c r="F93" i="2"/>
  <c r="F112" i="2"/>
  <c r="F126" i="2"/>
  <c r="E145" i="2"/>
  <c r="F160" i="2"/>
  <c r="E180" i="2"/>
  <c r="F196" i="2"/>
  <c r="F213" i="2"/>
  <c r="E227" i="2"/>
  <c r="F243" i="2"/>
  <c r="E258" i="2"/>
  <c r="E276" i="2"/>
  <c r="E289" i="2"/>
  <c r="F305" i="2"/>
  <c r="E320" i="2"/>
  <c r="F334" i="2"/>
  <c r="F348" i="2"/>
  <c r="E362" i="2"/>
  <c r="F374" i="2"/>
  <c r="E390" i="2"/>
  <c r="F403" i="2"/>
  <c r="E415" i="2"/>
  <c r="E432" i="2"/>
  <c r="E443" i="2"/>
  <c r="E457" i="2"/>
  <c r="F472" i="2"/>
  <c r="E485" i="2"/>
  <c r="F498" i="2"/>
  <c r="F513" i="2"/>
  <c r="E525" i="2"/>
  <c r="F537" i="2"/>
  <c r="E550" i="2"/>
  <c r="F560" i="2"/>
  <c r="F570" i="2"/>
  <c r="F580" i="2"/>
  <c r="E592" i="2"/>
  <c r="F601" i="2"/>
  <c r="F612" i="2"/>
  <c r="E621" i="2"/>
  <c r="E631" i="2"/>
  <c r="F640" i="2"/>
  <c r="F650" i="2"/>
  <c r="F659" i="2"/>
  <c r="E668" i="2"/>
  <c r="E678" i="2"/>
  <c r="E687" i="2"/>
  <c r="F697" i="2"/>
  <c r="F706" i="2"/>
  <c r="E716" i="2"/>
  <c r="E725" i="2"/>
  <c r="E735" i="2"/>
  <c r="F744" i="2"/>
  <c r="E753" i="2"/>
  <c r="E763" i="2"/>
  <c r="E772" i="2"/>
  <c r="E782" i="2"/>
  <c r="F791" i="2"/>
  <c r="E801" i="2"/>
  <c r="E810" i="2"/>
  <c r="F818" i="2"/>
  <c r="E828" i="2"/>
  <c r="F836" i="2"/>
  <c r="E845" i="2"/>
  <c r="E854" i="2"/>
  <c r="F862" i="2"/>
  <c r="F870" i="2"/>
  <c r="E880" i="2"/>
  <c r="E888" i="2"/>
  <c r="E896" i="2"/>
  <c r="F905" i="2"/>
  <c r="F913" i="2"/>
  <c r="E922" i="2"/>
  <c r="F931" i="2"/>
  <c r="E940" i="2"/>
  <c r="E948" i="2"/>
  <c r="E956" i="2"/>
  <c r="F965" i="2"/>
  <c r="F973" i="2"/>
  <c r="E982" i="2"/>
  <c r="E991" i="2"/>
  <c r="E999" i="2"/>
  <c r="F1007" i="2"/>
  <c r="F1016" i="2"/>
  <c r="F1025" i="2"/>
  <c r="F1033" i="2"/>
  <c r="E1043" i="2"/>
  <c r="E1051" i="2"/>
  <c r="E1059" i="2"/>
  <c r="F1067" i="2"/>
  <c r="F1076" i="2"/>
  <c r="E1085" i="2"/>
  <c r="E1093" i="2"/>
  <c r="F1102" i="2"/>
  <c r="F1110" i="2"/>
  <c r="E1119" i="2"/>
  <c r="E1128" i="2"/>
  <c r="F1135" i="2"/>
  <c r="E1143" i="2"/>
  <c r="F1151" i="2"/>
  <c r="F3" i="2"/>
  <c r="D16" i="2"/>
  <c r="D31" i="2"/>
  <c r="D48" i="2"/>
  <c r="D63" i="2"/>
  <c r="D78" i="2"/>
  <c r="D96" i="2"/>
  <c r="D111" i="2"/>
  <c r="D126" i="2"/>
  <c r="D143" i="2"/>
  <c r="D158" i="2"/>
  <c r="D172" i="2"/>
  <c r="D186" i="2"/>
  <c r="D199" i="2"/>
  <c r="D212" i="2"/>
  <c r="D226" i="2"/>
  <c r="D239" i="2"/>
  <c r="D252" i="2"/>
  <c r="D265" i="2"/>
  <c r="D278" i="2"/>
  <c r="D291" i="2"/>
  <c r="D304" i="2"/>
  <c r="D317" i="2"/>
  <c r="D330" i="2"/>
  <c r="D343" i="2"/>
  <c r="D356" i="2"/>
  <c r="D370" i="2"/>
  <c r="D383" i="2"/>
  <c r="D396" i="2"/>
  <c r="D409" i="2"/>
  <c r="D422" i="2"/>
  <c r="D435" i="2"/>
  <c r="D448" i="2"/>
  <c r="D461" i="2"/>
  <c r="D474" i="2"/>
  <c r="D487" i="2"/>
  <c r="D500" i="2"/>
  <c r="D514" i="2"/>
  <c r="D527" i="2"/>
  <c r="D540" i="2"/>
  <c r="D553" i="2"/>
  <c r="D566" i="2"/>
  <c r="D579" i="2"/>
  <c r="D592" i="2"/>
  <c r="D605" i="2"/>
  <c r="D618" i="2"/>
  <c r="D631" i="2"/>
  <c r="D644" i="2"/>
  <c r="D658" i="2"/>
  <c r="D671" i="2"/>
  <c r="D684" i="2"/>
  <c r="D697" i="2"/>
  <c r="D710" i="2"/>
  <c r="D723" i="2"/>
  <c r="D736" i="2"/>
  <c r="D749" i="2"/>
  <c r="D762" i="2"/>
  <c r="D775" i="2"/>
  <c r="D788" i="2"/>
  <c r="D802" i="2"/>
  <c r="D815" i="2"/>
  <c r="D828" i="2"/>
  <c r="D841" i="2"/>
  <c r="D854" i="2"/>
  <c r="D867" i="2"/>
  <c r="D880" i="2"/>
  <c r="D893" i="2"/>
  <c r="F10" i="2"/>
  <c r="F26" i="2"/>
  <c r="F46" i="2"/>
  <c r="F59" i="2"/>
  <c r="E79" i="2"/>
  <c r="F94" i="2"/>
  <c r="E113" i="2"/>
  <c r="E127" i="2"/>
  <c r="F145" i="2"/>
  <c r="E161" i="2"/>
  <c r="F180" i="2"/>
  <c r="E197" i="2"/>
  <c r="E215" i="2"/>
  <c r="E228" i="2"/>
  <c r="F244" i="2"/>
  <c r="F258" i="2"/>
  <c r="F276" i="2"/>
  <c r="F289" i="2"/>
  <c r="F306" i="2"/>
  <c r="F320" i="2"/>
  <c r="F336" i="2"/>
  <c r="E349" i="2"/>
  <c r="F362" i="2"/>
  <c r="F378" i="2"/>
  <c r="F390" i="2"/>
  <c r="F404" i="2"/>
  <c r="E420" i="2"/>
  <c r="F432" i="2"/>
  <c r="E446" i="2"/>
  <c r="F460" i="2"/>
  <c r="E473" i="2"/>
  <c r="F485" i="2"/>
  <c r="F500" i="2"/>
  <c r="E514" i="2"/>
  <c r="F525" i="2"/>
  <c r="E540" i="2"/>
  <c r="F550" i="2"/>
  <c r="E562" i="2"/>
  <c r="E571" i="2"/>
  <c r="E582" i="2"/>
  <c r="E593" i="2"/>
  <c r="E604" i="2"/>
  <c r="E613" i="2"/>
  <c r="E622" i="2"/>
  <c r="F631" i="2"/>
  <c r="F641" i="2"/>
  <c r="E651" i="2"/>
  <c r="E660" i="2"/>
  <c r="E670" i="2"/>
  <c r="F678" i="2"/>
  <c r="F689" i="2"/>
  <c r="E698" i="2"/>
  <c r="E707" i="2"/>
  <c r="F716" i="2"/>
  <c r="F725" i="2"/>
  <c r="F736" i="2"/>
  <c r="E745" i="2"/>
  <c r="E755" i="2"/>
  <c r="F763" i="2"/>
  <c r="F772" i="2"/>
  <c r="E783" i="2"/>
  <c r="E792" i="2"/>
  <c r="E802" i="2"/>
  <c r="F810" i="2"/>
  <c r="F820" i="2"/>
  <c r="E829" i="2"/>
  <c r="E837" i="2"/>
  <c r="F846" i="2"/>
  <c r="F854" i="2"/>
  <c r="E863" i="2"/>
  <c r="E871" i="2"/>
  <c r="F880" i="2"/>
  <c r="F888" i="2"/>
  <c r="F896" i="2"/>
  <c r="E906" i="2"/>
  <c r="E914" i="2"/>
  <c r="E923" i="2"/>
  <c r="E932" i="2"/>
  <c r="F940" i="2"/>
  <c r="F948" i="2"/>
  <c r="E958" i="2"/>
  <c r="E966" i="2"/>
  <c r="E974" i="2"/>
  <c r="F982" i="2"/>
  <c r="F991" i="2"/>
  <c r="E1000" i="2"/>
  <c r="E1008" i="2"/>
  <c r="E1018" i="2"/>
  <c r="E1026" i="2"/>
  <c r="E1034" i="2"/>
  <c r="F1043" i="2"/>
  <c r="F1051" i="2"/>
  <c r="E1060" i="2"/>
  <c r="E1069" i="2"/>
  <c r="E1077" i="2"/>
  <c r="F1085" i="2"/>
  <c r="F1093" i="2"/>
  <c r="E1103" i="2"/>
  <c r="F1111" i="2"/>
  <c r="E1120" i="2"/>
  <c r="F1128" i="2"/>
  <c r="E1136" i="2"/>
  <c r="F1143" i="2"/>
  <c r="E1152" i="2"/>
  <c r="E3" i="2"/>
  <c r="D17" i="2"/>
  <c r="D34" i="2"/>
  <c r="D49" i="2"/>
  <c r="D64" i="2"/>
  <c r="D82" i="2"/>
  <c r="D97" i="2"/>
  <c r="D112" i="2"/>
  <c r="D127" i="2"/>
  <c r="D144" i="2"/>
  <c r="D159" i="2"/>
  <c r="D173" i="2"/>
  <c r="D187" i="2"/>
  <c r="D200" i="2"/>
  <c r="D214" i="2"/>
  <c r="D227" i="2"/>
  <c r="D240" i="2"/>
  <c r="D253" i="2"/>
  <c r="D266" i="2"/>
  <c r="D279" i="2"/>
  <c r="D292" i="2"/>
  <c r="D305" i="2"/>
  <c r="D318" i="2"/>
  <c r="D331" i="2"/>
  <c r="D344" i="2"/>
  <c r="D358" i="2"/>
  <c r="D371" i="2"/>
  <c r="D384" i="2"/>
  <c r="D397" i="2"/>
  <c r="D410" i="2"/>
  <c r="D423" i="2"/>
  <c r="D436" i="2"/>
  <c r="D449" i="2"/>
  <c r="D462" i="2"/>
  <c r="D475" i="2"/>
  <c r="D488" i="2"/>
  <c r="D502" i="2"/>
  <c r="D515" i="2"/>
  <c r="D528" i="2"/>
  <c r="D541" i="2"/>
  <c r="D554" i="2"/>
  <c r="D567" i="2"/>
  <c r="D580" i="2"/>
  <c r="D593" i="2"/>
  <c r="D606" i="2"/>
  <c r="D619" i="2"/>
  <c r="D632" i="2"/>
  <c r="D646" i="2"/>
  <c r="D659" i="2"/>
  <c r="D672" i="2"/>
  <c r="D685" i="2"/>
  <c r="D698" i="2"/>
  <c r="D711" i="2"/>
  <c r="D724" i="2"/>
  <c r="D737" i="2"/>
  <c r="D750" i="2"/>
  <c r="D763" i="2"/>
  <c r="D776" i="2"/>
  <c r="D790" i="2"/>
  <c r="D803" i="2"/>
  <c r="D816" i="2"/>
  <c r="D829" i="2"/>
  <c r="D842" i="2"/>
  <c r="D855" i="2"/>
  <c r="D868" i="2"/>
  <c r="D881" i="2"/>
  <c r="D894" i="2"/>
  <c r="D907" i="2"/>
  <c r="D920" i="2"/>
  <c r="D934" i="2"/>
  <c r="D947" i="2"/>
  <c r="D960" i="2"/>
  <c r="D973" i="2"/>
  <c r="D986" i="2"/>
  <c r="D999" i="2"/>
  <c r="D1012" i="2"/>
  <c r="D1025" i="2"/>
  <c r="D1038" i="2"/>
  <c r="D1051" i="2"/>
  <c r="Q1051" i="2" s="1"/>
  <c r="D1064" i="2"/>
  <c r="R1064" i="2" s="1"/>
  <c r="D1078" i="2"/>
  <c r="D1091" i="2"/>
  <c r="R1091" i="2" s="1"/>
  <c r="D1104" i="2"/>
  <c r="D1117" i="2"/>
  <c r="D1130" i="2"/>
  <c r="D1143" i="2"/>
  <c r="N1143" i="2" s="1"/>
  <c r="D1156" i="2"/>
  <c r="E12" i="2"/>
  <c r="E27" i="2"/>
  <c r="E47" i="2"/>
  <c r="E61" i="2"/>
  <c r="F79" i="2"/>
  <c r="E95" i="2"/>
  <c r="F113" i="2"/>
  <c r="F129" i="2"/>
  <c r="F149" i="2"/>
  <c r="F163" i="2"/>
  <c r="E182" i="2"/>
  <c r="F197" i="2"/>
  <c r="F215" i="2"/>
  <c r="F228" i="2"/>
  <c r="E246" i="2"/>
  <c r="F260" i="2"/>
  <c r="E277" i="2"/>
  <c r="E291" i="2"/>
  <c r="E308" i="2"/>
  <c r="E321" i="2"/>
  <c r="E337" i="2"/>
  <c r="F350" i="2"/>
  <c r="E363" i="2"/>
  <c r="E379" i="2"/>
  <c r="F391" i="2"/>
  <c r="E405" i="2"/>
  <c r="F420" i="2"/>
  <c r="E433" i="2"/>
  <c r="F446" i="2"/>
  <c r="E461" i="2"/>
  <c r="F474" i="2"/>
  <c r="E486" i="2"/>
  <c r="E501" i="2"/>
  <c r="F514" i="2"/>
  <c r="E526" i="2"/>
  <c r="F540" i="2"/>
  <c r="F551" i="2"/>
  <c r="F562" i="2"/>
  <c r="F571" i="2"/>
  <c r="E583" i="2"/>
  <c r="F593" i="2"/>
  <c r="F604" i="2"/>
  <c r="F613" i="2"/>
  <c r="F622" i="2"/>
  <c r="F632" i="2"/>
  <c r="E642" i="2"/>
  <c r="E652" i="2"/>
  <c r="F660" i="2"/>
  <c r="F670" i="2"/>
  <c r="F679" i="2"/>
  <c r="E690" i="2"/>
  <c r="F698" i="2"/>
  <c r="F707" i="2"/>
  <c r="E717" i="2"/>
  <c r="F726" i="2"/>
  <c r="E737" i="2"/>
  <c r="F745" i="2"/>
  <c r="F755" i="2"/>
  <c r="E764" i="2"/>
  <c r="F774" i="2"/>
  <c r="E784" i="2"/>
  <c r="F792" i="2"/>
  <c r="F802" i="2"/>
  <c r="E811" i="2"/>
  <c r="F821" i="2"/>
  <c r="F829" i="2"/>
  <c r="E838" i="2"/>
  <c r="E847" i="2"/>
  <c r="E855" i="2"/>
  <c r="F863" i="2"/>
  <c r="F872" i="2"/>
  <c r="E881" i="2"/>
  <c r="E889" i="2"/>
  <c r="E897" i="2"/>
  <c r="F906" i="2"/>
  <c r="E915" i="2"/>
  <c r="F923" i="2"/>
  <c r="F932" i="2"/>
  <c r="E941" i="2"/>
  <c r="E949" i="2"/>
  <c r="F958" i="2"/>
  <c r="F966" i="2"/>
  <c r="F974" i="2"/>
  <c r="E984" i="2"/>
  <c r="E992" i="2"/>
  <c r="F14" i="2"/>
  <c r="E33" i="2"/>
  <c r="F48" i="2"/>
  <c r="E67" i="2"/>
  <c r="F82" i="2"/>
  <c r="E102" i="2"/>
  <c r="E117" i="2"/>
  <c r="F134" i="2"/>
  <c r="E151" i="2"/>
  <c r="F169" i="2"/>
  <c r="F183" i="2"/>
  <c r="F203" i="2"/>
  <c r="E218" i="2"/>
  <c r="E235" i="2"/>
  <c r="E249" i="2"/>
  <c r="F265" i="2"/>
  <c r="F278" i="2"/>
  <c r="F296" i="2"/>
  <c r="E311" i="2"/>
  <c r="F327" i="2"/>
  <c r="F340" i="2"/>
  <c r="E354" i="2"/>
  <c r="E369" i="2"/>
  <c r="F381" i="2"/>
  <c r="F394" i="2"/>
  <c r="F408" i="2"/>
  <c r="E422" i="2"/>
  <c r="F434" i="2"/>
  <c r="F450" i="2"/>
  <c r="E464" i="2"/>
  <c r="F476" i="2"/>
  <c r="E492" i="2"/>
  <c r="F505" i="2"/>
  <c r="F517" i="2"/>
  <c r="F531" i="2"/>
  <c r="E543" i="2"/>
  <c r="E554" i="2"/>
  <c r="E564" i="2"/>
  <c r="E576" i="2"/>
  <c r="E586" i="2"/>
  <c r="E596" i="2"/>
  <c r="E606" i="2"/>
  <c r="E615" i="2"/>
  <c r="E626" i="2"/>
  <c r="E635" i="2"/>
  <c r="F644" i="2"/>
  <c r="F653" i="2"/>
  <c r="E663" i="2"/>
  <c r="E673" i="2"/>
  <c r="E683" i="2"/>
  <c r="F691" i="2"/>
  <c r="F700" i="2"/>
  <c r="E710" i="2"/>
  <c r="E720" i="2"/>
  <c r="E730" i="2"/>
  <c r="F738" i="2"/>
  <c r="F748" i="2"/>
  <c r="E757" i="2"/>
  <c r="E768" i="2"/>
  <c r="F776" i="2"/>
  <c r="F785" i="2"/>
  <c r="E795" i="2"/>
  <c r="E804" i="2"/>
  <c r="E815" i="2"/>
  <c r="E823" i="2"/>
  <c r="E831" i="2"/>
  <c r="F840" i="2"/>
  <c r="F848" i="2"/>
  <c r="E857" i="2"/>
  <c r="E866" i="2"/>
  <c r="F874" i="2"/>
  <c r="F882" i="2"/>
  <c r="F892" i="2"/>
  <c r="F900" i="2"/>
  <c r="F908" i="2"/>
  <c r="E917" i="2"/>
  <c r="E926" i="2"/>
  <c r="F934" i="2"/>
  <c r="F942" i="2"/>
  <c r="E952" i="2"/>
  <c r="E960" i="2"/>
  <c r="E968" i="2"/>
  <c r="F977" i="2"/>
  <c r="E986" i="2"/>
  <c r="F994" i="2"/>
  <c r="F12" i="2"/>
  <c r="E38" i="2"/>
  <c r="F61" i="2"/>
  <c r="F88" i="2"/>
  <c r="E114" i="2"/>
  <c r="F139" i="2"/>
  <c r="E164" i="2"/>
  <c r="E191" i="2"/>
  <c r="E216" i="2"/>
  <c r="F236" i="2"/>
  <c r="E261" i="2"/>
  <c r="E285" i="2"/>
  <c r="F308" i="2"/>
  <c r="F329" i="2"/>
  <c r="E351" i="2"/>
  <c r="E371" i="2"/>
  <c r="E392" i="2"/>
  <c r="E413" i="2"/>
  <c r="F433" i="2"/>
  <c r="F454" i="2"/>
  <c r="E475" i="2"/>
  <c r="F493" i="2"/>
  <c r="F515" i="2"/>
  <c r="F533" i="2"/>
  <c r="E553" i="2"/>
  <c r="F568" i="2"/>
  <c r="E584" i="2"/>
  <c r="F598" i="2"/>
  <c r="E614" i="2"/>
  <c r="E628" i="2"/>
  <c r="F643" i="2"/>
  <c r="F656" i="2"/>
  <c r="E671" i="2"/>
  <c r="F684" i="2"/>
  <c r="E699" i="2"/>
  <c r="E713" i="2"/>
  <c r="F728" i="2"/>
  <c r="E740" i="2"/>
  <c r="E756" i="2"/>
  <c r="F769" i="2"/>
  <c r="F784" i="2"/>
  <c r="F797" i="2"/>
  <c r="F811" i="2"/>
  <c r="F824" i="2"/>
  <c r="F838" i="2"/>
  <c r="F850" i="2"/>
  <c r="E864" i="2"/>
  <c r="F876" i="2"/>
  <c r="F889" i="2"/>
  <c r="E902" i="2"/>
  <c r="E916" i="2"/>
  <c r="E928" i="2"/>
  <c r="F941" i="2"/>
  <c r="F953" i="2"/>
  <c r="E967" i="2"/>
  <c r="F979" i="2"/>
  <c r="F992" i="2"/>
  <c r="E1004" i="2"/>
  <c r="F1013" i="2"/>
  <c r="E1024" i="2"/>
  <c r="F1034" i="2"/>
  <c r="E1045" i="2"/>
  <c r="F1054" i="2"/>
  <c r="E1065" i="2"/>
  <c r="F1075" i="2"/>
  <c r="E1086" i="2"/>
  <c r="E1097" i="2"/>
  <c r="E1106" i="2"/>
  <c r="F1116" i="2"/>
  <c r="F1125" i="2"/>
  <c r="F1136" i="2"/>
  <c r="E1146" i="2"/>
  <c r="F1154" i="2"/>
  <c r="D12" i="2"/>
  <c r="D29" i="2"/>
  <c r="D50" i="2"/>
  <c r="D70" i="2"/>
  <c r="D87" i="2"/>
  <c r="D106" i="2"/>
  <c r="D124" i="2"/>
  <c r="D145" i="2"/>
  <c r="D162" i="2"/>
  <c r="D180" i="2"/>
  <c r="D195" i="2"/>
  <c r="D210" i="2"/>
  <c r="D228" i="2"/>
  <c r="D243" i="2"/>
  <c r="D258" i="2"/>
  <c r="D274" i="2"/>
  <c r="D289" i="2"/>
  <c r="D306" i="2"/>
  <c r="D322" i="2"/>
  <c r="D337" i="2"/>
  <c r="D352" i="2"/>
  <c r="D367" i="2"/>
  <c r="D385" i="2"/>
  <c r="D400" i="2"/>
  <c r="D415" i="2"/>
  <c r="D431" i="2"/>
  <c r="D446" i="2"/>
  <c r="D463" i="2"/>
  <c r="D479" i="2"/>
  <c r="D494" i="2"/>
  <c r="D509" i="2"/>
  <c r="D524" i="2"/>
  <c r="D542" i="2"/>
  <c r="D557" i="2"/>
  <c r="D572" i="2"/>
  <c r="D588" i="2"/>
  <c r="D603" i="2"/>
  <c r="D620" i="2"/>
  <c r="D636" i="2"/>
  <c r="D651" i="2"/>
  <c r="D666" i="2"/>
  <c r="D682" i="2"/>
  <c r="D699" i="2"/>
  <c r="D714" i="2"/>
  <c r="D730" i="2"/>
  <c r="D745" i="2"/>
  <c r="D760" i="2"/>
  <c r="D778" i="2"/>
  <c r="D793" i="2"/>
  <c r="D808" i="2"/>
  <c r="D823" i="2"/>
  <c r="D839" i="2"/>
  <c r="D856" i="2"/>
  <c r="D871" i="2"/>
  <c r="D887" i="2"/>
  <c r="D902" i="2"/>
  <c r="D916" i="2"/>
  <c r="D930" i="2"/>
  <c r="D944" i="2"/>
  <c r="D959" i="2"/>
  <c r="D974" i="2"/>
  <c r="D988" i="2"/>
  <c r="D1002" i="2"/>
  <c r="D1016" i="2"/>
  <c r="D1031" i="2"/>
  <c r="D1045" i="2"/>
  <c r="E14" i="2"/>
  <c r="F38" i="2"/>
  <c r="F66" i="2"/>
  <c r="E89" i="2"/>
  <c r="F116" i="2"/>
  <c r="E140" i="2"/>
  <c r="E169" i="2"/>
  <c r="F191" i="2"/>
  <c r="F217" i="2"/>
  <c r="E237" i="2"/>
  <c r="E265" i="2"/>
  <c r="F285" i="2"/>
  <c r="F310" i="2"/>
  <c r="E330" i="2"/>
  <c r="F353" i="2"/>
  <c r="E372" i="2"/>
  <c r="F393" i="2"/>
  <c r="F413" i="2"/>
  <c r="E434" i="2"/>
  <c r="E455" i="2"/>
  <c r="F475" i="2"/>
  <c r="E494" i="2"/>
  <c r="E517" i="2"/>
  <c r="E534" i="2"/>
  <c r="F553" i="2"/>
  <c r="E569" i="2"/>
  <c r="F584" i="2"/>
  <c r="E599" i="2"/>
  <c r="F614" i="2"/>
  <c r="F628" i="2"/>
  <c r="E644" i="2"/>
  <c r="E658" i="2"/>
  <c r="E672" i="2"/>
  <c r="E685" i="2"/>
  <c r="E700" i="2"/>
  <c r="F713" i="2"/>
  <c r="E729" i="2"/>
  <c r="E742" i="2"/>
  <c r="F756" i="2"/>
  <c r="E770" i="2"/>
  <c r="E785" i="2"/>
  <c r="F798" i="2"/>
  <c r="E814" i="2"/>
  <c r="E825" i="2"/>
  <c r="E840" i="2"/>
  <c r="E851" i="2"/>
  <c r="F864" i="2"/>
  <c r="E877" i="2"/>
  <c r="E890" i="2"/>
  <c r="F902" i="2"/>
  <c r="F916" i="2"/>
  <c r="F928" i="2"/>
  <c r="E942" i="2"/>
  <c r="F954" i="2"/>
  <c r="F967" i="2"/>
  <c r="E980" i="2"/>
  <c r="E994" i="2"/>
  <c r="F1004" i="2"/>
  <c r="E1014" i="2"/>
  <c r="E17" i="2"/>
  <c r="F39" i="2"/>
  <c r="E69" i="2"/>
  <c r="E93" i="2"/>
  <c r="F118" i="2"/>
  <c r="E141" i="2"/>
  <c r="F171" i="2"/>
  <c r="F192" i="2"/>
  <c r="E219" i="2"/>
  <c r="E241" i="2"/>
  <c r="F268" i="2"/>
  <c r="F287" i="2"/>
  <c r="E312" i="2"/>
  <c r="F332" i="2"/>
  <c r="F356" i="2"/>
  <c r="E373" i="2"/>
  <c r="F398" i="2"/>
  <c r="F414" i="2"/>
  <c r="E440" i="2"/>
  <c r="E456" i="2"/>
  <c r="F481" i="2"/>
  <c r="E498" i="2"/>
  <c r="F521" i="2"/>
  <c r="E535" i="2"/>
  <c r="E556" i="2"/>
  <c r="E570" i="2"/>
  <c r="E587" i="2"/>
  <c r="E601" i="2"/>
  <c r="F618" i="2"/>
  <c r="F630" i="2"/>
  <c r="E646" i="2"/>
  <c r="E659" i="2"/>
  <c r="E674" i="2"/>
  <c r="E686" i="2"/>
  <c r="F702" i="2"/>
  <c r="F715" i="2"/>
  <c r="E731" i="2"/>
  <c r="E744" i="2"/>
  <c r="E759" i="2"/>
  <c r="E771" i="2"/>
  <c r="F787" i="2"/>
  <c r="F800" i="2"/>
  <c r="E816" i="2"/>
  <c r="F827" i="2"/>
  <c r="F841" i="2"/>
  <c r="F853" i="2"/>
  <c r="E867" i="2"/>
  <c r="E879" i="2"/>
  <c r="F893" i="2"/>
  <c r="E904" i="2"/>
  <c r="E919" i="2"/>
  <c r="F929" i="2"/>
  <c r="F944" i="2"/>
  <c r="F955" i="2"/>
  <c r="E971" i="2"/>
  <c r="E981" i="2"/>
  <c r="F995" i="2"/>
  <c r="E1006" i="2"/>
  <c r="E1015" i="2"/>
  <c r="E1027" i="2"/>
  <c r="F1037" i="2"/>
  <c r="F1046" i="2"/>
  <c r="F1057" i="2"/>
  <c r="E1067" i="2"/>
  <c r="F1078" i="2"/>
  <c r="E1089" i="2"/>
  <c r="F1098" i="2"/>
  <c r="E1109" i="2"/>
  <c r="E1118" i="2"/>
  <c r="F1129" i="2"/>
  <c r="E1138" i="2"/>
  <c r="F1147" i="2"/>
  <c r="F1157" i="2"/>
  <c r="D15" i="2"/>
  <c r="D36" i="2"/>
  <c r="D54" i="2"/>
  <c r="D73" i="2"/>
  <c r="D90" i="2"/>
  <c r="D110" i="2"/>
  <c r="D131" i="2"/>
  <c r="D148" i="2"/>
  <c r="D167" i="2"/>
  <c r="D183" i="2"/>
  <c r="D198" i="2"/>
  <c r="D216" i="2"/>
  <c r="D231" i="2"/>
  <c r="D246" i="2"/>
  <c r="D262" i="2"/>
  <c r="D277" i="2"/>
  <c r="D294" i="2"/>
  <c r="D310" i="2"/>
  <c r="D325" i="2"/>
  <c r="D340" i="2"/>
  <c r="D355" i="2"/>
  <c r="D373" i="2"/>
  <c r="D388" i="2"/>
  <c r="D403" i="2"/>
  <c r="D419" i="2"/>
  <c r="D434" i="2"/>
  <c r="D451" i="2"/>
  <c r="D467" i="2"/>
  <c r="D482" i="2"/>
  <c r="D497" i="2"/>
  <c r="D512" i="2"/>
  <c r="D530" i="2"/>
  <c r="D545" i="2"/>
  <c r="D560" i="2"/>
  <c r="D576" i="2"/>
  <c r="D591" i="2"/>
  <c r="D608" i="2"/>
  <c r="D624" i="2"/>
  <c r="D639" i="2"/>
  <c r="D654" i="2"/>
  <c r="D670" i="2"/>
  <c r="D687" i="2"/>
  <c r="D702" i="2"/>
  <c r="D718" i="2"/>
  <c r="D733" i="2"/>
  <c r="D748" i="2"/>
  <c r="D766" i="2"/>
  <c r="D781" i="2"/>
  <c r="D796" i="2"/>
  <c r="D811" i="2"/>
  <c r="D827" i="2"/>
  <c r="D844" i="2"/>
  <c r="D859" i="2"/>
  <c r="D875" i="2"/>
  <c r="D890" i="2"/>
  <c r="D905" i="2"/>
  <c r="D919" i="2"/>
  <c r="D935" i="2"/>
  <c r="D949" i="2"/>
  <c r="D963" i="2"/>
  <c r="D977" i="2"/>
  <c r="D991" i="2"/>
  <c r="D1006" i="2"/>
  <c r="D1020" i="2"/>
  <c r="D1034" i="2"/>
  <c r="Q1034" i="2" s="1"/>
  <c r="D1048" i="2"/>
  <c r="D1062" i="2"/>
  <c r="D1076" i="2"/>
  <c r="D1092" i="2"/>
  <c r="D1106" i="2"/>
  <c r="H1106" i="2" s="1"/>
  <c r="D1120" i="2"/>
  <c r="D1134" i="2"/>
  <c r="D1148" i="2"/>
  <c r="F22" i="2"/>
  <c r="E48" i="2"/>
  <c r="F71" i="2"/>
  <c r="F101" i="2"/>
  <c r="E125" i="2"/>
  <c r="F150" i="2"/>
  <c r="E173" i="2"/>
  <c r="E203" i="2"/>
  <c r="E225" i="2"/>
  <c r="F248" i="2"/>
  <c r="F269" i="2"/>
  <c r="E296" i="2"/>
  <c r="E318" i="2"/>
  <c r="F339" i="2"/>
  <c r="F360" i="2"/>
  <c r="E380" i="2"/>
  <c r="F399" i="2"/>
  <c r="F421" i="2"/>
  <c r="E441" i="2"/>
  <c r="F463" i="2"/>
  <c r="E483" i="2"/>
  <c r="E504" i="2"/>
  <c r="F523" i="2"/>
  <c r="F541" i="2"/>
  <c r="E558" i="2"/>
  <c r="E575" i="2"/>
  <c r="E589" i="2"/>
  <c r="F605" i="2"/>
  <c r="F619" i="2"/>
  <c r="F634" i="2"/>
  <c r="E647" i="2"/>
  <c r="F661" i="2"/>
  <c r="F676" i="2"/>
  <c r="E691" i="2"/>
  <c r="F704" i="2"/>
  <c r="E719" i="2"/>
  <c r="E732" i="2"/>
  <c r="F746" i="2"/>
  <c r="F761" i="2"/>
  <c r="E776" i="2"/>
  <c r="F788" i="2"/>
  <c r="F803" i="2"/>
  <c r="E817" i="2"/>
  <c r="F830" i="2"/>
  <c r="F842" i="2"/>
  <c r="F856" i="2"/>
  <c r="E869" i="2"/>
  <c r="E882" i="2"/>
  <c r="F894" i="2"/>
  <c r="E908" i="2"/>
  <c r="E920" i="2"/>
  <c r="E934" i="2"/>
  <c r="E946" i="2"/>
  <c r="F959" i="2"/>
  <c r="E972" i="2"/>
  <c r="E985" i="2"/>
  <c r="F997" i="2"/>
  <c r="E1007" i="2"/>
  <c r="E1019" i="2"/>
  <c r="E1028" i="2"/>
  <c r="F1038" i="2"/>
  <c r="F1049" i="2"/>
  <c r="F1058" i="2"/>
  <c r="E1070" i="2"/>
  <c r="E1080" i="2"/>
  <c r="F1090" i="2"/>
  <c r="F1099" i="2"/>
  <c r="E1110" i="2"/>
  <c r="E1122" i="2"/>
  <c r="F1130" i="2"/>
  <c r="F16" i="2"/>
  <c r="F55" i="2"/>
  <c r="F92" i="2"/>
  <c r="F130" i="2"/>
  <c r="E171" i="2"/>
  <c r="E206" i="2"/>
  <c r="E240" i="2"/>
  <c r="F277" i="2"/>
  <c r="F311" i="2"/>
  <c r="E343" i="2"/>
  <c r="F372" i="2"/>
  <c r="F405" i="2"/>
  <c r="F436" i="2"/>
  <c r="F465" i="2"/>
  <c r="F497" i="2"/>
  <c r="F526" i="2"/>
  <c r="F554" i="2"/>
  <c r="F577" i="2"/>
  <c r="E600" i="2"/>
  <c r="E624" i="2"/>
  <c r="E645" i="2"/>
  <c r="E666" i="2"/>
  <c r="F685" i="2"/>
  <c r="E709" i="2"/>
  <c r="F730" i="2"/>
  <c r="F750" i="2"/>
  <c r="F770" i="2"/>
  <c r="E794" i="2"/>
  <c r="F815" i="2"/>
  <c r="E834" i="2"/>
  <c r="E853" i="2"/>
  <c r="E873" i="2"/>
  <c r="E893" i="2"/>
  <c r="F910" i="2"/>
  <c r="E929" i="2"/>
  <c r="F949" i="2"/>
  <c r="F968" i="2"/>
  <c r="E988" i="2"/>
  <c r="E1005" i="2"/>
  <c r="F1020" i="2"/>
  <c r="E1033" i="2"/>
  <c r="E1047" i="2"/>
  <c r="F1062" i="2"/>
  <c r="E1074" i="2"/>
  <c r="E1090" i="2"/>
  <c r="E1104" i="2"/>
  <c r="E1116" i="2"/>
  <c r="E1130" i="2"/>
  <c r="F1141" i="2"/>
  <c r="E1153" i="2"/>
  <c r="D11" i="2"/>
  <c r="D35" i="2"/>
  <c r="D58" i="2"/>
  <c r="D77" i="2"/>
  <c r="D101" i="2"/>
  <c r="D122" i="2"/>
  <c r="D147" i="2"/>
  <c r="D169" i="2"/>
  <c r="D190" i="2"/>
  <c r="D207" i="2"/>
  <c r="D224" i="2"/>
  <c r="D245" i="2"/>
  <c r="D264" i="2"/>
  <c r="D283" i="2"/>
  <c r="D301" i="2"/>
  <c r="D320" i="2"/>
  <c r="D339" i="2"/>
  <c r="D360" i="2"/>
  <c r="D377" i="2"/>
  <c r="D395" i="2"/>
  <c r="D414" i="2"/>
  <c r="D433" i="2"/>
  <c r="D454" i="2"/>
  <c r="D471" i="2"/>
  <c r="D491" i="2"/>
  <c r="D508" i="2"/>
  <c r="D529" i="2"/>
  <c r="D547" i="2"/>
  <c r="D565" i="2"/>
  <c r="D584" i="2"/>
  <c r="D602" i="2"/>
  <c r="D623" i="2"/>
  <c r="D641" i="2"/>
  <c r="D661" i="2"/>
  <c r="D678" i="2"/>
  <c r="D696" i="2"/>
  <c r="D716" i="2"/>
  <c r="D735" i="2"/>
  <c r="D755" i="2"/>
  <c r="D772" i="2"/>
  <c r="D792" i="2"/>
  <c r="D810" i="2"/>
  <c r="D831" i="2"/>
  <c r="D848" i="2"/>
  <c r="D866" i="2"/>
  <c r="D886" i="2"/>
  <c r="D904" i="2"/>
  <c r="D923" i="2"/>
  <c r="D939" i="2"/>
  <c r="D955" i="2"/>
  <c r="D972" i="2"/>
  <c r="D990" i="2"/>
  <c r="D1008" i="2"/>
  <c r="D1024" i="2"/>
  <c r="F21" i="2"/>
  <c r="E56" i="2"/>
  <c r="F95" i="2"/>
  <c r="E134" i="2"/>
  <c r="F172" i="2"/>
  <c r="F206" i="2"/>
  <c r="F246" i="2"/>
  <c r="E278" i="2"/>
  <c r="F317" i="2"/>
  <c r="F343" i="2"/>
  <c r="F379" i="2"/>
  <c r="E408" i="2"/>
  <c r="F440" i="2"/>
  <c r="F467" i="2"/>
  <c r="F503" i="2"/>
  <c r="E531" i="2"/>
  <c r="E557" i="2"/>
  <c r="E578" i="2"/>
  <c r="E605" i="2"/>
  <c r="E625" i="2"/>
  <c r="F646" i="2"/>
  <c r="F666" i="2"/>
  <c r="F690" i="2"/>
  <c r="F709" i="2"/>
  <c r="F731" i="2"/>
  <c r="F751" i="2"/>
  <c r="F775" i="2"/>
  <c r="F794" i="2"/>
  <c r="F816" i="2"/>
  <c r="F834" i="2"/>
  <c r="E856" i="2"/>
  <c r="E874" i="2"/>
  <c r="E894" i="2"/>
  <c r="E912" i="2"/>
  <c r="E933" i="2"/>
  <c r="E951" i="2"/>
  <c r="F971" i="2"/>
  <c r="F988" i="2"/>
  <c r="F1006" i="2"/>
  <c r="E1021" i="2"/>
  <c r="F1036" i="2"/>
  <c r="E1050" i="2"/>
  <c r="E1063" i="2"/>
  <c r="E1076" i="2"/>
  <c r="E1091" i="2"/>
  <c r="F1104" i="2"/>
  <c r="E1117" i="2"/>
  <c r="E1131" i="2"/>
  <c r="E1142" i="2"/>
  <c r="F1153" i="2"/>
  <c r="D13" i="2"/>
  <c r="D38" i="2"/>
  <c r="D59" i="2"/>
  <c r="D83" i="2"/>
  <c r="D102" i="2"/>
  <c r="D125" i="2"/>
  <c r="D149" i="2"/>
  <c r="D170" i="2"/>
  <c r="D191" i="2"/>
  <c r="D208" i="2"/>
  <c r="D229" i="2"/>
  <c r="D247" i="2"/>
  <c r="D267" i="2"/>
  <c r="D284" i="2"/>
  <c r="D302" i="2"/>
  <c r="D323" i="2"/>
  <c r="D341" i="2"/>
  <c r="D361" i="2"/>
  <c r="D378" i="2"/>
  <c r="D398" i="2"/>
  <c r="D416" i="2"/>
  <c r="D437" i="2"/>
  <c r="D455" i="2"/>
  <c r="D472" i="2"/>
  <c r="D492" i="2"/>
  <c r="D510" i="2"/>
  <c r="D531" i="2"/>
  <c r="D548" i="2"/>
  <c r="D568" i="2"/>
  <c r="D586" i="2"/>
  <c r="D604" i="2"/>
  <c r="D625" i="2"/>
  <c r="D642" i="2"/>
  <c r="D662" i="2"/>
  <c r="D679" i="2"/>
  <c r="D700" i="2"/>
  <c r="D719" i="2"/>
  <c r="D738" i="2"/>
  <c r="D756" i="2"/>
  <c r="D773" i="2"/>
  <c r="D794" i="2"/>
  <c r="D812" i="2"/>
  <c r="D832" i="2"/>
  <c r="D850" i="2"/>
  <c r="D869" i="2"/>
  <c r="D888" i="2"/>
  <c r="D906" i="2"/>
  <c r="D924" i="2"/>
  <c r="D940" i="2"/>
  <c r="D956" i="2"/>
  <c r="D975" i="2"/>
  <c r="D992" i="2"/>
  <c r="D1009" i="2"/>
  <c r="D1026" i="2"/>
  <c r="D1043" i="2"/>
  <c r="D1059" i="2"/>
  <c r="D1074" i="2"/>
  <c r="D1090" i="2"/>
  <c r="P1090" i="2" s="1"/>
  <c r="D1107" i="2"/>
  <c r="Q1107" i="2" s="1"/>
  <c r="D1122" i="2"/>
  <c r="D1138" i="2"/>
  <c r="G1138" i="2" s="1"/>
  <c r="D1153" i="2"/>
  <c r="R1153" i="2" s="1"/>
  <c r="E23" i="2"/>
  <c r="F57" i="2"/>
  <c r="F103" i="2"/>
  <c r="F136" i="2"/>
  <c r="F173" i="2"/>
  <c r="F208" i="2"/>
  <c r="F249" i="2"/>
  <c r="E279" i="2"/>
  <c r="F318" i="2"/>
  <c r="F347" i="2"/>
  <c r="F382" i="2"/>
  <c r="F411" i="2"/>
  <c r="F441" i="2"/>
  <c r="E471" i="2"/>
  <c r="E506" i="2"/>
  <c r="E532" i="2"/>
  <c r="F558" i="2"/>
  <c r="F578" i="2"/>
  <c r="F606" i="2"/>
  <c r="F626" i="2"/>
  <c r="E648" i="2"/>
  <c r="E667" i="2"/>
  <c r="E692" i="2"/>
  <c r="E711" i="2"/>
  <c r="F732" i="2"/>
  <c r="E752" i="2"/>
  <c r="E777" i="2"/>
  <c r="E796" i="2"/>
  <c r="F817" i="2"/>
  <c r="E835" i="2"/>
  <c r="F857" i="2"/>
  <c r="E875" i="2"/>
  <c r="E895" i="2"/>
  <c r="F912" i="2"/>
  <c r="E935" i="2"/>
  <c r="F952" i="2"/>
  <c r="F972" i="2"/>
  <c r="E989" i="2"/>
  <c r="E1010" i="2"/>
  <c r="F1021" i="2"/>
  <c r="E1037" i="2"/>
  <c r="F1050" i="2"/>
  <c r="F1063" i="2"/>
  <c r="E1078" i="2"/>
  <c r="F1091" i="2"/>
  <c r="E1105" i="2"/>
  <c r="F1117" i="2"/>
  <c r="F1131" i="2"/>
  <c r="F1142" i="2"/>
  <c r="E1154" i="2"/>
  <c r="D14" i="2"/>
  <c r="D39" i="2"/>
  <c r="D60" i="2"/>
  <c r="D84" i="2"/>
  <c r="D103" i="2"/>
  <c r="D130" i="2"/>
  <c r="D150" i="2"/>
  <c r="D171" i="2"/>
  <c r="D192" i="2"/>
  <c r="D209" i="2"/>
  <c r="D230" i="2"/>
  <c r="D248" i="2"/>
  <c r="D268" i="2"/>
  <c r="D286" i="2"/>
  <c r="D303" i="2"/>
  <c r="D324" i="2"/>
  <c r="D342" i="2"/>
  <c r="D362" i="2"/>
  <c r="D379" i="2"/>
  <c r="D399" i="2"/>
  <c r="D418" i="2"/>
  <c r="D438" i="2"/>
  <c r="D456" i="2"/>
  <c r="D473" i="2"/>
  <c r="D493" i="2"/>
  <c r="D511" i="2"/>
  <c r="D532" i="2"/>
  <c r="D550" i="2"/>
  <c r="D569" i="2"/>
  <c r="D587" i="2"/>
  <c r="D607" i="2"/>
  <c r="D626" i="2"/>
  <c r="D643" i="2"/>
  <c r="D663" i="2"/>
  <c r="D680" i="2"/>
  <c r="F23" i="2"/>
  <c r="E73" i="2"/>
  <c r="F124" i="2"/>
  <c r="E174" i="2"/>
  <c r="F225" i="2"/>
  <c r="E269" i="2"/>
  <c r="F319" i="2"/>
  <c r="E361" i="2"/>
  <c r="E399" i="2"/>
  <c r="F442" i="2"/>
  <c r="F483" i="2"/>
  <c r="E522" i="2"/>
  <c r="E560" i="2"/>
  <c r="F589" i="2"/>
  <c r="E619" i="2"/>
  <c r="E650" i="2"/>
  <c r="E677" i="2"/>
  <c r="F703" i="2"/>
  <c r="E733" i="2"/>
  <c r="E762" i="2"/>
  <c r="E788" i="2"/>
  <c r="E818" i="2"/>
  <c r="E843" i="2"/>
  <c r="F868" i="2"/>
  <c r="F895" i="2"/>
  <c r="F920" i="2"/>
  <c r="E945" i="2"/>
  <c r="E973" i="2"/>
  <c r="E998" i="2"/>
  <c r="F1018" i="2"/>
  <c r="E1038" i="2"/>
  <c r="E1054" i="2"/>
  <c r="F1072" i="2"/>
  <c r="E1092" i="2"/>
  <c r="F1109" i="2"/>
  <c r="E1125" i="2"/>
  <c r="E1144" i="2"/>
  <c r="F1158" i="2"/>
  <c r="D27" i="2"/>
  <c r="D61" i="2"/>
  <c r="D89" i="2"/>
  <c r="D119" i="2"/>
  <c r="D154" i="2"/>
  <c r="D179" i="2"/>
  <c r="D204" i="2"/>
  <c r="D232" i="2"/>
  <c r="D255" i="2"/>
  <c r="D280" i="2"/>
  <c r="D307" i="2"/>
  <c r="D329" i="2"/>
  <c r="D353" i="2"/>
  <c r="D380" i="2"/>
  <c r="D406" i="2"/>
  <c r="D428" i="2"/>
  <c r="D457" i="2"/>
  <c r="D481" i="2"/>
  <c r="D505" i="2"/>
  <c r="D533" i="2"/>
  <c r="D556" i="2"/>
  <c r="D581" i="2"/>
  <c r="D610" i="2"/>
  <c r="D630" i="2"/>
  <c r="D655" i="2"/>
  <c r="D683" i="2"/>
  <c r="D706" i="2"/>
  <c r="D727" i="2"/>
  <c r="D751" i="2"/>
  <c r="D771" i="2"/>
  <c r="D797" i="2"/>
  <c r="D819" i="2"/>
  <c r="D840" i="2"/>
  <c r="D863" i="2"/>
  <c r="D884" i="2"/>
  <c r="D910" i="2"/>
  <c r="D928" i="2"/>
  <c r="D950" i="2"/>
  <c r="D968" i="2"/>
  <c r="D989" i="2"/>
  <c r="D1011" i="2"/>
  <c r="D1032" i="2"/>
  <c r="Q1032" i="2" s="1"/>
  <c r="D1050" i="2"/>
  <c r="D1068" i="2"/>
  <c r="D1084" i="2"/>
  <c r="D1100" i="2"/>
  <c r="D1118" i="2"/>
  <c r="D1135" i="2"/>
  <c r="H1135" i="2" s="1"/>
  <c r="D1152" i="2"/>
  <c r="F27" i="2"/>
  <c r="F73" i="2"/>
  <c r="F125" i="2"/>
  <c r="F182" i="2"/>
  <c r="F226" i="2"/>
  <c r="E270" i="2"/>
  <c r="F321" i="2"/>
  <c r="F361" i="2"/>
  <c r="F400" i="2"/>
  <c r="E447" i="2"/>
  <c r="F484" i="2"/>
  <c r="E524" i="2"/>
  <c r="E563" i="2"/>
  <c r="E590" i="2"/>
  <c r="E620" i="2"/>
  <c r="F652" i="2"/>
  <c r="F677" i="2"/>
  <c r="E705" i="2"/>
  <c r="F737" i="2"/>
  <c r="F762" i="2"/>
  <c r="E790" i="2"/>
  <c r="E822" i="2"/>
  <c r="F844" i="2"/>
  <c r="F869" i="2"/>
  <c r="E899" i="2"/>
  <c r="E921" i="2"/>
  <c r="E947" i="2"/>
  <c r="E975" i="2"/>
  <c r="F998" i="2"/>
  <c r="F1019" i="2"/>
  <c r="E1039" i="2"/>
  <c r="E1056" i="2"/>
  <c r="E1073" i="2"/>
  <c r="F1092" i="2"/>
  <c r="E1112" i="2"/>
  <c r="F1127" i="2"/>
  <c r="F1145" i="2"/>
  <c r="D3" i="2"/>
  <c r="D28" i="2"/>
  <c r="D62" i="2"/>
  <c r="D91" i="2"/>
  <c r="D120" i="2"/>
  <c r="D155" i="2"/>
  <c r="D181" i="2"/>
  <c r="D205" i="2"/>
  <c r="D233" i="2"/>
  <c r="D256" i="2"/>
  <c r="D281" i="2"/>
  <c r="D308" i="2"/>
  <c r="D332" i="2"/>
  <c r="D354" i="2"/>
  <c r="D382" i="2"/>
  <c r="D407" i="2"/>
  <c r="D430" i="2"/>
  <c r="D458" i="2"/>
  <c r="D483" i="2"/>
  <c r="D506" i="2"/>
  <c r="D534" i="2"/>
  <c r="D558" i="2"/>
  <c r="D582" i="2"/>
  <c r="D611" i="2"/>
  <c r="D634" i="2"/>
  <c r="D656" i="2"/>
  <c r="D686" i="2"/>
  <c r="D707" i="2"/>
  <c r="D728" i="2"/>
  <c r="D752" i="2"/>
  <c r="D774" i="2"/>
  <c r="D798" i="2"/>
  <c r="D820" i="2"/>
  <c r="D843" i="2"/>
  <c r="D864" i="2"/>
  <c r="D889" i="2"/>
  <c r="D911" i="2"/>
  <c r="D929" i="2"/>
  <c r="D951" i="2"/>
  <c r="D970" i="2"/>
  <c r="D994" i="2"/>
  <c r="D1013" i="2"/>
  <c r="D1033" i="2"/>
  <c r="D1052" i="2"/>
  <c r="D1069" i="2"/>
  <c r="R1069" i="2" s="1"/>
  <c r="D1085" i="2"/>
  <c r="M1085" i="2" s="1"/>
  <c r="D1102" i="2"/>
  <c r="G1102" i="2" s="1"/>
  <c r="D1119" i="2"/>
  <c r="M1119" i="2" s="1"/>
  <c r="D1136" i="2"/>
  <c r="D1154" i="2"/>
  <c r="F32" i="2"/>
  <c r="E80" i="2"/>
  <c r="E126" i="2"/>
  <c r="E183" i="2"/>
  <c r="E229" i="2"/>
  <c r="F270" i="2"/>
  <c r="E327" i="2"/>
  <c r="F363" i="2"/>
  <c r="E403" i="2"/>
  <c r="F449" i="2"/>
  <c r="F488" i="2"/>
  <c r="F524" i="2"/>
  <c r="F563" i="2"/>
  <c r="E594" i="2"/>
  <c r="F620" i="2"/>
  <c r="E653" i="2"/>
  <c r="F680" i="2"/>
  <c r="E706" i="2"/>
  <c r="E738" i="2"/>
  <c r="F764" i="2"/>
  <c r="E791" i="2"/>
  <c r="F822" i="2"/>
  <c r="F847" i="2"/>
  <c r="E870" i="2"/>
  <c r="E900" i="2"/>
  <c r="E925" i="2"/>
  <c r="F947" i="2"/>
  <c r="E976" i="2"/>
  <c r="F1000" i="2"/>
  <c r="E1020" i="2"/>
  <c r="F1039" i="2"/>
  <c r="E1057" i="2"/>
  <c r="F1073" i="2"/>
  <c r="E1095" i="2"/>
  <c r="F1112" i="2"/>
  <c r="E1129" i="2"/>
  <c r="F1146" i="2"/>
  <c r="D4" i="2"/>
  <c r="D30" i="2"/>
  <c r="D66" i="2"/>
  <c r="D94" i="2"/>
  <c r="D121" i="2"/>
  <c r="D156" i="2"/>
  <c r="D182" i="2"/>
  <c r="D206" i="2"/>
  <c r="D234" i="2"/>
  <c r="D257" i="2"/>
  <c r="D282" i="2"/>
  <c r="D311" i="2"/>
  <c r="D334" i="2"/>
  <c r="D359" i="2"/>
  <c r="D386" i="2"/>
  <c r="D408" i="2"/>
  <c r="D432" i="2"/>
  <c r="D459" i="2"/>
  <c r="D484" i="2"/>
  <c r="D507" i="2"/>
  <c r="D535" i="2"/>
  <c r="D559" i="2"/>
  <c r="D583" i="2"/>
  <c r="D612" i="2"/>
  <c r="D635" i="2"/>
  <c r="D660" i="2"/>
  <c r="D688" i="2"/>
  <c r="D708" i="2"/>
  <c r="D731" i="2"/>
  <c r="D754" i="2"/>
  <c r="D779" i="2"/>
  <c r="D799" i="2"/>
  <c r="D821" i="2"/>
  <c r="D845" i="2"/>
  <c r="D865" i="2"/>
  <c r="D891" i="2"/>
  <c r="D912" i="2"/>
  <c r="D931" i="2"/>
  <c r="D952" i="2"/>
  <c r="D971" i="2"/>
  <c r="D995" i="2"/>
  <c r="D1014" i="2"/>
  <c r="D1035" i="2"/>
  <c r="D1054" i="2"/>
  <c r="D1070" i="2"/>
  <c r="D1086" i="2"/>
  <c r="D1103" i="2"/>
  <c r="G1103" i="2" s="1"/>
  <c r="T1103" i="2" s="1"/>
  <c r="D1121" i="2"/>
  <c r="M1121" i="2" s="1"/>
  <c r="D1139" i="2"/>
  <c r="M1139" i="2" s="1"/>
  <c r="D1155" i="2"/>
  <c r="Q1155" i="2" s="1"/>
  <c r="E35" i="2"/>
  <c r="E104" i="2"/>
  <c r="F158" i="2"/>
  <c r="F234" i="2"/>
  <c r="E297" i="2"/>
  <c r="E348" i="2"/>
  <c r="F412" i="2"/>
  <c r="F462" i="2"/>
  <c r="F511" i="2"/>
  <c r="E565" i="2"/>
  <c r="E607" i="2"/>
  <c r="E638" i="2"/>
  <c r="E681" i="2"/>
  <c r="F720" i="2"/>
  <c r="F752" i="2"/>
  <c r="F796" i="2"/>
  <c r="E830" i="2"/>
  <c r="E861" i="2"/>
  <c r="E901" i="2"/>
  <c r="F935" i="2"/>
  <c r="F962" i="2"/>
  <c r="F1001" i="2"/>
  <c r="F1027" i="2"/>
  <c r="E1052" i="2"/>
  <c r="E1079" i="2"/>
  <c r="E1099" i="2"/>
  <c r="F1123" i="2"/>
  <c r="E1147" i="2"/>
  <c r="D18" i="2"/>
  <c r="D52" i="2"/>
  <c r="D98" i="2"/>
  <c r="D135" i="2"/>
  <c r="D174" i="2"/>
  <c r="D211" i="2"/>
  <c r="D241" i="2"/>
  <c r="D272" i="2"/>
  <c r="D312" i="2"/>
  <c r="D346" i="2"/>
  <c r="D374" i="2"/>
  <c r="D411" i="2"/>
  <c r="D443" i="2"/>
  <c r="D476" i="2"/>
  <c r="D516" i="2"/>
  <c r="D543" i="2"/>
  <c r="D575" i="2"/>
  <c r="D613" i="2"/>
  <c r="D647" i="2"/>
  <c r="D675" i="2"/>
  <c r="D709" i="2"/>
  <c r="D740" i="2"/>
  <c r="D768" i="2"/>
  <c r="D800" i="2"/>
  <c r="D830" i="2"/>
  <c r="D858" i="2"/>
  <c r="D892" i="2"/>
  <c r="D917" i="2"/>
  <c r="D943" i="2"/>
  <c r="D976" i="2"/>
  <c r="D1000" i="2"/>
  <c r="D1027" i="2"/>
  <c r="N1027" i="2" s="1"/>
  <c r="D1055" i="2"/>
  <c r="D1075" i="2"/>
  <c r="D1097" i="2"/>
  <c r="M1097" i="2" s="1"/>
  <c r="D1123" i="2"/>
  <c r="H1123" i="2" s="1"/>
  <c r="D1144" i="2"/>
  <c r="F35" i="2"/>
  <c r="F104" i="2"/>
  <c r="E159" i="2"/>
  <c r="F235" i="2"/>
  <c r="F297" i="2"/>
  <c r="F354" i="2"/>
  <c r="E414" i="2"/>
  <c r="F464" i="2"/>
  <c r="E512" i="2"/>
  <c r="E568" i="2"/>
  <c r="E608" i="2"/>
  <c r="F638" i="2"/>
  <c r="F683" i="2"/>
  <c r="E722" i="2"/>
  <c r="E758" i="2"/>
  <c r="E799" i="2"/>
  <c r="E832" i="2"/>
  <c r="E862" i="2"/>
  <c r="F901" i="2"/>
  <c r="E936" i="2"/>
  <c r="F964" i="2"/>
  <c r="E1002" i="2"/>
  <c r="E1030" i="2"/>
  <c r="F1052" i="2"/>
  <c r="F1080" i="2"/>
  <c r="E1100" i="2"/>
  <c r="E1124" i="2"/>
  <c r="F1148" i="2"/>
  <c r="D19" i="2"/>
  <c r="D53" i="2"/>
  <c r="D99" i="2"/>
  <c r="D136" i="2"/>
  <c r="D175" i="2"/>
  <c r="D215" i="2"/>
  <c r="D242" i="2"/>
  <c r="D275" i="2"/>
  <c r="D313" i="2"/>
  <c r="D347" i="2"/>
  <c r="D375" i="2"/>
  <c r="D412" i="2"/>
  <c r="D444" i="2"/>
  <c r="D478" i="2"/>
  <c r="D517" i="2"/>
  <c r="D544" i="2"/>
  <c r="D577" i="2"/>
  <c r="D614" i="2"/>
  <c r="D648" i="2"/>
  <c r="D676" i="2"/>
  <c r="D712" i="2"/>
  <c r="D742" i="2"/>
  <c r="D769" i="2"/>
  <c r="D804" i="2"/>
  <c r="D833" i="2"/>
  <c r="D860" i="2"/>
  <c r="D895" i="2"/>
  <c r="D918" i="2"/>
  <c r="D946" i="2"/>
  <c r="D978" i="2"/>
  <c r="D1001" i="2"/>
  <c r="D1028" i="2"/>
  <c r="D1056" i="2"/>
  <c r="Q1056" i="2" s="1"/>
  <c r="D1079" i="2"/>
  <c r="D1098" i="2"/>
  <c r="D1124" i="2"/>
  <c r="D1145" i="2"/>
  <c r="M1145" i="2" s="1"/>
  <c r="E39" i="2"/>
  <c r="E105" i="2"/>
  <c r="F159" i="2"/>
  <c r="E236" i="2"/>
  <c r="E300" i="2"/>
  <c r="E357" i="2"/>
  <c r="E421" i="2"/>
  <c r="E465" i="2"/>
  <c r="E518" i="2"/>
  <c r="F569" i="2"/>
  <c r="E611" i="2"/>
  <c r="E639" i="2"/>
  <c r="E684" i="2"/>
  <c r="F722" i="2"/>
  <c r="E760" i="2"/>
  <c r="E803" i="2"/>
  <c r="F833" i="2"/>
  <c r="F866" i="2"/>
  <c r="E903" i="2"/>
  <c r="F936" i="2"/>
  <c r="E965" i="2"/>
  <c r="F1003" i="2"/>
  <c r="F1030" i="2"/>
  <c r="E1053" i="2"/>
  <c r="E1082" i="2"/>
  <c r="E1102" i="2"/>
  <c r="F1124" i="2"/>
  <c r="E1149" i="2"/>
  <c r="D22" i="2"/>
  <c r="D55" i="2"/>
  <c r="D100" i="2"/>
  <c r="D138" i="2"/>
  <c r="D178" i="2"/>
  <c r="D217" i="2"/>
  <c r="D244" i="2"/>
  <c r="D276" i="2"/>
  <c r="D314" i="2"/>
  <c r="D348" i="2"/>
  <c r="D376" i="2"/>
  <c r="D413" i="2"/>
  <c r="D445" i="2"/>
  <c r="D480" i="2"/>
  <c r="D518" i="2"/>
  <c r="D546" i="2"/>
  <c r="D578" i="2"/>
  <c r="D615" i="2"/>
  <c r="D649" i="2"/>
  <c r="D677" i="2"/>
  <c r="D713" i="2"/>
  <c r="D743" i="2"/>
  <c r="D770" i="2"/>
  <c r="D805" i="2"/>
  <c r="D834" i="2"/>
  <c r="D862" i="2"/>
  <c r="D896" i="2"/>
  <c r="D922" i="2"/>
  <c r="D948" i="2"/>
  <c r="D979" i="2"/>
  <c r="D1003" i="2"/>
  <c r="D1030" i="2"/>
  <c r="D1057" i="2"/>
  <c r="D1080" i="2"/>
  <c r="M1080" i="2" s="1"/>
  <c r="D1099" i="2"/>
  <c r="H1099" i="2" s="1"/>
  <c r="D1126" i="2"/>
  <c r="G1126" i="2" s="1"/>
  <c r="D1146" i="2"/>
  <c r="F47" i="2"/>
  <c r="E137" i="2"/>
  <c r="E209" i="2"/>
  <c r="F300" i="2"/>
  <c r="E383" i="2"/>
  <c r="E451" i="2"/>
  <c r="F532" i="2"/>
  <c r="E580" i="2"/>
  <c r="F635" i="2"/>
  <c r="F692" i="2"/>
  <c r="E739" i="2"/>
  <c r="F779" i="2"/>
  <c r="F835" i="2"/>
  <c r="F883" i="2"/>
  <c r="F925" i="2"/>
  <c r="F978" i="2"/>
  <c r="F1012" i="2"/>
  <c r="F1044" i="2"/>
  <c r="F1082" i="2"/>
  <c r="E1113" i="2"/>
  <c r="F1139" i="2"/>
  <c r="D24" i="2"/>
  <c r="D74" i="2"/>
  <c r="D132" i="2"/>
  <c r="D184" i="2"/>
  <c r="D221" i="2"/>
  <c r="D269" i="2"/>
  <c r="D315" i="2"/>
  <c r="D363" i="2"/>
  <c r="D401" i="2"/>
  <c r="D447" i="2"/>
  <c r="D495" i="2"/>
  <c r="D536" i="2"/>
  <c r="D589" i="2"/>
  <c r="D627" i="2"/>
  <c r="D668" i="2"/>
  <c r="D715" i="2"/>
  <c r="D757" i="2"/>
  <c r="D787" i="2"/>
  <c r="D835" i="2"/>
  <c r="D876" i="2"/>
  <c r="D913" i="2"/>
  <c r="D953" i="2"/>
  <c r="D984" i="2"/>
  <c r="D1021" i="2"/>
  <c r="D1058" i="2"/>
  <c r="P1058" i="2" s="1"/>
  <c r="D1087" i="2"/>
  <c r="D1114" i="2"/>
  <c r="G1114" i="2" s="1"/>
  <c r="D1147" i="2"/>
  <c r="H1147" i="2" s="1"/>
  <c r="E49" i="2"/>
  <c r="F140" i="2"/>
  <c r="F218" i="2"/>
  <c r="E301" i="2"/>
  <c r="F383" i="2"/>
  <c r="F451" i="2"/>
  <c r="F534" i="2"/>
  <c r="F586" i="2"/>
  <c r="E637" i="2"/>
  <c r="E693" i="2"/>
  <c r="F739" i="2"/>
  <c r="E781" i="2"/>
  <c r="E841" i="2"/>
  <c r="E884" i="2"/>
  <c r="F926" i="2"/>
  <c r="E979" i="2"/>
  <c r="E1013" i="2"/>
  <c r="F1045" i="2"/>
  <c r="E1083" i="2"/>
  <c r="E1115" i="2"/>
  <c r="E1140" i="2"/>
  <c r="D75" i="2"/>
  <c r="D133" i="2"/>
  <c r="D185" i="2"/>
  <c r="D222" i="2"/>
  <c r="D270" i="2"/>
  <c r="D316" i="2"/>
  <c r="D364" i="2"/>
  <c r="D402" i="2"/>
  <c r="D450" i="2"/>
  <c r="D496" i="2"/>
  <c r="D538" i="2"/>
  <c r="D590" i="2"/>
  <c r="D628" i="2"/>
  <c r="D673" i="2"/>
  <c r="D720" i="2"/>
  <c r="D758" i="2"/>
  <c r="D791" i="2"/>
  <c r="D836" i="2"/>
  <c r="D877" i="2"/>
  <c r="D914" i="2"/>
  <c r="D954" i="2"/>
  <c r="D985" i="2"/>
  <c r="D1022" i="2"/>
  <c r="D1060" i="2"/>
  <c r="D1088" i="2"/>
  <c r="M1088" i="2" s="1"/>
  <c r="D1115" i="2"/>
  <c r="M1115" i="2" s="1"/>
  <c r="D1150" i="2"/>
  <c r="F58" i="2"/>
  <c r="F151" i="2"/>
  <c r="F250" i="2"/>
  <c r="F328" i="2"/>
  <c r="E389" i="2"/>
  <c r="F471" i="2"/>
  <c r="F543" i="2"/>
  <c r="F594" i="2"/>
  <c r="E654" i="2"/>
  <c r="E696" i="2"/>
  <c r="E746" i="2"/>
  <c r="E805" i="2"/>
  <c r="E848" i="2"/>
  <c r="F886" i="2"/>
  <c r="E938" i="2"/>
  <c r="F984" i="2"/>
  <c r="E1023" i="2"/>
  <c r="E1058" i="2"/>
  <c r="F1084" i="2"/>
  <c r="F1121" i="2"/>
  <c r="F1149" i="2"/>
  <c r="D40" i="2"/>
  <c r="D85" i="2"/>
  <c r="D139" i="2"/>
  <c r="D193" i="2"/>
  <c r="D235" i="2"/>
  <c r="D287" i="2"/>
  <c r="D326" i="2"/>
  <c r="D366" i="2"/>
  <c r="D420" i="2"/>
  <c r="D460" i="2"/>
  <c r="D499" i="2"/>
  <c r="D551" i="2"/>
  <c r="D595" i="2"/>
  <c r="D637" i="2"/>
  <c r="D689" i="2"/>
  <c r="D722" i="2"/>
  <c r="D761" i="2"/>
  <c r="D806" i="2"/>
  <c r="D846" i="2"/>
  <c r="D879" i="2"/>
  <c r="D925" i="2"/>
  <c r="D961" i="2"/>
  <c r="D996" i="2"/>
  <c r="D1036" i="2"/>
  <c r="D1063" i="2"/>
  <c r="D1094" i="2"/>
  <c r="H1094" i="2" s="1"/>
  <c r="D1127" i="2"/>
  <c r="R1127" i="2" s="1"/>
  <c r="D1157" i="2"/>
  <c r="F49" i="2"/>
  <c r="F186" i="2"/>
  <c r="F280" i="2"/>
  <c r="F385" i="2"/>
  <c r="F491" i="2"/>
  <c r="E572" i="2"/>
  <c r="F637" i="2"/>
  <c r="F712" i="2"/>
  <c r="E778" i="2"/>
  <c r="E842" i="2"/>
  <c r="F907" i="2"/>
  <c r="F960" i="2"/>
  <c r="F1014" i="2"/>
  <c r="F1064" i="2"/>
  <c r="F1105" i="2"/>
  <c r="F1140" i="2"/>
  <c r="D43" i="2"/>
  <c r="D114" i="2"/>
  <c r="D188" i="2"/>
  <c r="D250" i="2"/>
  <c r="D298" i="2"/>
  <c r="D365" i="2"/>
  <c r="D425" i="2"/>
  <c r="D485" i="2"/>
  <c r="D539" i="2"/>
  <c r="D599" i="2"/>
  <c r="D664" i="2"/>
  <c r="D721" i="2"/>
  <c r="D780" i="2"/>
  <c r="D822" i="2"/>
  <c r="D878" i="2"/>
  <c r="D932" i="2"/>
  <c r="D980" i="2"/>
  <c r="D1023" i="2"/>
  <c r="I1023" i="2" s="1"/>
  <c r="D1071" i="2"/>
  <c r="D1110" i="2"/>
  <c r="D1151" i="2"/>
  <c r="R1151" i="2" s="1"/>
  <c r="F68" i="2"/>
  <c r="E187" i="2"/>
  <c r="E287" i="2"/>
  <c r="F389" i="2"/>
  <c r="F492" i="2"/>
  <c r="F576" i="2"/>
  <c r="F654" i="2"/>
  <c r="E714" i="2"/>
  <c r="F778" i="2"/>
  <c r="E849" i="2"/>
  <c r="E909" i="2"/>
  <c r="E961" i="2"/>
  <c r="F1024" i="2"/>
  <c r="E1066" i="2"/>
  <c r="F1106" i="2"/>
  <c r="E1150" i="2"/>
  <c r="D46" i="2"/>
  <c r="D115" i="2"/>
  <c r="D194" i="2"/>
  <c r="D251" i="2"/>
  <c r="D299" i="2"/>
  <c r="D368" i="2"/>
  <c r="D426" i="2"/>
  <c r="D486" i="2"/>
  <c r="D552" i="2"/>
  <c r="D600" i="2"/>
  <c r="D665" i="2"/>
  <c r="D725" i="2"/>
  <c r="D782" i="2"/>
  <c r="D824" i="2"/>
  <c r="D882" i="2"/>
  <c r="D936" i="2"/>
  <c r="D982" i="2"/>
  <c r="D1037" i="2"/>
  <c r="R1037" i="2" s="1"/>
  <c r="D1072" i="2"/>
  <c r="D1111" i="2"/>
  <c r="H1111" i="2" s="1"/>
  <c r="D1158" i="2"/>
  <c r="F81" i="2"/>
  <c r="E198" i="2"/>
  <c r="F301" i="2"/>
  <c r="F422" i="2"/>
  <c r="F506" i="2"/>
  <c r="F587" i="2"/>
  <c r="E661" i="2"/>
  <c r="E723" i="2"/>
  <c r="E786" i="2"/>
  <c r="E858" i="2"/>
  <c r="E913" i="2"/>
  <c r="F980" i="2"/>
  <c r="E1031" i="2"/>
  <c r="F1069" i="2"/>
  <c r="F1115" i="2"/>
  <c r="F1155" i="2"/>
  <c r="D67" i="2"/>
  <c r="D134" i="2"/>
  <c r="D197" i="2"/>
  <c r="D259" i="2"/>
  <c r="D319" i="2"/>
  <c r="D387" i="2"/>
  <c r="D439" i="2"/>
  <c r="D498" i="2"/>
  <c r="D562" i="2"/>
  <c r="D616" i="2"/>
  <c r="D674" i="2"/>
  <c r="D732" i="2"/>
  <c r="D784" i="2"/>
  <c r="D838" i="2"/>
  <c r="D898" i="2"/>
  <c r="D938" i="2"/>
  <c r="D987" i="2"/>
  <c r="D1040" i="2"/>
  <c r="R1040" i="2" s="1"/>
  <c r="D1081" i="2"/>
  <c r="D1116" i="2"/>
  <c r="E71" i="2"/>
  <c r="F224" i="2"/>
  <c r="F368" i="2"/>
  <c r="E493" i="2"/>
  <c r="F611" i="2"/>
  <c r="E694" i="2"/>
  <c r="E779" i="2"/>
  <c r="E876" i="2"/>
  <c r="E953" i="2"/>
  <c r="F1026" i="2"/>
  <c r="E1084" i="2"/>
  <c r="E1135" i="2"/>
  <c r="D47" i="2"/>
  <c r="D157" i="2"/>
  <c r="D223" i="2"/>
  <c r="D300" i="2"/>
  <c r="D391" i="2"/>
  <c r="D468" i="2"/>
  <c r="D555" i="2"/>
  <c r="D629" i="2"/>
  <c r="D701" i="2"/>
  <c r="D783" i="2"/>
  <c r="D852" i="2"/>
  <c r="D915" i="2"/>
  <c r="D983" i="2"/>
  <c r="D1046" i="2"/>
  <c r="O1046" i="2" s="1"/>
  <c r="D1105" i="2"/>
  <c r="R1105" i="2" s="1"/>
  <c r="E85" i="2"/>
  <c r="F254" i="2"/>
  <c r="F369" i="2"/>
  <c r="E507" i="2"/>
  <c r="E612" i="2"/>
  <c r="E697" i="2"/>
  <c r="E807" i="2"/>
  <c r="F877" i="2"/>
  <c r="E955" i="2"/>
  <c r="F1031" i="2"/>
  <c r="F1086" i="2"/>
  <c r="E1137" i="2"/>
  <c r="D71" i="2"/>
  <c r="D160" i="2"/>
  <c r="D236" i="2"/>
  <c r="D327" i="2"/>
  <c r="D392" i="2"/>
  <c r="D469" i="2"/>
  <c r="D563" i="2"/>
  <c r="D638" i="2"/>
  <c r="D703" i="2"/>
  <c r="D785" i="2"/>
  <c r="D853" i="2"/>
  <c r="D926" i="2"/>
  <c r="D997" i="2"/>
  <c r="D1047" i="2"/>
  <c r="M1047" i="2" s="1"/>
  <c r="D1108" i="2"/>
  <c r="F105" i="2"/>
  <c r="E257" i="2"/>
  <c r="E396" i="2"/>
  <c r="E541" i="2"/>
  <c r="E627" i="2"/>
  <c r="E718" i="2"/>
  <c r="F808" i="2"/>
  <c r="E886" i="2"/>
  <c r="E962" i="2"/>
  <c r="F1040" i="2"/>
  <c r="F1096" i="2"/>
  <c r="F1152" i="2"/>
  <c r="D76" i="2"/>
  <c r="D163" i="2"/>
  <c r="D254" i="2"/>
  <c r="D335" i="2"/>
  <c r="D404" i="2"/>
  <c r="D490" i="2"/>
  <c r="D570" i="2"/>
  <c r="D650" i="2"/>
  <c r="D726" i="2"/>
  <c r="D795" i="2"/>
  <c r="D870" i="2"/>
  <c r="D937" i="2"/>
  <c r="D1004" i="2"/>
  <c r="D1061" i="2"/>
  <c r="D1112" i="2"/>
  <c r="F106" i="2"/>
  <c r="F257" i="2"/>
  <c r="E425" i="2"/>
  <c r="F545" i="2"/>
  <c r="E629" i="2"/>
  <c r="E724" i="2"/>
  <c r="E809" i="2"/>
  <c r="E887" i="2"/>
  <c r="F986" i="2"/>
  <c r="E1041" i="2"/>
  <c r="F1097" i="2"/>
  <c r="E1156" i="2"/>
  <c r="D86" i="2"/>
  <c r="D166" i="2"/>
  <c r="D260" i="2"/>
  <c r="D336" i="2"/>
  <c r="D421" i="2"/>
  <c r="D503" i="2"/>
  <c r="D571" i="2"/>
  <c r="D652" i="2"/>
  <c r="D734" i="2"/>
  <c r="D807" i="2"/>
  <c r="D872" i="2"/>
  <c r="D941" i="2"/>
  <c r="D1007" i="2"/>
  <c r="D1066" i="2"/>
  <c r="D1128" i="2"/>
  <c r="D1096" i="2"/>
  <c r="D1018" i="2"/>
  <c r="D908" i="2"/>
  <c r="D817" i="2"/>
  <c r="D695" i="2"/>
  <c r="D596" i="2"/>
  <c r="D466" i="2"/>
  <c r="D350" i="2"/>
  <c r="D220" i="2"/>
  <c r="D108" i="2"/>
  <c r="F1134" i="2"/>
  <c r="F1060" i="2"/>
  <c r="E943" i="2"/>
  <c r="E824" i="2"/>
  <c r="F674" i="2"/>
  <c r="F547" i="2"/>
  <c r="F342" i="2"/>
  <c r="E152" i="2"/>
  <c r="E927" i="2"/>
  <c r="F809" i="2"/>
  <c r="F667" i="2"/>
  <c r="E546" i="2"/>
  <c r="E339" i="2"/>
  <c r="F117" i="2"/>
  <c r="D1083" i="2"/>
  <c r="D998" i="2"/>
  <c r="D900" i="2"/>
  <c r="D786" i="2"/>
  <c r="D691" i="2"/>
  <c r="D564" i="2"/>
  <c r="D442" i="2"/>
  <c r="D328" i="2"/>
  <c r="D203" i="2"/>
  <c r="D72" i="2"/>
  <c r="E1032" i="2"/>
  <c r="F919" i="2"/>
  <c r="E808" i="2"/>
  <c r="F665" i="2"/>
  <c r="F507" i="2"/>
  <c r="F331" i="2"/>
  <c r="F85" i="2"/>
  <c r="Q1082" i="2"/>
  <c r="N1082" i="2"/>
  <c r="T1082" i="2" s="1"/>
  <c r="H1082" i="2"/>
  <c r="Q1095" i="2"/>
  <c r="N1095" i="2"/>
  <c r="H1095" i="2"/>
  <c r="R1042" i="2"/>
  <c r="O1042" i="2"/>
  <c r="M1044" i="2"/>
  <c r="R1129" i="2"/>
  <c r="R1093" i="2"/>
  <c r="M1109" i="2"/>
  <c r="R1067" i="2"/>
  <c r="R1082" i="2"/>
  <c r="O1082" i="2"/>
  <c r="M1095" i="2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N161" i="2" l="1"/>
  <c r="I161" i="2"/>
  <c r="T161" i="2" s="1"/>
  <c r="Q296" i="2"/>
  <c r="Q759" i="2"/>
  <c r="H759" i="2"/>
  <c r="G746" i="2"/>
  <c r="M899" i="2"/>
  <c r="N296" i="2"/>
  <c r="I899" i="2"/>
  <c r="G296" i="2"/>
  <c r="R899" i="2"/>
  <c r="O942" i="2"/>
  <c r="I746" i="2"/>
  <c r="N747" i="2"/>
  <c r="I942" i="2"/>
  <c r="H747" i="2"/>
  <c r="G942" i="2"/>
  <c r="R747" i="2"/>
  <c r="Q942" i="2"/>
  <c r="G747" i="2"/>
  <c r="T747" i="2" s="1"/>
  <c r="M296" i="2"/>
  <c r="O746" i="2"/>
  <c r="N746" i="2"/>
  <c r="T746" i="2" s="1"/>
  <c r="M746" i="2"/>
  <c r="P146" i="2"/>
  <c r="H146" i="2"/>
  <c r="R146" i="2"/>
  <c r="R746" i="2"/>
  <c r="Q746" i="2"/>
  <c r="M526" i="2"/>
  <c r="M146" i="2"/>
  <c r="I296" i="2"/>
  <c r="R744" i="2"/>
  <c r="N744" i="2"/>
  <c r="H296" i="2"/>
  <c r="M118" i="2"/>
  <c r="G118" i="2"/>
  <c r="I958" i="2"/>
  <c r="O958" i="2"/>
  <c r="N1073" i="2"/>
  <c r="G1073" i="2"/>
  <c r="J744" i="2"/>
  <c r="L744" i="2"/>
  <c r="K744" i="2"/>
  <c r="R118" i="2"/>
  <c r="P746" i="2"/>
  <c r="Q146" i="2"/>
  <c r="H1129" i="2"/>
  <c r="Q744" i="2"/>
  <c r="P1082" i="2"/>
  <c r="Q962" i="2"/>
  <c r="H389" i="2"/>
  <c r="Q118" i="2"/>
  <c r="M1082" i="2"/>
  <c r="G1123" i="2"/>
  <c r="T1123" i="2" s="1"/>
  <c r="G1135" i="2"/>
  <c r="T1135" i="2" s="1"/>
  <c r="G1147" i="2"/>
  <c r="T1147" i="2" s="1"/>
  <c r="I1082" i="2"/>
  <c r="I744" i="2"/>
  <c r="O522" i="2"/>
  <c r="G146" i="2"/>
  <c r="M161" i="2"/>
  <c r="G1129" i="2"/>
  <c r="R962" i="2"/>
  <c r="N522" i="2"/>
  <c r="T522" i="2" s="1"/>
  <c r="G522" i="2"/>
  <c r="N1131" i="2"/>
  <c r="I1088" i="2"/>
  <c r="R1088" i="2"/>
  <c r="N1029" i="2"/>
  <c r="G1111" i="2"/>
  <c r="T1111" i="2" s="1"/>
  <c r="N526" i="2"/>
  <c r="T526" i="2" s="1"/>
  <c r="O146" i="2"/>
  <c r="I747" i="2"/>
  <c r="H522" i="2"/>
  <c r="P522" i="2"/>
  <c r="I526" i="2"/>
  <c r="I522" i="2"/>
  <c r="H958" i="2"/>
  <c r="G526" i="2"/>
  <c r="H1073" i="2"/>
  <c r="N1129" i="2"/>
  <c r="P142" i="2"/>
  <c r="R389" i="2"/>
  <c r="O142" i="2"/>
  <c r="R1073" i="2"/>
  <c r="Q389" i="2"/>
  <c r="Q142" i="2"/>
  <c r="M942" i="2"/>
  <c r="G389" i="2"/>
  <c r="P942" i="2"/>
  <c r="M372" i="2"/>
  <c r="M1114" i="2"/>
  <c r="N1123" i="2"/>
  <c r="N1107" i="2"/>
  <c r="R958" i="2"/>
  <c r="M958" i="2"/>
  <c r="K372" i="2"/>
  <c r="J372" i="2"/>
  <c r="P958" i="2"/>
  <c r="M523" i="2"/>
  <c r="O526" i="2"/>
  <c r="G142" i="2"/>
  <c r="R942" i="2"/>
  <c r="Q522" i="2"/>
  <c r="M759" i="2"/>
  <c r="I523" i="2"/>
  <c r="H523" i="2"/>
  <c r="N142" i="2"/>
  <c r="T142" i="2" s="1"/>
  <c r="Q372" i="2"/>
  <c r="R523" i="2"/>
  <c r="H526" i="2"/>
  <c r="R142" i="2"/>
  <c r="I372" i="2"/>
  <c r="Q523" i="2"/>
  <c r="N372" i="2"/>
  <c r="I389" i="2"/>
  <c r="T389" i="2" s="1"/>
  <c r="N523" i="2"/>
  <c r="Q526" i="2"/>
  <c r="G372" i="2"/>
  <c r="R526" i="2"/>
  <c r="M1126" i="2"/>
  <c r="G1099" i="2"/>
  <c r="T1099" i="2" s="1"/>
  <c r="M1138" i="2"/>
  <c r="G1091" i="2"/>
  <c r="T1091" i="2" s="1"/>
  <c r="N1155" i="2"/>
  <c r="H1107" i="2"/>
  <c r="Q1131" i="2"/>
  <c r="M1107" i="2"/>
  <c r="N1032" i="2"/>
  <c r="M1090" i="2"/>
  <c r="H1131" i="2"/>
  <c r="R1099" i="2"/>
  <c r="N1099" i="2"/>
  <c r="M1099" i="2"/>
  <c r="H1155" i="2"/>
  <c r="Q1027" i="2"/>
  <c r="I1099" i="2"/>
  <c r="Q1099" i="2"/>
  <c r="M1091" i="2"/>
  <c r="R1139" i="2"/>
  <c r="M1102" i="2"/>
  <c r="R372" i="2"/>
  <c r="M389" i="2"/>
  <c r="H142" i="2"/>
  <c r="G161" i="2"/>
  <c r="H942" i="2"/>
  <c r="Q1073" i="2"/>
  <c r="Q1129" i="2"/>
  <c r="M142" i="2"/>
  <c r="I1073" i="2"/>
  <c r="T1073" i="2" s="1"/>
  <c r="I1129" i="2"/>
  <c r="T1129" i="2" s="1"/>
  <c r="T372" i="2"/>
  <c r="L372" i="2"/>
  <c r="R522" i="2"/>
  <c r="G958" i="2"/>
  <c r="N958" i="2"/>
  <c r="T958" i="2" s="1"/>
  <c r="I5" i="2"/>
  <c r="T5" i="2" s="1"/>
  <c r="N5" i="2"/>
  <c r="H962" i="2"/>
  <c r="P962" i="2"/>
  <c r="O962" i="2"/>
  <c r="I962" i="2"/>
  <c r="G521" i="2"/>
  <c r="M521" i="2"/>
  <c r="N521" i="2"/>
  <c r="N1149" i="2"/>
  <c r="N1051" i="2"/>
  <c r="G1151" i="2"/>
  <c r="T1151" i="2" s="1"/>
  <c r="N1147" i="2"/>
  <c r="R1046" i="2"/>
  <c r="M962" i="2"/>
  <c r="O118" i="2"/>
  <c r="P118" i="2"/>
  <c r="N1135" i="2"/>
  <c r="N962" i="2"/>
  <c r="T962" i="2" s="1"/>
  <c r="H899" i="2"/>
  <c r="N899" i="2"/>
  <c r="N1111" i="2"/>
  <c r="R1147" i="2"/>
  <c r="H1132" i="2"/>
  <c r="R1132" i="2"/>
  <c r="Q1132" i="2"/>
  <c r="I1132" i="2"/>
  <c r="N1132" i="2"/>
  <c r="G1132" i="2"/>
  <c r="M1132" i="2"/>
  <c r="R1019" i="2"/>
  <c r="G1019" i="2"/>
  <c r="T1019" i="2" s="1"/>
  <c r="H1019" i="2"/>
  <c r="M1019" i="2"/>
  <c r="N1019" i="2"/>
  <c r="I1019" i="2"/>
  <c r="Q1019" i="2"/>
  <c r="G692" i="2"/>
  <c r="H692" i="2"/>
  <c r="M692" i="2"/>
  <c r="Q692" i="2"/>
  <c r="R692" i="2"/>
  <c r="I692" i="2"/>
  <c r="N692" i="2"/>
  <c r="H464" i="2"/>
  <c r="G464" i="2"/>
  <c r="N464" i="2"/>
  <c r="Q464" i="2"/>
  <c r="R464" i="2"/>
  <c r="M464" i="2"/>
  <c r="I464" i="2"/>
  <c r="I41" i="2"/>
  <c r="T41" i="2" s="1"/>
  <c r="M41" i="2"/>
  <c r="R41" i="2"/>
  <c r="H41" i="2"/>
  <c r="G41" i="2"/>
  <c r="N41" i="2"/>
  <c r="R927" i="2"/>
  <c r="G927" i="2"/>
  <c r="T927" i="2" s="1"/>
  <c r="H927" i="2"/>
  <c r="M927" i="2"/>
  <c r="N927" i="2"/>
  <c r="I927" i="2"/>
  <c r="Q927" i="2"/>
  <c r="G574" i="2"/>
  <c r="R574" i="2"/>
  <c r="Q574" i="2"/>
  <c r="P574" i="2"/>
  <c r="H574" i="2"/>
  <c r="I574" i="2"/>
  <c r="M574" i="2"/>
  <c r="O574" i="2"/>
  <c r="N574" i="2"/>
  <c r="T574" i="2" s="1"/>
  <c r="N349" i="2"/>
  <c r="I349" i="2"/>
  <c r="T349" i="2" s="1"/>
  <c r="G349" i="2"/>
  <c r="H349" i="2"/>
  <c r="R349" i="2"/>
  <c r="Q349" i="2"/>
  <c r="M349" i="2"/>
  <c r="Q290" i="2"/>
  <c r="M290" i="2"/>
  <c r="N290" i="2"/>
  <c r="T290" i="2" s="1"/>
  <c r="R290" i="2"/>
  <c r="G290" i="2"/>
  <c r="I290" i="2"/>
  <c r="H290" i="2"/>
  <c r="O290" i="2"/>
  <c r="P290" i="2"/>
  <c r="I818" i="2"/>
  <c r="M818" i="2"/>
  <c r="O818" i="2"/>
  <c r="G818" i="2"/>
  <c r="H818" i="2"/>
  <c r="Q818" i="2"/>
  <c r="R818" i="2"/>
  <c r="P818" i="2"/>
  <c r="N818" i="2"/>
  <c r="T818" i="2" s="1"/>
  <c r="H452" i="2"/>
  <c r="R452" i="2"/>
  <c r="G452" i="2"/>
  <c r="I452" i="2"/>
  <c r="N452" i="2"/>
  <c r="Q452" i="2"/>
  <c r="M452" i="2"/>
  <c r="H219" i="2"/>
  <c r="I219" i="2"/>
  <c r="M219" i="2"/>
  <c r="N219" i="2"/>
  <c r="G219" i="2"/>
  <c r="T219" i="2" s="1"/>
  <c r="R219" i="2"/>
  <c r="Q219" i="2"/>
  <c r="Q202" i="2"/>
  <c r="H202" i="2"/>
  <c r="I202" i="2"/>
  <c r="N202" i="2"/>
  <c r="T202" i="2" s="1"/>
  <c r="O202" i="2"/>
  <c r="R202" i="2"/>
  <c r="P202" i="2"/>
  <c r="M202" i="2"/>
  <c r="G202" i="2"/>
  <c r="H26" i="2"/>
  <c r="R26" i="2"/>
  <c r="P26" i="2"/>
  <c r="G26" i="2"/>
  <c r="N26" i="2"/>
  <c r="T26" i="2" s="1"/>
  <c r="O26" i="2"/>
  <c r="I26" i="2"/>
  <c r="M26" i="2"/>
  <c r="Q519" i="2"/>
  <c r="G519" i="2"/>
  <c r="T519" i="2" s="1"/>
  <c r="R519" i="2"/>
  <c r="M519" i="2"/>
  <c r="N519" i="2"/>
  <c r="I519" i="2"/>
  <c r="H519" i="2"/>
  <c r="Q704" i="2"/>
  <c r="R704" i="2"/>
  <c r="H704" i="2"/>
  <c r="G704" i="2"/>
  <c r="I704" i="2"/>
  <c r="M704" i="2"/>
  <c r="N704" i="2"/>
  <c r="Q338" i="2"/>
  <c r="G338" i="2"/>
  <c r="H338" i="2"/>
  <c r="N338" i="2"/>
  <c r="T338" i="2" s="1"/>
  <c r="R338" i="2"/>
  <c r="P338" i="2"/>
  <c r="I338" i="2"/>
  <c r="O338" i="2"/>
  <c r="M338" i="2"/>
  <c r="G107" i="2"/>
  <c r="T107" i="2" s="1"/>
  <c r="I107" i="2"/>
  <c r="M107" i="2"/>
  <c r="N107" i="2"/>
  <c r="Q107" i="2"/>
  <c r="H107" i="2"/>
  <c r="R107" i="2"/>
  <c r="N293" i="2"/>
  <c r="I293" i="2"/>
  <c r="T293" i="2" s="1"/>
  <c r="M293" i="2"/>
  <c r="R293" i="2"/>
  <c r="G293" i="2"/>
  <c r="H293" i="2"/>
  <c r="Q293" i="2"/>
  <c r="Q622" i="2"/>
  <c r="R622" i="2"/>
  <c r="G622" i="2"/>
  <c r="H622" i="2"/>
  <c r="I622" i="2"/>
  <c r="N622" i="2"/>
  <c r="T622" i="2" s="1"/>
  <c r="O622" i="2"/>
  <c r="P622" i="2"/>
  <c r="M622" i="2"/>
  <c r="H10" i="2"/>
  <c r="R10" i="2"/>
  <c r="G10" i="2"/>
  <c r="P10" i="2"/>
  <c r="I10" i="2"/>
  <c r="M10" i="2"/>
  <c r="N10" i="2"/>
  <c r="T10" i="2" s="1"/>
  <c r="O10" i="2"/>
  <c r="H288" i="2"/>
  <c r="R288" i="2"/>
  <c r="G288" i="2"/>
  <c r="I288" i="2"/>
  <c r="N288" i="2"/>
  <c r="M288" i="2"/>
  <c r="Q288" i="2"/>
  <c r="O690" i="2"/>
  <c r="P690" i="2"/>
  <c r="R690" i="2"/>
  <c r="H690" i="2"/>
  <c r="M690" i="2"/>
  <c r="I690" i="2"/>
  <c r="N690" i="2"/>
  <c r="T690" i="2" s="1"/>
  <c r="Q690" i="2"/>
  <c r="G690" i="2"/>
  <c r="G598" i="2"/>
  <c r="R598" i="2"/>
  <c r="H598" i="2"/>
  <c r="M598" i="2"/>
  <c r="I598" i="2"/>
  <c r="N598" i="2"/>
  <c r="T598" i="2" s="1"/>
  <c r="O598" i="2"/>
  <c r="P598" i="2"/>
  <c r="Q598" i="2"/>
  <c r="Q218" i="2"/>
  <c r="N218" i="2"/>
  <c r="T218" i="2" s="1"/>
  <c r="R218" i="2"/>
  <c r="I218" i="2"/>
  <c r="M218" i="2"/>
  <c r="P218" i="2"/>
  <c r="G218" i="2"/>
  <c r="H218" i="2"/>
  <c r="O218" i="2"/>
  <c r="I739" i="2"/>
  <c r="G739" i="2"/>
  <c r="T739" i="2" s="1"/>
  <c r="H739" i="2"/>
  <c r="M739" i="2"/>
  <c r="N739" i="2"/>
  <c r="Q739" i="2"/>
  <c r="R739" i="2"/>
  <c r="N1133" i="2"/>
  <c r="G1133" i="2"/>
  <c r="Q1133" i="2"/>
  <c r="R1133" i="2"/>
  <c r="I1133" i="2"/>
  <c r="T1133" i="2" s="1"/>
  <c r="H1133" i="2"/>
  <c r="N271" i="2"/>
  <c r="G271" i="2"/>
  <c r="T271" i="2" s="1"/>
  <c r="H271" i="2"/>
  <c r="M271" i="2"/>
  <c r="I271" i="2"/>
  <c r="Q271" i="2"/>
  <c r="R271" i="2"/>
  <c r="R504" i="2"/>
  <c r="I504" i="2"/>
  <c r="G504" i="2"/>
  <c r="M504" i="2"/>
  <c r="H504" i="2"/>
  <c r="N504" i="2"/>
  <c r="Q504" i="2"/>
  <c r="I874" i="2"/>
  <c r="M874" i="2"/>
  <c r="O874" i="2"/>
  <c r="G874" i="2"/>
  <c r="N874" i="2"/>
  <c r="T874" i="2" s="1"/>
  <c r="P874" i="2"/>
  <c r="R874" i="2"/>
  <c r="Q874" i="2"/>
  <c r="H874" i="2"/>
  <c r="Q470" i="2"/>
  <c r="M470" i="2"/>
  <c r="I470" i="2"/>
  <c r="P470" i="2"/>
  <c r="G470" i="2"/>
  <c r="N470" i="2"/>
  <c r="T470" i="2" s="1"/>
  <c r="O470" i="2"/>
  <c r="R470" i="2"/>
  <c r="H470" i="2"/>
  <c r="R1015" i="2"/>
  <c r="N1015" i="2"/>
  <c r="Q1015" i="2"/>
  <c r="H1015" i="2"/>
  <c r="G1015" i="2"/>
  <c r="T1015" i="2" s="1"/>
  <c r="M1015" i="2"/>
  <c r="I1015" i="2"/>
  <c r="I88" i="2"/>
  <c r="M88" i="2"/>
  <c r="G88" i="2"/>
  <c r="N88" i="2"/>
  <c r="H88" i="2"/>
  <c r="Q88" i="2"/>
  <c r="R88" i="2"/>
  <c r="R263" i="2"/>
  <c r="M263" i="2"/>
  <c r="N263" i="2"/>
  <c r="Q263" i="2"/>
  <c r="G263" i="2"/>
  <c r="T263" i="2" s="1"/>
  <c r="H263" i="2"/>
  <c r="I263" i="2"/>
  <c r="H440" i="2"/>
  <c r="R440" i="2"/>
  <c r="Q440" i="2"/>
  <c r="G440" i="2"/>
  <c r="N440" i="2"/>
  <c r="I440" i="2"/>
  <c r="M440" i="2"/>
  <c r="I667" i="2"/>
  <c r="Q667" i="2"/>
  <c r="R667" i="2"/>
  <c r="M667" i="2"/>
  <c r="N667" i="2"/>
  <c r="H667" i="2"/>
  <c r="G667" i="2"/>
  <c r="T667" i="2" s="1"/>
  <c r="H1044" i="2"/>
  <c r="T1044" i="2" s="1"/>
  <c r="G1044" i="2"/>
  <c r="I1044" i="2"/>
  <c r="Q1044" i="2"/>
  <c r="N1044" i="2"/>
  <c r="R1044" i="2"/>
  <c r="H351" i="2"/>
  <c r="G351" i="2"/>
  <c r="T351" i="2" s="1"/>
  <c r="I351" i="2"/>
  <c r="N351" i="2"/>
  <c r="R351" i="2"/>
  <c r="M351" i="2"/>
  <c r="Q351" i="2"/>
  <c r="G594" i="2"/>
  <c r="N594" i="2"/>
  <c r="T594" i="2" s="1"/>
  <c r="O594" i="2"/>
  <c r="Q594" i="2"/>
  <c r="H594" i="2"/>
  <c r="M594" i="2"/>
  <c r="R594" i="2"/>
  <c r="P594" i="2"/>
  <c r="I594" i="2"/>
  <c r="H196" i="2"/>
  <c r="R196" i="2"/>
  <c r="G196" i="2"/>
  <c r="I196" i="2"/>
  <c r="N196" i="2"/>
  <c r="Q196" i="2"/>
  <c r="M196" i="2"/>
  <c r="H427" i="2"/>
  <c r="I427" i="2"/>
  <c r="R427" i="2"/>
  <c r="Q427" i="2"/>
  <c r="G427" i="2"/>
  <c r="T427" i="2" s="1"/>
  <c r="M427" i="2"/>
  <c r="N427" i="2"/>
  <c r="R653" i="2"/>
  <c r="Q653" i="2"/>
  <c r="M653" i="2"/>
  <c r="N653" i="2"/>
  <c r="H653" i="2"/>
  <c r="G653" i="2"/>
  <c r="I653" i="2"/>
  <c r="T653" i="2" s="1"/>
  <c r="G857" i="2"/>
  <c r="I857" i="2"/>
  <c r="T857" i="2" s="1"/>
  <c r="N857" i="2"/>
  <c r="Q857" i="2"/>
  <c r="R857" i="2"/>
  <c r="H857" i="2"/>
  <c r="M857" i="2"/>
  <c r="Q238" i="2"/>
  <c r="G238" i="2"/>
  <c r="H238" i="2"/>
  <c r="O238" i="2"/>
  <c r="I238" i="2"/>
  <c r="M238" i="2"/>
  <c r="P238" i="2"/>
  <c r="N238" i="2"/>
  <c r="T238" i="2" s="1"/>
  <c r="R238" i="2"/>
  <c r="G1083" i="2"/>
  <c r="T1083" i="2" s="1"/>
  <c r="Q1083" i="2"/>
  <c r="H1083" i="2"/>
  <c r="N1083" i="2"/>
  <c r="M1096" i="2"/>
  <c r="N1096" i="2"/>
  <c r="Q1096" i="2"/>
  <c r="R1096" i="2"/>
  <c r="G1096" i="2"/>
  <c r="I1096" i="2"/>
  <c r="H1096" i="2"/>
  <c r="G785" i="2"/>
  <c r="I785" i="2"/>
  <c r="T785" i="2" s="1"/>
  <c r="H785" i="2"/>
  <c r="M785" i="2"/>
  <c r="R785" i="2"/>
  <c r="N785" i="2"/>
  <c r="Q785" i="2"/>
  <c r="G47" i="2"/>
  <c r="T47" i="2" s="1"/>
  <c r="M47" i="2"/>
  <c r="H47" i="2"/>
  <c r="N47" i="2"/>
  <c r="I47" i="2"/>
  <c r="R47" i="2"/>
  <c r="G562" i="2"/>
  <c r="R562" i="2"/>
  <c r="I562" i="2"/>
  <c r="H562" i="2"/>
  <c r="M562" i="2"/>
  <c r="N562" i="2"/>
  <c r="T562" i="2" s="1"/>
  <c r="O562" i="2"/>
  <c r="P562" i="2"/>
  <c r="Q562" i="2"/>
  <c r="H664" i="2"/>
  <c r="I664" i="2"/>
  <c r="N664" i="2"/>
  <c r="M664" i="2"/>
  <c r="Q664" i="2"/>
  <c r="R664" i="2"/>
  <c r="G664" i="2"/>
  <c r="I846" i="2"/>
  <c r="M846" i="2"/>
  <c r="O846" i="2"/>
  <c r="H846" i="2"/>
  <c r="N846" i="2"/>
  <c r="T846" i="2" s="1"/>
  <c r="Q846" i="2"/>
  <c r="G846" i="2"/>
  <c r="P846" i="2"/>
  <c r="R846" i="2"/>
  <c r="G877" i="2"/>
  <c r="I877" i="2"/>
  <c r="T877" i="2" s="1"/>
  <c r="M877" i="2"/>
  <c r="N877" i="2"/>
  <c r="Q877" i="2"/>
  <c r="R877" i="2"/>
  <c r="H877" i="2"/>
  <c r="N401" i="2"/>
  <c r="R401" i="2"/>
  <c r="H401" i="2"/>
  <c r="I401" i="2"/>
  <c r="T401" i="2" s="1"/>
  <c r="M401" i="2"/>
  <c r="Q401" i="2"/>
  <c r="G401" i="2"/>
  <c r="R649" i="2"/>
  <c r="Q649" i="2"/>
  <c r="N649" i="2"/>
  <c r="G649" i="2"/>
  <c r="H649" i="2"/>
  <c r="I649" i="2"/>
  <c r="T649" i="2" s="1"/>
  <c r="M649" i="2"/>
  <c r="H1124" i="2"/>
  <c r="M1124" i="2"/>
  <c r="N1124" i="2"/>
  <c r="G1124" i="2"/>
  <c r="Q1124" i="2"/>
  <c r="R1124" i="2"/>
  <c r="I1124" i="2"/>
  <c r="H412" i="2"/>
  <c r="I412" i="2"/>
  <c r="N412" i="2"/>
  <c r="Q412" i="2"/>
  <c r="M412" i="2"/>
  <c r="R412" i="2"/>
  <c r="G412" i="2"/>
  <c r="R943" i="2"/>
  <c r="H943" i="2"/>
  <c r="I943" i="2"/>
  <c r="Q943" i="2"/>
  <c r="G943" i="2"/>
  <c r="T943" i="2" s="1"/>
  <c r="M943" i="2"/>
  <c r="N943" i="2"/>
  <c r="R174" i="2"/>
  <c r="I174" i="2"/>
  <c r="M174" i="2"/>
  <c r="Q174" i="2"/>
  <c r="N174" i="2"/>
  <c r="T174" i="2" s="1"/>
  <c r="P174" i="2"/>
  <c r="O174" i="2"/>
  <c r="G174" i="2"/>
  <c r="H174" i="2"/>
  <c r="G865" i="2"/>
  <c r="I865" i="2"/>
  <c r="T865" i="2" s="1"/>
  <c r="Q865" i="2"/>
  <c r="R865" i="2"/>
  <c r="H865" i="2"/>
  <c r="M865" i="2"/>
  <c r="N865" i="2"/>
  <c r="G929" i="2"/>
  <c r="I929" i="2"/>
  <c r="T929" i="2" s="1"/>
  <c r="H929" i="2"/>
  <c r="M929" i="2"/>
  <c r="R929" i="2"/>
  <c r="N929" i="2"/>
  <c r="Q929" i="2"/>
  <c r="Q656" i="2"/>
  <c r="R656" i="2"/>
  <c r="H656" i="2"/>
  <c r="M656" i="2"/>
  <c r="I656" i="2"/>
  <c r="N656" i="2"/>
  <c r="G656" i="2"/>
  <c r="M28" i="2"/>
  <c r="N28" i="2"/>
  <c r="R28" i="2"/>
  <c r="H28" i="2"/>
  <c r="I28" i="2"/>
  <c r="G28" i="2"/>
  <c r="I989" i="2"/>
  <c r="T989" i="2" s="1"/>
  <c r="H989" i="2"/>
  <c r="M989" i="2"/>
  <c r="N989" i="2"/>
  <c r="G989" i="2"/>
  <c r="R989" i="2"/>
  <c r="Q989" i="2"/>
  <c r="H428" i="2"/>
  <c r="I428" i="2"/>
  <c r="M428" i="2"/>
  <c r="R428" i="2"/>
  <c r="N428" i="2"/>
  <c r="G428" i="2"/>
  <c r="Q428" i="2"/>
  <c r="Q342" i="2"/>
  <c r="G342" i="2"/>
  <c r="M342" i="2"/>
  <c r="R342" i="2"/>
  <c r="H342" i="2"/>
  <c r="I342" i="2"/>
  <c r="N342" i="2"/>
  <c r="T342" i="2" s="1"/>
  <c r="O342" i="2"/>
  <c r="P342" i="2"/>
  <c r="G869" i="2"/>
  <c r="I869" i="2"/>
  <c r="T869" i="2" s="1"/>
  <c r="H869" i="2"/>
  <c r="N869" i="2"/>
  <c r="M869" i="2"/>
  <c r="R869" i="2"/>
  <c r="Q869" i="2"/>
  <c r="N191" i="2"/>
  <c r="M191" i="2"/>
  <c r="Q191" i="2"/>
  <c r="G191" i="2"/>
  <c r="T191" i="2" s="1"/>
  <c r="H191" i="2"/>
  <c r="I191" i="2"/>
  <c r="R191" i="2"/>
  <c r="R565" i="2"/>
  <c r="N565" i="2"/>
  <c r="Q565" i="2"/>
  <c r="G565" i="2"/>
  <c r="I565" i="2"/>
  <c r="T565" i="2" s="1"/>
  <c r="H565" i="2"/>
  <c r="M565" i="2"/>
  <c r="I101" i="2"/>
  <c r="T101" i="2" s="1"/>
  <c r="M101" i="2"/>
  <c r="H101" i="2"/>
  <c r="Q101" i="2"/>
  <c r="G101" i="2"/>
  <c r="N101" i="2"/>
  <c r="R101" i="2"/>
  <c r="R875" i="2"/>
  <c r="G875" i="2"/>
  <c r="T875" i="2" s="1"/>
  <c r="H875" i="2"/>
  <c r="I875" i="2"/>
  <c r="M875" i="2"/>
  <c r="N875" i="2"/>
  <c r="Q875" i="2"/>
  <c r="N497" i="2"/>
  <c r="H497" i="2"/>
  <c r="I497" i="2"/>
  <c r="T497" i="2" s="1"/>
  <c r="G497" i="2"/>
  <c r="M497" i="2"/>
  <c r="Q497" i="2"/>
  <c r="R497" i="2"/>
  <c r="R110" i="2"/>
  <c r="H110" i="2"/>
  <c r="I110" i="2"/>
  <c r="Q110" i="2"/>
  <c r="O110" i="2"/>
  <c r="P110" i="2"/>
  <c r="G110" i="2"/>
  <c r="M110" i="2"/>
  <c r="N110" i="2"/>
  <c r="T110" i="2" s="1"/>
  <c r="R959" i="2"/>
  <c r="Q959" i="2"/>
  <c r="G959" i="2"/>
  <c r="T959" i="2" s="1"/>
  <c r="H959" i="2"/>
  <c r="I959" i="2"/>
  <c r="M959" i="2"/>
  <c r="N959" i="2"/>
  <c r="M588" i="2"/>
  <c r="R588" i="2"/>
  <c r="H588" i="2"/>
  <c r="N588" i="2"/>
  <c r="I588" i="2"/>
  <c r="G588" i="2"/>
  <c r="Q588" i="2"/>
  <c r="Q210" i="2"/>
  <c r="M210" i="2"/>
  <c r="N210" i="2"/>
  <c r="T210" i="2" s="1"/>
  <c r="I210" i="2"/>
  <c r="P210" i="2"/>
  <c r="G210" i="2"/>
  <c r="H210" i="2"/>
  <c r="O210" i="2"/>
  <c r="R210" i="2"/>
  <c r="O1038" i="2"/>
  <c r="H1038" i="2"/>
  <c r="M1038" i="2"/>
  <c r="N1038" i="2"/>
  <c r="T1038" i="2" s="1"/>
  <c r="R1038" i="2"/>
  <c r="G1038" i="2"/>
  <c r="P1038" i="2"/>
  <c r="I1038" i="2"/>
  <c r="Q1038" i="2"/>
  <c r="N724" i="2"/>
  <c r="Q724" i="2"/>
  <c r="R724" i="2"/>
  <c r="G724" i="2"/>
  <c r="H724" i="2"/>
  <c r="I724" i="2"/>
  <c r="M724" i="2"/>
  <c r="Q410" i="2"/>
  <c r="P410" i="2"/>
  <c r="N410" i="2"/>
  <c r="T410" i="2" s="1"/>
  <c r="O410" i="2"/>
  <c r="G410" i="2"/>
  <c r="H410" i="2"/>
  <c r="I410" i="2"/>
  <c r="M410" i="2"/>
  <c r="R410" i="2"/>
  <c r="R82" i="2"/>
  <c r="G82" i="2"/>
  <c r="P82" i="2"/>
  <c r="Q82" i="2"/>
  <c r="M82" i="2"/>
  <c r="O82" i="2"/>
  <c r="N82" i="2"/>
  <c r="T82" i="2" s="1"/>
  <c r="H82" i="2"/>
  <c r="I82" i="2"/>
  <c r="G605" i="2"/>
  <c r="H605" i="2"/>
  <c r="M605" i="2"/>
  <c r="I605" i="2"/>
  <c r="T605" i="2" s="1"/>
  <c r="N605" i="2"/>
  <c r="Q605" i="2"/>
  <c r="R605" i="2"/>
  <c r="Q291" i="2"/>
  <c r="R291" i="2"/>
  <c r="I291" i="2"/>
  <c r="G291" i="2"/>
  <c r="T291" i="2" s="1"/>
  <c r="H291" i="2"/>
  <c r="M291" i="2"/>
  <c r="N291" i="2"/>
  <c r="I109" i="2"/>
  <c r="T109" i="2" s="1"/>
  <c r="G109" i="2"/>
  <c r="M109" i="2"/>
  <c r="R109" i="2"/>
  <c r="Q109" i="2"/>
  <c r="N109" i="2"/>
  <c r="H109" i="2"/>
  <c r="I993" i="2"/>
  <c r="T993" i="2" s="1"/>
  <c r="Q993" i="2"/>
  <c r="R993" i="2"/>
  <c r="N993" i="2"/>
  <c r="G993" i="2"/>
  <c r="H993" i="2"/>
  <c r="M993" i="2"/>
  <c r="R705" i="2"/>
  <c r="G705" i="2"/>
  <c r="I705" i="2"/>
  <c r="T705" i="2" s="1"/>
  <c r="H705" i="2"/>
  <c r="M705" i="2"/>
  <c r="N705" i="2"/>
  <c r="Q705" i="2"/>
  <c r="N273" i="2"/>
  <c r="G273" i="2"/>
  <c r="R273" i="2"/>
  <c r="I273" i="2"/>
  <c r="T273" i="2" s="1"/>
  <c r="M273" i="2"/>
  <c r="Q273" i="2"/>
  <c r="H273" i="2"/>
  <c r="G8" i="2"/>
  <c r="H8" i="2"/>
  <c r="I8" i="2"/>
  <c r="M8" i="2"/>
  <c r="N8" i="2"/>
  <c r="R8" i="2"/>
  <c r="P1066" i="2"/>
  <c r="M1066" i="2"/>
  <c r="H1066" i="2"/>
  <c r="I1066" i="2"/>
  <c r="O1066" i="2"/>
  <c r="R1066" i="2"/>
  <c r="G1066" i="2"/>
  <c r="R166" i="2"/>
  <c r="O166" i="2"/>
  <c r="H166" i="2"/>
  <c r="N166" i="2"/>
  <c r="T166" i="2" s="1"/>
  <c r="P166" i="2"/>
  <c r="G166" i="2"/>
  <c r="I166" i="2"/>
  <c r="M166" i="2"/>
  <c r="Q166" i="2"/>
  <c r="H404" i="2"/>
  <c r="R404" i="2"/>
  <c r="N404" i="2"/>
  <c r="Q404" i="2"/>
  <c r="I404" i="2"/>
  <c r="M404" i="2"/>
  <c r="G404" i="2"/>
  <c r="M638" i="2"/>
  <c r="N638" i="2"/>
  <c r="T638" i="2" s="1"/>
  <c r="P638" i="2"/>
  <c r="G638" i="2"/>
  <c r="Q638" i="2"/>
  <c r="R638" i="2"/>
  <c r="H638" i="2"/>
  <c r="I638" i="2"/>
  <c r="O638" i="2"/>
  <c r="R852" i="2"/>
  <c r="M852" i="2"/>
  <c r="N852" i="2"/>
  <c r="Q852" i="2"/>
  <c r="H852" i="2"/>
  <c r="I852" i="2"/>
  <c r="G852" i="2"/>
  <c r="Q1081" i="2"/>
  <c r="I1081" i="2"/>
  <c r="T1081" i="2" s="1"/>
  <c r="R1081" i="2"/>
  <c r="M1081" i="2"/>
  <c r="G1081" i="2"/>
  <c r="H1081" i="2"/>
  <c r="N1081" i="2"/>
  <c r="Q439" i="2"/>
  <c r="H439" i="2"/>
  <c r="N439" i="2"/>
  <c r="I439" i="2"/>
  <c r="M439" i="2"/>
  <c r="G439" i="2"/>
  <c r="T439" i="2" s="1"/>
  <c r="R439" i="2"/>
  <c r="Q486" i="2"/>
  <c r="M486" i="2"/>
  <c r="I486" i="2"/>
  <c r="G486" i="2"/>
  <c r="H486" i="2"/>
  <c r="O486" i="2"/>
  <c r="N486" i="2"/>
  <c r="T486" i="2" s="1"/>
  <c r="P486" i="2"/>
  <c r="R486" i="2"/>
  <c r="Q1151" i="2"/>
  <c r="N1151" i="2"/>
  <c r="I1151" i="2"/>
  <c r="H1151" i="2"/>
  <c r="H235" i="2"/>
  <c r="I235" i="2"/>
  <c r="N235" i="2"/>
  <c r="Q235" i="2"/>
  <c r="G235" i="2"/>
  <c r="T235" i="2" s="1"/>
  <c r="M235" i="2"/>
  <c r="R235" i="2"/>
  <c r="R791" i="2"/>
  <c r="I791" i="2"/>
  <c r="M791" i="2"/>
  <c r="Q791" i="2"/>
  <c r="N791" i="2"/>
  <c r="H791" i="2"/>
  <c r="G791" i="2"/>
  <c r="T791" i="2" s="1"/>
  <c r="R835" i="2"/>
  <c r="Q835" i="2"/>
  <c r="G835" i="2"/>
  <c r="T835" i="2" s="1"/>
  <c r="M835" i="2"/>
  <c r="N835" i="2"/>
  <c r="H835" i="2"/>
  <c r="I835" i="2"/>
  <c r="R948" i="2"/>
  <c r="Q948" i="2"/>
  <c r="H948" i="2"/>
  <c r="I948" i="2"/>
  <c r="M948" i="2"/>
  <c r="N948" i="2"/>
  <c r="G948" i="2"/>
  <c r="R178" i="2"/>
  <c r="N178" i="2"/>
  <c r="T178" i="2" s="1"/>
  <c r="O178" i="2"/>
  <c r="G178" i="2"/>
  <c r="M178" i="2"/>
  <c r="H178" i="2"/>
  <c r="I178" i="2"/>
  <c r="Q178" i="2"/>
  <c r="P178" i="2"/>
  <c r="Q347" i="2"/>
  <c r="H347" i="2"/>
  <c r="G347" i="2"/>
  <c r="T347" i="2" s="1"/>
  <c r="I347" i="2"/>
  <c r="N347" i="2"/>
  <c r="M347" i="2"/>
  <c r="R347" i="2"/>
  <c r="R892" i="2"/>
  <c r="H892" i="2"/>
  <c r="I892" i="2"/>
  <c r="N892" i="2"/>
  <c r="Q892" i="2"/>
  <c r="M892" i="2"/>
  <c r="G892" i="2"/>
  <c r="R98" i="2"/>
  <c r="H98" i="2"/>
  <c r="I98" i="2"/>
  <c r="O98" i="2"/>
  <c r="N98" i="2"/>
  <c r="T98" i="2" s="1"/>
  <c r="P98" i="2"/>
  <c r="M98" i="2"/>
  <c r="Q98" i="2"/>
  <c r="G98" i="2"/>
  <c r="I1070" i="2"/>
  <c r="O1070" i="2"/>
  <c r="M1070" i="2"/>
  <c r="Q1070" i="2"/>
  <c r="P1070" i="2"/>
  <c r="H1070" i="2"/>
  <c r="N1070" i="2"/>
  <c r="T1070" i="2" s="1"/>
  <c r="R1070" i="2"/>
  <c r="G1070" i="2"/>
  <c r="G535" i="2"/>
  <c r="T535" i="2" s="1"/>
  <c r="M535" i="2"/>
  <c r="R535" i="2"/>
  <c r="Q535" i="2"/>
  <c r="H535" i="2"/>
  <c r="I535" i="2"/>
  <c r="N535" i="2"/>
  <c r="G889" i="2"/>
  <c r="I889" i="2"/>
  <c r="T889" i="2" s="1"/>
  <c r="M889" i="2"/>
  <c r="N889" i="2"/>
  <c r="H889" i="2"/>
  <c r="R889" i="2"/>
  <c r="Q889" i="2"/>
  <c r="H308" i="2"/>
  <c r="I308" i="2"/>
  <c r="Q308" i="2"/>
  <c r="R308" i="2"/>
  <c r="G308" i="2"/>
  <c r="M308" i="2"/>
  <c r="N308" i="2"/>
  <c r="I683" i="2"/>
  <c r="R683" i="2"/>
  <c r="Q683" i="2"/>
  <c r="H683" i="2"/>
  <c r="G683" i="2"/>
  <c r="T683" i="2" s="1"/>
  <c r="M683" i="2"/>
  <c r="N683" i="2"/>
  <c r="M532" i="2"/>
  <c r="G532" i="2"/>
  <c r="H532" i="2"/>
  <c r="I532" i="2"/>
  <c r="N532" i="2"/>
  <c r="Q532" i="2"/>
  <c r="R532" i="2"/>
  <c r="I60" i="2"/>
  <c r="M60" i="2"/>
  <c r="R60" i="2"/>
  <c r="N60" i="2"/>
  <c r="G60" i="2"/>
  <c r="H60" i="2"/>
  <c r="M604" i="2"/>
  <c r="R604" i="2"/>
  <c r="Q604" i="2"/>
  <c r="G604" i="2"/>
  <c r="I604" i="2"/>
  <c r="N604" i="2"/>
  <c r="H604" i="2"/>
  <c r="N149" i="2"/>
  <c r="G149" i="2"/>
  <c r="Q149" i="2"/>
  <c r="M149" i="2"/>
  <c r="R149" i="2"/>
  <c r="H149" i="2"/>
  <c r="I149" i="2"/>
  <c r="T149" i="2" s="1"/>
  <c r="I755" i="2"/>
  <c r="R755" i="2"/>
  <c r="H755" i="2"/>
  <c r="M755" i="2"/>
  <c r="Q755" i="2"/>
  <c r="N755" i="2"/>
  <c r="G755" i="2"/>
  <c r="T755" i="2" s="1"/>
  <c r="N301" i="2"/>
  <c r="I301" i="2"/>
  <c r="T301" i="2" s="1"/>
  <c r="R301" i="2"/>
  <c r="Q301" i="2"/>
  <c r="G301" i="2"/>
  <c r="H301" i="2"/>
  <c r="M301" i="2"/>
  <c r="R1020" i="2"/>
  <c r="H1020" i="2"/>
  <c r="I1020" i="2"/>
  <c r="N1020" i="2"/>
  <c r="M1020" i="2"/>
  <c r="Q1020" i="2"/>
  <c r="G1020" i="2"/>
  <c r="G654" i="2"/>
  <c r="I654" i="2"/>
  <c r="H654" i="2"/>
  <c r="M654" i="2"/>
  <c r="Q654" i="2"/>
  <c r="N654" i="2"/>
  <c r="T654" i="2" s="1"/>
  <c r="O654" i="2"/>
  <c r="P654" i="2"/>
  <c r="R654" i="2"/>
  <c r="N277" i="2"/>
  <c r="I277" i="2"/>
  <c r="T277" i="2" s="1"/>
  <c r="M277" i="2"/>
  <c r="R277" i="2"/>
  <c r="G277" i="2"/>
  <c r="H277" i="2"/>
  <c r="Q277" i="2"/>
  <c r="R745" i="2"/>
  <c r="Q745" i="2"/>
  <c r="M745" i="2"/>
  <c r="N745" i="2"/>
  <c r="H745" i="2"/>
  <c r="I745" i="2"/>
  <c r="T745" i="2" s="1"/>
  <c r="G745" i="2"/>
  <c r="H367" i="2"/>
  <c r="M367" i="2"/>
  <c r="G367" i="2"/>
  <c r="T367" i="2" s="1"/>
  <c r="I367" i="2"/>
  <c r="Q367" i="2"/>
  <c r="R367" i="2"/>
  <c r="N367" i="2"/>
  <c r="Q1119" i="2"/>
  <c r="H203" i="2"/>
  <c r="I203" i="2"/>
  <c r="N203" i="2"/>
  <c r="Q203" i="2"/>
  <c r="R203" i="2"/>
  <c r="G203" i="2"/>
  <c r="T203" i="2" s="1"/>
  <c r="M203" i="2"/>
  <c r="H220" i="2"/>
  <c r="I220" i="2"/>
  <c r="R220" i="2"/>
  <c r="Q220" i="2"/>
  <c r="M220" i="2"/>
  <c r="N220" i="2"/>
  <c r="G220" i="2"/>
  <c r="I941" i="2"/>
  <c r="T941" i="2" s="1"/>
  <c r="H941" i="2"/>
  <c r="M941" i="2"/>
  <c r="Q941" i="2"/>
  <c r="R941" i="2"/>
  <c r="G941" i="2"/>
  <c r="N941" i="2"/>
  <c r="Q1112" i="2"/>
  <c r="R1112" i="2"/>
  <c r="M1112" i="2"/>
  <c r="G1112" i="2"/>
  <c r="H1112" i="2"/>
  <c r="N1112" i="2"/>
  <c r="I1112" i="2"/>
  <c r="Q254" i="2"/>
  <c r="G254" i="2"/>
  <c r="H254" i="2"/>
  <c r="I254" i="2"/>
  <c r="N254" i="2"/>
  <c r="T254" i="2" s="1"/>
  <c r="O254" i="2"/>
  <c r="R254" i="2"/>
  <c r="M254" i="2"/>
  <c r="P254" i="2"/>
  <c r="N469" i="2"/>
  <c r="H469" i="2"/>
  <c r="R469" i="2"/>
  <c r="G469" i="2"/>
  <c r="I469" i="2"/>
  <c r="T469" i="2" s="1"/>
  <c r="M469" i="2"/>
  <c r="Q469" i="2"/>
  <c r="R701" i="2"/>
  <c r="Q701" i="2"/>
  <c r="M701" i="2"/>
  <c r="N701" i="2"/>
  <c r="H701" i="2"/>
  <c r="I701" i="2"/>
  <c r="T701" i="2" s="1"/>
  <c r="G701" i="2"/>
  <c r="R987" i="2"/>
  <c r="G987" i="2"/>
  <c r="T987" i="2" s="1"/>
  <c r="H987" i="2"/>
  <c r="I987" i="2"/>
  <c r="M987" i="2"/>
  <c r="N987" i="2"/>
  <c r="Q987" i="2"/>
  <c r="H319" i="2"/>
  <c r="N319" i="2"/>
  <c r="G319" i="2"/>
  <c r="T319" i="2" s="1"/>
  <c r="M319" i="2"/>
  <c r="Q319" i="2"/>
  <c r="R319" i="2"/>
  <c r="I319" i="2"/>
  <c r="G1037" i="2"/>
  <c r="I1037" i="2"/>
  <c r="T1037" i="2" s="1"/>
  <c r="H1037" i="2"/>
  <c r="Q1037" i="2"/>
  <c r="M1037" i="2"/>
  <c r="N1037" i="2"/>
  <c r="H368" i="2"/>
  <c r="Q368" i="2"/>
  <c r="R368" i="2"/>
  <c r="G368" i="2"/>
  <c r="I368" i="2"/>
  <c r="M368" i="2"/>
  <c r="N368" i="2"/>
  <c r="I1071" i="2"/>
  <c r="G1071" i="2"/>
  <c r="T1071" i="2" s="1"/>
  <c r="N1071" i="2"/>
  <c r="R1071" i="2"/>
  <c r="H1071" i="2"/>
  <c r="Q1071" i="2"/>
  <c r="M1071" i="2"/>
  <c r="N425" i="2"/>
  <c r="I425" i="2"/>
  <c r="T425" i="2" s="1"/>
  <c r="G425" i="2"/>
  <c r="M425" i="2"/>
  <c r="Q425" i="2"/>
  <c r="R425" i="2"/>
  <c r="H425" i="2"/>
  <c r="Q1127" i="2"/>
  <c r="I1127" i="2"/>
  <c r="H1127" i="2"/>
  <c r="N1127" i="2"/>
  <c r="R689" i="2"/>
  <c r="H689" i="2"/>
  <c r="I689" i="2"/>
  <c r="T689" i="2" s="1"/>
  <c r="N689" i="2"/>
  <c r="G689" i="2"/>
  <c r="M689" i="2"/>
  <c r="Q689" i="2"/>
  <c r="N139" i="2"/>
  <c r="M139" i="2"/>
  <c r="Q139" i="2"/>
  <c r="I139" i="2"/>
  <c r="R139" i="2"/>
  <c r="H139" i="2"/>
  <c r="G139" i="2"/>
  <c r="T139" i="2" s="1"/>
  <c r="P1150" i="2"/>
  <c r="H1150" i="2"/>
  <c r="I1150" i="2"/>
  <c r="R1150" i="2"/>
  <c r="N1150" i="2"/>
  <c r="T1150" i="2" s="1"/>
  <c r="O1150" i="2"/>
  <c r="Q1150" i="2"/>
  <c r="I720" i="2"/>
  <c r="M720" i="2"/>
  <c r="G720" i="2"/>
  <c r="H720" i="2"/>
  <c r="R720" i="2"/>
  <c r="N720" i="2"/>
  <c r="Q720" i="2"/>
  <c r="N185" i="2"/>
  <c r="Q185" i="2"/>
  <c r="I185" i="2"/>
  <c r="T185" i="2" s="1"/>
  <c r="G185" i="2"/>
  <c r="M185" i="2"/>
  <c r="R185" i="2"/>
  <c r="H185" i="2"/>
  <c r="G757" i="2"/>
  <c r="I757" i="2"/>
  <c r="T757" i="2" s="1"/>
  <c r="Q757" i="2"/>
  <c r="R757" i="2"/>
  <c r="H757" i="2"/>
  <c r="N757" i="2"/>
  <c r="M757" i="2"/>
  <c r="N221" i="2"/>
  <c r="G221" i="2"/>
  <c r="I221" i="2"/>
  <c r="T221" i="2" s="1"/>
  <c r="H221" i="2"/>
  <c r="M221" i="2"/>
  <c r="Q221" i="2"/>
  <c r="R221" i="2"/>
  <c r="R896" i="2"/>
  <c r="G896" i="2"/>
  <c r="H896" i="2"/>
  <c r="M896" i="2"/>
  <c r="I896" i="2"/>
  <c r="N896" i="2"/>
  <c r="Q896" i="2"/>
  <c r="I518" i="2"/>
  <c r="N518" i="2"/>
  <c r="T518" i="2" s="1"/>
  <c r="Q518" i="2"/>
  <c r="O518" i="2"/>
  <c r="P518" i="2"/>
  <c r="G518" i="2"/>
  <c r="H518" i="2"/>
  <c r="M518" i="2"/>
  <c r="R518" i="2"/>
  <c r="I100" i="2"/>
  <c r="M100" i="2"/>
  <c r="N100" i="2"/>
  <c r="Q100" i="2"/>
  <c r="R100" i="2"/>
  <c r="H100" i="2"/>
  <c r="G100" i="2"/>
  <c r="M1028" i="2"/>
  <c r="N1028" i="2"/>
  <c r="R1028" i="2"/>
  <c r="G1028" i="2"/>
  <c r="H1028" i="2"/>
  <c r="T1028" i="2" s="1"/>
  <c r="Q1028" i="2"/>
  <c r="I1028" i="2"/>
  <c r="N676" i="2"/>
  <c r="Q676" i="2"/>
  <c r="R676" i="2"/>
  <c r="H676" i="2"/>
  <c r="G676" i="2"/>
  <c r="I676" i="2"/>
  <c r="M676" i="2"/>
  <c r="Q275" i="2"/>
  <c r="R275" i="2"/>
  <c r="G275" i="2"/>
  <c r="T275" i="2" s="1"/>
  <c r="I275" i="2"/>
  <c r="H275" i="2"/>
  <c r="M275" i="2"/>
  <c r="N275" i="2"/>
  <c r="G1144" i="2"/>
  <c r="M1144" i="2"/>
  <c r="N1144" i="2"/>
  <c r="H1144" i="2"/>
  <c r="R1144" i="2"/>
  <c r="I1144" i="2"/>
  <c r="Q1144" i="2"/>
  <c r="I830" i="2"/>
  <c r="M830" i="2"/>
  <c r="O830" i="2"/>
  <c r="G830" i="2"/>
  <c r="P830" i="2"/>
  <c r="Q830" i="2"/>
  <c r="R830" i="2"/>
  <c r="H830" i="2"/>
  <c r="N830" i="2"/>
  <c r="T830" i="2" s="1"/>
  <c r="Q443" i="2"/>
  <c r="G443" i="2"/>
  <c r="T443" i="2" s="1"/>
  <c r="H443" i="2"/>
  <c r="M443" i="2"/>
  <c r="N443" i="2"/>
  <c r="R443" i="2"/>
  <c r="I443" i="2"/>
  <c r="H18" i="2"/>
  <c r="I18" i="2"/>
  <c r="M18" i="2"/>
  <c r="N18" i="2"/>
  <c r="T18" i="2" s="1"/>
  <c r="O18" i="2"/>
  <c r="P18" i="2"/>
  <c r="G18" i="2"/>
  <c r="R18" i="2"/>
  <c r="N1035" i="2"/>
  <c r="Q1035" i="2"/>
  <c r="M1035" i="2"/>
  <c r="H1035" i="2"/>
  <c r="I1035" i="2"/>
  <c r="G1035" i="2"/>
  <c r="T1035" i="2" s="1"/>
  <c r="R779" i="2"/>
  <c r="H779" i="2"/>
  <c r="M779" i="2"/>
  <c r="G779" i="2"/>
  <c r="T779" i="2" s="1"/>
  <c r="I779" i="2"/>
  <c r="N779" i="2"/>
  <c r="Q779" i="2"/>
  <c r="H484" i="2"/>
  <c r="R484" i="2"/>
  <c r="M484" i="2"/>
  <c r="I484" i="2"/>
  <c r="N484" i="2"/>
  <c r="G484" i="2"/>
  <c r="Q484" i="2"/>
  <c r="Q182" i="2"/>
  <c r="P182" i="2"/>
  <c r="R182" i="2"/>
  <c r="N182" i="2"/>
  <c r="T182" i="2" s="1"/>
  <c r="O182" i="2"/>
  <c r="G182" i="2"/>
  <c r="I182" i="2"/>
  <c r="M182" i="2"/>
  <c r="H182" i="2"/>
  <c r="N1085" i="2"/>
  <c r="Q1085" i="2"/>
  <c r="R1085" i="2"/>
  <c r="G1085" i="2"/>
  <c r="I1085" i="2"/>
  <c r="T1085" i="2" s="1"/>
  <c r="H1085" i="2"/>
  <c r="R843" i="2"/>
  <c r="G843" i="2"/>
  <c r="T843" i="2" s="1"/>
  <c r="H843" i="2"/>
  <c r="M843" i="2"/>
  <c r="N843" i="2"/>
  <c r="Q843" i="2"/>
  <c r="I843" i="2"/>
  <c r="G558" i="2"/>
  <c r="N558" i="2"/>
  <c r="T558" i="2" s="1"/>
  <c r="O558" i="2"/>
  <c r="Q558" i="2"/>
  <c r="I558" i="2"/>
  <c r="H558" i="2"/>
  <c r="M558" i="2"/>
  <c r="P558" i="2"/>
  <c r="R558" i="2"/>
  <c r="H256" i="2"/>
  <c r="R256" i="2"/>
  <c r="N256" i="2"/>
  <c r="Q256" i="2"/>
  <c r="I256" i="2"/>
  <c r="M256" i="2"/>
  <c r="G256" i="2"/>
  <c r="I910" i="2"/>
  <c r="M910" i="2"/>
  <c r="O910" i="2"/>
  <c r="N910" i="2"/>
  <c r="T910" i="2" s="1"/>
  <c r="P910" i="2"/>
  <c r="R910" i="2"/>
  <c r="Q910" i="2"/>
  <c r="H910" i="2"/>
  <c r="G910" i="2"/>
  <c r="G630" i="2"/>
  <c r="I630" i="2"/>
  <c r="N630" i="2"/>
  <c r="T630" i="2" s="1"/>
  <c r="O630" i="2"/>
  <c r="P630" i="2"/>
  <c r="Q630" i="2"/>
  <c r="R630" i="2"/>
  <c r="H630" i="2"/>
  <c r="M630" i="2"/>
  <c r="M329" i="2"/>
  <c r="N329" i="2"/>
  <c r="G329" i="2"/>
  <c r="H329" i="2"/>
  <c r="I329" i="2"/>
  <c r="T329" i="2" s="1"/>
  <c r="Q329" i="2"/>
  <c r="R329" i="2"/>
  <c r="N493" i="2"/>
  <c r="Q493" i="2"/>
  <c r="I493" i="2"/>
  <c r="T493" i="2" s="1"/>
  <c r="M493" i="2"/>
  <c r="H493" i="2"/>
  <c r="G493" i="2"/>
  <c r="R493" i="2"/>
  <c r="H268" i="2"/>
  <c r="R268" i="2"/>
  <c r="Q268" i="2"/>
  <c r="M268" i="2"/>
  <c r="N268" i="2"/>
  <c r="G268" i="2"/>
  <c r="I268" i="2"/>
  <c r="H14" i="2"/>
  <c r="R14" i="2"/>
  <c r="I14" i="2"/>
  <c r="O14" i="2"/>
  <c r="P14" i="2"/>
  <c r="M14" i="2"/>
  <c r="G14" i="2"/>
  <c r="N14" i="2"/>
  <c r="T14" i="2" s="1"/>
  <c r="I1009" i="2"/>
  <c r="T1009" i="2" s="1"/>
  <c r="M1009" i="2"/>
  <c r="N1009" i="2"/>
  <c r="Q1009" i="2"/>
  <c r="R1009" i="2"/>
  <c r="G1009" i="2"/>
  <c r="H1009" i="2"/>
  <c r="I794" i="2"/>
  <c r="M794" i="2"/>
  <c r="O794" i="2"/>
  <c r="P794" i="2"/>
  <c r="Q794" i="2"/>
  <c r="N794" i="2"/>
  <c r="T794" i="2" s="1"/>
  <c r="G794" i="2"/>
  <c r="H794" i="2"/>
  <c r="R794" i="2"/>
  <c r="M568" i="2"/>
  <c r="G568" i="2"/>
  <c r="H568" i="2"/>
  <c r="I568" i="2"/>
  <c r="N568" i="2"/>
  <c r="Q568" i="2"/>
  <c r="R568" i="2"/>
  <c r="N341" i="2"/>
  <c r="M341" i="2"/>
  <c r="Q341" i="2"/>
  <c r="G341" i="2"/>
  <c r="I341" i="2"/>
  <c r="T341" i="2" s="1"/>
  <c r="H341" i="2"/>
  <c r="R341" i="2"/>
  <c r="R102" i="2"/>
  <c r="O102" i="2"/>
  <c r="P102" i="2"/>
  <c r="G102" i="2"/>
  <c r="M102" i="2"/>
  <c r="Q102" i="2"/>
  <c r="H102" i="2"/>
  <c r="I102" i="2"/>
  <c r="N102" i="2"/>
  <c r="T102" i="2" s="1"/>
  <c r="R939" i="2"/>
  <c r="G939" i="2"/>
  <c r="T939" i="2" s="1"/>
  <c r="H939" i="2"/>
  <c r="Q939" i="2"/>
  <c r="N939" i="2"/>
  <c r="I939" i="2"/>
  <c r="M939" i="2"/>
  <c r="G716" i="2"/>
  <c r="H716" i="2"/>
  <c r="M716" i="2"/>
  <c r="I716" i="2"/>
  <c r="N716" i="2"/>
  <c r="Q716" i="2"/>
  <c r="R716" i="2"/>
  <c r="H491" i="2"/>
  <c r="R491" i="2"/>
  <c r="G491" i="2"/>
  <c r="T491" i="2" s="1"/>
  <c r="M491" i="2"/>
  <c r="I491" i="2"/>
  <c r="N491" i="2"/>
  <c r="Q491" i="2"/>
  <c r="H264" i="2"/>
  <c r="I264" i="2"/>
  <c r="M264" i="2"/>
  <c r="G264" i="2"/>
  <c r="Q264" i="2"/>
  <c r="R264" i="2"/>
  <c r="N264" i="2"/>
  <c r="N11" i="2"/>
  <c r="G11" i="2"/>
  <c r="T11" i="2" s="1"/>
  <c r="M11" i="2"/>
  <c r="R11" i="2"/>
  <c r="I11" i="2"/>
  <c r="H11" i="2"/>
  <c r="R991" i="2"/>
  <c r="H991" i="2"/>
  <c r="I991" i="2"/>
  <c r="N991" i="2"/>
  <c r="G991" i="2"/>
  <c r="T991" i="2" s="1"/>
  <c r="M991" i="2"/>
  <c r="Q991" i="2"/>
  <c r="R811" i="2"/>
  <c r="H811" i="2"/>
  <c r="I811" i="2"/>
  <c r="N811" i="2"/>
  <c r="Q811" i="2"/>
  <c r="G811" i="2"/>
  <c r="T811" i="2" s="1"/>
  <c r="M811" i="2"/>
  <c r="I624" i="2"/>
  <c r="M624" i="2"/>
  <c r="G624" i="2"/>
  <c r="Q624" i="2"/>
  <c r="R624" i="2"/>
  <c r="H624" i="2"/>
  <c r="N624" i="2"/>
  <c r="Q434" i="2"/>
  <c r="G434" i="2"/>
  <c r="M434" i="2"/>
  <c r="P434" i="2"/>
  <c r="H434" i="2"/>
  <c r="O434" i="2"/>
  <c r="R434" i="2"/>
  <c r="I434" i="2"/>
  <c r="N434" i="2"/>
  <c r="T434" i="2" s="1"/>
  <c r="Q246" i="2"/>
  <c r="P246" i="2"/>
  <c r="R246" i="2"/>
  <c r="G246" i="2"/>
  <c r="H246" i="2"/>
  <c r="M246" i="2"/>
  <c r="I246" i="2"/>
  <c r="N246" i="2"/>
  <c r="T246" i="2" s="1"/>
  <c r="O246" i="2"/>
  <c r="R36" i="2"/>
  <c r="M36" i="2"/>
  <c r="G36" i="2"/>
  <c r="H36" i="2"/>
  <c r="I36" i="2"/>
  <c r="N36" i="2"/>
  <c r="I902" i="2"/>
  <c r="M902" i="2"/>
  <c r="O902" i="2"/>
  <c r="G902" i="2"/>
  <c r="H902" i="2"/>
  <c r="P902" i="2"/>
  <c r="Q902" i="2"/>
  <c r="N902" i="2"/>
  <c r="T902" i="2" s="1"/>
  <c r="R902" i="2"/>
  <c r="O714" i="2"/>
  <c r="P714" i="2"/>
  <c r="R714" i="2"/>
  <c r="G714" i="2"/>
  <c r="H714" i="2"/>
  <c r="I714" i="2"/>
  <c r="M714" i="2"/>
  <c r="N714" i="2"/>
  <c r="T714" i="2" s="1"/>
  <c r="Q714" i="2"/>
  <c r="R524" i="2"/>
  <c r="G524" i="2"/>
  <c r="M524" i="2"/>
  <c r="I524" i="2"/>
  <c r="H524" i="2"/>
  <c r="N524" i="2"/>
  <c r="Q524" i="2"/>
  <c r="N337" i="2"/>
  <c r="G337" i="2"/>
  <c r="H337" i="2"/>
  <c r="M337" i="2"/>
  <c r="I337" i="2"/>
  <c r="T337" i="2" s="1"/>
  <c r="Q337" i="2"/>
  <c r="R337" i="2"/>
  <c r="N145" i="2"/>
  <c r="Q145" i="2"/>
  <c r="I145" i="2"/>
  <c r="T145" i="2" s="1"/>
  <c r="R145" i="2"/>
  <c r="G145" i="2"/>
  <c r="H145" i="2"/>
  <c r="M145" i="2"/>
  <c r="R1143" i="2"/>
  <c r="I1143" i="2"/>
  <c r="G1143" i="2"/>
  <c r="T1143" i="2" s="1"/>
  <c r="I986" i="2"/>
  <c r="O986" i="2"/>
  <c r="G986" i="2"/>
  <c r="H986" i="2"/>
  <c r="N986" i="2"/>
  <c r="T986" i="2" s="1"/>
  <c r="P986" i="2"/>
  <c r="Q986" i="2"/>
  <c r="R986" i="2"/>
  <c r="M986" i="2"/>
  <c r="G829" i="2"/>
  <c r="I829" i="2"/>
  <c r="T829" i="2" s="1"/>
  <c r="M829" i="2"/>
  <c r="N829" i="2"/>
  <c r="Q829" i="2"/>
  <c r="R829" i="2"/>
  <c r="H829" i="2"/>
  <c r="I672" i="2"/>
  <c r="M672" i="2"/>
  <c r="G672" i="2"/>
  <c r="Q672" i="2"/>
  <c r="R672" i="2"/>
  <c r="N672" i="2"/>
  <c r="H672" i="2"/>
  <c r="R515" i="2"/>
  <c r="I515" i="2"/>
  <c r="M515" i="2"/>
  <c r="Q515" i="2"/>
  <c r="G515" i="2"/>
  <c r="T515" i="2" s="1"/>
  <c r="H515" i="2"/>
  <c r="N515" i="2"/>
  <c r="Q358" i="2"/>
  <c r="M358" i="2"/>
  <c r="I358" i="2"/>
  <c r="G358" i="2"/>
  <c r="H358" i="2"/>
  <c r="O358" i="2"/>
  <c r="R358" i="2"/>
  <c r="N358" i="2"/>
  <c r="T358" i="2" s="1"/>
  <c r="P358" i="2"/>
  <c r="H200" i="2"/>
  <c r="I200" i="2"/>
  <c r="M200" i="2"/>
  <c r="G200" i="2"/>
  <c r="R200" i="2"/>
  <c r="N200" i="2"/>
  <c r="Q200" i="2"/>
  <c r="G17" i="2"/>
  <c r="R17" i="2"/>
  <c r="N17" i="2"/>
  <c r="I17" i="2"/>
  <c r="T17" i="2" s="1"/>
  <c r="M17" i="2"/>
  <c r="H17" i="2"/>
  <c r="R867" i="2"/>
  <c r="M867" i="2"/>
  <c r="N867" i="2"/>
  <c r="Q867" i="2"/>
  <c r="G867" i="2"/>
  <c r="T867" i="2" s="1"/>
  <c r="H867" i="2"/>
  <c r="I867" i="2"/>
  <c r="M710" i="2"/>
  <c r="N710" i="2"/>
  <c r="T710" i="2" s="1"/>
  <c r="P710" i="2"/>
  <c r="H710" i="2"/>
  <c r="I710" i="2"/>
  <c r="O710" i="2"/>
  <c r="Q710" i="2"/>
  <c r="R710" i="2"/>
  <c r="G710" i="2"/>
  <c r="R553" i="2"/>
  <c r="G553" i="2"/>
  <c r="H553" i="2"/>
  <c r="M553" i="2"/>
  <c r="N553" i="2"/>
  <c r="Q553" i="2"/>
  <c r="I553" i="2"/>
  <c r="T553" i="2" s="1"/>
  <c r="H396" i="2"/>
  <c r="I396" i="2"/>
  <c r="M396" i="2"/>
  <c r="N396" i="2"/>
  <c r="Q396" i="2"/>
  <c r="R396" i="2"/>
  <c r="G396" i="2"/>
  <c r="N239" i="2"/>
  <c r="G239" i="2"/>
  <c r="T239" i="2" s="1"/>
  <c r="Q239" i="2"/>
  <c r="H239" i="2"/>
  <c r="I239" i="2"/>
  <c r="M239" i="2"/>
  <c r="R239" i="2"/>
  <c r="G63" i="2"/>
  <c r="T63" i="2" s="1"/>
  <c r="Q63" i="2"/>
  <c r="R63" i="2"/>
  <c r="I63" i="2"/>
  <c r="M63" i="2"/>
  <c r="H63" i="2"/>
  <c r="N63" i="2"/>
  <c r="G51" i="2"/>
  <c r="T51" i="2" s="1"/>
  <c r="R51" i="2"/>
  <c r="M51" i="2"/>
  <c r="H51" i="2"/>
  <c r="I51" i="2"/>
  <c r="N51" i="2"/>
  <c r="G1089" i="2"/>
  <c r="I1089" i="2"/>
  <c r="T1089" i="2" s="1"/>
  <c r="M1089" i="2"/>
  <c r="Q1089" i="2"/>
  <c r="N1089" i="2"/>
  <c r="R1089" i="2"/>
  <c r="H1089" i="2"/>
  <c r="I945" i="2"/>
  <c r="T945" i="2" s="1"/>
  <c r="Q945" i="2"/>
  <c r="R945" i="2"/>
  <c r="G945" i="2"/>
  <c r="M945" i="2"/>
  <c r="H945" i="2"/>
  <c r="N945" i="2"/>
  <c r="G801" i="2"/>
  <c r="I801" i="2"/>
  <c r="T801" i="2" s="1"/>
  <c r="H801" i="2"/>
  <c r="M801" i="2"/>
  <c r="Q801" i="2"/>
  <c r="N801" i="2"/>
  <c r="R801" i="2"/>
  <c r="R657" i="2"/>
  <c r="G657" i="2"/>
  <c r="I657" i="2"/>
  <c r="T657" i="2" s="1"/>
  <c r="H657" i="2"/>
  <c r="M657" i="2"/>
  <c r="N657" i="2"/>
  <c r="Q657" i="2"/>
  <c r="H513" i="2"/>
  <c r="R513" i="2"/>
  <c r="Q513" i="2"/>
  <c r="M513" i="2"/>
  <c r="N513" i="2"/>
  <c r="G513" i="2"/>
  <c r="I513" i="2"/>
  <c r="T513" i="2" s="1"/>
  <c r="N369" i="2"/>
  <c r="H369" i="2"/>
  <c r="I369" i="2"/>
  <c r="T369" i="2" s="1"/>
  <c r="R369" i="2"/>
  <c r="Q369" i="2"/>
  <c r="G369" i="2"/>
  <c r="M369" i="2"/>
  <c r="N225" i="2"/>
  <c r="G225" i="2"/>
  <c r="H225" i="2"/>
  <c r="I225" i="2"/>
  <c r="T225" i="2" s="1"/>
  <c r="M225" i="2"/>
  <c r="Q225" i="2"/>
  <c r="R225" i="2"/>
  <c r="Q81" i="2"/>
  <c r="R81" i="2"/>
  <c r="N81" i="2"/>
  <c r="H81" i="2"/>
  <c r="I81" i="2"/>
  <c r="T81" i="2" s="1"/>
  <c r="G81" i="2"/>
  <c r="M81" i="2"/>
  <c r="I104" i="2"/>
  <c r="M104" i="2"/>
  <c r="H104" i="2"/>
  <c r="N104" i="2"/>
  <c r="R104" i="2"/>
  <c r="G104" i="2"/>
  <c r="Q104" i="2"/>
  <c r="G1150" i="2"/>
  <c r="I715" i="2"/>
  <c r="Q715" i="2"/>
  <c r="R715" i="2"/>
  <c r="G715" i="2"/>
  <c r="T715" i="2" s="1"/>
  <c r="M715" i="2"/>
  <c r="H715" i="2"/>
  <c r="N715" i="2"/>
  <c r="H184" i="2"/>
  <c r="I184" i="2"/>
  <c r="M184" i="2"/>
  <c r="R184" i="2"/>
  <c r="G184" i="2"/>
  <c r="N184" i="2"/>
  <c r="Q184" i="2"/>
  <c r="I862" i="2"/>
  <c r="M862" i="2"/>
  <c r="O862" i="2"/>
  <c r="N862" i="2"/>
  <c r="T862" i="2" s="1"/>
  <c r="P862" i="2"/>
  <c r="R862" i="2"/>
  <c r="G862" i="2"/>
  <c r="H862" i="2"/>
  <c r="Q862" i="2"/>
  <c r="H480" i="2"/>
  <c r="G480" i="2"/>
  <c r="Q480" i="2"/>
  <c r="I480" i="2"/>
  <c r="M480" i="2"/>
  <c r="R480" i="2"/>
  <c r="N480" i="2"/>
  <c r="G55" i="2"/>
  <c r="T55" i="2" s="1"/>
  <c r="M55" i="2"/>
  <c r="H55" i="2"/>
  <c r="N55" i="2"/>
  <c r="I55" i="2"/>
  <c r="R55" i="2"/>
  <c r="I1001" i="2"/>
  <c r="T1001" i="2" s="1"/>
  <c r="R1001" i="2"/>
  <c r="M1001" i="2"/>
  <c r="N1001" i="2"/>
  <c r="Q1001" i="2"/>
  <c r="H1001" i="2"/>
  <c r="G1001" i="2"/>
  <c r="I648" i="2"/>
  <c r="M648" i="2"/>
  <c r="N648" i="2"/>
  <c r="Q648" i="2"/>
  <c r="R648" i="2"/>
  <c r="H648" i="2"/>
  <c r="G648" i="2"/>
  <c r="Q242" i="2"/>
  <c r="M242" i="2"/>
  <c r="N242" i="2"/>
  <c r="T242" i="2" s="1"/>
  <c r="I242" i="2"/>
  <c r="G242" i="2"/>
  <c r="H242" i="2"/>
  <c r="P242" i="2"/>
  <c r="O242" i="2"/>
  <c r="R242" i="2"/>
  <c r="R800" i="2"/>
  <c r="G800" i="2"/>
  <c r="N800" i="2"/>
  <c r="Q800" i="2"/>
  <c r="M800" i="2"/>
  <c r="H800" i="2"/>
  <c r="I800" i="2"/>
  <c r="H411" i="2"/>
  <c r="N411" i="2"/>
  <c r="G411" i="2"/>
  <c r="T411" i="2" s="1"/>
  <c r="Q411" i="2"/>
  <c r="R411" i="2"/>
  <c r="I411" i="2"/>
  <c r="M411" i="2"/>
  <c r="I1014" i="2"/>
  <c r="O1014" i="2"/>
  <c r="G1014" i="2"/>
  <c r="M1014" i="2"/>
  <c r="N1014" i="2"/>
  <c r="T1014" i="2" s="1"/>
  <c r="H1014" i="2"/>
  <c r="P1014" i="2"/>
  <c r="Q1014" i="2"/>
  <c r="R1014" i="2"/>
  <c r="H754" i="2"/>
  <c r="I754" i="2"/>
  <c r="N754" i="2"/>
  <c r="T754" i="2" s="1"/>
  <c r="Q754" i="2"/>
  <c r="R754" i="2"/>
  <c r="G754" i="2"/>
  <c r="M754" i="2"/>
  <c r="O754" i="2"/>
  <c r="P754" i="2"/>
  <c r="N459" i="2"/>
  <c r="Q459" i="2"/>
  <c r="I459" i="2"/>
  <c r="M459" i="2"/>
  <c r="R459" i="2"/>
  <c r="G459" i="2"/>
  <c r="T459" i="2" s="1"/>
  <c r="H459" i="2"/>
  <c r="I156" i="2"/>
  <c r="G156" i="2"/>
  <c r="R156" i="2"/>
  <c r="H156" i="2"/>
  <c r="N156" i="2"/>
  <c r="M156" i="2"/>
  <c r="Q156" i="2"/>
  <c r="H1069" i="2"/>
  <c r="Q1069" i="2"/>
  <c r="M1069" i="2"/>
  <c r="I1069" i="2"/>
  <c r="T1069" i="2" s="1"/>
  <c r="N1069" i="2"/>
  <c r="G1069" i="2"/>
  <c r="R820" i="2"/>
  <c r="Q820" i="2"/>
  <c r="G820" i="2"/>
  <c r="H820" i="2"/>
  <c r="M820" i="2"/>
  <c r="I820" i="2"/>
  <c r="N820" i="2"/>
  <c r="G534" i="2"/>
  <c r="N534" i="2"/>
  <c r="T534" i="2" s="1"/>
  <c r="O534" i="2"/>
  <c r="Q534" i="2"/>
  <c r="H534" i="2"/>
  <c r="I534" i="2"/>
  <c r="P534" i="2"/>
  <c r="R534" i="2"/>
  <c r="M534" i="2"/>
  <c r="N233" i="2"/>
  <c r="Q233" i="2"/>
  <c r="G233" i="2"/>
  <c r="H233" i="2"/>
  <c r="I233" i="2"/>
  <c r="T233" i="2" s="1"/>
  <c r="M233" i="2"/>
  <c r="R233" i="2"/>
  <c r="I1118" i="2"/>
  <c r="G1118" i="2"/>
  <c r="N1118" i="2"/>
  <c r="T1118" i="2" s="1"/>
  <c r="O1118" i="2"/>
  <c r="Q1118" i="2"/>
  <c r="R1118" i="2"/>
  <c r="P1118" i="2"/>
  <c r="M1118" i="2"/>
  <c r="R884" i="2"/>
  <c r="G884" i="2"/>
  <c r="I884" i="2"/>
  <c r="M884" i="2"/>
  <c r="H884" i="2"/>
  <c r="N884" i="2"/>
  <c r="Q884" i="2"/>
  <c r="G610" i="2"/>
  <c r="R610" i="2"/>
  <c r="N610" i="2"/>
  <c r="T610" i="2" s="1"/>
  <c r="P610" i="2"/>
  <c r="O610" i="2"/>
  <c r="Q610" i="2"/>
  <c r="H610" i="2"/>
  <c r="I610" i="2"/>
  <c r="M610" i="2"/>
  <c r="Q307" i="2"/>
  <c r="R307" i="2"/>
  <c r="M307" i="2"/>
  <c r="N307" i="2"/>
  <c r="H307" i="2"/>
  <c r="I307" i="2"/>
  <c r="G307" i="2"/>
  <c r="T307" i="2" s="1"/>
  <c r="N473" i="2"/>
  <c r="I473" i="2"/>
  <c r="T473" i="2" s="1"/>
  <c r="R473" i="2"/>
  <c r="Q473" i="2"/>
  <c r="G473" i="2"/>
  <c r="H473" i="2"/>
  <c r="M473" i="2"/>
  <c r="H248" i="2"/>
  <c r="I248" i="2"/>
  <c r="M248" i="2"/>
  <c r="R248" i="2"/>
  <c r="N248" i="2"/>
  <c r="G248" i="2"/>
  <c r="Q248" i="2"/>
  <c r="R992" i="2"/>
  <c r="I992" i="2"/>
  <c r="M992" i="2"/>
  <c r="Q992" i="2"/>
  <c r="N992" i="2"/>
  <c r="H992" i="2"/>
  <c r="G992" i="2"/>
  <c r="G773" i="2"/>
  <c r="I773" i="2"/>
  <c r="T773" i="2" s="1"/>
  <c r="H773" i="2"/>
  <c r="N773" i="2"/>
  <c r="R773" i="2"/>
  <c r="Q773" i="2"/>
  <c r="M773" i="2"/>
  <c r="M548" i="2"/>
  <c r="G548" i="2"/>
  <c r="H548" i="2"/>
  <c r="N548" i="2"/>
  <c r="R548" i="2"/>
  <c r="I548" i="2"/>
  <c r="Q548" i="2"/>
  <c r="Q323" i="2"/>
  <c r="G323" i="2"/>
  <c r="T323" i="2" s="1"/>
  <c r="H323" i="2"/>
  <c r="M323" i="2"/>
  <c r="R323" i="2"/>
  <c r="I323" i="2"/>
  <c r="N323" i="2"/>
  <c r="G83" i="2"/>
  <c r="T83" i="2" s="1"/>
  <c r="I83" i="2"/>
  <c r="M83" i="2"/>
  <c r="N83" i="2"/>
  <c r="R83" i="2"/>
  <c r="H83" i="2"/>
  <c r="Q83" i="2"/>
  <c r="R923" i="2"/>
  <c r="H923" i="2"/>
  <c r="I923" i="2"/>
  <c r="M923" i="2"/>
  <c r="G923" i="2"/>
  <c r="T923" i="2" s="1"/>
  <c r="N923" i="2"/>
  <c r="Q923" i="2"/>
  <c r="I696" i="2"/>
  <c r="M696" i="2"/>
  <c r="N696" i="2"/>
  <c r="Q696" i="2"/>
  <c r="R696" i="2"/>
  <c r="G696" i="2"/>
  <c r="H696" i="2"/>
  <c r="Q471" i="2"/>
  <c r="R471" i="2"/>
  <c r="G471" i="2"/>
  <c r="T471" i="2" s="1"/>
  <c r="I471" i="2"/>
  <c r="H471" i="2"/>
  <c r="M471" i="2"/>
  <c r="N471" i="2"/>
  <c r="N245" i="2"/>
  <c r="I245" i="2"/>
  <c r="T245" i="2" s="1"/>
  <c r="M245" i="2"/>
  <c r="R245" i="2"/>
  <c r="G245" i="2"/>
  <c r="H245" i="2"/>
  <c r="Q245" i="2"/>
  <c r="G1148" i="2"/>
  <c r="N1148" i="2"/>
  <c r="I1148" i="2"/>
  <c r="Q1148" i="2"/>
  <c r="H1148" i="2"/>
  <c r="M1148" i="2"/>
  <c r="R1148" i="2"/>
  <c r="I977" i="2"/>
  <c r="T977" i="2" s="1"/>
  <c r="H977" i="2"/>
  <c r="M977" i="2"/>
  <c r="Q977" i="2"/>
  <c r="R977" i="2"/>
  <c r="N977" i="2"/>
  <c r="G977" i="2"/>
  <c r="R796" i="2"/>
  <c r="H796" i="2"/>
  <c r="I796" i="2"/>
  <c r="N796" i="2"/>
  <c r="M796" i="2"/>
  <c r="G796" i="2"/>
  <c r="Q796" i="2"/>
  <c r="M608" i="2"/>
  <c r="G608" i="2"/>
  <c r="H608" i="2"/>
  <c r="N608" i="2"/>
  <c r="Q608" i="2"/>
  <c r="R608" i="2"/>
  <c r="I608" i="2"/>
  <c r="N419" i="2"/>
  <c r="H419" i="2"/>
  <c r="M419" i="2"/>
  <c r="Q419" i="2"/>
  <c r="G419" i="2"/>
  <c r="T419" i="2" s="1"/>
  <c r="I419" i="2"/>
  <c r="R419" i="2"/>
  <c r="R231" i="2"/>
  <c r="G231" i="2"/>
  <c r="T231" i="2" s="1"/>
  <c r="I231" i="2"/>
  <c r="H231" i="2"/>
  <c r="M231" i="2"/>
  <c r="N231" i="2"/>
  <c r="Q231" i="2"/>
  <c r="N15" i="2"/>
  <c r="I15" i="2"/>
  <c r="M15" i="2"/>
  <c r="G15" i="2"/>
  <c r="T15" i="2" s="1"/>
  <c r="H15" i="2"/>
  <c r="R15" i="2"/>
  <c r="R887" i="2"/>
  <c r="I887" i="2"/>
  <c r="M887" i="2"/>
  <c r="G887" i="2"/>
  <c r="T887" i="2" s="1"/>
  <c r="N887" i="2"/>
  <c r="H887" i="2"/>
  <c r="Q887" i="2"/>
  <c r="I699" i="2"/>
  <c r="G699" i="2"/>
  <c r="T699" i="2" s="1"/>
  <c r="H699" i="2"/>
  <c r="N699" i="2"/>
  <c r="Q699" i="2"/>
  <c r="R699" i="2"/>
  <c r="M699" i="2"/>
  <c r="R509" i="2"/>
  <c r="G509" i="2"/>
  <c r="I509" i="2"/>
  <c r="T509" i="2" s="1"/>
  <c r="Q509" i="2"/>
  <c r="H509" i="2"/>
  <c r="M509" i="2"/>
  <c r="N509" i="2"/>
  <c r="P322" i="2"/>
  <c r="Q322" i="2"/>
  <c r="I322" i="2"/>
  <c r="O322" i="2"/>
  <c r="H322" i="2"/>
  <c r="R322" i="2"/>
  <c r="G322" i="2"/>
  <c r="M322" i="2"/>
  <c r="N322" i="2"/>
  <c r="T322" i="2" s="1"/>
  <c r="H124" i="2"/>
  <c r="I124" i="2"/>
  <c r="G124" i="2"/>
  <c r="R124" i="2"/>
  <c r="M124" i="2"/>
  <c r="N124" i="2"/>
  <c r="Q124" i="2"/>
  <c r="G1130" i="2"/>
  <c r="N1130" i="2"/>
  <c r="T1130" i="2" s="1"/>
  <c r="Q1130" i="2"/>
  <c r="I1130" i="2"/>
  <c r="P1130" i="2"/>
  <c r="R1130" i="2"/>
  <c r="O1130" i="2"/>
  <c r="M1130" i="2"/>
  <c r="I973" i="2"/>
  <c r="T973" i="2" s="1"/>
  <c r="Q973" i="2"/>
  <c r="R973" i="2"/>
  <c r="M973" i="2"/>
  <c r="H973" i="2"/>
  <c r="N973" i="2"/>
  <c r="G973" i="2"/>
  <c r="R816" i="2"/>
  <c r="G816" i="2"/>
  <c r="H816" i="2"/>
  <c r="M816" i="2"/>
  <c r="N816" i="2"/>
  <c r="I816" i="2"/>
  <c r="Q816" i="2"/>
  <c r="I659" i="2"/>
  <c r="R659" i="2"/>
  <c r="G659" i="2"/>
  <c r="T659" i="2" s="1"/>
  <c r="H659" i="2"/>
  <c r="M659" i="2"/>
  <c r="N659" i="2"/>
  <c r="Q659" i="2"/>
  <c r="I502" i="2"/>
  <c r="R502" i="2"/>
  <c r="M502" i="2"/>
  <c r="N502" i="2"/>
  <c r="T502" i="2" s="1"/>
  <c r="P502" i="2"/>
  <c r="G502" i="2"/>
  <c r="H502" i="2"/>
  <c r="O502" i="2"/>
  <c r="Q502" i="2"/>
  <c r="H344" i="2"/>
  <c r="R344" i="2"/>
  <c r="Q344" i="2"/>
  <c r="N344" i="2"/>
  <c r="G344" i="2"/>
  <c r="I344" i="2"/>
  <c r="M344" i="2"/>
  <c r="H187" i="2"/>
  <c r="I187" i="2"/>
  <c r="G187" i="2"/>
  <c r="T187" i="2" s="1"/>
  <c r="Q187" i="2"/>
  <c r="R187" i="2"/>
  <c r="N187" i="2"/>
  <c r="M187" i="2"/>
  <c r="I854" i="2"/>
  <c r="M854" i="2"/>
  <c r="O854" i="2"/>
  <c r="G854" i="2"/>
  <c r="H854" i="2"/>
  <c r="P854" i="2"/>
  <c r="Q854" i="2"/>
  <c r="R854" i="2"/>
  <c r="N854" i="2"/>
  <c r="T854" i="2" s="1"/>
  <c r="R697" i="2"/>
  <c r="Q697" i="2"/>
  <c r="H697" i="2"/>
  <c r="G697" i="2"/>
  <c r="I697" i="2"/>
  <c r="T697" i="2" s="1"/>
  <c r="M697" i="2"/>
  <c r="N697" i="2"/>
  <c r="M540" i="2"/>
  <c r="R540" i="2"/>
  <c r="G540" i="2"/>
  <c r="H540" i="2"/>
  <c r="N540" i="2"/>
  <c r="I540" i="2"/>
  <c r="Q540" i="2"/>
  <c r="H383" i="2"/>
  <c r="M383" i="2"/>
  <c r="R383" i="2"/>
  <c r="I383" i="2"/>
  <c r="N383" i="2"/>
  <c r="Q383" i="2"/>
  <c r="G383" i="2"/>
  <c r="T383" i="2" s="1"/>
  <c r="Q226" i="2"/>
  <c r="M226" i="2"/>
  <c r="N226" i="2"/>
  <c r="T226" i="2" s="1"/>
  <c r="R226" i="2"/>
  <c r="O226" i="2"/>
  <c r="P226" i="2"/>
  <c r="G226" i="2"/>
  <c r="H226" i="2"/>
  <c r="I226" i="2"/>
  <c r="G48" i="2"/>
  <c r="H48" i="2"/>
  <c r="T48" i="2" s="1"/>
  <c r="N48" i="2"/>
  <c r="R48" i="2"/>
  <c r="I48" i="2"/>
  <c r="M48" i="2"/>
  <c r="H37" i="2"/>
  <c r="I37" i="2"/>
  <c r="T37" i="2" s="1"/>
  <c r="G37" i="2"/>
  <c r="M37" i="2"/>
  <c r="N37" i="2"/>
  <c r="R37" i="2"/>
  <c r="R1077" i="2"/>
  <c r="M1077" i="2"/>
  <c r="I1077" i="2"/>
  <c r="T1077" i="2" s="1"/>
  <c r="G1077" i="2"/>
  <c r="H1077" i="2"/>
  <c r="I933" i="2"/>
  <c r="T933" i="2" s="1"/>
  <c r="N933" i="2"/>
  <c r="Q933" i="2"/>
  <c r="R933" i="2"/>
  <c r="M933" i="2"/>
  <c r="H933" i="2"/>
  <c r="G933" i="2"/>
  <c r="G789" i="2"/>
  <c r="I789" i="2"/>
  <c r="T789" i="2" s="1"/>
  <c r="R789" i="2"/>
  <c r="N789" i="2"/>
  <c r="Q789" i="2"/>
  <c r="H789" i="2"/>
  <c r="M789" i="2"/>
  <c r="R645" i="2"/>
  <c r="M645" i="2"/>
  <c r="N645" i="2"/>
  <c r="G645" i="2"/>
  <c r="H645" i="2"/>
  <c r="I645" i="2"/>
  <c r="T645" i="2" s="1"/>
  <c r="Q645" i="2"/>
  <c r="N501" i="2"/>
  <c r="Q501" i="2"/>
  <c r="G501" i="2"/>
  <c r="R501" i="2"/>
  <c r="I501" i="2"/>
  <c r="T501" i="2" s="1"/>
  <c r="M501" i="2"/>
  <c r="H501" i="2"/>
  <c r="N357" i="2"/>
  <c r="R357" i="2"/>
  <c r="G357" i="2"/>
  <c r="H357" i="2"/>
  <c r="I357" i="2"/>
  <c r="T357" i="2" s="1"/>
  <c r="M357" i="2"/>
  <c r="Q357" i="2"/>
  <c r="N213" i="2"/>
  <c r="I213" i="2"/>
  <c r="T213" i="2" s="1"/>
  <c r="M213" i="2"/>
  <c r="R213" i="2"/>
  <c r="H213" i="2"/>
  <c r="Q213" i="2"/>
  <c r="G213" i="2"/>
  <c r="Q69" i="2"/>
  <c r="R69" i="2"/>
  <c r="I69" i="2"/>
  <c r="T69" i="2" s="1"/>
  <c r="M69" i="2"/>
  <c r="G69" i="2"/>
  <c r="H69" i="2"/>
  <c r="N69" i="2"/>
  <c r="I92" i="2"/>
  <c r="M92" i="2"/>
  <c r="H92" i="2"/>
  <c r="N92" i="2"/>
  <c r="G92" i="2"/>
  <c r="Q92" i="2"/>
  <c r="R92" i="2"/>
  <c r="M1150" i="2"/>
  <c r="Q1143" i="2"/>
  <c r="Q466" i="2"/>
  <c r="G466" i="2"/>
  <c r="N466" i="2"/>
  <c r="T466" i="2" s="1"/>
  <c r="O466" i="2"/>
  <c r="R466" i="2"/>
  <c r="I466" i="2"/>
  <c r="M466" i="2"/>
  <c r="P466" i="2"/>
  <c r="H466" i="2"/>
  <c r="I76" i="2"/>
  <c r="M76" i="2"/>
  <c r="N76" i="2"/>
  <c r="Q76" i="2"/>
  <c r="R76" i="2"/>
  <c r="G76" i="2"/>
  <c r="H76" i="2"/>
  <c r="N197" i="2"/>
  <c r="I197" i="2"/>
  <c r="T197" i="2" s="1"/>
  <c r="M197" i="2"/>
  <c r="R197" i="2"/>
  <c r="Q197" i="2"/>
  <c r="G197" i="2"/>
  <c r="H197" i="2"/>
  <c r="R936" i="2"/>
  <c r="N936" i="2"/>
  <c r="Q936" i="2"/>
  <c r="G936" i="2"/>
  <c r="M936" i="2"/>
  <c r="H936" i="2"/>
  <c r="I936" i="2"/>
  <c r="G595" i="2"/>
  <c r="T595" i="2" s="1"/>
  <c r="M595" i="2"/>
  <c r="Q595" i="2"/>
  <c r="R595" i="2"/>
  <c r="H595" i="2"/>
  <c r="I595" i="2"/>
  <c r="N595" i="2"/>
  <c r="N628" i="2"/>
  <c r="Q628" i="2"/>
  <c r="R628" i="2"/>
  <c r="G628" i="2"/>
  <c r="H628" i="2"/>
  <c r="I628" i="2"/>
  <c r="M628" i="2"/>
  <c r="H132" i="2"/>
  <c r="I132" i="2"/>
  <c r="M132" i="2"/>
  <c r="G132" i="2"/>
  <c r="N132" i="2"/>
  <c r="Q132" i="2"/>
  <c r="R132" i="2"/>
  <c r="O1146" i="2"/>
  <c r="H1146" i="2"/>
  <c r="M1146" i="2"/>
  <c r="I1146" i="2"/>
  <c r="P1146" i="2"/>
  <c r="N1146" i="2"/>
  <c r="T1146" i="2" s="1"/>
  <c r="Q1146" i="2"/>
  <c r="R1146" i="2"/>
  <c r="G1146" i="2"/>
  <c r="N445" i="2"/>
  <c r="M445" i="2"/>
  <c r="Q445" i="2"/>
  <c r="H445" i="2"/>
  <c r="R445" i="2"/>
  <c r="G445" i="2"/>
  <c r="I445" i="2"/>
  <c r="T445" i="2" s="1"/>
  <c r="I978" i="2"/>
  <c r="O978" i="2"/>
  <c r="M978" i="2"/>
  <c r="N978" i="2"/>
  <c r="T978" i="2" s="1"/>
  <c r="Q978" i="2"/>
  <c r="R978" i="2"/>
  <c r="G978" i="2"/>
  <c r="H978" i="2"/>
  <c r="P978" i="2"/>
  <c r="I215" i="2"/>
  <c r="M215" i="2"/>
  <c r="N215" i="2"/>
  <c r="R215" i="2"/>
  <c r="G215" i="2"/>
  <c r="T215" i="2" s="1"/>
  <c r="H215" i="2"/>
  <c r="Q215" i="2"/>
  <c r="R768" i="2"/>
  <c r="G768" i="2"/>
  <c r="H768" i="2"/>
  <c r="M768" i="2"/>
  <c r="N768" i="2"/>
  <c r="I768" i="2"/>
  <c r="Q768" i="2"/>
  <c r="R995" i="2"/>
  <c r="M995" i="2"/>
  <c r="N995" i="2"/>
  <c r="Q995" i="2"/>
  <c r="G995" i="2"/>
  <c r="T995" i="2" s="1"/>
  <c r="H995" i="2"/>
  <c r="I995" i="2"/>
  <c r="H432" i="2"/>
  <c r="Q432" i="2"/>
  <c r="G432" i="2"/>
  <c r="M432" i="2"/>
  <c r="N432" i="2"/>
  <c r="R432" i="2"/>
  <c r="I432" i="2"/>
  <c r="I1052" i="2"/>
  <c r="M1052" i="2"/>
  <c r="Q1052" i="2"/>
  <c r="H1052" i="2"/>
  <c r="G1052" i="2"/>
  <c r="R1052" i="2"/>
  <c r="N1052" i="2"/>
  <c r="I506" i="2"/>
  <c r="G506" i="2"/>
  <c r="H506" i="2"/>
  <c r="M506" i="2"/>
  <c r="N506" i="2"/>
  <c r="T506" i="2" s="1"/>
  <c r="R506" i="2"/>
  <c r="O506" i="2"/>
  <c r="Q506" i="2"/>
  <c r="P506" i="2"/>
  <c r="R863" i="2"/>
  <c r="G863" i="2"/>
  <c r="T863" i="2" s="1"/>
  <c r="N863" i="2"/>
  <c r="Q863" i="2"/>
  <c r="I863" i="2"/>
  <c r="M863" i="2"/>
  <c r="H863" i="2"/>
  <c r="H280" i="2"/>
  <c r="I280" i="2"/>
  <c r="M280" i="2"/>
  <c r="R280" i="2"/>
  <c r="G280" i="2"/>
  <c r="N280" i="2"/>
  <c r="Q280" i="2"/>
  <c r="H456" i="2"/>
  <c r="M456" i="2"/>
  <c r="G456" i="2"/>
  <c r="N456" i="2"/>
  <c r="I456" i="2"/>
  <c r="Q456" i="2"/>
  <c r="R456" i="2"/>
  <c r="R756" i="2"/>
  <c r="M756" i="2"/>
  <c r="N756" i="2"/>
  <c r="Q756" i="2"/>
  <c r="G756" i="2"/>
  <c r="H756" i="2"/>
  <c r="I756" i="2"/>
  <c r="Q302" i="2"/>
  <c r="G302" i="2"/>
  <c r="H302" i="2"/>
  <c r="O302" i="2"/>
  <c r="I302" i="2"/>
  <c r="M302" i="2"/>
  <c r="P302" i="2"/>
  <c r="R302" i="2"/>
  <c r="N302" i="2"/>
  <c r="T302" i="2" s="1"/>
  <c r="R904" i="2"/>
  <c r="H904" i="2"/>
  <c r="I904" i="2"/>
  <c r="G904" i="2"/>
  <c r="M904" i="2"/>
  <c r="N904" i="2"/>
  <c r="Q904" i="2"/>
  <c r="H224" i="2"/>
  <c r="R224" i="2"/>
  <c r="G224" i="2"/>
  <c r="M224" i="2"/>
  <c r="I224" i="2"/>
  <c r="N224" i="2"/>
  <c r="Q224" i="2"/>
  <c r="R963" i="2"/>
  <c r="G963" i="2"/>
  <c r="T963" i="2" s="1"/>
  <c r="I963" i="2"/>
  <c r="M963" i="2"/>
  <c r="H963" i="2"/>
  <c r="N963" i="2"/>
  <c r="Q963" i="2"/>
  <c r="G591" i="2"/>
  <c r="T591" i="2" s="1"/>
  <c r="M591" i="2"/>
  <c r="R591" i="2"/>
  <c r="Q591" i="2"/>
  <c r="H591" i="2"/>
  <c r="I591" i="2"/>
  <c r="N591" i="2"/>
  <c r="N403" i="2"/>
  <c r="H403" i="2"/>
  <c r="M403" i="2"/>
  <c r="Q403" i="2"/>
  <c r="G403" i="2"/>
  <c r="T403" i="2" s="1"/>
  <c r="I403" i="2"/>
  <c r="R403" i="2"/>
  <c r="H216" i="2"/>
  <c r="I216" i="2"/>
  <c r="M216" i="2"/>
  <c r="R216" i="2"/>
  <c r="G216" i="2"/>
  <c r="N216" i="2"/>
  <c r="Q216" i="2"/>
  <c r="R871" i="2"/>
  <c r="H871" i="2"/>
  <c r="I871" i="2"/>
  <c r="G871" i="2"/>
  <c r="T871" i="2" s="1"/>
  <c r="M871" i="2"/>
  <c r="N871" i="2"/>
  <c r="Q871" i="2"/>
  <c r="H682" i="2"/>
  <c r="I682" i="2"/>
  <c r="N682" i="2"/>
  <c r="T682" i="2" s="1"/>
  <c r="G682" i="2"/>
  <c r="M682" i="2"/>
  <c r="O682" i="2"/>
  <c r="R682" i="2"/>
  <c r="Q682" i="2"/>
  <c r="P682" i="2"/>
  <c r="Q494" i="2"/>
  <c r="H494" i="2"/>
  <c r="R494" i="2"/>
  <c r="I494" i="2"/>
  <c r="G494" i="2"/>
  <c r="M494" i="2"/>
  <c r="N494" i="2"/>
  <c r="T494" i="2" s="1"/>
  <c r="O494" i="2"/>
  <c r="P494" i="2"/>
  <c r="Q306" i="2"/>
  <c r="M306" i="2"/>
  <c r="N306" i="2"/>
  <c r="T306" i="2" s="1"/>
  <c r="I306" i="2"/>
  <c r="P306" i="2"/>
  <c r="R306" i="2"/>
  <c r="G306" i="2"/>
  <c r="H306" i="2"/>
  <c r="O306" i="2"/>
  <c r="R106" i="2"/>
  <c r="G106" i="2"/>
  <c r="N106" i="2"/>
  <c r="T106" i="2" s="1"/>
  <c r="O106" i="2"/>
  <c r="Q106" i="2"/>
  <c r="P106" i="2"/>
  <c r="H106" i="2"/>
  <c r="M106" i="2"/>
  <c r="I106" i="2"/>
  <c r="M1117" i="2"/>
  <c r="H1117" i="2"/>
  <c r="I1117" i="2"/>
  <c r="T1117" i="2" s="1"/>
  <c r="G1117" i="2"/>
  <c r="Q1117" i="2"/>
  <c r="N1117" i="2"/>
  <c r="R960" i="2"/>
  <c r="H960" i="2"/>
  <c r="I960" i="2"/>
  <c r="Q960" i="2"/>
  <c r="M960" i="2"/>
  <c r="G960" i="2"/>
  <c r="N960" i="2"/>
  <c r="R803" i="2"/>
  <c r="G803" i="2"/>
  <c r="T803" i="2" s="1"/>
  <c r="I803" i="2"/>
  <c r="M803" i="2"/>
  <c r="H803" i="2"/>
  <c r="N803" i="2"/>
  <c r="Q803" i="2"/>
  <c r="Q646" i="2"/>
  <c r="R646" i="2"/>
  <c r="N646" i="2"/>
  <c r="T646" i="2" s="1"/>
  <c r="O646" i="2"/>
  <c r="P646" i="2"/>
  <c r="G646" i="2"/>
  <c r="H646" i="2"/>
  <c r="I646" i="2"/>
  <c r="M646" i="2"/>
  <c r="H488" i="2"/>
  <c r="G488" i="2"/>
  <c r="I488" i="2"/>
  <c r="N488" i="2"/>
  <c r="R488" i="2"/>
  <c r="Q488" i="2"/>
  <c r="M488" i="2"/>
  <c r="Q331" i="2"/>
  <c r="N331" i="2"/>
  <c r="R331" i="2"/>
  <c r="I331" i="2"/>
  <c r="M331" i="2"/>
  <c r="G331" i="2"/>
  <c r="T331" i="2" s="1"/>
  <c r="H331" i="2"/>
  <c r="G173" i="2"/>
  <c r="I173" i="2"/>
  <c r="T173" i="2" s="1"/>
  <c r="H173" i="2"/>
  <c r="M173" i="2"/>
  <c r="N173" i="2"/>
  <c r="Q173" i="2"/>
  <c r="R173" i="2"/>
  <c r="G841" i="2"/>
  <c r="I841" i="2"/>
  <c r="T841" i="2" s="1"/>
  <c r="M841" i="2"/>
  <c r="N841" i="2"/>
  <c r="H841" i="2"/>
  <c r="Q841" i="2"/>
  <c r="R841" i="2"/>
  <c r="R684" i="2"/>
  <c r="G684" i="2"/>
  <c r="H684" i="2"/>
  <c r="Q684" i="2"/>
  <c r="I684" i="2"/>
  <c r="M684" i="2"/>
  <c r="N684" i="2"/>
  <c r="I527" i="2"/>
  <c r="G527" i="2"/>
  <c r="T527" i="2" s="1"/>
  <c r="M527" i="2"/>
  <c r="H527" i="2"/>
  <c r="N527" i="2"/>
  <c r="Q527" i="2"/>
  <c r="R527" i="2"/>
  <c r="Q370" i="2"/>
  <c r="G370" i="2"/>
  <c r="M370" i="2"/>
  <c r="P370" i="2"/>
  <c r="O370" i="2"/>
  <c r="R370" i="2"/>
  <c r="H370" i="2"/>
  <c r="I370" i="2"/>
  <c r="N370" i="2"/>
  <c r="T370" i="2" s="1"/>
  <c r="H212" i="2"/>
  <c r="I212" i="2"/>
  <c r="G212" i="2"/>
  <c r="M212" i="2"/>
  <c r="N212" i="2"/>
  <c r="Q212" i="2"/>
  <c r="R212" i="2"/>
  <c r="N31" i="2"/>
  <c r="I31" i="2"/>
  <c r="M31" i="2"/>
  <c r="G31" i="2"/>
  <c r="T31" i="2" s="1"/>
  <c r="R31" i="2"/>
  <c r="H31" i="2"/>
  <c r="N23" i="2"/>
  <c r="M23" i="2"/>
  <c r="R23" i="2"/>
  <c r="G23" i="2"/>
  <c r="T23" i="2" s="1"/>
  <c r="I23" i="2"/>
  <c r="H23" i="2"/>
  <c r="M1065" i="2"/>
  <c r="I1065" i="2"/>
  <c r="T1065" i="2" s="1"/>
  <c r="Q1065" i="2"/>
  <c r="R1065" i="2"/>
  <c r="G1065" i="2"/>
  <c r="H1065" i="2"/>
  <c r="N1065" i="2"/>
  <c r="G921" i="2"/>
  <c r="I921" i="2"/>
  <c r="T921" i="2" s="1"/>
  <c r="R921" i="2"/>
  <c r="Q921" i="2"/>
  <c r="H921" i="2"/>
  <c r="M921" i="2"/>
  <c r="N921" i="2"/>
  <c r="G777" i="2"/>
  <c r="I777" i="2"/>
  <c r="T777" i="2" s="1"/>
  <c r="R777" i="2"/>
  <c r="Q777" i="2"/>
  <c r="H777" i="2"/>
  <c r="M777" i="2"/>
  <c r="N777" i="2"/>
  <c r="R633" i="2"/>
  <c r="G633" i="2"/>
  <c r="Q633" i="2"/>
  <c r="H633" i="2"/>
  <c r="I633" i="2"/>
  <c r="T633" i="2" s="1"/>
  <c r="M633" i="2"/>
  <c r="N633" i="2"/>
  <c r="N489" i="2"/>
  <c r="I489" i="2"/>
  <c r="T489" i="2" s="1"/>
  <c r="G489" i="2"/>
  <c r="Q489" i="2"/>
  <c r="R489" i="2"/>
  <c r="H489" i="2"/>
  <c r="M489" i="2"/>
  <c r="N345" i="2"/>
  <c r="I345" i="2"/>
  <c r="T345" i="2" s="1"/>
  <c r="M345" i="2"/>
  <c r="G345" i="2"/>
  <c r="H345" i="2"/>
  <c r="Q345" i="2"/>
  <c r="R345" i="2"/>
  <c r="N201" i="2"/>
  <c r="Q201" i="2"/>
  <c r="R201" i="2"/>
  <c r="G201" i="2"/>
  <c r="H201" i="2"/>
  <c r="M201" i="2"/>
  <c r="I201" i="2"/>
  <c r="T201" i="2" s="1"/>
  <c r="R57" i="2"/>
  <c r="H57" i="2"/>
  <c r="G57" i="2"/>
  <c r="I57" i="2"/>
  <c r="T57" i="2" s="1"/>
  <c r="M57" i="2"/>
  <c r="N57" i="2"/>
  <c r="I80" i="2"/>
  <c r="M80" i="2"/>
  <c r="H80" i="2"/>
  <c r="N80" i="2"/>
  <c r="G80" i="2"/>
  <c r="Q80" i="2"/>
  <c r="R80" i="2"/>
  <c r="I168" i="2"/>
  <c r="Q168" i="2"/>
  <c r="M168" i="2"/>
  <c r="G168" i="2"/>
  <c r="R168" i="2"/>
  <c r="H168" i="2"/>
  <c r="N168" i="2"/>
  <c r="N1049" i="2"/>
  <c r="G1049" i="2"/>
  <c r="I1049" i="2"/>
  <c r="T1049" i="2" s="1"/>
  <c r="Q1049" i="2"/>
  <c r="R1049" i="2"/>
  <c r="H1049" i="2"/>
  <c r="Q1135" i="2"/>
  <c r="M1111" i="2"/>
  <c r="M1151" i="2"/>
  <c r="M564" i="2"/>
  <c r="R564" i="2"/>
  <c r="G564" i="2"/>
  <c r="H564" i="2"/>
  <c r="I564" i="2"/>
  <c r="N564" i="2"/>
  <c r="Q564" i="2"/>
  <c r="M596" i="2"/>
  <c r="G596" i="2"/>
  <c r="H596" i="2"/>
  <c r="N596" i="2"/>
  <c r="I596" i="2"/>
  <c r="R596" i="2"/>
  <c r="Q596" i="2"/>
  <c r="M734" i="2"/>
  <c r="N734" i="2"/>
  <c r="T734" i="2" s="1"/>
  <c r="P734" i="2"/>
  <c r="H734" i="2"/>
  <c r="G734" i="2"/>
  <c r="I734" i="2"/>
  <c r="Q734" i="2"/>
  <c r="O734" i="2"/>
  <c r="R734" i="2"/>
  <c r="I937" i="2"/>
  <c r="T937" i="2" s="1"/>
  <c r="G937" i="2"/>
  <c r="Q937" i="2"/>
  <c r="R937" i="2"/>
  <c r="M937" i="2"/>
  <c r="N937" i="2"/>
  <c r="H937" i="2"/>
  <c r="H1108" i="2"/>
  <c r="G1108" i="2"/>
  <c r="M1108" i="2"/>
  <c r="Q1108" i="2"/>
  <c r="I1108" i="2"/>
  <c r="R1108" i="2"/>
  <c r="N1108" i="2"/>
  <c r="H236" i="2"/>
  <c r="R236" i="2"/>
  <c r="M236" i="2"/>
  <c r="N236" i="2"/>
  <c r="G236" i="2"/>
  <c r="I236" i="2"/>
  <c r="Q236" i="2"/>
  <c r="H468" i="2"/>
  <c r="R468" i="2"/>
  <c r="I468" i="2"/>
  <c r="M468" i="2"/>
  <c r="Q468" i="2"/>
  <c r="G468" i="2"/>
  <c r="N468" i="2"/>
  <c r="I838" i="2"/>
  <c r="M838" i="2"/>
  <c r="O838" i="2"/>
  <c r="G838" i="2"/>
  <c r="R838" i="2"/>
  <c r="H838" i="2"/>
  <c r="N838" i="2"/>
  <c r="T838" i="2" s="1"/>
  <c r="P838" i="2"/>
  <c r="Q838" i="2"/>
  <c r="Q134" i="2"/>
  <c r="R134" i="2"/>
  <c r="P134" i="2"/>
  <c r="G134" i="2"/>
  <c r="M134" i="2"/>
  <c r="N134" i="2"/>
  <c r="T134" i="2" s="1"/>
  <c r="O134" i="2"/>
  <c r="H134" i="2"/>
  <c r="I134" i="2"/>
  <c r="I882" i="2"/>
  <c r="M882" i="2"/>
  <c r="O882" i="2"/>
  <c r="H882" i="2"/>
  <c r="N882" i="2"/>
  <c r="T882" i="2" s="1"/>
  <c r="Q882" i="2"/>
  <c r="R882" i="2"/>
  <c r="P882" i="2"/>
  <c r="G882" i="2"/>
  <c r="Q194" i="2"/>
  <c r="M194" i="2"/>
  <c r="N194" i="2"/>
  <c r="T194" i="2" s="1"/>
  <c r="R194" i="2"/>
  <c r="G194" i="2"/>
  <c r="I194" i="2"/>
  <c r="H194" i="2"/>
  <c r="O194" i="2"/>
  <c r="P194" i="2"/>
  <c r="R932" i="2"/>
  <c r="G932" i="2"/>
  <c r="I932" i="2"/>
  <c r="M932" i="2"/>
  <c r="H932" i="2"/>
  <c r="N932" i="2"/>
  <c r="Q932" i="2"/>
  <c r="Q250" i="2"/>
  <c r="N250" i="2"/>
  <c r="T250" i="2" s="1"/>
  <c r="R250" i="2"/>
  <c r="G250" i="2"/>
  <c r="I250" i="2"/>
  <c r="M250" i="2"/>
  <c r="O250" i="2"/>
  <c r="P250" i="2"/>
  <c r="H250" i="2"/>
  <c r="M1036" i="2"/>
  <c r="H1036" i="2"/>
  <c r="T1036" i="2" s="1"/>
  <c r="G1036" i="2"/>
  <c r="R1036" i="2"/>
  <c r="I1036" i="2"/>
  <c r="N1036" i="2"/>
  <c r="Q1036" i="2"/>
  <c r="G551" i="2"/>
  <c r="T551" i="2" s="1"/>
  <c r="M551" i="2"/>
  <c r="H551" i="2"/>
  <c r="N551" i="2"/>
  <c r="I551" i="2"/>
  <c r="Q551" i="2"/>
  <c r="R551" i="2"/>
  <c r="R1060" i="2"/>
  <c r="H1060" i="2"/>
  <c r="M1060" i="2"/>
  <c r="Q1060" i="2"/>
  <c r="G1060" i="2"/>
  <c r="I1060" i="2"/>
  <c r="N1060" i="2"/>
  <c r="G590" i="2"/>
  <c r="H590" i="2"/>
  <c r="M590" i="2"/>
  <c r="I590" i="2"/>
  <c r="N590" i="2"/>
  <c r="T590" i="2" s="1"/>
  <c r="O590" i="2"/>
  <c r="P590" i="2"/>
  <c r="Q590" i="2"/>
  <c r="R590" i="2"/>
  <c r="N25" i="2"/>
  <c r="H25" i="2"/>
  <c r="I25" i="2"/>
  <c r="T25" i="2" s="1"/>
  <c r="M25" i="2"/>
  <c r="G25" i="2"/>
  <c r="R25" i="2"/>
  <c r="I1087" i="2"/>
  <c r="H1087" i="2"/>
  <c r="M1087" i="2"/>
  <c r="Q1087" i="2"/>
  <c r="N1087" i="2"/>
  <c r="R1087" i="2"/>
  <c r="G1087" i="2"/>
  <c r="T1087" i="2" s="1"/>
  <c r="I627" i="2"/>
  <c r="G627" i="2"/>
  <c r="T627" i="2" s="1"/>
  <c r="H627" i="2"/>
  <c r="N627" i="2"/>
  <c r="M627" i="2"/>
  <c r="R627" i="2"/>
  <c r="Q627" i="2"/>
  <c r="R74" i="2"/>
  <c r="H74" i="2"/>
  <c r="I74" i="2"/>
  <c r="M74" i="2"/>
  <c r="N74" i="2"/>
  <c r="T74" i="2" s="1"/>
  <c r="P74" i="2"/>
  <c r="Q74" i="2"/>
  <c r="G74" i="2"/>
  <c r="O74" i="2"/>
  <c r="P1126" i="2"/>
  <c r="H1126" i="2"/>
  <c r="N1126" i="2"/>
  <c r="T1126" i="2" s="1"/>
  <c r="O1126" i="2"/>
  <c r="Q1126" i="2"/>
  <c r="R1126" i="2"/>
  <c r="I1126" i="2"/>
  <c r="G805" i="2"/>
  <c r="I805" i="2"/>
  <c r="T805" i="2" s="1"/>
  <c r="H805" i="2"/>
  <c r="M805" i="2"/>
  <c r="N805" i="2"/>
  <c r="R805" i="2"/>
  <c r="Q805" i="2"/>
  <c r="N413" i="2"/>
  <c r="G413" i="2"/>
  <c r="H413" i="2"/>
  <c r="R413" i="2"/>
  <c r="I413" i="2"/>
  <c r="T413" i="2" s="1"/>
  <c r="M413" i="2"/>
  <c r="Q413" i="2"/>
  <c r="I946" i="2"/>
  <c r="O946" i="2"/>
  <c r="H946" i="2"/>
  <c r="M946" i="2"/>
  <c r="G946" i="2"/>
  <c r="N946" i="2"/>
  <c r="T946" i="2" s="1"/>
  <c r="P946" i="2"/>
  <c r="Q946" i="2"/>
  <c r="R946" i="2"/>
  <c r="R577" i="2"/>
  <c r="H577" i="2"/>
  <c r="G577" i="2"/>
  <c r="I577" i="2"/>
  <c r="T577" i="2" s="1"/>
  <c r="M577" i="2"/>
  <c r="Q577" i="2"/>
  <c r="N577" i="2"/>
  <c r="Q175" i="2"/>
  <c r="I175" i="2"/>
  <c r="G175" i="2"/>
  <c r="T175" i="2" s="1"/>
  <c r="H175" i="2"/>
  <c r="N175" i="2"/>
  <c r="R175" i="2"/>
  <c r="M175" i="2"/>
  <c r="H1075" i="2"/>
  <c r="M1075" i="2"/>
  <c r="Q1075" i="2"/>
  <c r="N1075" i="2"/>
  <c r="G1075" i="2"/>
  <c r="T1075" i="2" s="1"/>
  <c r="R1075" i="2"/>
  <c r="I1075" i="2"/>
  <c r="G740" i="2"/>
  <c r="H740" i="2"/>
  <c r="M740" i="2"/>
  <c r="Q740" i="2"/>
  <c r="R740" i="2"/>
  <c r="N740" i="2"/>
  <c r="I740" i="2"/>
  <c r="Q346" i="2"/>
  <c r="M346" i="2"/>
  <c r="P346" i="2"/>
  <c r="O346" i="2"/>
  <c r="R346" i="2"/>
  <c r="G346" i="2"/>
  <c r="H346" i="2"/>
  <c r="I346" i="2"/>
  <c r="N346" i="2"/>
  <c r="T346" i="2" s="1"/>
  <c r="R971" i="2"/>
  <c r="G971" i="2"/>
  <c r="T971" i="2" s="1"/>
  <c r="H971" i="2"/>
  <c r="Q971" i="2"/>
  <c r="I971" i="2"/>
  <c r="M971" i="2"/>
  <c r="N971" i="2"/>
  <c r="R708" i="2"/>
  <c r="M708" i="2"/>
  <c r="N708" i="2"/>
  <c r="Q708" i="2"/>
  <c r="G708" i="2"/>
  <c r="H708" i="2"/>
  <c r="I708" i="2"/>
  <c r="H408" i="2"/>
  <c r="M408" i="2"/>
  <c r="Q408" i="2"/>
  <c r="R408" i="2"/>
  <c r="G408" i="2"/>
  <c r="I408" i="2"/>
  <c r="N408" i="2"/>
  <c r="R94" i="2"/>
  <c r="P94" i="2"/>
  <c r="I94" i="2"/>
  <c r="M94" i="2"/>
  <c r="O94" i="2"/>
  <c r="H94" i="2"/>
  <c r="N94" i="2"/>
  <c r="T94" i="2" s="1"/>
  <c r="Q94" i="2"/>
  <c r="G94" i="2"/>
  <c r="R1033" i="2"/>
  <c r="G1033" i="2"/>
  <c r="N1033" i="2"/>
  <c r="M1033" i="2"/>
  <c r="H1033" i="2"/>
  <c r="I1033" i="2"/>
  <c r="T1033" i="2" s="1"/>
  <c r="Q1033" i="2"/>
  <c r="I774" i="2"/>
  <c r="M774" i="2"/>
  <c r="O774" i="2"/>
  <c r="Q774" i="2"/>
  <c r="R774" i="2"/>
  <c r="G774" i="2"/>
  <c r="H774" i="2"/>
  <c r="N774" i="2"/>
  <c r="T774" i="2" s="1"/>
  <c r="P774" i="2"/>
  <c r="N483" i="2"/>
  <c r="H483" i="2"/>
  <c r="Q483" i="2"/>
  <c r="R483" i="2"/>
  <c r="I483" i="2"/>
  <c r="G483" i="2"/>
  <c r="T483" i="2" s="1"/>
  <c r="M483" i="2"/>
  <c r="N181" i="2"/>
  <c r="I181" i="2"/>
  <c r="T181" i="2" s="1"/>
  <c r="M181" i="2"/>
  <c r="R181" i="2"/>
  <c r="G181" i="2"/>
  <c r="H181" i="2"/>
  <c r="Q181" i="2"/>
  <c r="H1084" i="2"/>
  <c r="R1084" i="2"/>
  <c r="G1084" i="2"/>
  <c r="M1084" i="2"/>
  <c r="I1084" i="2"/>
  <c r="N1084" i="2"/>
  <c r="Q1084" i="2"/>
  <c r="R840" i="2"/>
  <c r="Q840" i="2"/>
  <c r="G840" i="2"/>
  <c r="H840" i="2"/>
  <c r="N840" i="2"/>
  <c r="I840" i="2"/>
  <c r="M840" i="2"/>
  <c r="M556" i="2"/>
  <c r="H556" i="2"/>
  <c r="I556" i="2"/>
  <c r="N556" i="2"/>
  <c r="G556" i="2"/>
  <c r="Q556" i="2"/>
  <c r="R556" i="2"/>
  <c r="N255" i="2"/>
  <c r="M255" i="2"/>
  <c r="Q255" i="2"/>
  <c r="I255" i="2"/>
  <c r="R255" i="2"/>
  <c r="G255" i="2"/>
  <c r="T255" i="2" s="1"/>
  <c r="H255" i="2"/>
  <c r="I663" i="2"/>
  <c r="Q663" i="2"/>
  <c r="R663" i="2"/>
  <c r="M663" i="2"/>
  <c r="G663" i="2"/>
  <c r="T663" i="2" s="1"/>
  <c r="H663" i="2"/>
  <c r="N663" i="2"/>
  <c r="Q438" i="2"/>
  <c r="M438" i="2"/>
  <c r="P438" i="2"/>
  <c r="R438" i="2"/>
  <c r="G438" i="2"/>
  <c r="H438" i="2"/>
  <c r="I438" i="2"/>
  <c r="N438" i="2"/>
  <c r="T438" i="2" s="1"/>
  <c r="O438" i="2"/>
  <c r="N209" i="2"/>
  <c r="G209" i="2"/>
  <c r="R209" i="2"/>
  <c r="M209" i="2"/>
  <c r="Q209" i="2"/>
  <c r="H209" i="2"/>
  <c r="I209" i="2"/>
  <c r="T209" i="2" s="1"/>
  <c r="N1153" i="2"/>
  <c r="H1153" i="2"/>
  <c r="I1153" i="2"/>
  <c r="T1153" i="2" s="1"/>
  <c r="G1153" i="2"/>
  <c r="M1153" i="2"/>
  <c r="Q1153" i="2"/>
  <c r="R956" i="2"/>
  <c r="N956" i="2"/>
  <c r="Q956" i="2"/>
  <c r="M956" i="2"/>
  <c r="H956" i="2"/>
  <c r="I956" i="2"/>
  <c r="G956" i="2"/>
  <c r="O738" i="2"/>
  <c r="P738" i="2"/>
  <c r="R738" i="2"/>
  <c r="N738" i="2"/>
  <c r="T738" i="2" s="1"/>
  <c r="G738" i="2"/>
  <c r="H738" i="2"/>
  <c r="Q738" i="2"/>
  <c r="I738" i="2"/>
  <c r="M738" i="2"/>
  <c r="I510" i="2"/>
  <c r="M510" i="2"/>
  <c r="O510" i="2"/>
  <c r="P510" i="2"/>
  <c r="R510" i="2"/>
  <c r="G510" i="2"/>
  <c r="H510" i="2"/>
  <c r="N510" i="2"/>
  <c r="T510" i="2" s="1"/>
  <c r="Q510" i="2"/>
  <c r="H284" i="2"/>
  <c r="I284" i="2"/>
  <c r="N284" i="2"/>
  <c r="Q284" i="2"/>
  <c r="R284" i="2"/>
  <c r="M284" i="2"/>
  <c r="G284" i="2"/>
  <c r="H38" i="2"/>
  <c r="O38" i="2"/>
  <c r="P38" i="2"/>
  <c r="R38" i="2"/>
  <c r="N38" i="2"/>
  <c r="T38" i="2" s="1"/>
  <c r="G38" i="2"/>
  <c r="I38" i="2"/>
  <c r="M38" i="2"/>
  <c r="I886" i="2"/>
  <c r="M886" i="2"/>
  <c r="O886" i="2"/>
  <c r="G886" i="2"/>
  <c r="H886" i="2"/>
  <c r="N886" i="2"/>
  <c r="T886" i="2" s="1"/>
  <c r="P886" i="2"/>
  <c r="Q886" i="2"/>
  <c r="R886" i="2"/>
  <c r="R661" i="2"/>
  <c r="G661" i="2"/>
  <c r="I661" i="2"/>
  <c r="T661" i="2" s="1"/>
  <c r="N661" i="2"/>
  <c r="Q661" i="2"/>
  <c r="M661" i="2"/>
  <c r="H661" i="2"/>
  <c r="N433" i="2"/>
  <c r="H433" i="2"/>
  <c r="Q433" i="2"/>
  <c r="G433" i="2"/>
  <c r="I433" i="2"/>
  <c r="T433" i="2" s="1"/>
  <c r="M433" i="2"/>
  <c r="R433" i="2"/>
  <c r="N207" i="2"/>
  <c r="G207" i="2"/>
  <c r="T207" i="2" s="1"/>
  <c r="R207" i="2"/>
  <c r="H207" i="2"/>
  <c r="M207" i="2"/>
  <c r="Q207" i="2"/>
  <c r="I207" i="2"/>
  <c r="I1120" i="2"/>
  <c r="R1120" i="2"/>
  <c r="H1120" i="2"/>
  <c r="G1120" i="2"/>
  <c r="N1120" i="2"/>
  <c r="Q1120" i="2"/>
  <c r="M1120" i="2"/>
  <c r="I949" i="2"/>
  <c r="T949" i="2" s="1"/>
  <c r="G949" i="2"/>
  <c r="M949" i="2"/>
  <c r="N949" i="2"/>
  <c r="H949" i="2"/>
  <c r="Q949" i="2"/>
  <c r="R949" i="2"/>
  <c r="I766" i="2"/>
  <c r="M766" i="2"/>
  <c r="O766" i="2"/>
  <c r="N766" i="2"/>
  <c r="T766" i="2" s="1"/>
  <c r="P766" i="2"/>
  <c r="R766" i="2"/>
  <c r="Q766" i="2"/>
  <c r="G766" i="2"/>
  <c r="H766" i="2"/>
  <c r="M576" i="2"/>
  <c r="R576" i="2"/>
  <c r="Q576" i="2"/>
  <c r="I576" i="2"/>
  <c r="N576" i="2"/>
  <c r="G576" i="2"/>
  <c r="H576" i="2"/>
  <c r="H388" i="2"/>
  <c r="R388" i="2"/>
  <c r="Q388" i="2"/>
  <c r="G388" i="2"/>
  <c r="I388" i="2"/>
  <c r="M388" i="2"/>
  <c r="N388" i="2"/>
  <c r="Q198" i="2"/>
  <c r="P198" i="2"/>
  <c r="R198" i="2"/>
  <c r="I198" i="2"/>
  <c r="O198" i="2"/>
  <c r="G198" i="2"/>
  <c r="M198" i="2"/>
  <c r="N198" i="2"/>
  <c r="T198" i="2" s="1"/>
  <c r="H198" i="2"/>
  <c r="H1031" i="2"/>
  <c r="N1031" i="2"/>
  <c r="G1031" i="2"/>
  <c r="T1031" i="2" s="1"/>
  <c r="R1031" i="2"/>
  <c r="Q1031" i="2"/>
  <c r="I1031" i="2"/>
  <c r="M1031" i="2"/>
  <c r="R856" i="2"/>
  <c r="H856" i="2"/>
  <c r="I856" i="2"/>
  <c r="Q856" i="2"/>
  <c r="G856" i="2"/>
  <c r="N856" i="2"/>
  <c r="M856" i="2"/>
  <c r="O666" i="2"/>
  <c r="P666" i="2"/>
  <c r="R666" i="2"/>
  <c r="G666" i="2"/>
  <c r="H666" i="2"/>
  <c r="I666" i="2"/>
  <c r="M666" i="2"/>
  <c r="N666" i="2"/>
  <c r="T666" i="2" s="1"/>
  <c r="Q666" i="2"/>
  <c r="H479" i="2"/>
  <c r="G479" i="2"/>
  <c r="T479" i="2" s="1"/>
  <c r="I479" i="2"/>
  <c r="N479" i="2"/>
  <c r="Q479" i="2"/>
  <c r="R479" i="2"/>
  <c r="M479" i="2"/>
  <c r="N289" i="2"/>
  <c r="G289" i="2"/>
  <c r="H289" i="2"/>
  <c r="R289" i="2"/>
  <c r="I289" i="2"/>
  <c r="T289" i="2" s="1"/>
  <c r="M289" i="2"/>
  <c r="Q289" i="2"/>
  <c r="G87" i="2"/>
  <c r="T87" i="2" s="1"/>
  <c r="Q87" i="2"/>
  <c r="R87" i="2"/>
  <c r="M87" i="2"/>
  <c r="I87" i="2"/>
  <c r="N87" i="2"/>
  <c r="H87" i="2"/>
  <c r="G1104" i="2"/>
  <c r="I1104" i="2"/>
  <c r="N1104" i="2"/>
  <c r="M1104" i="2"/>
  <c r="R1104" i="2"/>
  <c r="H1104" i="2"/>
  <c r="Q1104" i="2"/>
  <c r="R947" i="2"/>
  <c r="M947" i="2"/>
  <c r="N947" i="2"/>
  <c r="Q947" i="2"/>
  <c r="G947" i="2"/>
  <c r="T947" i="2" s="1"/>
  <c r="H947" i="2"/>
  <c r="I947" i="2"/>
  <c r="I790" i="2"/>
  <c r="M790" i="2"/>
  <c r="O790" i="2"/>
  <c r="G790" i="2"/>
  <c r="P790" i="2"/>
  <c r="N790" i="2"/>
  <c r="T790" i="2" s="1"/>
  <c r="H790" i="2"/>
  <c r="Q790" i="2"/>
  <c r="R790" i="2"/>
  <c r="Q632" i="2"/>
  <c r="H632" i="2"/>
  <c r="M632" i="2"/>
  <c r="I632" i="2"/>
  <c r="N632" i="2"/>
  <c r="R632" i="2"/>
  <c r="G632" i="2"/>
  <c r="H475" i="2"/>
  <c r="N475" i="2"/>
  <c r="R475" i="2"/>
  <c r="I475" i="2"/>
  <c r="M475" i="2"/>
  <c r="Q475" i="2"/>
  <c r="G475" i="2"/>
  <c r="T475" i="2" s="1"/>
  <c r="P318" i="2"/>
  <c r="Q318" i="2"/>
  <c r="N318" i="2"/>
  <c r="T318" i="2" s="1"/>
  <c r="O318" i="2"/>
  <c r="H318" i="2"/>
  <c r="I318" i="2"/>
  <c r="R318" i="2"/>
  <c r="M318" i="2"/>
  <c r="G318" i="2"/>
  <c r="H159" i="2"/>
  <c r="Q159" i="2"/>
  <c r="R159" i="2"/>
  <c r="N159" i="2"/>
  <c r="M159" i="2"/>
  <c r="G159" i="2"/>
  <c r="T159" i="2" s="1"/>
  <c r="I159" i="2"/>
  <c r="R828" i="2"/>
  <c r="G828" i="2"/>
  <c r="H828" i="2"/>
  <c r="M828" i="2"/>
  <c r="N828" i="2"/>
  <c r="I828" i="2"/>
  <c r="Q828" i="2"/>
  <c r="I671" i="2"/>
  <c r="H671" i="2"/>
  <c r="Q671" i="2"/>
  <c r="R671" i="2"/>
  <c r="M671" i="2"/>
  <c r="G671" i="2"/>
  <c r="T671" i="2" s="1"/>
  <c r="N671" i="2"/>
  <c r="I514" i="2"/>
  <c r="H514" i="2"/>
  <c r="O514" i="2"/>
  <c r="G514" i="2"/>
  <c r="M514" i="2"/>
  <c r="N514" i="2"/>
  <c r="T514" i="2" s="1"/>
  <c r="P514" i="2"/>
  <c r="Q514" i="2"/>
  <c r="R514" i="2"/>
  <c r="H356" i="2"/>
  <c r="R356" i="2"/>
  <c r="M356" i="2"/>
  <c r="I356" i="2"/>
  <c r="N356" i="2"/>
  <c r="Q356" i="2"/>
  <c r="G356" i="2"/>
  <c r="R199" i="2"/>
  <c r="Q199" i="2"/>
  <c r="G199" i="2"/>
  <c r="T199" i="2" s="1"/>
  <c r="N199" i="2"/>
  <c r="H199" i="2"/>
  <c r="I199" i="2"/>
  <c r="M199" i="2"/>
  <c r="R16" i="2"/>
  <c r="I16" i="2"/>
  <c r="G16" i="2"/>
  <c r="M16" i="2"/>
  <c r="H16" i="2"/>
  <c r="N16" i="2"/>
  <c r="N7" i="2"/>
  <c r="H7" i="2"/>
  <c r="G7" i="2"/>
  <c r="T7" i="2" s="1"/>
  <c r="M7" i="2"/>
  <c r="I7" i="2"/>
  <c r="R7" i="2"/>
  <c r="G1053" i="2"/>
  <c r="Q1053" i="2"/>
  <c r="H1053" i="2"/>
  <c r="R1053" i="2"/>
  <c r="I1053" i="2"/>
  <c r="T1053" i="2" s="1"/>
  <c r="N1053" i="2"/>
  <c r="G909" i="2"/>
  <c r="I909" i="2"/>
  <c r="T909" i="2" s="1"/>
  <c r="H909" i="2"/>
  <c r="M909" i="2"/>
  <c r="N909" i="2"/>
  <c r="R909" i="2"/>
  <c r="Q909" i="2"/>
  <c r="G765" i="2"/>
  <c r="I765" i="2"/>
  <c r="T765" i="2" s="1"/>
  <c r="H765" i="2"/>
  <c r="M765" i="2"/>
  <c r="N765" i="2"/>
  <c r="Q765" i="2"/>
  <c r="R765" i="2"/>
  <c r="N621" i="2"/>
  <c r="Q621" i="2"/>
  <c r="R621" i="2"/>
  <c r="G621" i="2"/>
  <c r="H621" i="2"/>
  <c r="I621" i="2"/>
  <c r="T621" i="2" s="1"/>
  <c r="M621" i="2"/>
  <c r="N477" i="2"/>
  <c r="G477" i="2"/>
  <c r="I477" i="2"/>
  <c r="T477" i="2" s="1"/>
  <c r="M477" i="2"/>
  <c r="H477" i="2"/>
  <c r="Q477" i="2"/>
  <c r="R477" i="2"/>
  <c r="N333" i="2"/>
  <c r="I333" i="2"/>
  <c r="T333" i="2" s="1"/>
  <c r="H333" i="2"/>
  <c r="M333" i="2"/>
  <c r="Q333" i="2"/>
  <c r="G333" i="2"/>
  <c r="R333" i="2"/>
  <c r="N189" i="2"/>
  <c r="R189" i="2"/>
  <c r="Q189" i="2"/>
  <c r="G189" i="2"/>
  <c r="H189" i="2"/>
  <c r="I189" i="2"/>
  <c r="T189" i="2" s="1"/>
  <c r="M189" i="2"/>
  <c r="I45" i="2"/>
  <c r="T45" i="2" s="1"/>
  <c r="M45" i="2"/>
  <c r="G45" i="2"/>
  <c r="H45" i="2"/>
  <c r="N45" i="2"/>
  <c r="R45" i="2"/>
  <c r="I68" i="2"/>
  <c r="M68" i="2"/>
  <c r="H68" i="2"/>
  <c r="N68" i="2"/>
  <c r="G68" i="2"/>
  <c r="Q68" i="2"/>
  <c r="R68" i="2"/>
  <c r="Q390" i="2"/>
  <c r="M390" i="2"/>
  <c r="P390" i="2"/>
  <c r="O390" i="2"/>
  <c r="R390" i="2"/>
  <c r="G390" i="2"/>
  <c r="H390" i="2"/>
  <c r="I390" i="2"/>
  <c r="N390" i="2"/>
  <c r="T390" i="2" s="1"/>
  <c r="H424" i="2"/>
  <c r="Q424" i="2"/>
  <c r="R424" i="2"/>
  <c r="G424" i="2"/>
  <c r="I424" i="2"/>
  <c r="N424" i="2"/>
  <c r="M424" i="2"/>
  <c r="Q1147" i="2"/>
  <c r="M1123" i="2"/>
  <c r="H1118" i="2"/>
  <c r="I1111" i="2"/>
  <c r="I691" i="2"/>
  <c r="G691" i="2"/>
  <c r="T691" i="2" s="1"/>
  <c r="M691" i="2"/>
  <c r="H691" i="2"/>
  <c r="N691" i="2"/>
  <c r="Q691" i="2"/>
  <c r="R691" i="2"/>
  <c r="I695" i="2"/>
  <c r="H695" i="2"/>
  <c r="G695" i="2"/>
  <c r="T695" i="2" s="1"/>
  <c r="M695" i="2"/>
  <c r="R695" i="2"/>
  <c r="N695" i="2"/>
  <c r="Q695" i="2"/>
  <c r="N652" i="2"/>
  <c r="Q652" i="2"/>
  <c r="G652" i="2"/>
  <c r="H652" i="2"/>
  <c r="I652" i="2"/>
  <c r="M652" i="2"/>
  <c r="R652" i="2"/>
  <c r="I870" i="2"/>
  <c r="M870" i="2"/>
  <c r="O870" i="2"/>
  <c r="Q870" i="2"/>
  <c r="R870" i="2"/>
  <c r="H870" i="2"/>
  <c r="N870" i="2"/>
  <c r="T870" i="2" s="1"/>
  <c r="P870" i="2"/>
  <c r="G870" i="2"/>
  <c r="N1047" i="2"/>
  <c r="Q1047" i="2"/>
  <c r="G1047" i="2"/>
  <c r="T1047" i="2" s="1"/>
  <c r="R1047" i="2"/>
  <c r="I1047" i="2"/>
  <c r="H1047" i="2"/>
  <c r="I160" i="2"/>
  <c r="H160" i="2"/>
  <c r="M160" i="2"/>
  <c r="N160" i="2"/>
  <c r="Q160" i="2"/>
  <c r="G160" i="2"/>
  <c r="R160" i="2"/>
  <c r="Q391" i="2"/>
  <c r="H391" i="2"/>
  <c r="I391" i="2"/>
  <c r="R391" i="2"/>
  <c r="G391" i="2"/>
  <c r="T391" i="2" s="1"/>
  <c r="N391" i="2"/>
  <c r="M391" i="2"/>
  <c r="R784" i="2"/>
  <c r="N784" i="2"/>
  <c r="Q784" i="2"/>
  <c r="G784" i="2"/>
  <c r="M784" i="2"/>
  <c r="H784" i="2"/>
  <c r="I784" i="2"/>
  <c r="G67" i="2"/>
  <c r="T67" i="2" s="1"/>
  <c r="Q67" i="2"/>
  <c r="H67" i="2"/>
  <c r="I67" i="2"/>
  <c r="N67" i="2"/>
  <c r="M67" i="2"/>
  <c r="R67" i="2"/>
  <c r="R824" i="2"/>
  <c r="I824" i="2"/>
  <c r="M824" i="2"/>
  <c r="G824" i="2"/>
  <c r="H824" i="2"/>
  <c r="N824" i="2"/>
  <c r="Q824" i="2"/>
  <c r="R115" i="2"/>
  <c r="G115" i="2"/>
  <c r="T115" i="2" s="1"/>
  <c r="H115" i="2"/>
  <c r="M115" i="2"/>
  <c r="I115" i="2"/>
  <c r="N115" i="2"/>
  <c r="Q115" i="2"/>
  <c r="I878" i="2"/>
  <c r="M878" i="2"/>
  <c r="O878" i="2"/>
  <c r="H878" i="2"/>
  <c r="G878" i="2"/>
  <c r="N878" i="2"/>
  <c r="T878" i="2" s="1"/>
  <c r="P878" i="2"/>
  <c r="R878" i="2"/>
  <c r="Q878" i="2"/>
  <c r="H188" i="2"/>
  <c r="I188" i="2"/>
  <c r="N188" i="2"/>
  <c r="Q188" i="2"/>
  <c r="M188" i="2"/>
  <c r="G188" i="2"/>
  <c r="R188" i="2"/>
  <c r="R996" i="2"/>
  <c r="Q996" i="2"/>
  <c r="G996" i="2"/>
  <c r="M996" i="2"/>
  <c r="N996" i="2"/>
  <c r="I996" i="2"/>
  <c r="H996" i="2"/>
  <c r="N499" i="2"/>
  <c r="R499" i="2"/>
  <c r="H499" i="2"/>
  <c r="Q499" i="2"/>
  <c r="G499" i="2"/>
  <c r="T499" i="2" s="1"/>
  <c r="I499" i="2"/>
  <c r="M499" i="2"/>
  <c r="I1022" i="2"/>
  <c r="O1022" i="2"/>
  <c r="G1022" i="2"/>
  <c r="H1022" i="2"/>
  <c r="N1022" i="2"/>
  <c r="T1022" i="2" s="1"/>
  <c r="P1022" i="2"/>
  <c r="Q1022" i="2"/>
  <c r="R1022" i="2"/>
  <c r="M1022" i="2"/>
  <c r="G538" i="2"/>
  <c r="R538" i="2"/>
  <c r="H538" i="2"/>
  <c r="I538" i="2"/>
  <c r="O538" i="2"/>
  <c r="M538" i="2"/>
  <c r="N538" i="2"/>
  <c r="T538" i="2" s="1"/>
  <c r="P538" i="2"/>
  <c r="Q538" i="2"/>
  <c r="G1058" i="2"/>
  <c r="N1058" i="2"/>
  <c r="T1058" i="2" s="1"/>
  <c r="M1058" i="2"/>
  <c r="I1058" i="2"/>
  <c r="Q1058" i="2"/>
  <c r="R1058" i="2"/>
  <c r="H1058" i="2"/>
  <c r="O1058" i="2"/>
  <c r="R589" i="2"/>
  <c r="Q589" i="2"/>
  <c r="H589" i="2"/>
  <c r="M589" i="2"/>
  <c r="I589" i="2"/>
  <c r="T589" i="2" s="1"/>
  <c r="N589" i="2"/>
  <c r="G589" i="2"/>
  <c r="G24" i="2"/>
  <c r="H24" i="2"/>
  <c r="N24" i="2"/>
  <c r="M24" i="2"/>
  <c r="R24" i="2"/>
  <c r="I24" i="2"/>
  <c r="I770" i="2"/>
  <c r="M770" i="2"/>
  <c r="O770" i="2"/>
  <c r="G770" i="2"/>
  <c r="H770" i="2"/>
  <c r="P770" i="2"/>
  <c r="N770" i="2"/>
  <c r="T770" i="2" s="1"/>
  <c r="Q770" i="2"/>
  <c r="R770" i="2"/>
  <c r="H376" i="2"/>
  <c r="I376" i="2"/>
  <c r="M376" i="2"/>
  <c r="Q376" i="2"/>
  <c r="R376" i="2"/>
  <c r="G376" i="2"/>
  <c r="N376" i="2"/>
  <c r="I918" i="2"/>
  <c r="M918" i="2"/>
  <c r="O918" i="2"/>
  <c r="Q918" i="2"/>
  <c r="R918" i="2"/>
  <c r="N918" i="2"/>
  <c r="T918" i="2" s="1"/>
  <c r="G918" i="2"/>
  <c r="H918" i="2"/>
  <c r="P918" i="2"/>
  <c r="M544" i="2"/>
  <c r="Q544" i="2"/>
  <c r="R544" i="2"/>
  <c r="G544" i="2"/>
  <c r="I544" i="2"/>
  <c r="H544" i="2"/>
  <c r="N544" i="2"/>
  <c r="H136" i="2"/>
  <c r="I136" i="2"/>
  <c r="N136" i="2"/>
  <c r="M136" i="2"/>
  <c r="R136" i="2"/>
  <c r="Q136" i="2"/>
  <c r="G136" i="2"/>
  <c r="M1055" i="2"/>
  <c r="Q1055" i="2"/>
  <c r="I1055" i="2"/>
  <c r="N1055" i="2"/>
  <c r="R1055" i="2"/>
  <c r="H1055" i="2"/>
  <c r="G1055" i="2"/>
  <c r="T1055" i="2" s="1"/>
  <c r="R709" i="2"/>
  <c r="G709" i="2"/>
  <c r="I709" i="2"/>
  <c r="T709" i="2" s="1"/>
  <c r="H709" i="2"/>
  <c r="N709" i="2"/>
  <c r="M709" i="2"/>
  <c r="Q709" i="2"/>
  <c r="G312" i="2"/>
  <c r="H312" i="2"/>
  <c r="R312" i="2"/>
  <c r="I312" i="2"/>
  <c r="M312" i="2"/>
  <c r="N312" i="2"/>
  <c r="Q312" i="2"/>
  <c r="R952" i="2"/>
  <c r="G952" i="2"/>
  <c r="H952" i="2"/>
  <c r="M952" i="2"/>
  <c r="N952" i="2"/>
  <c r="Q952" i="2"/>
  <c r="I952" i="2"/>
  <c r="H688" i="2"/>
  <c r="R688" i="2"/>
  <c r="G688" i="2"/>
  <c r="I688" i="2"/>
  <c r="M688" i="2"/>
  <c r="N688" i="2"/>
  <c r="Q688" i="2"/>
  <c r="Q386" i="2"/>
  <c r="G386" i="2"/>
  <c r="M386" i="2"/>
  <c r="H386" i="2"/>
  <c r="I386" i="2"/>
  <c r="N386" i="2"/>
  <c r="T386" i="2" s="1"/>
  <c r="O386" i="2"/>
  <c r="P386" i="2"/>
  <c r="R386" i="2"/>
  <c r="R66" i="2"/>
  <c r="O66" i="2"/>
  <c r="P66" i="2"/>
  <c r="Q66" i="2"/>
  <c r="H66" i="2"/>
  <c r="N66" i="2"/>
  <c r="T66" i="2" s="1"/>
  <c r="G66" i="2"/>
  <c r="M66" i="2"/>
  <c r="I66" i="2"/>
  <c r="I1013" i="2"/>
  <c r="T1013" i="2" s="1"/>
  <c r="R1013" i="2"/>
  <c r="Q1013" i="2"/>
  <c r="G1013" i="2"/>
  <c r="M1013" i="2"/>
  <c r="N1013" i="2"/>
  <c r="H1013" i="2"/>
  <c r="Q752" i="2"/>
  <c r="R752" i="2"/>
  <c r="G752" i="2"/>
  <c r="H752" i="2"/>
  <c r="M752" i="2"/>
  <c r="N752" i="2"/>
  <c r="I752" i="2"/>
  <c r="Q458" i="2"/>
  <c r="P458" i="2"/>
  <c r="I458" i="2"/>
  <c r="G458" i="2"/>
  <c r="R458" i="2"/>
  <c r="H458" i="2"/>
  <c r="M458" i="2"/>
  <c r="N458" i="2"/>
  <c r="T458" i="2" s="1"/>
  <c r="O458" i="2"/>
  <c r="R155" i="2"/>
  <c r="I155" i="2"/>
  <c r="Q155" i="2"/>
  <c r="G155" i="2"/>
  <c r="T155" i="2" s="1"/>
  <c r="M155" i="2"/>
  <c r="N155" i="2"/>
  <c r="H155" i="2"/>
  <c r="Q1068" i="2"/>
  <c r="M1068" i="2"/>
  <c r="N1068" i="2"/>
  <c r="R1068" i="2"/>
  <c r="H1068" i="2"/>
  <c r="I1068" i="2"/>
  <c r="G1068" i="2"/>
  <c r="R819" i="2"/>
  <c r="M819" i="2"/>
  <c r="N819" i="2"/>
  <c r="Q819" i="2"/>
  <c r="G819" i="2"/>
  <c r="T819" i="2" s="1"/>
  <c r="H819" i="2"/>
  <c r="I819" i="2"/>
  <c r="G533" i="2"/>
  <c r="H533" i="2"/>
  <c r="M533" i="2"/>
  <c r="R533" i="2"/>
  <c r="Q533" i="2"/>
  <c r="I533" i="2"/>
  <c r="T533" i="2" s="1"/>
  <c r="N533" i="2"/>
  <c r="H232" i="2"/>
  <c r="I232" i="2"/>
  <c r="M232" i="2"/>
  <c r="Q232" i="2"/>
  <c r="R232" i="2"/>
  <c r="N232" i="2"/>
  <c r="G232" i="2"/>
  <c r="I643" i="2"/>
  <c r="G643" i="2"/>
  <c r="T643" i="2" s="1"/>
  <c r="M643" i="2"/>
  <c r="H643" i="2"/>
  <c r="N643" i="2"/>
  <c r="R643" i="2"/>
  <c r="Q643" i="2"/>
  <c r="Q418" i="2"/>
  <c r="G418" i="2"/>
  <c r="P418" i="2"/>
  <c r="O418" i="2"/>
  <c r="R418" i="2"/>
  <c r="H418" i="2"/>
  <c r="I418" i="2"/>
  <c r="M418" i="2"/>
  <c r="N418" i="2"/>
  <c r="T418" i="2" s="1"/>
  <c r="H192" i="2"/>
  <c r="R192" i="2"/>
  <c r="G192" i="2"/>
  <c r="I192" i="2"/>
  <c r="N192" i="2"/>
  <c r="Q192" i="2"/>
  <c r="M192" i="2"/>
  <c r="N1138" i="2"/>
  <c r="T1138" i="2" s="1"/>
  <c r="P1138" i="2"/>
  <c r="R1138" i="2"/>
  <c r="O1138" i="2"/>
  <c r="Q1138" i="2"/>
  <c r="H1138" i="2"/>
  <c r="I1138" i="2"/>
  <c r="R940" i="2"/>
  <c r="G940" i="2"/>
  <c r="H940" i="2"/>
  <c r="I940" i="2"/>
  <c r="M940" i="2"/>
  <c r="N940" i="2"/>
  <c r="Q940" i="2"/>
  <c r="I719" i="2"/>
  <c r="H719" i="2"/>
  <c r="Q719" i="2"/>
  <c r="R719" i="2"/>
  <c r="G719" i="2"/>
  <c r="T719" i="2" s="1"/>
  <c r="M719" i="2"/>
  <c r="N719" i="2"/>
  <c r="H492" i="2"/>
  <c r="I492" i="2"/>
  <c r="M492" i="2"/>
  <c r="R492" i="2"/>
  <c r="Q492" i="2"/>
  <c r="G492" i="2"/>
  <c r="N492" i="2"/>
  <c r="H267" i="2"/>
  <c r="I267" i="2"/>
  <c r="N267" i="2"/>
  <c r="Q267" i="2"/>
  <c r="G267" i="2"/>
  <c r="T267" i="2" s="1"/>
  <c r="R267" i="2"/>
  <c r="M267" i="2"/>
  <c r="R13" i="2"/>
  <c r="I13" i="2"/>
  <c r="T13" i="2" s="1"/>
  <c r="M13" i="2"/>
  <c r="N13" i="2"/>
  <c r="G13" i="2"/>
  <c r="H13" i="2"/>
  <c r="I866" i="2"/>
  <c r="M866" i="2"/>
  <c r="O866" i="2"/>
  <c r="G866" i="2"/>
  <c r="H866" i="2"/>
  <c r="N866" i="2"/>
  <c r="T866" i="2" s="1"/>
  <c r="R866" i="2"/>
  <c r="P866" i="2"/>
  <c r="Q866" i="2"/>
  <c r="R641" i="2"/>
  <c r="H641" i="2"/>
  <c r="I641" i="2"/>
  <c r="T641" i="2" s="1"/>
  <c r="N641" i="2"/>
  <c r="G641" i="2"/>
  <c r="M641" i="2"/>
  <c r="Q641" i="2"/>
  <c r="Q414" i="2"/>
  <c r="H414" i="2"/>
  <c r="N414" i="2"/>
  <c r="T414" i="2" s="1"/>
  <c r="G414" i="2"/>
  <c r="I414" i="2"/>
  <c r="O414" i="2"/>
  <c r="P414" i="2"/>
  <c r="R414" i="2"/>
  <c r="M414" i="2"/>
  <c r="Q190" i="2"/>
  <c r="G190" i="2"/>
  <c r="H190" i="2"/>
  <c r="I190" i="2"/>
  <c r="M190" i="2"/>
  <c r="O190" i="2"/>
  <c r="P190" i="2"/>
  <c r="R190" i="2"/>
  <c r="N190" i="2"/>
  <c r="T190" i="2" s="1"/>
  <c r="P1106" i="2"/>
  <c r="G1106" i="2"/>
  <c r="I1106" i="2"/>
  <c r="N1106" i="2"/>
  <c r="T1106" i="2" s="1"/>
  <c r="M1106" i="2"/>
  <c r="R1106" i="2"/>
  <c r="Q1106" i="2"/>
  <c r="O1106" i="2"/>
  <c r="R935" i="2"/>
  <c r="G935" i="2"/>
  <c r="T935" i="2" s="1"/>
  <c r="H935" i="2"/>
  <c r="M935" i="2"/>
  <c r="N935" i="2"/>
  <c r="Q935" i="2"/>
  <c r="I935" i="2"/>
  <c r="N748" i="2"/>
  <c r="Q748" i="2"/>
  <c r="H748" i="2"/>
  <c r="I748" i="2"/>
  <c r="G748" i="2"/>
  <c r="M748" i="2"/>
  <c r="R748" i="2"/>
  <c r="M560" i="2"/>
  <c r="G560" i="2"/>
  <c r="H560" i="2"/>
  <c r="N560" i="2"/>
  <c r="I560" i="2"/>
  <c r="Q560" i="2"/>
  <c r="R560" i="2"/>
  <c r="N373" i="2"/>
  <c r="R373" i="2"/>
  <c r="G373" i="2"/>
  <c r="H373" i="2"/>
  <c r="I373" i="2"/>
  <c r="T373" i="2" s="1"/>
  <c r="M373" i="2"/>
  <c r="Q373" i="2"/>
  <c r="I183" i="2"/>
  <c r="H183" i="2"/>
  <c r="M183" i="2"/>
  <c r="N183" i="2"/>
  <c r="Q183" i="2"/>
  <c r="G183" i="2"/>
  <c r="T183" i="2" s="1"/>
  <c r="R183" i="2"/>
  <c r="R1016" i="2"/>
  <c r="G1016" i="2"/>
  <c r="H1016" i="2"/>
  <c r="I1016" i="2"/>
  <c r="M1016" i="2"/>
  <c r="Q1016" i="2"/>
  <c r="N1016" i="2"/>
  <c r="R839" i="2"/>
  <c r="I839" i="2"/>
  <c r="M839" i="2"/>
  <c r="Q839" i="2"/>
  <c r="G839" i="2"/>
  <c r="T839" i="2" s="1"/>
  <c r="H839" i="2"/>
  <c r="N839" i="2"/>
  <c r="I651" i="2"/>
  <c r="G651" i="2"/>
  <c r="T651" i="2" s="1"/>
  <c r="H651" i="2"/>
  <c r="N651" i="2"/>
  <c r="Q651" i="2"/>
  <c r="R651" i="2"/>
  <c r="M651" i="2"/>
  <c r="H463" i="2"/>
  <c r="G463" i="2"/>
  <c r="T463" i="2" s="1"/>
  <c r="I463" i="2"/>
  <c r="N463" i="2"/>
  <c r="R463" i="2"/>
  <c r="Q463" i="2"/>
  <c r="M463" i="2"/>
  <c r="Q274" i="2"/>
  <c r="M274" i="2"/>
  <c r="N274" i="2"/>
  <c r="T274" i="2" s="1"/>
  <c r="I274" i="2"/>
  <c r="R274" i="2"/>
  <c r="G274" i="2"/>
  <c r="H274" i="2"/>
  <c r="O274" i="2"/>
  <c r="P274" i="2"/>
  <c r="R70" i="2"/>
  <c r="G70" i="2"/>
  <c r="M70" i="2"/>
  <c r="H70" i="2"/>
  <c r="N70" i="2"/>
  <c r="T70" i="2" s="1"/>
  <c r="Q70" i="2"/>
  <c r="O70" i="2"/>
  <c r="P70" i="2"/>
  <c r="I70" i="2"/>
  <c r="I1091" i="2"/>
  <c r="H1091" i="2"/>
  <c r="N1091" i="2"/>
  <c r="I934" i="2"/>
  <c r="O934" i="2"/>
  <c r="G934" i="2"/>
  <c r="H934" i="2"/>
  <c r="M934" i="2"/>
  <c r="N934" i="2"/>
  <c r="T934" i="2" s="1"/>
  <c r="P934" i="2"/>
  <c r="R934" i="2"/>
  <c r="Q934" i="2"/>
  <c r="R776" i="2"/>
  <c r="I776" i="2"/>
  <c r="M776" i="2"/>
  <c r="Q776" i="2"/>
  <c r="G776" i="2"/>
  <c r="H776" i="2"/>
  <c r="N776" i="2"/>
  <c r="G619" i="2"/>
  <c r="T619" i="2" s="1"/>
  <c r="M619" i="2"/>
  <c r="Q619" i="2"/>
  <c r="R619" i="2"/>
  <c r="H619" i="2"/>
  <c r="N619" i="2"/>
  <c r="I619" i="2"/>
  <c r="Q462" i="2"/>
  <c r="N462" i="2"/>
  <c r="T462" i="2" s="1"/>
  <c r="R462" i="2"/>
  <c r="G462" i="2"/>
  <c r="H462" i="2"/>
  <c r="I462" i="2"/>
  <c r="M462" i="2"/>
  <c r="O462" i="2"/>
  <c r="P462" i="2"/>
  <c r="N305" i="2"/>
  <c r="G305" i="2"/>
  <c r="R305" i="2"/>
  <c r="M305" i="2"/>
  <c r="Q305" i="2"/>
  <c r="I305" i="2"/>
  <c r="T305" i="2" s="1"/>
  <c r="H305" i="2"/>
  <c r="H144" i="2"/>
  <c r="I144" i="2"/>
  <c r="G144" i="2"/>
  <c r="M144" i="2"/>
  <c r="R144" i="2"/>
  <c r="N144" i="2"/>
  <c r="Q144" i="2"/>
  <c r="R815" i="2"/>
  <c r="G815" i="2"/>
  <c r="T815" i="2" s="1"/>
  <c r="I815" i="2"/>
  <c r="M815" i="2"/>
  <c r="H815" i="2"/>
  <c r="N815" i="2"/>
  <c r="Q815" i="2"/>
  <c r="H658" i="2"/>
  <c r="I658" i="2"/>
  <c r="N658" i="2"/>
  <c r="T658" i="2" s="1"/>
  <c r="Q658" i="2"/>
  <c r="R658" i="2"/>
  <c r="P658" i="2"/>
  <c r="M658" i="2"/>
  <c r="G658" i="2"/>
  <c r="O658" i="2"/>
  <c r="H500" i="2"/>
  <c r="R500" i="2"/>
  <c r="M500" i="2"/>
  <c r="G500" i="2"/>
  <c r="I500" i="2"/>
  <c r="N500" i="2"/>
  <c r="Q500" i="2"/>
  <c r="N343" i="2"/>
  <c r="Q343" i="2"/>
  <c r="H343" i="2"/>
  <c r="G343" i="2"/>
  <c r="T343" i="2" s="1"/>
  <c r="M343" i="2"/>
  <c r="R343" i="2"/>
  <c r="I343" i="2"/>
  <c r="Q186" i="2"/>
  <c r="N186" i="2"/>
  <c r="T186" i="2" s="1"/>
  <c r="R186" i="2"/>
  <c r="M186" i="2"/>
  <c r="O186" i="2"/>
  <c r="G186" i="2"/>
  <c r="H186" i="2"/>
  <c r="I186" i="2"/>
  <c r="P186" i="2"/>
  <c r="R1041" i="2"/>
  <c r="I1041" i="2"/>
  <c r="T1041" i="2" s="1"/>
  <c r="N1041" i="2"/>
  <c r="Q1041" i="2"/>
  <c r="H1041" i="2"/>
  <c r="G1041" i="2"/>
  <c r="M1041" i="2"/>
  <c r="G897" i="2"/>
  <c r="I897" i="2"/>
  <c r="T897" i="2" s="1"/>
  <c r="H897" i="2"/>
  <c r="M897" i="2"/>
  <c r="N897" i="2"/>
  <c r="Q897" i="2"/>
  <c r="R897" i="2"/>
  <c r="R753" i="2"/>
  <c r="G753" i="2"/>
  <c r="H753" i="2"/>
  <c r="M753" i="2"/>
  <c r="N753" i="2"/>
  <c r="Q753" i="2"/>
  <c r="I753" i="2"/>
  <c r="T753" i="2" s="1"/>
  <c r="N609" i="2"/>
  <c r="Q609" i="2"/>
  <c r="G609" i="2"/>
  <c r="H609" i="2"/>
  <c r="I609" i="2"/>
  <c r="T609" i="2" s="1"/>
  <c r="R609" i="2"/>
  <c r="M609" i="2"/>
  <c r="N465" i="2"/>
  <c r="R465" i="2"/>
  <c r="H465" i="2"/>
  <c r="G465" i="2"/>
  <c r="I465" i="2"/>
  <c r="T465" i="2" s="1"/>
  <c r="M465" i="2"/>
  <c r="Q465" i="2"/>
  <c r="M321" i="2"/>
  <c r="N321" i="2"/>
  <c r="G321" i="2"/>
  <c r="H321" i="2"/>
  <c r="R321" i="2"/>
  <c r="Q321" i="2"/>
  <c r="I321" i="2"/>
  <c r="T321" i="2" s="1"/>
  <c r="H177" i="2"/>
  <c r="I177" i="2"/>
  <c r="T177" i="2" s="1"/>
  <c r="G177" i="2"/>
  <c r="N177" i="2"/>
  <c r="Q177" i="2"/>
  <c r="R177" i="2"/>
  <c r="M177" i="2"/>
  <c r="H33" i="2"/>
  <c r="I33" i="2"/>
  <c r="T33" i="2" s="1"/>
  <c r="M33" i="2"/>
  <c r="N33" i="2"/>
  <c r="G33" i="2"/>
  <c r="R33" i="2"/>
  <c r="I56" i="2"/>
  <c r="M56" i="2"/>
  <c r="H56" i="2"/>
  <c r="N56" i="2"/>
  <c r="G56" i="2"/>
  <c r="R56" i="2"/>
  <c r="R601" i="2"/>
  <c r="H601" i="2"/>
  <c r="I601" i="2"/>
  <c r="T601" i="2" s="1"/>
  <c r="M601" i="2"/>
  <c r="N601" i="2"/>
  <c r="G601" i="2"/>
  <c r="Q601" i="2"/>
  <c r="I826" i="2"/>
  <c r="M826" i="2"/>
  <c r="O826" i="2"/>
  <c r="G826" i="2"/>
  <c r="N826" i="2"/>
  <c r="T826" i="2" s="1"/>
  <c r="P826" i="2"/>
  <c r="H826" i="2"/>
  <c r="Q826" i="2"/>
  <c r="R826" i="2"/>
  <c r="Q394" i="2"/>
  <c r="P394" i="2"/>
  <c r="I394" i="2"/>
  <c r="M394" i="2"/>
  <c r="N394" i="2"/>
  <c r="T394" i="2" s="1"/>
  <c r="R394" i="2"/>
  <c r="G394" i="2"/>
  <c r="O394" i="2"/>
  <c r="H394" i="2"/>
  <c r="H640" i="2"/>
  <c r="R640" i="2"/>
  <c r="I640" i="2"/>
  <c r="N640" i="2"/>
  <c r="M640" i="2"/>
  <c r="Q640" i="2"/>
  <c r="G640" i="2"/>
  <c r="R851" i="2"/>
  <c r="G851" i="2"/>
  <c r="T851" i="2" s="1"/>
  <c r="I851" i="2"/>
  <c r="M851" i="2"/>
  <c r="H851" i="2"/>
  <c r="N851" i="2"/>
  <c r="Q851" i="2"/>
  <c r="N1042" i="2"/>
  <c r="T1042" i="2" s="1"/>
  <c r="I1042" i="2"/>
  <c r="P1042" i="2"/>
  <c r="H1042" i="2"/>
  <c r="Q1042" i="2"/>
  <c r="G1042" i="2"/>
  <c r="M1042" i="2"/>
  <c r="O42" i="2"/>
  <c r="P42" i="2"/>
  <c r="G42" i="2"/>
  <c r="H42" i="2"/>
  <c r="R42" i="2"/>
  <c r="I42" i="2"/>
  <c r="M42" i="2"/>
  <c r="N42" i="2"/>
  <c r="T42" i="2" s="1"/>
  <c r="N113" i="2"/>
  <c r="H113" i="2"/>
  <c r="I113" i="2"/>
  <c r="T113" i="2" s="1"/>
  <c r="G113" i="2"/>
  <c r="M113" i="2"/>
  <c r="Q113" i="2"/>
  <c r="R113" i="2"/>
  <c r="G1093" i="2"/>
  <c r="I1093" i="2"/>
  <c r="T1093" i="2" s="1"/>
  <c r="N1093" i="2"/>
  <c r="M1093" i="2"/>
  <c r="H1093" i="2"/>
  <c r="G1095" i="2"/>
  <c r="T1095" i="2" s="1"/>
  <c r="R1095" i="2"/>
  <c r="I1095" i="2"/>
  <c r="G539" i="2"/>
  <c r="T539" i="2" s="1"/>
  <c r="M539" i="2"/>
  <c r="H539" i="2"/>
  <c r="N539" i="2"/>
  <c r="R539" i="2"/>
  <c r="Q539" i="2"/>
  <c r="I539" i="2"/>
  <c r="G761" i="2"/>
  <c r="I761" i="2"/>
  <c r="T761" i="2" s="1"/>
  <c r="N761" i="2"/>
  <c r="Q761" i="2"/>
  <c r="R761" i="2"/>
  <c r="H761" i="2"/>
  <c r="M761" i="2"/>
  <c r="Q270" i="2"/>
  <c r="G270" i="2"/>
  <c r="H270" i="2"/>
  <c r="O270" i="2"/>
  <c r="R270" i="2"/>
  <c r="P270" i="2"/>
  <c r="M270" i="2"/>
  <c r="N270" i="2"/>
  <c r="T270" i="2" s="1"/>
  <c r="I270" i="2"/>
  <c r="Q315" i="2"/>
  <c r="G315" i="2"/>
  <c r="T315" i="2" s="1"/>
  <c r="H315" i="2"/>
  <c r="M315" i="2"/>
  <c r="R315" i="2"/>
  <c r="I315" i="2"/>
  <c r="N315" i="2"/>
  <c r="G578" i="2"/>
  <c r="H578" i="2"/>
  <c r="M578" i="2"/>
  <c r="P578" i="2"/>
  <c r="Q578" i="2"/>
  <c r="R578" i="2"/>
  <c r="I578" i="2"/>
  <c r="N578" i="2"/>
  <c r="T578" i="2" s="1"/>
  <c r="O578" i="2"/>
  <c r="N1079" i="2"/>
  <c r="R1079" i="2"/>
  <c r="M1079" i="2"/>
  <c r="G1079" i="2"/>
  <c r="T1079" i="2" s="1"/>
  <c r="H1079" i="2"/>
  <c r="Q1079" i="2"/>
  <c r="I1079" i="2"/>
  <c r="Q742" i="2"/>
  <c r="R742" i="2"/>
  <c r="N742" i="2"/>
  <c r="T742" i="2" s="1"/>
  <c r="O742" i="2"/>
  <c r="G742" i="2"/>
  <c r="H742" i="2"/>
  <c r="I742" i="2"/>
  <c r="M742" i="2"/>
  <c r="P742" i="2"/>
  <c r="R516" i="2"/>
  <c r="Q516" i="2"/>
  <c r="G516" i="2"/>
  <c r="H516" i="2"/>
  <c r="I516" i="2"/>
  <c r="M516" i="2"/>
  <c r="N516" i="2"/>
  <c r="G821" i="2"/>
  <c r="I821" i="2"/>
  <c r="T821" i="2" s="1"/>
  <c r="H821" i="2"/>
  <c r="N821" i="2"/>
  <c r="M821" i="2"/>
  <c r="Q821" i="2"/>
  <c r="R821" i="2"/>
  <c r="Q234" i="2"/>
  <c r="H234" i="2"/>
  <c r="M234" i="2"/>
  <c r="N234" i="2"/>
  <c r="T234" i="2" s="1"/>
  <c r="P234" i="2"/>
  <c r="R234" i="2"/>
  <c r="G234" i="2"/>
  <c r="I234" i="2"/>
  <c r="O234" i="2"/>
  <c r="G1119" i="2"/>
  <c r="T1119" i="2" s="1"/>
  <c r="I1119" i="2"/>
  <c r="R1119" i="2"/>
  <c r="G611" i="2"/>
  <c r="T611" i="2" s="1"/>
  <c r="M611" i="2"/>
  <c r="H611" i="2"/>
  <c r="N611" i="2"/>
  <c r="I611" i="2"/>
  <c r="R611" i="2"/>
  <c r="Q611" i="2"/>
  <c r="I950" i="2"/>
  <c r="O950" i="2"/>
  <c r="N950" i="2"/>
  <c r="T950" i="2" s="1"/>
  <c r="P950" i="2"/>
  <c r="R950" i="2"/>
  <c r="H950" i="2"/>
  <c r="M950" i="2"/>
  <c r="Q950" i="2"/>
  <c r="G950" i="2"/>
  <c r="H380" i="2"/>
  <c r="I380" i="2"/>
  <c r="M380" i="2"/>
  <c r="N380" i="2"/>
  <c r="G380" i="2"/>
  <c r="Q380" i="2"/>
  <c r="R380" i="2"/>
  <c r="G61" i="2"/>
  <c r="H61" i="2"/>
  <c r="I61" i="2"/>
  <c r="T61" i="2" s="1"/>
  <c r="N61" i="2"/>
  <c r="R61" i="2"/>
  <c r="M61" i="2"/>
  <c r="N303" i="2"/>
  <c r="G303" i="2"/>
  <c r="T303" i="2" s="1"/>
  <c r="R303" i="2"/>
  <c r="H303" i="2"/>
  <c r="I303" i="2"/>
  <c r="Q303" i="2"/>
  <c r="M303" i="2"/>
  <c r="M1043" i="2"/>
  <c r="Q1043" i="2"/>
  <c r="H1043" i="2"/>
  <c r="R1043" i="2"/>
  <c r="I1043" i="2"/>
  <c r="G1043" i="2"/>
  <c r="T1043" i="2" s="1"/>
  <c r="N1043" i="2"/>
  <c r="R832" i="2"/>
  <c r="N832" i="2"/>
  <c r="Q832" i="2"/>
  <c r="G832" i="2"/>
  <c r="H832" i="2"/>
  <c r="I832" i="2"/>
  <c r="M832" i="2"/>
  <c r="Q378" i="2"/>
  <c r="P378" i="2"/>
  <c r="I378" i="2"/>
  <c r="O378" i="2"/>
  <c r="G378" i="2"/>
  <c r="M378" i="2"/>
  <c r="N378" i="2"/>
  <c r="T378" i="2" s="1"/>
  <c r="H378" i="2"/>
  <c r="R378" i="2"/>
  <c r="R972" i="2"/>
  <c r="H972" i="2"/>
  <c r="I972" i="2"/>
  <c r="N972" i="2"/>
  <c r="Q972" i="2"/>
  <c r="G972" i="2"/>
  <c r="M972" i="2"/>
  <c r="R529" i="2"/>
  <c r="Q529" i="2"/>
  <c r="H529" i="2"/>
  <c r="G529" i="2"/>
  <c r="I529" i="2"/>
  <c r="T529" i="2" s="1"/>
  <c r="M529" i="2"/>
  <c r="N529" i="2"/>
  <c r="R58" i="2"/>
  <c r="M58" i="2"/>
  <c r="P58" i="2"/>
  <c r="I58" i="2"/>
  <c r="N58" i="2"/>
  <c r="T58" i="2" s="1"/>
  <c r="H58" i="2"/>
  <c r="O58" i="2"/>
  <c r="G58" i="2"/>
  <c r="R844" i="2"/>
  <c r="H844" i="2"/>
  <c r="I844" i="2"/>
  <c r="N844" i="2"/>
  <c r="M844" i="2"/>
  <c r="G844" i="2"/>
  <c r="Q844" i="2"/>
  <c r="N467" i="2"/>
  <c r="H467" i="2"/>
  <c r="G467" i="2"/>
  <c r="T467" i="2" s="1"/>
  <c r="I467" i="2"/>
  <c r="R467" i="2"/>
  <c r="Q467" i="2"/>
  <c r="M467" i="2"/>
  <c r="G73" i="2"/>
  <c r="Q73" i="2"/>
  <c r="H73" i="2"/>
  <c r="I73" i="2"/>
  <c r="T73" i="2" s="1"/>
  <c r="M73" i="2"/>
  <c r="N73" i="2"/>
  <c r="R73" i="2"/>
  <c r="I930" i="2"/>
  <c r="M930" i="2"/>
  <c r="O930" i="2"/>
  <c r="H930" i="2"/>
  <c r="N930" i="2"/>
  <c r="T930" i="2" s="1"/>
  <c r="Q930" i="2"/>
  <c r="R930" i="2"/>
  <c r="P930" i="2"/>
  <c r="G930" i="2"/>
  <c r="G557" i="2"/>
  <c r="H557" i="2"/>
  <c r="M557" i="2"/>
  <c r="R557" i="2"/>
  <c r="N557" i="2"/>
  <c r="I557" i="2"/>
  <c r="T557" i="2" s="1"/>
  <c r="Q557" i="2"/>
  <c r="I180" i="2"/>
  <c r="G180" i="2"/>
  <c r="Q180" i="2"/>
  <c r="R180" i="2"/>
  <c r="N180" i="2"/>
  <c r="M180" i="2"/>
  <c r="H180" i="2"/>
  <c r="R1012" i="2"/>
  <c r="M1012" i="2"/>
  <c r="N1012" i="2"/>
  <c r="Q1012" i="2"/>
  <c r="G1012" i="2"/>
  <c r="H1012" i="2"/>
  <c r="I1012" i="2"/>
  <c r="R855" i="2"/>
  <c r="Q855" i="2"/>
  <c r="G855" i="2"/>
  <c r="T855" i="2" s="1"/>
  <c r="H855" i="2"/>
  <c r="I855" i="2"/>
  <c r="M855" i="2"/>
  <c r="N855" i="2"/>
  <c r="G698" i="2"/>
  <c r="I698" i="2"/>
  <c r="H698" i="2"/>
  <c r="M698" i="2"/>
  <c r="N698" i="2"/>
  <c r="T698" i="2" s="1"/>
  <c r="O698" i="2"/>
  <c r="Q698" i="2"/>
  <c r="P698" i="2"/>
  <c r="R698" i="2"/>
  <c r="R541" i="2"/>
  <c r="I541" i="2"/>
  <c r="T541" i="2" s="1"/>
  <c r="N541" i="2"/>
  <c r="M541" i="2"/>
  <c r="G541" i="2"/>
  <c r="H541" i="2"/>
  <c r="Q541" i="2"/>
  <c r="H384" i="2"/>
  <c r="N384" i="2"/>
  <c r="Q384" i="2"/>
  <c r="G384" i="2"/>
  <c r="I384" i="2"/>
  <c r="M384" i="2"/>
  <c r="R384" i="2"/>
  <c r="Q227" i="2"/>
  <c r="R227" i="2"/>
  <c r="I227" i="2"/>
  <c r="H227" i="2"/>
  <c r="G227" i="2"/>
  <c r="T227" i="2" s="1"/>
  <c r="M227" i="2"/>
  <c r="N227" i="2"/>
  <c r="N49" i="2"/>
  <c r="I49" i="2"/>
  <c r="T49" i="2" s="1"/>
  <c r="H49" i="2"/>
  <c r="M49" i="2"/>
  <c r="R49" i="2"/>
  <c r="G49" i="2"/>
  <c r="G893" i="2"/>
  <c r="I893" i="2"/>
  <c r="T893" i="2" s="1"/>
  <c r="Q893" i="2"/>
  <c r="R893" i="2"/>
  <c r="H893" i="2"/>
  <c r="M893" i="2"/>
  <c r="N893" i="2"/>
  <c r="H736" i="2"/>
  <c r="R736" i="2"/>
  <c r="N736" i="2"/>
  <c r="G736" i="2"/>
  <c r="I736" i="2"/>
  <c r="M736" i="2"/>
  <c r="Q736" i="2"/>
  <c r="G579" i="2"/>
  <c r="T579" i="2" s="1"/>
  <c r="M579" i="2"/>
  <c r="R579" i="2"/>
  <c r="H579" i="2"/>
  <c r="I579" i="2"/>
  <c r="N579" i="2"/>
  <c r="Q579" i="2"/>
  <c r="Q422" i="2"/>
  <c r="M422" i="2"/>
  <c r="I422" i="2"/>
  <c r="O422" i="2"/>
  <c r="P422" i="2"/>
  <c r="G422" i="2"/>
  <c r="H422" i="2"/>
  <c r="N422" i="2"/>
  <c r="T422" i="2" s="1"/>
  <c r="R422" i="2"/>
  <c r="N265" i="2"/>
  <c r="Q265" i="2"/>
  <c r="H265" i="2"/>
  <c r="I265" i="2"/>
  <c r="T265" i="2" s="1"/>
  <c r="G265" i="2"/>
  <c r="M265" i="2"/>
  <c r="R265" i="2"/>
  <c r="I96" i="2"/>
  <c r="M96" i="2"/>
  <c r="Q96" i="2"/>
  <c r="R96" i="2"/>
  <c r="N96" i="2"/>
  <c r="H96" i="2"/>
  <c r="G96" i="2"/>
  <c r="G79" i="2"/>
  <c r="T79" i="2" s="1"/>
  <c r="I79" i="2"/>
  <c r="M79" i="2"/>
  <c r="N79" i="2"/>
  <c r="Q79" i="2"/>
  <c r="R79" i="2"/>
  <c r="H79" i="2"/>
  <c r="H1113" i="2"/>
  <c r="G1113" i="2"/>
  <c r="R1113" i="2"/>
  <c r="I1113" i="2"/>
  <c r="T1113" i="2" s="1"/>
  <c r="M1113" i="2"/>
  <c r="I969" i="2"/>
  <c r="T969" i="2" s="1"/>
  <c r="G969" i="2"/>
  <c r="H969" i="2"/>
  <c r="N969" i="2"/>
  <c r="Q969" i="2"/>
  <c r="R969" i="2"/>
  <c r="M969" i="2"/>
  <c r="G825" i="2"/>
  <c r="I825" i="2"/>
  <c r="T825" i="2" s="1"/>
  <c r="R825" i="2"/>
  <c r="M825" i="2"/>
  <c r="N825" i="2"/>
  <c r="Q825" i="2"/>
  <c r="H825" i="2"/>
  <c r="R681" i="2"/>
  <c r="G681" i="2"/>
  <c r="Q681" i="2"/>
  <c r="I681" i="2"/>
  <c r="T681" i="2" s="1"/>
  <c r="M681" i="2"/>
  <c r="N681" i="2"/>
  <c r="H681" i="2"/>
  <c r="N537" i="2"/>
  <c r="Q537" i="2"/>
  <c r="R537" i="2"/>
  <c r="H537" i="2"/>
  <c r="I537" i="2"/>
  <c r="T537" i="2" s="1"/>
  <c r="M537" i="2"/>
  <c r="G537" i="2"/>
  <c r="N393" i="2"/>
  <c r="I393" i="2"/>
  <c r="T393" i="2" s="1"/>
  <c r="R393" i="2"/>
  <c r="H393" i="2"/>
  <c r="G393" i="2"/>
  <c r="M393" i="2"/>
  <c r="Q393" i="2"/>
  <c r="N249" i="2"/>
  <c r="Q249" i="2"/>
  <c r="I249" i="2"/>
  <c r="T249" i="2" s="1"/>
  <c r="R249" i="2"/>
  <c r="G249" i="2"/>
  <c r="H249" i="2"/>
  <c r="M249" i="2"/>
  <c r="Q105" i="2"/>
  <c r="G105" i="2"/>
  <c r="I105" i="2"/>
  <c r="T105" i="2" s="1"/>
  <c r="H105" i="2"/>
  <c r="M105" i="2"/>
  <c r="N105" i="2"/>
  <c r="R105" i="2"/>
  <c r="H128" i="2"/>
  <c r="I128" i="2"/>
  <c r="Q128" i="2"/>
  <c r="G128" i="2"/>
  <c r="R128" i="2"/>
  <c r="N128" i="2"/>
  <c r="M128" i="2"/>
  <c r="R764" i="2"/>
  <c r="M764" i="2"/>
  <c r="N764" i="2"/>
  <c r="Q764" i="2"/>
  <c r="H764" i="2"/>
  <c r="I764" i="2"/>
  <c r="G764" i="2"/>
  <c r="I966" i="2"/>
  <c r="O966" i="2"/>
  <c r="G966" i="2"/>
  <c r="M966" i="2"/>
  <c r="N966" i="2"/>
  <c r="T966" i="2" s="1"/>
  <c r="H966" i="2"/>
  <c r="P966" i="2"/>
  <c r="R966" i="2"/>
  <c r="Q966" i="2"/>
  <c r="G617" i="2"/>
  <c r="H617" i="2"/>
  <c r="M617" i="2"/>
  <c r="Q617" i="2"/>
  <c r="R617" i="2"/>
  <c r="I617" i="2"/>
  <c r="T617" i="2" s="1"/>
  <c r="N617" i="2"/>
  <c r="R847" i="2"/>
  <c r="N847" i="2"/>
  <c r="Q847" i="2"/>
  <c r="G847" i="2"/>
  <c r="T847" i="2" s="1"/>
  <c r="H847" i="2"/>
  <c r="I847" i="2"/>
  <c r="M847" i="2"/>
  <c r="M1039" i="2"/>
  <c r="H1039" i="2"/>
  <c r="R1039" i="2"/>
  <c r="I1039" i="2"/>
  <c r="Q1039" i="2"/>
  <c r="N1039" i="2"/>
  <c r="G1039" i="2"/>
  <c r="T1039" i="2" s="1"/>
  <c r="Q1142" i="2"/>
  <c r="G1142" i="2"/>
  <c r="R1142" i="2"/>
  <c r="M1142" i="2"/>
  <c r="O1142" i="2"/>
  <c r="P1142" i="2"/>
  <c r="N1142" i="2"/>
  <c r="T1142" i="2" s="1"/>
  <c r="I1142" i="2"/>
  <c r="R520" i="2"/>
  <c r="H520" i="2"/>
  <c r="I520" i="2"/>
  <c r="M520" i="2"/>
  <c r="G520" i="2"/>
  <c r="N520" i="2"/>
  <c r="Q520" i="2"/>
  <c r="I1010" i="2"/>
  <c r="O1010" i="2"/>
  <c r="R1010" i="2"/>
  <c r="N1010" i="2"/>
  <c r="T1010" i="2" s="1"/>
  <c r="G1010" i="2"/>
  <c r="H1010" i="2"/>
  <c r="M1010" i="2"/>
  <c r="P1010" i="2"/>
  <c r="Q1010" i="2"/>
  <c r="R903" i="2"/>
  <c r="Q903" i="2"/>
  <c r="G903" i="2"/>
  <c r="T903" i="2" s="1"/>
  <c r="H903" i="2"/>
  <c r="I903" i="2"/>
  <c r="N903" i="2"/>
  <c r="M903" i="2"/>
  <c r="H336" i="2"/>
  <c r="I336" i="2"/>
  <c r="R336" i="2"/>
  <c r="Q336" i="2"/>
  <c r="G336" i="2"/>
  <c r="N336" i="2"/>
  <c r="M336" i="2"/>
  <c r="G570" i="2"/>
  <c r="N570" i="2"/>
  <c r="T570" i="2" s="1"/>
  <c r="O570" i="2"/>
  <c r="Q570" i="2"/>
  <c r="I570" i="2"/>
  <c r="H570" i="2"/>
  <c r="M570" i="2"/>
  <c r="P570" i="2"/>
  <c r="R570" i="2"/>
  <c r="R983" i="2"/>
  <c r="G983" i="2"/>
  <c r="T983" i="2" s="1"/>
  <c r="H983" i="2"/>
  <c r="M983" i="2"/>
  <c r="N983" i="2"/>
  <c r="I983" i="2"/>
  <c r="Q983" i="2"/>
  <c r="M600" i="2"/>
  <c r="R600" i="2"/>
  <c r="G600" i="2"/>
  <c r="H600" i="2"/>
  <c r="Q600" i="2"/>
  <c r="I600" i="2"/>
  <c r="N600" i="2"/>
  <c r="P326" i="2"/>
  <c r="Q326" i="2"/>
  <c r="G326" i="2"/>
  <c r="M326" i="2"/>
  <c r="H326" i="2"/>
  <c r="R326" i="2"/>
  <c r="I326" i="2"/>
  <c r="N326" i="2"/>
  <c r="T326" i="2" s="1"/>
  <c r="O326" i="2"/>
  <c r="H364" i="2"/>
  <c r="I364" i="2"/>
  <c r="M364" i="2"/>
  <c r="G364" i="2"/>
  <c r="N364" i="2"/>
  <c r="Q364" i="2"/>
  <c r="R364" i="2"/>
  <c r="G913" i="2"/>
  <c r="I913" i="2"/>
  <c r="T913" i="2" s="1"/>
  <c r="Q913" i="2"/>
  <c r="H913" i="2"/>
  <c r="M913" i="2"/>
  <c r="N913" i="2"/>
  <c r="R913" i="2"/>
  <c r="R1003" i="2"/>
  <c r="H1003" i="2"/>
  <c r="I1003" i="2"/>
  <c r="N1003" i="2"/>
  <c r="M1003" i="2"/>
  <c r="Q1003" i="2"/>
  <c r="G1003" i="2"/>
  <c r="T1003" i="2" s="1"/>
  <c r="H244" i="2"/>
  <c r="I244" i="2"/>
  <c r="G244" i="2"/>
  <c r="M244" i="2"/>
  <c r="Q244" i="2"/>
  <c r="R244" i="2"/>
  <c r="N244" i="2"/>
  <c r="R804" i="2"/>
  <c r="M804" i="2"/>
  <c r="N804" i="2"/>
  <c r="Q804" i="2"/>
  <c r="G804" i="2"/>
  <c r="H804" i="2"/>
  <c r="I804" i="2"/>
  <c r="G575" i="2"/>
  <c r="T575" i="2" s="1"/>
  <c r="M575" i="2"/>
  <c r="H575" i="2"/>
  <c r="N575" i="2"/>
  <c r="I575" i="2"/>
  <c r="Q575" i="2"/>
  <c r="R575" i="2"/>
  <c r="N1103" i="2"/>
  <c r="H1103" i="2"/>
  <c r="Q1103" i="2"/>
  <c r="I1103" i="2"/>
  <c r="G583" i="2"/>
  <c r="T583" i="2" s="1"/>
  <c r="M583" i="2"/>
  <c r="H583" i="2"/>
  <c r="R583" i="2"/>
  <c r="Q583" i="2"/>
  <c r="I583" i="2"/>
  <c r="N583" i="2"/>
  <c r="Q282" i="2"/>
  <c r="N282" i="2"/>
  <c r="T282" i="2" s="1"/>
  <c r="R282" i="2"/>
  <c r="M282" i="2"/>
  <c r="O282" i="2"/>
  <c r="G282" i="2"/>
  <c r="H282" i="2"/>
  <c r="I282" i="2"/>
  <c r="P282" i="2"/>
  <c r="G1154" i="2"/>
  <c r="N1154" i="2"/>
  <c r="T1154" i="2" s="1"/>
  <c r="O1154" i="2"/>
  <c r="M1154" i="2"/>
  <c r="R1154" i="2"/>
  <c r="I1154" i="2"/>
  <c r="P1154" i="2"/>
  <c r="Q1154" i="2"/>
  <c r="Q354" i="2"/>
  <c r="G354" i="2"/>
  <c r="P354" i="2"/>
  <c r="M354" i="2"/>
  <c r="N354" i="2"/>
  <c r="T354" i="2" s="1"/>
  <c r="R354" i="2"/>
  <c r="H354" i="2"/>
  <c r="I354" i="2"/>
  <c r="O354" i="2"/>
  <c r="I727" i="2"/>
  <c r="M727" i="2"/>
  <c r="N727" i="2"/>
  <c r="Q727" i="2"/>
  <c r="R727" i="2"/>
  <c r="G727" i="2"/>
  <c r="T727" i="2" s="1"/>
  <c r="H727" i="2"/>
  <c r="M119" i="2"/>
  <c r="N119" i="2"/>
  <c r="Q119" i="2"/>
  <c r="G119" i="2"/>
  <c r="T119" i="2" s="1"/>
  <c r="H119" i="2"/>
  <c r="R119" i="2"/>
  <c r="I119" i="2"/>
  <c r="G569" i="2"/>
  <c r="H569" i="2"/>
  <c r="M569" i="2"/>
  <c r="I569" i="2"/>
  <c r="T569" i="2" s="1"/>
  <c r="N569" i="2"/>
  <c r="Q569" i="2"/>
  <c r="R569" i="2"/>
  <c r="G103" i="2"/>
  <c r="T103" i="2" s="1"/>
  <c r="Q103" i="2"/>
  <c r="H103" i="2"/>
  <c r="M103" i="2"/>
  <c r="N103" i="2"/>
  <c r="R103" i="2"/>
  <c r="I103" i="2"/>
  <c r="O1074" i="2"/>
  <c r="Q1074" i="2"/>
  <c r="N1074" i="2"/>
  <c r="T1074" i="2" s="1"/>
  <c r="G1074" i="2"/>
  <c r="H1074" i="2"/>
  <c r="P1074" i="2"/>
  <c r="M1074" i="2"/>
  <c r="I1074" i="2"/>
  <c r="R1074" i="2"/>
  <c r="O642" i="2"/>
  <c r="P642" i="2"/>
  <c r="R642" i="2"/>
  <c r="M642" i="2"/>
  <c r="N642" i="2"/>
  <c r="T642" i="2" s="1"/>
  <c r="Q642" i="2"/>
  <c r="H642" i="2"/>
  <c r="G642" i="2"/>
  <c r="I642" i="2"/>
  <c r="H416" i="2"/>
  <c r="G416" i="2"/>
  <c r="M416" i="2"/>
  <c r="Q416" i="2"/>
  <c r="R416" i="2"/>
  <c r="I416" i="2"/>
  <c r="N416" i="2"/>
  <c r="R1008" i="2"/>
  <c r="H1008" i="2"/>
  <c r="I1008" i="2"/>
  <c r="M1008" i="2"/>
  <c r="G1008" i="2"/>
  <c r="N1008" i="2"/>
  <c r="Q1008" i="2"/>
  <c r="R792" i="2"/>
  <c r="Q792" i="2"/>
  <c r="N792" i="2"/>
  <c r="G792" i="2"/>
  <c r="H792" i="2"/>
  <c r="I792" i="2"/>
  <c r="M792" i="2"/>
  <c r="H339" i="2"/>
  <c r="N339" i="2"/>
  <c r="Q339" i="2"/>
  <c r="G339" i="2"/>
  <c r="T339" i="2" s="1"/>
  <c r="M339" i="2"/>
  <c r="R339" i="2"/>
  <c r="I339" i="2"/>
  <c r="G1048" i="2"/>
  <c r="M1048" i="2"/>
  <c r="R1048" i="2"/>
  <c r="I1048" i="2"/>
  <c r="Q1048" i="2"/>
  <c r="N1048" i="2"/>
  <c r="H1048" i="2"/>
  <c r="I687" i="2"/>
  <c r="Q687" i="2"/>
  <c r="R687" i="2"/>
  <c r="H687" i="2"/>
  <c r="N687" i="2"/>
  <c r="M687" i="2"/>
  <c r="G687" i="2"/>
  <c r="T687" i="2" s="1"/>
  <c r="P310" i="2"/>
  <c r="Q310" i="2"/>
  <c r="N310" i="2"/>
  <c r="T310" i="2" s="1"/>
  <c r="R310" i="2"/>
  <c r="O310" i="2"/>
  <c r="G310" i="2"/>
  <c r="M310" i="2"/>
  <c r="I310" i="2"/>
  <c r="H310" i="2"/>
  <c r="I778" i="2"/>
  <c r="M778" i="2"/>
  <c r="O778" i="2"/>
  <c r="G778" i="2"/>
  <c r="N778" i="2"/>
  <c r="T778" i="2" s="1"/>
  <c r="P778" i="2"/>
  <c r="Q778" i="2"/>
  <c r="H778" i="2"/>
  <c r="R778" i="2"/>
  <c r="H400" i="2"/>
  <c r="G400" i="2"/>
  <c r="N400" i="2"/>
  <c r="M400" i="2"/>
  <c r="I400" i="2"/>
  <c r="Q400" i="2"/>
  <c r="R400" i="2"/>
  <c r="G881" i="2"/>
  <c r="I881" i="2"/>
  <c r="T881" i="2" s="1"/>
  <c r="H881" i="2"/>
  <c r="Q881" i="2"/>
  <c r="R881" i="2"/>
  <c r="N881" i="2"/>
  <c r="M881" i="2"/>
  <c r="G567" i="2"/>
  <c r="T567" i="2" s="1"/>
  <c r="M567" i="2"/>
  <c r="R567" i="2"/>
  <c r="N567" i="2"/>
  <c r="Q567" i="2"/>
  <c r="I567" i="2"/>
  <c r="H567" i="2"/>
  <c r="N253" i="2"/>
  <c r="M253" i="2"/>
  <c r="Q253" i="2"/>
  <c r="R253" i="2"/>
  <c r="G253" i="2"/>
  <c r="H253" i="2"/>
  <c r="I253" i="2"/>
  <c r="T253" i="2" s="1"/>
  <c r="I762" i="2"/>
  <c r="M762" i="2"/>
  <c r="O762" i="2"/>
  <c r="N762" i="2"/>
  <c r="T762" i="2" s="1"/>
  <c r="Q762" i="2"/>
  <c r="P762" i="2"/>
  <c r="R762" i="2"/>
  <c r="G762" i="2"/>
  <c r="H762" i="2"/>
  <c r="H448" i="2"/>
  <c r="N448" i="2"/>
  <c r="Q448" i="2"/>
  <c r="M448" i="2"/>
  <c r="R448" i="2"/>
  <c r="G448" i="2"/>
  <c r="I448" i="2"/>
  <c r="Q126" i="2"/>
  <c r="R126" i="2"/>
  <c r="P126" i="2"/>
  <c r="I126" i="2"/>
  <c r="N126" i="2"/>
  <c r="T126" i="2" s="1"/>
  <c r="M126" i="2"/>
  <c r="O126" i="2"/>
  <c r="H126" i="2"/>
  <c r="G126" i="2"/>
  <c r="I1137" i="2"/>
  <c r="T1137" i="2" s="1"/>
  <c r="M1137" i="2"/>
  <c r="G1137" i="2"/>
  <c r="H1137" i="2"/>
  <c r="R1137" i="2"/>
  <c r="G849" i="2"/>
  <c r="I849" i="2"/>
  <c r="T849" i="2" s="1"/>
  <c r="H849" i="2"/>
  <c r="M849" i="2"/>
  <c r="R849" i="2"/>
  <c r="N849" i="2"/>
  <c r="Q849" i="2"/>
  <c r="N561" i="2"/>
  <c r="Q561" i="2"/>
  <c r="R561" i="2"/>
  <c r="G561" i="2"/>
  <c r="H561" i="2"/>
  <c r="M561" i="2"/>
  <c r="I561" i="2"/>
  <c r="T561" i="2" s="1"/>
  <c r="N417" i="2"/>
  <c r="H417" i="2"/>
  <c r="R417" i="2"/>
  <c r="G417" i="2"/>
  <c r="I417" i="2"/>
  <c r="T417" i="2" s="1"/>
  <c r="M417" i="2"/>
  <c r="Q417" i="2"/>
  <c r="N129" i="2"/>
  <c r="H129" i="2"/>
  <c r="I129" i="2"/>
  <c r="T129" i="2" s="1"/>
  <c r="M129" i="2"/>
  <c r="Q129" i="2"/>
  <c r="R129" i="2"/>
  <c r="G129" i="2"/>
  <c r="I152" i="2"/>
  <c r="M152" i="2"/>
  <c r="H152" i="2"/>
  <c r="N152" i="2"/>
  <c r="R152" i="2"/>
  <c r="Q152" i="2"/>
  <c r="G152" i="2"/>
  <c r="I1128" i="2"/>
  <c r="N1128" i="2"/>
  <c r="M1128" i="2"/>
  <c r="R1128" i="2"/>
  <c r="G1128" i="2"/>
  <c r="Q1128" i="2"/>
  <c r="H1128" i="2"/>
  <c r="H260" i="2"/>
  <c r="R260" i="2"/>
  <c r="G260" i="2"/>
  <c r="I260" i="2"/>
  <c r="M260" i="2"/>
  <c r="N260" i="2"/>
  <c r="Q260" i="2"/>
  <c r="Q490" i="2"/>
  <c r="P490" i="2"/>
  <c r="O490" i="2"/>
  <c r="H490" i="2"/>
  <c r="I490" i="2"/>
  <c r="G490" i="2"/>
  <c r="M490" i="2"/>
  <c r="N490" i="2"/>
  <c r="T490" i="2" s="1"/>
  <c r="R490" i="2"/>
  <c r="I703" i="2"/>
  <c r="M703" i="2"/>
  <c r="N703" i="2"/>
  <c r="H703" i="2"/>
  <c r="Q703" i="2"/>
  <c r="R703" i="2"/>
  <c r="G703" i="2"/>
  <c r="T703" i="2" s="1"/>
  <c r="R915" i="2"/>
  <c r="M915" i="2"/>
  <c r="N915" i="2"/>
  <c r="Q915" i="2"/>
  <c r="I915" i="2"/>
  <c r="G915" i="2"/>
  <c r="T915" i="2" s="1"/>
  <c r="H915" i="2"/>
  <c r="G1116" i="2"/>
  <c r="H1116" i="2"/>
  <c r="M1116" i="2"/>
  <c r="Q1116" i="2"/>
  <c r="I1116" i="2"/>
  <c r="R1116" i="2"/>
  <c r="N1116" i="2"/>
  <c r="Q498" i="2"/>
  <c r="G498" i="2"/>
  <c r="M498" i="2"/>
  <c r="P498" i="2"/>
  <c r="O498" i="2"/>
  <c r="R498" i="2"/>
  <c r="I498" i="2"/>
  <c r="N498" i="2"/>
  <c r="T498" i="2" s="1"/>
  <c r="H498" i="2"/>
  <c r="M1158" i="2"/>
  <c r="O1158" i="2"/>
  <c r="Q1158" i="2"/>
  <c r="G1158" i="2"/>
  <c r="R1158" i="2"/>
  <c r="I1158" i="2"/>
  <c r="P1158" i="2"/>
  <c r="H1158" i="2"/>
  <c r="N1158" i="2"/>
  <c r="T1158" i="2" s="1"/>
  <c r="M552" i="2"/>
  <c r="R552" i="2"/>
  <c r="Q552" i="2"/>
  <c r="H552" i="2"/>
  <c r="I552" i="2"/>
  <c r="G552" i="2"/>
  <c r="N552" i="2"/>
  <c r="G599" i="2"/>
  <c r="T599" i="2" s="1"/>
  <c r="M599" i="2"/>
  <c r="H599" i="2"/>
  <c r="N599" i="2"/>
  <c r="Q599" i="2"/>
  <c r="R599" i="2"/>
  <c r="I599" i="2"/>
  <c r="I806" i="2"/>
  <c r="M806" i="2"/>
  <c r="O806" i="2"/>
  <c r="G806" i="2"/>
  <c r="H806" i="2"/>
  <c r="P806" i="2"/>
  <c r="Q806" i="2"/>
  <c r="N806" i="2"/>
  <c r="T806" i="2" s="1"/>
  <c r="R806" i="2"/>
  <c r="N287" i="2"/>
  <c r="M287" i="2"/>
  <c r="Q287" i="2"/>
  <c r="R287" i="2"/>
  <c r="H287" i="2"/>
  <c r="I287" i="2"/>
  <c r="G287" i="2"/>
  <c r="T287" i="2" s="1"/>
  <c r="R836" i="2"/>
  <c r="G836" i="2"/>
  <c r="I836" i="2"/>
  <c r="M836" i="2"/>
  <c r="Q836" i="2"/>
  <c r="N836" i="2"/>
  <c r="H836" i="2"/>
  <c r="G316" i="2"/>
  <c r="H316" i="2"/>
  <c r="M316" i="2"/>
  <c r="Q316" i="2"/>
  <c r="R316" i="2"/>
  <c r="N316" i="2"/>
  <c r="I316" i="2"/>
  <c r="R876" i="2"/>
  <c r="G876" i="2"/>
  <c r="H876" i="2"/>
  <c r="Q876" i="2"/>
  <c r="I876" i="2"/>
  <c r="N876" i="2"/>
  <c r="M876" i="2"/>
  <c r="H363" i="2"/>
  <c r="R363" i="2"/>
  <c r="N363" i="2"/>
  <c r="Q363" i="2"/>
  <c r="M363" i="2"/>
  <c r="I363" i="2"/>
  <c r="G363" i="2"/>
  <c r="T363" i="2" s="1"/>
  <c r="R979" i="2"/>
  <c r="Q979" i="2"/>
  <c r="G979" i="2"/>
  <c r="T979" i="2" s="1"/>
  <c r="H979" i="2"/>
  <c r="N979" i="2"/>
  <c r="I979" i="2"/>
  <c r="M979" i="2"/>
  <c r="G615" i="2"/>
  <c r="T615" i="2" s="1"/>
  <c r="M615" i="2"/>
  <c r="R615" i="2"/>
  <c r="H615" i="2"/>
  <c r="I615" i="2"/>
  <c r="N615" i="2"/>
  <c r="Q615" i="2"/>
  <c r="N217" i="2"/>
  <c r="Q217" i="2"/>
  <c r="I217" i="2"/>
  <c r="T217" i="2" s="1"/>
  <c r="H217" i="2"/>
  <c r="M217" i="2"/>
  <c r="R217" i="2"/>
  <c r="G217" i="2"/>
  <c r="H1098" i="2"/>
  <c r="O1098" i="2"/>
  <c r="M1098" i="2"/>
  <c r="I1098" i="2"/>
  <c r="P1098" i="2"/>
  <c r="R1098" i="2"/>
  <c r="G1098" i="2"/>
  <c r="N1098" i="2"/>
  <c r="T1098" i="2" s="1"/>
  <c r="Q1098" i="2"/>
  <c r="G769" i="2"/>
  <c r="I769" i="2"/>
  <c r="T769" i="2" s="1"/>
  <c r="Q769" i="2"/>
  <c r="H769" i="2"/>
  <c r="M769" i="2"/>
  <c r="N769" i="2"/>
  <c r="R769" i="2"/>
  <c r="Q375" i="2"/>
  <c r="H375" i="2"/>
  <c r="N375" i="2"/>
  <c r="G375" i="2"/>
  <c r="T375" i="2" s="1"/>
  <c r="R375" i="2"/>
  <c r="I375" i="2"/>
  <c r="M375" i="2"/>
  <c r="G917" i="2"/>
  <c r="I917" i="2"/>
  <c r="T917" i="2" s="1"/>
  <c r="H917" i="2"/>
  <c r="N917" i="2"/>
  <c r="Q917" i="2"/>
  <c r="R917" i="2"/>
  <c r="M917" i="2"/>
  <c r="G543" i="2"/>
  <c r="T543" i="2" s="1"/>
  <c r="M543" i="2"/>
  <c r="R543" i="2"/>
  <c r="H543" i="2"/>
  <c r="I543" i="2"/>
  <c r="N543" i="2"/>
  <c r="Q543" i="2"/>
  <c r="G135" i="2"/>
  <c r="T135" i="2" s="1"/>
  <c r="Q135" i="2"/>
  <c r="N135" i="2"/>
  <c r="R135" i="2"/>
  <c r="I135" i="2"/>
  <c r="M135" i="2"/>
  <c r="H135" i="2"/>
  <c r="G1086" i="2"/>
  <c r="R1086" i="2"/>
  <c r="N1086" i="2"/>
  <c r="T1086" i="2" s="1"/>
  <c r="I1086" i="2"/>
  <c r="P1086" i="2"/>
  <c r="Q1086" i="2"/>
  <c r="O1086" i="2"/>
  <c r="H1086" i="2"/>
  <c r="M1086" i="2"/>
  <c r="G845" i="2"/>
  <c r="I845" i="2"/>
  <c r="T845" i="2" s="1"/>
  <c r="Q845" i="2"/>
  <c r="R845" i="2"/>
  <c r="N845" i="2"/>
  <c r="H845" i="2"/>
  <c r="M845" i="2"/>
  <c r="G559" i="2"/>
  <c r="T559" i="2" s="1"/>
  <c r="M559" i="2"/>
  <c r="R559" i="2"/>
  <c r="I559" i="2"/>
  <c r="N559" i="2"/>
  <c r="Q559" i="2"/>
  <c r="H559" i="2"/>
  <c r="N257" i="2"/>
  <c r="G257" i="2"/>
  <c r="H257" i="2"/>
  <c r="M257" i="2"/>
  <c r="Q257" i="2"/>
  <c r="I257" i="2"/>
  <c r="T257" i="2" s="1"/>
  <c r="R257" i="2"/>
  <c r="I1136" i="2"/>
  <c r="Q1136" i="2"/>
  <c r="R1136" i="2"/>
  <c r="N1136" i="2"/>
  <c r="G1136" i="2"/>
  <c r="H1136" i="2"/>
  <c r="M1136" i="2"/>
  <c r="R911" i="2"/>
  <c r="G911" i="2"/>
  <c r="T911" i="2" s="1"/>
  <c r="H911" i="2"/>
  <c r="I911" i="2"/>
  <c r="Q911" i="2"/>
  <c r="M911" i="2"/>
  <c r="N911" i="2"/>
  <c r="H634" i="2"/>
  <c r="I634" i="2"/>
  <c r="N634" i="2"/>
  <c r="T634" i="2" s="1"/>
  <c r="G634" i="2"/>
  <c r="M634" i="2"/>
  <c r="O634" i="2"/>
  <c r="P634" i="2"/>
  <c r="Q634" i="2"/>
  <c r="R634" i="2"/>
  <c r="H332" i="2"/>
  <c r="I332" i="2"/>
  <c r="N332" i="2"/>
  <c r="Q332" i="2"/>
  <c r="R332" i="2"/>
  <c r="G332" i="2"/>
  <c r="M332" i="2"/>
  <c r="R968" i="2"/>
  <c r="G968" i="2"/>
  <c r="I968" i="2"/>
  <c r="M968" i="2"/>
  <c r="H968" i="2"/>
  <c r="N968" i="2"/>
  <c r="Q968" i="2"/>
  <c r="H706" i="2"/>
  <c r="I706" i="2"/>
  <c r="N706" i="2"/>
  <c r="T706" i="2" s="1"/>
  <c r="Q706" i="2"/>
  <c r="R706" i="2"/>
  <c r="M706" i="2"/>
  <c r="O706" i="2"/>
  <c r="P706" i="2"/>
  <c r="G706" i="2"/>
  <c r="Q406" i="2"/>
  <c r="M406" i="2"/>
  <c r="I406" i="2"/>
  <c r="P406" i="2"/>
  <c r="G406" i="2"/>
  <c r="H406" i="2"/>
  <c r="N406" i="2"/>
  <c r="T406" i="2" s="1"/>
  <c r="R406" i="2"/>
  <c r="O406" i="2"/>
  <c r="I89" i="2"/>
  <c r="T89" i="2" s="1"/>
  <c r="M89" i="2"/>
  <c r="N89" i="2"/>
  <c r="H89" i="2"/>
  <c r="Q89" i="2"/>
  <c r="G89" i="2"/>
  <c r="R89" i="2"/>
  <c r="G550" i="2"/>
  <c r="R550" i="2"/>
  <c r="O550" i="2"/>
  <c r="P550" i="2"/>
  <c r="Q550" i="2"/>
  <c r="N550" i="2"/>
  <c r="T550" i="2" s="1"/>
  <c r="H550" i="2"/>
  <c r="I550" i="2"/>
  <c r="M550" i="2"/>
  <c r="G324" i="2"/>
  <c r="H324" i="2"/>
  <c r="M324" i="2"/>
  <c r="I324" i="2"/>
  <c r="R324" i="2"/>
  <c r="Q324" i="2"/>
  <c r="N324" i="2"/>
  <c r="I84" i="2"/>
  <c r="M84" i="2"/>
  <c r="Q84" i="2"/>
  <c r="R84" i="2"/>
  <c r="G84" i="2"/>
  <c r="H84" i="2"/>
  <c r="N84" i="2"/>
  <c r="H1059" i="2"/>
  <c r="N1059" i="2"/>
  <c r="Q1059" i="2"/>
  <c r="R1059" i="2"/>
  <c r="M1059" i="2"/>
  <c r="I1059" i="2"/>
  <c r="G1059" i="2"/>
  <c r="T1059" i="2" s="1"/>
  <c r="I850" i="2"/>
  <c r="M850" i="2"/>
  <c r="O850" i="2"/>
  <c r="R850" i="2"/>
  <c r="G850" i="2"/>
  <c r="H850" i="2"/>
  <c r="N850" i="2"/>
  <c r="T850" i="2" s="1"/>
  <c r="P850" i="2"/>
  <c r="Q850" i="2"/>
  <c r="R625" i="2"/>
  <c r="H625" i="2"/>
  <c r="M625" i="2"/>
  <c r="I625" i="2"/>
  <c r="T625" i="2" s="1"/>
  <c r="N625" i="2"/>
  <c r="G625" i="2"/>
  <c r="Q625" i="2"/>
  <c r="Q398" i="2"/>
  <c r="N398" i="2"/>
  <c r="T398" i="2" s="1"/>
  <c r="R398" i="2"/>
  <c r="G398" i="2"/>
  <c r="H398" i="2"/>
  <c r="M398" i="2"/>
  <c r="O398" i="2"/>
  <c r="P398" i="2"/>
  <c r="I398" i="2"/>
  <c r="R170" i="2"/>
  <c r="G170" i="2"/>
  <c r="H170" i="2"/>
  <c r="M170" i="2"/>
  <c r="P170" i="2"/>
  <c r="Q170" i="2"/>
  <c r="I170" i="2"/>
  <c r="N170" i="2"/>
  <c r="T170" i="2" s="1"/>
  <c r="O170" i="2"/>
  <c r="I990" i="2"/>
  <c r="O990" i="2"/>
  <c r="Q990" i="2"/>
  <c r="R990" i="2"/>
  <c r="M990" i="2"/>
  <c r="N990" i="2"/>
  <c r="T990" i="2" s="1"/>
  <c r="P990" i="2"/>
  <c r="G990" i="2"/>
  <c r="H990" i="2"/>
  <c r="R772" i="2"/>
  <c r="Q772" i="2"/>
  <c r="I772" i="2"/>
  <c r="M772" i="2"/>
  <c r="N772" i="2"/>
  <c r="G772" i="2"/>
  <c r="H772" i="2"/>
  <c r="G547" i="2"/>
  <c r="T547" i="2" s="1"/>
  <c r="M547" i="2"/>
  <c r="I547" i="2"/>
  <c r="H547" i="2"/>
  <c r="N547" i="2"/>
  <c r="Q547" i="2"/>
  <c r="R547" i="2"/>
  <c r="G320" i="2"/>
  <c r="H320" i="2"/>
  <c r="N320" i="2"/>
  <c r="Q320" i="2"/>
  <c r="I320" i="2"/>
  <c r="M320" i="2"/>
  <c r="R320" i="2"/>
  <c r="I77" i="2"/>
  <c r="T77" i="2" s="1"/>
  <c r="M77" i="2"/>
  <c r="N77" i="2"/>
  <c r="Q77" i="2"/>
  <c r="H77" i="2"/>
  <c r="R77" i="2"/>
  <c r="G77" i="2"/>
  <c r="H1034" i="2"/>
  <c r="G1034" i="2"/>
  <c r="R1034" i="2"/>
  <c r="M1034" i="2"/>
  <c r="P1034" i="2"/>
  <c r="I1034" i="2"/>
  <c r="O1034" i="2"/>
  <c r="R859" i="2"/>
  <c r="H859" i="2"/>
  <c r="I859" i="2"/>
  <c r="N859" i="2"/>
  <c r="G859" i="2"/>
  <c r="T859" i="2" s="1"/>
  <c r="M859" i="2"/>
  <c r="Q859" i="2"/>
  <c r="Q670" i="2"/>
  <c r="R670" i="2"/>
  <c r="G670" i="2"/>
  <c r="H670" i="2"/>
  <c r="I670" i="2"/>
  <c r="N670" i="2"/>
  <c r="T670" i="2" s="1"/>
  <c r="M670" i="2"/>
  <c r="O670" i="2"/>
  <c r="P670" i="2"/>
  <c r="Q482" i="2"/>
  <c r="G482" i="2"/>
  <c r="P482" i="2"/>
  <c r="M482" i="2"/>
  <c r="N482" i="2"/>
  <c r="T482" i="2" s="1"/>
  <c r="R482" i="2"/>
  <c r="H482" i="2"/>
  <c r="O482" i="2"/>
  <c r="I482" i="2"/>
  <c r="Q294" i="2"/>
  <c r="P294" i="2"/>
  <c r="R294" i="2"/>
  <c r="I294" i="2"/>
  <c r="O294" i="2"/>
  <c r="G294" i="2"/>
  <c r="M294" i="2"/>
  <c r="H294" i="2"/>
  <c r="N294" i="2"/>
  <c r="T294" i="2" s="1"/>
  <c r="R90" i="2"/>
  <c r="O90" i="2"/>
  <c r="P90" i="2"/>
  <c r="Q90" i="2"/>
  <c r="G90" i="2"/>
  <c r="H90" i="2"/>
  <c r="M90" i="2"/>
  <c r="I90" i="2"/>
  <c r="N90" i="2"/>
  <c r="T90" i="2" s="1"/>
  <c r="R944" i="2"/>
  <c r="I944" i="2"/>
  <c r="M944" i="2"/>
  <c r="G944" i="2"/>
  <c r="H944" i="2"/>
  <c r="N944" i="2"/>
  <c r="Q944" i="2"/>
  <c r="R760" i="2"/>
  <c r="H760" i="2"/>
  <c r="I760" i="2"/>
  <c r="G760" i="2"/>
  <c r="N760" i="2"/>
  <c r="M760" i="2"/>
  <c r="Q760" i="2"/>
  <c r="M572" i="2"/>
  <c r="G572" i="2"/>
  <c r="H572" i="2"/>
  <c r="N572" i="2"/>
  <c r="Q572" i="2"/>
  <c r="R572" i="2"/>
  <c r="I572" i="2"/>
  <c r="N385" i="2"/>
  <c r="R385" i="2"/>
  <c r="I385" i="2"/>
  <c r="T385" i="2" s="1"/>
  <c r="M385" i="2"/>
  <c r="H385" i="2"/>
  <c r="Q385" i="2"/>
  <c r="G385" i="2"/>
  <c r="Q195" i="2"/>
  <c r="R195" i="2"/>
  <c r="I195" i="2"/>
  <c r="H195" i="2"/>
  <c r="M195" i="2"/>
  <c r="G195" i="2"/>
  <c r="T195" i="2" s="1"/>
  <c r="N195" i="2"/>
  <c r="R1025" i="2"/>
  <c r="N1025" i="2"/>
  <c r="I1025" i="2"/>
  <c r="T1025" i="2" s="1"/>
  <c r="M1025" i="2"/>
  <c r="G1025" i="2"/>
  <c r="H1025" i="2"/>
  <c r="R868" i="2"/>
  <c r="Q868" i="2"/>
  <c r="H868" i="2"/>
  <c r="M868" i="2"/>
  <c r="I868" i="2"/>
  <c r="N868" i="2"/>
  <c r="G868" i="2"/>
  <c r="I711" i="2"/>
  <c r="Q711" i="2"/>
  <c r="R711" i="2"/>
  <c r="G711" i="2"/>
  <c r="T711" i="2" s="1"/>
  <c r="H711" i="2"/>
  <c r="N711" i="2"/>
  <c r="M711" i="2"/>
  <c r="G554" i="2"/>
  <c r="H554" i="2"/>
  <c r="M554" i="2"/>
  <c r="N554" i="2"/>
  <c r="T554" i="2" s="1"/>
  <c r="P554" i="2"/>
  <c r="O554" i="2"/>
  <c r="Q554" i="2"/>
  <c r="R554" i="2"/>
  <c r="I554" i="2"/>
  <c r="N397" i="2"/>
  <c r="G397" i="2"/>
  <c r="M397" i="2"/>
  <c r="H397" i="2"/>
  <c r="I397" i="2"/>
  <c r="T397" i="2" s="1"/>
  <c r="R397" i="2"/>
  <c r="Q397" i="2"/>
  <c r="H240" i="2"/>
  <c r="R240" i="2"/>
  <c r="I240" i="2"/>
  <c r="G240" i="2"/>
  <c r="M240" i="2"/>
  <c r="N240" i="2"/>
  <c r="Q240" i="2"/>
  <c r="I64" i="2"/>
  <c r="M64" i="2"/>
  <c r="N64" i="2"/>
  <c r="Q64" i="2"/>
  <c r="H64" i="2"/>
  <c r="R64" i="2"/>
  <c r="G64" i="2"/>
  <c r="R749" i="2"/>
  <c r="Q749" i="2"/>
  <c r="M749" i="2"/>
  <c r="N749" i="2"/>
  <c r="G749" i="2"/>
  <c r="H749" i="2"/>
  <c r="I749" i="2"/>
  <c r="T749" i="2" s="1"/>
  <c r="M592" i="2"/>
  <c r="G592" i="2"/>
  <c r="H592" i="2"/>
  <c r="I592" i="2"/>
  <c r="R592" i="2"/>
  <c r="N592" i="2"/>
  <c r="Q592" i="2"/>
  <c r="N435" i="2"/>
  <c r="R435" i="2"/>
  <c r="G435" i="2"/>
  <c r="T435" i="2" s="1"/>
  <c r="H435" i="2"/>
  <c r="I435" i="2"/>
  <c r="M435" i="2"/>
  <c r="Q435" i="2"/>
  <c r="Q278" i="2"/>
  <c r="P278" i="2"/>
  <c r="R278" i="2"/>
  <c r="N278" i="2"/>
  <c r="T278" i="2" s="1"/>
  <c r="O278" i="2"/>
  <c r="H278" i="2"/>
  <c r="I278" i="2"/>
  <c r="G278" i="2"/>
  <c r="M278" i="2"/>
  <c r="I111" i="2"/>
  <c r="H111" i="2"/>
  <c r="Q111" i="2"/>
  <c r="R111" i="2"/>
  <c r="M111" i="2"/>
  <c r="N111" i="2"/>
  <c r="G111" i="2"/>
  <c r="T111" i="2" s="1"/>
  <c r="G95" i="2"/>
  <c r="T95" i="2" s="1"/>
  <c r="I95" i="2"/>
  <c r="M95" i="2"/>
  <c r="N95" i="2"/>
  <c r="R95" i="2"/>
  <c r="H95" i="2"/>
  <c r="Q95" i="2"/>
  <c r="G1125" i="2"/>
  <c r="I1125" i="2"/>
  <c r="T1125" i="2" s="1"/>
  <c r="M1125" i="2"/>
  <c r="H1125" i="2"/>
  <c r="R1125" i="2"/>
  <c r="I981" i="2"/>
  <c r="T981" i="2" s="1"/>
  <c r="N981" i="2"/>
  <c r="Q981" i="2"/>
  <c r="R981" i="2"/>
  <c r="G981" i="2"/>
  <c r="H981" i="2"/>
  <c r="M981" i="2"/>
  <c r="G837" i="2"/>
  <c r="I837" i="2"/>
  <c r="T837" i="2" s="1"/>
  <c r="R837" i="2"/>
  <c r="H837" i="2"/>
  <c r="Q837" i="2"/>
  <c r="M837" i="2"/>
  <c r="N837" i="2"/>
  <c r="R693" i="2"/>
  <c r="M693" i="2"/>
  <c r="N693" i="2"/>
  <c r="G693" i="2"/>
  <c r="H693" i="2"/>
  <c r="I693" i="2"/>
  <c r="T693" i="2" s="1"/>
  <c r="Q693" i="2"/>
  <c r="N549" i="2"/>
  <c r="Q549" i="2"/>
  <c r="H549" i="2"/>
  <c r="G549" i="2"/>
  <c r="I549" i="2"/>
  <c r="T549" i="2" s="1"/>
  <c r="M549" i="2"/>
  <c r="R549" i="2"/>
  <c r="N405" i="2"/>
  <c r="H405" i="2"/>
  <c r="G405" i="2"/>
  <c r="I405" i="2"/>
  <c r="T405" i="2" s="1"/>
  <c r="M405" i="2"/>
  <c r="Q405" i="2"/>
  <c r="R405" i="2"/>
  <c r="N261" i="2"/>
  <c r="I261" i="2"/>
  <c r="T261" i="2" s="1"/>
  <c r="M261" i="2"/>
  <c r="H261" i="2"/>
  <c r="Q261" i="2"/>
  <c r="R261" i="2"/>
  <c r="G261" i="2"/>
  <c r="N117" i="2"/>
  <c r="Q117" i="2"/>
  <c r="R117" i="2"/>
  <c r="G117" i="2"/>
  <c r="I117" i="2"/>
  <c r="T117" i="2" s="1"/>
  <c r="H117" i="2"/>
  <c r="M117" i="2"/>
  <c r="H140" i="2"/>
  <c r="I140" i="2"/>
  <c r="G140" i="2"/>
  <c r="M140" i="2"/>
  <c r="N140" i="2"/>
  <c r="R140" i="2"/>
  <c r="Q140" i="2"/>
  <c r="H1119" i="2"/>
  <c r="M1103" i="2"/>
  <c r="N1034" i="2"/>
  <c r="T1034" i="2" s="1"/>
  <c r="Q1111" i="2"/>
  <c r="M1083" i="2"/>
  <c r="R1035" i="2"/>
  <c r="R964" i="2"/>
  <c r="M964" i="2"/>
  <c r="N964" i="2"/>
  <c r="Q964" i="2"/>
  <c r="H964" i="2"/>
  <c r="G964" i="2"/>
  <c r="I964" i="2"/>
  <c r="R767" i="2"/>
  <c r="G767" i="2"/>
  <c r="T767" i="2" s="1"/>
  <c r="I767" i="2"/>
  <c r="H767" i="2"/>
  <c r="M767" i="2"/>
  <c r="N767" i="2"/>
  <c r="Q767" i="2"/>
  <c r="R967" i="2"/>
  <c r="N967" i="2"/>
  <c r="Q967" i="2"/>
  <c r="I967" i="2"/>
  <c r="M967" i="2"/>
  <c r="G967" i="2"/>
  <c r="T967" i="2" s="1"/>
  <c r="H967" i="2"/>
  <c r="M1141" i="2"/>
  <c r="G1141" i="2"/>
  <c r="H1141" i="2"/>
  <c r="I1141" i="2"/>
  <c r="T1141" i="2" s="1"/>
  <c r="N1141" i="2"/>
  <c r="Q1141" i="2"/>
  <c r="R883" i="2"/>
  <c r="Q883" i="2"/>
  <c r="H883" i="2"/>
  <c r="G883" i="2"/>
  <c r="T883" i="2" s="1"/>
  <c r="I883" i="2"/>
  <c r="N883" i="2"/>
  <c r="M883" i="2"/>
  <c r="G901" i="2"/>
  <c r="I901" i="2"/>
  <c r="T901" i="2" s="1"/>
  <c r="Q901" i="2"/>
  <c r="R901" i="2"/>
  <c r="N901" i="2"/>
  <c r="M901" i="2"/>
  <c r="H901" i="2"/>
  <c r="I814" i="2"/>
  <c r="M814" i="2"/>
  <c r="O814" i="2"/>
  <c r="N814" i="2"/>
  <c r="T814" i="2" s="1"/>
  <c r="P814" i="2"/>
  <c r="R814" i="2"/>
  <c r="G814" i="2"/>
  <c r="H814" i="2"/>
  <c r="Q814" i="2"/>
  <c r="N1137" i="2"/>
  <c r="I72" i="2"/>
  <c r="M72" i="2"/>
  <c r="Q72" i="2"/>
  <c r="R72" i="2"/>
  <c r="N72" i="2"/>
  <c r="H72" i="2"/>
  <c r="G72" i="2"/>
  <c r="I108" i="2"/>
  <c r="M108" i="2"/>
  <c r="Q108" i="2"/>
  <c r="R108" i="2"/>
  <c r="G108" i="2"/>
  <c r="N108" i="2"/>
  <c r="H108" i="2"/>
  <c r="R1007" i="2"/>
  <c r="Q1007" i="2"/>
  <c r="M1007" i="2"/>
  <c r="N1007" i="2"/>
  <c r="H1007" i="2"/>
  <c r="G1007" i="2"/>
  <c r="T1007" i="2" s="1"/>
  <c r="I1007" i="2"/>
  <c r="R86" i="2"/>
  <c r="H86" i="2"/>
  <c r="I86" i="2"/>
  <c r="M86" i="2"/>
  <c r="G86" i="2"/>
  <c r="N86" i="2"/>
  <c r="T86" i="2" s="1"/>
  <c r="O86" i="2"/>
  <c r="P86" i="2"/>
  <c r="Q86" i="2"/>
  <c r="H335" i="2"/>
  <c r="M335" i="2"/>
  <c r="I335" i="2"/>
  <c r="N335" i="2"/>
  <c r="G335" i="2"/>
  <c r="T335" i="2" s="1"/>
  <c r="Q335" i="2"/>
  <c r="R335" i="2"/>
  <c r="G563" i="2"/>
  <c r="T563" i="2" s="1"/>
  <c r="M563" i="2"/>
  <c r="H563" i="2"/>
  <c r="N563" i="2"/>
  <c r="R563" i="2"/>
  <c r="I563" i="2"/>
  <c r="Q563" i="2"/>
  <c r="R783" i="2"/>
  <c r="G783" i="2"/>
  <c r="T783" i="2" s="1"/>
  <c r="H783" i="2"/>
  <c r="M783" i="2"/>
  <c r="N783" i="2"/>
  <c r="I783" i="2"/>
  <c r="Q783" i="2"/>
  <c r="H1040" i="2"/>
  <c r="T1040" i="2" s="1"/>
  <c r="I1040" i="2"/>
  <c r="M1040" i="2"/>
  <c r="N1040" i="2"/>
  <c r="Q1040" i="2"/>
  <c r="G1040" i="2"/>
  <c r="N387" i="2"/>
  <c r="R387" i="2"/>
  <c r="H387" i="2"/>
  <c r="I387" i="2"/>
  <c r="Q387" i="2"/>
  <c r="G387" i="2"/>
  <c r="T387" i="2" s="1"/>
  <c r="M387" i="2"/>
  <c r="H1072" i="2"/>
  <c r="I1072" i="2"/>
  <c r="G1072" i="2"/>
  <c r="N1072" i="2"/>
  <c r="R1072" i="2"/>
  <c r="Q1072" i="2"/>
  <c r="M1072" i="2"/>
  <c r="Q426" i="2"/>
  <c r="P426" i="2"/>
  <c r="O426" i="2"/>
  <c r="N426" i="2"/>
  <c r="T426" i="2" s="1"/>
  <c r="R426" i="2"/>
  <c r="G426" i="2"/>
  <c r="H426" i="2"/>
  <c r="I426" i="2"/>
  <c r="M426" i="2"/>
  <c r="O1110" i="2"/>
  <c r="Q1110" i="2"/>
  <c r="H1110" i="2"/>
  <c r="P1110" i="2"/>
  <c r="R1110" i="2"/>
  <c r="G1110" i="2"/>
  <c r="M1110" i="2"/>
  <c r="I1110" i="2"/>
  <c r="N1110" i="2"/>
  <c r="T1110" i="2" s="1"/>
  <c r="N485" i="2"/>
  <c r="R485" i="2"/>
  <c r="Q485" i="2"/>
  <c r="M485" i="2"/>
  <c r="H485" i="2"/>
  <c r="I485" i="2"/>
  <c r="T485" i="2" s="1"/>
  <c r="G485" i="2"/>
  <c r="I1157" i="2"/>
  <c r="T1157" i="2" s="1"/>
  <c r="Q1157" i="2"/>
  <c r="R1157" i="2"/>
  <c r="G1157" i="2"/>
  <c r="N1157" i="2"/>
  <c r="H1157" i="2"/>
  <c r="G722" i="2"/>
  <c r="P722" i="2"/>
  <c r="Q722" i="2"/>
  <c r="R722" i="2"/>
  <c r="M722" i="2"/>
  <c r="N722" i="2"/>
  <c r="T722" i="2" s="1"/>
  <c r="O722" i="2"/>
  <c r="H722" i="2"/>
  <c r="I722" i="2"/>
  <c r="N193" i="2"/>
  <c r="G193" i="2"/>
  <c r="H193" i="2"/>
  <c r="R193" i="2"/>
  <c r="I193" i="2"/>
  <c r="T193" i="2" s="1"/>
  <c r="M193" i="2"/>
  <c r="Q193" i="2"/>
  <c r="I758" i="2"/>
  <c r="M758" i="2"/>
  <c r="O758" i="2"/>
  <c r="G758" i="2"/>
  <c r="H758" i="2"/>
  <c r="P758" i="2"/>
  <c r="Q758" i="2"/>
  <c r="N758" i="2"/>
  <c r="T758" i="2" s="1"/>
  <c r="R758" i="2"/>
  <c r="Q222" i="2"/>
  <c r="G222" i="2"/>
  <c r="H222" i="2"/>
  <c r="I222" i="2"/>
  <c r="P222" i="2"/>
  <c r="R222" i="2"/>
  <c r="M222" i="2"/>
  <c r="N222" i="2"/>
  <c r="T222" i="2" s="1"/>
  <c r="O222" i="2"/>
  <c r="R787" i="2"/>
  <c r="Q787" i="2"/>
  <c r="I787" i="2"/>
  <c r="N787" i="2"/>
  <c r="M787" i="2"/>
  <c r="H787" i="2"/>
  <c r="G787" i="2"/>
  <c r="T787" i="2" s="1"/>
  <c r="N269" i="2"/>
  <c r="I269" i="2"/>
  <c r="T269" i="2" s="1"/>
  <c r="G269" i="2"/>
  <c r="M269" i="2"/>
  <c r="R269" i="2"/>
  <c r="H269" i="2"/>
  <c r="Q269" i="2"/>
  <c r="I922" i="2"/>
  <c r="M922" i="2"/>
  <c r="O922" i="2"/>
  <c r="G922" i="2"/>
  <c r="N922" i="2"/>
  <c r="T922" i="2" s="1"/>
  <c r="P922" i="2"/>
  <c r="H922" i="2"/>
  <c r="Q922" i="2"/>
  <c r="R922" i="2"/>
  <c r="G546" i="2"/>
  <c r="N546" i="2"/>
  <c r="T546" i="2" s="1"/>
  <c r="O546" i="2"/>
  <c r="Q546" i="2"/>
  <c r="R546" i="2"/>
  <c r="H546" i="2"/>
  <c r="I546" i="2"/>
  <c r="M546" i="2"/>
  <c r="P546" i="2"/>
  <c r="Q138" i="2"/>
  <c r="R138" i="2"/>
  <c r="G138" i="2"/>
  <c r="H138" i="2"/>
  <c r="M138" i="2"/>
  <c r="I138" i="2"/>
  <c r="N138" i="2"/>
  <c r="T138" i="2" s="1"/>
  <c r="O138" i="2"/>
  <c r="P138" i="2"/>
  <c r="R1056" i="2"/>
  <c r="I1056" i="2"/>
  <c r="M1056" i="2"/>
  <c r="H1056" i="2"/>
  <c r="N1056" i="2"/>
  <c r="G1056" i="2"/>
  <c r="H712" i="2"/>
  <c r="I712" i="2"/>
  <c r="N712" i="2"/>
  <c r="M712" i="2"/>
  <c r="R712" i="2"/>
  <c r="G712" i="2"/>
  <c r="Q712" i="2"/>
  <c r="M313" i="2"/>
  <c r="N313" i="2"/>
  <c r="G313" i="2"/>
  <c r="H313" i="2"/>
  <c r="R313" i="2"/>
  <c r="I313" i="2"/>
  <c r="T313" i="2" s="1"/>
  <c r="Q313" i="2"/>
  <c r="I858" i="2"/>
  <c r="M858" i="2"/>
  <c r="O858" i="2"/>
  <c r="G858" i="2"/>
  <c r="H858" i="2"/>
  <c r="N858" i="2"/>
  <c r="T858" i="2" s="1"/>
  <c r="R858" i="2"/>
  <c r="Q858" i="2"/>
  <c r="P858" i="2"/>
  <c r="H476" i="2"/>
  <c r="I476" i="2"/>
  <c r="R476" i="2"/>
  <c r="Q476" i="2"/>
  <c r="G476" i="2"/>
  <c r="M476" i="2"/>
  <c r="N476" i="2"/>
  <c r="I52" i="2"/>
  <c r="M52" i="2"/>
  <c r="H52" i="2"/>
  <c r="R52" i="2"/>
  <c r="G52" i="2"/>
  <c r="N52" i="2"/>
  <c r="I1054" i="2"/>
  <c r="H1054" i="2"/>
  <c r="R1054" i="2"/>
  <c r="O1054" i="2"/>
  <c r="P1054" i="2"/>
  <c r="M1054" i="2"/>
  <c r="Q1054" i="2"/>
  <c r="G1054" i="2"/>
  <c r="N1054" i="2"/>
  <c r="T1054" i="2" s="1"/>
  <c r="R799" i="2"/>
  <c r="N799" i="2"/>
  <c r="Q799" i="2"/>
  <c r="I799" i="2"/>
  <c r="G799" i="2"/>
  <c r="T799" i="2" s="1"/>
  <c r="H799" i="2"/>
  <c r="M799" i="2"/>
  <c r="H507" i="2"/>
  <c r="N507" i="2"/>
  <c r="G507" i="2"/>
  <c r="T507" i="2" s="1"/>
  <c r="I507" i="2"/>
  <c r="Q507" i="2"/>
  <c r="R507" i="2"/>
  <c r="M507" i="2"/>
  <c r="Q206" i="2"/>
  <c r="G206" i="2"/>
  <c r="H206" i="2"/>
  <c r="O206" i="2"/>
  <c r="R206" i="2"/>
  <c r="I206" i="2"/>
  <c r="M206" i="2"/>
  <c r="N206" i="2"/>
  <c r="T206" i="2" s="1"/>
  <c r="P206" i="2"/>
  <c r="P1102" i="2"/>
  <c r="I1102" i="2"/>
  <c r="H1102" i="2"/>
  <c r="R1102" i="2"/>
  <c r="N1102" i="2"/>
  <c r="T1102" i="2" s="1"/>
  <c r="O1102" i="2"/>
  <c r="Q1102" i="2"/>
  <c r="R864" i="2"/>
  <c r="G864" i="2"/>
  <c r="H864" i="2"/>
  <c r="M864" i="2"/>
  <c r="N864" i="2"/>
  <c r="Q864" i="2"/>
  <c r="I864" i="2"/>
  <c r="G582" i="2"/>
  <c r="N582" i="2"/>
  <c r="T582" i="2" s="1"/>
  <c r="O582" i="2"/>
  <c r="Q582" i="2"/>
  <c r="I582" i="2"/>
  <c r="P582" i="2"/>
  <c r="M582" i="2"/>
  <c r="R582" i="2"/>
  <c r="H582" i="2"/>
  <c r="N281" i="2"/>
  <c r="Q281" i="2"/>
  <c r="I281" i="2"/>
  <c r="T281" i="2" s="1"/>
  <c r="G281" i="2"/>
  <c r="H281" i="2"/>
  <c r="M281" i="2"/>
  <c r="R281" i="2"/>
  <c r="H1152" i="2"/>
  <c r="N1152" i="2"/>
  <c r="I1152" i="2"/>
  <c r="M1152" i="2"/>
  <c r="Q1152" i="2"/>
  <c r="G1152" i="2"/>
  <c r="R1152" i="2"/>
  <c r="R928" i="2"/>
  <c r="N928" i="2"/>
  <c r="Q928" i="2"/>
  <c r="M928" i="2"/>
  <c r="G928" i="2"/>
  <c r="H928" i="2"/>
  <c r="I928" i="2"/>
  <c r="I655" i="2"/>
  <c r="M655" i="2"/>
  <c r="N655" i="2"/>
  <c r="H655" i="2"/>
  <c r="Q655" i="2"/>
  <c r="R655" i="2"/>
  <c r="G655" i="2"/>
  <c r="T655" i="2" s="1"/>
  <c r="N353" i="2"/>
  <c r="H353" i="2"/>
  <c r="G353" i="2"/>
  <c r="R353" i="2"/>
  <c r="I353" i="2"/>
  <c r="T353" i="2" s="1"/>
  <c r="M353" i="2"/>
  <c r="Q353" i="2"/>
  <c r="N27" i="2"/>
  <c r="G27" i="2"/>
  <c r="T27" i="2" s="1"/>
  <c r="H27" i="2"/>
  <c r="R27" i="2"/>
  <c r="I27" i="2"/>
  <c r="M27" i="2"/>
  <c r="M511" i="2"/>
  <c r="Q511" i="2"/>
  <c r="R511" i="2"/>
  <c r="H511" i="2"/>
  <c r="G511" i="2"/>
  <c r="T511" i="2" s="1"/>
  <c r="I511" i="2"/>
  <c r="N511" i="2"/>
  <c r="Q286" i="2"/>
  <c r="G286" i="2"/>
  <c r="H286" i="2"/>
  <c r="I286" i="2"/>
  <c r="M286" i="2"/>
  <c r="O286" i="2"/>
  <c r="N286" i="2"/>
  <c r="T286" i="2" s="1"/>
  <c r="P286" i="2"/>
  <c r="R286" i="2"/>
  <c r="R39" i="2"/>
  <c r="G39" i="2"/>
  <c r="T39" i="2" s="1"/>
  <c r="M39" i="2"/>
  <c r="H39" i="2"/>
  <c r="I39" i="2"/>
  <c r="N39" i="2"/>
  <c r="H1026" i="2"/>
  <c r="O1026" i="2"/>
  <c r="R1026" i="2"/>
  <c r="N1026" i="2"/>
  <c r="T1026" i="2" s="1"/>
  <c r="M1026" i="2"/>
  <c r="G1026" i="2"/>
  <c r="I1026" i="2"/>
  <c r="P1026" i="2"/>
  <c r="R812" i="2"/>
  <c r="G812" i="2"/>
  <c r="H812" i="2"/>
  <c r="N812" i="2"/>
  <c r="I812" i="2"/>
  <c r="M812" i="2"/>
  <c r="Q812" i="2"/>
  <c r="G586" i="2"/>
  <c r="R586" i="2"/>
  <c r="I586" i="2"/>
  <c r="N586" i="2"/>
  <c r="T586" i="2" s="1"/>
  <c r="M586" i="2"/>
  <c r="O586" i="2"/>
  <c r="P586" i="2"/>
  <c r="H586" i="2"/>
  <c r="Q586" i="2"/>
  <c r="N361" i="2"/>
  <c r="I361" i="2"/>
  <c r="T361" i="2" s="1"/>
  <c r="G361" i="2"/>
  <c r="Q361" i="2"/>
  <c r="R361" i="2"/>
  <c r="H361" i="2"/>
  <c r="M361" i="2"/>
  <c r="N125" i="2"/>
  <c r="I125" i="2"/>
  <c r="T125" i="2" s="1"/>
  <c r="M125" i="2"/>
  <c r="Q125" i="2"/>
  <c r="G125" i="2"/>
  <c r="H125" i="2"/>
  <c r="R125" i="2"/>
  <c r="R955" i="2"/>
  <c r="H955" i="2"/>
  <c r="I955" i="2"/>
  <c r="N955" i="2"/>
  <c r="G955" i="2"/>
  <c r="T955" i="2" s="1"/>
  <c r="M955" i="2"/>
  <c r="Q955" i="2"/>
  <c r="I735" i="2"/>
  <c r="Q735" i="2"/>
  <c r="R735" i="2"/>
  <c r="H735" i="2"/>
  <c r="M735" i="2"/>
  <c r="N735" i="2"/>
  <c r="G735" i="2"/>
  <c r="T735" i="2" s="1"/>
  <c r="R508" i="2"/>
  <c r="N508" i="2"/>
  <c r="Q508" i="2"/>
  <c r="G508" i="2"/>
  <c r="H508" i="2"/>
  <c r="I508" i="2"/>
  <c r="M508" i="2"/>
  <c r="H283" i="2"/>
  <c r="I283" i="2"/>
  <c r="G283" i="2"/>
  <c r="T283" i="2" s="1"/>
  <c r="M283" i="2"/>
  <c r="N283" i="2"/>
  <c r="R283" i="2"/>
  <c r="Q283" i="2"/>
  <c r="N35" i="2"/>
  <c r="I35" i="2"/>
  <c r="M35" i="2"/>
  <c r="G35" i="2"/>
  <c r="T35" i="2" s="1"/>
  <c r="R35" i="2"/>
  <c r="H35" i="2"/>
  <c r="I1006" i="2"/>
  <c r="O1006" i="2"/>
  <c r="H1006" i="2"/>
  <c r="M1006" i="2"/>
  <c r="P1006" i="2"/>
  <c r="Q1006" i="2"/>
  <c r="G1006" i="2"/>
  <c r="N1006" i="2"/>
  <c r="T1006" i="2" s="1"/>
  <c r="R1006" i="2"/>
  <c r="R827" i="2"/>
  <c r="N827" i="2"/>
  <c r="Q827" i="2"/>
  <c r="G827" i="2"/>
  <c r="T827" i="2" s="1"/>
  <c r="I827" i="2"/>
  <c r="H827" i="2"/>
  <c r="M827" i="2"/>
  <c r="I639" i="2"/>
  <c r="Q639" i="2"/>
  <c r="R639" i="2"/>
  <c r="H639" i="2"/>
  <c r="N639" i="2"/>
  <c r="M639" i="2"/>
  <c r="G639" i="2"/>
  <c r="T639" i="2" s="1"/>
  <c r="N451" i="2"/>
  <c r="R451" i="2"/>
  <c r="G451" i="2"/>
  <c r="T451" i="2" s="1"/>
  <c r="H451" i="2"/>
  <c r="I451" i="2"/>
  <c r="M451" i="2"/>
  <c r="Q451" i="2"/>
  <c r="Q262" i="2"/>
  <c r="P262" i="2"/>
  <c r="R262" i="2"/>
  <c r="I262" i="2"/>
  <c r="O262" i="2"/>
  <c r="G262" i="2"/>
  <c r="M262" i="2"/>
  <c r="H262" i="2"/>
  <c r="N262" i="2"/>
  <c r="T262" i="2" s="1"/>
  <c r="R54" i="2"/>
  <c r="O54" i="2"/>
  <c r="P54" i="2"/>
  <c r="N54" i="2"/>
  <c r="T54" i="2" s="1"/>
  <c r="G54" i="2"/>
  <c r="I54" i="2"/>
  <c r="H54" i="2"/>
  <c r="M54" i="2"/>
  <c r="R916" i="2"/>
  <c r="Q916" i="2"/>
  <c r="M916" i="2"/>
  <c r="N916" i="2"/>
  <c r="G916" i="2"/>
  <c r="H916" i="2"/>
  <c r="I916" i="2"/>
  <c r="H730" i="2"/>
  <c r="I730" i="2"/>
  <c r="N730" i="2"/>
  <c r="T730" i="2" s="1"/>
  <c r="G730" i="2"/>
  <c r="M730" i="2"/>
  <c r="O730" i="2"/>
  <c r="P730" i="2"/>
  <c r="Q730" i="2"/>
  <c r="R730" i="2"/>
  <c r="G542" i="2"/>
  <c r="H542" i="2"/>
  <c r="M542" i="2"/>
  <c r="N542" i="2"/>
  <c r="T542" i="2" s="1"/>
  <c r="O542" i="2"/>
  <c r="P542" i="2"/>
  <c r="Q542" i="2"/>
  <c r="R542" i="2"/>
  <c r="I542" i="2"/>
  <c r="H352" i="2"/>
  <c r="G352" i="2"/>
  <c r="Q352" i="2"/>
  <c r="M352" i="2"/>
  <c r="I352" i="2"/>
  <c r="N352" i="2"/>
  <c r="R352" i="2"/>
  <c r="R162" i="2"/>
  <c r="H162" i="2"/>
  <c r="I162" i="2"/>
  <c r="G162" i="2"/>
  <c r="M162" i="2"/>
  <c r="O162" i="2"/>
  <c r="P162" i="2"/>
  <c r="N162" i="2"/>
  <c r="T162" i="2" s="1"/>
  <c r="Q162" i="2"/>
  <c r="I1156" i="2"/>
  <c r="G1156" i="2"/>
  <c r="Q1156" i="2"/>
  <c r="R1156" i="2"/>
  <c r="N1156" i="2"/>
  <c r="M1156" i="2"/>
  <c r="H1156" i="2"/>
  <c r="R999" i="2"/>
  <c r="G999" i="2"/>
  <c r="T999" i="2" s="1"/>
  <c r="I999" i="2"/>
  <c r="M999" i="2"/>
  <c r="N999" i="2"/>
  <c r="Q999" i="2"/>
  <c r="H999" i="2"/>
  <c r="I842" i="2"/>
  <c r="M842" i="2"/>
  <c r="O842" i="2"/>
  <c r="P842" i="2"/>
  <c r="Q842" i="2"/>
  <c r="G842" i="2"/>
  <c r="H842" i="2"/>
  <c r="R842" i="2"/>
  <c r="N842" i="2"/>
  <c r="T842" i="2" s="1"/>
  <c r="R685" i="2"/>
  <c r="G685" i="2"/>
  <c r="I685" i="2"/>
  <c r="T685" i="2" s="1"/>
  <c r="M685" i="2"/>
  <c r="N685" i="2"/>
  <c r="Q685" i="2"/>
  <c r="H685" i="2"/>
  <c r="R528" i="2"/>
  <c r="I528" i="2"/>
  <c r="N528" i="2"/>
  <c r="Q528" i="2"/>
  <c r="G528" i="2"/>
  <c r="M528" i="2"/>
  <c r="H528" i="2"/>
  <c r="N371" i="2"/>
  <c r="R371" i="2"/>
  <c r="H371" i="2"/>
  <c r="M371" i="2"/>
  <c r="G371" i="2"/>
  <c r="T371" i="2" s="1"/>
  <c r="I371" i="2"/>
  <c r="Q371" i="2"/>
  <c r="Q214" i="2"/>
  <c r="P214" i="2"/>
  <c r="R214" i="2"/>
  <c r="G214" i="2"/>
  <c r="I214" i="2"/>
  <c r="M214" i="2"/>
  <c r="O214" i="2"/>
  <c r="H214" i="2"/>
  <c r="N214" i="2"/>
  <c r="T214" i="2" s="1"/>
  <c r="H34" i="2"/>
  <c r="I34" i="2"/>
  <c r="M34" i="2"/>
  <c r="O34" i="2"/>
  <c r="R34" i="2"/>
  <c r="N34" i="2"/>
  <c r="T34" i="2" s="1"/>
  <c r="G34" i="2"/>
  <c r="P34" i="2"/>
  <c r="R880" i="2"/>
  <c r="N880" i="2"/>
  <c r="Q880" i="2"/>
  <c r="I880" i="2"/>
  <c r="M880" i="2"/>
  <c r="G880" i="2"/>
  <c r="H880" i="2"/>
  <c r="I723" i="2"/>
  <c r="G723" i="2"/>
  <c r="T723" i="2" s="1"/>
  <c r="H723" i="2"/>
  <c r="N723" i="2"/>
  <c r="M723" i="2"/>
  <c r="Q723" i="2"/>
  <c r="R723" i="2"/>
  <c r="G566" i="2"/>
  <c r="H566" i="2"/>
  <c r="M566" i="2"/>
  <c r="I566" i="2"/>
  <c r="O566" i="2"/>
  <c r="N566" i="2"/>
  <c r="T566" i="2" s="1"/>
  <c r="P566" i="2"/>
  <c r="R566" i="2"/>
  <c r="Q566" i="2"/>
  <c r="N409" i="2"/>
  <c r="I409" i="2"/>
  <c r="T409" i="2" s="1"/>
  <c r="R409" i="2"/>
  <c r="H409" i="2"/>
  <c r="G409" i="2"/>
  <c r="M409" i="2"/>
  <c r="Q409" i="2"/>
  <c r="H252" i="2"/>
  <c r="I252" i="2"/>
  <c r="M252" i="2"/>
  <c r="N252" i="2"/>
  <c r="Q252" i="2"/>
  <c r="R252" i="2"/>
  <c r="G252" i="2"/>
  <c r="R78" i="2"/>
  <c r="O78" i="2"/>
  <c r="P78" i="2"/>
  <c r="Q78" i="2"/>
  <c r="H78" i="2"/>
  <c r="G78" i="2"/>
  <c r="M78" i="2"/>
  <c r="N78" i="2"/>
  <c r="T78" i="2" s="1"/>
  <c r="I78" i="2"/>
  <c r="I65" i="2"/>
  <c r="T65" i="2" s="1"/>
  <c r="M65" i="2"/>
  <c r="N65" i="2"/>
  <c r="R65" i="2"/>
  <c r="G65" i="2"/>
  <c r="H65" i="2"/>
  <c r="Q65" i="2"/>
  <c r="I1101" i="2"/>
  <c r="T1101" i="2" s="1"/>
  <c r="R1101" i="2"/>
  <c r="M1101" i="2"/>
  <c r="H1101" i="2"/>
  <c r="G1101" i="2"/>
  <c r="I957" i="2"/>
  <c r="T957" i="2" s="1"/>
  <c r="G957" i="2"/>
  <c r="H957" i="2"/>
  <c r="N957" i="2"/>
  <c r="M957" i="2"/>
  <c r="Q957" i="2"/>
  <c r="R957" i="2"/>
  <c r="G813" i="2"/>
  <c r="I813" i="2"/>
  <c r="T813" i="2" s="1"/>
  <c r="H813" i="2"/>
  <c r="M813" i="2"/>
  <c r="Q813" i="2"/>
  <c r="R813" i="2"/>
  <c r="N813" i="2"/>
  <c r="R669" i="2"/>
  <c r="M669" i="2"/>
  <c r="N669" i="2"/>
  <c r="Q669" i="2"/>
  <c r="G669" i="2"/>
  <c r="H669" i="2"/>
  <c r="I669" i="2"/>
  <c r="T669" i="2" s="1"/>
  <c r="N525" i="2"/>
  <c r="Q525" i="2"/>
  <c r="H525" i="2"/>
  <c r="I525" i="2"/>
  <c r="T525" i="2" s="1"/>
  <c r="M525" i="2"/>
  <c r="R525" i="2"/>
  <c r="G525" i="2"/>
  <c r="N381" i="2"/>
  <c r="M381" i="2"/>
  <c r="Q381" i="2"/>
  <c r="R381" i="2"/>
  <c r="G381" i="2"/>
  <c r="I381" i="2"/>
  <c r="T381" i="2" s="1"/>
  <c r="H381" i="2"/>
  <c r="N237" i="2"/>
  <c r="I237" i="2"/>
  <c r="T237" i="2" s="1"/>
  <c r="H237" i="2"/>
  <c r="M237" i="2"/>
  <c r="G237" i="2"/>
  <c r="Q237" i="2"/>
  <c r="R237" i="2"/>
  <c r="Q93" i="2"/>
  <c r="R93" i="2"/>
  <c r="H93" i="2"/>
  <c r="N93" i="2"/>
  <c r="I93" i="2"/>
  <c r="T93" i="2" s="1"/>
  <c r="G93" i="2"/>
  <c r="M93" i="2"/>
  <c r="H116" i="2"/>
  <c r="I116" i="2"/>
  <c r="M116" i="2"/>
  <c r="N116" i="2"/>
  <c r="R116" i="2"/>
  <c r="Q116" i="2"/>
  <c r="G116" i="2"/>
  <c r="Q1125" i="2"/>
  <c r="H1143" i="2"/>
  <c r="M1127" i="2"/>
  <c r="I1083" i="2"/>
  <c r="G328" i="2"/>
  <c r="H328" i="2"/>
  <c r="M328" i="2"/>
  <c r="I328" i="2"/>
  <c r="Q328" i="2"/>
  <c r="R328" i="2"/>
  <c r="N328" i="2"/>
  <c r="Q350" i="2"/>
  <c r="P350" i="2"/>
  <c r="G350" i="2"/>
  <c r="M350" i="2"/>
  <c r="H350" i="2"/>
  <c r="I350" i="2"/>
  <c r="N350" i="2"/>
  <c r="T350" i="2" s="1"/>
  <c r="O350" i="2"/>
  <c r="R350" i="2"/>
  <c r="R872" i="2"/>
  <c r="I872" i="2"/>
  <c r="M872" i="2"/>
  <c r="Q872" i="2"/>
  <c r="N872" i="2"/>
  <c r="G872" i="2"/>
  <c r="H872" i="2"/>
  <c r="N1061" i="2"/>
  <c r="H1061" i="2"/>
  <c r="I1061" i="2"/>
  <c r="T1061" i="2" s="1"/>
  <c r="R1061" i="2"/>
  <c r="G1061" i="2"/>
  <c r="Q1061" i="2"/>
  <c r="M1061" i="2"/>
  <c r="G163" i="2"/>
  <c r="T163" i="2" s="1"/>
  <c r="H163" i="2"/>
  <c r="N163" i="2"/>
  <c r="Q163" i="2"/>
  <c r="R163" i="2"/>
  <c r="I163" i="2"/>
  <c r="M163" i="2"/>
  <c r="H392" i="2"/>
  <c r="M392" i="2"/>
  <c r="R392" i="2"/>
  <c r="G392" i="2"/>
  <c r="N392" i="2"/>
  <c r="I392" i="2"/>
  <c r="Q392" i="2"/>
  <c r="R629" i="2"/>
  <c r="Q629" i="2"/>
  <c r="G629" i="2"/>
  <c r="H629" i="2"/>
  <c r="I629" i="2"/>
  <c r="T629" i="2" s="1"/>
  <c r="M629" i="2"/>
  <c r="N629" i="2"/>
  <c r="I938" i="2"/>
  <c r="O938" i="2"/>
  <c r="G938" i="2"/>
  <c r="H938" i="2"/>
  <c r="N938" i="2"/>
  <c r="T938" i="2" s="1"/>
  <c r="P938" i="2"/>
  <c r="R938" i="2"/>
  <c r="M938" i="2"/>
  <c r="Q938" i="2"/>
  <c r="Q259" i="2"/>
  <c r="R259" i="2"/>
  <c r="I259" i="2"/>
  <c r="M259" i="2"/>
  <c r="N259" i="2"/>
  <c r="G259" i="2"/>
  <c r="T259" i="2" s="1"/>
  <c r="H259" i="2"/>
  <c r="I982" i="2"/>
  <c r="O982" i="2"/>
  <c r="H982" i="2"/>
  <c r="M982" i="2"/>
  <c r="N982" i="2"/>
  <c r="T982" i="2" s="1"/>
  <c r="P982" i="2"/>
  <c r="Q982" i="2"/>
  <c r="R982" i="2"/>
  <c r="G982" i="2"/>
  <c r="H299" i="2"/>
  <c r="I299" i="2"/>
  <c r="N299" i="2"/>
  <c r="Q299" i="2"/>
  <c r="R299" i="2"/>
  <c r="M299" i="2"/>
  <c r="G299" i="2"/>
  <c r="T299" i="2" s="1"/>
  <c r="H1023" i="2"/>
  <c r="M1023" i="2"/>
  <c r="R1023" i="2"/>
  <c r="G1023" i="2"/>
  <c r="T1023" i="2" s="1"/>
  <c r="N1023" i="2"/>
  <c r="N365" i="2"/>
  <c r="Q365" i="2"/>
  <c r="I365" i="2"/>
  <c r="T365" i="2" s="1"/>
  <c r="M365" i="2"/>
  <c r="R365" i="2"/>
  <c r="G365" i="2"/>
  <c r="H365" i="2"/>
  <c r="N1094" i="2"/>
  <c r="T1094" i="2" s="1"/>
  <c r="M1094" i="2"/>
  <c r="O1094" i="2"/>
  <c r="P1094" i="2"/>
  <c r="G1094" i="2"/>
  <c r="I1094" i="2"/>
  <c r="R1094" i="2"/>
  <c r="R637" i="2"/>
  <c r="G637" i="2"/>
  <c r="I637" i="2"/>
  <c r="T637" i="2" s="1"/>
  <c r="M637" i="2"/>
  <c r="N637" i="2"/>
  <c r="Q637" i="2"/>
  <c r="H637" i="2"/>
  <c r="G85" i="2"/>
  <c r="N85" i="2"/>
  <c r="Q85" i="2"/>
  <c r="R85" i="2"/>
  <c r="H85" i="2"/>
  <c r="M85" i="2"/>
  <c r="I85" i="2"/>
  <c r="T85" i="2" s="1"/>
  <c r="N1115" i="2"/>
  <c r="Q1115" i="2"/>
  <c r="H1115" i="2"/>
  <c r="I1115" i="2"/>
  <c r="R673" i="2"/>
  <c r="H673" i="2"/>
  <c r="I673" i="2"/>
  <c r="T673" i="2" s="1"/>
  <c r="M673" i="2"/>
  <c r="N673" i="2"/>
  <c r="Q673" i="2"/>
  <c r="G673" i="2"/>
  <c r="N133" i="2"/>
  <c r="I133" i="2"/>
  <c r="T133" i="2" s="1"/>
  <c r="M133" i="2"/>
  <c r="H133" i="2"/>
  <c r="Q133" i="2"/>
  <c r="G133" i="2"/>
  <c r="R133" i="2"/>
  <c r="Q1123" i="2"/>
  <c r="R1083" i="2"/>
  <c r="Q442" i="2"/>
  <c r="P442" i="2"/>
  <c r="I442" i="2"/>
  <c r="O442" i="2"/>
  <c r="M442" i="2"/>
  <c r="G442" i="2"/>
  <c r="H442" i="2"/>
  <c r="N442" i="2"/>
  <c r="T442" i="2" s="1"/>
  <c r="R442" i="2"/>
  <c r="R807" i="2"/>
  <c r="Q807" i="2"/>
  <c r="M807" i="2"/>
  <c r="N807" i="2"/>
  <c r="H807" i="2"/>
  <c r="G807" i="2"/>
  <c r="T807" i="2" s="1"/>
  <c r="I807" i="2"/>
  <c r="R1004" i="2"/>
  <c r="H1004" i="2"/>
  <c r="G1004" i="2"/>
  <c r="I1004" i="2"/>
  <c r="M1004" i="2"/>
  <c r="Q1004" i="2"/>
  <c r="N1004" i="2"/>
  <c r="H327" i="2"/>
  <c r="N327" i="2"/>
  <c r="Q327" i="2"/>
  <c r="G327" i="2"/>
  <c r="T327" i="2" s="1"/>
  <c r="I327" i="2"/>
  <c r="M327" i="2"/>
  <c r="R327" i="2"/>
  <c r="G555" i="2"/>
  <c r="T555" i="2" s="1"/>
  <c r="M555" i="2"/>
  <c r="R555" i="2"/>
  <c r="H555" i="2"/>
  <c r="I555" i="2"/>
  <c r="N555" i="2"/>
  <c r="Q555" i="2"/>
  <c r="I898" i="2"/>
  <c r="M898" i="2"/>
  <c r="O898" i="2"/>
  <c r="R898" i="2"/>
  <c r="H898" i="2"/>
  <c r="G898" i="2"/>
  <c r="N898" i="2"/>
  <c r="T898" i="2" s="1"/>
  <c r="Q898" i="2"/>
  <c r="P898" i="2"/>
  <c r="H251" i="2"/>
  <c r="I251" i="2"/>
  <c r="Q251" i="2"/>
  <c r="R251" i="2"/>
  <c r="G251" i="2"/>
  <c r="T251" i="2" s="1"/>
  <c r="N251" i="2"/>
  <c r="M251" i="2"/>
  <c r="R980" i="2"/>
  <c r="G980" i="2"/>
  <c r="I980" i="2"/>
  <c r="M980" i="2"/>
  <c r="N980" i="2"/>
  <c r="Q980" i="2"/>
  <c r="H980" i="2"/>
  <c r="Q298" i="2"/>
  <c r="H298" i="2"/>
  <c r="I298" i="2"/>
  <c r="M298" i="2"/>
  <c r="G298" i="2"/>
  <c r="N298" i="2"/>
  <c r="T298" i="2" s="1"/>
  <c r="O298" i="2"/>
  <c r="R298" i="2"/>
  <c r="P298" i="2"/>
  <c r="G1063" i="2"/>
  <c r="T1063" i="2" s="1"/>
  <c r="I1063" i="2"/>
  <c r="N1063" i="2"/>
  <c r="R1063" i="2"/>
  <c r="H1063" i="2"/>
  <c r="Q1063" i="2"/>
  <c r="M1063" i="2"/>
  <c r="G40" i="2"/>
  <c r="M40" i="2"/>
  <c r="N40" i="2"/>
  <c r="I40" i="2"/>
  <c r="H40" i="2"/>
  <c r="R40" i="2"/>
  <c r="G1088" i="2"/>
  <c r="H1088" i="2"/>
  <c r="N1088" i="2"/>
  <c r="Q1088" i="2"/>
  <c r="G75" i="2"/>
  <c r="T75" i="2" s="1"/>
  <c r="Q75" i="2"/>
  <c r="R75" i="2"/>
  <c r="I75" i="2"/>
  <c r="H75" i="2"/>
  <c r="M75" i="2"/>
  <c r="N75" i="2"/>
  <c r="I1114" i="2"/>
  <c r="P1114" i="2"/>
  <c r="N1114" i="2"/>
  <c r="T1114" i="2" s="1"/>
  <c r="Q1114" i="2"/>
  <c r="R1114" i="2"/>
  <c r="H1114" i="2"/>
  <c r="O1114" i="2"/>
  <c r="G668" i="2"/>
  <c r="H668" i="2"/>
  <c r="M668" i="2"/>
  <c r="I668" i="2"/>
  <c r="N668" i="2"/>
  <c r="Q668" i="2"/>
  <c r="R668" i="2"/>
  <c r="I834" i="2"/>
  <c r="M834" i="2"/>
  <c r="O834" i="2"/>
  <c r="H834" i="2"/>
  <c r="N834" i="2"/>
  <c r="T834" i="2" s="1"/>
  <c r="Q834" i="2"/>
  <c r="R834" i="2"/>
  <c r="G834" i="2"/>
  <c r="P834" i="2"/>
  <c r="H22" i="2"/>
  <c r="O22" i="2"/>
  <c r="P22" i="2"/>
  <c r="G22" i="2"/>
  <c r="N22" i="2"/>
  <c r="T22" i="2" s="1"/>
  <c r="R22" i="2"/>
  <c r="I22" i="2"/>
  <c r="M22" i="2"/>
  <c r="G614" i="2"/>
  <c r="H614" i="2"/>
  <c r="M614" i="2"/>
  <c r="I614" i="2"/>
  <c r="O614" i="2"/>
  <c r="N614" i="2"/>
  <c r="T614" i="2" s="1"/>
  <c r="P614" i="2"/>
  <c r="Q614" i="2"/>
  <c r="R614" i="2"/>
  <c r="I1097" i="2"/>
  <c r="T1097" i="2" s="1"/>
  <c r="R1097" i="2"/>
  <c r="G1097" i="2"/>
  <c r="Q1097" i="2"/>
  <c r="N1097" i="2"/>
  <c r="H1097" i="2"/>
  <c r="Q374" i="2"/>
  <c r="M374" i="2"/>
  <c r="I374" i="2"/>
  <c r="N374" i="2"/>
  <c r="T374" i="2" s="1"/>
  <c r="P374" i="2"/>
  <c r="G374" i="2"/>
  <c r="O374" i="2"/>
  <c r="H374" i="2"/>
  <c r="R374" i="2"/>
  <c r="I731" i="2"/>
  <c r="R731" i="2"/>
  <c r="Q731" i="2"/>
  <c r="M731" i="2"/>
  <c r="N731" i="2"/>
  <c r="G731" i="2"/>
  <c r="T731" i="2" s="1"/>
  <c r="H731" i="2"/>
  <c r="N121" i="2"/>
  <c r="G121" i="2"/>
  <c r="I121" i="2"/>
  <c r="T121" i="2" s="1"/>
  <c r="M121" i="2"/>
  <c r="H121" i="2"/>
  <c r="Q121" i="2"/>
  <c r="R121" i="2"/>
  <c r="I798" i="2"/>
  <c r="M798" i="2"/>
  <c r="O798" i="2"/>
  <c r="H798" i="2"/>
  <c r="N798" i="2"/>
  <c r="T798" i="2" s="1"/>
  <c r="P798" i="2"/>
  <c r="Q798" i="2"/>
  <c r="R798" i="2"/>
  <c r="G798" i="2"/>
  <c r="N205" i="2"/>
  <c r="I205" i="2"/>
  <c r="T205" i="2" s="1"/>
  <c r="R205" i="2"/>
  <c r="H205" i="2"/>
  <c r="M205" i="2"/>
  <c r="Q205" i="2"/>
  <c r="G205" i="2"/>
  <c r="M1100" i="2"/>
  <c r="N1100" i="2"/>
  <c r="I1100" i="2"/>
  <c r="R1100" i="2"/>
  <c r="Q1100" i="2"/>
  <c r="G1100" i="2"/>
  <c r="H1100" i="2"/>
  <c r="G581" i="2"/>
  <c r="H581" i="2"/>
  <c r="M581" i="2"/>
  <c r="Q581" i="2"/>
  <c r="I581" i="2"/>
  <c r="T581" i="2" s="1"/>
  <c r="R581" i="2"/>
  <c r="N581" i="2"/>
  <c r="Q680" i="2"/>
  <c r="H680" i="2"/>
  <c r="M680" i="2"/>
  <c r="I680" i="2"/>
  <c r="N680" i="2"/>
  <c r="G680" i="2"/>
  <c r="R680" i="2"/>
  <c r="Q230" i="2"/>
  <c r="P230" i="2"/>
  <c r="R230" i="2"/>
  <c r="I230" i="2"/>
  <c r="O230" i="2"/>
  <c r="N230" i="2"/>
  <c r="T230" i="2" s="1"/>
  <c r="G230" i="2"/>
  <c r="M230" i="2"/>
  <c r="H230" i="2"/>
  <c r="R975" i="2"/>
  <c r="I975" i="2"/>
  <c r="M975" i="2"/>
  <c r="Q975" i="2"/>
  <c r="G975" i="2"/>
  <c r="T975" i="2" s="1"/>
  <c r="H975" i="2"/>
  <c r="N975" i="2"/>
  <c r="G531" i="2"/>
  <c r="T531" i="2" s="1"/>
  <c r="M531" i="2"/>
  <c r="R531" i="2"/>
  <c r="Q531" i="2"/>
  <c r="N531" i="2"/>
  <c r="I531" i="2"/>
  <c r="H531" i="2"/>
  <c r="G59" i="2"/>
  <c r="T59" i="2" s="1"/>
  <c r="I59" i="2"/>
  <c r="M59" i="2"/>
  <c r="N59" i="2"/>
  <c r="H59" i="2"/>
  <c r="R59" i="2"/>
  <c r="G678" i="2"/>
  <c r="I678" i="2"/>
  <c r="N678" i="2"/>
  <c r="T678" i="2" s="1"/>
  <c r="P678" i="2"/>
  <c r="O678" i="2"/>
  <c r="Q678" i="2"/>
  <c r="R678" i="2"/>
  <c r="H678" i="2"/>
  <c r="M678" i="2"/>
  <c r="Q454" i="2"/>
  <c r="M454" i="2"/>
  <c r="P454" i="2"/>
  <c r="H454" i="2"/>
  <c r="O454" i="2"/>
  <c r="R454" i="2"/>
  <c r="I454" i="2"/>
  <c r="G454" i="2"/>
  <c r="N454" i="2"/>
  <c r="T454" i="2" s="1"/>
  <c r="H1134" i="2"/>
  <c r="O1134" i="2"/>
  <c r="P1134" i="2"/>
  <c r="Q1134" i="2"/>
  <c r="R1134" i="2"/>
  <c r="I1134" i="2"/>
  <c r="G1134" i="2"/>
  <c r="M1134" i="2"/>
  <c r="N1134" i="2"/>
  <c r="T1134" i="2" s="1"/>
  <c r="G781" i="2"/>
  <c r="I781" i="2"/>
  <c r="T781" i="2" s="1"/>
  <c r="M781" i="2"/>
  <c r="N781" i="2"/>
  <c r="Q781" i="2"/>
  <c r="H781" i="2"/>
  <c r="R781" i="2"/>
  <c r="H1045" i="2"/>
  <c r="R1045" i="2"/>
  <c r="M1045" i="2"/>
  <c r="I1045" i="2"/>
  <c r="T1045" i="2" s="1"/>
  <c r="Q1045" i="2"/>
  <c r="G1045" i="2"/>
  <c r="N1045" i="2"/>
  <c r="M1143" i="2"/>
  <c r="N1066" i="2"/>
  <c r="T1066" i="2" s="1"/>
  <c r="M1157" i="2"/>
  <c r="M1135" i="2"/>
  <c r="H1130" i="2"/>
  <c r="G1115" i="2"/>
  <c r="T1115" i="2" s="1"/>
  <c r="I1123" i="2"/>
  <c r="R1111" i="2"/>
  <c r="I786" i="2"/>
  <c r="M786" i="2"/>
  <c r="O786" i="2"/>
  <c r="H786" i="2"/>
  <c r="N786" i="2"/>
  <c r="T786" i="2" s="1"/>
  <c r="Q786" i="2"/>
  <c r="R786" i="2"/>
  <c r="G786" i="2"/>
  <c r="P786" i="2"/>
  <c r="G817" i="2"/>
  <c r="I817" i="2"/>
  <c r="T817" i="2" s="1"/>
  <c r="Q817" i="2"/>
  <c r="M817" i="2"/>
  <c r="H817" i="2"/>
  <c r="N817" i="2"/>
  <c r="R817" i="2"/>
  <c r="G571" i="2"/>
  <c r="T571" i="2" s="1"/>
  <c r="M571" i="2"/>
  <c r="I571" i="2"/>
  <c r="N571" i="2"/>
  <c r="Q571" i="2"/>
  <c r="H571" i="2"/>
  <c r="R571" i="2"/>
  <c r="R795" i="2"/>
  <c r="G795" i="2"/>
  <c r="T795" i="2" s="1"/>
  <c r="H795" i="2"/>
  <c r="Q795" i="2"/>
  <c r="I795" i="2"/>
  <c r="M795" i="2"/>
  <c r="N795" i="2"/>
  <c r="I997" i="2"/>
  <c r="T997" i="2" s="1"/>
  <c r="G997" i="2"/>
  <c r="M997" i="2"/>
  <c r="N997" i="2"/>
  <c r="Q997" i="2"/>
  <c r="H997" i="2"/>
  <c r="R997" i="2"/>
  <c r="G71" i="2"/>
  <c r="T71" i="2" s="1"/>
  <c r="I71" i="2"/>
  <c r="M71" i="2"/>
  <c r="N71" i="2"/>
  <c r="R71" i="2"/>
  <c r="Q71" i="2"/>
  <c r="H71" i="2"/>
  <c r="H300" i="2"/>
  <c r="R300" i="2"/>
  <c r="I300" i="2"/>
  <c r="G300" i="2"/>
  <c r="M300" i="2"/>
  <c r="N300" i="2"/>
  <c r="Q300" i="2"/>
  <c r="R732" i="2"/>
  <c r="G732" i="2"/>
  <c r="H732" i="2"/>
  <c r="Q732" i="2"/>
  <c r="N732" i="2"/>
  <c r="I732" i="2"/>
  <c r="M732" i="2"/>
  <c r="I782" i="2"/>
  <c r="M782" i="2"/>
  <c r="O782" i="2"/>
  <c r="N782" i="2"/>
  <c r="T782" i="2" s="1"/>
  <c r="P782" i="2"/>
  <c r="Q782" i="2"/>
  <c r="R782" i="2"/>
  <c r="H782" i="2"/>
  <c r="G782" i="2"/>
  <c r="O46" i="2"/>
  <c r="P46" i="2"/>
  <c r="R46" i="2"/>
  <c r="N46" i="2"/>
  <c r="T46" i="2" s="1"/>
  <c r="M46" i="2"/>
  <c r="G46" i="2"/>
  <c r="H46" i="2"/>
  <c r="I46" i="2"/>
  <c r="I822" i="2"/>
  <c r="M822" i="2"/>
  <c r="O822" i="2"/>
  <c r="Q822" i="2"/>
  <c r="R822" i="2"/>
  <c r="G822" i="2"/>
  <c r="H822" i="2"/>
  <c r="N822" i="2"/>
  <c r="T822" i="2" s="1"/>
  <c r="P822" i="2"/>
  <c r="Q114" i="2"/>
  <c r="R114" i="2"/>
  <c r="O114" i="2"/>
  <c r="P114" i="2"/>
  <c r="H114" i="2"/>
  <c r="N114" i="2"/>
  <c r="T114" i="2" s="1"/>
  <c r="G114" i="2"/>
  <c r="I114" i="2"/>
  <c r="M114" i="2"/>
  <c r="I961" i="2"/>
  <c r="T961" i="2" s="1"/>
  <c r="M961" i="2"/>
  <c r="N961" i="2"/>
  <c r="Q961" i="2"/>
  <c r="R961" i="2"/>
  <c r="G961" i="2"/>
  <c r="H961" i="2"/>
  <c r="H460" i="2"/>
  <c r="I460" i="2"/>
  <c r="G460" i="2"/>
  <c r="M460" i="2"/>
  <c r="Q460" i="2"/>
  <c r="R460" i="2"/>
  <c r="N460" i="2"/>
  <c r="I985" i="2"/>
  <c r="T985" i="2" s="1"/>
  <c r="G985" i="2"/>
  <c r="M985" i="2"/>
  <c r="N985" i="2"/>
  <c r="H985" i="2"/>
  <c r="R985" i="2"/>
  <c r="Q985" i="2"/>
  <c r="H496" i="2"/>
  <c r="Q496" i="2"/>
  <c r="R496" i="2"/>
  <c r="G496" i="2"/>
  <c r="I496" i="2"/>
  <c r="M496" i="2"/>
  <c r="N496" i="2"/>
  <c r="I1021" i="2"/>
  <c r="T1021" i="2" s="1"/>
  <c r="Q1021" i="2"/>
  <c r="H1021" i="2"/>
  <c r="N1021" i="2"/>
  <c r="M1021" i="2"/>
  <c r="G1021" i="2"/>
  <c r="R1021" i="2"/>
  <c r="M536" i="2"/>
  <c r="G536" i="2"/>
  <c r="H536" i="2"/>
  <c r="N536" i="2"/>
  <c r="I536" i="2"/>
  <c r="Q536" i="2"/>
  <c r="R536" i="2"/>
  <c r="I1080" i="2"/>
  <c r="N1080" i="2"/>
  <c r="R1080" i="2"/>
  <c r="Q1080" i="2"/>
  <c r="H1080" i="2"/>
  <c r="G1080" i="2"/>
  <c r="I743" i="2"/>
  <c r="H743" i="2"/>
  <c r="G743" i="2"/>
  <c r="T743" i="2" s="1"/>
  <c r="M743" i="2"/>
  <c r="N743" i="2"/>
  <c r="Q743" i="2"/>
  <c r="R743" i="2"/>
  <c r="H348" i="2"/>
  <c r="I348" i="2"/>
  <c r="N348" i="2"/>
  <c r="Q348" i="2"/>
  <c r="M348" i="2"/>
  <c r="G348" i="2"/>
  <c r="R348" i="2"/>
  <c r="R895" i="2"/>
  <c r="N895" i="2"/>
  <c r="Q895" i="2"/>
  <c r="H895" i="2"/>
  <c r="I895" i="2"/>
  <c r="M895" i="2"/>
  <c r="G895" i="2"/>
  <c r="T895" i="2" s="1"/>
  <c r="G517" i="2"/>
  <c r="M517" i="2"/>
  <c r="I517" i="2"/>
  <c r="T517" i="2" s="1"/>
  <c r="Q517" i="2"/>
  <c r="R517" i="2"/>
  <c r="H517" i="2"/>
  <c r="N517" i="2"/>
  <c r="G99" i="2"/>
  <c r="T99" i="2" s="1"/>
  <c r="Q99" i="2"/>
  <c r="H99" i="2"/>
  <c r="I99" i="2"/>
  <c r="M99" i="2"/>
  <c r="N99" i="2"/>
  <c r="R99" i="2"/>
  <c r="M1027" i="2"/>
  <c r="G1027" i="2"/>
  <c r="T1027" i="2" s="1"/>
  <c r="H1027" i="2"/>
  <c r="I1027" i="2"/>
  <c r="R1027" i="2"/>
  <c r="I675" i="2"/>
  <c r="G675" i="2"/>
  <c r="T675" i="2" s="1"/>
  <c r="H675" i="2"/>
  <c r="N675" i="2"/>
  <c r="M675" i="2"/>
  <c r="Q675" i="2"/>
  <c r="R675" i="2"/>
  <c r="H272" i="2"/>
  <c r="R272" i="2"/>
  <c r="I272" i="2"/>
  <c r="Q272" i="2"/>
  <c r="G272" i="2"/>
  <c r="N272" i="2"/>
  <c r="M272" i="2"/>
  <c r="R1155" i="2"/>
  <c r="G1155" i="2"/>
  <c r="T1155" i="2" s="1"/>
  <c r="I1155" i="2"/>
  <c r="R931" i="2"/>
  <c r="Q931" i="2"/>
  <c r="I931" i="2"/>
  <c r="M931" i="2"/>
  <c r="N931" i="2"/>
  <c r="H931" i="2"/>
  <c r="G931" i="2"/>
  <c r="T931" i="2" s="1"/>
  <c r="R660" i="2"/>
  <c r="M660" i="2"/>
  <c r="N660" i="2"/>
  <c r="Q660" i="2"/>
  <c r="H660" i="2"/>
  <c r="G660" i="2"/>
  <c r="I660" i="2"/>
  <c r="Q359" i="2"/>
  <c r="N359" i="2"/>
  <c r="R359" i="2"/>
  <c r="H359" i="2"/>
  <c r="G359" i="2"/>
  <c r="T359" i="2" s="1"/>
  <c r="I359" i="2"/>
  <c r="M359" i="2"/>
  <c r="H30" i="2"/>
  <c r="M30" i="2"/>
  <c r="N30" i="2"/>
  <c r="T30" i="2" s="1"/>
  <c r="O30" i="2"/>
  <c r="I30" i="2"/>
  <c r="R30" i="2"/>
  <c r="G30" i="2"/>
  <c r="P30" i="2"/>
  <c r="I994" i="2"/>
  <c r="O994" i="2"/>
  <c r="H994" i="2"/>
  <c r="M994" i="2"/>
  <c r="Q994" i="2"/>
  <c r="R994" i="2"/>
  <c r="P994" i="2"/>
  <c r="G994" i="2"/>
  <c r="N994" i="2"/>
  <c r="T994" i="2" s="1"/>
  <c r="Q728" i="2"/>
  <c r="H728" i="2"/>
  <c r="I728" i="2"/>
  <c r="M728" i="2"/>
  <c r="N728" i="2"/>
  <c r="G728" i="2"/>
  <c r="R728" i="2"/>
  <c r="Q430" i="2"/>
  <c r="H430" i="2"/>
  <c r="I430" i="2"/>
  <c r="M430" i="2"/>
  <c r="O430" i="2"/>
  <c r="N430" i="2"/>
  <c r="T430" i="2" s="1"/>
  <c r="G430" i="2"/>
  <c r="P430" i="2"/>
  <c r="R430" i="2"/>
  <c r="H120" i="2"/>
  <c r="I120" i="2"/>
  <c r="R120" i="2"/>
  <c r="M120" i="2"/>
  <c r="G120" i="2"/>
  <c r="N120" i="2"/>
  <c r="Q120" i="2"/>
  <c r="P1050" i="2"/>
  <c r="G1050" i="2"/>
  <c r="N1050" i="2"/>
  <c r="T1050" i="2" s="1"/>
  <c r="I1050" i="2"/>
  <c r="R1050" i="2"/>
  <c r="M1050" i="2"/>
  <c r="O1050" i="2"/>
  <c r="Q1050" i="2"/>
  <c r="H1050" i="2"/>
  <c r="G797" i="2"/>
  <c r="I797" i="2"/>
  <c r="T797" i="2" s="1"/>
  <c r="Q797" i="2"/>
  <c r="R797" i="2"/>
  <c r="H797" i="2"/>
  <c r="M797" i="2"/>
  <c r="N797" i="2"/>
  <c r="N505" i="2"/>
  <c r="Q505" i="2"/>
  <c r="R505" i="2"/>
  <c r="M505" i="2"/>
  <c r="G505" i="2"/>
  <c r="H505" i="2"/>
  <c r="I505" i="2"/>
  <c r="T505" i="2" s="1"/>
  <c r="H204" i="2"/>
  <c r="R204" i="2"/>
  <c r="I204" i="2"/>
  <c r="Q204" i="2"/>
  <c r="G204" i="2"/>
  <c r="N204" i="2"/>
  <c r="M204" i="2"/>
  <c r="G626" i="2"/>
  <c r="P626" i="2"/>
  <c r="Q626" i="2"/>
  <c r="R626" i="2"/>
  <c r="H626" i="2"/>
  <c r="I626" i="2"/>
  <c r="M626" i="2"/>
  <c r="N626" i="2"/>
  <c r="T626" i="2" s="1"/>
  <c r="O626" i="2"/>
  <c r="H399" i="2"/>
  <c r="Q399" i="2"/>
  <c r="R399" i="2"/>
  <c r="G399" i="2"/>
  <c r="T399" i="2" s="1"/>
  <c r="M399" i="2"/>
  <c r="I399" i="2"/>
  <c r="N399" i="2"/>
  <c r="N171" i="2"/>
  <c r="R171" i="2"/>
  <c r="I171" i="2"/>
  <c r="M171" i="2"/>
  <c r="G171" i="2"/>
  <c r="T171" i="2" s="1"/>
  <c r="H171" i="2"/>
  <c r="Q171" i="2"/>
  <c r="O1122" i="2"/>
  <c r="R1122" i="2"/>
  <c r="M1122" i="2"/>
  <c r="G1122" i="2"/>
  <c r="P1122" i="2"/>
  <c r="N1122" i="2"/>
  <c r="T1122" i="2" s="1"/>
  <c r="H1122" i="2"/>
  <c r="Q1122" i="2"/>
  <c r="I1122" i="2"/>
  <c r="R924" i="2"/>
  <c r="G924" i="2"/>
  <c r="H924" i="2"/>
  <c r="I924" i="2"/>
  <c r="N924" i="2"/>
  <c r="M924" i="2"/>
  <c r="Q924" i="2"/>
  <c r="N700" i="2"/>
  <c r="Q700" i="2"/>
  <c r="G700" i="2"/>
  <c r="H700" i="2"/>
  <c r="I700" i="2"/>
  <c r="M700" i="2"/>
  <c r="R700" i="2"/>
  <c r="H472" i="2"/>
  <c r="M472" i="2"/>
  <c r="G472" i="2"/>
  <c r="N472" i="2"/>
  <c r="I472" i="2"/>
  <c r="Q472" i="2"/>
  <c r="R472" i="2"/>
  <c r="I247" i="2"/>
  <c r="Q247" i="2"/>
  <c r="R247" i="2"/>
  <c r="H247" i="2"/>
  <c r="M247" i="2"/>
  <c r="G247" i="2"/>
  <c r="T247" i="2" s="1"/>
  <c r="N247" i="2"/>
  <c r="R848" i="2"/>
  <c r="G848" i="2"/>
  <c r="H848" i="2"/>
  <c r="I848" i="2"/>
  <c r="Q848" i="2"/>
  <c r="M848" i="2"/>
  <c r="N848" i="2"/>
  <c r="I623" i="2"/>
  <c r="H623" i="2"/>
  <c r="Q623" i="2"/>
  <c r="R623" i="2"/>
  <c r="G623" i="2"/>
  <c r="T623" i="2" s="1"/>
  <c r="M623" i="2"/>
  <c r="N623" i="2"/>
  <c r="N395" i="2"/>
  <c r="Q395" i="2"/>
  <c r="G395" i="2"/>
  <c r="T395" i="2" s="1"/>
  <c r="H395" i="2"/>
  <c r="M395" i="2"/>
  <c r="R395" i="2"/>
  <c r="I395" i="2"/>
  <c r="Q169" i="2"/>
  <c r="M169" i="2"/>
  <c r="N169" i="2"/>
  <c r="G169" i="2"/>
  <c r="I169" i="2"/>
  <c r="T169" i="2" s="1"/>
  <c r="H169" i="2"/>
  <c r="R169" i="2"/>
  <c r="G1092" i="2"/>
  <c r="M1092" i="2"/>
  <c r="R1092" i="2"/>
  <c r="I1092" i="2"/>
  <c r="N1092" i="2"/>
  <c r="H1092" i="2"/>
  <c r="R919" i="2"/>
  <c r="H919" i="2"/>
  <c r="I919" i="2"/>
  <c r="Q919" i="2"/>
  <c r="G919" i="2"/>
  <c r="T919" i="2" s="1"/>
  <c r="M919" i="2"/>
  <c r="N919" i="2"/>
  <c r="R733" i="2"/>
  <c r="G733" i="2"/>
  <c r="I733" i="2"/>
  <c r="T733" i="2" s="1"/>
  <c r="M733" i="2"/>
  <c r="N733" i="2"/>
  <c r="Q733" i="2"/>
  <c r="H733" i="2"/>
  <c r="G545" i="2"/>
  <c r="H545" i="2"/>
  <c r="M545" i="2"/>
  <c r="I545" i="2"/>
  <c r="T545" i="2" s="1"/>
  <c r="N545" i="2"/>
  <c r="Q545" i="2"/>
  <c r="R545" i="2"/>
  <c r="N355" i="2"/>
  <c r="H355" i="2"/>
  <c r="G355" i="2"/>
  <c r="T355" i="2" s="1"/>
  <c r="M355" i="2"/>
  <c r="I355" i="2"/>
  <c r="Q355" i="2"/>
  <c r="R355" i="2"/>
  <c r="I167" i="2"/>
  <c r="M167" i="2"/>
  <c r="G167" i="2"/>
  <c r="T167" i="2" s="1"/>
  <c r="Q167" i="2"/>
  <c r="H167" i="2"/>
  <c r="N167" i="2"/>
  <c r="R167" i="2"/>
  <c r="I1002" i="2"/>
  <c r="O1002" i="2"/>
  <c r="G1002" i="2"/>
  <c r="H1002" i="2"/>
  <c r="M1002" i="2"/>
  <c r="N1002" i="2"/>
  <c r="T1002" i="2" s="1"/>
  <c r="R1002" i="2"/>
  <c r="P1002" i="2"/>
  <c r="Q1002" i="2"/>
  <c r="R823" i="2"/>
  <c r="H823" i="2"/>
  <c r="I823" i="2"/>
  <c r="M823" i="2"/>
  <c r="N823" i="2"/>
  <c r="Q823" i="2"/>
  <c r="G823" i="2"/>
  <c r="T823" i="2" s="1"/>
  <c r="R636" i="2"/>
  <c r="G636" i="2"/>
  <c r="H636" i="2"/>
  <c r="I636" i="2"/>
  <c r="M636" i="2"/>
  <c r="N636" i="2"/>
  <c r="Q636" i="2"/>
  <c r="Q446" i="2"/>
  <c r="R446" i="2"/>
  <c r="N446" i="2"/>
  <c r="T446" i="2" s="1"/>
  <c r="O446" i="2"/>
  <c r="H446" i="2"/>
  <c r="G446" i="2"/>
  <c r="I446" i="2"/>
  <c r="M446" i="2"/>
  <c r="P446" i="2"/>
  <c r="Q258" i="2"/>
  <c r="M258" i="2"/>
  <c r="N258" i="2"/>
  <c r="T258" i="2" s="1"/>
  <c r="R258" i="2"/>
  <c r="G258" i="2"/>
  <c r="H258" i="2"/>
  <c r="P258" i="2"/>
  <c r="I258" i="2"/>
  <c r="O258" i="2"/>
  <c r="R50" i="2"/>
  <c r="H50" i="2"/>
  <c r="I50" i="2"/>
  <c r="M50" i="2"/>
  <c r="G50" i="2"/>
  <c r="N50" i="2"/>
  <c r="T50" i="2" s="1"/>
  <c r="P50" i="2"/>
  <c r="O50" i="2"/>
  <c r="I1078" i="2"/>
  <c r="M1078" i="2"/>
  <c r="N1078" i="2"/>
  <c r="T1078" i="2" s="1"/>
  <c r="R1078" i="2"/>
  <c r="O1078" i="2"/>
  <c r="G1078" i="2"/>
  <c r="P1078" i="2"/>
  <c r="Q1078" i="2"/>
  <c r="R920" i="2"/>
  <c r="I920" i="2"/>
  <c r="M920" i="2"/>
  <c r="G920" i="2"/>
  <c r="H920" i="2"/>
  <c r="N920" i="2"/>
  <c r="Q920" i="2"/>
  <c r="R763" i="2"/>
  <c r="H763" i="2"/>
  <c r="I763" i="2"/>
  <c r="N763" i="2"/>
  <c r="G763" i="2"/>
  <c r="T763" i="2" s="1"/>
  <c r="M763" i="2"/>
  <c r="Q763" i="2"/>
  <c r="G606" i="2"/>
  <c r="N606" i="2"/>
  <c r="T606" i="2" s="1"/>
  <c r="O606" i="2"/>
  <c r="Q606" i="2"/>
  <c r="P606" i="2"/>
  <c r="R606" i="2"/>
  <c r="H606" i="2"/>
  <c r="I606" i="2"/>
  <c r="M606" i="2"/>
  <c r="N449" i="2"/>
  <c r="R449" i="2"/>
  <c r="G449" i="2"/>
  <c r="I449" i="2"/>
  <c r="T449" i="2" s="1"/>
  <c r="H449" i="2"/>
  <c r="M449" i="2"/>
  <c r="Q449" i="2"/>
  <c r="H292" i="2"/>
  <c r="R292" i="2"/>
  <c r="G292" i="2"/>
  <c r="I292" i="2"/>
  <c r="N292" i="2"/>
  <c r="Q292" i="2"/>
  <c r="M292" i="2"/>
  <c r="H127" i="2"/>
  <c r="I127" i="2"/>
  <c r="N127" i="2"/>
  <c r="M127" i="2"/>
  <c r="Q127" i="2"/>
  <c r="G127" i="2"/>
  <c r="T127" i="2" s="1"/>
  <c r="R127" i="2"/>
  <c r="I802" i="2"/>
  <c r="M802" i="2"/>
  <c r="O802" i="2"/>
  <c r="R802" i="2"/>
  <c r="P802" i="2"/>
  <c r="Q802" i="2"/>
  <c r="N802" i="2"/>
  <c r="T802" i="2" s="1"/>
  <c r="G802" i="2"/>
  <c r="H802" i="2"/>
  <c r="G644" i="2"/>
  <c r="H644" i="2"/>
  <c r="M644" i="2"/>
  <c r="Q644" i="2"/>
  <c r="R644" i="2"/>
  <c r="I644" i="2"/>
  <c r="N644" i="2"/>
  <c r="Q487" i="2"/>
  <c r="N487" i="2"/>
  <c r="R487" i="2"/>
  <c r="G487" i="2"/>
  <c r="T487" i="2" s="1"/>
  <c r="H487" i="2"/>
  <c r="I487" i="2"/>
  <c r="M487" i="2"/>
  <c r="P330" i="2"/>
  <c r="Q330" i="2"/>
  <c r="I330" i="2"/>
  <c r="O330" i="2"/>
  <c r="G330" i="2"/>
  <c r="H330" i="2"/>
  <c r="M330" i="2"/>
  <c r="N330" i="2"/>
  <c r="T330" i="2" s="1"/>
  <c r="R330" i="2"/>
  <c r="I172" i="2"/>
  <c r="R172" i="2"/>
  <c r="G172" i="2"/>
  <c r="H172" i="2"/>
  <c r="M172" i="2"/>
  <c r="N172" i="2"/>
  <c r="Q172" i="2"/>
  <c r="Q151" i="2"/>
  <c r="R151" i="2"/>
  <c r="G151" i="2"/>
  <c r="T151" i="2" s="1"/>
  <c r="H151" i="2"/>
  <c r="M151" i="2"/>
  <c r="N151" i="2"/>
  <c r="I151" i="2"/>
  <c r="H1029" i="2"/>
  <c r="R1029" i="2"/>
  <c r="G1029" i="2"/>
  <c r="M1029" i="2"/>
  <c r="I1029" i="2"/>
  <c r="T1029" i="2" s="1"/>
  <c r="G885" i="2"/>
  <c r="I885" i="2"/>
  <c r="T885" i="2" s="1"/>
  <c r="R885" i="2"/>
  <c r="H885" i="2"/>
  <c r="M885" i="2"/>
  <c r="N885" i="2"/>
  <c r="Q885" i="2"/>
  <c r="R741" i="2"/>
  <c r="M741" i="2"/>
  <c r="N741" i="2"/>
  <c r="H741" i="2"/>
  <c r="I741" i="2"/>
  <c r="T741" i="2" s="1"/>
  <c r="G741" i="2"/>
  <c r="Q741" i="2"/>
  <c r="N597" i="2"/>
  <c r="Q597" i="2"/>
  <c r="M597" i="2"/>
  <c r="R597" i="2"/>
  <c r="G597" i="2"/>
  <c r="I597" i="2"/>
  <c r="T597" i="2" s="1"/>
  <c r="H597" i="2"/>
  <c r="N453" i="2"/>
  <c r="H453" i="2"/>
  <c r="Q453" i="2"/>
  <c r="R453" i="2"/>
  <c r="I453" i="2"/>
  <c r="T453" i="2" s="1"/>
  <c r="G453" i="2"/>
  <c r="M453" i="2"/>
  <c r="N309" i="2"/>
  <c r="I309" i="2"/>
  <c r="T309" i="2" s="1"/>
  <c r="M309" i="2"/>
  <c r="R309" i="2"/>
  <c r="H309" i="2"/>
  <c r="Q309" i="2"/>
  <c r="G309" i="2"/>
  <c r="Q165" i="2"/>
  <c r="R165" i="2"/>
  <c r="G165" i="2"/>
  <c r="M165" i="2"/>
  <c r="H165" i="2"/>
  <c r="N165" i="2"/>
  <c r="I165" i="2"/>
  <c r="T165" i="2" s="1"/>
  <c r="H21" i="2"/>
  <c r="I21" i="2"/>
  <c r="T21" i="2" s="1"/>
  <c r="R21" i="2"/>
  <c r="M21" i="2"/>
  <c r="N21" i="2"/>
  <c r="G21" i="2"/>
  <c r="G44" i="2"/>
  <c r="R44" i="2"/>
  <c r="M44" i="2"/>
  <c r="N44" i="2"/>
  <c r="H44" i="2"/>
  <c r="I44" i="2"/>
  <c r="M1155" i="2"/>
  <c r="R1103" i="2"/>
  <c r="Q1066" i="2"/>
  <c r="N1101" i="2"/>
  <c r="R1117" i="2"/>
  <c r="M1147" i="2"/>
  <c r="G1127" i="2"/>
  <c r="T1127" i="2" s="1"/>
  <c r="I1135" i="2"/>
  <c r="N1119" i="2"/>
  <c r="R1123" i="2"/>
  <c r="H1078" i="2"/>
  <c r="R900" i="2"/>
  <c r="M900" i="2"/>
  <c r="N900" i="2"/>
  <c r="Q900" i="2"/>
  <c r="I900" i="2"/>
  <c r="G900" i="2"/>
  <c r="H900" i="2"/>
  <c r="R908" i="2"/>
  <c r="M908" i="2"/>
  <c r="N908" i="2"/>
  <c r="Q908" i="2"/>
  <c r="H908" i="2"/>
  <c r="G908" i="2"/>
  <c r="I908" i="2"/>
  <c r="I503" i="2"/>
  <c r="R503" i="2"/>
  <c r="Q503" i="2"/>
  <c r="H503" i="2"/>
  <c r="G503" i="2"/>
  <c r="T503" i="2" s="1"/>
  <c r="M503" i="2"/>
  <c r="N503" i="2"/>
  <c r="G726" i="2"/>
  <c r="I726" i="2"/>
  <c r="N726" i="2"/>
  <c r="T726" i="2" s="1"/>
  <c r="O726" i="2"/>
  <c r="P726" i="2"/>
  <c r="Q726" i="2"/>
  <c r="R726" i="2"/>
  <c r="H726" i="2"/>
  <c r="M726" i="2"/>
  <c r="I926" i="2"/>
  <c r="M926" i="2"/>
  <c r="O926" i="2"/>
  <c r="N926" i="2"/>
  <c r="T926" i="2" s="1"/>
  <c r="P926" i="2"/>
  <c r="Q926" i="2"/>
  <c r="R926" i="2"/>
  <c r="G926" i="2"/>
  <c r="H926" i="2"/>
  <c r="N1105" i="2"/>
  <c r="G1105" i="2"/>
  <c r="H1105" i="2"/>
  <c r="Q1105" i="2"/>
  <c r="M1105" i="2"/>
  <c r="I1105" i="2"/>
  <c r="T1105" i="2" s="1"/>
  <c r="N223" i="2"/>
  <c r="M223" i="2"/>
  <c r="Q223" i="2"/>
  <c r="H223" i="2"/>
  <c r="G223" i="2"/>
  <c r="T223" i="2" s="1"/>
  <c r="I223" i="2"/>
  <c r="R223" i="2"/>
  <c r="G674" i="2"/>
  <c r="P674" i="2"/>
  <c r="R674" i="2"/>
  <c r="Q674" i="2"/>
  <c r="O674" i="2"/>
  <c r="H674" i="2"/>
  <c r="M674" i="2"/>
  <c r="N674" i="2"/>
  <c r="T674" i="2" s="1"/>
  <c r="I674" i="2"/>
  <c r="R725" i="2"/>
  <c r="Q725" i="2"/>
  <c r="G725" i="2"/>
  <c r="H725" i="2"/>
  <c r="M725" i="2"/>
  <c r="I725" i="2"/>
  <c r="T725" i="2" s="1"/>
  <c r="N725" i="2"/>
  <c r="R780" i="2"/>
  <c r="G780" i="2"/>
  <c r="H780" i="2"/>
  <c r="I780" i="2"/>
  <c r="N780" i="2"/>
  <c r="M780" i="2"/>
  <c r="Q780" i="2"/>
  <c r="R43" i="2"/>
  <c r="N43" i="2"/>
  <c r="I43" i="2"/>
  <c r="G43" i="2"/>
  <c r="T43" i="2" s="1"/>
  <c r="H43" i="2"/>
  <c r="M43" i="2"/>
  <c r="G925" i="2"/>
  <c r="I925" i="2"/>
  <c r="T925" i="2" s="1"/>
  <c r="M925" i="2"/>
  <c r="N925" i="2"/>
  <c r="Q925" i="2"/>
  <c r="H925" i="2"/>
  <c r="R925" i="2"/>
  <c r="H420" i="2"/>
  <c r="R420" i="2"/>
  <c r="M420" i="2"/>
  <c r="Q420" i="2"/>
  <c r="G420" i="2"/>
  <c r="I420" i="2"/>
  <c r="N420" i="2"/>
  <c r="I954" i="2"/>
  <c r="O954" i="2"/>
  <c r="G954" i="2"/>
  <c r="P954" i="2"/>
  <c r="Q954" i="2"/>
  <c r="R954" i="2"/>
  <c r="H954" i="2"/>
  <c r="N954" i="2"/>
  <c r="T954" i="2" s="1"/>
  <c r="M954" i="2"/>
  <c r="Q450" i="2"/>
  <c r="G450" i="2"/>
  <c r="M450" i="2"/>
  <c r="I450" i="2"/>
  <c r="N450" i="2"/>
  <c r="T450" i="2" s="1"/>
  <c r="P450" i="2"/>
  <c r="O450" i="2"/>
  <c r="R450" i="2"/>
  <c r="H450" i="2"/>
  <c r="R984" i="2"/>
  <c r="N984" i="2"/>
  <c r="Q984" i="2"/>
  <c r="I984" i="2"/>
  <c r="M984" i="2"/>
  <c r="G984" i="2"/>
  <c r="H984" i="2"/>
  <c r="H495" i="2"/>
  <c r="M495" i="2"/>
  <c r="G495" i="2"/>
  <c r="T495" i="2" s="1"/>
  <c r="I495" i="2"/>
  <c r="N495" i="2"/>
  <c r="Q495" i="2"/>
  <c r="R495" i="2"/>
  <c r="I1057" i="2"/>
  <c r="T1057" i="2" s="1"/>
  <c r="Q1057" i="2"/>
  <c r="G1057" i="2"/>
  <c r="R1057" i="2"/>
  <c r="M1057" i="2"/>
  <c r="H1057" i="2"/>
  <c r="N1057" i="2"/>
  <c r="R713" i="2"/>
  <c r="H713" i="2"/>
  <c r="I713" i="2"/>
  <c r="T713" i="2" s="1"/>
  <c r="N713" i="2"/>
  <c r="G713" i="2"/>
  <c r="M713" i="2"/>
  <c r="Q713" i="2"/>
  <c r="P314" i="2"/>
  <c r="Q314" i="2"/>
  <c r="I314" i="2"/>
  <c r="O314" i="2"/>
  <c r="G314" i="2"/>
  <c r="M314" i="2"/>
  <c r="R314" i="2"/>
  <c r="N314" i="2"/>
  <c r="T314" i="2" s="1"/>
  <c r="H314" i="2"/>
  <c r="R860" i="2"/>
  <c r="Q860" i="2"/>
  <c r="G860" i="2"/>
  <c r="H860" i="2"/>
  <c r="I860" i="2"/>
  <c r="M860" i="2"/>
  <c r="N860" i="2"/>
  <c r="Q478" i="2"/>
  <c r="H478" i="2"/>
  <c r="N478" i="2"/>
  <c r="T478" i="2" s="1"/>
  <c r="G478" i="2"/>
  <c r="I478" i="2"/>
  <c r="M478" i="2"/>
  <c r="O478" i="2"/>
  <c r="P478" i="2"/>
  <c r="R478" i="2"/>
  <c r="I53" i="2"/>
  <c r="T53" i="2" s="1"/>
  <c r="M53" i="2"/>
  <c r="N53" i="2"/>
  <c r="H53" i="2"/>
  <c r="R53" i="2"/>
  <c r="G53" i="2"/>
  <c r="R1000" i="2"/>
  <c r="G1000" i="2"/>
  <c r="H1000" i="2"/>
  <c r="M1000" i="2"/>
  <c r="N1000" i="2"/>
  <c r="I1000" i="2"/>
  <c r="Q1000" i="2"/>
  <c r="I647" i="2"/>
  <c r="H647" i="2"/>
  <c r="G647" i="2"/>
  <c r="T647" i="2" s="1"/>
  <c r="M647" i="2"/>
  <c r="N647" i="2"/>
  <c r="Q647" i="2"/>
  <c r="R647" i="2"/>
  <c r="N241" i="2"/>
  <c r="G241" i="2"/>
  <c r="R241" i="2"/>
  <c r="Q241" i="2"/>
  <c r="H241" i="2"/>
  <c r="I241" i="2"/>
  <c r="T241" i="2" s="1"/>
  <c r="M241" i="2"/>
  <c r="I1139" i="2"/>
  <c r="Q1139" i="2"/>
  <c r="H1139" i="2"/>
  <c r="N1139" i="2"/>
  <c r="R912" i="2"/>
  <c r="G912" i="2"/>
  <c r="H912" i="2"/>
  <c r="M912" i="2"/>
  <c r="N912" i="2"/>
  <c r="Q912" i="2"/>
  <c r="I912" i="2"/>
  <c r="I635" i="2"/>
  <c r="R635" i="2"/>
  <c r="Q635" i="2"/>
  <c r="H635" i="2"/>
  <c r="N635" i="2"/>
  <c r="M635" i="2"/>
  <c r="G635" i="2"/>
  <c r="T635" i="2" s="1"/>
  <c r="Q334" i="2"/>
  <c r="P334" i="2"/>
  <c r="R334" i="2"/>
  <c r="M334" i="2"/>
  <c r="N334" i="2"/>
  <c r="T334" i="2" s="1"/>
  <c r="O334" i="2"/>
  <c r="H334" i="2"/>
  <c r="I334" i="2"/>
  <c r="G334" i="2"/>
  <c r="N4" i="2"/>
  <c r="H4" i="2"/>
  <c r="G4" i="2"/>
  <c r="I4" i="2"/>
  <c r="M4" i="2"/>
  <c r="R4" i="2"/>
  <c r="I970" i="2"/>
  <c r="O970" i="2"/>
  <c r="P970" i="2"/>
  <c r="Q970" i="2"/>
  <c r="N970" i="2"/>
  <c r="T970" i="2" s="1"/>
  <c r="G970" i="2"/>
  <c r="H970" i="2"/>
  <c r="M970" i="2"/>
  <c r="R970" i="2"/>
  <c r="I707" i="2"/>
  <c r="R707" i="2"/>
  <c r="G707" i="2"/>
  <c r="T707" i="2" s="1"/>
  <c r="H707" i="2"/>
  <c r="M707" i="2"/>
  <c r="N707" i="2"/>
  <c r="Q707" i="2"/>
  <c r="Q407" i="2"/>
  <c r="R407" i="2"/>
  <c r="G407" i="2"/>
  <c r="T407" i="2" s="1"/>
  <c r="H407" i="2"/>
  <c r="M407" i="2"/>
  <c r="N407" i="2"/>
  <c r="I407" i="2"/>
  <c r="G91" i="2"/>
  <c r="T91" i="2" s="1"/>
  <c r="M91" i="2"/>
  <c r="I91" i="2"/>
  <c r="N91" i="2"/>
  <c r="Q91" i="2"/>
  <c r="H91" i="2"/>
  <c r="R91" i="2"/>
  <c r="R1032" i="2"/>
  <c r="G1032" i="2"/>
  <c r="M1032" i="2"/>
  <c r="H1032" i="2"/>
  <c r="T1032" i="2" s="1"/>
  <c r="I1032" i="2"/>
  <c r="R771" i="2"/>
  <c r="M771" i="2"/>
  <c r="N771" i="2"/>
  <c r="Q771" i="2"/>
  <c r="I771" i="2"/>
  <c r="G771" i="2"/>
  <c r="T771" i="2" s="1"/>
  <c r="H771" i="2"/>
  <c r="N481" i="2"/>
  <c r="H481" i="2"/>
  <c r="G481" i="2"/>
  <c r="Q481" i="2"/>
  <c r="R481" i="2"/>
  <c r="I481" i="2"/>
  <c r="T481" i="2" s="1"/>
  <c r="M481" i="2"/>
  <c r="R179" i="2"/>
  <c r="G179" i="2"/>
  <c r="T179" i="2" s="1"/>
  <c r="H179" i="2"/>
  <c r="M179" i="2"/>
  <c r="I179" i="2"/>
  <c r="N179" i="2"/>
  <c r="Q179" i="2"/>
  <c r="G607" i="2"/>
  <c r="T607" i="2" s="1"/>
  <c r="M607" i="2"/>
  <c r="H607" i="2"/>
  <c r="I607" i="2"/>
  <c r="N607" i="2"/>
  <c r="R607" i="2"/>
  <c r="Q607" i="2"/>
  <c r="Q379" i="2"/>
  <c r="R379" i="2"/>
  <c r="G379" i="2"/>
  <c r="T379" i="2" s="1"/>
  <c r="I379" i="2"/>
  <c r="H379" i="2"/>
  <c r="M379" i="2"/>
  <c r="N379" i="2"/>
  <c r="R150" i="2"/>
  <c r="I150" i="2"/>
  <c r="M150" i="2"/>
  <c r="H150" i="2"/>
  <c r="P150" i="2"/>
  <c r="G150" i="2"/>
  <c r="N150" i="2"/>
  <c r="T150" i="2" s="1"/>
  <c r="Q150" i="2"/>
  <c r="O150" i="2"/>
  <c r="R1107" i="2"/>
  <c r="I1107" i="2"/>
  <c r="G1107" i="2"/>
  <c r="T1107" i="2" s="1"/>
  <c r="I906" i="2"/>
  <c r="M906" i="2"/>
  <c r="O906" i="2"/>
  <c r="N906" i="2"/>
  <c r="T906" i="2" s="1"/>
  <c r="P906" i="2"/>
  <c r="Q906" i="2"/>
  <c r="R906" i="2"/>
  <c r="H906" i="2"/>
  <c r="G906" i="2"/>
  <c r="I679" i="2"/>
  <c r="M679" i="2"/>
  <c r="N679" i="2"/>
  <c r="H679" i="2"/>
  <c r="G679" i="2"/>
  <c r="T679" i="2" s="1"/>
  <c r="Q679" i="2"/>
  <c r="R679" i="2"/>
  <c r="Q455" i="2"/>
  <c r="H455" i="2"/>
  <c r="I455" i="2"/>
  <c r="N455" i="2"/>
  <c r="M455" i="2"/>
  <c r="G455" i="2"/>
  <c r="T455" i="2" s="1"/>
  <c r="R455" i="2"/>
  <c r="N229" i="2"/>
  <c r="I229" i="2"/>
  <c r="T229" i="2" s="1"/>
  <c r="M229" i="2"/>
  <c r="G229" i="2"/>
  <c r="R229" i="2"/>
  <c r="Q229" i="2"/>
  <c r="H229" i="2"/>
  <c r="R831" i="2"/>
  <c r="G831" i="2"/>
  <c r="T831" i="2" s="1"/>
  <c r="H831" i="2"/>
  <c r="M831" i="2"/>
  <c r="N831" i="2"/>
  <c r="I831" i="2"/>
  <c r="Q831" i="2"/>
  <c r="G602" i="2"/>
  <c r="H602" i="2"/>
  <c r="M602" i="2"/>
  <c r="R602" i="2"/>
  <c r="I602" i="2"/>
  <c r="N602" i="2"/>
  <c r="T602" i="2" s="1"/>
  <c r="O602" i="2"/>
  <c r="P602" i="2"/>
  <c r="Q602" i="2"/>
  <c r="N377" i="2"/>
  <c r="I377" i="2"/>
  <c r="T377" i="2" s="1"/>
  <c r="G377" i="2"/>
  <c r="R377" i="2"/>
  <c r="H377" i="2"/>
  <c r="M377" i="2"/>
  <c r="Q377" i="2"/>
  <c r="I147" i="2"/>
  <c r="M147" i="2"/>
  <c r="G147" i="2"/>
  <c r="T147" i="2" s="1"/>
  <c r="R147" i="2"/>
  <c r="H147" i="2"/>
  <c r="N147" i="2"/>
  <c r="Q147" i="2"/>
  <c r="R1076" i="2"/>
  <c r="M1076" i="2"/>
  <c r="Q1076" i="2"/>
  <c r="I1076" i="2"/>
  <c r="G1076" i="2"/>
  <c r="N1076" i="2"/>
  <c r="H1076" i="2"/>
  <c r="G905" i="2"/>
  <c r="I905" i="2"/>
  <c r="T905" i="2" s="1"/>
  <c r="N905" i="2"/>
  <c r="Q905" i="2"/>
  <c r="R905" i="2"/>
  <c r="M905" i="2"/>
  <c r="H905" i="2"/>
  <c r="Q718" i="2"/>
  <c r="R718" i="2"/>
  <c r="G718" i="2"/>
  <c r="H718" i="2"/>
  <c r="I718" i="2"/>
  <c r="P718" i="2"/>
  <c r="M718" i="2"/>
  <c r="N718" i="2"/>
  <c r="T718" i="2" s="1"/>
  <c r="O718" i="2"/>
  <c r="G530" i="2"/>
  <c r="H530" i="2"/>
  <c r="M530" i="2"/>
  <c r="N530" i="2"/>
  <c r="T530" i="2" s="1"/>
  <c r="I530" i="2"/>
  <c r="O530" i="2"/>
  <c r="P530" i="2"/>
  <c r="Q530" i="2"/>
  <c r="R530" i="2"/>
  <c r="H340" i="2"/>
  <c r="R340" i="2"/>
  <c r="I340" i="2"/>
  <c r="Q340" i="2"/>
  <c r="G340" i="2"/>
  <c r="M340" i="2"/>
  <c r="N340" i="2"/>
  <c r="H148" i="2"/>
  <c r="I148" i="2"/>
  <c r="Q148" i="2"/>
  <c r="R148" i="2"/>
  <c r="N148" i="2"/>
  <c r="G148" i="2"/>
  <c r="M148" i="2"/>
  <c r="R988" i="2"/>
  <c r="G988" i="2"/>
  <c r="H988" i="2"/>
  <c r="N988" i="2"/>
  <c r="Q988" i="2"/>
  <c r="M988" i="2"/>
  <c r="I988" i="2"/>
  <c r="R808" i="2"/>
  <c r="H808" i="2"/>
  <c r="I808" i="2"/>
  <c r="M808" i="2"/>
  <c r="N808" i="2"/>
  <c r="G808" i="2"/>
  <c r="Q808" i="2"/>
  <c r="M620" i="2"/>
  <c r="G620" i="2"/>
  <c r="H620" i="2"/>
  <c r="N620" i="2"/>
  <c r="I620" i="2"/>
  <c r="Q620" i="2"/>
  <c r="R620" i="2"/>
  <c r="H431" i="2"/>
  <c r="M431" i="2"/>
  <c r="R431" i="2"/>
  <c r="N431" i="2"/>
  <c r="Q431" i="2"/>
  <c r="G431" i="2"/>
  <c r="T431" i="2" s="1"/>
  <c r="I431" i="2"/>
  <c r="Q243" i="2"/>
  <c r="R243" i="2"/>
  <c r="G243" i="2"/>
  <c r="T243" i="2" s="1"/>
  <c r="H243" i="2"/>
  <c r="I243" i="2"/>
  <c r="M243" i="2"/>
  <c r="N243" i="2"/>
  <c r="R29" i="2"/>
  <c r="N29" i="2"/>
  <c r="H29" i="2"/>
  <c r="G29" i="2"/>
  <c r="I29" i="2"/>
  <c r="T29" i="2" s="1"/>
  <c r="M29" i="2"/>
  <c r="Q1064" i="2"/>
  <c r="M1064" i="2"/>
  <c r="N1064" i="2"/>
  <c r="I1064" i="2"/>
  <c r="H1064" i="2"/>
  <c r="G1064" i="2"/>
  <c r="R907" i="2"/>
  <c r="H907" i="2"/>
  <c r="I907" i="2"/>
  <c r="N907" i="2"/>
  <c r="M907" i="2"/>
  <c r="G907" i="2"/>
  <c r="T907" i="2" s="1"/>
  <c r="Q907" i="2"/>
  <c r="G750" i="2"/>
  <c r="I750" i="2"/>
  <c r="H750" i="2"/>
  <c r="O750" i="2"/>
  <c r="Q750" i="2"/>
  <c r="P750" i="2"/>
  <c r="R750" i="2"/>
  <c r="N750" i="2"/>
  <c r="T750" i="2" s="1"/>
  <c r="M750" i="2"/>
  <c r="G593" i="2"/>
  <c r="H593" i="2"/>
  <c r="M593" i="2"/>
  <c r="Q593" i="2"/>
  <c r="R593" i="2"/>
  <c r="I593" i="2"/>
  <c r="T593" i="2" s="1"/>
  <c r="N593" i="2"/>
  <c r="H436" i="2"/>
  <c r="R436" i="2"/>
  <c r="M436" i="2"/>
  <c r="G436" i="2"/>
  <c r="Q436" i="2"/>
  <c r="I436" i="2"/>
  <c r="N436" i="2"/>
  <c r="I279" i="2"/>
  <c r="H279" i="2"/>
  <c r="G279" i="2"/>
  <c r="T279" i="2" s="1"/>
  <c r="R279" i="2"/>
  <c r="Q279" i="2"/>
  <c r="N279" i="2"/>
  <c r="M279" i="2"/>
  <c r="H112" i="2"/>
  <c r="I112" i="2"/>
  <c r="N112" i="2"/>
  <c r="Q112" i="2"/>
  <c r="M112" i="2"/>
  <c r="R112" i="2"/>
  <c r="G112" i="2"/>
  <c r="R788" i="2"/>
  <c r="G788" i="2"/>
  <c r="I788" i="2"/>
  <c r="M788" i="2"/>
  <c r="H788" i="2"/>
  <c r="N788" i="2"/>
  <c r="Q788" i="2"/>
  <c r="I631" i="2"/>
  <c r="M631" i="2"/>
  <c r="N631" i="2"/>
  <c r="G631" i="2"/>
  <c r="T631" i="2" s="1"/>
  <c r="H631" i="2"/>
  <c r="Q631" i="2"/>
  <c r="R631" i="2"/>
  <c r="Q474" i="2"/>
  <c r="P474" i="2"/>
  <c r="H474" i="2"/>
  <c r="I474" i="2"/>
  <c r="M474" i="2"/>
  <c r="N474" i="2"/>
  <c r="T474" i="2" s="1"/>
  <c r="O474" i="2"/>
  <c r="R474" i="2"/>
  <c r="G474" i="2"/>
  <c r="M317" i="2"/>
  <c r="N317" i="2"/>
  <c r="R317" i="2"/>
  <c r="H317" i="2"/>
  <c r="G317" i="2"/>
  <c r="Q317" i="2"/>
  <c r="I317" i="2"/>
  <c r="T317" i="2" s="1"/>
  <c r="R158" i="2"/>
  <c r="P158" i="2"/>
  <c r="Q158" i="2"/>
  <c r="N158" i="2"/>
  <c r="T158" i="2" s="1"/>
  <c r="G158" i="2"/>
  <c r="I158" i="2"/>
  <c r="H158" i="2"/>
  <c r="M158" i="2"/>
  <c r="O158" i="2"/>
  <c r="N137" i="2"/>
  <c r="R137" i="2"/>
  <c r="M137" i="2"/>
  <c r="Q137" i="2"/>
  <c r="G137" i="2"/>
  <c r="H137" i="2"/>
  <c r="I137" i="2"/>
  <c r="T137" i="2" s="1"/>
  <c r="I1017" i="2"/>
  <c r="T1017" i="2" s="1"/>
  <c r="G1017" i="2"/>
  <c r="H1017" i="2"/>
  <c r="N1017" i="2"/>
  <c r="M1017" i="2"/>
  <c r="Q1017" i="2"/>
  <c r="R1017" i="2"/>
  <c r="G873" i="2"/>
  <c r="I873" i="2"/>
  <c r="T873" i="2" s="1"/>
  <c r="R873" i="2"/>
  <c r="N873" i="2"/>
  <c r="H873" i="2"/>
  <c r="M873" i="2"/>
  <c r="Q873" i="2"/>
  <c r="R729" i="2"/>
  <c r="G729" i="2"/>
  <c r="Q729" i="2"/>
  <c r="I729" i="2"/>
  <c r="T729" i="2" s="1"/>
  <c r="H729" i="2"/>
  <c r="M729" i="2"/>
  <c r="N729" i="2"/>
  <c r="N585" i="2"/>
  <c r="Q585" i="2"/>
  <c r="G585" i="2"/>
  <c r="H585" i="2"/>
  <c r="I585" i="2"/>
  <c r="T585" i="2" s="1"/>
  <c r="M585" i="2"/>
  <c r="R585" i="2"/>
  <c r="N441" i="2"/>
  <c r="I441" i="2"/>
  <c r="T441" i="2" s="1"/>
  <c r="G441" i="2"/>
  <c r="H441" i="2"/>
  <c r="M441" i="2"/>
  <c r="Q441" i="2"/>
  <c r="R441" i="2"/>
  <c r="N297" i="2"/>
  <c r="Q297" i="2"/>
  <c r="R297" i="2"/>
  <c r="G297" i="2"/>
  <c r="I297" i="2"/>
  <c r="T297" i="2" s="1"/>
  <c r="H297" i="2"/>
  <c r="M297" i="2"/>
  <c r="H153" i="2"/>
  <c r="I153" i="2"/>
  <c r="T153" i="2" s="1"/>
  <c r="R153" i="2"/>
  <c r="G153" i="2"/>
  <c r="M153" i="2"/>
  <c r="N153" i="2"/>
  <c r="Q153" i="2"/>
  <c r="N9" i="2"/>
  <c r="R9" i="2"/>
  <c r="I9" i="2"/>
  <c r="T9" i="2" s="1"/>
  <c r="G9" i="2"/>
  <c r="M9" i="2"/>
  <c r="H9" i="2"/>
  <c r="I176" i="2"/>
  <c r="N176" i="2"/>
  <c r="Q176" i="2"/>
  <c r="R176" i="2"/>
  <c r="H176" i="2"/>
  <c r="M176" i="2"/>
  <c r="G176" i="2"/>
  <c r="R32" i="2"/>
  <c r="G32" i="2"/>
  <c r="H32" i="2"/>
  <c r="I32" i="2"/>
  <c r="M32" i="2"/>
  <c r="N32" i="2"/>
  <c r="R1115" i="2"/>
  <c r="N1113" i="2"/>
  <c r="M1049" i="2"/>
  <c r="H1154" i="2"/>
  <c r="G1139" i="2"/>
  <c r="T1139" i="2" s="1"/>
  <c r="I1147" i="2"/>
  <c r="R1135" i="2"/>
  <c r="N1077" i="2"/>
  <c r="I998" i="2"/>
  <c r="O998" i="2"/>
  <c r="N998" i="2"/>
  <c r="T998" i="2" s="1"/>
  <c r="P998" i="2"/>
  <c r="R998" i="2"/>
  <c r="G998" i="2"/>
  <c r="M998" i="2"/>
  <c r="Q998" i="2"/>
  <c r="H998" i="2"/>
  <c r="I1018" i="2"/>
  <c r="O1018" i="2"/>
  <c r="P1018" i="2"/>
  <c r="Q1018" i="2"/>
  <c r="G1018" i="2"/>
  <c r="H1018" i="2"/>
  <c r="M1018" i="2"/>
  <c r="N1018" i="2"/>
  <c r="T1018" i="2" s="1"/>
  <c r="R1018" i="2"/>
  <c r="N421" i="2"/>
  <c r="R421" i="2"/>
  <c r="H421" i="2"/>
  <c r="I421" i="2"/>
  <c r="T421" i="2" s="1"/>
  <c r="M421" i="2"/>
  <c r="G421" i="2"/>
  <c r="Q421" i="2"/>
  <c r="G650" i="2"/>
  <c r="I650" i="2"/>
  <c r="H650" i="2"/>
  <c r="M650" i="2"/>
  <c r="N650" i="2"/>
  <c r="T650" i="2" s="1"/>
  <c r="Q650" i="2"/>
  <c r="R650" i="2"/>
  <c r="O650" i="2"/>
  <c r="P650" i="2"/>
  <c r="G853" i="2"/>
  <c r="I853" i="2"/>
  <c r="T853" i="2" s="1"/>
  <c r="M853" i="2"/>
  <c r="H853" i="2"/>
  <c r="N853" i="2"/>
  <c r="R853" i="2"/>
  <c r="Q853" i="2"/>
  <c r="N1046" i="2"/>
  <c r="T1046" i="2" s="1"/>
  <c r="I1046" i="2"/>
  <c r="P1046" i="2"/>
  <c r="M1046" i="2"/>
  <c r="Q1046" i="2"/>
  <c r="G1046" i="2"/>
  <c r="H1046" i="2"/>
  <c r="M157" i="2"/>
  <c r="N157" i="2"/>
  <c r="I157" i="2"/>
  <c r="T157" i="2" s="1"/>
  <c r="R157" i="2"/>
  <c r="H157" i="2"/>
  <c r="Q157" i="2"/>
  <c r="G157" i="2"/>
  <c r="M616" i="2"/>
  <c r="G616" i="2"/>
  <c r="H616" i="2"/>
  <c r="I616" i="2"/>
  <c r="N616" i="2"/>
  <c r="Q616" i="2"/>
  <c r="R616" i="2"/>
  <c r="R665" i="2"/>
  <c r="H665" i="2"/>
  <c r="I665" i="2"/>
  <c r="T665" i="2" s="1"/>
  <c r="N665" i="2"/>
  <c r="G665" i="2"/>
  <c r="M665" i="2"/>
  <c r="Q665" i="2"/>
  <c r="R721" i="2"/>
  <c r="H721" i="2"/>
  <c r="I721" i="2"/>
  <c r="T721" i="2" s="1"/>
  <c r="M721" i="2"/>
  <c r="N721" i="2"/>
  <c r="G721" i="2"/>
  <c r="Q721" i="2"/>
  <c r="R879" i="2"/>
  <c r="G879" i="2"/>
  <c r="T879" i="2" s="1"/>
  <c r="H879" i="2"/>
  <c r="M879" i="2"/>
  <c r="N879" i="2"/>
  <c r="I879" i="2"/>
  <c r="Q879" i="2"/>
  <c r="Q366" i="2"/>
  <c r="H366" i="2"/>
  <c r="G366" i="2"/>
  <c r="I366" i="2"/>
  <c r="M366" i="2"/>
  <c r="O366" i="2"/>
  <c r="N366" i="2"/>
  <c r="T366" i="2" s="1"/>
  <c r="P366" i="2"/>
  <c r="R366" i="2"/>
  <c r="I914" i="2"/>
  <c r="M914" i="2"/>
  <c r="O914" i="2"/>
  <c r="G914" i="2"/>
  <c r="H914" i="2"/>
  <c r="N914" i="2"/>
  <c r="T914" i="2" s="1"/>
  <c r="P914" i="2"/>
  <c r="R914" i="2"/>
  <c r="Q914" i="2"/>
  <c r="Q402" i="2"/>
  <c r="G402" i="2"/>
  <c r="H402" i="2"/>
  <c r="M402" i="2"/>
  <c r="I402" i="2"/>
  <c r="N402" i="2"/>
  <c r="T402" i="2" s="1"/>
  <c r="O402" i="2"/>
  <c r="P402" i="2"/>
  <c r="R402" i="2"/>
  <c r="I953" i="2"/>
  <c r="T953" i="2" s="1"/>
  <c r="R953" i="2"/>
  <c r="G953" i="2"/>
  <c r="H953" i="2"/>
  <c r="M953" i="2"/>
  <c r="N953" i="2"/>
  <c r="Q953" i="2"/>
  <c r="H447" i="2"/>
  <c r="M447" i="2"/>
  <c r="G447" i="2"/>
  <c r="T447" i="2" s="1"/>
  <c r="Q447" i="2"/>
  <c r="R447" i="2"/>
  <c r="I447" i="2"/>
  <c r="N447" i="2"/>
  <c r="I1030" i="2"/>
  <c r="P1030" i="2"/>
  <c r="N1030" i="2"/>
  <c r="T1030" i="2" s="1"/>
  <c r="R1030" i="2"/>
  <c r="G1030" i="2"/>
  <c r="M1030" i="2"/>
  <c r="Q1030" i="2"/>
  <c r="H1030" i="2"/>
  <c r="O1030" i="2"/>
  <c r="R677" i="2"/>
  <c r="Q677" i="2"/>
  <c r="G677" i="2"/>
  <c r="H677" i="2"/>
  <c r="M677" i="2"/>
  <c r="N677" i="2"/>
  <c r="I677" i="2"/>
  <c r="T677" i="2" s="1"/>
  <c r="H276" i="2"/>
  <c r="I276" i="2"/>
  <c r="Q276" i="2"/>
  <c r="G276" i="2"/>
  <c r="N276" i="2"/>
  <c r="R276" i="2"/>
  <c r="M276" i="2"/>
  <c r="N1145" i="2"/>
  <c r="G1145" i="2"/>
  <c r="H1145" i="2"/>
  <c r="Q1145" i="2"/>
  <c r="I1145" i="2"/>
  <c r="T1145" i="2" s="1"/>
  <c r="R1145" i="2"/>
  <c r="G833" i="2"/>
  <c r="I833" i="2"/>
  <c r="T833" i="2" s="1"/>
  <c r="H833" i="2"/>
  <c r="M833" i="2"/>
  <c r="N833" i="2"/>
  <c r="R833" i="2"/>
  <c r="Q833" i="2"/>
  <c r="H444" i="2"/>
  <c r="I444" i="2"/>
  <c r="M444" i="2"/>
  <c r="Q444" i="2"/>
  <c r="R444" i="2"/>
  <c r="G444" i="2"/>
  <c r="N444" i="2"/>
  <c r="N19" i="2"/>
  <c r="G19" i="2"/>
  <c r="T19" i="2" s="1"/>
  <c r="H19" i="2"/>
  <c r="R19" i="2"/>
  <c r="I19" i="2"/>
  <c r="M19" i="2"/>
  <c r="R976" i="2"/>
  <c r="Q976" i="2"/>
  <c r="G976" i="2"/>
  <c r="M976" i="2"/>
  <c r="H976" i="2"/>
  <c r="I976" i="2"/>
  <c r="N976" i="2"/>
  <c r="R613" i="2"/>
  <c r="G613" i="2"/>
  <c r="Q613" i="2"/>
  <c r="H613" i="2"/>
  <c r="M613" i="2"/>
  <c r="I613" i="2"/>
  <c r="T613" i="2" s="1"/>
  <c r="N613" i="2"/>
  <c r="Q211" i="2"/>
  <c r="R211" i="2"/>
  <c r="M211" i="2"/>
  <c r="N211" i="2"/>
  <c r="I211" i="2"/>
  <c r="G211" i="2"/>
  <c r="T211" i="2" s="1"/>
  <c r="H211" i="2"/>
  <c r="N1121" i="2"/>
  <c r="R1121" i="2"/>
  <c r="G1121" i="2"/>
  <c r="I1121" i="2"/>
  <c r="T1121" i="2" s="1"/>
  <c r="H1121" i="2"/>
  <c r="Q1121" i="2"/>
  <c r="R891" i="2"/>
  <c r="G891" i="2"/>
  <c r="T891" i="2" s="1"/>
  <c r="H891" i="2"/>
  <c r="N891" i="2"/>
  <c r="I891" i="2"/>
  <c r="M891" i="2"/>
  <c r="Q891" i="2"/>
  <c r="M612" i="2"/>
  <c r="R612" i="2"/>
  <c r="N612" i="2"/>
  <c r="Q612" i="2"/>
  <c r="G612" i="2"/>
  <c r="H612" i="2"/>
  <c r="I612" i="2"/>
  <c r="H311" i="2"/>
  <c r="N311" i="2"/>
  <c r="I311" i="2"/>
  <c r="M311" i="2"/>
  <c r="G311" i="2"/>
  <c r="T311" i="2" s="1"/>
  <c r="Q311" i="2"/>
  <c r="R311" i="2"/>
  <c r="R951" i="2"/>
  <c r="G951" i="2"/>
  <c r="T951" i="2" s="1"/>
  <c r="M951" i="2"/>
  <c r="H951" i="2"/>
  <c r="I951" i="2"/>
  <c r="N951" i="2"/>
  <c r="Q951" i="2"/>
  <c r="M686" i="2"/>
  <c r="N686" i="2"/>
  <c r="T686" i="2" s="1"/>
  <c r="P686" i="2"/>
  <c r="O686" i="2"/>
  <c r="I686" i="2"/>
  <c r="G686" i="2"/>
  <c r="H686" i="2"/>
  <c r="Q686" i="2"/>
  <c r="R686" i="2"/>
  <c r="Q382" i="2"/>
  <c r="R382" i="2"/>
  <c r="H382" i="2"/>
  <c r="N382" i="2"/>
  <c r="T382" i="2" s="1"/>
  <c r="O382" i="2"/>
  <c r="P382" i="2"/>
  <c r="M382" i="2"/>
  <c r="G382" i="2"/>
  <c r="I382" i="2"/>
  <c r="R62" i="2"/>
  <c r="H62" i="2"/>
  <c r="I62" i="2"/>
  <c r="M62" i="2"/>
  <c r="N62" i="2"/>
  <c r="T62" i="2" s="1"/>
  <c r="G62" i="2"/>
  <c r="O62" i="2"/>
  <c r="P62" i="2"/>
  <c r="R1011" i="2"/>
  <c r="G1011" i="2"/>
  <c r="T1011" i="2" s="1"/>
  <c r="I1011" i="2"/>
  <c r="M1011" i="2"/>
  <c r="Q1011" i="2"/>
  <c r="H1011" i="2"/>
  <c r="N1011" i="2"/>
  <c r="I751" i="2"/>
  <c r="M751" i="2"/>
  <c r="N751" i="2"/>
  <c r="H751" i="2"/>
  <c r="Q751" i="2"/>
  <c r="R751" i="2"/>
  <c r="G751" i="2"/>
  <c r="T751" i="2" s="1"/>
  <c r="N457" i="2"/>
  <c r="I457" i="2"/>
  <c r="T457" i="2" s="1"/>
  <c r="R457" i="2"/>
  <c r="M457" i="2"/>
  <c r="Q457" i="2"/>
  <c r="G457" i="2"/>
  <c r="H457" i="2"/>
  <c r="R154" i="2"/>
  <c r="N154" i="2"/>
  <c r="T154" i="2" s="1"/>
  <c r="O154" i="2"/>
  <c r="G154" i="2"/>
  <c r="H154" i="2"/>
  <c r="M154" i="2"/>
  <c r="Q154" i="2"/>
  <c r="I154" i="2"/>
  <c r="P154" i="2"/>
  <c r="G587" i="2"/>
  <c r="T587" i="2" s="1"/>
  <c r="M587" i="2"/>
  <c r="H587" i="2"/>
  <c r="N587" i="2"/>
  <c r="I587" i="2"/>
  <c r="R587" i="2"/>
  <c r="Q587" i="2"/>
  <c r="Q362" i="2"/>
  <c r="P362" i="2"/>
  <c r="O362" i="2"/>
  <c r="H362" i="2"/>
  <c r="G362" i="2"/>
  <c r="I362" i="2"/>
  <c r="M362" i="2"/>
  <c r="N362" i="2"/>
  <c r="T362" i="2" s="1"/>
  <c r="R362" i="2"/>
  <c r="Q130" i="2"/>
  <c r="R130" i="2"/>
  <c r="H130" i="2"/>
  <c r="I130" i="2"/>
  <c r="N130" i="2"/>
  <c r="T130" i="2" s="1"/>
  <c r="G130" i="2"/>
  <c r="M130" i="2"/>
  <c r="O130" i="2"/>
  <c r="P130" i="2"/>
  <c r="O1090" i="2"/>
  <c r="G1090" i="2"/>
  <c r="H1090" i="2"/>
  <c r="R1090" i="2"/>
  <c r="I1090" i="2"/>
  <c r="Q1090" i="2"/>
  <c r="N1090" i="2"/>
  <c r="T1090" i="2" s="1"/>
  <c r="R888" i="2"/>
  <c r="Q888" i="2"/>
  <c r="H888" i="2"/>
  <c r="M888" i="2"/>
  <c r="I888" i="2"/>
  <c r="N888" i="2"/>
  <c r="G888" i="2"/>
  <c r="M662" i="2"/>
  <c r="N662" i="2"/>
  <c r="T662" i="2" s="1"/>
  <c r="P662" i="2"/>
  <c r="H662" i="2"/>
  <c r="I662" i="2"/>
  <c r="O662" i="2"/>
  <c r="Q662" i="2"/>
  <c r="R662" i="2"/>
  <c r="G662" i="2"/>
  <c r="N437" i="2"/>
  <c r="R437" i="2"/>
  <c r="M437" i="2"/>
  <c r="Q437" i="2"/>
  <c r="G437" i="2"/>
  <c r="H437" i="2"/>
  <c r="I437" i="2"/>
  <c r="T437" i="2" s="1"/>
  <c r="H208" i="2"/>
  <c r="R208" i="2"/>
  <c r="I208" i="2"/>
  <c r="Q208" i="2"/>
  <c r="G208" i="2"/>
  <c r="M208" i="2"/>
  <c r="N208" i="2"/>
  <c r="H1024" i="2"/>
  <c r="T1024" i="2" s="1"/>
  <c r="I1024" i="2"/>
  <c r="N1024" i="2"/>
  <c r="R1024" i="2"/>
  <c r="M1024" i="2"/>
  <c r="G1024" i="2"/>
  <c r="I810" i="2"/>
  <c r="M810" i="2"/>
  <c r="O810" i="2"/>
  <c r="G810" i="2"/>
  <c r="H810" i="2"/>
  <c r="N810" i="2"/>
  <c r="T810" i="2" s="1"/>
  <c r="P810" i="2"/>
  <c r="Q810" i="2"/>
  <c r="R810" i="2"/>
  <c r="M584" i="2"/>
  <c r="G584" i="2"/>
  <c r="H584" i="2"/>
  <c r="N584" i="2"/>
  <c r="Q584" i="2"/>
  <c r="R584" i="2"/>
  <c r="I584" i="2"/>
  <c r="H360" i="2"/>
  <c r="G360" i="2"/>
  <c r="I360" i="2"/>
  <c r="N360" i="2"/>
  <c r="Q360" i="2"/>
  <c r="R360" i="2"/>
  <c r="M360" i="2"/>
  <c r="Q122" i="2"/>
  <c r="R122" i="2"/>
  <c r="M122" i="2"/>
  <c r="N122" i="2"/>
  <c r="T122" i="2" s="1"/>
  <c r="G122" i="2"/>
  <c r="I122" i="2"/>
  <c r="O122" i="2"/>
  <c r="H122" i="2"/>
  <c r="P122" i="2"/>
  <c r="H1062" i="2"/>
  <c r="G1062" i="2"/>
  <c r="Q1062" i="2"/>
  <c r="N1062" i="2"/>
  <c r="T1062" i="2" s="1"/>
  <c r="I1062" i="2"/>
  <c r="P1062" i="2"/>
  <c r="O1062" i="2"/>
  <c r="R1062" i="2"/>
  <c r="M1062" i="2"/>
  <c r="I890" i="2"/>
  <c r="M890" i="2"/>
  <c r="O890" i="2"/>
  <c r="P890" i="2"/>
  <c r="Q890" i="2"/>
  <c r="H890" i="2"/>
  <c r="N890" i="2"/>
  <c r="T890" i="2" s="1"/>
  <c r="R890" i="2"/>
  <c r="G890" i="2"/>
  <c r="G702" i="2"/>
  <c r="I702" i="2"/>
  <c r="H702" i="2"/>
  <c r="N702" i="2"/>
  <c r="T702" i="2" s="1"/>
  <c r="O702" i="2"/>
  <c r="M702" i="2"/>
  <c r="P702" i="2"/>
  <c r="Q702" i="2"/>
  <c r="R702" i="2"/>
  <c r="R512" i="2"/>
  <c r="G512" i="2"/>
  <c r="H512" i="2"/>
  <c r="M512" i="2"/>
  <c r="I512" i="2"/>
  <c r="N512" i="2"/>
  <c r="Q512" i="2"/>
  <c r="M325" i="2"/>
  <c r="N325" i="2"/>
  <c r="R325" i="2"/>
  <c r="G325" i="2"/>
  <c r="I325" i="2"/>
  <c r="T325" i="2" s="1"/>
  <c r="H325" i="2"/>
  <c r="Q325" i="2"/>
  <c r="Q131" i="2"/>
  <c r="G131" i="2"/>
  <c r="T131" i="2" s="1"/>
  <c r="M131" i="2"/>
  <c r="N131" i="2"/>
  <c r="H131" i="2"/>
  <c r="I131" i="2"/>
  <c r="R131" i="2"/>
  <c r="I974" i="2"/>
  <c r="O974" i="2"/>
  <c r="G974" i="2"/>
  <c r="H974" i="2"/>
  <c r="P974" i="2"/>
  <c r="Q974" i="2"/>
  <c r="M974" i="2"/>
  <c r="N974" i="2"/>
  <c r="T974" i="2" s="1"/>
  <c r="R974" i="2"/>
  <c r="G793" i="2"/>
  <c r="I793" i="2"/>
  <c r="T793" i="2" s="1"/>
  <c r="M793" i="2"/>
  <c r="N793" i="2"/>
  <c r="Q793" i="2"/>
  <c r="R793" i="2"/>
  <c r="H793" i="2"/>
  <c r="G603" i="2"/>
  <c r="T603" i="2" s="1"/>
  <c r="M603" i="2"/>
  <c r="R603" i="2"/>
  <c r="I603" i="2"/>
  <c r="H603" i="2"/>
  <c r="N603" i="2"/>
  <c r="Q603" i="2"/>
  <c r="H415" i="2"/>
  <c r="Q415" i="2"/>
  <c r="R415" i="2"/>
  <c r="G415" i="2"/>
  <c r="T415" i="2" s="1"/>
  <c r="I415" i="2"/>
  <c r="M415" i="2"/>
  <c r="N415" i="2"/>
  <c r="H228" i="2"/>
  <c r="R228" i="2"/>
  <c r="G228" i="2"/>
  <c r="M228" i="2"/>
  <c r="N228" i="2"/>
  <c r="Q228" i="2"/>
  <c r="I228" i="2"/>
  <c r="M12" i="2"/>
  <c r="N12" i="2"/>
  <c r="G12" i="2"/>
  <c r="I12" i="2"/>
  <c r="R12" i="2"/>
  <c r="H12" i="2"/>
  <c r="I1051" i="2"/>
  <c r="H1051" i="2"/>
  <c r="M1051" i="2"/>
  <c r="G1051" i="2"/>
  <c r="T1051" i="2" s="1"/>
  <c r="R1051" i="2"/>
  <c r="I894" i="2"/>
  <c r="M894" i="2"/>
  <c r="O894" i="2"/>
  <c r="H894" i="2"/>
  <c r="N894" i="2"/>
  <c r="T894" i="2" s="1"/>
  <c r="G894" i="2"/>
  <c r="P894" i="2"/>
  <c r="Q894" i="2"/>
  <c r="R894" i="2"/>
  <c r="R737" i="2"/>
  <c r="H737" i="2"/>
  <c r="I737" i="2"/>
  <c r="T737" i="2" s="1"/>
  <c r="N737" i="2"/>
  <c r="G737" i="2"/>
  <c r="M737" i="2"/>
  <c r="Q737" i="2"/>
  <c r="M580" i="2"/>
  <c r="N580" i="2"/>
  <c r="Q580" i="2"/>
  <c r="R580" i="2"/>
  <c r="G580" i="2"/>
  <c r="H580" i="2"/>
  <c r="I580" i="2"/>
  <c r="Q423" i="2"/>
  <c r="N423" i="2"/>
  <c r="R423" i="2"/>
  <c r="G423" i="2"/>
  <c r="T423" i="2" s="1"/>
  <c r="H423" i="2"/>
  <c r="M423" i="2"/>
  <c r="I423" i="2"/>
  <c r="Q266" i="2"/>
  <c r="H266" i="2"/>
  <c r="R266" i="2"/>
  <c r="G266" i="2"/>
  <c r="I266" i="2"/>
  <c r="N266" i="2"/>
  <c r="T266" i="2" s="1"/>
  <c r="M266" i="2"/>
  <c r="O266" i="2"/>
  <c r="P266" i="2"/>
  <c r="G97" i="2"/>
  <c r="M97" i="2"/>
  <c r="H97" i="2"/>
  <c r="I97" i="2"/>
  <c r="T97" i="2" s="1"/>
  <c r="N97" i="2"/>
  <c r="R97" i="2"/>
  <c r="Q97" i="2"/>
  <c r="R775" i="2"/>
  <c r="H775" i="2"/>
  <c r="I775" i="2"/>
  <c r="Q775" i="2"/>
  <c r="G775" i="2"/>
  <c r="T775" i="2" s="1"/>
  <c r="M775" i="2"/>
  <c r="N775" i="2"/>
  <c r="G618" i="2"/>
  <c r="N618" i="2"/>
  <c r="T618" i="2" s="1"/>
  <c r="O618" i="2"/>
  <c r="Q618" i="2"/>
  <c r="H618" i="2"/>
  <c r="I618" i="2"/>
  <c r="M618" i="2"/>
  <c r="P618" i="2"/>
  <c r="R618" i="2"/>
  <c r="N461" i="2"/>
  <c r="G461" i="2"/>
  <c r="M461" i="2"/>
  <c r="H461" i="2"/>
  <c r="I461" i="2"/>
  <c r="T461" i="2" s="1"/>
  <c r="Q461" i="2"/>
  <c r="R461" i="2"/>
  <c r="H304" i="2"/>
  <c r="R304" i="2"/>
  <c r="I304" i="2"/>
  <c r="M304" i="2"/>
  <c r="N304" i="2"/>
  <c r="Q304" i="2"/>
  <c r="G304" i="2"/>
  <c r="H143" i="2"/>
  <c r="N143" i="2"/>
  <c r="Q143" i="2"/>
  <c r="I143" i="2"/>
  <c r="G143" i="2"/>
  <c r="T143" i="2" s="1"/>
  <c r="M143" i="2"/>
  <c r="R143" i="2"/>
  <c r="R123" i="2"/>
  <c r="N123" i="2"/>
  <c r="Q123" i="2"/>
  <c r="I123" i="2"/>
  <c r="M123" i="2"/>
  <c r="G123" i="2"/>
  <c r="T123" i="2" s="1"/>
  <c r="H123" i="2"/>
  <c r="H1149" i="2"/>
  <c r="R1149" i="2"/>
  <c r="I1149" i="2"/>
  <c r="T1149" i="2" s="1"/>
  <c r="M1149" i="2"/>
  <c r="G1149" i="2"/>
  <c r="I1005" i="2"/>
  <c r="T1005" i="2" s="1"/>
  <c r="G1005" i="2"/>
  <c r="H1005" i="2"/>
  <c r="M1005" i="2"/>
  <c r="N1005" i="2"/>
  <c r="Q1005" i="2"/>
  <c r="R1005" i="2"/>
  <c r="G861" i="2"/>
  <c r="I861" i="2"/>
  <c r="T861" i="2" s="1"/>
  <c r="H861" i="2"/>
  <c r="M861" i="2"/>
  <c r="N861" i="2"/>
  <c r="R861" i="2"/>
  <c r="Q861" i="2"/>
  <c r="R717" i="2"/>
  <c r="M717" i="2"/>
  <c r="N717" i="2"/>
  <c r="Q717" i="2"/>
  <c r="I717" i="2"/>
  <c r="T717" i="2" s="1"/>
  <c r="G717" i="2"/>
  <c r="H717" i="2"/>
  <c r="N573" i="2"/>
  <c r="Q573" i="2"/>
  <c r="H573" i="2"/>
  <c r="M573" i="2"/>
  <c r="I573" i="2"/>
  <c r="T573" i="2" s="1"/>
  <c r="R573" i="2"/>
  <c r="G573" i="2"/>
  <c r="N429" i="2"/>
  <c r="Q429" i="2"/>
  <c r="R429" i="2"/>
  <c r="M429" i="2"/>
  <c r="G429" i="2"/>
  <c r="H429" i="2"/>
  <c r="I429" i="2"/>
  <c r="T429" i="2" s="1"/>
  <c r="N285" i="2"/>
  <c r="R285" i="2"/>
  <c r="H285" i="2"/>
  <c r="I285" i="2"/>
  <c r="T285" i="2" s="1"/>
  <c r="M285" i="2"/>
  <c r="G285" i="2"/>
  <c r="Q285" i="2"/>
  <c r="N141" i="2"/>
  <c r="G141" i="2"/>
  <c r="H141" i="2"/>
  <c r="I141" i="2"/>
  <c r="T141" i="2" s="1"/>
  <c r="Q141" i="2"/>
  <c r="R141" i="2"/>
  <c r="M141" i="2"/>
  <c r="I164" i="2"/>
  <c r="N164" i="2"/>
  <c r="H164" i="2"/>
  <c r="R164" i="2"/>
  <c r="M164" i="2"/>
  <c r="G164" i="2"/>
  <c r="Q164" i="2"/>
  <c r="G20" i="2"/>
  <c r="H20" i="2"/>
  <c r="I20" i="2"/>
  <c r="N20" i="2"/>
  <c r="M20" i="2"/>
  <c r="R20" i="2"/>
  <c r="G1131" i="2"/>
  <c r="T1131" i="2" s="1"/>
  <c r="I1131" i="2"/>
  <c r="R1131" i="2"/>
  <c r="I965" i="2"/>
  <c r="T965" i="2" s="1"/>
  <c r="R965" i="2"/>
  <c r="H965" i="2"/>
  <c r="N965" i="2"/>
  <c r="M965" i="2"/>
  <c r="Q965" i="2"/>
  <c r="G965" i="2"/>
  <c r="G1140" i="2"/>
  <c r="R1140" i="2"/>
  <c r="H1140" i="2"/>
  <c r="M1140" i="2"/>
  <c r="Q1140" i="2"/>
  <c r="I1140" i="2"/>
  <c r="N1140" i="2"/>
  <c r="G1109" i="2"/>
  <c r="Q1109" i="2"/>
  <c r="H1109" i="2"/>
  <c r="I1109" i="2"/>
  <c r="T1109" i="2" s="1"/>
  <c r="N1109" i="2"/>
  <c r="R1109" i="2"/>
  <c r="G809" i="2"/>
  <c r="I809" i="2"/>
  <c r="T809" i="2" s="1"/>
  <c r="N809" i="2"/>
  <c r="Q809" i="2"/>
  <c r="R809" i="2"/>
  <c r="M809" i="2"/>
  <c r="H809" i="2"/>
  <c r="Q694" i="2"/>
  <c r="R694" i="2"/>
  <c r="N694" i="2"/>
  <c r="T694" i="2" s="1"/>
  <c r="P694" i="2"/>
  <c r="O694" i="2"/>
  <c r="M694" i="2"/>
  <c r="G694" i="2"/>
  <c r="H694" i="2"/>
  <c r="I694" i="2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K296" i="2" l="1"/>
  <c r="J296" i="2"/>
  <c r="T296" i="2"/>
  <c r="L296" i="2"/>
  <c r="T616" i="2"/>
  <c r="L616" i="2"/>
  <c r="K616" i="2"/>
  <c r="J616" i="2"/>
  <c r="J420" i="2"/>
  <c r="T420" i="2"/>
  <c r="L420" i="2"/>
  <c r="K420" i="2"/>
  <c r="J252" i="2"/>
  <c r="T252" i="2"/>
  <c r="K252" i="2"/>
  <c r="L252" i="2"/>
  <c r="T880" i="2"/>
  <c r="J880" i="2"/>
  <c r="L880" i="2"/>
  <c r="K880" i="2"/>
  <c r="J352" i="2"/>
  <c r="K352" i="2"/>
  <c r="L352" i="2"/>
  <c r="T352" i="2"/>
  <c r="L324" i="2"/>
  <c r="T324" i="2"/>
  <c r="J324" i="2"/>
  <c r="K324" i="2"/>
  <c r="T1008" i="2"/>
  <c r="L1008" i="2"/>
  <c r="J1008" i="2"/>
  <c r="K1008" i="2"/>
  <c r="K384" i="2"/>
  <c r="T384" i="2"/>
  <c r="J384" i="2"/>
  <c r="L384" i="2"/>
  <c r="T972" i="2"/>
  <c r="K972" i="2"/>
  <c r="L972" i="2"/>
  <c r="J972" i="2"/>
  <c r="K516" i="2"/>
  <c r="T516" i="2"/>
  <c r="J516" i="2"/>
  <c r="L516" i="2"/>
  <c r="J688" i="2"/>
  <c r="L688" i="2"/>
  <c r="T688" i="2"/>
  <c r="K688" i="2"/>
  <c r="T24" i="2"/>
  <c r="L68" i="2"/>
  <c r="J68" i="2"/>
  <c r="T68" i="2"/>
  <c r="K68" i="2"/>
  <c r="J1104" i="2"/>
  <c r="K1104" i="2"/>
  <c r="L1104" i="2"/>
  <c r="T1104" i="2"/>
  <c r="L596" i="2"/>
  <c r="K596" i="2"/>
  <c r="J596" i="2"/>
  <c r="T596" i="2"/>
  <c r="K1052" i="2"/>
  <c r="L1052" i="2"/>
  <c r="J1052" i="2"/>
  <c r="T1052" i="2"/>
  <c r="J884" i="2"/>
  <c r="T884" i="2"/>
  <c r="L884" i="2"/>
  <c r="K884" i="2"/>
  <c r="L200" i="2"/>
  <c r="J200" i="2"/>
  <c r="K200" i="2"/>
  <c r="T200" i="2"/>
  <c r="T36" i="2"/>
  <c r="J624" i="2"/>
  <c r="L624" i="2"/>
  <c r="K624" i="2"/>
  <c r="T624" i="2"/>
  <c r="K1144" i="2"/>
  <c r="T1144" i="2"/>
  <c r="J1144" i="2"/>
  <c r="L1144" i="2"/>
  <c r="J720" i="2"/>
  <c r="L720" i="2"/>
  <c r="K720" i="2"/>
  <c r="T720" i="2"/>
  <c r="T604" i="2"/>
  <c r="J604" i="2"/>
  <c r="K604" i="2"/>
  <c r="L604" i="2"/>
  <c r="T892" i="2"/>
  <c r="J892" i="2"/>
  <c r="L892" i="2"/>
  <c r="K892" i="2"/>
  <c r="J196" i="2"/>
  <c r="K196" i="2"/>
  <c r="L196" i="2"/>
  <c r="T196" i="2"/>
  <c r="J440" i="2"/>
  <c r="L440" i="2"/>
  <c r="K440" i="2"/>
  <c r="T440" i="2"/>
  <c r="J612" i="2"/>
  <c r="L612" i="2"/>
  <c r="K612" i="2"/>
  <c r="T612" i="2"/>
  <c r="J700" i="2"/>
  <c r="K700" i="2"/>
  <c r="T700" i="2"/>
  <c r="L700" i="2"/>
  <c r="T272" i="2"/>
  <c r="L272" i="2"/>
  <c r="J272" i="2"/>
  <c r="K272" i="2"/>
  <c r="J928" i="2"/>
  <c r="T928" i="2"/>
  <c r="K928" i="2"/>
  <c r="L928" i="2"/>
  <c r="J1152" i="2"/>
  <c r="T1152" i="2"/>
  <c r="K1152" i="2"/>
  <c r="L1152" i="2"/>
  <c r="T84" i="2"/>
  <c r="J84" i="2"/>
  <c r="K84" i="2"/>
  <c r="L84" i="2"/>
  <c r="L332" i="2"/>
  <c r="J332" i="2"/>
  <c r="T332" i="2"/>
  <c r="K332" i="2"/>
  <c r="J364" i="2"/>
  <c r="L364" i="2"/>
  <c r="K364" i="2"/>
  <c r="T364" i="2"/>
  <c r="L1012" i="2"/>
  <c r="T1012" i="2"/>
  <c r="J1012" i="2"/>
  <c r="K1012" i="2"/>
  <c r="J844" i="2"/>
  <c r="L844" i="2"/>
  <c r="K844" i="2"/>
  <c r="T844" i="2"/>
  <c r="J832" i="2"/>
  <c r="K832" i="2"/>
  <c r="L832" i="2"/>
  <c r="T832" i="2"/>
  <c r="J1016" i="2"/>
  <c r="K1016" i="2"/>
  <c r="L1016" i="2"/>
  <c r="T1016" i="2"/>
  <c r="J1068" i="2"/>
  <c r="K1068" i="2"/>
  <c r="T1068" i="2"/>
  <c r="L1068" i="2"/>
  <c r="L752" i="2"/>
  <c r="K752" i="2"/>
  <c r="J752" i="2"/>
  <c r="T752" i="2"/>
  <c r="J312" i="2"/>
  <c r="L312" i="2"/>
  <c r="T312" i="2"/>
  <c r="K312" i="2"/>
  <c r="T544" i="2"/>
  <c r="K544" i="2"/>
  <c r="L544" i="2"/>
  <c r="J544" i="2"/>
  <c r="K356" i="2"/>
  <c r="J356" i="2"/>
  <c r="L356" i="2"/>
  <c r="T356" i="2"/>
  <c r="J468" i="2"/>
  <c r="K468" i="2"/>
  <c r="L468" i="2"/>
  <c r="T468" i="2"/>
  <c r="J212" i="2"/>
  <c r="L212" i="2"/>
  <c r="T212" i="2"/>
  <c r="K212" i="2"/>
  <c r="L608" i="2"/>
  <c r="T608" i="2"/>
  <c r="K608" i="2"/>
  <c r="J608" i="2"/>
  <c r="K268" i="2"/>
  <c r="L268" i="2"/>
  <c r="J268" i="2"/>
  <c r="T268" i="2"/>
  <c r="J368" i="2"/>
  <c r="K368" i="2"/>
  <c r="T368" i="2"/>
  <c r="L368" i="2"/>
  <c r="J1020" i="2"/>
  <c r="K1020" i="2"/>
  <c r="L1020" i="2"/>
  <c r="T1020" i="2"/>
  <c r="J724" i="2"/>
  <c r="K724" i="2"/>
  <c r="T724" i="2"/>
  <c r="L724" i="2"/>
  <c r="T1124" i="2"/>
  <c r="J1124" i="2"/>
  <c r="L1124" i="2"/>
  <c r="K1124" i="2"/>
  <c r="L1096" i="2"/>
  <c r="K1096" i="2"/>
  <c r="J1096" i="2"/>
  <c r="T1096" i="2"/>
  <c r="L228" i="2"/>
  <c r="J228" i="2"/>
  <c r="T228" i="2"/>
  <c r="K228" i="2"/>
  <c r="K512" i="2"/>
  <c r="J512" i="2"/>
  <c r="L512" i="2"/>
  <c r="T512" i="2"/>
  <c r="J888" i="2"/>
  <c r="L888" i="2"/>
  <c r="K888" i="2"/>
  <c r="T888" i="2"/>
  <c r="L276" i="2"/>
  <c r="K276" i="2"/>
  <c r="T276" i="2"/>
  <c r="J276" i="2"/>
  <c r="L1076" i="2"/>
  <c r="J1076" i="2"/>
  <c r="K1076" i="2"/>
  <c r="T1076" i="2"/>
  <c r="L204" i="2"/>
  <c r="T204" i="2"/>
  <c r="J204" i="2"/>
  <c r="K204" i="2"/>
  <c r="K1080" i="2"/>
  <c r="J1080" i="2"/>
  <c r="L1080" i="2"/>
  <c r="T1080" i="2"/>
  <c r="J300" i="2"/>
  <c r="K300" i="2"/>
  <c r="T300" i="2"/>
  <c r="L300" i="2"/>
  <c r="K1156" i="2"/>
  <c r="J1156" i="2"/>
  <c r="T1156" i="2"/>
  <c r="L1156" i="2"/>
  <c r="K72" i="2"/>
  <c r="T72" i="2"/>
  <c r="L72" i="2"/>
  <c r="J72" i="2"/>
  <c r="K968" i="2"/>
  <c r="J968" i="2"/>
  <c r="L968" i="2"/>
  <c r="T968" i="2"/>
  <c r="K792" i="2"/>
  <c r="L792" i="2"/>
  <c r="T792" i="2"/>
  <c r="J792" i="2"/>
  <c r="K600" i="2"/>
  <c r="J600" i="2"/>
  <c r="T600" i="2"/>
  <c r="L600" i="2"/>
  <c r="L520" i="2"/>
  <c r="K520" i="2"/>
  <c r="T520" i="2"/>
  <c r="J520" i="2"/>
  <c r="T56" i="2"/>
  <c r="T932" i="2"/>
  <c r="J932" i="2"/>
  <c r="L932" i="2"/>
  <c r="K932" i="2"/>
  <c r="T960" i="2"/>
  <c r="L960" i="2"/>
  <c r="J960" i="2"/>
  <c r="K960" i="2"/>
  <c r="K648" i="2"/>
  <c r="T648" i="2"/>
  <c r="J648" i="2"/>
  <c r="L648" i="2"/>
  <c r="J676" i="2"/>
  <c r="K676" i="2"/>
  <c r="T676" i="2"/>
  <c r="L676" i="2"/>
  <c r="K100" i="2"/>
  <c r="J100" i="2"/>
  <c r="L100" i="2"/>
  <c r="T100" i="2"/>
  <c r="J664" i="2"/>
  <c r="T664" i="2"/>
  <c r="K664" i="2"/>
  <c r="L664" i="2"/>
  <c r="K704" i="2"/>
  <c r="L704" i="2"/>
  <c r="J704" i="2"/>
  <c r="T704" i="2"/>
  <c r="J464" i="2"/>
  <c r="L464" i="2"/>
  <c r="K464" i="2"/>
  <c r="T464" i="2"/>
  <c r="T12" i="2"/>
  <c r="J976" i="2"/>
  <c r="K976" i="2"/>
  <c r="L976" i="2"/>
  <c r="T976" i="2"/>
  <c r="L808" i="2"/>
  <c r="K808" i="2"/>
  <c r="T808" i="2"/>
  <c r="J808" i="2"/>
  <c r="J1088" i="2"/>
  <c r="K1088" i="2"/>
  <c r="L1088" i="2"/>
  <c r="T1088" i="2"/>
  <c r="J1140" i="2"/>
  <c r="T1140" i="2"/>
  <c r="K1140" i="2"/>
  <c r="L1140" i="2"/>
  <c r="J164" i="2"/>
  <c r="K164" i="2"/>
  <c r="T164" i="2"/>
  <c r="L164" i="2"/>
  <c r="J584" i="2"/>
  <c r="K584" i="2"/>
  <c r="L584" i="2"/>
  <c r="T584" i="2"/>
  <c r="L176" i="2"/>
  <c r="T176" i="2"/>
  <c r="K176" i="2"/>
  <c r="J176" i="2"/>
  <c r="K636" i="2"/>
  <c r="L636" i="2"/>
  <c r="T636" i="2"/>
  <c r="J636" i="2"/>
  <c r="L496" i="2"/>
  <c r="T496" i="2"/>
  <c r="K496" i="2"/>
  <c r="J496" i="2"/>
  <c r="J980" i="2"/>
  <c r="K980" i="2"/>
  <c r="T980" i="2"/>
  <c r="L980" i="2"/>
  <c r="T1072" i="2"/>
  <c r="L1072" i="2"/>
  <c r="J1072" i="2"/>
  <c r="K1072" i="2"/>
  <c r="L240" i="2"/>
  <c r="T240" i="2"/>
  <c r="J240" i="2"/>
  <c r="K240" i="2"/>
  <c r="J772" i="2"/>
  <c r="T772" i="2"/>
  <c r="K772" i="2"/>
  <c r="L772" i="2"/>
  <c r="J824" i="2"/>
  <c r="T824" i="2"/>
  <c r="K824" i="2"/>
  <c r="L824" i="2"/>
  <c r="K1108" i="2"/>
  <c r="J1108" i="2"/>
  <c r="L1108" i="2"/>
  <c r="T1108" i="2"/>
  <c r="L224" i="2"/>
  <c r="J224" i="2"/>
  <c r="K224" i="2"/>
  <c r="T224" i="2"/>
  <c r="J132" i="2"/>
  <c r="L132" i="2"/>
  <c r="K132" i="2"/>
  <c r="T132" i="2"/>
  <c r="L696" i="2"/>
  <c r="T696" i="2"/>
  <c r="J696" i="2"/>
  <c r="K696" i="2"/>
  <c r="J568" i="2"/>
  <c r="L568" i="2"/>
  <c r="T568" i="2"/>
  <c r="K568" i="2"/>
  <c r="L852" i="2"/>
  <c r="K852" i="2"/>
  <c r="J852" i="2"/>
  <c r="T852" i="2"/>
  <c r="J656" i="2"/>
  <c r="L656" i="2"/>
  <c r="T656" i="2"/>
  <c r="K656" i="2"/>
  <c r="J208" i="2"/>
  <c r="L208" i="2"/>
  <c r="K208" i="2"/>
  <c r="T208" i="2"/>
  <c r="J148" i="2"/>
  <c r="K148" i="2"/>
  <c r="L148" i="2"/>
  <c r="T148" i="2"/>
  <c r="J172" i="2"/>
  <c r="K172" i="2"/>
  <c r="L172" i="2"/>
  <c r="T172" i="2"/>
  <c r="K660" i="2"/>
  <c r="J660" i="2"/>
  <c r="L660" i="2"/>
  <c r="T660" i="2"/>
  <c r="K812" i="2"/>
  <c r="T812" i="2"/>
  <c r="L812" i="2"/>
  <c r="J812" i="2"/>
  <c r="J712" i="2"/>
  <c r="T712" i="2"/>
  <c r="L712" i="2"/>
  <c r="K712" i="2"/>
  <c r="L592" i="2"/>
  <c r="T592" i="2"/>
  <c r="J592" i="2"/>
  <c r="K592" i="2"/>
  <c r="J64" i="2"/>
  <c r="K64" i="2"/>
  <c r="L64" i="2"/>
  <c r="T64" i="2"/>
  <c r="T260" i="2"/>
  <c r="K260" i="2"/>
  <c r="J260" i="2"/>
  <c r="L260" i="2"/>
  <c r="L152" i="2"/>
  <c r="K152" i="2"/>
  <c r="T152" i="2"/>
  <c r="J152" i="2"/>
  <c r="J804" i="2"/>
  <c r="T804" i="2"/>
  <c r="L804" i="2"/>
  <c r="K804" i="2"/>
  <c r="T244" i="2"/>
  <c r="K244" i="2"/>
  <c r="J244" i="2"/>
  <c r="L244" i="2"/>
  <c r="K336" i="2"/>
  <c r="T336" i="2"/>
  <c r="L336" i="2"/>
  <c r="J336" i="2"/>
  <c r="J784" i="2"/>
  <c r="L784" i="2"/>
  <c r="K784" i="2"/>
  <c r="T784" i="2"/>
  <c r="T556" i="2"/>
  <c r="K556" i="2"/>
  <c r="J556" i="2"/>
  <c r="L556" i="2"/>
  <c r="T488" i="2"/>
  <c r="L488" i="2"/>
  <c r="K488" i="2"/>
  <c r="J488" i="2"/>
  <c r="J280" i="2"/>
  <c r="K280" i="2"/>
  <c r="T280" i="2"/>
  <c r="L280" i="2"/>
  <c r="J480" i="2"/>
  <c r="K480" i="2"/>
  <c r="T480" i="2"/>
  <c r="L480" i="2"/>
  <c r="K256" i="2"/>
  <c r="L256" i="2"/>
  <c r="J256" i="2"/>
  <c r="T256" i="2"/>
  <c r="J588" i="2"/>
  <c r="T588" i="2"/>
  <c r="K588" i="2"/>
  <c r="L588" i="2"/>
  <c r="T288" i="2"/>
  <c r="K288" i="2"/>
  <c r="L288" i="2"/>
  <c r="J288" i="2"/>
  <c r="L984" i="2"/>
  <c r="T984" i="2"/>
  <c r="J984" i="2"/>
  <c r="K984" i="2"/>
  <c r="J644" i="2"/>
  <c r="T644" i="2"/>
  <c r="K644" i="2"/>
  <c r="L644" i="2"/>
  <c r="T292" i="2"/>
  <c r="K292" i="2"/>
  <c r="L292" i="2"/>
  <c r="J292" i="2"/>
  <c r="K848" i="2"/>
  <c r="T848" i="2"/>
  <c r="L848" i="2"/>
  <c r="J848" i="2"/>
  <c r="J348" i="2"/>
  <c r="T348" i="2"/>
  <c r="K348" i="2"/>
  <c r="L348" i="2"/>
  <c r="K460" i="2"/>
  <c r="J460" i="2"/>
  <c r="T460" i="2"/>
  <c r="L460" i="2"/>
  <c r="J732" i="2"/>
  <c r="L732" i="2"/>
  <c r="K732" i="2"/>
  <c r="T732" i="2"/>
  <c r="T40" i="2"/>
  <c r="J476" i="2"/>
  <c r="K476" i="2"/>
  <c r="L476" i="2"/>
  <c r="T476" i="2"/>
  <c r="J1128" i="2"/>
  <c r="T1128" i="2"/>
  <c r="L1128" i="2"/>
  <c r="K1128" i="2"/>
  <c r="J748" i="2"/>
  <c r="K748" i="2"/>
  <c r="T748" i="2"/>
  <c r="L748" i="2"/>
  <c r="T492" i="2"/>
  <c r="J492" i="2"/>
  <c r="L492" i="2"/>
  <c r="K492" i="2"/>
  <c r="J940" i="2"/>
  <c r="T940" i="2"/>
  <c r="L940" i="2"/>
  <c r="K940" i="2"/>
  <c r="J952" i="2"/>
  <c r="L952" i="2"/>
  <c r="T952" i="2"/>
  <c r="K952" i="2"/>
  <c r="K632" i="2"/>
  <c r="J632" i="2"/>
  <c r="L632" i="2"/>
  <c r="T632" i="2"/>
  <c r="T856" i="2"/>
  <c r="K856" i="2"/>
  <c r="J856" i="2"/>
  <c r="L856" i="2"/>
  <c r="T388" i="2"/>
  <c r="J388" i="2"/>
  <c r="K388" i="2"/>
  <c r="L388" i="2"/>
  <c r="K408" i="2"/>
  <c r="J408" i="2"/>
  <c r="L408" i="2"/>
  <c r="T408" i="2"/>
  <c r="K816" i="2"/>
  <c r="T816" i="2"/>
  <c r="J816" i="2"/>
  <c r="L816" i="2"/>
  <c r="K124" i="2"/>
  <c r="J124" i="2"/>
  <c r="L124" i="2"/>
  <c r="T124" i="2"/>
  <c r="J672" i="2"/>
  <c r="K672" i="2"/>
  <c r="T672" i="2"/>
  <c r="L672" i="2"/>
  <c r="J220" i="2"/>
  <c r="T220" i="2"/>
  <c r="K220" i="2"/>
  <c r="L220" i="2"/>
  <c r="T508" i="2"/>
  <c r="K508" i="2"/>
  <c r="L508" i="2"/>
  <c r="J508" i="2"/>
  <c r="J108" i="2"/>
  <c r="K108" i="2"/>
  <c r="L108" i="2"/>
  <c r="T108" i="2"/>
  <c r="L964" i="2"/>
  <c r="T964" i="2"/>
  <c r="K964" i="2"/>
  <c r="J964" i="2"/>
  <c r="K320" i="2"/>
  <c r="L320" i="2"/>
  <c r="J320" i="2"/>
  <c r="T320" i="2"/>
  <c r="K552" i="2"/>
  <c r="J552" i="2"/>
  <c r="T552" i="2"/>
  <c r="L552" i="2"/>
  <c r="J652" i="2"/>
  <c r="L652" i="2"/>
  <c r="K652" i="2"/>
  <c r="T652" i="2"/>
  <c r="T16" i="2"/>
  <c r="J576" i="2"/>
  <c r="T576" i="2"/>
  <c r="K576" i="2"/>
  <c r="L576" i="2"/>
  <c r="T956" i="2"/>
  <c r="L956" i="2"/>
  <c r="K956" i="2"/>
  <c r="J956" i="2"/>
  <c r="J564" i="2"/>
  <c r="T564" i="2"/>
  <c r="K564" i="2"/>
  <c r="L564" i="2"/>
  <c r="L80" i="2"/>
  <c r="K80" i="2"/>
  <c r="T80" i="2"/>
  <c r="J80" i="2"/>
  <c r="L628" i="2"/>
  <c r="J628" i="2"/>
  <c r="K628" i="2"/>
  <c r="T628" i="2"/>
  <c r="L92" i="2"/>
  <c r="K92" i="2"/>
  <c r="J92" i="2"/>
  <c r="T92" i="2"/>
  <c r="J484" i="2"/>
  <c r="K484" i="2"/>
  <c r="L484" i="2"/>
  <c r="T484" i="2"/>
  <c r="J532" i="2"/>
  <c r="L532" i="2"/>
  <c r="K532" i="2"/>
  <c r="T532" i="2"/>
  <c r="K28" i="2"/>
  <c r="J28" i="2"/>
  <c r="L28" i="2"/>
  <c r="T28" i="2"/>
  <c r="J412" i="2"/>
  <c r="K412" i="2"/>
  <c r="L412" i="2"/>
  <c r="T412" i="2"/>
  <c r="T504" i="2"/>
  <c r="L504" i="2"/>
  <c r="J504" i="2"/>
  <c r="K504" i="2"/>
  <c r="J860" i="2"/>
  <c r="K860" i="2"/>
  <c r="T860" i="2"/>
  <c r="L860" i="2"/>
  <c r="T392" i="2"/>
  <c r="K392" i="2"/>
  <c r="J392" i="2"/>
  <c r="L392" i="2"/>
  <c r="K328" i="2"/>
  <c r="T328" i="2"/>
  <c r="J328" i="2"/>
  <c r="L328" i="2"/>
  <c r="J116" i="2"/>
  <c r="T116" i="2"/>
  <c r="L116" i="2"/>
  <c r="K116" i="2"/>
  <c r="T52" i="2"/>
  <c r="J1056" i="2"/>
  <c r="T1056" i="2"/>
  <c r="K1056" i="2"/>
  <c r="L1056" i="2"/>
  <c r="T868" i="2"/>
  <c r="J868" i="2"/>
  <c r="K868" i="2"/>
  <c r="L868" i="2"/>
  <c r="J760" i="2"/>
  <c r="T760" i="2"/>
  <c r="K760" i="2"/>
  <c r="L760" i="2"/>
  <c r="T1136" i="2"/>
  <c r="K1136" i="2"/>
  <c r="J1136" i="2"/>
  <c r="L1136" i="2"/>
  <c r="J316" i="2"/>
  <c r="L316" i="2"/>
  <c r="T316" i="2"/>
  <c r="K316" i="2"/>
  <c r="J448" i="2"/>
  <c r="K448" i="2"/>
  <c r="T448" i="2"/>
  <c r="L448" i="2"/>
  <c r="L128" i="2"/>
  <c r="J128" i="2"/>
  <c r="T128" i="2"/>
  <c r="K128" i="2"/>
  <c r="J180" i="2"/>
  <c r="K180" i="2"/>
  <c r="T180" i="2"/>
  <c r="L180" i="2"/>
  <c r="T996" i="2"/>
  <c r="J996" i="2"/>
  <c r="K996" i="2"/>
  <c r="L996" i="2"/>
  <c r="J1084" i="2"/>
  <c r="K1084" i="2"/>
  <c r="T1084" i="2"/>
  <c r="L1084" i="2"/>
  <c r="T708" i="2"/>
  <c r="K708" i="2"/>
  <c r="J708" i="2"/>
  <c r="L708" i="2"/>
  <c r="T936" i="2"/>
  <c r="K936" i="2"/>
  <c r="J936" i="2"/>
  <c r="L936" i="2"/>
  <c r="T60" i="2"/>
  <c r="J452" i="2"/>
  <c r="T452" i="2"/>
  <c r="L452" i="2"/>
  <c r="K452" i="2"/>
  <c r="J444" i="2"/>
  <c r="K444" i="2"/>
  <c r="L444" i="2"/>
  <c r="T444" i="2"/>
  <c r="L988" i="2"/>
  <c r="K988" i="2"/>
  <c r="J988" i="2"/>
  <c r="T988" i="2"/>
  <c r="J780" i="2"/>
  <c r="L780" i="2"/>
  <c r="T780" i="2"/>
  <c r="K780" i="2"/>
  <c r="T44" i="2"/>
  <c r="K920" i="2"/>
  <c r="J920" i="2"/>
  <c r="L920" i="2"/>
  <c r="T920" i="2"/>
  <c r="T20" i="2"/>
  <c r="J304" i="2"/>
  <c r="T304" i="2"/>
  <c r="K304" i="2"/>
  <c r="L304" i="2"/>
  <c r="T580" i="2"/>
  <c r="L580" i="2"/>
  <c r="K580" i="2"/>
  <c r="J580" i="2"/>
  <c r="K112" i="2"/>
  <c r="T112" i="2"/>
  <c r="L112" i="2"/>
  <c r="J112" i="2"/>
  <c r="J912" i="2"/>
  <c r="T912" i="2"/>
  <c r="K912" i="2"/>
  <c r="L912" i="2"/>
  <c r="J120" i="2"/>
  <c r="L120" i="2"/>
  <c r="T120" i="2"/>
  <c r="K120" i="2"/>
  <c r="T1100" i="2"/>
  <c r="L1100" i="2"/>
  <c r="K1100" i="2"/>
  <c r="J1100" i="2"/>
  <c r="J668" i="2"/>
  <c r="L668" i="2"/>
  <c r="T668" i="2"/>
  <c r="K668" i="2"/>
  <c r="L528" i="2"/>
  <c r="T528" i="2"/>
  <c r="K528" i="2"/>
  <c r="J528" i="2"/>
  <c r="J916" i="2"/>
  <c r="L916" i="2"/>
  <c r="K916" i="2"/>
  <c r="T916" i="2"/>
  <c r="J400" i="2"/>
  <c r="T400" i="2"/>
  <c r="L400" i="2"/>
  <c r="K400" i="2"/>
  <c r="J416" i="2"/>
  <c r="L416" i="2"/>
  <c r="T416" i="2"/>
  <c r="K416" i="2"/>
  <c r="L764" i="2"/>
  <c r="J764" i="2"/>
  <c r="T764" i="2"/>
  <c r="K764" i="2"/>
  <c r="J640" i="2"/>
  <c r="L640" i="2"/>
  <c r="T640" i="2"/>
  <c r="K640" i="2"/>
  <c r="T232" i="2"/>
  <c r="J232" i="2"/>
  <c r="K232" i="2"/>
  <c r="L232" i="2"/>
  <c r="L188" i="2"/>
  <c r="J188" i="2"/>
  <c r="K188" i="2"/>
  <c r="T188" i="2"/>
  <c r="J236" i="2"/>
  <c r="T236" i="2"/>
  <c r="K236" i="2"/>
  <c r="L236" i="2"/>
  <c r="L168" i="2"/>
  <c r="J168" i="2"/>
  <c r="T168" i="2"/>
  <c r="K168" i="2"/>
  <c r="J76" i="2"/>
  <c r="K76" i="2"/>
  <c r="T76" i="2"/>
  <c r="L76" i="2"/>
  <c r="K344" i="2"/>
  <c r="L344" i="2"/>
  <c r="T344" i="2"/>
  <c r="J344" i="2"/>
  <c r="T1148" i="2"/>
  <c r="L1148" i="2"/>
  <c r="K1148" i="2"/>
  <c r="J1148" i="2"/>
  <c r="J820" i="2"/>
  <c r="T820" i="2"/>
  <c r="L820" i="2"/>
  <c r="K820" i="2"/>
  <c r="J184" i="2"/>
  <c r="K184" i="2"/>
  <c r="L184" i="2"/>
  <c r="T184" i="2"/>
  <c r="T8" i="2"/>
  <c r="K428" i="2"/>
  <c r="J428" i="2"/>
  <c r="T428" i="2"/>
  <c r="L428" i="2"/>
  <c r="J692" i="2"/>
  <c r="T692" i="2"/>
  <c r="L692" i="2"/>
  <c r="K692" i="2"/>
  <c r="T32" i="2"/>
  <c r="T788" i="2"/>
  <c r="K788" i="2"/>
  <c r="J788" i="2"/>
  <c r="L788" i="2"/>
  <c r="L1000" i="2"/>
  <c r="K1000" i="2"/>
  <c r="T1000" i="2"/>
  <c r="J1000" i="2"/>
  <c r="T1092" i="2"/>
  <c r="T924" i="2"/>
  <c r="K924" i="2"/>
  <c r="L924" i="2"/>
  <c r="J924" i="2"/>
  <c r="T1004" i="2"/>
  <c r="K1004" i="2"/>
  <c r="L1004" i="2"/>
  <c r="J1004" i="2"/>
  <c r="K836" i="2"/>
  <c r="L836" i="2"/>
  <c r="T836" i="2"/>
  <c r="J836" i="2"/>
  <c r="J1116" i="2"/>
  <c r="T1116" i="2"/>
  <c r="K1116" i="2"/>
  <c r="L1116" i="2"/>
  <c r="J736" i="2"/>
  <c r="K736" i="2"/>
  <c r="L736" i="2"/>
  <c r="T736" i="2"/>
  <c r="T380" i="2"/>
  <c r="L380" i="2"/>
  <c r="J380" i="2"/>
  <c r="K380" i="2"/>
  <c r="L192" i="2"/>
  <c r="T192" i="2"/>
  <c r="J192" i="2"/>
  <c r="K192" i="2"/>
  <c r="T1120" i="2"/>
  <c r="K1120" i="2"/>
  <c r="L1120" i="2"/>
  <c r="J1120" i="2"/>
  <c r="K284" i="2"/>
  <c r="J284" i="2"/>
  <c r="T284" i="2"/>
  <c r="L284" i="2"/>
  <c r="T840" i="2"/>
  <c r="L840" i="2"/>
  <c r="K840" i="2"/>
  <c r="J840" i="2"/>
  <c r="J904" i="2"/>
  <c r="K904" i="2"/>
  <c r="L904" i="2"/>
  <c r="T904" i="2"/>
  <c r="J756" i="2"/>
  <c r="T756" i="2"/>
  <c r="L756" i="2"/>
  <c r="K756" i="2"/>
  <c r="J456" i="2"/>
  <c r="K456" i="2"/>
  <c r="L456" i="2"/>
  <c r="T456" i="2"/>
  <c r="J796" i="2"/>
  <c r="K796" i="2"/>
  <c r="L796" i="2"/>
  <c r="T796" i="2"/>
  <c r="J156" i="2"/>
  <c r="K156" i="2"/>
  <c r="T156" i="2"/>
  <c r="L156" i="2"/>
  <c r="T104" i="2"/>
  <c r="J104" i="2"/>
  <c r="K104" i="2"/>
  <c r="L104" i="2"/>
  <c r="L264" i="2"/>
  <c r="J264" i="2"/>
  <c r="K264" i="2"/>
  <c r="T264" i="2"/>
  <c r="J896" i="2"/>
  <c r="K896" i="2"/>
  <c r="T896" i="2"/>
  <c r="L896" i="2"/>
  <c r="J620" i="2"/>
  <c r="L620" i="2"/>
  <c r="K620" i="2"/>
  <c r="T620" i="2"/>
  <c r="J908" i="2"/>
  <c r="L908" i="2"/>
  <c r="T908" i="2"/>
  <c r="K908" i="2"/>
  <c r="T472" i="2"/>
  <c r="L472" i="2"/>
  <c r="J472" i="2"/>
  <c r="K472" i="2"/>
  <c r="K360" i="2"/>
  <c r="L360" i="2"/>
  <c r="T360" i="2"/>
  <c r="J360" i="2"/>
  <c r="T436" i="2"/>
  <c r="L436" i="2"/>
  <c r="K436" i="2"/>
  <c r="J436" i="2"/>
  <c r="T4" i="2"/>
  <c r="J872" i="2"/>
  <c r="T872" i="2"/>
  <c r="L872" i="2"/>
  <c r="K872" i="2"/>
  <c r="L864" i="2"/>
  <c r="T864" i="2"/>
  <c r="J864" i="2"/>
  <c r="K864" i="2"/>
  <c r="J1048" i="2"/>
  <c r="L1048" i="2"/>
  <c r="T1048" i="2"/>
  <c r="K1048" i="2"/>
  <c r="T96" i="2"/>
  <c r="K96" i="2"/>
  <c r="J96" i="2"/>
  <c r="L96" i="2"/>
  <c r="L144" i="2"/>
  <c r="J144" i="2"/>
  <c r="K144" i="2"/>
  <c r="T144" i="2"/>
  <c r="L560" i="2"/>
  <c r="J560" i="2"/>
  <c r="T560" i="2"/>
  <c r="K560" i="2"/>
  <c r="T376" i="2"/>
  <c r="K376" i="2"/>
  <c r="J376" i="2"/>
  <c r="L376" i="2"/>
  <c r="J160" i="2"/>
  <c r="T160" i="2"/>
  <c r="L160" i="2"/>
  <c r="K160" i="2"/>
  <c r="T424" i="2"/>
  <c r="K424" i="2"/>
  <c r="L424" i="2"/>
  <c r="J424" i="2"/>
  <c r="J828" i="2"/>
  <c r="T828" i="2"/>
  <c r="L828" i="2"/>
  <c r="K828" i="2"/>
  <c r="K740" i="2"/>
  <c r="L740" i="2"/>
  <c r="J740" i="2"/>
  <c r="T740" i="2"/>
  <c r="T684" i="2"/>
  <c r="J684" i="2"/>
  <c r="L684" i="2"/>
  <c r="K684" i="2"/>
  <c r="J432" i="2"/>
  <c r="T432" i="2"/>
  <c r="L432" i="2"/>
  <c r="K432" i="2"/>
  <c r="J768" i="2"/>
  <c r="L768" i="2"/>
  <c r="T768" i="2"/>
  <c r="K768" i="2"/>
  <c r="L992" i="2"/>
  <c r="J992" i="2"/>
  <c r="K992" i="2"/>
  <c r="T992" i="2"/>
  <c r="T248" i="2"/>
  <c r="J248" i="2"/>
  <c r="L248" i="2"/>
  <c r="K248" i="2"/>
  <c r="K800" i="2"/>
  <c r="L800" i="2"/>
  <c r="T800" i="2"/>
  <c r="J800" i="2"/>
  <c r="J716" i="2"/>
  <c r="T716" i="2"/>
  <c r="L716" i="2"/>
  <c r="K716" i="2"/>
  <c r="J308" i="2"/>
  <c r="K308" i="2"/>
  <c r="T308" i="2"/>
  <c r="L308" i="2"/>
  <c r="J948" i="2"/>
  <c r="L948" i="2"/>
  <c r="K948" i="2"/>
  <c r="T948" i="2"/>
  <c r="J88" i="2"/>
  <c r="L88" i="2"/>
  <c r="K88" i="2"/>
  <c r="T88" i="2"/>
  <c r="K1064" i="2"/>
  <c r="L1064" i="2"/>
  <c r="J1064" i="2"/>
  <c r="T1064" i="2"/>
  <c r="J340" i="2"/>
  <c r="T340" i="2"/>
  <c r="K340" i="2"/>
  <c r="L340" i="2"/>
  <c r="T900" i="2"/>
  <c r="K900" i="2"/>
  <c r="L900" i="2"/>
  <c r="J900" i="2"/>
  <c r="K728" i="2"/>
  <c r="L728" i="2"/>
  <c r="T728" i="2"/>
  <c r="J728" i="2"/>
  <c r="L536" i="2"/>
  <c r="K536" i="2"/>
  <c r="J536" i="2"/>
  <c r="T536" i="2"/>
  <c r="L680" i="2"/>
  <c r="T680" i="2"/>
  <c r="K680" i="2"/>
  <c r="J680" i="2"/>
  <c r="K140" i="2"/>
  <c r="L140" i="2"/>
  <c r="T140" i="2"/>
  <c r="J140" i="2"/>
  <c r="L572" i="2"/>
  <c r="J572" i="2"/>
  <c r="T572" i="2"/>
  <c r="K572" i="2"/>
  <c r="J944" i="2"/>
  <c r="T944" i="2"/>
  <c r="L944" i="2"/>
  <c r="K944" i="2"/>
  <c r="T876" i="2"/>
  <c r="L876" i="2"/>
  <c r="K876" i="2"/>
  <c r="J876" i="2"/>
  <c r="J500" i="2"/>
  <c r="T500" i="2"/>
  <c r="L500" i="2"/>
  <c r="K500" i="2"/>
  <c r="L776" i="2"/>
  <c r="J776" i="2"/>
  <c r="K776" i="2"/>
  <c r="T776" i="2"/>
  <c r="J136" i="2"/>
  <c r="K136" i="2"/>
  <c r="L136" i="2"/>
  <c r="T136" i="2"/>
  <c r="K1060" i="2"/>
  <c r="J1060" i="2"/>
  <c r="T1060" i="2"/>
  <c r="L1060" i="2"/>
  <c r="L216" i="2"/>
  <c r="T216" i="2"/>
  <c r="K216" i="2"/>
  <c r="J216" i="2"/>
  <c r="L540" i="2"/>
  <c r="J540" i="2"/>
  <c r="T540" i="2"/>
  <c r="K540" i="2"/>
  <c r="L548" i="2"/>
  <c r="K548" i="2"/>
  <c r="J548" i="2"/>
  <c r="T548" i="2"/>
  <c r="T396" i="2"/>
  <c r="K396" i="2"/>
  <c r="J396" i="2"/>
  <c r="L396" i="2"/>
  <c r="K524" i="2"/>
  <c r="J524" i="2"/>
  <c r="T524" i="2"/>
  <c r="L524" i="2"/>
  <c r="T1112" i="2"/>
  <c r="J1112" i="2"/>
  <c r="L1112" i="2"/>
  <c r="K1112" i="2"/>
  <c r="L404" i="2"/>
  <c r="J404" i="2"/>
  <c r="T404" i="2"/>
  <c r="K404" i="2"/>
  <c r="J1132" i="2"/>
  <c r="K1132" i="2"/>
  <c r="L1132" i="2"/>
  <c r="T1132" i="2"/>
  <c r="M3" i="2"/>
  <c r="R3" i="2" l="1"/>
  <c r="P3" i="2"/>
  <c r="O3" i="2"/>
  <c r="N3" i="2"/>
  <c r="I3" i="2"/>
  <c r="H3" i="2"/>
  <c r="G3" i="2"/>
  <c r="K1092" i="2" l="1"/>
  <c r="L1092" i="2"/>
  <c r="J1092" i="2"/>
  <c r="L44" i="2"/>
  <c r="J44" i="2"/>
  <c r="K44" i="2"/>
  <c r="K16" i="2"/>
  <c r="L16" i="2"/>
  <c r="J16" i="2"/>
  <c r="J8" i="2"/>
  <c r="K8" i="2"/>
  <c r="K20" i="2"/>
  <c r="J20" i="2"/>
  <c r="L8" i="2"/>
  <c r="L20" i="2"/>
  <c r="L24" i="2"/>
  <c r="L40" i="2"/>
  <c r="K52" i="2"/>
  <c r="L4" i="2"/>
  <c r="K24" i="2"/>
  <c r="K36" i="2"/>
  <c r="J24" i="2"/>
  <c r="K40" i="2"/>
  <c r="J60" i="2"/>
  <c r="L32" i="2"/>
  <c r="K60" i="2"/>
  <c r="J40" i="2"/>
  <c r="J32" i="2"/>
  <c r="K32" i="2"/>
  <c r="J36" i="2"/>
  <c r="L56" i="2"/>
  <c r="L12" i="2"/>
  <c r="J52" i="2"/>
  <c r="J56" i="2"/>
  <c r="L52" i="2"/>
  <c r="J12" i="2"/>
  <c r="L36" i="2"/>
  <c r="K12" i="2"/>
  <c r="K56" i="2"/>
  <c r="J4" i="2"/>
  <c r="L60" i="2"/>
  <c r="K4" i="2"/>
  <c r="J48" i="2"/>
  <c r="L48" i="2"/>
  <c r="K48" i="2"/>
  <c r="S1155" i="2"/>
  <c r="S1095" i="2"/>
  <c r="S1148" i="2"/>
  <c r="S1150" i="2"/>
  <c r="S1101" i="2"/>
  <c r="S1122" i="2"/>
  <c r="S1093" i="2"/>
  <c r="S1098" i="2"/>
  <c r="S1143" i="2"/>
  <c r="S1142" i="2"/>
  <c r="S1136" i="2"/>
  <c r="S1138" i="2"/>
  <c r="S1110" i="2"/>
  <c r="S1119" i="2"/>
  <c r="S1106" i="2"/>
  <c r="S1124" i="2"/>
  <c r="S1126" i="2"/>
  <c r="S1129" i="2"/>
  <c r="S1112" i="2"/>
  <c r="S1114" i="2"/>
  <c r="S1100" i="2"/>
  <c r="S1151" i="2"/>
  <c r="S1108" i="2"/>
  <c r="S1152" i="2"/>
  <c r="S1091" i="2"/>
  <c r="S1099" i="2"/>
  <c r="S1102" i="2"/>
  <c r="S1139" i="2"/>
  <c r="S1146" i="2"/>
  <c r="S1131" i="2"/>
  <c r="S1140" i="2"/>
  <c r="S1092" i="2"/>
  <c r="Q1092" i="2" s="1"/>
  <c r="S1128" i="2"/>
  <c r="S1147" i="2"/>
  <c r="S1157" i="2"/>
  <c r="S1127" i="2"/>
  <c r="S1116" i="2"/>
  <c r="S1107" i="2"/>
  <c r="S1154" i="2"/>
  <c r="S1156" i="2"/>
  <c r="S1135" i="2"/>
  <c r="S1145" i="2"/>
  <c r="S1115" i="2"/>
  <c r="S1117" i="2"/>
  <c r="S1104" i="2"/>
  <c r="S1130" i="2"/>
  <c r="S1118" i="2"/>
  <c r="S1144" i="2"/>
  <c r="S1123" i="2"/>
  <c r="S1133" i="2"/>
  <c r="S1103" i="2"/>
  <c r="S1125" i="2"/>
  <c r="S1113" i="2"/>
  <c r="S1094" i="2"/>
  <c r="Q1094" i="2" s="1"/>
  <c r="S1153" i="2"/>
  <c r="S1132" i="2"/>
  <c r="S1149" i="2"/>
  <c r="S1111" i="2"/>
  <c r="S1121" i="2"/>
  <c r="S1097" i="2"/>
  <c r="S1096" i="2"/>
  <c r="S1141" i="2"/>
  <c r="S1105" i="2"/>
  <c r="S1120" i="2"/>
  <c r="S1137" i="2"/>
  <c r="S1158" i="2"/>
  <c r="S1109" i="2"/>
  <c r="S1134" i="2"/>
  <c r="K1095" i="2"/>
  <c r="K1107" i="2"/>
  <c r="K1119" i="2"/>
  <c r="K1131" i="2"/>
  <c r="K1143" i="2"/>
  <c r="K1155" i="2"/>
  <c r="L1099" i="2"/>
  <c r="L1111" i="2"/>
  <c r="L1123" i="2"/>
  <c r="L1135" i="2"/>
  <c r="L1147" i="2"/>
  <c r="J1093" i="2"/>
  <c r="J1105" i="2"/>
  <c r="J1117" i="2"/>
  <c r="J1129" i="2"/>
  <c r="J1141" i="2"/>
  <c r="J1153" i="2"/>
  <c r="K1097" i="2"/>
  <c r="K1109" i="2"/>
  <c r="K1121" i="2"/>
  <c r="K1133" i="2"/>
  <c r="K1145" i="2"/>
  <c r="K1157" i="2"/>
  <c r="L1101" i="2"/>
  <c r="L1113" i="2"/>
  <c r="L1125" i="2"/>
  <c r="J1094" i="2"/>
  <c r="J1106" i="2"/>
  <c r="J1118" i="2"/>
  <c r="J1130" i="2"/>
  <c r="J1142" i="2"/>
  <c r="J1154" i="2"/>
  <c r="K1098" i="2"/>
  <c r="K1110" i="2"/>
  <c r="K1122" i="2"/>
  <c r="K1134" i="2"/>
  <c r="K1146" i="2"/>
  <c r="K1158" i="2"/>
  <c r="J1095" i="2"/>
  <c r="J1107" i="2"/>
  <c r="J1119" i="2"/>
  <c r="J1131" i="2"/>
  <c r="J1143" i="2"/>
  <c r="J1155" i="2"/>
  <c r="K1099" i="2"/>
  <c r="K1111" i="2"/>
  <c r="K1123" i="2"/>
  <c r="K1135" i="2"/>
  <c r="K1147" i="2"/>
  <c r="J1097" i="2"/>
  <c r="J1109" i="2"/>
  <c r="J1121" i="2"/>
  <c r="J1133" i="2"/>
  <c r="J1145" i="2"/>
  <c r="J1157" i="2"/>
  <c r="K1101" i="2"/>
  <c r="K1113" i="2"/>
  <c r="K1125" i="2"/>
  <c r="K1137" i="2"/>
  <c r="K1149" i="2"/>
  <c r="L1093" i="2"/>
  <c r="L1105" i="2"/>
  <c r="L1117" i="2"/>
  <c r="L1129" i="2"/>
  <c r="L1141" i="2"/>
  <c r="L1153" i="2"/>
  <c r="J1098" i="2"/>
  <c r="J1110" i="2"/>
  <c r="J1122" i="2"/>
  <c r="J1134" i="2"/>
  <c r="J1146" i="2"/>
  <c r="J1158" i="2"/>
  <c r="K1102" i="2"/>
  <c r="K1114" i="2"/>
  <c r="K1126" i="2"/>
  <c r="K1138" i="2"/>
  <c r="K1150" i="2"/>
  <c r="L1094" i="2"/>
  <c r="L1106" i="2"/>
  <c r="L1118" i="2"/>
  <c r="L1130" i="2"/>
  <c r="L1142" i="2"/>
  <c r="L1154" i="2"/>
  <c r="J1099" i="2"/>
  <c r="J1111" i="2"/>
  <c r="J1123" i="2"/>
  <c r="J1135" i="2"/>
  <c r="J1147" i="2"/>
  <c r="K1091" i="2"/>
  <c r="K1103" i="2"/>
  <c r="K1115" i="2"/>
  <c r="K1127" i="2"/>
  <c r="K1139" i="2"/>
  <c r="K1151" i="2"/>
  <c r="L1095" i="2"/>
  <c r="L1107" i="2"/>
  <c r="L1119" i="2"/>
  <c r="L1131" i="2"/>
  <c r="L1143" i="2"/>
  <c r="L1155" i="2"/>
  <c r="J1101" i="2"/>
  <c r="J1113" i="2"/>
  <c r="J1125" i="2"/>
  <c r="J1137" i="2"/>
  <c r="J1149" i="2"/>
  <c r="K1093" i="2"/>
  <c r="K1105" i="2"/>
  <c r="K1117" i="2"/>
  <c r="K1129" i="2"/>
  <c r="K1141" i="2"/>
  <c r="K1153" i="2"/>
  <c r="L1097" i="2"/>
  <c r="L1109" i="2"/>
  <c r="L1121" i="2"/>
  <c r="L1133" i="2"/>
  <c r="L1145" i="2"/>
  <c r="L1157" i="2"/>
  <c r="K1094" i="2"/>
  <c r="K1106" i="2"/>
  <c r="K1118" i="2"/>
  <c r="K1130" i="2"/>
  <c r="K1142" i="2"/>
  <c r="K1154" i="2"/>
  <c r="L1098" i="2"/>
  <c r="L1110" i="2"/>
  <c r="L1122" i="2"/>
  <c r="L1134" i="2"/>
  <c r="L1146" i="2"/>
  <c r="L1158" i="2"/>
  <c r="J1151" i="2"/>
  <c r="L1137" i="2"/>
  <c r="J1139" i="2"/>
  <c r="J1127" i="2"/>
  <c r="J1115" i="2"/>
  <c r="J1103" i="2"/>
  <c r="J1091" i="2"/>
  <c r="L1139" i="2"/>
  <c r="L1150" i="2"/>
  <c r="J1150" i="2"/>
  <c r="L1127" i="2"/>
  <c r="L1138" i="2"/>
  <c r="J1138" i="2"/>
  <c r="L1115" i="2"/>
  <c r="L1151" i="2"/>
  <c r="L1126" i="2"/>
  <c r="J1126" i="2"/>
  <c r="L1103" i="2"/>
  <c r="L1114" i="2"/>
  <c r="J1114" i="2"/>
  <c r="L1091" i="2"/>
  <c r="L1102" i="2"/>
  <c r="J1102" i="2"/>
  <c r="L1149" i="2"/>
  <c r="K1083" i="2"/>
  <c r="K1071" i="2"/>
  <c r="L1067" i="2"/>
  <c r="K1059" i="2"/>
  <c r="L1055" i="2"/>
  <c r="K1047" i="2"/>
  <c r="J1089" i="2"/>
  <c r="K1085" i="2"/>
  <c r="L1081" i="2"/>
  <c r="J1077" i="2"/>
  <c r="K1073" i="2"/>
  <c r="L1069" i="2"/>
  <c r="J1065" i="2"/>
  <c r="K1061" i="2"/>
  <c r="L1057" i="2"/>
  <c r="J1053" i="2"/>
  <c r="K1049" i="2"/>
  <c r="J1090" i="2"/>
  <c r="K1086" i="2"/>
  <c r="L1082" i="2"/>
  <c r="J1078" i="2"/>
  <c r="K1074" i="2"/>
  <c r="L1070" i="2"/>
  <c r="J1066" i="2"/>
  <c r="K1062" i="2"/>
  <c r="L1058" i="2"/>
  <c r="J1054" i="2"/>
  <c r="K1050" i="2"/>
  <c r="K1087" i="2"/>
  <c r="L1083" i="2"/>
  <c r="K1075" i="2"/>
  <c r="L1071" i="2"/>
  <c r="J1067" i="2"/>
  <c r="K1063" i="2"/>
  <c r="J1055" i="2"/>
  <c r="K1051" i="2"/>
  <c r="L1047" i="2"/>
  <c r="K1089" i="2"/>
  <c r="K1077" i="2"/>
  <c r="K1065" i="2"/>
  <c r="K1053" i="2"/>
  <c r="K1090" i="2"/>
  <c r="K1078" i="2"/>
  <c r="J1070" i="2"/>
  <c r="K1066" i="2"/>
  <c r="J1058" i="2"/>
  <c r="K1054" i="2"/>
  <c r="L1087" i="2"/>
  <c r="J1083" i="2"/>
  <c r="K1079" i="2"/>
  <c r="K1067" i="2"/>
  <c r="K1055" i="2"/>
  <c r="J1047" i="2"/>
  <c r="L1089" i="2"/>
  <c r="K1081" i="2"/>
  <c r="L1077" i="2"/>
  <c r="K1069" i="2"/>
  <c r="L1065" i="2"/>
  <c r="K1057" i="2"/>
  <c r="L1053" i="2"/>
  <c r="L1090" i="2"/>
  <c r="K1082" i="2"/>
  <c r="K1070" i="2"/>
  <c r="K1058" i="2"/>
  <c r="L1059" i="2"/>
  <c r="J1087" i="2"/>
  <c r="J1049" i="2"/>
  <c r="L1063" i="2"/>
  <c r="L1078" i="2"/>
  <c r="J1075" i="2"/>
  <c r="L1061" i="2"/>
  <c r="J1061" i="2"/>
  <c r="L1075" i="2"/>
  <c r="L1086" i="2"/>
  <c r="J1081" i="2"/>
  <c r="J1073" i="2"/>
  <c r="L1085" i="2"/>
  <c r="J1085" i="2"/>
  <c r="J1063" i="2"/>
  <c r="L1054" i="2"/>
  <c r="L1074" i="2"/>
  <c r="J1082" i="2"/>
  <c r="J1069" i="2"/>
  <c r="L1050" i="2"/>
  <c r="J1050" i="2"/>
  <c r="J1079" i="2"/>
  <c r="L1062" i="2"/>
  <c r="J1062" i="2"/>
  <c r="J1074" i="2"/>
  <c r="J1059" i="2"/>
  <c r="L1066" i="2"/>
  <c r="J1057" i="2"/>
  <c r="L1073" i="2"/>
  <c r="J1086" i="2"/>
  <c r="J1071" i="2"/>
  <c r="L1079" i="2"/>
  <c r="J1051" i="2"/>
  <c r="L1049" i="2"/>
  <c r="L1051" i="2"/>
  <c r="S1075" i="2"/>
  <c r="S1063" i="2"/>
  <c r="S1088" i="2"/>
  <c r="S1076" i="2"/>
  <c r="S1089" i="2"/>
  <c r="S1077" i="2"/>
  <c r="S1065" i="2"/>
  <c r="S1053" i="2"/>
  <c r="S1090" i="2"/>
  <c r="S1078" i="2"/>
  <c r="S1066" i="2"/>
  <c r="S1054" i="2"/>
  <c r="S1080" i="2"/>
  <c r="S1079" i="2"/>
  <c r="S1067" i="2"/>
  <c r="S1055" i="2"/>
  <c r="S1068" i="2"/>
  <c r="S1052" i="2"/>
  <c r="S1083" i="2"/>
  <c r="S1047" i="2"/>
  <c r="S1064" i="2"/>
  <c r="S1056" i="2"/>
  <c r="S1085" i="2"/>
  <c r="S1073" i="2"/>
  <c r="S1061" i="2"/>
  <c r="S1049" i="2"/>
  <c r="S1086" i="2"/>
  <c r="S1074" i="2"/>
  <c r="S1058" i="2"/>
  <c r="S1051" i="2"/>
  <c r="S1059" i="2"/>
  <c r="S1081" i="2"/>
  <c r="S1069" i="2"/>
  <c r="S1050" i="2"/>
  <c r="S1084" i="2"/>
  <c r="S1062" i="2"/>
  <c r="S1082" i="2"/>
  <c r="S1087" i="2"/>
  <c r="S1072" i="2"/>
  <c r="S1057" i="2"/>
  <c r="S1048" i="2"/>
  <c r="S1070" i="2"/>
  <c r="S1060" i="2"/>
  <c r="S1071" i="2"/>
  <c r="K1043" i="2"/>
  <c r="K1044" i="2"/>
  <c r="K1045" i="2"/>
  <c r="K1046" i="2"/>
  <c r="L1043" i="2"/>
  <c r="L1045" i="2"/>
  <c r="L1046" i="2"/>
  <c r="J1046" i="2"/>
  <c r="J1045" i="2"/>
  <c r="J1044" i="2"/>
  <c r="J1043" i="2"/>
  <c r="L1044" i="2"/>
  <c r="S1044" i="2"/>
  <c r="S1045" i="2"/>
  <c r="S1043" i="2"/>
  <c r="S1046" i="2"/>
  <c r="J1041" i="2"/>
  <c r="J1042" i="2"/>
  <c r="K1039" i="2"/>
  <c r="K1040" i="2"/>
  <c r="K1041" i="2"/>
  <c r="K1042" i="2"/>
  <c r="L1039" i="2"/>
  <c r="L1041" i="2"/>
  <c r="L1042" i="2"/>
  <c r="L1040" i="2"/>
  <c r="J1040" i="2"/>
  <c r="J1039" i="2"/>
  <c r="S1041" i="2"/>
  <c r="S1042" i="2"/>
  <c r="S1040" i="2"/>
  <c r="S1039" i="2"/>
  <c r="J1037" i="2"/>
  <c r="J1038" i="2"/>
  <c r="K1035" i="2"/>
  <c r="K1036" i="2"/>
  <c r="K1037" i="2"/>
  <c r="K1038" i="2"/>
  <c r="L1035" i="2"/>
  <c r="L1037" i="2"/>
  <c r="L1038" i="2"/>
  <c r="J1036" i="2"/>
  <c r="L1036" i="2"/>
  <c r="J1035" i="2"/>
  <c r="S1036" i="2"/>
  <c r="S1037" i="2"/>
  <c r="S1035" i="2"/>
  <c r="S1038" i="2"/>
  <c r="K1027" i="2"/>
  <c r="K1028" i="2"/>
  <c r="K1029" i="2"/>
  <c r="K1030" i="2"/>
  <c r="K1031" i="2"/>
  <c r="L1027" i="2"/>
  <c r="K1032" i="2"/>
  <c r="K1033" i="2"/>
  <c r="L1029" i="2"/>
  <c r="K1034" i="2"/>
  <c r="L1030" i="2"/>
  <c r="J1027" i="2"/>
  <c r="L1033" i="2"/>
  <c r="J1029" i="2"/>
  <c r="J1030" i="2"/>
  <c r="L1028" i="2"/>
  <c r="J1034" i="2"/>
  <c r="L1031" i="2"/>
  <c r="J1033" i="2"/>
  <c r="J1032" i="2"/>
  <c r="J1028" i="2"/>
  <c r="J1031" i="2"/>
  <c r="L1032" i="2"/>
  <c r="L1034" i="2"/>
  <c r="S1032" i="2"/>
  <c r="S1028" i="2"/>
  <c r="S1029" i="2"/>
  <c r="S1030" i="2"/>
  <c r="S1033" i="2"/>
  <c r="S1031" i="2"/>
  <c r="S1034" i="2"/>
  <c r="S1027" i="2"/>
  <c r="K1024" i="2"/>
  <c r="K1025" i="2"/>
  <c r="K1026" i="2"/>
  <c r="L1024" i="2"/>
  <c r="L1025" i="2"/>
  <c r="L1026" i="2"/>
  <c r="J1024" i="2"/>
  <c r="J1025" i="2"/>
  <c r="J1026" i="2"/>
  <c r="S1024" i="2"/>
  <c r="S1025" i="2"/>
  <c r="S1026" i="2"/>
  <c r="Q1026" i="2" s="1"/>
  <c r="S1008" i="2"/>
  <c r="S842" i="2"/>
  <c r="S910" i="2"/>
  <c r="S822" i="2"/>
  <c r="S819" i="2"/>
  <c r="S921" i="2"/>
  <c r="S848" i="2"/>
  <c r="S963" i="2"/>
  <c r="S916" i="2"/>
  <c r="S926" i="2"/>
  <c r="S854" i="2"/>
  <c r="S772" i="2"/>
  <c r="S1017" i="2"/>
  <c r="S830" i="2"/>
  <c r="S712" i="2"/>
  <c r="S943" i="2"/>
  <c r="S871" i="2"/>
  <c r="S793" i="2"/>
  <c r="S845" i="2"/>
  <c r="S996" i="2"/>
  <c r="S924" i="2"/>
  <c r="S852" i="2"/>
  <c r="S777" i="2"/>
  <c r="S749" i="2"/>
  <c r="S953" i="2"/>
  <c r="S881" i="2"/>
  <c r="S652" i="2"/>
  <c r="S599" i="2"/>
  <c r="S677" i="2"/>
  <c r="S696" i="2"/>
  <c r="S734" i="2"/>
  <c r="S495" i="2"/>
  <c r="S757" i="2"/>
  <c r="S635" i="2"/>
  <c r="S620" i="2"/>
  <c r="S623" i="2"/>
  <c r="S658" i="2"/>
  <c r="S755" i="2"/>
  <c r="S611" i="2"/>
  <c r="S517" i="2"/>
  <c r="S462" i="2"/>
  <c r="S493" i="2"/>
  <c r="S505" i="2"/>
  <c r="S498" i="2"/>
  <c r="S569" i="2"/>
  <c r="S455" i="2"/>
  <c r="S476" i="2"/>
  <c r="S484" i="2"/>
  <c r="S536" i="2"/>
  <c r="S461" i="2"/>
  <c r="S486" i="2"/>
  <c r="S391" i="2"/>
  <c r="S419" i="2"/>
  <c r="S305" i="2"/>
  <c r="S379" i="2"/>
  <c r="S557" i="2"/>
  <c r="S399" i="2"/>
  <c r="S242" i="2"/>
  <c r="S257" i="2"/>
  <c r="S355" i="2"/>
  <c r="S285" i="2"/>
  <c r="S313" i="2"/>
  <c r="S384" i="2"/>
  <c r="S404" i="2"/>
  <c r="S316" i="2"/>
  <c r="S296" i="2"/>
  <c r="S290" i="2"/>
  <c r="S123" i="2"/>
  <c r="S246" i="2"/>
  <c r="S214" i="2"/>
  <c r="S343" i="2"/>
  <c r="S220" i="2"/>
  <c r="S219" i="2"/>
  <c r="S251" i="2"/>
  <c r="S128" i="2"/>
  <c r="S105" i="2"/>
  <c r="S4" i="2"/>
  <c r="S107" i="2"/>
  <c r="S67" i="2"/>
  <c r="S77" i="2"/>
  <c r="S173" i="2"/>
  <c r="S54" i="2"/>
  <c r="Q54" i="2" s="1"/>
  <c r="S188" i="2"/>
  <c r="S113" i="2"/>
  <c r="S131" i="2"/>
  <c r="S1002" i="2"/>
  <c r="S824" i="2"/>
  <c r="S904" i="2"/>
  <c r="S821" i="2"/>
  <c r="S817" i="2"/>
  <c r="S915" i="2"/>
  <c r="S818" i="2"/>
  <c r="S840" i="2"/>
  <c r="S975" i="2"/>
  <c r="S920" i="2"/>
  <c r="S847" i="2"/>
  <c r="S771" i="2"/>
  <c r="S1011" i="2"/>
  <c r="S806" i="2"/>
  <c r="S591" i="2"/>
  <c r="S937" i="2"/>
  <c r="S865" i="2"/>
  <c r="S775" i="2"/>
  <c r="S837" i="2"/>
  <c r="S990" i="2"/>
  <c r="S918" i="2"/>
  <c r="S836" i="2"/>
  <c r="S760" i="2"/>
  <c r="S731" i="2"/>
  <c r="S947" i="2"/>
  <c r="S875" i="2"/>
  <c r="S617" i="2"/>
  <c r="S570" i="2"/>
  <c r="S665" i="2"/>
  <c r="S676" i="2"/>
  <c r="S714" i="2"/>
  <c r="S507" i="2"/>
  <c r="S751" i="2"/>
  <c r="S633" i="2"/>
  <c r="S702" i="2"/>
  <c r="S619" i="2"/>
  <c r="S744" i="2"/>
  <c r="S534" i="2"/>
  <c r="S657" i="2"/>
  <c r="S709" i="2"/>
  <c r="S524" i="2"/>
  <c r="S535" i="2"/>
  <c r="S449" i="2"/>
  <c r="S490" i="2"/>
  <c r="S492" i="2"/>
  <c r="S494" i="2"/>
  <c r="S531" i="2"/>
  <c r="S454" i="2"/>
  <c r="S457" i="2"/>
  <c r="S481" i="2"/>
  <c r="S522" i="2"/>
  <c r="S445" i="2"/>
  <c r="S448" i="2"/>
  <c r="S358" i="2"/>
  <c r="S298" i="2"/>
  <c r="S551" i="2"/>
  <c r="S442" i="2"/>
  <c r="S354" i="2"/>
  <c r="S247" i="2"/>
  <c r="S287" i="2"/>
  <c r="S326" i="2"/>
  <c r="S383" i="2"/>
  <c r="S349" i="2"/>
  <c r="S281" i="2"/>
  <c r="S122" i="2"/>
  <c r="S213" i="2"/>
  <c r="S337" i="2"/>
  <c r="S198" i="2"/>
  <c r="S218" i="2"/>
  <c r="S823" i="2"/>
  <c r="S898" i="2"/>
  <c r="S742" i="2"/>
  <c r="S726" i="2"/>
  <c r="S909" i="2"/>
  <c r="S816" i="2"/>
  <c r="S832" i="2"/>
  <c r="S998" i="2"/>
  <c r="S914" i="2"/>
  <c r="S839" i="2"/>
  <c r="S769" i="2"/>
  <c r="S999" i="2"/>
  <c r="S804" i="2"/>
  <c r="S1003" i="2"/>
  <c r="S931" i="2"/>
  <c r="S859" i="2"/>
  <c r="S738" i="2"/>
  <c r="S829" i="2"/>
  <c r="S984" i="2"/>
  <c r="S912" i="2"/>
  <c r="S828" i="2"/>
  <c r="S759" i="2"/>
  <c r="S704" i="2"/>
  <c r="S941" i="2"/>
  <c r="S869" i="2"/>
  <c r="S678" i="2"/>
  <c r="S558" i="2"/>
  <c r="S651" i="2"/>
  <c r="S675" i="2"/>
  <c r="S487" i="2"/>
  <c r="S745" i="2"/>
  <c r="S632" i="2"/>
  <c r="S692" i="2"/>
  <c r="S603" i="2"/>
  <c r="S499" i="2"/>
  <c r="S644" i="2"/>
  <c r="S690" i="2"/>
  <c r="S730" i="2"/>
  <c r="S451" i="2"/>
  <c r="S713" i="2"/>
  <c r="S892" i="2"/>
  <c r="S725" i="2"/>
  <c r="S706" i="2"/>
  <c r="S903" i="2"/>
  <c r="S815" i="2"/>
  <c r="S811" i="2"/>
  <c r="S992" i="2"/>
  <c r="S908" i="2"/>
  <c r="S831" i="2"/>
  <c r="S697" i="2"/>
  <c r="S886" i="2"/>
  <c r="S695" i="2"/>
  <c r="S976" i="2"/>
  <c r="S897" i="2"/>
  <c r="S765" i="2"/>
  <c r="S767" i="2"/>
  <c r="S974" i="2"/>
  <c r="S902" i="2"/>
  <c r="S814" i="2"/>
  <c r="S707" i="2"/>
  <c r="S969" i="2"/>
  <c r="S799" i="2"/>
  <c r="S991" i="2"/>
  <c r="S919" i="2"/>
  <c r="S846" i="2"/>
  <c r="S668" i="2"/>
  <c r="S794" i="2"/>
  <c r="S972" i="2"/>
  <c r="S900" i="2"/>
  <c r="S789" i="2"/>
  <c r="S693" i="2"/>
  <c r="S662" i="2"/>
  <c r="S929" i="2"/>
  <c r="S857" i="2"/>
  <c r="S653" i="2"/>
  <c r="S590" i="2"/>
  <c r="S612" i="2"/>
  <c r="S650" i="2"/>
  <c r="S674" i="2"/>
  <c r="S733" i="2"/>
  <c r="S616" i="2"/>
  <c r="S673" i="2"/>
  <c r="S596" i="2"/>
  <c r="S720" i="2"/>
  <c r="S719" i="2"/>
  <c r="S622" i="2"/>
  <c r="S689" i="2"/>
  <c r="S394" i="2"/>
  <c r="S409" i="2"/>
  <c r="S453" i="2"/>
  <c r="S469" i="2"/>
  <c r="S502" i="2"/>
  <c r="S431" i="2"/>
  <c r="S475" i="2"/>
  <c r="S592" i="2"/>
  <c r="S503" i="2"/>
  <c r="S458" i="2"/>
  <c r="S423" i="2"/>
  <c r="S435" i="2"/>
  <c r="S295" i="2"/>
  <c r="S216" i="2"/>
  <c r="S321" i="2"/>
  <c r="S527" i="2"/>
  <c r="S338" i="2"/>
  <c r="S424" i="2"/>
  <c r="S351" i="2"/>
  <c r="S386" i="2"/>
  <c r="S447" i="2"/>
  <c r="S272" i="2"/>
  <c r="S328" i="2"/>
  <c r="S294" i="2"/>
  <c r="S270" i="2"/>
  <c r="S258" i="2"/>
  <c r="S179" i="2"/>
  <c r="S152" i="2"/>
  <c r="S286" i="2"/>
  <c r="S231" i="2"/>
  <c r="S226" i="2"/>
  <c r="S273" i="2"/>
  <c r="S229" i="2"/>
  <c r="S168" i="2"/>
  <c r="S159" i="2"/>
  <c r="S23" i="2"/>
  <c r="S17" i="2"/>
  <c r="S89" i="2"/>
  <c r="S71" i="2"/>
  <c r="S141" i="2"/>
  <c r="S82" i="2"/>
  <c r="S53" i="2"/>
  <c r="S682" i="2"/>
  <c r="S874" i="2"/>
  <c r="S646" i="2"/>
  <c r="S981" i="2"/>
  <c r="S885" i="2"/>
  <c r="S717" i="2"/>
  <c r="S711" i="2"/>
  <c r="S962" i="2"/>
  <c r="S890" i="2"/>
  <c r="S812" i="2"/>
  <c r="S1018" i="2"/>
  <c r="S1022" i="2"/>
  <c r="S770" i="2"/>
  <c r="S979" i="2"/>
  <c r="S907" i="2"/>
  <c r="S801" i="2"/>
  <c r="S667" i="2"/>
  <c r="S791" i="2"/>
  <c r="S960" i="2"/>
  <c r="S888" i="2"/>
  <c r="S786" i="2"/>
  <c r="S790" i="2"/>
  <c r="S1007" i="2"/>
  <c r="S917" i="2"/>
  <c r="S843" i="2"/>
  <c r="S825" i="2"/>
  <c r="S670" i="2"/>
  <c r="S868" i="2"/>
  <c r="S641" i="2"/>
  <c r="S951" i="2"/>
  <c r="S879" i="2"/>
  <c r="S716" i="2"/>
  <c r="S710" i="2"/>
  <c r="S956" i="2"/>
  <c r="S884" i="2"/>
  <c r="S810" i="2"/>
  <c r="S1000" i="2"/>
  <c r="S1016" i="2"/>
  <c r="S761" i="2"/>
  <c r="S973" i="2"/>
  <c r="S901" i="2"/>
  <c r="S800" i="2"/>
  <c r="S637" i="2"/>
  <c r="S787" i="2"/>
  <c r="S954" i="2"/>
  <c r="S882" i="2"/>
  <c r="S785" i="2"/>
  <c r="S754" i="2"/>
  <c r="S1001" i="2"/>
  <c r="S911" i="2"/>
  <c r="S835" i="2"/>
  <c r="S656" i="2"/>
  <c r="S862" i="2"/>
  <c r="S988" i="2"/>
  <c r="S849" i="2"/>
  <c r="S945" i="2"/>
  <c r="S873" i="2"/>
  <c r="S687" i="2"/>
  <c r="S688" i="2"/>
  <c r="S950" i="2"/>
  <c r="S878" i="2"/>
  <c r="S809" i="2"/>
  <c r="S982" i="2"/>
  <c r="S1010" i="2"/>
  <c r="S748" i="2"/>
  <c r="S967" i="2"/>
  <c r="S895" i="2"/>
  <c r="S798" i="2"/>
  <c r="S1012" i="2"/>
  <c r="S776" i="2"/>
  <c r="S948" i="2"/>
  <c r="S876" i="2"/>
  <c r="S784" i="2"/>
  <c r="S782" i="2"/>
  <c r="S977" i="2"/>
  <c r="S905" i="2"/>
  <c r="S826" i="2"/>
  <c r="S735" i="2"/>
  <c r="S528" i="2"/>
  <c r="S764" i="2"/>
  <c r="S564" i="2"/>
  <c r="S583" i="2"/>
  <c r="S561" i="2"/>
  <c r="S627" i="2"/>
  <c r="S1014" i="2"/>
  <c r="S649" i="2"/>
  <c r="S856" i="2"/>
  <c r="S970" i="2"/>
  <c r="S841" i="2"/>
  <c r="S939" i="2"/>
  <c r="S867" i="2"/>
  <c r="S1006" i="2"/>
  <c r="S664" i="2"/>
  <c r="S944" i="2"/>
  <c r="S872" i="2"/>
  <c r="S808" i="2"/>
  <c r="S958" i="2"/>
  <c r="S1004" i="2"/>
  <c r="S737" i="2"/>
  <c r="S961" i="2"/>
  <c r="S889" i="2"/>
  <c r="S797" i="2"/>
  <c r="S1021" i="2"/>
  <c r="S740" i="2"/>
  <c r="S942" i="2"/>
  <c r="S870" i="2"/>
  <c r="S783" i="2"/>
  <c r="S778" i="2"/>
  <c r="S971" i="2"/>
  <c r="S899" i="2"/>
  <c r="S732" i="2"/>
  <c r="S729" i="2"/>
  <c r="S715" i="2"/>
  <c r="S758" i="2"/>
  <c r="S559" i="2"/>
  <c r="S573" i="2"/>
  <c r="S1020" i="2"/>
  <c r="S989" i="2"/>
  <c r="S952" i="2"/>
  <c r="S850" i="2"/>
  <c r="S946" i="2"/>
  <c r="S833" i="2"/>
  <c r="S983" i="2"/>
  <c r="S891" i="2"/>
  <c r="S896" i="2"/>
  <c r="S986" i="2"/>
  <c r="S883" i="2"/>
  <c r="S701" i="2"/>
  <c r="S781" i="2"/>
  <c r="S893" i="2"/>
  <c r="S610" i="2"/>
  <c r="S703" i="2"/>
  <c r="S553" i="2"/>
  <c r="S629" i="2"/>
  <c r="S607" i="2"/>
  <c r="S606" i="2"/>
  <c r="S609" i="2"/>
  <c r="S581" i="2"/>
  <c r="S562" i="2"/>
  <c r="S513" i="2"/>
  <c r="S473" i="2"/>
  <c r="S500" i="2"/>
  <c r="S388" i="2"/>
  <c r="S359" i="2"/>
  <c r="S478" i="2"/>
  <c r="S433" i="2"/>
  <c r="S331" i="2"/>
  <c r="S380" i="2"/>
  <c r="S410" i="2"/>
  <c r="S265" i="2"/>
  <c r="S387" i="2"/>
  <c r="S301" i="2"/>
  <c r="S465" i="2"/>
  <c r="S361" i="2"/>
  <c r="S271" i="2"/>
  <c r="S210" i="2"/>
  <c r="S289" i="2"/>
  <c r="S268" i="2"/>
  <c r="S244" i="2"/>
  <c r="S253" i="2"/>
  <c r="S98" i="2"/>
  <c r="S161" i="2"/>
  <c r="S261" i="2"/>
  <c r="S184" i="2"/>
  <c r="S143" i="2"/>
  <c r="S209" i="2"/>
  <c r="S84" i="2"/>
  <c r="S79" i="2"/>
  <c r="S157" i="2"/>
  <c r="S48" i="2"/>
  <c r="S46" i="2"/>
  <c r="Q46" i="2" s="1"/>
  <c r="S171" i="2"/>
  <c r="S121" i="2"/>
  <c r="S109" i="2"/>
  <c r="S51" i="2"/>
  <c r="S19" i="2"/>
  <c r="S866" i="2"/>
  <c r="S980" i="2"/>
  <c r="S679" i="2"/>
  <c r="S780" i="2"/>
  <c r="S887" i="2"/>
  <c r="S615" i="2"/>
  <c r="S774" i="2"/>
  <c r="S577" i="2"/>
  <c r="S580" i="2"/>
  <c r="S519" i="2"/>
  <c r="S508" i="2"/>
  <c r="S472" i="2"/>
  <c r="S568" i="2"/>
  <c r="S456" i="2"/>
  <c r="S282" i="2"/>
  <c r="S563" i="2"/>
  <c r="S277" i="2"/>
  <c r="S329" i="2"/>
  <c r="S207" i="2"/>
  <c r="S280" i="2"/>
  <c r="S241" i="2"/>
  <c r="S293" i="2"/>
  <c r="S250" i="2"/>
  <c r="S135" i="2"/>
  <c r="S203" i="2"/>
  <c r="S126" i="2"/>
  <c r="S76" i="2"/>
  <c r="S78" i="2"/>
  <c r="S45" i="2"/>
  <c r="S163" i="2"/>
  <c r="S39" i="2"/>
  <c r="S13" i="2"/>
  <c r="S860" i="2"/>
  <c r="S803" i="2"/>
  <c r="S978" i="2"/>
  <c r="S863" i="2"/>
  <c r="S663" i="2"/>
  <c r="S683" i="2"/>
  <c r="S624" i="2"/>
  <c r="S597" i="2"/>
  <c r="S518" i="2"/>
  <c r="S467" i="2"/>
  <c r="S468" i="2"/>
  <c r="S548" i="2"/>
  <c r="S483" i="2"/>
  <c r="S446" i="2"/>
  <c r="S390" i="2"/>
  <c r="S322" i="2"/>
  <c r="S416" i="2"/>
  <c r="S206" i="2"/>
  <c r="S211" i="2"/>
  <c r="S195" i="2"/>
  <c r="S323" i="2"/>
  <c r="S235" i="2"/>
  <c r="S127" i="2"/>
  <c r="S75" i="2"/>
  <c r="S20" i="2"/>
  <c r="S155" i="2"/>
  <c r="S33" i="2"/>
  <c r="S7" i="2"/>
  <c r="S42" i="2"/>
  <c r="Q42" i="2" s="1"/>
  <c r="S861" i="2"/>
  <c r="S877" i="2"/>
  <c r="S589" i="2"/>
  <c r="S512" i="2"/>
  <c r="S367" i="2"/>
  <c r="S533" i="2"/>
  <c r="S369" i="2"/>
  <c r="S368" i="2"/>
  <c r="S441" i="2"/>
  <c r="S260" i="2"/>
  <c r="S245" i="2"/>
  <c r="S112" i="2"/>
  <c r="S160" i="2"/>
  <c r="S73" i="2"/>
  <c r="S149" i="2"/>
  <c r="S110" i="2"/>
  <c r="S853" i="2"/>
  <c r="S549" i="2"/>
  <c r="S576" i="2"/>
  <c r="S510" i="2"/>
  <c r="S348" i="2"/>
  <c r="S425" i="2"/>
  <c r="S292" i="2"/>
  <c r="S194" i="2"/>
  <c r="S239" i="2"/>
  <c r="S144" i="2"/>
  <c r="S72" i="2"/>
  <c r="S52" i="2"/>
  <c r="S186" i="2"/>
  <c r="S1023" i="2"/>
  <c r="S855" i="2"/>
  <c r="S722" i="2"/>
  <c r="S555" i="2"/>
  <c r="S762" i="2"/>
  <c r="S588" i="2"/>
  <c r="S422" i="2"/>
  <c r="S545" i="2"/>
  <c r="S303" i="2"/>
  <c r="S274" i="2"/>
  <c r="S197" i="2"/>
  <c r="S133" i="2"/>
  <c r="S22" i="2"/>
  <c r="Q22" i="2" s="1"/>
  <c r="S147" i="2"/>
  <c r="S743" i="2"/>
  <c r="S813" i="2"/>
  <c r="S773" i="2"/>
  <c r="S838" i="2"/>
  <c r="S966" i="2"/>
  <c r="S844" i="2"/>
  <c r="S851" i="2"/>
  <c r="S525" i="2"/>
  <c r="S614" i="2"/>
  <c r="S541" i="2"/>
  <c r="S684" i="2"/>
  <c r="S660" i="2"/>
  <c r="S756" i="2"/>
  <c r="S477" i="2"/>
  <c r="S567" i="2"/>
  <c r="S554" i="2"/>
  <c r="S708" i="2"/>
  <c r="S516" i="2"/>
  <c r="S496" i="2"/>
  <c r="S466" i="2"/>
  <c r="S385" i="2"/>
  <c r="S593" i="2"/>
  <c r="S575" i="2"/>
  <c r="S381" i="2"/>
  <c r="S412" i="2"/>
  <c r="S482" i="2"/>
  <c r="S427" i="2"/>
  <c r="S450" i="2"/>
  <c r="S335" i="2"/>
  <c r="S389" i="2"/>
  <c r="S539" i="2"/>
  <c r="S310" i="2"/>
  <c r="S366" i="2"/>
  <c r="S315" i="2"/>
  <c r="S176" i="2"/>
  <c r="S205" i="2"/>
  <c r="S166" i="2"/>
  <c r="S154" i="2"/>
  <c r="S238" i="2"/>
  <c r="S237" i="2"/>
  <c r="S136" i="2"/>
  <c r="S182" i="2"/>
  <c r="S68" i="2"/>
  <c r="S93" i="2"/>
  <c r="S74" i="2"/>
  <c r="S125" i="2"/>
  <c r="S41" i="2"/>
  <c r="S8" i="2"/>
  <c r="S27" i="2"/>
  <c r="S994" i="2"/>
  <c r="S807" i="2"/>
  <c r="S728" i="2"/>
  <c r="S796" i="2"/>
  <c r="S936" i="2"/>
  <c r="S753" i="2"/>
  <c r="S724" i="2"/>
  <c r="S747" i="2"/>
  <c r="S613" i="2"/>
  <c r="S661" i="2"/>
  <c r="S647" i="2"/>
  <c r="S750" i="2"/>
  <c r="S532" i="2"/>
  <c r="S520" i="2"/>
  <c r="S489" i="2"/>
  <c r="S428" i="2"/>
  <c r="S601" i="2"/>
  <c r="S443" i="2"/>
  <c r="S378" i="2"/>
  <c r="S565" i="2"/>
  <c r="S414" i="2"/>
  <c r="S444" i="2"/>
  <c r="S320" i="2"/>
  <c r="S521" i="2"/>
  <c r="S309" i="2"/>
  <c r="S398" i="2"/>
  <c r="S365" i="2"/>
  <c r="S405" i="2"/>
  <c r="S392" i="2"/>
  <c r="S148" i="2"/>
  <c r="S190" i="2"/>
  <c r="S140" i="2"/>
  <c r="S153" i="2"/>
  <c r="S222" i="2"/>
  <c r="S234" i="2"/>
  <c r="S262" i="2"/>
  <c r="S162" i="2"/>
  <c r="S108" i="2"/>
  <c r="S118" i="2"/>
  <c r="S65" i="2"/>
  <c r="S92" i="2"/>
  <c r="S35" i="2"/>
  <c r="S70" i="2"/>
  <c r="S180" i="2"/>
  <c r="S139" i="2"/>
  <c r="S56" i="2"/>
  <c r="S21" i="2"/>
  <c r="S36" i="2"/>
  <c r="S61" i="2"/>
  <c r="S158" i="2"/>
  <c r="S91" i="2"/>
  <c r="S115" i="2"/>
  <c r="S132" i="2"/>
  <c r="S111" i="2"/>
  <c r="S6" i="2"/>
  <c r="Q6" i="2" s="1"/>
  <c r="S347" i="2"/>
  <c r="S333" i="2"/>
  <c r="S94" i="2"/>
  <c r="S254" i="2"/>
  <c r="S225" i="2"/>
  <c r="S59" i="2"/>
  <c r="S134" i="2"/>
  <c r="S88" i="2"/>
  <c r="S99" i="2"/>
  <c r="S47" i="2"/>
  <c r="S243" i="2"/>
  <c r="S129" i="2"/>
  <c r="S5" i="2"/>
  <c r="S29" i="2"/>
  <c r="S345" i="2"/>
  <c r="S256" i="2"/>
  <c r="S183" i="2"/>
  <c r="S86" i="2"/>
  <c r="S30" i="2"/>
  <c r="Q30" i="2" s="1"/>
  <c r="S396" i="2"/>
  <c r="S552" i="2"/>
  <c r="S440" i="2"/>
  <c r="S382" i="2"/>
  <c r="S341" i="2"/>
  <c r="S413" i="2"/>
  <c r="S199" i="2"/>
  <c r="S38" i="2"/>
  <c r="Q38" i="2" s="1"/>
  <c r="S189" i="2"/>
  <c r="S11" i="2"/>
  <c r="S686" i="2"/>
  <c r="S1013" i="2"/>
  <c r="S993" i="2"/>
  <c r="S805" i="2"/>
  <c r="S718" i="2"/>
  <c r="S795" i="2"/>
  <c r="S930" i="2"/>
  <c r="S768" i="2"/>
  <c r="S681" i="2"/>
  <c r="S741" i="2"/>
  <c r="S514" i="2"/>
  <c r="S636" i="2"/>
  <c r="S648" i="2"/>
  <c r="S630" i="2"/>
  <c r="S700" i="2"/>
  <c r="S574" i="2"/>
  <c r="S511" i="2"/>
  <c r="S464" i="2"/>
  <c r="S393" i="2"/>
  <c r="S586" i="2"/>
  <c r="S471" i="2"/>
  <c r="S421" i="2"/>
  <c r="S327" i="2"/>
  <c r="S546" i="2"/>
  <c r="S437" i="2"/>
  <c r="S408" i="2"/>
  <c r="S438" i="2"/>
  <c r="S318" i="2"/>
  <c r="S357" i="2"/>
  <c r="S515" i="2"/>
  <c r="S307" i="2"/>
  <c r="S353" i="2"/>
  <c r="S350" i="2"/>
  <c r="S360" i="2"/>
  <c r="S146" i="2"/>
  <c r="S137" i="2"/>
  <c r="S212" i="2"/>
  <c r="S138" i="2"/>
  <c r="S275" i="2"/>
  <c r="S221" i="2"/>
  <c r="S228" i="2"/>
  <c r="S236" i="2"/>
  <c r="S145" i="2"/>
  <c r="S117" i="2"/>
  <c r="S64" i="2"/>
  <c r="S10" i="2"/>
  <c r="Q10" i="2" s="1"/>
  <c r="S50" i="2"/>
  <c r="Q50" i="2" s="1"/>
  <c r="S100" i="2"/>
  <c r="S15" i="2"/>
  <c r="S374" i="2"/>
  <c r="S119" i="2"/>
  <c r="S191" i="2"/>
  <c r="S217" i="2"/>
  <c r="S130" i="2"/>
  <c r="S96" i="2"/>
  <c r="S37" i="2"/>
  <c r="S208" i="2"/>
  <c r="S102" i="2"/>
  <c r="S9" i="2"/>
  <c r="S177" i="2"/>
  <c r="S232" i="2"/>
  <c r="S87" i="2"/>
  <c r="S103" i="2"/>
  <c r="S60" i="2"/>
  <c r="S342" i="2"/>
  <c r="S240" i="2"/>
  <c r="S204" i="2"/>
  <c r="S12" i="2"/>
  <c r="S602" i="2"/>
  <c r="S474" i="2"/>
  <c r="S402" i="2"/>
  <c r="S430" i="2"/>
  <c r="S185" i="2"/>
  <c r="S164" i="2"/>
  <c r="S116" i="2"/>
  <c r="S114" i="2"/>
  <c r="S694" i="2"/>
  <c r="S736" i="2"/>
  <c r="S766" i="2"/>
  <c r="S997" i="2"/>
  <c r="S721" i="2"/>
  <c r="S906" i="2"/>
  <c r="S680" i="2"/>
  <c r="S666" i="2"/>
  <c r="S723" i="2"/>
  <c r="S752" i="2"/>
  <c r="S618" i="2"/>
  <c r="S626" i="2"/>
  <c r="S699" i="2"/>
  <c r="S779" i="2"/>
  <c r="S587" i="2"/>
  <c r="S579" i="2"/>
  <c r="S470" i="2"/>
  <c r="S584" i="2"/>
  <c r="S566" i="2"/>
  <c r="S537" i="2"/>
  <c r="S434" i="2"/>
  <c r="S370" i="2"/>
  <c r="S432" i="2"/>
  <c r="S336" i="2"/>
  <c r="S509" i="2"/>
  <c r="S300" i="2"/>
  <c r="S340" i="2"/>
  <c r="S352" i="2"/>
  <c r="S375" i="2"/>
  <c r="S362" i="2"/>
  <c r="S233" i="2"/>
  <c r="S18" i="2"/>
  <c r="Q18" i="2" s="1"/>
  <c r="S200" i="2"/>
  <c r="S14" i="2"/>
  <c r="Q14" i="2" s="1"/>
  <c r="S202" i="2"/>
  <c r="S124" i="2"/>
  <c r="S227" i="2"/>
  <c r="S196" i="2"/>
  <c r="S49" i="2"/>
  <c r="S654" i="2"/>
  <c r="S411" i="2"/>
  <c r="S325" i="2"/>
  <c r="S106" i="2"/>
  <c r="S175" i="2"/>
  <c r="S28" i="2"/>
  <c r="Q28" i="2" s="1"/>
  <c r="S928" i="2"/>
  <c r="S634" i="2"/>
  <c r="S1019" i="2"/>
  <c r="S985" i="2"/>
  <c r="S659" i="2"/>
  <c r="S894" i="2"/>
  <c r="S631" i="2"/>
  <c r="S640" i="2"/>
  <c r="S705" i="2"/>
  <c r="S746" i="2"/>
  <c r="S585" i="2"/>
  <c r="S604" i="2"/>
  <c r="S625" i="2"/>
  <c r="S691" i="2"/>
  <c r="S669" i="2"/>
  <c r="S698" i="2"/>
  <c r="S488" i="2"/>
  <c r="S373" i="2"/>
  <c r="S547" i="2"/>
  <c r="S415" i="2"/>
  <c r="S420" i="2"/>
  <c r="S426" i="2"/>
  <c r="S264" i="2"/>
  <c r="S319" i="2"/>
  <c r="S497" i="2"/>
  <c r="S299" i="2"/>
  <c r="S339" i="2"/>
  <c r="S346" i="2"/>
  <c r="S344" i="2"/>
  <c r="S363" i="2"/>
  <c r="S291" i="2"/>
  <c r="S332" i="2"/>
  <c r="S297" i="2"/>
  <c r="S267" i="2"/>
  <c r="S224" i="2"/>
  <c r="S62" i="2"/>
  <c r="Q62" i="2" s="1"/>
  <c r="S330" i="2"/>
  <c r="S201" i="2"/>
  <c r="S104" i="2"/>
  <c r="S16" i="2"/>
  <c r="S306" i="2"/>
  <c r="S304" i="2"/>
  <c r="S223" i="2"/>
  <c r="S69" i="2"/>
  <c r="S43" i="2"/>
  <c r="S880" i="2"/>
  <c r="S820" i="2"/>
  <c r="S964" i="2"/>
  <c r="S940" i="2"/>
  <c r="S955" i="2"/>
  <c r="S1015" i="2"/>
  <c r="S864" i="2"/>
  <c r="S965" i="2"/>
  <c r="S639" i="2"/>
  <c r="S638" i="2"/>
  <c r="S605" i="2"/>
  <c r="S595" i="2"/>
  <c r="S621" i="2"/>
  <c r="S655" i="2"/>
  <c r="S463" i="2"/>
  <c r="S439" i="2"/>
  <c r="S356" i="2"/>
  <c r="S560" i="2"/>
  <c r="S550" i="2"/>
  <c r="S459" i="2"/>
  <c r="S501" i="2"/>
  <c r="S538" i="2"/>
  <c r="S523" i="2"/>
  <c r="S407" i="2"/>
  <c r="S252" i="2"/>
  <c r="S308" i="2"/>
  <c r="S491" i="2"/>
  <c r="S276" i="2"/>
  <c r="S436" i="2"/>
  <c r="S317" i="2"/>
  <c r="S178" i="2"/>
  <c r="S40" i="2"/>
  <c r="S44" i="2"/>
  <c r="Q44" i="2" s="1"/>
  <c r="S526" i="2"/>
  <c r="S485" i="2"/>
  <c r="S269" i="2"/>
  <c r="S174" i="2"/>
  <c r="S24" i="2"/>
  <c r="S834" i="2"/>
  <c r="S1005" i="2"/>
  <c r="S968" i="2"/>
  <c r="S922" i="2"/>
  <c r="S949" i="2"/>
  <c r="S1009" i="2"/>
  <c r="S858" i="2"/>
  <c r="S959" i="2"/>
  <c r="S600" i="2"/>
  <c r="S685" i="2"/>
  <c r="S763" i="2"/>
  <c r="S594" i="2"/>
  <c r="S417" i="2"/>
  <c r="S506" i="2"/>
  <c r="S302" i="2"/>
  <c r="S142" i="2"/>
  <c r="S83" i="2"/>
  <c r="S933" i="2"/>
  <c r="S935" i="2"/>
  <c r="S556" i="2"/>
  <c r="S671" i="2"/>
  <c r="S643" i="2"/>
  <c r="S429" i="2"/>
  <c r="S480" i="2"/>
  <c r="S324" i="2"/>
  <c r="S263" i="2"/>
  <c r="S151" i="2"/>
  <c r="S25" i="2"/>
  <c r="S927" i="2"/>
  <c r="S923" i="2"/>
  <c r="S628" i="2"/>
  <c r="S642" i="2"/>
  <c r="S504" i="2"/>
  <c r="S400" i="2"/>
  <c r="S460" i="2"/>
  <c r="S284" i="2"/>
  <c r="S403" i="2"/>
  <c r="S101" i="2"/>
  <c r="S120" i="2"/>
  <c r="S377" i="2"/>
  <c r="S32" i="2"/>
  <c r="S255" i="2"/>
  <c r="S418" i="2"/>
  <c r="S938" i="2"/>
  <c r="S371" i="2"/>
  <c r="S156" i="2"/>
  <c r="S26" i="2"/>
  <c r="Q26" i="2" s="1"/>
  <c r="S81" i="2"/>
  <c r="S55" i="2"/>
  <c r="S608" i="2"/>
  <c r="S279" i="2"/>
  <c r="S452" i="2"/>
  <c r="S97" i="2"/>
  <c r="S544" i="2"/>
  <c r="S278" i="2"/>
  <c r="S479" i="2"/>
  <c r="S827" i="2"/>
  <c r="S170" i="2"/>
  <c r="S788" i="2"/>
  <c r="S542" i="2"/>
  <c r="S31" i="2"/>
  <c r="S934" i="2"/>
  <c r="S932" i="2"/>
  <c r="S739" i="2"/>
  <c r="S395" i="2"/>
  <c r="S401" i="2"/>
  <c r="S283" i="2"/>
  <c r="S187" i="2"/>
  <c r="S215" i="2"/>
  <c r="S80" i="2"/>
  <c r="S530" i="2"/>
  <c r="S397" i="2"/>
  <c r="S165" i="2"/>
  <c r="S259" i="2"/>
  <c r="S34" i="2"/>
  <c r="Q34" i="2" s="1"/>
  <c r="S645" i="2"/>
  <c r="S95" i="2"/>
  <c r="S311" i="2"/>
  <c r="S543" i="2"/>
  <c r="S987" i="2"/>
  <c r="S727" i="2"/>
  <c r="S372" i="2"/>
  <c r="S334" i="2"/>
  <c r="S266" i="2"/>
  <c r="S406" i="2"/>
  <c r="S288" i="2"/>
  <c r="S172" i="2"/>
  <c r="S181" i="2"/>
  <c r="S957" i="2"/>
  <c r="S572" i="2"/>
  <c r="S314" i="2"/>
  <c r="S230" i="2"/>
  <c r="S364" i="2"/>
  <c r="S248" i="2"/>
  <c r="S66" i="2"/>
  <c r="S376" i="2"/>
  <c r="S58" i="2"/>
  <c r="Q58" i="2" s="1"/>
  <c r="S582" i="2"/>
  <c r="S150" i="2"/>
  <c r="S925" i="2"/>
  <c r="S540" i="2"/>
  <c r="S672" i="2"/>
  <c r="S598" i="2"/>
  <c r="S529" i="2"/>
  <c r="S578" i="2"/>
  <c r="S167" i="2"/>
  <c r="S913" i="2"/>
  <c r="S192" i="2"/>
  <c r="S802" i="2"/>
  <c r="S571" i="2"/>
  <c r="S312" i="2"/>
  <c r="S249" i="2"/>
  <c r="S193" i="2"/>
  <c r="S85" i="2"/>
  <c r="S63" i="2"/>
  <c r="S90" i="2"/>
  <c r="S995" i="2"/>
  <c r="S792" i="2"/>
  <c r="S57" i="2"/>
  <c r="S169" i="2"/>
  <c r="K10" i="2"/>
  <c r="K19" i="2"/>
  <c r="K306" i="2"/>
  <c r="J71" i="2"/>
  <c r="J79" i="2"/>
  <c r="J139" i="2"/>
  <c r="K1023" i="2"/>
  <c r="J6" i="2"/>
  <c r="L151" i="2"/>
  <c r="K179" i="2"/>
  <c r="L1023" i="2"/>
  <c r="K45" i="2"/>
  <c r="L237" i="2"/>
  <c r="K265" i="2"/>
  <c r="K319" i="2"/>
  <c r="K14" i="2"/>
  <c r="J59" i="2"/>
  <c r="J117" i="2"/>
  <c r="K118" i="2"/>
  <c r="K119" i="2"/>
  <c r="K121" i="2"/>
  <c r="L122" i="2"/>
  <c r="K123" i="2"/>
  <c r="J147" i="2"/>
  <c r="K149" i="2"/>
  <c r="K23" i="2"/>
  <c r="L43" i="2"/>
  <c r="K51" i="2"/>
  <c r="K59" i="2"/>
  <c r="K117" i="2"/>
  <c r="L119" i="2"/>
  <c r="J131" i="2"/>
  <c r="J135" i="2"/>
  <c r="K31" i="2"/>
  <c r="K33" i="2"/>
  <c r="K50" i="2"/>
  <c r="L59" i="2"/>
  <c r="J83" i="2"/>
  <c r="J102" i="2"/>
  <c r="J103" i="2"/>
  <c r="J114" i="2"/>
  <c r="L130" i="2"/>
  <c r="K131" i="2"/>
  <c r="J133" i="2"/>
  <c r="L134" i="2"/>
  <c r="K135" i="2"/>
  <c r="K163" i="2"/>
  <c r="K202" i="2"/>
  <c r="J214" i="2"/>
  <c r="L131" i="2"/>
  <c r="L163" i="2"/>
  <c r="K30" i="2"/>
  <c r="L67" i="2"/>
  <c r="K75" i="2"/>
  <c r="L83" i="2"/>
  <c r="L102" i="2"/>
  <c r="L103" i="2"/>
  <c r="L133" i="2"/>
  <c r="J163" i="2"/>
  <c r="J243" i="2"/>
  <c r="J245" i="2"/>
  <c r="K267" i="2"/>
  <c r="J291" i="2"/>
  <c r="L293" i="2"/>
  <c r="L294" i="2"/>
  <c r="J346" i="2"/>
  <c r="K406" i="2"/>
  <c r="J407" i="2"/>
  <c r="K414" i="2"/>
  <c r="K415" i="2"/>
  <c r="K422" i="2"/>
  <c r="L425" i="2"/>
  <c r="K442" i="2"/>
  <c r="K443" i="2"/>
  <c r="J473" i="2"/>
  <c r="K157" i="2"/>
  <c r="L195" i="2"/>
  <c r="K243" i="2"/>
  <c r="L250" i="2"/>
  <c r="L285" i="2"/>
  <c r="L290" i="2"/>
  <c r="K291" i="2"/>
  <c r="K334" i="2"/>
  <c r="K339" i="2"/>
  <c r="K345" i="2"/>
  <c r="K354" i="2"/>
  <c r="K362" i="2"/>
  <c r="K367" i="2"/>
  <c r="J395" i="2"/>
  <c r="J403" i="2"/>
  <c r="L406" i="2"/>
  <c r="K407" i="2"/>
  <c r="L415" i="2"/>
  <c r="J430" i="2"/>
  <c r="J431" i="2"/>
  <c r="L442" i="2"/>
  <c r="L443" i="2"/>
  <c r="L243" i="2"/>
  <c r="L291" i="2"/>
  <c r="L367" i="2"/>
  <c r="K395" i="2"/>
  <c r="K403" i="2"/>
  <c r="K413" i="2"/>
  <c r="L421" i="2"/>
  <c r="K430" i="2"/>
  <c r="K431" i="2"/>
  <c r="L194" i="2"/>
  <c r="J167" i="2"/>
  <c r="J226" i="2"/>
  <c r="L254" i="2"/>
  <c r="K277" i="2"/>
  <c r="L155" i="2"/>
  <c r="J282" i="2"/>
  <c r="L351" i="2"/>
  <c r="K359" i="2"/>
  <c r="K382" i="2"/>
  <c r="K449" i="2"/>
  <c r="K457" i="2"/>
  <c r="L149" i="2"/>
  <c r="J183" i="2"/>
  <c r="J234" i="2"/>
  <c r="K258" i="2"/>
  <c r="K270" i="2"/>
  <c r="K281" i="2"/>
  <c r="J298" i="2"/>
  <c r="K342" i="2"/>
  <c r="J350" i="2"/>
  <c r="J399" i="2"/>
  <c r="L447" i="2"/>
  <c r="J454" i="2"/>
  <c r="J455" i="2"/>
  <c r="K219" i="2"/>
  <c r="K234" i="2"/>
  <c r="L281" i="2"/>
  <c r="L350" i="2"/>
  <c r="L399" i="2"/>
  <c r="J437" i="2"/>
  <c r="K446" i="2"/>
  <c r="K454" i="2"/>
  <c r="K455" i="2"/>
  <c r="K147" i="2"/>
  <c r="J165" i="2"/>
  <c r="L175" i="2"/>
  <c r="J202" i="2"/>
  <c r="L207" i="2"/>
  <c r="L319" i="2"/>
  <c r="K325" i="2"/>
  <c r="L349" i="2"/>
  <c r="K357" i="2"/>
  <c r="K378" i="2"/>
  <c r="K379" i="2"/>
  <c r="K386" i="2"/>
  <c r="K387" i="2"/>
  <c r="L454" i="2"/>
  <c r="L455" i="2"/>
  <c r="K146" i="2"/>
  <c r="K218" i="2"/>
  <c r="J377" i="2"/>
  <c r="K409" i="2"/>
  <c r="L206" i="2"/>
  <c r="J279" i="2"/>
  <c r="K286" i="2"/>
  <c r="J294" i="2"/>
  <c r="K318" i="2"/>
  <c r="L355" i="2"/>
  <c r="J363" i="2"/>
  <c r="K377" i="2"/>
  <c r="J406" i="2"/>
  <c r="J415" i="2"/>
  <c r="L423" i="2"/>
  <c r="K425" i="2"/>
  <c r="J442" i="2"/>
  <c r="J443" i="2"/>
  <c r="L519" i="2"/>
  <c r="K470" i="2"/>
  <c r="K506" i="2"/>
  <c r="L567" i="2"/>
  <c r="J686" i="2"/>
  <c r="K505" i="2"/>
  <c r="J557" i="2"/>
  <c r="K558" i="2"/>
  <c r="J559" i="2"/>
  <c r="J575" i="2"/>
  <c r="K585" i="2"/>
  <c r="J607" i="2"/>
  <c r="J626" i="2"/>
  <c r="J627" i="2"/>
  <c r="J666" i="2"/>
  <c r="J673" i="2"/>
  <c r="J674" i="2"/>
  <c r="K683" i="2"/>
  <c r="L685" i="2"/>
  <c r="K698" i="2"/>
  <c r="J711" i="2"/>
  <c r="K717" i="2"/>
  <c r="K782" i="2"/>
  <c r="K813" i="2"/>
  <c r="L826" i="2"/>
  <c r="K835" i="2"/>
  <c r="K853" i="2"/>
  <c r="K862" i="2"/>
  <c r="L531" i="2"/>
  <c r="L534" i="2"/>
  <c r="L557" i="2"/>
  <c r="L558" i="2"/>
  <c r="K559" i="2"/>
  <c r="J566" i="2"/>
  <c r="J574" i="2"/>
  <c r="K607" i="2"/>
  <c r="K623" i="2"/>
  <c r="J625" i="2"/>
  <c r="L626" i="2"/>
  <c r="K627" i="2"/>
  <c r="L673" i="2"/>
  <c r="K674" i="2"/>
  <c r="J682" i="2"/>
  <c r="L683" i="2"/>
  <c r="L698" i="2"/>
  <c r="L699" i="2"/>
  <c r="L710" i="2"/>
  <c r="K711" i="2"/>
  <c r="J727" i="2"/>
  <c r="J751" i="2"/>
  <c r="J767" i="2"/>
  <c r="K769" i="2"/>
  <c r="J775" i="2"/>
  <c r="K797" i="2"/>
  <c r="J490" i="2"/>
  <c r="J491" i="2"/>
  <c r="J523" i="2"/>
  <c r="K574" i="2"/>
  <c r="L607" i="2"/>
  <c r="L623" i="2"/>
  <c r="L625" i="2"/>
  <c r="L674" i="2"/>
  <c r="J743" i="2"/>
  <c r="K490" i="2"/>
  <c r="K491" i="2"/>
  <c r="L681" i="2"/>
  <c r="L695" i="2"/>
  <c r="K709" i="2"/>
  <c r="J725" i="2"/>
  <c r="K743" i="2"/>
  <c r="L767" i="2"/>
  <c r="L490" i="2"/>
  <c r="L491" i="2"/>
  <c r="J642" i="2"/>
  <c r="J643" i="2"/>
  <c r="K647" i="2"/>
  <c r="L509" i="2"/>
  <c r="L515" i="2"/>
  <c r="L537" i="2"/>
  <c r="J553" i="2"/>
  <c r="J581" i="2"/>
  <c r="K642" i="2"/>
  <c r="L643" i="2"/>
  <c r="L647" i="2"/>
  <c r="J502" i="2"/>
  <c r="K553" i="2"/>
  <c r="J562" i="2"/>
  <c r="K563" i="2"/>
  <c r="K571" i="2"/>
  <c r="K581" i="2"/>
  <c r="K611" i="2"/>
  <c r="L642" i="2"/>
  <c r="L645" i="2"/>
  <c r="J678" i="2"/>
  <c r="K689" i="2"/>
  <c r="K749" i="2"/>
  <c r="K759" i="2"/>
  <c r="L495" i="2"/>
  <c r="J526" i="2"/>
  <c r="K527" i="2"/>
  <c r="L553" i="2"/>
  <c r="K562" i="2"/>
  <c r="L571" i="2"/>
  <c r="L581" i="2"/>
  <c r="K595" i="2"/>
  <c r="L611" i="2"/>
  <c r="L619" i="2"/>
  <c r="L678" i="2"/>
  <c r="L689" i="2"/>
  <c r="J714" i="2"/>
  <c r="K758" i="2"/>
  <c r="K779" i="2"/>
  <c r="K526" i="2"/>
  <c r="L527" i="2"/>
  <c r="L595" i="2"/>
  <c r="L639" i="2"/>
  <c r="K473" i="2"/>
  <c r="L526" i="2"/>
  <c r="K629" i="2"/>
  <c r="K767" i="2"/>
  <c r="K829" i="2"/>
  <c r="J849" i="2"/>
  <c r="L873" i="2"/>
  <c r="J899" i="2"/>
  <c r="L997" i="2"/>
  <c r="L999" i="2"/>
  <c r="J819" i="2"/>
  <c r="L861" i="2"/>
  <c r="L899" i="2"/>
  <c r="K919" i="2"/>
  <c r="K925" i="2"/>
  <c r="K926" i="2"/>
  <c r="K934" i="2"/>
  <c r="J985" i="2"/>
  <c r="J907" i="2"/>
  <c r="J918" i="2"/>
  <c r="K994" i="2"/>
  <c r="K891" i="2"/>
  <c r="J906" i="2"/>
  <c r="L907" i="2"/>
  <c r="L918" i="2"/>
  <c r="J931" i="2"/>
  <c r="J942" i="2"/>
  <c r="J943" i="2"/>
  <c r="K966" i="2"/>
  <c r="J834" i="2"/>
  <c r="J890" i="2"/>
  <c r="K905" i="2"/>
  <c r="K917" i="2"/>
  <c r="K941" i="2"/>
  <c r="L966" i="2"/>
  <c r="J990" i="2"/>
  <c r="L993" i="2"/>
  <c r="J1003" i="2"/>
  <c r="J833" i="2"/>
  <c r="L834" i="2"/>
  <c r="L890" i="2"/>
  <c r="L941" i="2"/>
  <c r="L990" i="2"/>
  <c r="J987" i="2"/>
  <c r="L833" i="2"/>
  <c r="L859" i="2"/>
  <c r="K889" i="2"/>
  <c r="J915" i="2"/>
  <c r="J922" i="2"/>
  <c r="J1017" i="2"/>
  <c r="K751" i="2"/>
  <c r="J839" i="2"/>
  <c r="J858" i="2"/>
  <c r="L922" i="2"/>
  <c r="J946" i="2"/>
  <c r="J947" i="2"/>
  <c r="K961" i="2"/>
  <c r="K962" i="2"/>
  <c r="J963" i="2"/>
  <c r="K1010" i="2"/>
  <c r="K1009" i="2"/>
  <c r="L1010" i="2"/>
  <c r="K775" i="2"/>
  <c r="L838" i="2"/>
  <c r="K839" i="2"/>
  <c r="J841" i="2"/>
  <c r="K857" i="2"/>
  <c r="K946" i="2"/>
  <c r="L961" i="2"/>
  <c r="L962" i="2"/>
  <c r="K963" i="2"/>
  <c r="J970" i="2"/>
  <c r="K971" i="2"/>
  <c r="L1009" i="2"/>
  <c r="L839" i="2"/>
  <c r="K869" i="2"/>
  <c r="L887" i="2"/>
  <c r="J895" i="2"/>
  <c r="J938" i="2"/>
  <c r="J815" i="2"/>
  <c r="J825" i="2"/>
  <c r="K837" i="2"/>
  <c r="J894" i="2"/>
  <c r="L895" i="2"/>
  <c r="J902" i="2"/>
  <c r="L938" i="2"/>
  <c r="K953" i="2"/>
  <c r="K959" i="2"/>
  <c r="L970" i="2"/>
  <c r="K987" i="2"/>
  <c r="J997" i="2"/>
  <c r="J999" i="2"/>
  <c r="K1015" i="2"/>
  <c r="K850" i="2"/>
  <c r="L902" i="2"/>
  <c r="L959" i="2"/>
  <c r="K997" i="2"/>
  <c r="K999" i="2"/>
  <c r="K1003" i="2"/>
  <c r="J994" i="2"/>
  <c r="J887" i="2"/>
  <c r="K855" i="2"/>
  <c r="J950" i="2"/>
  <c r="J874" i="2"/>
  <c r="L815" i="2"/>
  <c r="L955" i="2"/>
  <c r="K851" i="2"/>
  <c r="L1003" i="2"/>
  <c r="L831" i="2"/>
  <c r="L954" i="2"/>
  <c r="K910" i="2"/>
  <c r="K785" i="2"/>
  <c r="L982" i="2"/>
  <c r="J865" i="2"/>
  <c r="J941" i="2"/>
  <c r="K890" i="2"/>
  <c r="L1018" i="2"/>
  <c r="J854" i="2"/>
  <c r="K978" i="2"/>
  <c r="K950" i="2"/>
  <c r="L878" i="2"/>
  <c r="J803" i="2"/>
  <c r="K434" i="2"/>
  <c r="L550" i="2"/>
  <c r="L249" i="2"/>
  <c r="J466" i="2"/>
  <c r="L633" i="2"/>
  <c r="K902" i="2"/>
  <c r="J719" i="2"/>
  <c r="K313" i="2"/>
  <c r="K794" i="2"/>
  <c r="L502" i="2"/>
  <c r="J670" i="2"/>
  <c r="J509" i="2"/>
  <c r="J726" i="2"/>
  <c r="J522" i="2"/>
  <c r="J766" i="2"/>
  <c r="J583" i="2"/>
  <c r="K834" i="2"/>
  <c r="J379" i="2"/>
  <c r="K734" i="2"/>
  <c r="J511" i="2"/>
  <c r="J853" i="2"/>
  <c r="J717" i="2"/>
  <c r="L629" i="2"/>
  <c r="K518" i="2"/>
  <c r="L345" i="2"/>
  <c r="L437" i="2"/>
  <c r="L387" i="2"/>
  <c r="K181" i="2"/>
  <c r="J97" i="2"/>
  <c r="J398" i="2"/>
  <c r="J417" i="2"/>
  <c r="J263" i="2"/>
  <c r="J198" i="2"/>
  <c r="K214" i="2"/>
  <c r="K643" i="2"/>
  <c r="L419" i="2"/>
  <c r="L178" i="2"/>
  <c r="K373" i="2"/>
  <c r="K402" i="2"/>
  <c r="J361" i="2"/>
  <c r="J119" i="2"/>
  <c r="K290" i="2"/>
  <c r="L10" i="2"/>
  <c r="J29" i="2"/>
  <c r="J143" i="2"/>
  <c r="J39" i="2"/>
  <c r="L58" i="2"/>
  <c r="J134" i="2"/>
  <c r="J318" i="2"/>
  <c r="L107" i="2"/>
  <c r="L15" i="2"/>
  <c r="L117" i="2"/>
  <c r="L35" i="2"/>
  <c r="L219" i="2"/>
  <c r="L47" i="2"/>
  <c r="K210" i="2"/>
  <c r="J151" i="2"/>
  <c r="K198" i="2"/>
  <c r="K39" i="2"/>
  <c r="L738" i="2"/>
  <c r="K739" i="2"/>
  <c r="K990" i="2"/>
  <c r="J1021" i="2"/>
  <c r="K1011" i="2"/>
  <c r="K998" i="2"/>
  <c r="K927" i="2"/>
  <c r="K874" i="2"/>
  <c r="K815" i="2"/>
  <c r="K954" i="2"/>
  <c r="J851" i="2"/>
  <c r="K831" i="2"/>
  <c r="J939" i="2"/>
  <c r="J910" i="2"/>
  <c r="K967" i="2"/>
  <c r="K865" i="2"/>
  <c r="K883" i="2"/>
  <c r="K993" i="2"/>
  <c r="L854" i="2"/>
  <c r="L967" i="2"/>
  <c r="L791" i="2"/>
  <c r="J949" i="2"/>
  <c r="J798" i="2"/>
  <c r="J630" i="2"/>
  <c r="J425" i="2"/>
  <c r="L507" i="2"/>
  <c r="L778" i="2"/>
  <c r="L435" i="2"/>
  <c r="K899" i="2"/>
  <c r="J706" i="2"/>
  <c r="L987" i="2"/>
  <c r="L759" i="2"/>
  <c r="L614" i="2"/>
  <c r="J467" i="2"/>
  <c r="J649" i="2"/>
  <c r="K509" i="2"/>
  <c r="J709" i="2"/>
  <c r="J515" i="2"/>
  <c r="L745" i="2"/>
  <c r="K547" i="2"/>
  <c r="K807" i="2"/>
  <c r="K266" i="2"/>
  <c r="L727" i="2"/>
  <c r="K511" i="2"/>
  <c r="J835" i="2"/>
  <c r="L711" i="2"/>
  <c r="L627" i="2"/>
  <c r="J493" i="2"/>
  <c r="L334" i="2"/>
  <c r="J433" i="2"/>
  <c r="L385" i="2"/>
  <c r="L181" i="2"/>
  <c r="K79" i="2"/>
  <c r="K410" i="2"/>
  <c r="J257" i="2"/>
  <c r="J182" i="2"/>
  <c r="L391" i="2"/>
  <c r="J171" i="2"/>
  <c r="L505" i="2"/>
  <c r="J342" i="2"/>
  <c r="K183" i="2"/>
  <c r="J590" i="2"/>
  <c r="J411" i="2"/>
  <c r="K139" i="2"/>
  <c r="J343" i="2"/>
  <c r="L394" i="2"/>
  <c r="K114" i="2"/>
  <c r="K278" i="2"/>
  <c r="J315" i="2"/>
  <c r="K143" i="2"/>
  <c r="J27" i="2"/>
  <c r="L38" i="2"/>
  <c r="J127" i="2"/>
  <c r="J22" i="2"/>
  <c r="J130" i="2"/>
  <c r="J303" i="2"/>
  <c r="J14" i="2"/>
  <c r="L14" i="2"/>
  <c r="J62" i="2"/>
  <c r="J46" i="2"/>
  <c r="K207" i="2"/>
  <c r="J98" i="2"/>
  <c r="L19" i="2"/>
  <c r="J967" i="2"/>
  <c r="J935" i="2"/>
  <c r="K1006" i="2"/>
  <c r="L926" i="2"/>
  <c r="J830" i="2"/>
  <c r="L655" i="2"/>
  <c r="J914" i="2"/>
  <c r="L851" i="2"/>
  <c r="K1017" i="2"/>
  <c r="J965" i="2"/>
  <c r="K859" i="2"/>
  <c r="J930" i="2"/>
  <c r="L883" i="2"/>
  <c r="J1019" i="2"/>
  <c r="K943" i="2"/>
  <c r="J791" i="2"/>
  <c r="K790" i="2"/>
  <c r="J617" i="2"/>
  <c r="J410" i="2"/>
  <c r="K494" i="2"/>
  <c r="J723" i="2"/>
  <c r="L771" i="2"/>
  <c r="L570" i="2"/>
  <c r="J891" i="2"/>
  <c r="J690" i="2"/>
  <c r="K981" i="2"/>
  <c r="J754" i="2"/>
  <c r="J613" i="2"/>
  <c r="K437" i="2"/>
  <c r="J645" i="2"/>
  <c r="J707" i="2"/>
  <c r="K503" i="2"/>
  <c r="J703" i="2"/>
  <c r="J539" i="2"/>
  <c r="K806" i="2"/>
  <c r="L555" i="2"/>
  <c r="J861" i="2"/>
  <c r="L721" i="2"/>
  <c r="L574" i="2"/>
  <c r="K499" i="2"/>
  <c r="J698" i="2"/>
  <c r="K626" i="2"/>
  <c r="K493" i="2"/>
  <c r="J195" i="2"/>
  <c r="L174" i="2"/>
  <c r="K21" i="2"/>
  <c r="J386" i="2"/>
  <c r="K398" i="2"/>
  <c r="J107" i="2"/>
  <c r="L371" i="2"/>
  <c r="L127" i="2"/>
  <c r="K467" i="2"/>
  <c r="J149" i="2"/>
  <c r="L541" i="2"/>
  <c r="K113" i="2"/>
  <c r="L343" i="2"/>
  <c r="J393" i="2"/>
  <c r="L242" i="2"/>
  <c r="K54" i="2"/>
  <c r="J266" i="2"/>
  <c r="K939" i="2"/>
  <c r="L931" i="2"/>
  <c r="L951" i="2"/>
  <c r="J986" i="2"/>
  <c r="L819" i="2"/>
  <c r="L603" i="2"/>
  <c r="K830" i="2"/>
  <c r="J614" i="2"/>
  <c r="K914" i="2"/>
  <c r="K838" i="2"/>
  <c r="J955" i="2"/>
  <c r="J859" i="2"/>
  <c r="J923" i="2"/>
  <c r="J877" i="2"/>
  <c r="K985" i="2"/>
  <c r="L942" i="2"/>
  <c r="K791" i="2"/>
  <c r="L935" i="2"/>
  <c r="L823" i="2"/>
  <c r="L783" i="2"/>
  <c r="L757" i="2"/>
  <c r="L483" i="2"/>
  <c r="J713" i="2"/>
  <c r="L731" i="2"/>
  <c r="L551" i="2"/>
  <c r="L869" i="2"/>
  <c r="K678" i="2"/>
  <c r="K947" i="2"/>
  <c r="J611" i="2"/>
  <c r="K353" i="2"/>
  <c r="J641" i="2"/>
  <c r="J657" i="2"/>
  <c r="L503" i="2"/>
  <c r="J697" i="2"/>
  <c r="L517" i="2"/>
  <c r="K783" i="2"/>
  <c r="K534" i="2"/>
  <c r="J850" i="2"/>
  <c r="J710" i="2"/>
  <c r="K482" i="2"/>
  <c r="J826" i="2"/>
  <c r="J683" i="2"/>
  <c r="L471" i="2"/>
  <c r="J157" i="2"/>
  <c r="J422" i="2"/>
  <c r="L379" i="2"/>
  <c r="J174" i="2"/>
  <c r="L295" i="2"/>
  <c r="K15" i="2"/>
  <c r="L218" i="2"/>
  <c r="J381" i="2"/>
  <c r="K85" i="2"/>
  <c r="K350" i="2"/>
  <c r="J123" i="2"/>
  <c r="K466" i="2"/>
  <c r="L143" i="2"/>
  <c r="L529" i="2"/>
  <c r="K390" i="2"/>
  <c r="J299" i="2"/>
  <c r="K63" i="2"/>
  <c r="K366" i="2"/>
  <c r="J249" i="2"/>
  <c r="J1023" i="2"/>
  <c r="L266" i="2"/>
  <c r="K930" i="2"/>
  <c r="K955" i="2"/>
  <c r="K942" i="2"/>
  <c r="L985" i="2"/>
  <c r="K819" i="2"/>
  <c r="L577" i="2"/>
  <c r="L543" i="2"/>
  <c r="K538" i="2"/>
  <c r="J903" i="2"/>
  <c r="J810" i="2"/>
  <c r="J962" i="2"/>
  <c r="K645" i="2"/>
  <c r="K842" i="2"/>
  <c r="K877" i="2"/>
  <c r="L795" i="2"/>
  <c r="L641" i="2"/>
  <c r="J927" i="2"/>
  <c r="L787" i="2"/>
  <c r="L763" i="2"/>
  <c r="J599" i="2"/>
  <c r="J753" i="2"/>
  <c r="J478" i="2"/>
  <c r="J705" i="2"/>
  <c r="L714" i="2"/>
  <c r="K841" i="2"/>
  <c r="J619" i="2"/>
  <c r="L946" i="2"/>
  <c r="K349" i="2"/>
  <c r="J489" i="2"/>
  <c r="K655" i="2"/>
  <c r="K497" i="2"/>
  <c r="J695" i="2"/>
  <c r="J510" i="2"/>
  <c r="J831" i="2"/>
  <c r="J1018" i="2"/>
  <c r="J883" i="2"/>
  <c r="K958" i="2"/>
  <c r="J731" i="2"/>
  <c r="J901" i="2"/>
  <c r="J563" i="2"/>
  <c r="K1022" i="2"/>
  <c r="K514" i="2"/>
  <c r="K903" i="2"/>
  <c r="K810" i="2"/>
  <c r="J961" i="2"/>
  <c r="J615" i="2"/>
  <c r="K630" i="2"/>
  <c r="K915" i="2"/>
  <c r="L811" i="2"/>
  <c r="K866" i="2"/>
  <c r="K957" i="2"/>
  <c r="J795" i="2"/>
  <c r="K931" i="2"/>
  <c r="J503" i="2"/>
  <c r="J926" i="2"/>
  <c r="J787" i="2"/>
  <c r="J735" i="2"/>
  <c r="J586" i="2"/>
  <c r="L747" i="2"/>
  <c r="K478" i="2"/>
  <c r="K631" i="2"/>
  <c r="J701" i="2"/>
  <c r="K786" i="2"/>
  <c r="J919" i="2"/>
  <c r="L602" i="2"/>
  <c r="K331" i="2"/>
  <c r="K475" i="2"/>
  <c r="L621" i="2"/>
  <c r="K485" i="2"/>
  <c r="J691" i="2"/>
  <c r="L510" i="2"/>
  <c r="K699" i="2"/>
  <c r="K798" i="2"/>
  <c r="J558" i="2"/>
  <c r="J310" i="2"/>
  <c r="L813" i="2"/>
  <c r="L666" i="2"/>
  <c r="K397" i="2"/>
  <c r="K101" i="2"/>
  <c r="L417" i="2"/>
  <c r="J191" i="2"/>
  <c r="J501" i="2"/>
  <c r="L279" i="2"/>
  <c r="J483" i="2"/>
  <c r="J370" i="2"/>
  <c r="K170" i="2"/>
  <c r="L467" i="2"/>
  <c r="K330" i="2"/>
  <c r="J67" i="2"/>
  <c r="J447" i="2"/>
  <c r="L298" i="2"/>
  <c r="K103" i="2"/>
  <c r="J519" i="2"/>
  <c r="L373" i="2"/>
  <c r="J507" i="2"/>
  <c r="L331" i="2"/>
  <c r="J150" i="2"/>
  <c r="K231" i="2"/>
  <c r="J451" i="2"/>
  <c r="J255" i="2"/>
  <c r="K239" i="2"/>
  <c r="L99" i="2"/>
  <c r="L230" i="2"/>
  <c r="L101" i="2"/>
  <c r="J230" i="2"/>
  <c r="K225" i="2"/>
  <c r="J42" i="2"/>
  <c r="L94" i="2"/>
  <c r="L234" i="2"/>
  <c r="L167" i="2"/>
  <c r="L79" i="2"/>
  <c r="J355" i="2"/>
  <c r="J25" i="2"/>
  <c r="J54" i="2"/>
  <c r="J7" i="2"/>
  <c r="K898" i="2"/>
  <c r="K1005" i="2"/>
  <c r="J811" i="2"/>
  <c r="K654" i="2"/>
  <c r="K893" i="2"/>
  <c r="J547" i="2"/>
  <c r="J959" i="2"/>
  <c r="L1011" i="2"/>
  <c r="K895" i="2"/>
  <c r="J793" i="2"/>
  <c r="K951" i="2"/>
  <c r="K882" i="2"/>
  <c r="K539" i="2"/>
  <c r="J889" i="2"/>
  <c r="L799" i="2"/>
  <c r="K911" i="2"/>
  <c r="J847" i="2"/>
  <c r="K795" i="2"/>
  <c r="K918" i="2"/>
  <c r="J1006" i="2"/>
  <c r="J925" i="2"/>
  <c r="K787" i="2"/>
  <c r="K722" i="2"/>
  <c r="K577" i="2"/>
  <c r="K667" i="2"/>
  <c r="L478" i="2"/>
  <c r="J629" i="2"/>
  <c r="J677" i="2"/>
  <c r="L514" i="2"/>
  <c r="L881" i="2"/>
  <c r="J702" i="2"/>
  <c r="J579" i="2"/>
  <c r="J750" i="2"/>
  <c r="K463" i="2"/>
  <c r="K621" i="2"/>
  <c r="K458" i="2"/>
  <c r="J681" i="2"/>
  <c r="J665" i="2"/>
  <c r="J783" i="2"/>
  <c r="J658" i="2"/>
  <c r="L963" i="2"/>
  <c r="L790" i="2"/>
  <c r="J591" i="2"/>
  <c r="L395" i="2"/>
  <c r="L302" i="2"/>
  <c r="K83" i="2"/>
  <c r="J414" i="2"/>
  <c r="K346" i="2"/>
  <c r="K191" i="2"/>
  <c r="J423" i="2"/>
  <c r="K279" i="2"/>
  <c r="J463" i="2"/>
  <c r="J307" i="2"/>
  <c r="K122" i="2"/>
  <c r="L466" i="2"/>
  <c r="J326" i="2"/>
  <c r="K62" i="2"/>
  <c r="K298" i="2"/>
  <c r="J47" i="2"/>
  <c r="J497" i="2"/>
  <c r="L359" i="2"/>
  <c r="J487" i="2"/>
  <c r="J322" i="2"/>
  <c r="J95" i="2"/>
  <c r="J338" i="2"/>
  <c r="L231" i="2"/>
  <c r="J441" i="2"/>
  <c r="K255" i="2"/>
  <c r="L91" i="2"/>
  <c r="J222" i="2"/>
  <c r="J223" i="2"/>
  <c r="K189" i="2"/>
  <c r="J13" i="2"/>
  <c r="K86" i="2"/>
  <c r="L925" i="2"/>
  <c r="J982" i="2"/>
  <c r="L998" i="2"/>
  <c r="J934" i="2"/>
  <c r="J1007" i="2"/>
  <c r="J885" i="2"/>
  <c r="K481" i="2"/>
  <c r="J953" i="2"/>
  <c r="L991" i="2"/>
  <c r="K881" i="2"/>
  <c r="J755" i="2"/>
  <c r="K887" i="2"/>
  <c r="J951" i="2"/>
  <c r="J882" i="2"/>
  <c r="K515" i="2"/>
  <c r="J799" i="2"/>
  <c r="J911" i="2"/>
  <c r="L847" i="2"/>
  <c r="J771" i="2"/>
  <c r="K906" i="2"/>
  <c r="K778" i="2"/>
  <c r="J718" i="2"/>
  <c r="L569" i="2"/>
  <c r="J659" i="2"/>
  <c r="J471" i="2"/>
  <c r="L610" i="2"/>
  <c r="K662" i="2"/>
  <c r="J779" i="2"/>
  <c r="J595" i="2"/>
  <c r="J479" i="2"/>
  <c r="K858" i="2"/>
  <c r="J689" i="2"/>
  <c r="L562" i="2"/>
  <c r="K417" i="2"/>
  <c r="J603" i="2"/>
  <c r="J275" i="2"/>
  <c r="J635" i="2"/>
  <c r="J650" i="2"/>
  <c r="J481" i="2"/>
  <c r="L775" i="2"/>
  <c r="L630" i="2"/>
  <c r="L542" i="2"/>
  <c r="J913" i="2"/>
  <c r="L659" i="2"/>
  <c r="J585" i="2"/>
  <c r="K385" i="2"/>
  <c r="J250" i="2"/>
  <c r="K35" i="2"/>
  <c r="L191" i="2"/>
  <c r="J375" i="2"/>
  <c r="L275" i="2"/>
  <c r="J453" i="2"/>
  <c r="L307" i="2"/>
  <c r="K102" i="2"/>
  <c r="L325" i="2"/>
  <c r="J446" i="2"/>
  <c r="K275" i="2"/>
  <c r="K57" i="2"/>
  <c r="K399" i="2"/>
  <c r="K42" i="2"/>
  <c r="J495" i="2"/>
  <c r="J359" i="2"/>
  <c r="K271" i="2"/>
  <c r="J954" i="2"/>
  <c r="J978" i="2"/>
  <c r="K1002" i="2"/>
  <c r="L893" i="2"/>
  <c r="J998" i="2"/>
  <c r="J879" i="2"/>
  <c r="J937" i="2"/>
  <c r="K938" i="2"/>
  <c r="L971" i="2"/>
  <c r="K863" i="2"/>
  <c r="J661" i="2"/>
  <c r="K875" i="2"/>
  <c r="J1015" i="2"/>
  <c r="K1021" i="2"/>
  <c r="K725" i="2"/>
  <c r="L911" i="2"/>
  <c r="J827" i="2"/>
  <c r="J917" i="2"/>
  <c r="L743" i="2"/>
  <c r="K878" i="2"/>
  <c r="J995" i="2"/>
  <c r="K901" i="2"/>
  <c r="J621" i="2"/>
  <c r="K686" i="2"/>
  <c r="J535" i="2"/>
  <c r="K610" i="2"/>
  <c r="L430" i="2"/>
  <c r="L601" i="2"/>
  <c r="K479" i="2"/>
  <c r="J846" i="2"/>
  <c r="L547" i="2"/>
  <c r="J737" i="2"/>
  <c r="J387" i="2"/>
  <c r="L573" i="2"/>
  <c r="L802" i="2"/>
  <c r="L635" i="2"/>
  <c r="J991" i="2"/>
  <c r="K937" i="2"/>
  <c r="J878" i="2"/>
  <c r="L986" i="2"/>
  <c r="K809" i="2"/>
  <c r="K935" i="2"/>
  <c r="K921" i="2"/>
  <c r="J971" i="2"/>
  <c r="J863" i="2"/>
  <c r="J534" i="2"/>
  <c r="L875" i="2"/>
  <c r="J1009" i="2"/>
  <c r="J1011" i="2"/>
  <c r="K871" i="2"/>
  <c r="J646" i="2"/>
  <c r="L905" i="2"/>
  <c r="K827" i="2"/>
  <c r="J866" i="2"/>
  <c r="J699" i="2"/>
  <c r="K867" i="2"/>
  <c r="J979" i="2"/>
  <c r="J898" i="2"/>
  <c r="J821" i="2"/>
  <c r="J533" i="2"/>
  <c r="L593" i="2"/>
  <c r="K371" i="2"/>
  <c r="J578" i="2"/>
  <c r="L654" i="2"/>
  <c r="K731" i="2"/>
  <c r="L587" i="2"/>
  <c r="L479" i="2"/>
  <c r="J842" i="2"/>
  <c r="J546" i="2"/>
  <c r="L726" i="2"/>
  <c r="L563" i="2"/>
  <c r="L255" i="2"/>
  <c r="J565" i="2"/>
  <c r="K789" i="2"/>
  <c r="K615" i="2"/>
  <c r="L403" i="2"/>
  <c r="K469" i="2"/>
  <c r="J762" i="2"/>
  <c r="J623" i="2"/>
  <c r="K533" i="2"/>
  <c r="J873" i="2"/>
  <c r="K770" i="2"/>
  <c r="K575" i="2"/>
  <c r="J369" i="2"/>
  <c r="K238" i="2"/>
  <c r="J531" i="2"/>
  <c r="K187" i="2"/>
  <c r="K355" i="2"/>
  <c r="J251" i="2"/>
  <c r="J434" i="2"/>
  <c r="J274" i="2"/>
  <c r="J475" i="2"/>
  <c r="J287" i="2"/>
  <c r="J427" i="2"/>
  <c r="J571" i="2"/>
  <c r="K391" i="2"/>
  <c r="K253" i="2"/>
  <c r="J675" i="2"/>
  <c r="J193" i="2"/>
  <c r="J875" i="2"/>
  <c r="J966" i="2"/>
  <c r="K894" i="2"/>
  <c r="K870" i="2"/>
  <c r="J499" i="2"/>
  <c r="J391" i="2"/>
  <c r="L539" i="2"/>
  <c r="K854" i="2"/>
  <c r="L631" i="2"/>
  <c r="K363" i="2"/>
  <c r="J26" i="2"/>
  <c r="K133" i="2"/>
  <c r="K18" i="2"/>
  <c r="K87" i="2"/>
  <c r="L173" i="2"/>
  <c r="K65" i="2"/>
  <c r="L210" i="2"/>
  <c r="J55" i="2"/>
  <c r="K174" i="2"/>
  <c r="K165" i="2"/>
  <c r="K245" i="2"/>
  <c r="L86" i="2"/>
  <c r="L139" i="2"/>
  <c r="K26" i="2"/>
  <c r="J270" i="2"/>
  <c r="K155" i="2"/>
  <c r="L170" i="2"/>
  <c r="L755" i="2"/>
  <c r="L923" i="2"/>
  <c r="J837" i="2"/>
  <c r="J786" i="2"/>
  <c r="K719" i="2"/>
  <c r="L822" i="2"/>
  <c r="L701" i="2"/>
  <c r="J1010" i="2"/>
  <c r="L917" i="2"/>
  <c r="J823" i="2"/>
  <c r="J738" i="2"/>
  <c r="K1018" i="2"/>
  <c r="L874" i="2"/>
  <c r="J778" i="2"/>
  <c r="K975" i="2"/>
  <c r="L978" i="2"/>
  <c r="K727" i="2"/>
  <c r="L894" i="2"/>
  <c r="J945" i="2"/>
  <c r="L983" i="2"/>
  <c r="K983" i="2"/>
  <c r="J818" i="2"/>
  <c r="J785" i="2"/>
  <c r="J782" i="2"/>
  <c r="K713" i="2"/>
  <c r="J618" i="2"/>
  <c r="J693" i="2"/>
  <c r="L750" i="2"/>
  <c r="J634" i="2"/>
  <c r="K661" i="2"/>
  <c r="J589" i="2"/>
  <c r="K677" i="2"/>
  <c r="L706" i="2"/>
  <c r="L637" i="2"/>
  <c r="K551" i="2"/>
  <c r="K498" i="2"/>
  <c r="J587" i="2"/>
  <c r="L583" i="2"/>
  <c r="L591" i="2"/>
  <c r="K619" i="2"/>
  <c r="L545" i="2"/>
  <c r="K517" i="2"/>
  <c r="K573" i="2"/>
  <c r="J354" i="2"/>
  <c r="K483" i="2"/>
  <c r="K405" i="2"/>
  <c r="L446" i="2"/>
  <c r="L362" i="2"/>
  <c r="K327" i="2"/>
  <c r="L475" i="2"/>
  <c r="J329" i="2"/>
  <c r="K433" i="2"/>
  <c r="K370" i="2"/>
  <c r="L369" i="2"/>
  <c r="J389" i="2"/>
  <c r="K301" i="2"/>
  <c r="K215" i="2"/>
  <c r="L354" i="2"/>
  <c r="J217" i="2"/>
  <c r="L265" i="2"/>
  <c r="K293" i="2"/>
  <c r="J242" i="2"/>
  <c r="K305" i="2"/>
  <c r="L235" i="2"/>
  <c r="L283" i="2"/>
  <c r="L282" i="2"/>
  <c r="K257" i="2"/>
  <c r="J142" i="2"/>
  <c r="K923" i="2"/>
  <c r="J975" i="2"/>
  <c r="J845" i="2"/>
  <c r="J870" i="2"/>
  <c r="J929" i="2"/>
  <c r="L885" i="2"/>
  <c r="K487" i="2"/>
  <c r="L829" i="2"/>
  <c r="K502" i="2"/>
  <c r="L849" i="2"/>
  <c r="J469" i="2"/>
  <c r="J293" i="2"/>
  <c r="J426" i="2"/>
  <c r="J435" i="2"/>
  <c r="J330" i="2"/>
  <c r="J687" i="2"/>
  <c r="K310" i="2"/>
  <c r="L322" i="2"/>
  <c r="J394" i="2"/>
  <c r="J470" i="2"/>
  <c r="J306" i="2"/>
  <c r="J110" i="2"/>
  <c r="L159" i="2"/>
  <c r="J19" i="2"/>
  <c r="J145" i="2"/>
  <c r="J51" i="2"/>
  <c r="J122" i="2"/>
  <c r="J5" i="2"/>
  <c r="K141" i="2"/>
  <c r="J269" i="2"/>
  <c r="L154" i="2"/>
  <c r="J18" i="2"/>
  <c r="J169" i="2"/>
  <c r="L737" i="2"/>
  <c r="J881" i="2"/>
  <c r="L703" i="2"/>
  <c r="L901" i="2"/>
  <c r="J729" i="2"/>
  <c r="K761" i="2"/>
  <c r="L862" i="2"/>
  <c r="K771" i="2"/>
  <c r="J989" i="2"/>
  <c r="L974" i="2"/>
  <c r="K885" i="2"/>
  <c r="K773" i="2"/>
  <c r="K973" i="2"/>
  <c r="L717" i="2"/>
  <c r="L882" i="2"/>
  <c r="J745" i="2"/>
  <c r="J933" i="2"/>
  <c r="K1014" i="2"/>
  <c r="L977" i="2"/>
  <c r="J813" i="2"/>
  <c r="L785" i="2"/>
  <c r="L618" i="2"/>
  <c r="K634" i="2"/>
  <c r="K659" i="2"/>
  <c r="K671" i="2"/>
  <c r="J669" i="2"/>
  <c r="K589" i="2"/>
  <c r="K730" i="2"/>
  <c r="L667" i="2"/>
  <c r="K697" i="2"/>
  <c r="K653" i="2"/>
  <c r="L675" i="2"/>
  <c r="K706" i="2"/>
  <c r="J543" i="2"/>
  <c r="L498" i="2"/>
  <c r="K586" i="2"/>
  <c r="J474" i="2"/>
  <c r="L578" i="2"/>
  <c r="L522" i="2"/>
  <c r="L461" i="2"/>
  <c r="K613" i="2"/>
  <c r="J486" i="2"/>
  <c r="L489" i="2"/>
  <c r="J494" i="2"/>
  <c r="J378" i="2"/>
  <c r="J353" i="2"/>
  <c r="K519" i="2"/>
  <c r="K477" i="2"/>
  <c r="K326" i="2"/>
  <c r="L327" i="2"/>
  <c r="L469" i="2"/>
  <c r="K427" i="2"/>
  <c r="L915" i="2"/>
  <c r="L958" i="2"/>
  <c r="K970" i="2"/>
  <c r="K922" i="2"/>
  <c r="J631" i="2"/>
  <c r="K879" i="2"/>
  <c r="K593" i="2"/>
  <c r="K801" i="2"/>
  <c r="J742" i="2"/>
  <c r="L843" i="2"/>
  <c r="L459" i="2"/>
  <c r="J593" i="2"/>
  <c r="J267" i="2"/>
  <c r="K418" i="2"/>
  <c r="K365" i="2"/>
  <c r="J671" i="2"/>
  <c r="J309" i="2"/>
  <c r="J458" i="2"/>
  <c r="K322" i="2"/>
  <c r="K374" i="2"/>
  <c r="L413" i="2"/>
  <c r="L278" i="2"/>
  <c r="J74" i="2"/>
  <c r="L129" i="2"/>
  <c r="L179" i="2"/>
  <c r="J43" i="2"/>
  <c r="J121" i="2"/>
  <c r="J358" i="2"/>
  <c r="J138" i="2"/>
  <c r="L153" i="2"/>
  <c r="L9" i="2"/>
  <c r="L719" i="2"/>
  <c r="L919" i="2"/>
  <c r="L835" i="2"/>
  <c r="L765" i="2"/>
  <c r="L702" i="2"/>
  <c r="J805" i="2"/>
  <c r="L889" i="2"/>
  <c r="J802" i="2"/>
  <c r="K714" i="2"/>
  <c r="J759" i="2"/>
  <c r="L1015" i="2"/>
  <c r="L850" i="2"/>
  <c r="L769" i="2"/>
  <c r="K986" i="2"/>
  <c r="L973" i="2"/>
  <c r="L770" i="2"/>
  <c r="L709" i="2"/>
  <c r="L870" i="2"/>
  <c r="K969" i="2"/>
  <c r="J921" i="2"/>
  <c r="L965" i="2"/>
  <c r="K977" i="2"/>
  <c r="J770" i="2"/>
  <c r="K693" i="2"/>
  <c r="K726" i="2"/>
  <c r="K657" i="2"/>
  <c r="K669" i="2"/>
  <c r="L687" i="2"/>
  <c r="L589" i="2"/>
  <c r="J655" i="2"/>
  <c r="K651" i="2"/>
  <c r="J601" i="2"/>
  <c r="J610" i="2"/>
  <c r="K543" i="2"/>
  <c r="L473" i="2"/>
  <c r="J569" i="2"/>
  <c r="K474" i="2"/>
  <c r="J577" i="2"/>
  <c r="L477" i="2"/>
  <c r="K583" i="2"/>
  <c r="L521" i="2"/>
  <c r="K598" i="2"/>
  <c r="L535" i="2"/>
  <c r="K486" i="2"/>
  <c r="J1014" i="2"/>
  <c r="L1005" i="2"/>
  <c r="J897" i="2"/>
  <c r="J983" i="2"/>
  <c r="K550" i="2"/>
  <c r="L538" i="2"/>
  <c r="J715" i="2"/>
  <c r="K738" i="2"/>
  <c r="L398" i="2"/>
  <c r="K250" i="2"/>
  <c r="L407" i="2"/>
  <c r="J357" i="2"/>
  <c r="J647" i="2"/>
  <c r="J305" i="2"/>
  <c r="J405" i="2"/>
  <c r="L270" i="2"/>
  <c r="K241" i="2"/>
  <c r="J75" i="2"/>
  <c r="J175" i="2"/>
  <c r="J34" i="2"/>
  <c r="L357" i="2"/>
  <c r="L157" i="2"/>
  <c r="J109" i="2"/>
  <c r="K247" i="2"/>
  <c r="J159" i="2"/>
  <c r="L691" i="2"/>
  <c r="L879" i="2"/>
  <c r="K821" i="2"/>
  <c r="L1002" i="2"/>
  <c r="L877" i="2"/>
  <c r="L693" i="2"/>
  <c r="K733" i="2"/>
  <c r="K849" i="2"/>
  <c r="J761" i="2"/>
  <c r="K949" i="2"/>
  <c r="K873" i="2"/>
  <c r="K763" i="2"/>
  <c r="K846" i="2"/>
  <c r="L858" i="2"/>
  <c r="J817" i="2"/>
  <c r="J909" i="2"/>
  <c r="J797" i="2"/>
  <c r="J781" i="2"/>
  <c r="J685" i="2"/>
  <c r="L646" i="2"/>
  <c r="L658" i="2"/>
  <c r="L653" i="2"/>
  <c r="L741" i="2"/>
  <c r="K753" i="2"/>
  <c r="K665" i="2"/>
  <c r="K601" i="2"/>
  <c r="J602" i="2"/>
  <c r="K541" i="2"/>
  <c r="K579" i="2"/>
  <c r="L474" i="2"/>
  <c r="L863" i="2"/>
  <c r="J1002" i="2"/>
  <c r="L897" i="2"/>
  <c r="L361" i="2"/>
  <c r="J679" i="2"/>
  <c r="J538" i="2"/>
  <c r="K637" i="2"/>
  <c r="J807" i="2"/>
  <c r="L566" i="2"/>
  <c r="L782" i="2"/>
  <c r="L585" i="2"/>
  <c r="L377" i="2"/>
  <c r="J219" i="2"/>
  <c r="J527" i="2"/>
  <c r="L401" i="2"/>
  <c r="L289" i="2"/>
  <c r="J374" i="2"/>
  <c r="L115" i="2"/>
  <c r="J199" i="2"/>
  <c r="L95" i="2"/>
  <c r="J146" i="2"/>
  <c r="K107" i="2"/>
  <c r="J319" i="2"/>
  <c r="K89" i="2"/>
  <c r="J239" i="2"/>
  <c r="J63" i="2"/>
  <c r="J323" i="2"/>
  <c r="K126" i="2"/>
  <c r="K755" i="2"/>
  <c r="K691" i="2"/>
  <c r="K757" i="2"/>
  <c r="L865" i="2"/>
  <c r="K793" i="2"/>
  <c r="L1022" i="2"/>
  <c r="L758" i="2"/>
  <c r="K762" i="2"/>
  <c r="L947" i="2"/>
  <c r="K845" i="2"/>
  <c r="L797" i="2"/>
  <c r="J777" i="2"/>
  <c r="J758" i="2"/>
  <c r="J605" i="2"/>
  <c r="K710" i="2"/>
  <c r="K646" i="2"/>
  <c r="K658" i="2"/>
  <c r="J773" i="2"/>
  <c r="L679" i="2"/>
  <c r="L718" i="2"/>
  <c r="L651" i="2"/>
  <c r="L735" i="2"/>
  <c r="L638" i="2"/>
  <c r="K741" i="2"/>
  <c r="K663" i="2"/>
  <c r="K529" i="2"/>
  <c r="K578" i="2"/>
  <c r="L549" i="2"/>
  <c r="L805" i="2"/>
  <c r="L857" i="2"/>
  <c r="K991" i="2"/>
  <c r="K822" i="2"/>
  <c r="K818" i="2"/>
  <c r="K814" i="2"/>
  <c r="K263" i="2"/>
  <c r="L386" i="2"/>
  <c r="K530" i="2"/>
  <c r="J763" i="2"/>
  <c r="J747" i="2"/>
  <c r="J550" i="2"/>
  <c r="L397" i="2"/>
  <c r="K307" i="2"/>
  <c r="L214" i="2"/>
  <c r="J477" i="2"/>
  <c r="L383" i="2"/>
  <c r="J155" i="2"/>
  <c r="K249" i="2"/>
  <c r="J362" i="2"/>
  <c r="J206" i="2"/>
  <c r="L114" i="2"/>
  <c r="L198" i="2"/>
  <c r="K67" i="2"/>
  <c r="J69" i="2"/>
  <c r="L135" i="2"/>
  <c r="J23" i="2"/>
  <c r="L150" i="2"/>
  <c r="K73" i="2"/>
  <c r="K206" i="2"/>
  <c r="L55" i="2"/>
  <c r="J286" i="2"/>
  <c r="K111" i="2"/>
  <c r="J905" i="2"/>
  <c r="J869" i="2"/>
  <c r="L817" i="2"/>
  <c r="L754" i="2"/>
  <c r="L994" i="2"/>
  <c r="L853" i="2"/>
  <c r="L789" i="2"/>
  <c r="L1017" i="2"/>
  <c r="L1021" i="2"/>
  <c r="L950" i="2"/>
  <c r="L825" i="2"/>
  <c r="L949" i="2"/>
  <c r="K861" i="2"/>
  <c r="J843" i="2"/>
  <c r="L774" i="2"/>
  <c r="K965" i="2"/>
  <c r="L981" i="2"/>
  <c r="L794" i="2"/>
  <c r="K777" i="2"/>
  <c r="K605" i="2"/>
  <c r="K701" i="2"/>
  <c r="L773" i="2"/>
  <c r="L766" i="2"/>
  <c r="J609" i="2"/>
  <c r="K718" i="2"/>
  <c r="L729" i="2"/>
  <c r="L686" i="2"/>
  <c r="K735" i="2"/>
  <c r="L650" i="2"/>
  <c r="K675" i="2"/>
  <c r="L649" i="2"/>
  <c r="K587" i="2"/>
  <c r="J570" i="2"/>
  <c r="J530" i="2"/>
  <c r="J1022" i="2"/>
  <c r="K635" i="2"/>
  <c r="L807" i="2"/>
  <c r="J545" i="2"/>
  <c r="K343" i="2"/>
  <c r="L781" i="2"/>
  <c r="L617" i="2"/>
  <c r="L751" i="2"/>
  <c r="K542" i="2"/>
  <c r="L739" i="2"/>
  <c r="K294" i="2"/>
  <c r="L233" i="2"/>
  <c r="J297" i="2"/>
  <c r="K71" i="2"/>
  <c r="J91" i="2"/>
  <c r="K333" i="2"/>
  <c r="J334" i="2"/>
  <c r="J194" i="2"/>
  <c r="L113" i="2"/>
  <c r="J186" i="2"/>
  <c r="J57" i="2"/>
  <c r="L30" i="2"/>
  <c r="L50" i="2"/>
  <c r="L246" i="2"/>
  <c r="L123" i="2"/>
  <c r="L62" i="2"/>
  <c r="K195" i="2"/>
  <c r="K47" i="2"/>
  <c r="J258" i="2"/>
  <c r="J81" i="2"/>
  <c r="J814" i="2"/>
  <c r="L753" i="2"/>
  <c r="K754" i="2"/>
  <c r="J838" i="2"/>
  <c r="L779" i="2"/>
  <c r="J829" i="2"/>
  <c r="J1013" i="2"/>
  <c r="L934" i="2"/>
  <c r="L929" i="2"/>
  <c r="K929" i="2"/>
  <c r="J741" i="2"/>
  <c r="L943" i="2"/>
  <c r="K843" i="2"/>
  <c r="J977" i="2"/>
  <c r="L841" i="2"/>
  <c r="L1019" i="2"/>
  <c r="K1001" i="2"/>
  <c r="L969" i="2"/>
  <c r="J809" i="2"/>
  <c r="J794" i="2"/>
  <c r="J662" i="2"/>
  <c r="L594" i="2"/>
  <c r="L605" i="2"/>
  <c r="L622" i="2"/>
  <c r="L761" i="2"/>
  <c r="J749" i="2"/>
  <c r="L670" i="2"/>
  <c r="K609" i="2"/>
  <c r="K641" i="2"/>
  <c r="L723" i="2"/>
  <c r="L677" i="2"/>
  <c r="K729" i="2"/>
  <c r="L746" i="2"/>
  <c r="L662" i="2"/>
  <c r="J637" i="2"/>
  <c r="L586" i="2"/>
  <c r="K569" i="2"/>
  <c r="L501" i="2"/>
  <c r="L530" i="2"/>
  <c r="L453" i="2"/>
  <c r="J549" i="2"/>
  <c r="L565" i="2"/>
  <c r="L582" i="2"/>
  <c r="K522" i="2"/>
  <c r="J555" i="2"/>
  <c r="L465" i="2"/>
  <c r="L389" i="2"/>
  <c r="J1001" i="2"/>
  <c r="J774" i="2"/>
  <c r="J606" i="2"/>
  <c r="K747" i="2"/>
  <c r="K673" i="2"/>
  <c r="L375" i="2"/>
  <c r="L201" i="2"/>
  <c r="J262" i="2"/>
  <c r="K287" i="2"/>
  <c r="J582" i="2"/>
  <c r="J457" i="2"/>
  <c r="J331" i="2"/>
  <c r="K461" i="2"/>
  <c r="J261" i="2"/>
  <c r="L171" i="2"/>
  <c r="J30" i="2"/>
  <c r="K77" i="2"/>
  <c r="J33" i="2"/>
  <c r="K237" i="2"/>
  <c r="K194" i="2"/>
  <c r="K38" i="2"/>
  <c r="K222" i="2"/>
  <c r="K55" i="2"/>
  <c r="L903" i="2"/>
  <c r="L867" i="2"/>
  <c r="K805" i="2"/>
  <c r="K746" i="2"/>
  <c r="J721" i="2"/>
  <c r="L837" i="2"/>
  <c r="L777" i="2"/>
  <c r="K933" i="2"/>
  <c r="K811" i="2"/>
  <c r="J733" i="2"/>
  <c r="L913" i="2"/>
  <c r="K847" i="2"/>
  <c r="L733" i="2"/>
  <c r="L842" i="2"/>
  <c r="J974" i="2"/>
  <c r="K817" i="2"/>
  <c r="J1005" i="2"/>
  <c r="L1013" i="2"/>
  <c r="K1019" i="2"/>
  <c r="L957" i="2"/>
  <c r="L809" i="2"/>
  <c r="J789" i="2"/>
  <c r="J746" i="2"/>
  <c r="L661" i="2"/>
  <c r="J594" i="2"/>
  <c r="L690" i="2"/>
  <c r="J622" i="2"/>
  <c r="L749" i="2"/>
  <c r="J597" i="2"/>
  <c r="K670" i="2"/>
  <c r="L609" i="2"/>
  <c r="L707" i="2"/>
  <c r="K639" i="2"/>
  <c r="K723" i="2"/>
  <c r="L713" i="2"/>
  <c r="K633" i="2"/>
  <c r="L579" i="2"/>
  <c r="K510" i="2"/>
  <c r="J561" i="2"/>
  <c r="K549" i="2"/>
  <c r="J567" i="2"/>
  <c r="K521" i="2"/>
  <c r="K545" i="2"/>
  <c r="K555" i="2"/>
  <c r="L513" i="2"/>
  <c r="L561" i="2"/>
  <c r="J871" i="2"/>
  <c r="J663" i="2"/>
  <c r="K614" i="2"/>
  <c r="K666" i="2"/>
  <c r="L511" i="2"/>
  <c r="J141" i="2"/>
  <c r="J187" i="2"/>
  <c r="J126" i="2"/>
  <c r="L287" i="2"/>
  <c r="L31" i="2"/>
  <c r="L559" i="2"/>
  <c r="J439" i="2"/>
  <c r="K283" i="2"/>
  <c r="J459" i="2"/>
  <c r="J238" i="2"/>
  <c r="J158" i="2"/>
  <c r="J10" i="2"/>
  <c r="K91" i="2"/>
  <c r="J170" i="2"/>
  <c r="J50" i="2"/>
  <c r="J31" i="2"/>
  <c r="L177" i="2"/>
  <c r="L227" i="2"/>
  <c r="J87" i="2"/>
  <c r="J17" i="2"/>
  <c r="J37" i="2"/>
  <c r="J218" i="2"/>
  <c r="K737" i="2"/>
  <c r="K833" i="2"/>
  <c r="K766" i="2"/>
  <c r="K826" i="2"/>
  <c r="L1006" i="2"/>
  <c r="L930" i="2"/>
  <c r="L810" i="2"/>
  <c r="J730" i="2"/>
  <c r="K913" i="2"/>
  <c r="L846" i="2"/>
  <c r="K685" i="2"/>
  <c r="L927" i="2"/>
  <c r="K945" i="2"/>
  <c r="L814" i="2"/>
  <c r="J993" i="2"/>
  <c r="L1007" i="2"/>
  <c r="K995" i="2"/>
  <c r="L945" i="2"/>
  <c r="L806" i="2"/>
  <c r="J769" i="2"/>
  <c r="K594" i="2"/>
  <c r="L657" i="2"/>
  <c r="K622" i="2"/>
  <c r="K597" i="2"/>
  <c r="L742" i="2"/>
  <c r="J667" i="2"/>
  <c r="L715" i="2"/>
  <c r="K638" i="2"/>
  <c r="L734" i="2"/>
  <c r="K618" i="2"/>
  <c r="J506" i="2"/>
  <c r="K561" i="2"/>
  <c r="L525" i="2"/>
  <c r="K606" i="2"/>
  <c r="L546" i="2"/>
  <c r="J867" i="2"/>
  <c r="L871" i="2"/>
  <c r="K974" i="2"/>
  <c r="J638" i="2"/>
  <c r="J653" i="2"/>
  <c r="J654" i="2"/>
  <c r="J598" i="2"/>
  <c r="K393" i="2"/>
  <c r="J651" i="2"/>
  <c r="J367" i="2"/>
  <c r="L554" i="2"/>
  <c r="L187" i="2"/>
  <c r="J111" i="2"/>
  <c r="J438" i="2"/>
  <c r="K557" i="2"/>
  <c r="K282" i="2"/>
  <c r="K259" i="2"/>
  <c r="J450" i="2"/>
  <c r="J231" i="2"/>
  <c r="J311" i="2"/>
  <c r="J162" i="2"/>
  <c r="J154" i="2"/>
  <c r="J9" i="2"/>
  <c r="L82" i="2"/>
  <c r="J21" i="2"/>
  <c r="L226" i="2"/>
  <c r="J335" i="2"/>
  <c r="K95" i="2"/>
  <c r="K150" i="2"/>
  <c r="L71" i="2"/>
  <c r="J15" i="2"/>
  <c r="K159" i="2"/>
  <c r="J35" i="2"/>
  <c r="J210" i="2"/>
  <c r="J38" i="2"/>
  <c r="L939" i="2"/>
  <c r="J893" i="2"/>
  <c r="J857" i="2"/>
  <c r="K803" i="2"/>
  <c r="L830" i="2"/>
  <c r="J822" i="2"/>
  <c r="L914" i="2"/>
  <c r="L845" i="2"/>
  <c r="L910" i="2"/>
  <c r="L786" i="2"/>
  <c r="J981" i="2"/>
  <c r="L1001" i="2"/>
  <c r="K1013" i="2"/>
  <c r="L933" i="2"/>
  <c r="J806" i="2"/>
  <c r="J765" i="2"/>
  <c r="J734" i="2"/>
  <c r="K681" i="2"/>
  <c r="K690" i="2"/>
  <c r="L597" i="2"/>
  <c r="L697" i="2"/>
  <c r="K707" i="2"/>
  <c r="L665" i="2"/>
  <c r="K650" i="2"/>
  <c r="K695" i="2"/>
  <c r="K570" i="2"/>
  <c r="L506" i="2"/>
  <c r="J551" i="2"/>
  <c r="L606" i="2"/>
  <c r="K523" i="2"/>
  <c r="J855" i="2"/>
  <c r="J886" i="2"/>
  <c r="K982" i="2"/>
  <c r="L866" i="2"/>
  <c r="J958" i="2"/>
  <c r="J639" i="2"/>
  <c r="L725" i="2"/>
  <c r="L533" i="2"/>
  <c r="K625" i="2"/>
  <c r="K907" i="2"/>
  <c r="J345" i="2"/>
  <c r="L523" i="2"/>
  <c r="J181" i="2"/>
  <c r="J485" i="2"/>
  <c r="L418" i="2"/>
  <c r="K230" i="2"/>
  <c r="J382" i="2"/>
  <c r="J189" i="2"/>
  <c r="J429" i="2"/>
  <c r="J179" i="2"/>
  <c r="L310" i="2"/>
  <c r="J173" i="2"/>
  <c r="K151" i="2"/>
  <c r="L74" i="2"/>
  <c r="K115" i="2"/>
  <c r="L267" i="2"/>
  <c r="J94" i="2"/>
  <c r="L147" i="2"/>
  <c r="L70" i="2"/>
  <c r="J45" i="2"/>
  <c r="L158" i="2"/>
  <c r="K27" i="2"/>
  <c r="L183" i="2"/>
  <c r="L18" i="2"/>
  <c r="K802" i="2"/>
  <c r="K721" i="2"/>
  <c r="K703" i="2"/>
  <c r="L953" i="2"/>
  <c r="L827" i="2"/>
  <c r="J790" i="2"/>
  <c r="L898" i="2"/>
  <c r="L979" i="2"/>
  <c r="K799" i="2"/>
  <c r="L975" i="2"/>
  <c r="K909" i="2"/>
  <c r="K774" i="2"/>
  <c r="J969" i="2"/>
  <c r="L1014" i="2"/>
  <c r="L995" i="2"/>
  <c r="K989" i="2"/>
  <c r="L921" i="2"/>
  <c r="L821" i="2"/>
  <c r="J801" i="2"/>
  <c r="K765" i="2"/>
  <c r="L694" i="2"/>
  <c r="L762" i="2"/>
  <c r="K649" i="2"/>
  <c r="L671" i="2"/>
  <c r="L682" i="2"/>
  <c r="L730" i="2"/>
  <c r="K687" i="2"/>
  <c r="L705" i="2"/>
  <c r="L663" i="2"/>
  <c r="K705" i="2"/>
  <c r="L613" i="2"/>
  <c r="L722" i="2"/>
  <c r="J694" i="2"/>
  <c r="J541" i="2"/>
  <c r="L599" i="2"/>
  <c r="K599" i="2"/>
  <c r="L891" i="2"/>
  <c r="L937" i="2"/>
  <c r="J482" i="2"/>
  <c r="K535" i="2"/>
  <c r="J301" i="2"/>
  <c r="K459" i="2"/>
  <c r="K383" i="2"/>
  <c r="L314" i="2"/>
  <c r="L482" i="2"/>
  <c r="L393" i="2"/>
  <c r="L487" i="2"/>
  <c r="L337" i="2"/>
  <c r="K426" i="2"/>
  <c r="K337" i="2"/>
  <c r="L321" i="2"/>
  <c r="J337" i="2"/>
  <c r="L299" i="2"/>
  <c r="J285" i="2"/>
  <c r="L229" i="2"/>
  <c r="J227" i="2"/>
  <c r="L271" i="2"/>
  <c r="L209" i="2"/>
  <c r="J93" i="2"/>
  <c r="L110" i="2"/>
  <c r="K186" i="2"/>
  <c r="K138" i="2"/>
  <c r="K169" i="2"/>
  <c r="K175" i="2"/>
  <c r="K197" i="2"/>
  <c r="L73" i="2"/>
  <c r="L41" i="2"/>
  <c r="K46" i="2"/>
  <c r="L51" i="2"/>
  <c r="K127" i="2"/>
  <c r="L190" i="2"/>
  <c r="K106" i="2"/>
  <c r="J89" i="2"/>
  <c r="L29" i="2"/>
  <c r="L45" i="2"/>
  <c r="K110" i="2"/>
  <c r="K182" i="2"/>
  <c r="K105" i="2"/>
  <c r="J65" i="2"/>
  <c r="L89" i="2"/>
  <c r="J86" i="2"/>
  <c r="J351" i="2"/>
  <c r="L801" i="2"/>
  <c r="L793" i="2"/>
  <c r="K90" i="2"/>
  <c r="K37" i="2"/>
  <c r="L53" i="2"/>
  <c r="K29" i="2"/>
  <c r="L57" i="2"/>
  <c r="K886" i="2"/>
  <c r="K167" i="2"/>
  <c r="L111" i="2"/>
  <c r="L202" i="2"/>
  <c r="K825" i="2"/>
  <c r="K979" i="2"/>
  <c r="L615" i="2"/>
  <c r="K591" i="2"/>
  <c r="J521" i="2"/>
  <c r="J542" i="2"/>
  <c r="L353" i="2"/>
  <c r="K513" i="2"/>
  <c r="K453" i="2"/>
  <c r="K375" i="2"/>
  <c r="J314" i="2"/>
  <c r="L481" i="2"/>
  <c r="K419" i="2"/>
  <c r="J333" i="2"/>
  <c r="J419" i="2"/>
  <c r="L239" i="2"/>
  <c r="J265" i="2"/>
  <c r="K285" i="2"/>
  <c r="J225" i="2"/>
  <c r="K273" i="2"/>
  <c r="K227" i="2"/>
  <c r="K269" i="2"/>
  <c r="J213" i="2"/>
  <c r="L93" i="2"/>
  <c r="L105" i="2"/>
  <c r="K201" i="2"/>
  <c r="J201" i="2"/>
  <c r="L185" i="2"/>
  <c r="L137" i="2"/>
  <c r="K161" i="2"/>
  <c r="K98" i="2"/>
  <c r="J137" i="2"/>
  <c r="J153" i="2"/>
  <c r="L97" i="2"/>
  <c r="K17" i="2"/>
  <c r="L39" i="2"/>
  <c r="J317" i="2"/>
  <c r="J115" i="2"/>
  <c r="J957" i="2"/>
  <c r="K590" i="2"/>
  <c r="L486" i="2"/>
  <c r="J517" i="2"/>
  <c r="J513" i="2"/>
  <c r="J449" i="2"/>
  <c r="J347" i="2"/>
  <c r="K447" i="2"/>
  <c r="L374" i="2"/>
  <c r="L470" i="2"/>
  <c r="J385" i="2"/>
  <c r="L463" i="2"/>
  <c r="L381" i="2"/>
  <c r="L411" i="2"/>
  <c r="L333" i="2"/>
  <c r="K411" i="2"/>
  <c r="L286" i="2"/>
  <c r="L238" i="2"/>
  <c r="L251" i="2"/>
  <c r="K262" i="2"/>
  <c r="J289" i="2"/>
  <c r="K213" i="2"/>
  <c r="J90" i="2"/>
  <c r="J166" i="2"/>
  <c r="K178" i="2"/>
  <c r="K130" i="2"/>
  <c r="L23" i="2"/>
  <c r="K358" i="2"/>
  <c r="L338" i="2"/>
  <c r="L306" i="2"/>
  <c r="L274" i="2"/>
  <c r="K251" i="2"/>
  <c r="K229" i="2"/>
  <c r="J862" i="2"/>
  <c r="L989" i="2"/>
  <c r="J633" i="2"/>
  <c r="J529" i="2"/>
  <c r="J461" i="2"/>
  <c r="K567" i="2"/>
  <c r="L590" i="2"/>
  <c r="J505" i="2"/>
  <c r="L378" i="2"/>
  <c r="L313" i="2"/>
  <c r="L405" i="2"/>
  <c r="K347" i="2"/>
  <c r="K507" i="2"/>
  <c r="K441" i="2"/>
  <c r="J383" i="2"/>
  <c r="J327" i="2"/>
  <c r="L457" i="2"/>
  <c r="K401" i="2"/>
  <c r="J401" i="2"/>
  <c r="L410" i="2"/>
  <c r="K274" i="2"/>
  <c r="L261" i="2"/>
  <c r="L315" i="2"/>
  <c r="K315" i="2"/>
  <c r="L257" i="2"/>
  <c r="L90" i="2"/>
  <c r="J82" i="2"/>
  <c r="L189" i="2"/>
  <c r="L162" i="2"/>
  <c r="K177" i="2"/>
  <c r="K129" i="2"/>
  <c r="K223" i="2"/>
  <c r="K145" i="2"/>
  <c r="K25" i="2"/>
  <c r="L166" i="2"/>
  <c r="K94" i="2"/>
  <c r="L65" i="2"/>
  <c r="K82" i="2"/>
  <c r="L37" i="2"/>
  <c r="L17" i="2"/>
  <c r="K34" i="2"/>
  <c r="L33" i="2"/>
  <c r="J70" i="2"/>
  <c r="K99" i="2"/>
  <c r="K158" i="2"/>
  <c r="K93" i="2"/>
  <c r="L126" i="2"/>
  <c r="L85" i="2"/>
  <c r="K166" i="2"/>
  <c r="L77" i="2"/>
  <c r="J190" i="2"/>
  <c r="K394" i="2"/>
  <c r="K209" i="2"/>
  <c r="J177" i="2"/>
  <c r="L431" i="2"/>
  <c r="L213" i="2"/>
  <c r="L26" i="2"/>
  <c r="K897" i="2"/>
  <c r="K745" i="2"/>
  <c r="K1007" i="2"/>
  <c r="L634" i="2"/>
  <c r="J498" i="2"/>
  <c r="K565" i="2"/>
  <c r="L497" i="2"/>
  <c r="L347" i="2"/>
  <c r="K501" i="2"/>
  <c r="K435" i="2"/>
  <c r="L365" i="2"/>
  <c r="L458" i="2"/>
  <c r="L382" i="2"/>
  <c r="L451" i="2"/>
  <c r="J373" i="2"/>
  <c r="J215" i="2"/>
  <c r="J278" i="2"/>
  <c r="J241" i="2"/>
  <c r="L273" i="2"/>
  <c r="K341" i="2"/>
  <c r="L309" i="2"/>
  <c r="K309" i="2"/>
  <c r="K246" i="2"/>
  <c r="J78" i="2"/>
  <c r="K217" i="2"/>
  <c r="K137" i="2"/>
  <c r="L25" i="2"/>
  <c r="K78" i="2"/>
  <c r="L13" i="2"/>
  <c r="K13" i="2"/>
  <c r="L11" i="2"/>
  <c r="K11" i="2"/>
  <c r="K22" i="2"/>
  <c r="L27" i="2"/>
  <c r="L138" i="2"/>
  <c r="L54" i="2"/>
  <c r="K58" i="2"/>
  <c r="L429" i="2"/>
  <c r="K465" i="2"/>
  <c r="J271" i="2"/>
  <c r="K173" i="2"/>
  <c r="K254" i="2"/>
  <c r="K702" i="2"/>
  <c r="L669" i="2"/>
  <c r="K742" i="2"/>
  <c r="J409" i="2"/>
  <c r="J365" i="2"/>
  <c r="J397" i="2"/>
  <c r="L346" i="2"/>
  <c r="K429" i="2"/>
  <c r="L363" i="2"/>
  <c r="L445" i="2"/>
  <c r="J371" i="2"/>
  <c r="K381" i="2"/>
  <c r="L462" i="2"/>
  <c r="J402" i="2"/>
  <c r="L409" i="2"/>
  <c r="L215" i="2"/>
  <c r="L342" i="2"/>
  <c r="J277" i="2"/>
  <c r="L241" i="2"/>
  <c r="L341" i="2"/>
  <c r="J273" i="2"/>
  <c r="J203" i="2"/>
  <c r="L303" i="2"/>
  <c r="K303" i="2"/>
  <c r="J259" i="2"/>
  <c r="L78" i="2"/>
  <c r="L223" i="2"/>
  <c r="L169" i="2"/>
  <c r="L109" i="2"/>
  <c r="K211" i="2"/>
  <c r="L222" i="2"/>
  <c r="K97" i="2"/>
  <c r="K69" i="2"/>
  <c r="L142" i="2"/>
  <c r="J49" i="2"/>
  <c r="L7" i="2"/>
  <c r="L5" i="2"/>
  <c r="L21" i="2"/>
  <c r="L146" i="2"/>
  <c r="L217" i="2"/>
  <c r="K162" i="2"/>
  <c r="K205" i="2"/>
  <c r="J129" i="2"/>
  <c r="J185" i="2"/>
  <c r="K7" i="2"/>
  <c r="K53" i="2"/>
  <c r="K5" i="2"/>
  <c r="L87" i="2"/>
  <c r="L161" i="2"/>
  <c r="K199" i="2"/>
  <c r="J53" i="2"/>
  <c r="L81" i="2"/>
  <c r="L46" i="2"/>
  <c r="K9" i="2"/>
  <c r="L193" i="2"/>
  <c r="L66" i="2"/>
  <c r="L34" i="2"/>
  <c r="L449" i="2"/>
  <c r="K6" i="2"/>
  <c r="K823" i="2"/>
  <c r="K750" i="2"/>
  <c r="J113" i="2"/>
  <c r="L186" i="2"/>
  <c r="J418" i="2"/>
  <c r="K125" i="2"/>
  <c r="J211" i="2"/>
  <c r="J739" i="2"/>
  <c r="L886" i="2"/>
  <c r="K682" i="2"/>
  <c r="K566" i="2"/>
  <c r="L598" i="2"/>
  <c r="L485" i="2"/>
  <c r="K546" i="2"/>
  <c r="K582" i="2"/>
  <c r="J465" i="2"/>
  <c r="K495" i="2"/>
  <c r="K423" i="2"/>
  <c r="J349" i="2"/>
  <c r="L439" i="2"/>
  <c r="L370" i="2"/>
  <c r="K451" i="2"/>
  <c r="K462" i="2"/>
  <c r="L402" i="2"/>
  <c r="L301" i="2"/>
  <c r="L277" i="2"/>
  <c r="K226" i="2"/>
  <c r="L335" i="2"/>
  <c r="L262" i="2"/>
  <c r="K335" i="2"/>
  <c r="K261" i="2"/>
  <c r="K203" i="2"/>
  <c r="L297" i="2"/>
  <c r="J205" i="2"/>
  <c r="K297" i="2"/>
  <c r="L259" i="2"/>
  <c r="L165" i="2"/>
  <c r="J58" i="2"/>
  <c r="K134" i="2"/>
  <c r="J85" i="2"/>
  <c r="K190" i="2"/>
  <c r="J77" i="2"/>
  <c r="J61" i="2"/>
  <c r="K49" i="2"/>
  <c r="K81" i="2"/>
  <c r="K142" i="2"/>
  <c r="K70" i="2"/>
  <c r="L118" i="2"/>
  <c r="J105" i="2"/>
  <c r="L6" i="2"/>
  <c r="L63" i="2"/>
  <c r="K314" i="2"/>
  <c r="L106" i="2"/>
  <c r="L182" i="2"/>
  <c r="J514" i="2"/>
  <c r="J178" i="2"/>
  <c r="K171" i="2"/>
  <c r="L855" i="2"/>
  <c r="J757" i="2"/>
  <c r="K715" i="2"/>
  <c r="J462" i="2"/>
  <c r="J518" i="2"/>
  <c r="J573" i="2"/>
  <c r="K351" i="2"/>
  <c r="L434" i="2"/>
  <c r="L433" i="2"/>
  <c r="K361" i="2"/>
  <c r="L450" i="2"/>
  <c r="J390" i="2"/>
  <c r="L330" i="2"/>
  <c r="J221" i="2"/>
  <c r="L329" i="2"/>
  <c r="K329" i="2"/>
  <c r="J237" i="2"/>
  <c r="L203" i="2"/>
  <c r="K289" i="2"/>
  <c r="J290" i="2"/>
  <c r="L211" i="2"/>
  <c r="J101" i="2"/>
  <c r="K61" i="2"/>
  <c r="J106" i="2"/>
  <c r="K679" i="2"/>
  <c r="J413" i="2"/>
  <c r="J973" i="2"/>
  <c r="K617" i="2"/>
  <c r="K302" i="2"/>
  <c r="J445" i="2"/>
  <c r="L225" i="2"/>
  <c r="L906" i="2"/>
  <c r="J722" i="2"/>
  <c r="J525" i="2"/>
  <c r="K554" i="2"/>
  <c r="L518" i="2"/>
  <c r="J341" i="2"/>
  <c r="K531" i="2"/>
  <c r="K489" i="2"/>
  <c r="L326" i="2"/>
  <c r="L427" i="2"/>
  <c r="K445" i="2"/>
  <c r="K450" i="2"/>
  <c r="K389" i="2"/>
  <c r="L390" i="2"/>
  <c r="J302" i="2"/>
  <c r="L263" i="2"/>
  <c r="K221" i="2"/>
  <c r="L323" i="2"/>
  <c r="J254" i="2"/>
  <c r="K323" i="2"/>
  <c r="J235" i="2"/>
  <c r="J283" i="2"/>
  <c r="J281" i="2"/>
  <c r="J246" i="2"/>
  <c r="L258" i="2"/>
  <c r="L141" i="2"/>
  <c r="L205" i="2"/>
  <c r="K154" i="2"/>
  <c r="J99" i="2"/>
  <c r="K193" i="2"/>
  <c r="L75" i="2"/>
  <c r="J209" i="2"/>
  <c r="J421" i="2"/>
  <c r="K321" i="2"/>
  <c r="K242" i="2"/>
  <c r="L305" i="2"/>
  <c r="K299" i="2"/>
  <c r="K233" i="2"/>
  <c r="L145" i="2"/>
  <c r="J207" i="2"/>
  <c r="J11" i="2"/>
  <c r="K781" i="2"/>
  <c r="L798" i="2"/>
  <c r="L818" i="2"/>
  <c r="K694" i="2"/>
  <c r="K603" i="2"/>
  <c r="J339" i="2"/>
  <c r="J366" i="2"/>
  <c r="J313" i="2"/>
  <c r="J325" i="2"/>
  <c r="L422" i="2"/>
  <c r="K421" i="2"/>
  <c r="L358" i="2"/>
  <c r="L438" i="2"/>
  <c r="K295" i="2"/>
  <c r="J295" i="2"/>
  <c r="L318" i="2"/>
  <c r="L221" i="2"/>
  <c r="L317" i="2"/>
  <c r="J253" i="2"/>
  <c r="K317" i="2"/>
  <c r="K235" i="2"/>
  <c r="L245" i="2"/>
  <c r="J247" i="2"/>
  <c r="J125" i="2"/>
  <c r="L121" i="2"/>
  <c r="L199" i="2"/>
  <c r="K153" i="2"/>
  <c r="L98" i="2"/>
  <c r="K185" i="2"/>
  <c r="K109" i="2"/>
  <c r="J161" i="2"/>
  <c r="L61" i="2"/>
  <c r="L197" i="2"/>
  <c r="L49" i="2"/>
  <c r="J118" i="2"/>
  <c r="K74" i="2"/>
  <c r="L125" i="2"/>
  <c r="J66" i="2"/>
  <c r="K43" i="2"/>
  <c r="L42" i="2"/>
  <c r="K41" i="2"/>
  <c r="J41" i="2"/>
  <c r="L69" i="2"/>
  <c r="J197" i="2"/>
  <c r="L247" i="2"/>
  <c r="K537" i="2"/>
  <c r="L493" i="2"/>
  <c r="J73" i="2"/>
  <c r="L22" i="2"/>
  <c r="K66" i="2"/>
  <c r="L803" i="2"/>
  <c r="L909" i="2"/>
  <c r="L575" i="2"/>
  <c r="J537" i="2"/>
  <c r="J554" i="2"/>
  <c r="K602" i="2"/>
  <c r="L339" i="2"/>
  <c r="L441" i="2"/>
  <c r="L366" i="2"/>
  <c r="K525" i="2"/>
  <c r="K471" i="2"/>
  <c r="L494" i="2"/>
  <c r="L414" i="2"/>
  <c r="L499" i="2"/>
  <c r="K439" i="2"/>
  <c r="K438" i="2"/>
  <c r="K369" i="2"/>
  <c r="J321" i="2"/>
  <c r="K338" i="2"/>
  <c r="L311" i="2"/>
  <c r="L253" i="2"/>
  <c r="K311" i="2"/>
  <c r="J229" i="2"/>
  <c r="J233" i="2"/>
  <c r="L269" i="2"/>
  <c r="L426" i="2"/>
  <c r="L3" i="2"/>
  <c r="K3" i="2"/>
  <c r="J3" i="2"/>
  <c r="T3" i="2"/>
  <c r="S3" i="2"/>
  <c r="Q16" i="2" l="1"/>
  <c r="Q20" i="2"/>
  <c r="Q1093" i="2"/>
  <c r="Q1091" i="2"/>
  <c r="Q8" i="2"/>
  <c r="Q40" i="2"/>
  <c r="Q24" i="2"/>
  <c r="Q32" i="2"/>
  <c r="Q4" i="2"/>
  <c r="Q48" i="2"/>
  <c r="Q36" i="2"/>
  <c r="Q56" i="2"/>
  <c r="Q60" i="2"/>
  <c r="Q12" i="2"/>
  <c r="Q52" i="2"/>
  <c r="Q29" i="2"/>
  <c r="Q27" i="2"/>
  <c r="Q17" i="2"/>
  <c r="Q15" i="2"/>
  <c r="Q1025" i="2"/>
  <c r="Q1024" i="2"/>
  <c r="Q37" i="2"/>
  <c r="Q45" i="2"/>
  <c r="Q53" i="2"/>
  <c r="Q35" i="2"/>
  <c r="Q25" i="2"/>
  <c r="Q7" i="2"/>
  <c r="Q19" i="2"/>
  <c r="Q33" i="2"/>
  <c r="Q51" i="2"/>
  <c r="Q31" i="2"/>
  <c r="Q55" i="2"/>
  <c r="Q59" i="2"/>
  <c r="Q61" i="2"/>
  <c r="Q23" i="2"/>
  <c r="Q11" i="2"/>
  <c r="Q57" i="2"/>
  <c r="Q9" i="2"/>
  <c r="Q21" i="2"/>
  <c r="Q13" i="2"/>
  <c r="Q43" i="2"/>
  <c r="Q41" i="2"/>
  <c r="Q1023" i="2"/>
  <c r="Q39" i="2"/>
  <c r="Q5" i="2"/>
  <c r="Q49" i="2"/>
  <c r="Q47" i="2"/>
  <c r="Q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9667E92-0AB9-453A-8652-0C2E1CA43503}" keepAlive="1" name="Query - Data Transform" description="Connection to the 'Data Transform' query in the workbook." type="5" refreshedVersion="8" background="1" saveData="1">
    <dbPr connection="Provider=Microsoft.Mashup.OleDb.1;Data Source=$Workbook$;Location=&quot;Data Transform&quot;;Extended Properties=&quot;&quot;" command="SELECT * FROM [Data Transform]"/>
  </connection>
</connections>
</file>

<file path=xl/sharedStrings.xml><?xml version="1.0" encoding="utf-8"?>
<sst xmlns="http://schemas.openxmlformats.org/spreadsheetml/2006/main" count="55109" uniqueCount="1129">
  <si>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</si>
  <si>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</si>
  <si>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</si>
  <si>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</si>
  <si>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</si>
  <si>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</si>
  <si>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</si>
  <si>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</si>
  <si>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</si>
  <si>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</si>
  <si>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</si>
  <si>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</si>
  <si>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</si>
  <si>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</si>
  <si>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</si>
  <si>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</si>
  <si>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</si>
  <si>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</si>
  <si>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</si>
  <si>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</si>
  <si>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</si>
  <si>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</si>
  <si>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</si>
  <si>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</si>
  <si>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</si>
  <si>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</si>
  <si>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</si>
  <si>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</si>
  <si>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</si>
  <si>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</si>
  <si>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</si>
  <si>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</si>
  <si>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</si>
  <si>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</si>
  <si>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</si>
  <si>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</si>
  <si>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</si>
  <si>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</si>
  <si>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</si>
  <si>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</si>
  <si>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</si>
  <si>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</si>
  <si>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</si>
  <si>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</si>
  <si>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</si>
  <si>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</si>
  <si>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</si>
  <si>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</si>
  <si>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</si>
  <si>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</si>
  <si>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</si>
  <si>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</si>
  <si>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</si>
  <si>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</si>
  <si>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</si>
  <si>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</si>
  <si>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</si>
  <si>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</si>
  <si>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</si>
  <si>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</si>
  <si>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</si>
  <si>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</si>
  <si>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</si>
  <si>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</si>
  <si>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</si>
  <si>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</si>
  <si>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</si>
  <si>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</si>
  <si>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</si>
  <si>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</si>
  <si>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</si>
  <si>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</si>
  <si>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</si>
  <si>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</si>
  <si>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</si>
  <si>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</si>
  <si>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</si>
  <si>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</si>
  <si>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</si>
  <si>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</si>
  <si>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LSU</t>
  </si>
  <si>
    <t>Florida State</t>
  </si>
  <si>
    <t>Notre Dame</t>
  </si>
  <si>
    <t>Clemson</t>
  </si>
  <si>
    <t>Texas</t>
  </si>
  <si>
    <t>Georgia Tech</t>
  </si>
  <si>
    <t>Ohio State</t>
  </si>
  <si>
    <t>Jeremiyah Love</t>
  </si>
  <si>
    <t>ACC</t>
  </si>
  <si>
    <t>home</t>
  </si>
  <si>
    <t>defensive</t>
  </si>
  <si>
    <t>PD</t>
  </si>
  <si>
    <t>Antonio Williams</t>
  </si>
  <si>
    <t>Week 16</t>
  </si>
  <si>
    <t>Nick Andersen</t>
  </si>
  <si>
    <t>Wake Forest</t>
  </si>
  <si>
    <t>Baylor</t>
  </si>
  <si>
    <t>Alabama</t>
  </si>
  <si>
    <t>Auburn</t>
  </si>
  <si>
    <t>Ryan Williams</t>
  </si>
  <si>
    <t>Minnesota</t>
  </si>
  <si>
    <t>Buffalo</t>
  </si>
  <si>
    <t>Khalil Murdock</t>
  </si>
  <si>
    <t>Julian Sayin</t>
  </si>
  <si>
    <t>Cincinnati</t>
  </si>
  <si>
    <t>Bryson Washington</t>
  </si>
  <si>
    <t>Chris</t>
  </si>
  <si>
    <t>Miami (FL)</t>
  </si>
  <si>
    <t>Kennesaw State</t>
  </si>
  <si>
    <t>Dylan Raiola</t>
  </si>
  <si>
    <t>Nebraska</t>
  </si>
  <si>
    <t>Whit Weeks</t>
  </si>
  <si>
    <t>Malik Washington</t>
  </si>
  <si>
    <t>Maryland</t>
  </si>
  <si>
    <t>FAU</t>
  </si>
  <si>
    <t>Ryan williams</t>
  </si>
  <si>
    <t>Davon Booth</t>
  </si>
  <si>
    <t>Mississippi State</t>
  </si>
  <si>
    <t>Southern Miss</t>
  </si>
  <si>
    <t>Phoenix Jackson</t>
  </si>
  <si>
    <t>Walker Eget</t>
  </si>
  <si>
    <t>San Jose State</t>
  </si>
  <si>
    <t>CMU</t>
  </si>
  <si>
    <t>Omar Cooper Jr.</t>
  </si>
  <si>
    <t>Indiana</t>
  </si>
  <si>
    <t>Old Dominion</t>
  </si>
  <si>
    <t>Kaytron Allen</t>
  </si>
  <si>
    <t>Penn State</t>
  </si>
  <si>
    <t>Nevada</t>
  </si>
  <si>
    <t>Michigan</t>
  </si>
  <si>
    <t>New Mexico</t>
  </si>
  <si>
    <t>Texas A&amp;M</t>
  </si>
  <si>
    <t>UTSA</t>
  </si>
  <si>
    <t>Washington</t>
  </si>
  <si>
    <t>Colorado State</t>
  </si>
  <si>
    <t>Nicholas Singleton</t>
  </si>
  <si>
    <t>Daniel Wingate</t>
  </si>
  <si>
    <t>Caden Veltkamp</t>
  </si>
  <si>
    <t>Easton Messer</t>
  </si>
  <si>
    <t>Nolan Ray</t>
  </si>
  <si>
    <t>Caleb Downs</t>
  </si>
  <si>
    <t>Gunner Stockton</t>
  </si>
  <si>
    <t>Georgia</t>
  </si>
  <si>
    <t>Marshall</t>
  </si>
  <si>
    <t>Jonathan</t>
  </si>
  <si>
    <t>Bryce Underwood</t>
  </si>
  <si>
    <t>Elijah Sarratt</t>
  </si>
  <si>
    <t>Drew Allar</t>
  </si>
  <si>
    <t>Trebor Pena</t>
  </si>
  <si>
    <t>Nate Frazier</t>
  </si>
  <si>
    <t>Colin Simmons</t>
  </si>
  <si>
    <t>Eric Rivers</t>
  </si>
  <si>
    <t>Colorado</t>
  </si>
  <si>
    <t>James Peoples</t>
  </si>
  <si>
    <t>Mac Uihlein</t>
  </si>
  <si>
    <t>Northwestern</t>
  </si>
  <si>
    <t>Tulane</t>
  </si>
  <si>
    <t>Blake Shapen</t>
  </si>
  <si>
    <t>Kenny Odom</t>
  </si>
  <si>
    <t>UTEP</t>
  </si>
  <si>
    <t>Texas State</t>
  </si>
  <si>
    <t>Devin Mockobee</t>
  </si>
  <si>
    <t>Purdue</t>
  </si>
  <si>
    <t>Ball State</t>
  </si>
  <si>
    <t>Marcel Reed</t>
  </si>
  <si>
    <t>Jason Henderson</t>
  </si>
  <si>
    <t>Josh Hoover</t>
  </si>
  <si>
    <t>TCU</t>
  </si>
  <si>
    <t>North Carolina</t>
  </si>
  <si>
    <t>Devonte Ross</t>
  </si>
  <si>
    <t>Anthony Hankerson</t>
  </si>
  <si>
    <t>Oregon State</t>
  </si>
  <si>
    <t>California</t>
  </si>
  <si>
    <t>Denzel Boston</t>
  </si>
  <si>
    <t>Brad Jackson</t>
  </si>
  <si>
    <t>EMU</t>
  </si>
  <si>
    <t>Jacob De Jesus</t>
  </si>
  <si>
    <t>Jonah Coleman</t>
  </si>
  <si>
    <t>No Pick</t>
  </si>
  <si>
    <t>away</t>
  </si>
  <si>
    <t>passing</t>
  </si>
  <si>
    <t>C/ATT</t>
  </si>
  <si>
    <t>Haynes King</t>
  </si>
  <si>
    <t>13/20</t>
  </si>
  <si>
    <t xml:space="preserve"> Team</t>
  </si>
  <si>
    <t>0/1</t>
  </si>
  <si>
    <t>YDS</t>
  </si>
  <si>
    <t>AVG</t>
  </si>
  <si>
    <t>TD</t>
  </si>
  <si>
    <t>INT</t>
  </si>
  <si>
    <t>QBR</t>
  </si>
  <si>
    <t>--</t>
  </si>
  <si>
    <t>rushing</t>
  </si>
  <si>
    <t>CAR</t>
  </si>
  <si>
    <t>Jamal Haynes</t>
  </si>
  <si>
    <t>Malachi Hosley</t>
  </si>
  <si>
    <t>Malik Rutherford</t>
  </si>
  <si>
    <t>Bailey Stockton</t>
  </si>
  <si>
    <t>LONG</t>
  </si>
  <si>
    <t>receiving</t>
  </si>
  <si>
    <t>Luke Harpring</t>
  </si>
  <si>
    <t>Zion Taylor</t>
  </si>
  <si>
    <t>Isiah Canion</t>
  </si>
  <si>
    <t>fumbles</t>
  </si>
  <si>
    <t>FUM</t>
  </si>
  <si>
    <t>LOST</t>
  </si>
  <si>
    <t>TOT</t>
  </si>
  <si>
    <t>Omar Daniels</t>
  </si>
  <si>
    <t>Akelo Stone</t>
  </si>
  <si>
    <t>E.J. Lightsey</t>
  </si>
  <si>
    <t>Clayton Powell-Lee</t>
  </si>
  <si>
    <t>Kyle Efford</t>
  </si>
  <si>
    <t>Cayman Spaulding</t>
  </si>
  <si>
    <t>Andre Fuller Jr.</t>
  </si>
  <si>
    <t>Ahmari Harvey</t>
  </si>
  <si>
    <t>Jyron Gilmore</t>
  </si>
  <si>
    <t>Savion Riley</t>
  </si>
  <si>
    <t>Matthew Alexander</t>
  </si>
  <si>
    <t>Melvin Jordan IV</t>
  </si>
  <si>
    <t>Jon Mitchell</t>
  </si>
  <si>
    <t>Jordan van den Berg</t>
  </si>
  <si>
    <t>Daylon Gordon</t>
  </si>
  <si>
    <t>Tah'j Butler</t>
  </si>
  <si>
    <t>Christian Garrett</t>
  </si>
  <si>
    <t>Jason Moore</t>
  </si>
  <si>
    <t>Daiquan White</t>
  </si>
  <si>
    <t>Brayden Manley</t>
  </si>
  <si>
    <t>SOLO</t>
  </si>
  <si>
    <t>SACKS</t>
  </si>
  <si>
    <t>TFL</t>
  </si>
  <si>
    <t>QB HUR</t>
  </si>
  <si>
    <t>puntReturns</t>
  </si>
  <si>
    <t>NO</t>
  </si>
  <si>
    <t>kicking</t>
  </si>
  <si>
    <t>FG</t>
  </si>
  <si>
    <t>Aidan Birr</t>
  </si>
  <si>
    <t>PCT</t>
  </si>
  <si>
    <t>XP</t>
  </si>
  <si>
    <t>PTS</t>
  </si>
  <si>
    <t>punting</t>
  </si>
  <si>
    <t>Marshall Nichols</t>
  </si>
  <si>
    <t>TB</t>
  </si>
  <si>
    <t>In 20</t>
  </si>
  <si>
    <t>Big Ten</t>
  </si>
  <si>
    <t>33/42</t>
  </si>
  <si>
    <t>Emmett Johnson</t>
  </si>
  <si>
    <t>Heinrich Haarberg</t>
  </si>
  <si>
    <t>Janiran Bonner</t>
  </si>
  <si>
    <t>Mekhi Nelson</t>
  </si>
  <si>
    <t>Isaiah Mozee</t>
  </si>
  <si>
    <t>Nyziah Hunter</t>
  </si>
  <si>
    <t>Dane Key</t>
  </si>
  <si>
    <t>Luke Lindenmeyer</t>
  </si>
  <si>
    <t>Jacory Barney Jr.</t>
  </si>
  <si>
    <t>Cortez Mills Jr.</t>
  </si>
  <si>
    <t>Quinn Clark</t>
  </si>
  <si>
    <t>Williams Nwaneri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</si>
  <si>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</si>
  <si>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</si>
  <si>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</si>
  <si>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</si>
  <si>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</si>
  <si>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</si>
  <si>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</si>
  <si>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</si>
  <si>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</si>
  <si>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</si>
  <si>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Marques Watson-Trent</t>
  </si>
  <si>
    <t>Derek Branch</t>
  </si>
  <si>
    <t>Malcolm Hartzog</t>
  </si>
  <si>
    <t>Riley Van Poppel</t>
  </si>
  <si>
    <t>interceptions</t>
  </si>
  <si>
    <t>kickReturns</t>
  </si>
  <si>
    <t>Kenneth Williams</t>
  </si>
  <si>
    <t>Kyle Cunanan</t>
  </si>
  <si>
    <t>Archie Wilson</t>
  </si>
  <si>
    <t>Robby Ashford</t>
  </si>
  <si>
    <t>20/28</t>
  </si>
  <si>
    <t>Ty Clark III</t>
  </si>
  <si>
    <t>JaMario Clements</t>
  </si>
  <si>
    <t>Demond Claiborne</t>
  </si>
  <si>
    <t>Chris Barnes</t>
  </si>
  <si>
    <t>Eni Falayi</t>
  </si>
  <si>
    <t>Chevy Brenson</t>
  </si>
  <si>
    <t>Sterling Berkhalter</t>
  </si>
  <si>
    <t>Micah Mays Jr.</t>
  </si>
  <si>
    <t>Carlos Hernandez</t>
  </si>
  <si>
    <t>Quincy Bryant</t>
  </si>
  <si>
    <t>Dylan Hazen</t>
  </si>
  <si>
    <t>Frank Cusano</t>
  </si>
  <si>
    <t>Travon West</t>
  </si>
  <si>
    <t>Langston Hardy</t>
  </si>
  <si>
    <t>Davaughn Patterson</t>
  </si>
  <si>
    <t>Gabe Kirschke</t>
  </si>
  <si>
    <t>Rushuan Tongue</t>
  </si>
  <si>
    <t>Nuer Gatkuoth</t>
  </si>
  <si>
    <t>Aiden Hall</t>
  </si>
  <si>
    <t>Jayden Loving</t>
  </si>
  <si>
    <t>Zamari Stevenson</t>
  </si>
  <si>
    <t>Zach Lohavichan</t>
  </si>
  <si>
    <t>Karon Prunty</t>
  </si>
  <si>
    <t>Ashaad Williams</t>
  </si>
  <si>
    <t>Braylon Johnson</t>
  </si>
  <si>
    <t>Tyler Walton</t>
  </si>
  <si>
    <t>Zeek Jackson</t>
  </si>
  <si>
    <t>BJ Williams</t>
  </si>
  <si>
    <t>Mateen Ibirogba</t>
  </si>
  <si>
    <t>Dallas Afalava</t>
  </si>
  <si>
    <t>Connor Calvert</t>
  </si>
  <si>
    <t>Cal Joseph</t>
  </si>
  <si>
    <t>Fernando Mendoza</t>
  </si>
  <si>
    <t>18/31</t>
  </si>
  <si>
    <t>Roman Hemby</t>
  </si>
  <si>
    <t>Kaelon Black</t>
  </si>
  <si>
    <t>Lee Beebe</t>
  </si>
  <si>
    <t>E.J. Williams</t>
  </si>
  <si>
    <t>Riley Nowakowski</t>
  </si>
  <si>
    <t>LeBron Bond</t>
  </si>
  <si>
    <t>Jonathan Brady</t>
  </si>
  <si>
    <t>Holden Staes</t>
  </si>
  <si>
    <t>Charlie Becker</t>
  </si>
  <si>
    <t>Louis Moore</t>
  </si>
  <si>
    <t>Aiden Fisher</t>
  </si>
  <si>
    <t>Hosea Wheeler</t>
  </si>
  <si>
    <t>D'Angelo Ponds</t>
  </si>
  <si>
    <t>Rolijah Hardy</t>
  </si>
  <si>
    <t>Isaiah Jones</t>
  </si>
  <si>
    <t>Kellan Wyatt</t>
  </si>
  <si>
    <t>Stephen Daley</t>
  </si>
  <si>
    <t>Amare Ferrell</t>
  </si>
  <si>
    <t>Devan Boykin</t>
  </si>
  <si>
    <t>Mikail Kamara</t>
  </si>
  <si>
    <t>Tyrique Tucker</t>
  </si>
  <si>
    <t>Nicolas Radicic</t>
  </si>
  <si>
    <t>Mitch McCarthy</t>
  </si>
  <si>
    <t>Quinn Warren</t>
  </si>
  <si>
    <t>Sun Belt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</si>
  <si>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</si>
  <si>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</si>
  <si>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</si>
  <si>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</si>
  <si>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</si>
  <si>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</si>
  <si>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</si>
  <si>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</si>
  <si>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</si>
  <si>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Mario Easterly</t>
  </si>
  <si>
    <t>Jerome Carter</t>
  </si>
  <si>
    <t>Nickendre Stiger</t>
  </si>
  <si>
    <t>Botros Alisandro</t>
  </si>
  <si>
    <t>Brandon Crutchfield</t>
  </si>
  <si>
    <t>Jeremy Mack Jr.</t>
  </si>
  <si>
    <t>Seth Naotala</t>
  </si>
  <si>
    <t>Mario Thompson</t>
  </si>
  <si>
    <t>Ricardo Williams Jr.</t>
  </si>
  <si>
    <t>Deandre Lynch</t>
  </si>
  <si>
    <t>Jahleel Culbreath</t>
  </si>
  <si>
    <t>Cole Daniels</t>
  </si>
  <si>
    <t>Kris Trinidad</t>
  </si>
  <si>
    <t>Javen Gibson</t>
  </si>
  <si>
    <t>Daevon Iles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</si>
  <si>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</si>
  <si>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</si>
  <si>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</si>
  <si>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</si>
  <si>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</si>
  <si>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</si>
  <si>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</si>
  <si>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0/0</t>
  </si>
  <si>
    <t>Ian Brandt</t>
  </si>
  <si>
    <t>18/26</t>
  </si>
  <si>
    <t>Keldric Luster</t>
  </si>
  <si>
    <t>Lincoln Pare</t>
  </si>
  <si>
    <t>Greg Burrell</t>
  </si>
  <si>
    <t>Jaylen Jenkins</t>
  </si>
  <si>
    <t>Torrance Burgess Jr.</t>
  </si>
  <si>
    <t>Beau Sparks</t>
  </si>
  <si>
    <t>Chris Dawn Jr.</t>
  </si>
  <si>
    <t>Blake Smith</t>
  </si>
  <si>
    <t>Kylen Evans</t>
  </si>
  <si>
    <t>Treylin Payne</t>
  </si>
  <si>
    <t>Bobby Crosby</t>
  </si>
  <si>
    <t>Cole Nilles</t>
  </si>
  <si>
    <t>Michael Boudoin III</t>
  </si>
  <si>
    <t>Ayden Jones</t>
  </si>
  <si>
    <t>Jaden Rios</t>
  </si>
  <si>
    <t>Terrence Cooks Jr.</t>
  </si>
  <si>
    <t>Kenard Snyder</t>
  </si>
  <si>
    <t>Ryan Nolan</t>
  </si>
  <si>
    <t>Greg Gipson Jr.</t>
  </si>
  <si>
    <t>William Mitchell</t>
  </si>
  <si>
    <t>Tymere Jackson</t>
  </si>
  <si>
    <t>DJ Jackson</t>
  </si>
  <si>
    <t>Canden Grogan</t>
  </si>
  <si>
    <t>Chase Davis</t>
  </si>
  <si>
    <t>Amarion Atwood</t>
  </si>
  <si>
    <t>Jordan Sanders</t>
  </si>
  <si>
    <t>Ta'Derius Collins</t>
  </si>
  <si>
    <t>Kalil Alexander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</si>
  <si>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</si>
  <si>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</si>
  <si>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</si>
  <si>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</si>
  <si>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</si>
  <si>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</si>
  <si>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</si>
  <si>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</si>
  <si>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David Nunez</t>
  </si>
  <si>
    <t>SEC</t>
  </si>
  <si>
    <t>14/24</t>
  </si>
  <si>
    <t>Ryan Puglisi</t>
  </si>
  <si>
    <t>Dwight Phillips Jr.</t>
  </si>
  <si>
    <t>Chauncey Bowens</t>
  </si>
  <si>
    <t>Bo Walker</t>
  </si>
  <si>
    <t>Joshua McCray</t>
  </si>
  <si>
    <t>Cash Jones</t>
  </si>
  <si>
    <t>Dillon Bell</t>
  </si>
  <si>
    <t>Zachariah Branch</t>
  </si>
  <si>
    <t>Oscar Delp</t>
  </si>
  <si>
    <t>Colbie Young</t>
  </si>
  <si>
    <t>Elyiss Williams</t>
  </si>
  <si>
    <t>Thomas Blackshear</t>
  </si>
  <si>
    <t>Sacovie White</t>
  </si>
  <si>
    <t>London Humphreys</t>
  </si>
  <si>
    <t>Tyler Williams</t>
  </si>
  <si>
    <t>Lawson Luckie</t>
  </si>
  <si>
    <t>Zion Branch</t>
  </si>
  <si>
    <t>Raylen Wilson</t>
  </si>
  <si>
    <t>Chris Cole</t>
  </si>
  <si>
    <t>C.J. Allen</t>
  </si>
  <si>
    <t>KJ Bolden</t>
  </si>
  <si>
    <t>Terrell Foster</t>
  </si>
  <si>
    <t>Gabe Harris</t>
  </si>
  <si>
    <t>JaCorey Thomas</t>
  </si>
  <si>
    <t>Xzavier Mcleod</t>
  </si>
  <si>
    <t>Cole Speer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</si>
  <si>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</si>
  <si>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</si>
  <si>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</si>
  <si>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</si>
  <si>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</si>
  <si>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</si>
  <si>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</si>
  <si>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</si>
  <si>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</si>
  <si>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</si>
  <si>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</si>
  <si>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Ellis Robinson IV</t>
  </si>
  <si>
    <t>Justin Williams</t>
  </si>
  <si>
    <t>Jeremy Bell</t>
  </si>
  <si>
    <t>Elo Modozie</t>
  </si>
  <si>
    <t>Peyton Woodring</t>
  </si>
  <si>
    <t>Drew Miller</t>
  </si>
  <si>
    <t>CJ Donaldson Jr</t>
  </si>
  <si>
    <t>Carnell Tate</t>
  </si>
  <si>
    <t>Jeremiah Smith</t>
  </si>
  <si>
    <t>Max Klare</t>
  </si>
  <si>
    <t>Brandon Inniss</t>
  </si>
  <si>
    <t>Bennett Christian</t>
  </si>
  <si>
    <t>Davison Igbinosun</t>
  </si>
  <si>
    <t>Arvell Reese</t>
  </si>
  <si>
    <t>Jaylen McClain</t>
  </si>
  <si>
    <t>Kayden McDonald</t>
  </si>
  <si>
    <t>Lorenzo Styles Jr.</t>
  </si>
  <si>
    <t>Caden Curry</t>
  </si>
  <si>
    <t>Sonny Styles</t>
  </si>
  <si>
    <t>Jermaine Mathews Jr.</t>
  </si>
  <si>
    <t>C.J. Hicks</t>
  </si>
  <si>
    <t>Eddrick Houston</t>
  </si>
  <si>
    <t>Kenyatta Jackson</t>
  </si>
  <si>
    <t>Beau Atkinson</t>
  </si>
  <si>
    <t>Will Smith Jr.</t>
  </si>
  <si>
    <t>Garrett Stover</t>
  </si>
  <si>
    <t>Payton Pierce</t>
  </si>
  <si>
    <t>Devin Sanchez</t>
  </si>
  <si>
    <t>Leroy Roker III</t>
  </si>
  <si>
    <t>Jayden Fielding</t>
  </si>
  <si>
    <t>Joe McGuire</t>
  </si>
  <si>
    <t>Arch Manning</t>
  </si>
  <si>
    <t>17/30</t>
  </si>
  <si>
    <t>Tre Wisner</t>
  </si>
  <si>
    <t>CJ Baxter Jr.</t>
  </si>
  <si>
    <t>Ryan Wingo</t>
  </si>
  <si>
    <t>Jack Endries</t>
  </si>
  <si>
    <t>Parker Livingstone</t>
  </si>
  <si>
    <t>DeAndre Moore Jr.</t>
  </si>
  <si>
    <t>Daylan Mccutcheon</t>
  </si>
  <si>
    <t>Liona Lefau</t>
  </si>
  <si>
    <t>Michael Taaffe</t>
  </si>
  <si>
    <t>Malik Muhammad</t>
  </si>
  <si>
    <t>Anthony Hill Jr.</t>
  </si>
  <si>
    <t>Trey Moore</t>
  </si>
  <si>
    <t>Ethan Burke</t>
  </si>
  <si>
    <t>Ty'Anthony Smith</t>
  </si>
  <si>
    <t>Jelani McDonald</t>
  </si>
  <si>
    <t>Alex January</t>
  </si>
  <si>
    <t>Hero Kanu</t>
  </si>
  <si>
    <t>Cole Brevard</t>
  </si>
  <si>
    <t>Travis Shaw</t>
  </si>
  <si>
    <t>Zina Umeozulu</t>
  </si>
  <si>
    <t>Graceson Littleton</t>
  </si>
  <si>
    <t>Jaylon Guilbeau</t>
  </si>
  <si>
    <t>Derek Williams Jr.</t>
  </si>
  <si>
    <t>Brad Spence</t>
  </si>
  <si>
    <t>Maraad Watson</t>
  </si>
  <si>
    <t>Ryan Niblett</t>
  </si>
  <si>
    <t>Mason Shipley</t>
  </si>
  <si>
    <t>Jack Bouwmeester</t>
  </si>
  <si>
    <t>Big 12</t>
  </si>
  <si>
    <t>Sawyer Robertson</t>
  </si>
  <si>
    <t>27/48</t>
  </si>
  <si>
    <t>Caden Knighten</t>
  </si>
  <si>
    <t>Kole Wilson</t>
  </si>
  <si>
    <t>Michael Trigg</t>
  </si>
  <si>
    <t>Ashtyn Hawkins</t>
  </si>
  <si>
    <t>Josh Cameron</t>
  </si>
  <si>
    <t>Kobe Prentice</t>
  </si>
  <si>
    <t>Louis Brown</t>
  </si>
  <si>
    <t>Keaton Thomas</t>
  </si>
  <si>
    <t>Devyn Bobby</t>
  </si>
  <si>
    <t>Jacob Redding</t>
  </si>
  <si>
    <t>Cooper Lanz</t>
  </si>
  <si>
    <t>DJ Coleman</t>
  </si>
  <si>
    <t>Levar Thornton Jr.</t>
  </si>
  <si>
    <t>Kyland Reed</t>
  </si>
  <si>
    <t>Travion Barnes</t>
  </si>
  <si>
    <t>Devonte Tezino</t>
  </si>
  <si>
    <t>Kendrick Simpkins</t>
  </si>
  <si>
    <t>D.K. Kalu</t>
  </si>
  <si>
    <t>Calvin Simpson-Hunt</t>
  </si>
  <si>
    <t>Tyler Turner</t>
  </si>
  <si>
    <t>Caden Jenkins</t>
  </si>
  <si>
    <t>Matthew Fobbs-White</t>
  </si>
  <si>
    <t>Emar'Rion Winston</t>
  </si>
  <si>
    <t>Micah Gifford</t>
  </si>
  <si>
    <t>Ronnie Mageo</t>
  </si>
  <si>
    <t>Tevin Williams III</t>
  </si>
  <si>
    <t>Connor Hawkins</t>
  </si>
  <si>
    <t>Palmer Williams</t>
  </si>
  <si>
    <t>26/34</t>
  </si>
  <si>
    <t>Luke Kromenhoek</t>
  </si>
  <si>
    <t>Fluff Bothwell</t>
  </si>
  <si>
    <t>Johnnie Daniels</t>
  </si>
  <si>
    <t>Braylon Burnside</t>
  </si>
  <si>
    <t>Kamario Taylor</t>
  </si>
  <si>
    <t>Kolin Wilson</t>
  </si>
  <si>
    <t>Brenen Thompson</t>
  </si>
  <si>
    <t>Seydou Traore</t>
  </si>
  <si>
    <t>Anthony Evans III</t>
  </si>
  <si>
    <t>Jordan Mosley</t>
  </si>
  <si>
    <t>Ayden Williams</t>
  </si>
  <si>
    <t>Markus Allen</t>
  </si>
  <si>
    <t>Ricky Johnson</t>
  </si>
  <si>
    <t>Xavier Gayten</t>
  </si>
  <si>
    <t>Jalen Smith</t>
  </si>
  <si>
    <t>Isaac Smith</t>
  </si>
  <si>
    <t>Malick Sylla</t>
  </si>
  <si>
    <t>Brylan Lanier</t>
  </si>
  <si>
    <t>Nic Mitchell</t>
  </si>
  <si>
    <t>Will Whitson</t>
  </si>
  <si>
    <t>Hunter Washington</t>
  </si>
  <si>
    <t>Derion Gullette</t>
  </si>
  <si>
    <t>Tyler Woodard</t>
  </si>
  <si>
    <t>Ashun Shepphard</t>
  </si>
  <si>
    <t>Jaray Bledsoe</t>
  </si>
  <si>
    <t>Jahron Manning</t>
  </si>
  <si>
    <t>LaKendrick James</t>
  </si>
  <si>
    <t>Tanner Duke Johnson</t>
  </si>
  <si>
    <t>Branden Jennings</t>
  </si>
  <si>
    <t>Zakari Tillman</t>
  </si>
  <si>
    <t>Nevaeh Sanders</t>
  </si>
  <si>
    <t>Tyler Lockhart</t>
  </si>
  <si>
    <t>Kelley Jones</t>
  </si>
  <si>
    <t>Deonte Anderson</t>
  </si>
  <si>
    <t>Kalvin Dinkins</t>
  </si>
  <si>
    <t>Corey Clark</t>
  </si>
  <si>
    <t>Dwight Lewis III</t>
  </si>
  <si>
    <t>Kedrick Bingley-Jones</t>
  </si>
  <si>
    <t>Red Hibbler</t>
  </si>
  <si>
    <t>Trevion Williams</t>
  </si>
  <si>
    <t>Darron Reed Jr.</t>
  </si>
  <si>
    <t>Jayven Williams</t>
  </si>
  <si>
    <t>Marlon Hauck</t>
  </si>
  <si>
    <t>Cyrus Reyes</t>
  </si>
  <si>
    <t>DeAgo Brumfeld</t>
  </si>
  <si>
    <t>Kyle Ferrie</t>
  </si>
  <si>
    <t>Ethan Pulliam</t>
  </si>
  <si>
    <t>Nathan Tiyce</t>
  </si>
  <si>
    <t>22/26</t>
  </si>
  <si>
    <t>Ethan Grunkemeyer</t>
  </si>
  <si>
    <t>Cam Wallace</t>
  </si>
  <si>
    <t>Corey Smith</t>
  </si>
  <si>
    <t>Kyron Ware-Hudson</t>
  </si>
  <si>
    <t>Andrew Rappleyea</t>
  </si>
  <si>
    <t>Khalil Dinkins</t>
  </si>
  <si>
    <t>Tyseer Denmark</t>
  </si>
  <si>
    <t>Luke Reynolds</t>
  </si>
  <si>
    <t>Zakee Wheatley</t>
  </si>
  <si>
    <t>A.J. Harris</t>
  </si>
  <si>
    <t>Amare Campbell</t>
  </si>
  <si>
    <t>Dani Dennis-Sutton</t>
  </si>
  <si>
    <t>Audavion Collins</t>
  </si>
  <si>
    <t>Keon Wylie</t>
  </si>
  <si>
    <t>Tony Rojas</t>
  </si>
  <si>
    <t>Vaboue Toure</t>
  </si>
  <si>
    <t>Dejuan Lane</t>
  </si>
  <si>
    <t>Daryus Dixson</t>
  </si>
  <si>
    <t>Dominic DeLuca</t>
  </si>
  <si>
    <t>King Mack</t>
  </si>
  <si>
    <t>Kenny Woseley Jr.</t>
  </si>
  <si>
    <t>Kolin Dinkins</t>
  </si>
  <si>
    <t>Antoine Belgrave-Shorter</t>
  </si>
  <si>
    <t>Enai White</t>
  </si>
  <si>
    <t>DaKaari Nelson</t>
  </si>
  <si>
    <t>Tyriq Blanding</t>
  </si>
  <si>
    <t>Anthony Speca</t>
  </si>
  <si>
    <t>Mylachi Williams</t>
  </si>
  <si>
    <t>Jahmir Joseph</t>
  </si>
  <si>
    <t>Zane Durant</t>
  </si>
  <si>
    <t>Owen Wafle</t>
  </si>
  <si>
    <t>Karson Kiesewetter</t>
  </si>
  <si>
    <t>Lamont Payne Jr.</t>
  </si>
  <si>
    <t>Xavier Gilliam</t>
  </si>
  <si>
    <t>Yvan Kemajou</t>
  </si>
  <si>
    <t>Ryan Barker</t>
  </si>
  <si>
    <t>Matthew Parker</t>
  </si>
  <si>
    <t>22/34</t>
  </si>
  <si>
    <t>Miles O'Neill</t>
  </si>
  <si>
    <t>Rueben Owens</t>
  </si>
  <si>
    <t>Le'Veon Moss</t>
  </si>
  <si>
    <t>Amari Daniels</t>
  </si>
  <si>
    <t>E.J. Smith</t>
  </si>
  <si>
    <t>Mario Craver</t>
  </si>
  <si>
    <t>Kevin Concepcion</t>
  </si>
  <si>
    <t>Theo Melin Ohrstrom</t>
  </si>
  <si>
    <t>Amari Niblack</t>
  </si>
  <si>
    <t>Ashton Bethel-Roman</t>
  </si>
  <si>
    <t>Nate Boerkircher</t>
  </si>
  <si>
    <t>Jamarion Morrow</t>
  </si>
  <si>
    <t>Terry Bussey</t>
  </si>
  <si>
    <t>Kelshaun Johnson</t>
  </si>
  <si>
    <t>Taurean York</t>
  </si>
  <si>
    <t>Marcus Ratcliffe</t>
  </si>
  <si>
    <t>Will Lee III</t>
  </si>
  <si>
    <t>Albert Regis</t>
  </si>
  <si>
    <t>Rylan Kennedy</t>
  </si>
  <si>
    <t>Landon Rink</t>
  </si>
  <si>
    <t>Tyreek Chappell</t>
  </si>
  <si>
    <t>Tyler Onyedim</t>
  </si>
  <si>
    <t>Julian Humphrey</t>
  </si>
  <si>
    <t>Jarred Kerr</t>
  </si>
  <si>
    <t>Bryce Anderson</t>
  </si>
  <si>
    <t>Scooby Williams</t>
  </si>
  <si>
    <t>DJ Sanders</t>
  </si>
  <si>
    <t>Jordan Lockhart</t>
  </si>
  <si>
    <t>Bravion Rogers</t>
  </si>
  <si>
    <t>Dayon Hayes</t>
  </si>
  <si>
    <t>Cashius Howell</t>
  </si>
  <si>
    <t>Nana Boadi-Owusu</t>
  </si>
  <si>
    <t>Solomon Williams</t>
  </si>
  <si>
    <t>Samuel M'Pemba</t>
  </si>
  <si>
    <t>Daymion Sanford</t>
  </si>
  <si>
    <t>Dezz Ricks</t>
  </si>
  <si>
    <t>T.J. Searcy</t>
  </si>
  <si>
    <t>Jared Zirkel</t>
  </si>
  <si>
    <t>Tyler White</t>
  </si>
  <si>
    <t>San José State</t>
  </si>
  <si>
    <t>Mountain West</t>
  </si>
  <si>
    <t>24/43</t>
  </si>
  <si>
    <t>0/2</t>
  </si>
  <si>
    <t>Floyd Chalk IV</t>
  </si>
  <si>
    <t>Tama Amisone</t>
  </si>
  <si>
    <t>Lamar Radcliffe</t>
  </si>
  <si>
    <t>Danny Scudero</t>
  </si>
  <si>
    <t>Leland Smith</t>
  </si>
  <si>
    <t>Jackson Canaan</t>
  </si>
  <si>
    <t>Kyri Shoels</t>
  </si>
  <si>
    <t>Malachi Riley</t>
  </si>
  <si>
    <t>Tuli Tagovailoa-Amosa</t>
  </si>
  <si>
    <t>Matthew Coleman</t>
  </si>
  <si>
    <t>Jordan Pollard</t>
  </si>
  <si>
    <t>Jalen Apalit-Williams</t>
  </si>
  <si>
    <t>Noah McNeal-Franklin</t>
  </si>
  <si>
    <t>Taniela Latu</t>
  </si>
  <si>
    <t>Caleb Presley</t>
  </si>
  <si>
    <t>Mata Hola</t>
  </si>
  <si>
    <t>Jaylen Thomas</t>
  </si>
  <si>
    <t>Justin Stearns</t>
  </si>
  <si>
    <t>Isiah Revis</t>
  </si>
  <si>
    <t>Gafa Faga</t>
  </si>
  <si>
    <t>Quincy Likio</t>
  </si>
  <si>
    <t>Solomone Langi</t>
  </si>
  <si>
    <t>Vili Taufatofua</t>
  </si>
  <si>
    <t>Noa Siaosi</t>
  </si>
  <si>
    <t>Jalen Bainer</t>
  </si>
  <si>
    <t>Ethan Powell</t>
  </si>
  <si>
    <t>Jabari Bates</t>
  </si>
  <si>
    <t>Denis Lynch</t>
  </si>
  <si>
    <t>Trent Carrizosa</t>
  </si>
  <si>
    <t>21/31</t>
  </si>
  <si>
    <t>Justice Haynes</t>
  </si>
  <si>
    <t>Jordan Marshall</t>
  </si>
  <si>
    <t>Semaj Morgan</t>
  </si>
  <si>
    <t>Micah Ka'Apana</t>
  </si>
  <si>
    <t>Marlin Klein</t>
  </si>
  <si>
    <t>Channing Goodwin</t>
  </si>
  <si>
    <t>Donaven McCulley</t>
  </si>
  <si>
    <t>Kendrick Bell</t>
  </si>
  <si>
    <t>Max Bredeson</t>
  </si>
  <si>
    <t>Andrew Marsh</t>
  </si>
  <si>
    <t>Ernest Hausmann</t>
  </si>
  <si>
    <t>Mason Curtis</t>
  </si>
  <si>
    <t>Cole Sullivan</t>
  </si>
  <si>
    <t>Brandyn Hillman</t>
  </si>
  <si>
    <t>Jimmy Rolder</t>
  </si>
  <si>
    <t>Jyaire Hill</t>
  </si>
  <si>
    <t>Troy Bowles</t>
  </si>
  <si>
    <t>Damon Payne Jr.</t>
  </si>
  <si>
    <t>Trey Pierce</t>
  </si>
  <si>
    <t>Enow Etta</t>
  </si>
  <si>
    <t>TJ Metcalf</t>
  </si>
  <si>
    <t>Jaden Mangham</t>
  </si>
  <si>
    <t>Cameron Brandt</t>
  </si>
  <si>
    <t>Elijah Dotson</t>
  </si>
  <si>
    <t>Jayden Sanders</t>
  </si>
  <si>
    <t>Joe Taylor</t>
  </si>
  <si>
    <t>Dominic Nichols</t>
  </si>
  <si>
    <t>Rayshaun Benny</t>
  </si>
  <si>
    <t>TJ Guy</t>
  </si>
  <si>
    <t>Derrick Moore</t>
  </si>
  <si>
    <t>Tre Williams</t>
  </si>
  <si>
    <t>Fredrick Moore</t>
  </si>
  <si>
    <t>Logan Forbes</t>
  </si>
  <si>
    <t>Jordan Young</t>
  </si>
  <si>
    <t>Zeke Berry</t>
  </si>
  <si>
    <t>Tevis Metcalf</t>
  </si>
  <si>
    <t>Jaishawn Barham</t>
  </si>
  <si>
    <t>Nate Marshall</t>
  </si>
  <si>
    <t>Dominic Zvada</t>
  </si>
  <si>
    <t>Hudson Hollenbeck</t>
  </si>
  <si>
    <t>Mid-American</t>
  </si>
  <si>
    <t>Ta'Quan Roberson</t>
  </si>
  <si>
    <t>Al-Jay Henderson</t>
  </si>
  <si>
    <t>Terrance Shelton Jr.</t>
  </si>
  <si>
    <t>Messiah Burch</t>
  </si>
  <si>
    <t>Victor Snow</t>
  </si>
  <si>
    <t>Jasaiah Gathings</t>
  </si>
  <si>
    <t>Nik McMillan</t>
  </si>
  <si>
    <t>Miles Greer</t>
  </si>
  <si>
    <t>Dion Crawford</t>
  </si>
  <si>
    <t>Jalen McNair</t>
  </si>
  <si>
    <t>Solomon Brown</t>
  </si>
  <si>
    <t>Saveon Brown</t>
  </si>
  <si>
    <t>Malin White</t>
  </si>
  <si>
    <t>Keontez Bradley</t>
  </si>
  <si>
    <t>Charles McCartherens</t>
  </si>
  <si>
    <t>George Wolo</t>
  </si>
  <si>
    <t>Marquis Cooper</t>
  </si>
  <si>
    <t>Kobe Stewart</t>
  </si>
  <si>
    <t>Devin Morgan</t>
  </si>
  <si>
    <t>Andrew Schnackenberg</t>
  </si>
  <si>
    <t>Connor Henderson</t>
  </si>
  <si>
    <t>Mitchell Gonser</t>
  </si>
  <si>
    <t>Oliver Bridges</t>
  </si>
  <si>
    <t>Cornell Evans</t>
  </si>
  <si>
    <t>Gio De Leon</t>
  </si>
  <si>
    <t>Demetrius Ballard</t>
  </si>
  <si>
    <t>Jack Howes</t>
  </si>
  <si>
    <t>Dylan Drennan</t>
  </si>
  <si>
    <t>Preston Stone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</si>
  <si>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</si>
  <si>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</si>
  <si>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</si>
  <si>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</si>
  <si>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</si>
  <si>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</si>
  <si>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</si>
  <si>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</si>
  <si>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</si>
  <si>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</si>
  <si>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</si>
  <si>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</si>
  <si>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</si>
  <si>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Fred Davis Ii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</si>
  <si>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</si>
  <si>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</si>
  <si>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</si>
  <si>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</si>
  <si>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</si>
  <si>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</si>
  <si>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</si>
  <si>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</si>
  <si>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</si>
  <si>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</si>
  <si>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</si>
  <si>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</si>
  <si>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</si>
  <si>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</si>
  <si>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</si>
  <si>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</si>
  <si>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</si>
  <si>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</si>
  <si>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Octavian Smith Jr.</t>
  </si>
  <si>
    <t>Justyn Martin</t>
  </si>
  <si>
    <t>Eli Mason</t>
  </si>
  <si>
    <t>Shaleak Knotts</t>
  </si>
  <si>
    <t>Jalil Farooq</t>
  </si>
  <si>
    <t>Kaleb Webb</t>
  </si>
  <si>
    <t>Dorian Fleming</t>
  </si>
  <si>
    <t>Josiah McLaurin</t>
  </si>
  <si>
    <t>Leon Haughton Jr.</t>
  </si>
  <si>
    <t>Ryan Manning</t>
  </si>
  <si>
    <t>Kevyn Humes</t>
  </si>
  <si>
    <t>Carlton Smith</t>
  </si>
  <si>
    <t>Sidney Stewart</t>
  </si>
  <si>
    <t>Jalen Huskey</t>
  </si>
  <si>
    <t>Lavain Scruggs</t>
  </si>
  <si>
    <t>Trey Reddick</t>
  </si>
  <si>
    <t>Messiah Delhomme</t>
  </si>
  <si>
    <t>Dontay Joyner</t>
  </si>
  <si>
    <t>Gavin Edwards</t>
  </si>
  <si>
    <t>Jamare Glasker</t>
  </si>
  <si>
    <t>Keyshawn Flowers</t>
  </si>
  <si>
    <t>Braydon Lee</t>
  </si>
  <si>
    <t>Jayden Shipps</t>
  </si>
  <si>
    <t>Michael Harris</t>
  </si>
  <si>
    <t>Philip Noyes</t>
  </si>
  <si>
    <t>Cam Rice</t>
  </si>
  <si>
    <t>DJ Samuels</t>
  </si>
  <si>
    <t>La'Khi Roland</t>
  </si>
  <si>
    <t>Darius Grimes</t>
  </si>
  <si>
    <t>Eyan Thomas</t>
  </si>
  <si>
    <t>Shamar McIntosh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</si>
  <si>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</si>
  <si>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</si>
  <si>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</si>
  <si>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</si>
  <si>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</si>
  <si>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</si>
  <si>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</si>
  <si>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Bryce McFerson</t>
  </si>
  <si>
    <t>Florida Atlantic</t>
  </si>
  <si>
    <t>American Athletic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</si>
  <si>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</si>
  <si>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</si>
  <si>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</si>
  <si>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</si>
  <si>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</si>
  <si>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</si>
  <si>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</si>
  <si>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</si>
  <si>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</si>
  <si>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</si>
  <si>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</si>
  <si>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</si>
  <si>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</si>
  <si>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</si>
  <si>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Christopher Keys</t>
  </si>
  <si>
    <t>Terez Reid</t>
  </si>
  <si>
    <t>Dillion Williams</t>
  </si>
  <si>
    <t>Tyler Stolsky</t>
  </si>
  <si>
    <t>Naejuan Barber</t>
  </si>
  <si>
    <t>Zyere Horton</t>
  </si>
  <si>
    <t>Khmari Johnson</t>
  </si>
  <si>
    <t>Tyclean Luman</t>
  </si>
  <si>
    <t>Enyce Sledge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</si>
  <si>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</si>
  <si>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</si>
  <si>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</si>
  <si>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</si>
  <si>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</si>
  <si>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</si>
  <si>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</si>
  <si>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Damarius McGhee</t>
  </si>
  <si>
    <t>Jayden Sweeney</t>
  </si>
  <si>
    <t>Gavench Marcelin</t>
  </si>
  <si>
    <t>Michael Wright</t>
  </si>
  <si>
    <t>Deshaun Batiste</t>
  </si>
  <si>
    <t>Cameron Goggins</t>
  </si>
  <si>
    <t>Jayshon Platt</t>
  </si>
  <si>
    <t>Garrison Smith</t>
  </si>
  <si>
    <t>Logan Lupo</t>
  </si>
  <si>
    <t>Ryan Browne</t>
  </si>
  <si>
    <t>Malachi Singleton</t>
  </si>
  <si>
    <t>Antonio Harris</t>
  </si>
  <si>
    <t>Malachi Thomas</t>
  </si>
  <si>
    <t>Arhmad Branch</t>
  </si>
  <si>
    <t>Michael Jackson III</t>
  </si>
  <si>
    <t>E.J. Horton</t>
  </si>
  <si>
    <t>Nitro Tuggle</t>
  </si>
  <si>
    <t>Tahj Ra-El</t>
  </si>
  <si>
    <t>Mani Powell</t>
  </si>
  <si>
    <t>Charles Correa</t>
  </si>
  <si>
    <t>Breylon Charles</t>
  </si>
  <si>
    <t>Crew Wakley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</si>
  <si>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</si>
  <si>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</si>
  <si>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</si>
  <si>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</si>
  <si>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</si>
  <si>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</si>
  <si>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</si>
  <si>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An'Darius Coffey</t>
  </si>
  <si>
    <t>Richard Toney</t>
  </si>
  <si>
    <t>Jamarrion Harkless</t>
  </si>
  <si>
    <t>Charles Ross</t>
  </si>
  <si>
    <t>C.J. Nunnally</t>
  </si>
  <si>
    <t>Ryan Turner</t>
  </si>
  <si>
    <t>Breeon Ishmail</t>
  </si>
  <si>
    <t>Addai Lewellen</t>
  </si>
  <si>
    <t>Trey Smith</t>
  </si>
  <si>
    <t>Tony Grimes</t>
  </si>
  <si>
    <t>Spencer Porath</t>
  </si>
  <si>
    <t>Jack McCallister</t>
  </si>
  <si>
    <t>Conference USA</t>
  </si>
  <si>
    <t>Malachi Nelson</t>
  </si>
  <si>
    <t>Shay Smith</t>
  </si>
  <si>
    <t>Kam Thomas</t>
  </si>
  <si>
    <t>Ashten Emory</t>
  </si>
  <si>
    <t>Marquez Taylor</t>
  </si>
  <si>
    <t>Eric Willis III</t>
  </si>
  <si>
    <t>Trevon Tate</t>
  </si>
  <si>
    <t>Hahsaun Wilson</t>
  </si>
  <si>
    <t>Toric Goins Jr.</t>
  </si>
  <si>
    <t>Xavier Smith</t>
  </si>
  <si>
    <t>Micah Davey</t>
  </si>
  <si>
    <t>Joshua Rudolph</t>
  </si>
  <si>
    <t>Udoka Ezeani</t>
  </si>
  <si>
    <t>Jayden Wilson</t>
  </si>
  <si>
    <t>Neil Campbell</t>
  </si>
  <si>
    <t>Kadarion Johnson</t>
  </si>
  <si>
    <t>Justin Content</t>
  </si>
  <si>
    <t>Elijah Baldwin</t>
  </si>
  <si>
    <t>Marcell Blocker</t>
  </si>
  <si>
    <t>Solo Barnes</t>
  </si>
  <si>
    <t>Ashaad Hall</t>
  </si>
  <si>
    <t>Lantz Russell</t>
  </si>
  <si>
    <t>Josh Hancock</t>
  </si>
  <si>
    <t>Shakaun Bowser</t>
  </si>
  <si>
    <t>Ashton Coker</t>
  </si>
  <si>
    <t>TJ Tillman</t>
  </si>
  <si>
    <t>Tyler Jones</t>
  </si>
  <si>
    <t>Donte Thompson</t>
  </si>
  <si>
    <t>Carlos Arreola</t>
  </si>
  <si>
    <t>Noah Botsford</t>
  </si>
  <si>
    <t>Ty Simpson</t>
  </si>
  <si>
    <t>23/43</t>
  </si>
  <si>
    <t>Kevin Riley</t>
  </si>
  <si>
    <t>Richard Young</t>
  </si>
  <si>
    <t>Daniel Hill</t>
  </si>
  <si>
    <t>Germie Bernard</t>
  </si>
  <si>
    <t>Dre'Lyn Washington</t>
  </si>
  <si>
    <t>Josh Cuevas</t>
  </si>
  <si>
    <t>Rico Scott</t>
  </si>
  <si>
    <t>Isaiah Horton</t>
  </si>
  <si>
    <t>Cameron Calhoun</t>
  </si>
  <si>
    <t>Deontae Lawson</t>
  </si>
  <si>
    <t>Justin Jefferson</t>
  </si>
  <si>
    <t>Keon Sabb</t>
  </si>
  <si>
    <t>Brayson Hubbard</t>
  </si>
  <si>
    <t>Yhonzae Pierre</t>
  </si>
  <si>
    <t>Domani Jackson</t>
  </si>
  <si>
    <t>James Smith</t>
  </si>
  <si>
    <t>Lebbeus Overton</t>
  </si>
  <si>
    <t>Zabien Brown</t>
  </si>
  <si>
    <t>Nikhai Hill-Green</t>
  </si>
  <si>
    <t>Qua Russaw</t>
  </si>
  <si>
    <t>Edric Hill</t>
  </si>
  <si>
    <t>Zay Mincey</t>
  </si>
  <si>
    <t>London Simmons</t>
  </si>
  <si>
    <t>Jah-Marien Latham</t>
  </si>
  <si>
    <t>Isaiah Faga</t>
  </si>
  <si>
    <t>Jordan Renaud</t>
  </si>
  <si>
    <t>Dijon Lee Jr.</t>
  </si>
  <si>
    <t>Dashawn Jones</t>
  </si>
  <si>
    <t>Kelby Collins</t>
  </si>
  <si>
    <t>Jeremiah Beaman</t>
  </si>
  <si>
    <t>Conor Talty</t>
  </si>
  <si>
    <t>Blake Doud</t>
  </si>
  <si>
    <t>Cade Klubnik</t>
  </si>
  <si>
    <t>19/38</t>
  </si>
  <si>
    <t>Adam Randall</t>
  </si>
  <si>
    <t>Tyler Brown</t>
  </si>
  <si>
    <t>T.J. Moore</t>
  </si>
  <si>
    <t>David Eziomume</t>
  </si>
  <si>
    <t>Keith Adams Jr.</t>
  </si>
  <si>
    <t>Bryant Wesco Jr.</t>
  </si>
  <si>
    <t>Christian Bentancur</t>
  </si>
  <si>
    <t>Olsen Patt-Henry</t>
  </si>
  <si>
    <t>Josh Sapp</t>
  </si>
  <si>
    <t>Ricardo Jones</t>
  </si>
  <si>
    <t>Ronan Hanafin</t>
  </si>
  <si>
    <t>Sammy Brown</t>
  </si>
  <si>
    <t>Wade Woodaz</t>
  </si>
  <si>
    <t>Avieon Terrell</t>
  </si>
  <si>
    <t>Stephiylan Green</t>
  </si>
  <si>
    <t>Peter Woods</t>
  </si>
  <si>
    <t>Jeadyn Lukus</t>
  </si>
  <si>
    <t>T.J. Parker</t>
  </si>
  <si>
    <t>Misun Kelley</t>
  </si>
  <si>
    <t>Will Heldt</t>
  </si>
  <si>
    <t>Cade Denhoff</t>
  </si>
  <si>
    <t>Jaheim Lawson</t>
  </si>
  <si>
    <t>Cole Turner</t>
  </si>
  <si>
    <t>Shelton Lewis</t>
  </si>
  <si>
    <t>Jamal Anderson</t>
  </si>
  <si>
    <t>Ashton Hampton</t>
  </si>
  <si>
    <t>DeMonte Capehart</t>
  </si>
  <si>
    <t>Kylon Griffin</t>
  </si>
  <si>
    <t>Khalil Barnes</t>
  </si>
  <si>
    <t>Nolan Hauser</t>
  </si>
  <si>
    <t>Jack Smith</t>
  </si>
  <si>
    <t>Garrett Nussmeier</t>
  </si>
  <si>
    <t>28/38</t>
  </si>
  <si>
    <t>Zavion Thomas</t>
  </si>
  <si>
    <t>Caden Durham</t>
  </si>
  <si>
    <t>Ju'Juan Johnson</t>
  </si>
  <si>
    <t>Harlem Berry</t>
  </si>
  <si>
    <t>Kaleb Jackson</t>
  </si>
  <si>
    <t>Aaron Anderson</t>
  </si>
  <si>
    <t>Barion Brown</t>
  </si>
  <si>
    <t>Bauer Sharp</t>
  </si>
  <si>
    <t>Trey'Dez Green</t>
  </si>
  <si>
    <t>Kyle Parker</t>
  </si>
  <si>
    <t>Chris Hilton Jr.</t>
  </si>
  <si>
    <t>P.J. Woodland</t>
  </si>
  <si>
    <t>West Weeks</t>
  </si>
  <si>
    <t>Harold Perkins</t>
  </si>
  <si>
    <t>Tamarcus Cooley</t>
  </si>
  <si>
    <t>Jardin Gilbert</t>
  </si>
  <si>
    <t>Mansoor Delane</t>
  </si>
  <si>
    <t>A.J. Haulcy</t>
  </si>
  <si>
    <t>DJ Pickett</t>
  </si>
  <si>
    <t>Bernard Gooden</t>
  </si>
  <si>
    <t>Jack Pyburn</t>
  </si>
  <si>
    <t>Patrick Payton</t>
  </si>
  <si>
    <t>Javien Toviano</t>
  </si>
  <si>
    <t>Dashawn Spears</t>
  </si>
  <si>
    <t>Jimari Butler</t>
  </si>
  <si>
    <t>Ahmad Breaux</t>
  </si>
  <si>
    <t>Dominick McKinley</t>
  </si>
  <si>
    <t>Damian Ramos</t>
  </si>
  <si>
    <t>Grant Chadwick</t>
  </si>
  <si>
    <t>Jaron-Keawe Sagapolutele</t>
  </si>
  <si>
    <t>20/30</t>
  </si>
  <si>
    <t>Brandon High</t>
  </si>
  <si>
    <t>Kendrick Raphael</t>
  </si>
  <si>
    <t>LJ Johnson Jr.</t>
  </si>
  <si>
    <t>Devin Brown</t>
  </si>
  <si>
    <t>Trond Grizzell</t>
  </si>
  <si>
    <t>Mark Hamper</t>
  </si>
  <si>
    <t>Mason Mini</t>
  </si>
  <si>
    <t>Landon Morris</t>
  </si>
  <si>
    <t>Jeffrey Johnson</t>
  </si>
  <si>
    <t>Jordan King</t>
  </si>
  <si>
    <t>Ryan McCulloch</t>
  </si>
  <si>
    <t>Hezekiah Masses</t>
  </si>
  <si>
    <t>Chase Meyer</t>
  </si>
  <si>
    <t>Abram Murray</t>
  </si>
  <si>
    <t>Brook Honore'</t>
  </si>
  <si>
    <t>Michael Kern</t>
  </si>
  <si>
    <t>Pac-12</t>
  </si>
  <si>
    <t>Maalik Murphy</t>
  </si>
  <si>
    <t>21/33</t>
  </si>
  <si>
    <t>Gabarri Johnson</t>
  </si>
  <si>
    <t>Cornell Hatcher Jr.</t>
  </si>
  <si>
    <t>Salahadin Allah</t>
  </si>
  <si>
    <t>David Wells Jr.</t>
  </si>
  <si>
    <t>Trent Walker</t>
  </si>
  <si>
    <t>Zachary Card</t>
  </si>
  <si>
    <t>Tastean Reddicks</t>
  </si>
  <si>
    <t>Bryce Caufield</t>
  </si>
  <si>
    <t>Eddie Freauff</t>
  </si>
  <si>
    <t>Caleb Ojeda</t>
  </si>
  <si>
    <t>AJ Winsor</t>
  </si>
  <si>
    <t>FBS Independents</t>
  </si>
  <si>
    <t>C.J. Carr</t>
  </si>
  <si>
    <t>19/30</t>
  </si>
  <si>
    <t>Jadarian Price</t>
  </si>
  <si>
    <t>Eli Raridon</t>
  </si>
  <si>
    <t>Malachi Fields</t>
  </si>
  <si>
    <t>Jordan Faison</t>
  </si>
  <si>
    <t>Micah Gilbert</t>
  </si>
  <si>
    <t>Christian Gray</t>
  </si>
  <si>
    <t>Noah Burnette</t>
  </si>
  <si>
    <t>James Rendell</t>
  </si>
  <si>
    <t>Demond Williams Jr.</t>
  </si>
  <si>
    <t>18/24</t>
  </si>
  <si>
    <t>Adam Mohammed</t>
  </si>
  <si>
    <t>Jordan Washington</t>
  </si>
  <si>
    <t>Kade Eldridge</t>
  </si>
  <si>
    <t>Raiden Vines-Bright</t>
  </si>
  <si>
    <t>Dezmen Roebuck</t>
  </si>
  <si>
    <t>Rashid Williams</t>
  </si>
  <si>
    <t>Decker DeGraaf</t>
  </si>
  <si>
    <t>Makell Esteen</t>
  </si>
  <si>
    <t>Alex McLaughlin</t>
  </si>
  <si>
    <t>Taariq Al-Uqdah</t>
  </si>
  <si>
    <t>Rahshawn Clark</t>
  </si>
  <si>
    <t>Jacob Lane</t>
  </si>
  <si>
    <t>Deven Bryant</t>
  </si>
  <si>
    <t>Simonte Pepa</t>
  </si>
  <si>
    <t>Rylon Dillard-Allen</t>
  </si>
  <si>
    <t>Devin Hyde</t>
  </si>
  <si>
    <t>Tacario Davis</t>
  </si>
  <si>
    <t>Leroy Bryant</t>
  </si>
  <si>
    <t>Xe'Ree Alexander</t>
  </si>
  <si>
    <t>Anterio Thompson</t>
  </si>
  <si>
    <t>Grady Gross</t>
  </si>
  <si>
    <t>Luke Dunne</t>
  </si>
  <si>
    <t>27/36</t>
  </si>
  <si>
    <t>Ken Seals</t>
  </si>
  <si>
    <t>Kevorian Barnes</t>
  </si>
  <si>
    <t>Nate Palmer</t>
  </si>
  <si>
    <t>Trent Battle</t>
  </si>
  <si>
    <t>Jeremy Payne</t>
  </si>
  <si>
    <t>Jon Denman</t>
  </si>
  <si>
    <t>Jordan Dwyer</t>
  </si>
  <si>
    <t>D'Andre Rogers</t>
  </si>
  <si>
    <t>Joseph Manjack</t>
  </si>
  <si>
    <t>Chase Curtis</t>
  </si>
  <si>
    <t>Eric McAlister</t>
  </si>
  <si>
    <t>Jordyn Bailey</t>
  </si>
  <si>
    <t>Devean Deal</t>
  </si>
  <si>
    <t>Zachary Chapman</t>
  </si>
  <si>
    <t>Jonathan Bax</t>
  </si>
  <si>
    <t>Bud Clark</t>
  </si>
  <si>
    <t>Kyle Lemmermann</t>
  </si>
  <si>
    <t>Ethan Craw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</si>
</sst>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76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0" applyFont="1"/>
    <xf numFmtId="1" fontId="23" fillId="35" borderId="11" xfId="0" applyNumberFormat="1" applyFont="1" applyFill="1" applyBorder="1" applyAlignment="1">
      <alignment horizontal="right"/>
    </xf>
    <xf numFmtId="16" fontId="0" fillId="0" borderId="0" xfId="0" applyNumberFormat="1"/>
    <xf numFmtId="3" fontId="0" fillId="0" borderId="0" xfId="0" applyNumberFormat="1" applyFont="1" applyAlignment="1">
      <alignment horizontal="center" vertical="center" shrinkToFit="1"/>
    </xf>
    <xf numFmtId="0" fontId="0" fillId="0" borderId="0" xfId="0" applyNumberFormat="1" applyAlignment="1">
      <alignment horizontal="center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C000"/>
        </patternFill>
      </fill>
    </dxf>
    <dxf>
      <numFmt numFmtId="0" formatCode="General"/>
      <fill>
        <patternFill patternType="solid">
          <fgColor indexed="64"/>
          <bgColor theme="4" tint="0.79998168889431442"/>
        </patternFill>
      </fill>
    </dxf>
    <dxf>
      <numFmt numFmtId="1" formatCode="0"/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/>
        <top style="thin">
          <color theme="8"/>
        </top>
        <bottom/>
      </border>
    </dxf>
    <dxf>
      <numFmt numFmtId="0" formatCode="General"/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9" formatCode="m/d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</dxf>
    <dxf>
      <border outline="0">
        <left style="thin">
          <color theme="8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8"/>
          <bgColor theme="8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1963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4066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4514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3725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0.13758059994393049</c:v>
                </c:pt>
                <c:pt idx="1">
                  <c:v>0.28497336697504905</c:v>
                </c:pt>
                <c:pt idx="2">
                  <c:v>0.316372301654051</c:v>
                </c:pt>
                <c:pt idx="3">
                  <c:v>0.26107373142696944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877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902.332570486113" createdVersion="6" refreshedVersion="8" minRefreshableVersion="3" recordCount="1156" xr:uid="{00000000-000A-0000-FFFF-FFFF1C000000}">
  <cacheSource type="worksheet">
    <worksheetSource name="Table1"/>
  </cacheSource>
  <cacheFields count="20">
    <cacheField name="Player" numFmtId="0">
      <sharedItems count="38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Chris"/>
        <s v="Jonathan"/>
        <s v="Jon" u="1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56">
        <s v="Dylan Raiola"/>
        <s v="Bryson Washington"/>
        <s v="Ryan Williams"/>
        <s v="Khalil Murdock"/>
        <s v="Gunner Stockton"/>
        <s v="Nicholas Singleton"/>
        <s v="Easton Messer"/>
        <s v="Caleb Downs"/>
        <s v="Drew Allar"/>
        <s v="Nate Frazier"/>
        <s v="Trebor Pena"/>
        <s v="C.J. Allen"/>
        <s v="Brad Jackson"/>
        <s v="Jonah Coleman"/>
        <s v="Jacob De Jesus"/>
        <s v="Taurean York"/>
        <s v="Fernando Mendoza"/>
        <s v="Denzel Boston"/>
        <s v="Anthony Hill Jr."/>
        <s v="Bryce Underwood"/>
        <s v="Colin Simmons"/>
        <s v="No Pick"/>
        <s v="Blake Shapen"/>
        <s v="Devin Mockobee"/>
        <s v="Kenny Odom"/>
        <s v="Mac Uihlein"/>
        <s v="Josh Hoover"/>
        <s v="Anthony Hankerson"/>
        <s v="Devonte Ross"/>
        <s v="Jason Henderson"/>
        <s v="Malik Washington"/>
        <s v="Davon Booth"/>
        <s v="Whit Weeks"/>
        <s v="Marcel Reed"/>
        <s v="Le'Veon Moss"/>
        <s v="Kevin Concepcion"/>
        <s v="Will Lee III"/>
        <s v="Julian Sayin"/>
        <s v="Jeremiyah Love"/>
        <s v="Antonio Williams"/>
        <s v="Nick Andersen"/>
        <s v="Caden Veltkamp"/>
        <s v="Nolan Ray"/>
        <s v="Daniel Wingate"/>
        <s v="Walker Eget"/>
        <s v="Kaytron Allen"/>
        <s v="Omar Cooper Jr."/>
        <s v="Phoenix Jackson"/>
        <s v="James Peoples"/>
        <s v="Eric Rivers"/>
        <s v=""/>
        <s v="Donaven McCulley"/>
        <s v="Deontae Lawson"/>
        <s v="Elijah Sarratt"/>
        <n v="4356" u="1"/>
        <n v="56" u="1"/>
      </sharedItems>
    </cacheField>
    <cacheField name="Team" numFmtId="0">
      <sharedItems containsBlank="1" count="185">
        <s v="Nebraska"/>
        <s v="Baylor"/>
        <s v="Alabama"/>
        <s v="Buffalo"/>
        <s v="Georgia"/>
        <s v="Penn State"/>
        <s v="FAU"/>
        <s v="Ohio State"/>
        <s v="Texas State"/>
        <s v="Washington"/>
        <s v="California"/>
        <s v="Texas A&amp;M"/>
        <s v="Indiana"/>
        <s v="Texas"/>
        <s v="Michigan"/>
        <s v="No Pick"/>
        <s v="Mississippi State"/>
        <s v="Purdue"/>
        <s v="UTEP"/>
        <s v="Northwestern"/>
        <s v="TCU"/>
        <s v="Oregon State"/>
        <s v="Old Dominion"/>
        <s v="Maryland"/>
        <s v="LSU"/>
        <s v="Notre Dame"/>
        <s v="Clemson"/>
        <s v="Wake Forest"/>
        <s v="San Jose State"/>
        <s v="Georgia Tech"/>
        <s v=""/>
        <m u="1"/>
        <s v="USC" u="1"/>
        <s v="Boise State" u="1"/>
        <s v="Oklahoma" u="1"/>
        <s v="Miami (FL)" u="1"/>
        <s v="Syracuse" u="1"/>
        <s v="Arizona" u="1"/>
        <s v="UCLA" u="1"/>
        <s v="Oregon" u="1"/>
        <s v="Florida State" u="1"/>
        <s v="Wisconsin" u="1"/>
        <s v="Houston" u="1"/>
        <s v="Virginia Tech" u="1"/>
        <s v="Miami (OH)" u="1"/>
        <s v="Stanford" u="1"/>
        <s v="UTSA" u="1"/>
        <s v="SMU" u="1"/>
        <s v="Colorado State" u="1"/>
        <s v="Washington State" u="1"/>
        <s v="Louisville" u="1"/>
        <s v="Oklahoma State" u="1"/>
        <s v="Ole Miss" u="1"/>
        <s v="Utah" u="1"/>
        <s v="Liberty" u="1"/>
        <s v="North Carolina" u="1"/>
        <s v="Tulsa" u="1"/>
        <s v="Nevada" u="1"/>
        <s v="Colorado" u="1"/>
        <s v="Tennessee" u="1"/>
        <s v="Ohio" u="1"/>
        <s v="North Texas" u="1"/>
        <s v="Texas Tech" u="1"/>
        <s v="San Diego State" u="1"/>
        <s v="Rutgers" u="1"/>
        <s v="Auburn" u="1"/>
        <s v="Cailifornia" u="1"/>
        <s v="Iowa" u="1"/>
        <s v="Miami" u="1"/>
        <s v="New Mexico" u="1"/>
        <s v="Arkansas" u="1"/>
        <s v="Minnesota" u="1"/>
        <s v="Pittsburgh" u="1"/>
        <s v="Virginia" u="1"/>
        <s v="UCF" u="1"/>
        <s v="South Carolina" u="1"/>
        <s v="Fresno State" u="1"/>
        <s v="Missouri" u="1"/>
        <s v="Toledo" u="1"/>
        <s v="Arizona State" u="1"/>
        <s v="Duke" u="1"/>
        <s v="BYU" u="1"/>
        <s v="Navy" u="1"/>
        <s v="Troy" u="1"/>
        <s v="Memphis" u="1"/>
        <s v="Central Michigan" u="1"/>
        <s v="Flroida State" u="1"/>
        <s v="Illinois" u="1"/>
        <s v="Tulane" u="1"/>
        <s v="Boston College" u="1"/>
        <s v="Kansas" u="1"/>
        <s v="Florida" u="1"/>
        <s v="Kasnsas State" u="1"/>
        <s v="Vanderbilt" u="1"/>
        <s v="West Virginia" u="1"/>
        <s v="Army" u="1"/>
        <s v="Hawaii" u="1"/>
        <s v="FIU" u="1"/>
        <s v="Akron" u="1"/>
        <s v="Bowling Green" u="1"/>
        <s v="Kansas State" u="1"/>
        <s v="Utah State" u="1"/>
        <s v="James Madison" u="1"/>
        <s v="South Alabama" u="1"/>
        <s v="UNLV" u="1"/>
        <s v="Jacksonville State" u="1"/>
        <s v="UNT" u="1"/>
        <s v="Cal" u="1"/>
        <s v="KSU" u="1"/>
        <s v="Tx tech" u="1"/>
        <s v="t.u." u="1"/>
        <s v="Colorado Buffalos" u="1"/>
        <s v="Kansas State Wildcats" u="1"/>
        <s v="Utah State Aggies" u="1"/>
        <s v="Navy Midshipmen" u="1"/>
        <s v="Pitt" u="1"/>
        <s v="Boise St" u="1"/>
        <s v="App State" u="1"/>
        <s v="Iowa State" u="1"/>
        <s v="IU" u="1"/>
        <s v="Vandy" u="1"/>
        <s v="Tenn" u="1"/>
        <s v="Georgia southern" u="1"/>
        <s v="San Diego St" u="1"/>
        <s v="Marshall" u="1"/>
        <s v="SDSU" u="1"/>
        <s v="Cincinnati" u="1"/>
        <s v="USC of the South" u="1"/>
        <s v="Army West Point" u="1"/>
        <s v="Utah St." u="1"/>
        <s v="UT" u="1"/>
        <s v="Jacksonville st" u="1"/>
        <s v="Rainbow U" u="1"/>
        <s v="unc" u="1"/>
        <s v="Fightin’ Texas Aggies" u="1"/>
        <s v="Maimi" u="1"/>
        <s v="TX State" u="1"/>
        <s v="Tenessee" u="1"/>
        <s v="Sjsu" u="1"/>
        <s v="San Jose St" u="1"/>
        <s v="San Diego St." u="1"/>
        <s v="Temple" u="1"/>
        <s v="Appalachian State" u="1"/>
        <s v="TAMU" u="1"/>
        <s v="ASU" u="1"/>
        <s v="Ags" u="1"/>
        <s v="The agricultural and mechanical college of Texas" u="1"/>
        <s v="Jacksonville St." u="1"/>
        <s v="Louisiana" u="1"/>
        <s v="ISU" u="1"/>
        <s v="Western kentucky" u="1"/>
        <s v="Western Ky." u="1"/>
        <s v="Penn St." u="1"/>
        <s v="UConn" u="1"/>
        <s v="Souther Methodist Uni" u="1"/>
        <s v="tu" u="1"/>
        <s v="Army/Abernathy HS" u="1"/>
        <s v="Kentucky" u="1"/>
        <s v="Georgia State" u="1"/>
        <s v="Sam Houston  State" u="1"/>
        <s v="Umass" u="1"/>
        <s v="Louisiana Tech" u="1"/>
        <s v="Colroado" u="1"/>
        <s v="NC State" u="1"/>
        <s v="Coastal Carolina" u="1"/>
        <s v="Western Michigan" u="1"/>
        <s v="Rice" u="1"/>
        <s v="UAB" u="1"/>
        <s v="Eastern Michigan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/>
    </cacheField>
    <cacheField name="Passing Yards" numFmtId="0">
      <sharedItems containsSemiMixedTypes="0" containsString="0" containsNumber="1" containsInteger="1" minValue="0" maxValue="308"/>
    </cacheField>
    <cacheField name="Rushing Yards" numFmtId="0">
      <sharedItems containsSemiMixedTypes="0" containsString="0" containsNumber="1" containsInteger="1" minValue="-13" maxValue="177"/>
    </cacheField>
    <cacheField name="Receiving Yards" numFmtId="0">
      <sharedItems containsSemiMixedTypes="0" containsString="0" containsNumber="1" containsInteger="1" minValue="-2" maxValue="97"/>
    </cacheField>
    <cacheField name="Passing TDs" numFmtId="0">
      <sharedItems containsSemiMixedTypes="0" containsString="0" containsNumber="1" containsInteger="1" minValue="0" maxValue="4"/>
    </cacheField>
    <cacheField name="Rushing TDs" numFmtId="0">
      <sharedItems containsSemiMixedTypes="0" containsString="0" containsNumber="1" containsInteger="1" minValue="0" maxValue="2"/>
    </cacheField>
    <cacheField name="Receiving TDs" numFmtId="0">
      <sharedItems containsSemiMixedTypes="0" containsString="0" containsNumber="1" containsInteger="1" minValue="0" maxValue="1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16"/>
    </cacheField>
    <cacheField name="Interceptions" numFmtId="0">
      <sharedItems containsSemiMixedTypes="0" containsString="0" containsNumber="1" containsInteger="1" minValue="0" maxValue="1"/>
    </cacheField>
    <cacheField name="Fumbles Recovered" numFmtId="0">
      <sharedItems containsSemiMixedTypes="0" containsString="0" containsNumber="1" containsInteger="1" minValue="0" maxValue="0"/>
    </cacheField>
    <cacheField name="Score" numFmtId="1">
      <sharedItems containsMixedTypes="1" containsNumber="1" minValue="-1825" maxValue="502.5" count="686">
        <n v="97"/>
        <n v="292"/>
        <n v="340"/>
        <n v="0"/>
        <n v="50"/>
        <n v="162"/>
        <n v="226"/>
        <n v="275"/>
        <n v="153"/>
        <n v="306"/>
        <n v="252"/>
        <n v="300"/>
        <n v="66"/>
        <n v="-154"/>
        <n v="346"/>
        <n v="150"/>
        <n v="157"/>
        <n v="116"/>
        <n v="250"/>
        <n v="119"/>
        <n v="350"/>
        <n v="400"/>
        <n v="100"/>
        <n v="182"/>
        <n v="106"/>
        <n v="175"/>
        <n v="56"/>
        <n v="216"/>
        <n v="392"/>
        <n v="52"/>
        <n v="142"/>
        <n v="-9"/>
        <n v="362"/>
        <n v="-44"/>
        <n v="244"/>
        <n v="334"/>
        <n v="-450"/>
        <n v="32"/>
        <n v="214"/>
        <n v="296"/>
        <n v="360"/>
        <n v="352"/>
        <s v=""/>
        <n v="338"/>
        <n v="312"/>
        <n v="118" u="1"/>
        <n v="248" u="1"/>
        <n v="-8" u="1"/>
        <n v="-734" u="1"/>
        <n v="28" u="1"/>
        <n v="325" u="1"/>
        <n v="139" u="1"/>
        <n v="72" u="1"/>
        <n v="76" u="1"/>
        <n v="246" u="1"/>
        <n v="-34" u="1"/>
        <n v="-142" u="1"/>
        <n v="382" u="1"/>
        <n v="270" u="1"/>
        <n v="-608" u="1"/>
        <n v="-218" u="1"/>
        <n v="126" u="1"/>
        <n v="158" u="1"/>
        <n v="104" u="1"/>
        <n v="286" u="1"/>
        <n v="132" u="1"/>
        <n v="288" u="1"/>
        <n v="18" u="1"/>
        <n v="-50" u="1"/>
        <n v="370" u="1"/>
        <n v="196" u="1"/>
        <n v="375" u="1"/>
        <n v="82" u="1"/>
        <n v="376" u="1"/>
        <n v="42" u="1"/>
        <n v="225" u="1"/>
        <n v="62" u="1"/>
        <n v="205" u="1"/>
        <n v="314" u="1"/>
        <n v="258" u="1"/>
        <n v="-25" u="1"/>
        <n v="86" u="1"/>
        <n v="140" u="1"/>
        <n v="-57" u="1"/>
        <n v="202" u="1"/>
        <n v="144" u="1"/>
        <n v="38" u="1"/>
        <n v="200" u="1"/>
        <n v="230" u="1"/>
        <n v="-100" u="1"/>
        <n v="368" u="1"/>
        <n v="294" u="1"/>
        <n v="46" u="1"/>
        <n v="180" u="1"/>
        <n v="-101" u="1"/>
        <n v="-22" u="1"/>
        <n v="380" u="1"/>
        <n v="152" u="1"/>
        <n v="295" u="1"/>
        <n v="342" u="1"/>
        <n v="388" u="1"/>
        <n v="240" u="1"/>
        <n v="-43" u="1"/>
        <n v="-146" u="1"/>
        <n v="228" u="1"/>
        <n v="-30" u="1"/>
        <n v="16" u="1"/>
        <n v="197" u="1"/>
        <n v="318" u="1"/>
        <n v="178" u="1"/>
        <n v="125" u="1"/>
        <n v="155" u="1"/>
        <n v="146" u="1"/>
        <n v="-96" u="1"/>
        <n v="6" u="1"/>
        <n v="-1" u="1"/>
        <n v="-148" u="1"/>
        <n v="204" u="1"/>
        <n v="124" u="1"/>
        <n v="-202" u="1"/>
        <n v="328" u="1"/>
        <n v="161" u="1"/>
        <n v="75" u="1"/>
        <n v="55" u="1"/>
        <n v="-260" u="1"/>
        <n v="384" u="1"/>
        <n v="-49" u="1"/>
        <n v="138" u="1"/>
        <n v="-275" u="1"/>
        <n v="-102" u="1"/>
        <n v="22" u="1"/>
        <n v="160" u="1"/>
        <n v="48" u="1"/>
        <n v="15" u="1"/>
        <n v="122" u="1"/>
        <n v="176" u="1"/>
        <n v="220" u="1"/>
        <n v="-350" u="1"/>
        <n v="-136" u="1"/>
        <n v="90" u="1"/>
        <n v="80" u="1"/>
        <n v="-132" u="1"/>
        <n v="-94" u="1"/>
        <n v="354" u="1"/>
        <n v="94" u="1"/>
        <n v="198" u="1"/>
        <n v="336" u="1"/>
        <n v="-104" u="1"/>
        <n v="-42" u="1"/>
        <n v="264" u="1"/>
        <n v="-46" u="1"/>
        <n v="-62" u="1"/>
        <n v="74" u="1"/>
        <n v="-518" u="1"/>
        <n v="324" u="1"/>
        <n v="-189" u="1"/>
        <n v="-169" u="1"/>
        <n v="-113" u="1"/>
        <n v="112" u="1"/>
        <n v="173" u="1"/>
        <n v="284" u="1"/>
        <n v="109" u="1"/>
        <n v="-52" u="1"/>
        <n v="280" u="1"/>
        <n v="218" u="1"/>
        <n v="12" u="1"/>
        <n v="99" u="1"/>
        <n v="78" u="1"/>
        <n v="-272" u="1"/>
        <n v="10" u="1"/>
        <n v="128" u="1"/>
        <n v="-38" u="1"/>
        <n v="190" u="1"/>
        <n v="254" u="1"/>
        <n v="192" u="1"/>
        <n v="-121" u="1"/>
        <n v="398" u="1"/>
        <n v="8" u="1"/>
        <n v="88" u="1"/>
        <n v="107" u="1"/>
        <n v="238" u="1"/>
        <n v="83" u="1"/>
        <n v="-90" u="1"/>
        <n v="-124" u="1"/>
        <n v="-51" u="1"/>
        <n v="36" u="1"/>
        <n v="121" u="1"/>
        <n v="212" u="1"/>
        <n v="96" u="1"/>
        <n v="-6" u="1"/>
        <n v="174" u="1"/>
        <n v="326" u="1"/>
        <n v="-27" u="1"/>
        <n v="-332" u="1"/>
        <n v="-232" u="1"/>
        <n v="1" u="1"/>
        <n v="-92" u="1"/>
        <n v="316" u="1"/>
        <n v="279" u="1"/>
        <n v="105" u="1"/>
        <n v="210" u="1"/>
        <n v="61" u="1"/>
        <n v="231" u="1"/>
        <n v="102" u="1"/>
        <n v="58" u="1"/>
        <n v="2" u="1"/>
        <n v="-39" u="1"/>
        <n v="-502" u="1"/>
        <n v="-12" u="1"/>
        <n v="70" u="1"/>
        <n v="-32" u="1"/>
        <n v="-366" u="1"/>
        <n v="-144" u="1"/>
        <n v="-76" u="1"/>
        <n v="-24" u="1"/>
        <n v="98" u="1"/>
        <n v="-70" u="1"/>
        <n v="184" u="1"/>
        <n v="108" u="1"/>
        <n v="-120" u="1"/>
        <n v="242" u="1"/>
        <n v="-118" u="1"/>
        <n v="37" u="1"/>
        <n v="-150" u="1"/>
        <n v="59" u="1"/>
        <n v="234" u="1"/>
        <n v="-33" u="1"/>
        <n v="25" u="1"/>
        <n v="232" u="1"/>
        <n v="44" u="1"/>
        <n v="81" u="1"/>
        <n v="68" u="1"/>
        <n v="-206" u="1"/>
        <n v="194" u="1"/>
        <n v="-170" u="1"/>
        <n v="26" u="1"/>
        <n v="-268" u="1"/>
        <n v="17" u="1"/>
        <n v="4" u="1"/>
        <n v="213" u="1"/>
        <n v="-84" u="1"/>
        <n v="282" u="1"/>
        <n v="130" u="1"/>
        <n v="9" u="1"/>
        <n v="290" u="1"/>
        <n v="-31" u="1"/>
        <n v="127" u="1"/>
        <n v="84" u="1"/>
        <n v="-106" u="1"/>
        <n v="-152" u="1"/>
        <n v="54" u="1"/>
        <n v="41" u="1"/>
        <n v="-95" u="1"/>
        <n v="129" u="1"/>
        <n v="24" u="1"/>
        <n v="60" u="1"/>
        <n v="-72" u="1"/>
        <n v="374" u="1"/>
        <n v="-145" u="1"/>
        <n v="276" u="1"/>
        <n v="-194" u="1"/>
        <n v="-266" u="1"/>
        <n v="310" u="1"/>
        <n v="149" u="1"/>
        <n v="-414" u="1"/>
        <n v="110" u="1"/>
        <n v="-75" u="1"/>
        <n v="-10" u="1"/>
        <n v="-525" u="1"/>
        <n v="239" u="1"/>
        <n v="64" u="1"/>
        <n v="-56" u="1"/>
        <n v="181" u="1"/>
        <n v="260" u="1"/>
        <n v="227" u="1"/>
        <n v="206" u="1"/>
        <n v="-129" u="1"/>
        <n v="195" u="1"/>
        <n v="-254" u="1"/>
        <n v="272" u="1"/>
        <n v="20" u="1"/>
        <n v="-182" u="1"/>
        <n v="-19" u="1"/>
        <n v="358" u="1"/>
        <n v="71" u="1"/>
        <n v="34" u="1"/>
        <n v="298" u="1"/>
        <n v="131" u="1"/>
        <n v="404" u="1"/>
        <n v="170" u="1"/>
        <n v="114" u="1"/>
        <n v="-3" u="1"/>
        <n v="229" u="1"/>
        <n v="-252" u="1"/>
        <n v="394" u="1"/>
        <n v="193" u="1"/>
        <n v="-20" u="1"/>
        <n v="372" u="1"/>
        <n v="-174" u="1"/>
        <n v="172" u="1"/>
        <n v="133" u="1"/>
        <n v="236" u="1"/>
        <n v="305" u="1"/>
        <n v="-328" u="1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73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-73" u="1"/>
        <n v="217" u="1"/>
        <n v="-140" u="1"/>
        <n v="14" u="1"/>
        <n v="-390" u="1"/>
        <n v="-192" u="1"/>
        <n v="356" u="1"/>
        <n v="-71" u="1"/>
        <n v="278" u="1"/>
        <n v="402" u="1"/>
        <n v="-125" u="1"/>
        <n v="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1048507"/>
    </cacheField>
    <cacheField name="Error Finder" numFmtId="0">
      <sharedItems containsSemiMixedTypes="0" containsString="0" containsNumber="1" containsInteger="1" minValue="0" maxValue="3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6">
  <r>
    <x v="0"/>
    <x v="0"/>
    <x v="0"/>
    <x v="0"/>
    <x v="0"/>
    <s v="Cincinnati"/>
    <n v="243"/>
    <n v="-1"/>
    <n v="0"/>
    <n v="2"/>
    <n v="0"/>
    <n v="0"/>
    <n v="0"/>
    <n v="0"/>
    <n v="0"/>
    <n v="0"/>
    <x v="0"/>
    <s v="JacobPassingDylan Raiola"/>
    <n v="1"/>
    <n v="243"/>
  </r>
  <r>
    <x v="0"/>
    <x v="0"/>
    <x v="1"/>
    <x v="1"/>
    <x v="1"/>
    <s v="Auburn"/>
    <n v="0"/>
    <n v="54"/>
    <n v="2"/>
    <n v="0"/>
    <n v="0"/>
    <n v="0"/>
    <n v="0"/>
    <n v="0"/>
    <n v="0"/>
    <n v="0"/>
    <x v="1"/>
    <s v="JacobRushingBryson Washington"/>
    <n v="1"/>
    <n v="54"/>
  </r>
  <r>
    <x v="0"/>
    <x v="0"/>
    <x v="2"/>
    <x v="2"/>
    <x v="2"/>
    <s v="Florida State"/>
    <n v="0"/>
    <n v="0"/>
    <n v="30"/>
    <n v="0"/>
    <n v="0"/>
    <n v="0"/>
    <n v="0"/>
    <n v="0"/>
    <n v="0"/>
    <n v="0"/>
    <x v="2"/>
    <s v="JacobReceivingRyan Williams"/>
    <n v="1"/>
    <n v="30"/>
  </r>
  <r>
    <x v="0"/>
    <x v="0"/>
    <x v="3"/>
    <x v="3"/>
    <x v="3"/>
    <s v="Minnesota"/>
    <n v="0"/>
    <n v="0"/>
    <n v="0"/>
    <n v="0"/>
    <n v="0"/>
    <n v="0"/>
    <n v="0"/>
    <n v="16"/>
    <n v="0"/>
    <n v="0"/>
    <x v="3"/>
    <s v="JacobDefensiveKhalil Murdock"/>
    <n v="1"/>
    <n v="16"/>
  </r>
  <r>
    <x v="1"/>
    <x v="0"/>
    <x v="0"/>
    <x v="4"/>
    <x v="4"/>
    <s v="Marshall"/>
    <n v="190"/>
    <n v="73"/>
    <n v="0"/>
    <n v="2"/>
    <n v="2"/>
    <n v="0"/>
    <n v="0"/>
    <n v="0"/>
    <n v="0"/>
    <n v="0"/>
    <x v="4"/>
    <s v="JacksonPassingGunner Stockton"/>
    <n v="1"/>
    <n v="190"/>
  </r>
  <r>
    <x v="1"/>
    <x v="0"/>
    <x v="1"/>
    <x v="5"/>
    <x v="5"/>
    <s v="Nevada"/>
    <n v="0"/>
    <n v="19"/>
    <n v="37"/>
    <n v="0"/>
    <n v="2"/>
    <n v="0"/>
    <n v="0"/>
    <n v="0"/>
    <n v="0"/>
    <n v="0"/>
    <x v="5"/>
    <s v="JacksonRushingNicholas Singleton"/>
    <n v="1"/>
    <n v="19"/>
  </r>
  <r>
    <x v="1"/>
    <x v="0"/>
    <x v="2"/>
    <x v="6"/>
    <x v="6"/>
    <s v="Maryland"/>
    <n v="0"/>
    <n v="0"/>
    <n v="87"/>
    <n v="0"/>
    <n v="0"/>
    <n v="0"/>
    <n v="0"/>
    <n v="0"/>
    <n v="0"/>
    <n v="0"/>
    <x v="6"/>
    <s v="JacksonReceivingEaston Messer"/>
    <n v="1"/>
    <n v="87"/>
  </r>
  <r>
    <x v="1"/>
    <x v="0"/>
    <x v="3"/>
    <x v="7"/>
    <x v="7"/>
    <s v="Texas"/>
    <n v="0"/>
    <n v="0"/>
    <n v="0"/>
    <n v="0"/>
    <n v="0"/>
    <n v="0"/>
    <n v="0"/>
    <n v="5"/>
    <n v="0"/>
    <n v="0"/>
    <x v="7"/>
    <s v="JacksonDefensiveCaleb Downs"/>
    <n v="1"/>
    <n v="5"/>
  </r>
  <r>
    <x v="2"/>
    <x v="0"/>
    <x v="0"/>
    <x v="8"/>
    <x v="5"/>
    <s v="Nevada"/>
    <n v="217"/>
    <n v="20"/>
    <n v="0"/>
    <n v="1"/>
    <n v="0"/>
    <n v="0"/>
    <n v="0"/>
    <n v="0"/>
    <n v="0"/>
    <n v="0"/>
    <x v="8"/>
    <s v="LoganPassingDrew Allar"/>
    <n v="1"/>
    <n v="217"/>
  </r>
  <r>
    <x v="2"/>
    <x v="0"/>
    <x v="1"/>
    <x v="9"/>
    <x v="4"/>
    <s v="Marshall"/>
    <n v="0"/>
    <n v="47"/>
    <n v="0"/>
    <n v="0"/>
    <n v="0"/>
    <n v="0"/>
    <n v="0"/>
    <n v="0"/>
    <n v="0"/>
    <n v="0"/>
    <x v="9"/>
    <s v="LoganRushingNate Frazier"/>
    <n v="1"/>
    <n v="47"/>
  </r>
  <r>
    <x v="2"/>
    <x v="0"/>
    <x v="2"/>
    <x v="10"/>
    <x v="5"/>
    <s v="Nevada"/>
    <n v="0"/>
    <n v="13"/>
    <n v="74"/>
    <n v="0"/>
    <n v="0"/>
    <n v="0"/>
    <n v="0"/>
    <n v="0"/>
    <n v="0"/>
    <n v="0"/>
    <x v="10"/>
    <s v="LoganReceivingTrebor Pena"/>
    <n v="1"/>
    <n v="74"/>
  </r>
  <r>
    <x v="2"/>
    <x v="0"/>
    <x v="3"/>
    <x v="11"/>
    <x v="4"/>
    <s v="Marshall"/>
    <n v="0"/>
    <n v="0"/>
    <n v="0"/>
    <n v="0"/>
    <n v="0"/>
    <n v="0"/>
    <n v="0"/>
    <n v="4"/>
    <n v="0"/>
    <n v="0"/>
    <x v="11"/>
    <s v="LoganDefensiveC.J. Allen"/>
    <n v="1"/>
    <n v="4"/>
  </r>
  <r>
    <x v="3"/>
    <x v="0"/>
    <x v="0"/>
    <x v="12"/>
    <x v="8"/>
    <s v="EMU"/>
    <n v="214"/>
    <n v="48"/>
    <n v="0"/>
    <n v="4"/>
    <n v="0"/>
    <n v="0"/>
    <n v="0"/>
    <n v="0"/>
    <n v="0"/>
    <n v="0"/>
    <x v="12"/>
    <s v="Mike M.PassingBrad Jackson"/>
    <n v="1"/>
    <n v="214"/>
  </r>
  <r>
    <x v="3"/>
    <x v="0"/>
    <x v="1"/>
    <x v="13"/>
    <x v="9"/>
    <s v="Colorado State"/>
    <n v="0"/>
    <n v="177"/>
    <n v="22"/>
    <n v="0"/>
    <n v="2"/>
    <n v="0"/>
    <n v="0"/>
    <n v="0"/>
    <n v="0"/>
    <n v="0"/>
    <x v="13"/>
    <s v="Mike M.RushingJonah Coleman"/>
    <n v="1"/>
    <n v="177"/>
  </r>
  <r>
    <x v="3"/>
    <x v="0"/>
    <x v="2"/>
    <x v="14"/>
    <x v="10"/>
    <s v="Oregon State"/>
    <n v="0"/>
    <n v="0"/>
    <n v="27"/>
    <n v="0"/>
    <n v="0"/>
    <n v="0"/>
    <n v="0"/>
    <n v="0"/>
    <n v="0"/>
    <n v="0"/>
    <x v="14"/>
    <s v="Mike M.ReceivingJacob De Jesus"/>
    <n v="1"/>
    <n v="27"/>
  </r>
  <r>
    <x v="3"/>
    <x v="0"/>
    <x v="3"/>
    <x v="15"/>
    <x v="11"/>
    <s v="UTSA"/>
    <n v="0"/>
    <n v="0"/>
    <n v="0"/>
    <n v="0"/>
    <n v="0"/>
    <n v="0"/>
    <n v="0"/>
    <n v="10"/>
    <n v="0"/>
    <n v="0"/>
    <x v="15"/>
    <s v="Mike M.DefensiveTaurean York"/>
    <n v="1"/>
    <n v="10"/>
  </r>
  <r>
    <x v="4"/>
    <x v="0"/>
    <x v="0"/>
    <x v="16"/>
    <x v="12"/>
    <s v="Old Dominion"/>
    <n v="193"/>
    <n v="33"/>
    <n v="0"/>
    <n v="0"/>
    <n v="1"/>
    <n v="0"/>
    <n v="0"/>
    <n v="0"/>
    <n v="0"/>
    <n v="0"/>
    <x v="16"/>
    <s v="SpencerPassingFernando Mendoza"/>
    <n v="1"/>
    <n v="193"/>
  </r>
  <r>
    <x v="4"/>
    <x v="0"/>
    <x v="1"/>
    <x v="5"/>
    <x v="5"/>
    <s v="Nevada"/>
    <n v="0"/>
    <n v="19"/>
    <n v="37"/>
    <n v="0"/>
    <n v="2"/>
    <n v="0"/>
    <n v="0"/>
    <n v="0"/>
    <n v="0"/>
    <n v="0"/>
    <x v="5"/>
    <s v="SpencerRushingNicholas Singleton"/>
    <n v="1"/>
    <n v="19"/>
  </r>
  <r>
    <x v="4"/>
    <x v="0"/>
    <x v="2"/>
    <x v="17"/>
    <x v="9"/>
    <s v="Colorado State"/>
    <n v="0"/>
    <n v="0"/>
    <n v="92"/>
    <n v="0"/>
    <n v="0"/>
    <n v="1"/>
    <n v="0"/>
    <n v="0"/>
    <n v="0"/>
    <n v="0"/>
    <x v="17"/>
    <s v="SpencerReceivingDenzel Boston"/>
    <n v="1"/>
    <n v="92"/>
  </r>
  <r>
    <x v="4"/>
    <x v="0"/>
    <x v="3"/>
    <x v="18"/>
    <x v="13"/>
    <s v="Ohio State"/>
    <n v="0"/>
    <n v="0"/>
    <n v="0"/>
    <n v="0"/>
    <n v="0"/>
    <n v="0"/>
    <n v="0"/>
    <n v="6"/>
    <n v="0"/>
    <n v="0"/>
    <x v="18"/>
    <s v="SpencerDefensiveAnthony Hill Jr."/>
    <n v="1"/>
    <n v="6"/>
  </r>
  <r>
    <x v="5"/>
    <x v="0"/>
    <x v="0"/>
    <x v="19"/>
    <x v="14"/>
    <s v="New Mexico"/>
    <n v="251"/>
    <n v="-5"/>
    <n v="0"/>
    <n v="1"/>
    <n v="0"/>
    <n v="0"/>
    <n v="0"/>
    <n v="0"/>
    <n v="0"/>
    <n v="0"/>
    <x v="19"/>
    <s v="DarioPassingBryce Underwood"/>
    <n v="1"/>
    <n v="251"/>
  </r>
  <r>
    <x v="5"/>
    <x v="0"/>
    <x v="1"/>
    <x v="5"/>
    <x v="5"/>
    <s v="Nevada"/>
    <n v="0"/>
    <n v="19"/>
    <n v="37"/>
    <n v="0"/>
    <n v="2"/>
    <n v="0"/>
    <n v="0"/>
    <n v="0"/>
    <n v="0"/>
    <n v="0"/>
    <x v="5"/>
    <s v="DarioRushingNicholas Singleton"/>
    <n v="1"/>
    <n v="19"/>
  </r>
  <r>
    <x v="5"/>
    <x v="0"/>
    <x v="2"/>
    <x v="17"/>
    <x v="9"/>
    <s v="Colorado State"/>
    <n v="0"/>
    <n v="0"/>
    <n v="92"/>
    <n v="0"/>
    <n v="0"/>
    <n v="1"/>
    <n v="0"/>
    <n v="0"/>
    <n v="0"/>
    <n v="0"/>
    <x v="17"/>
    <s v="DarioReceivingDenzel Boston"/>
    <n v="1"/>
    <n v="92"/>
  </r>
  <r>
    <x v="5"/>
    <x v="0"/>
    <x v="3"/>
    <x v="20"/>
    <x v="13"/>
    <s v="Ohio State"/>
    <n v="0"/>
    <n v="0"/>
    <n v="0"/>
    <n v="0"/>
    <n v="0"/>
    <n v="0"/>
    <n v="0"/>
    <n v="2"/>
    <n v="0"/>
    <n v="0"/>
    <x v="20"/>
    <s v="DarioDefensiveColin Simmons"/>
    <n v="1"/>
    <n v="2"/>
  </r>
  <r>
    <x v="6"/>
    <x v="0"/>
    <x v="0"/>
    <x v="21"/>
    <x v="15"/>
    <s v="No Pick"/>
    <n v="0"/>
    <n v="0"/>
    <n v="0"/>
    <n v="0"/>
    <n v="0"/>
    <n v="0"/>
    <n v="0"/>
    <n v="0"/>
    <n v="0"/>
    <n v="0"/>
    <x v="21"/>
    <s v="GrantPassingNo Pick"/>
    <n v="1"/>
    <n v="0"/>
  </r>
  <r>
    <x v="6"/>
    <x v="0"/>
    <x v="1"/>
    <x v="21"/>
    <x v="15"/>
    <s v="No Pick"/>
    <n v="0"/>
    <n v="0"/>
    <n v="0"/>
    <n v="0"/>
    <n v="0"/>
    <n v="0"/>
    <n v="0"/>
    <n v="0"/>
    <n v="0"/>
    <n v="0"/>
    <x v="21"/>
    <s v="GrantRushingNo Pick"/>
    <n v="1"/>
    <n v="0"/>
  </r>
  <r>
    <x v="6"/>
    <x v="0"/>
    <x v="2"/>
    <x v="21"/>
    <x v="15"/>
    <s v="No Pick"/>
    <n v="0"/>
    <n v="0"/>
    <n v="0"/>
    <n v="0"/>
    <n v="0"/>
    <n v="0"/>
    <n v="0"/>
    <n v="0"/>
    <n v="0"/>
    <n v="0"/>
    <x v="21"/>
    <s v="GrantReceivingNo Pick"/>
    <n v="1"/>
    <n v="0"/>
  </r>
  <r>
    <x v="6"/>
    <x v="0"/>
    <x v="3"/>
    <x v="21"/>
    <x v="15"/>
    <s v="No Pick"/>
    <n v="0"/>
    <n v="0"/>
    <n v="0"/>
    <n v="0"/>
    <n v="0"/>
    <n v="0"/>
    <n v="0"/>
    <n v="0"/>
    <n v="0"/>
    <n v="0"/>
    <x v="21"/>
    <s v="GrantDefensiveNo Pick"/>
    <n v="1"/>
    <n v="0"/>
  </r>
  <r>
    <x v="7"/>
    <x v="0"/>
    <x v="0"/>
    <x v="22"/>
    <x v="16"/>
    <s v="Southern Miss"/>
    <n v="270"/>
    <n v="5"/>
    <n v="0"/>
    <n v="1"/>
    <n v="0"/>
    <n v="0"/>
    <n v="0"/>
    <n v="0"/>
    <n v="0"/>
    <n v="0"/>
    <x v="22"/>
    <s v="Mike G.PassingBlake Shapen"/>
    <n v="1"/>
    <n v="270"/>
  </r>
  <r>
    <x v="7"/>
    <x v="0"/>
    <x v="1"/>
    <x v="23"/>
    <x v="17"/>
    <s v="Ball State"/>
    <n v="0"/>
    <n v="59"/>
    <n v="45"/>
    <n v="0"/>
    <n v="1"/>
    <n v="0"/>
    <n v="0"/>
    <n v="0"/>
    <n v="0"/>
    <n v="0"/>
    <x v="23"/>
    <s v="Mike G.RushingDevin Mockobee"/>
    <n v="1"/>
    <n v="59"/>
  </r>
  <r>
    <x v="7"/>
    <x v="0"/>
    <x v="2"/>
    <x v="24"/>
    <x v="18"/>
    <s v="Texas State"/>
    <n v="0"/>
    <n v="16"/>
    <n v="97"/>
    <n v="0"/>
    <n v="0"/>
    <n v="1"/>
    <n v="0"/>
    <n v="0"/>
    <n v="0"/>
    <n v="0"/>
    <x v="24"/>
    <s v="Mike G.ReceivingKenny Odom"/>
    <n v="1"/>
    <n v="97"/>
  </r>
  <r>
    <x v="7"/>
    <x v="0"/>
    <x v="3"/>
    <x v="25"/>
    <x v="19"/>
    <s v="Tulane"/>
    <n v="0"/>
    <n v="0"/>
    <n v="0"/>
    <n v="0"/>
    <n v="0"/>
    <n v="0"/>
    <n v="0"/>
    <n v="9"/>
    <n v="0"/>
    <n v="0"/>
    <x v="25"/>
    <s v="Mike G.DefensiveMac Uihlein"/>
    <n v="1"/>
    <n v="9"/>
  </r>
  <r>
    <x v="8"/>
    <x v="0"/>
    <x v="0"/>
    <x v="26"/>
    <x v="20"/>
    <s v="North Carolina"/>
    <n v="284"/>
    <n v="3"/>
    <n v="0"/>
    <n v="2"/>
    <n v="0"/>
    <n v="0"/>
    <n v="0"/>
    <n v="0"/>
    <n v="0"/>
    <n v="0"/>
    <x v="26"/>
    <s v="SamPassingJosh Hoover"/>
    <n v="1"/>
    <n v="284"/>
  </r>
  <r>
    <x v="8"/>
    <x v="0"/>
    <x v="1"/>
    <x v="27"/>
    <x v="21"/>
    <s v="California"/>
    <n v="0"/>
    <n v="42"/>
    <n v="22"/>
    <n v="0"/>
    <n v="1"/>
    <n v="0"/>
    <n v="0"/>
    <n v="0"/>
    <n v="0"/>
    <n v="0"/>
    <x v="27"/>
    <s v="SamRushingAnthony Hankerson"/>
    <n v="1"/>
    <n v="42"/>
  </r>
  <r>
    <x v="8"/>
    <x v="0"/>
    <x v="2"/>
    <x v="28"/>
    <x v="5"/>
    <s v="Nevada"/>
    <n v="0"/>
    <n v="0"/>
    <n v="4"/>
    <n v="0"/>
    <n v="0"/>
    <n v="0"/>
    <n v="0"/>
    <n v="0"/>
    <n v="0"/>
    <n v="0"/>
    <x v="28"/>
    <s v="SamReceivingDevonte Ross"/>
    <n v="1"/>
    <n v="4"/>
  </r>
  <r>
    <x v="8"/>
    <x v="0"/>
    <x v="3"/>
    <x v="29"/>
    <x v="22"/>
    <s v="Indiana"/>
    <n v="0"/>
    <n v="0"/>
    <n v="0"/>
    <n v="0"/>
    <n v="0"/>
    <n v="0"/>
    <n v="0"/>
    <n v="5"/>
    <n v="0"/>
    <n v="0"/>
    <x v="7"/>
    <s v="SamDefensiveJason Henderson"/>
    <n v="1"/>
    <n v="5"/>
  </r>
  <r>
    <x v="9"/>
    <x v="0"/>
    <x v="0"/>
    <x v="30"/>
    <x v="23"/>
    <s v="FAU"/>
    <n v="258"/>
    <n v="0"/>
    <n v="0"/>
    <n v="3"/>
    <n v="0"/>
    <n v="0"/>
    <n v="0"/>
    <n v="0"/>
    <n v="0"/>
    <n v="0"/>
    <x v="29"/>
    <s v="BrianPassingMalik Washington"/>
    <n v="1"/>
    <n v="258"/>
  </r>
  <r>
    <x v="9"/>
    <x v="0"/>
    <x v="1"/>
    <x v="31"/>
    <x v="16"/>
    <s v="Southern Miss"/>
    <n v="0"/>
    <n v="79"/>
    <n v="12"/>
    <n v="0"/>
    <n v="1"/>
    <n v="0"/>
    <n v="0"/>
    <n v="0"/>
    <n v="0"/>
    <n v="0"/>
    <x v="30"/>
    <s v="BrianRushingDavon Booth"/>
    <n v="1"/>
    <n v="79"/>
  </r>
  <r>
    <x v="9"/>
    <x v="0"/>
    <x v="2"/>
    <x v="2"/>
    <x v="2"/>
    <s v="Florida State"/>
    <n v="0"/>
    <n v="0"/>
    <n v="30"/>
    <n v="0"/>
    <n v="0"/>
    <n v="0"/>
    <n v="0"/>
    <n v="0"/>
    <n v="0"/>
    <n v="0"/>
    <x v="2"/>
    <s v="BrianReceivingRyan williams"/>
    <n v="1"/>
    <n v="30"/>
  </r>
  <r>
    <x v="9"/>
    <x v="0"/>
    <x v="3"/>
    <x v="32"/>
    <x v="24"/>
    <s v="Clemson"/>
    <n v="0"/>
    <n v="0"/>
    <n v="0"/>
    <n v="0"/>
    <n v="0"/>
    <n v="0"/>
    <n v="0"/>
    <n v="2"/>
    <n v="0"/>
    <n v="0"/>
    <x v="20"/>
    <s v="BrianDefensiveWhit Weeks"/>
    <n v="1"/>
    <n v="2"/>
  </r>
  <r>
    <x v="10"/>
    <x v="0"/>
    <x v="0"/>
    <x v="33"/>
    <x v="11"/>
    <s v="UTSA"/>
    <n v="289"/>
    <n v="39"/>
    <n v="0"/>
    <n v="4"/>
    <n v="0"/>
    <n v="0"/>
    <n v="0"/>
    <n v="0"/>
    <n v="0"/>
    <n v="0"/>
    <x v="31"/>
    <s v="MoniPassingMarcel Reed"/>
    <n v="1"/>
    <n v="289"/>
  </r>
  <r>
    <x v="10"/>
    <x v="0"/>
    <x v="1"/>
    <x v="34"/>
    <x v="11"/>
    <s v="UTSA"/>
    <n v="0"/>
    <n v="19"/>
    <n v="-2"/>
    <n v="0"/>
    <n v="0"/>
    <n v="0"/>
    <n v="0"/>
    <n v="0"/>
    <n v="0"/>
    <n v="0"/>
    <x v="32"/>
    <s v="MoniRushingLe'Veon Moss"/>
    <n v="1"/>
    <n v="19"/>
  </r>
  <r>
    <x v="10"/>
    <x v="0"/>
    <x v="2"/>
    <x v="35"/>
    <x v="11"/>
    <s v="UTSA"/>
    <n v="0"/>
    <n v="0"/>
    <n v="72"/>
    <n v="0"/>
    <n v="0"/>
    <n v="1"/>
    <n v="2"/>
    <n v="0"/>
    <n v="0"/>
    <n v="0"/>
    <x v="33"/>
    <s v="MoniReceivingKevin Concepcion"/>
    <n v="1"/>
    <n v="72"/>
  </r>
  <r>
    <x v="10"/>
    <x v="0"/>
    <x v="3"/>
    <x v="36"/>
    <x v="11"/>
    <s v="UTSA"/>
    <n v="0"/>
    <n v="0"/>
    <n v="0"/>
    <n v="0"/>
    <n v="0"/>
    <n v="0"/>
    <n v="0"/>
    <n v="5"/>
    <n v="0"/>
    <n v="0"/>
    <x v="7"/>
    <s v="MoniDefensiveWill Lee III"/>
    <n v="1"/>
    <n v="5"/>
  </r>
  <r>
    <x v="11"/>
    <x v="0"/>
    <x v="0"/>
    <x v="37"/>
    <x v="7"/>
    <s v="Texas"/>
    <n v="126"/>
    <n v="2"/>
    <n v="0"/>
    <n v="1"/>
    <n v="0"/>
    <n v="0"/>
    <n v="0"/>
    <n v="0"/>
    <n v="0"/>
    <n v="0"/>
    <x v="34"/>
    <s v="HolliePassingJulian Sayin"/>
    <n v="1"/>
    <n v="126"/>
  </r>
  <r>
    <x v="11"/>
    <x v="0"/>
    <x v="1"/>
    <x v="38"/>
    <x v="25"/>
    <s v="Miami (FL)"/>
    <n v="0"/>
    <n v="33"/>
    <n v="26"/>
    <n v="0"/>
    <n v="0"/>
    <n v="0"/>
    <n v="0"/>
    <n v="0"/>
    <n v="0"/>
    <n v="0"/>
    <x v="35"/>
    <s v="HollieRushingJeremiyah Love"/>
    <n v="1"/>
    <n v="33"/>
  </r>
  <r>
    <x v="11"/>
    <x v="0"/>
    <x v="2"/>
    <x v="39"/>
    <x v="26"/>
    <s v="LSU"/>
    <n v="0"/>
    <n v="0"/>
    <n v="0"/>
    <n v="0"/>
    <n v="0"/>
    <n v="0"/>
    <n v="0"/>
    <n v="0"/>
    <n v="0"/>
    <n v="0"/>
    <x v="21"/>
    <s v="HollieReceivingAntonio Williams"/>
    <n v="1"/>
    <n v="0"/>
  </r>
  <r>
    <x v="11"/>
    <x v="0"/>
    <x v="3"/>
    <x v="40"/>
    <x v="27"/>
    <s v="Kennesaw State"/>
    <n v="0"/>
    <n v="0"/>
    <n v="0"/>
    <n v="0"/>
    <n v="0"/>
    <n v="0"/>
    <n v="0"/>
    <n v="9"/>
    <n v="0"/>
    <n v="0"/>
    <x v="25"/>
    <s v="HollieDefensiveNick Andersen"/>
    <n v="1"/>
    <n v="9"/>
  </r>
  <r>
    <x v="12"/>
    <x v="0"/>
    <x v="0"/>
    <x v="41"/>
    <x v="6"/>
    <s v="Maryland"/>
    <n v="228"/>
    <n v="-13"/>
    <n v="0"/>
    <n v="1"/>
    <n v="0"/>
    <n v="0"/>
    <n v="0"/>
    <n v="0"/>
    <n v="0"/>
    <n v="0"/>
    <x v="30"/>
    <s v="IanPassingCaden Veltkamp"/>
    <n v="1"/>
    <n v="228"/>
  </r>
  <r>
    <x v="12"/>
    <x v="0"/>
    <x v="1"/>
    <x v="42"/>
    <x v="23"/>
    <s v="FAU"/>
    <n v="0"/>
    <n v="25"/>
    <n v="14"/>
    <n v="0"/>
    <n v="0"/>
    <n v="0"/>
    <n v="0"/>
    <n v="0"/>
    <n v="0"/>
    <n v="0"/>
    <x v="20"/>
    <s v="IanRushingNolan Ray"/>
    <n v="1"/>
    <n v="25"/>
  </r>
  <r>
    <x v="12"/>
    <x v="0"/>
    <x v="2"/>
    <x v="6"/>
    <x v="6"/>
    <s v="Maryland"/>
    <n v="0"/>
    <n v="0"/>
    <n v="87"/>
    <n v="0"/>
    <n v="0"/>
    <n v="0"/>
    <n v="0"/>
    <n v="0"/>
    <n v="0"/>
    <n v="0"/>
    <x v="6"/>
    <s v="IanReceivingEaston Messer"/>
    <n v="1"/>
    <n v="87"/>
  </r>
  <r>
    <x v="12"/>
    <x v="0"/>
    <x v="3"/>
    <x v="43"/>
    <x v="23"/>
    <s v="FAU"/>
    <n v="0"/>
    <n v="0"/>
    <n v="0"/>
    <n v="0"/>
    <n v="0"/>
    <n v="0"/>
    <n v="2"/>
    <n v="10"/>
    <n v="1"/>
    <n v="0"/>
    <x v="36"/>
    <s v="IanDefensiveDaniel Wingate"/>
    <n v="1"/>
    <n v="10"/>
  </r>
  <r>
    <x v="13"/>
    <x v="0"/>
    <x v="0"/>
    <x v="44"/>
    <x v="28"/>
    <s v="CMU"/>
    <n v="308"/>
    <n v="-7"/>
    <n v="0"/>
    <n v="2"/>
    <n v="0"/>
    <n v="0"/>
    <n v="0"/>
    <n v="0"/>
    <n v="0"/>
    <n v="0"/>
    <x v="37"/>
    <s v="ChapaPassingWalker Eget"/>
    <n v="1"/>
    <n v="308"/>
  </r>
  <r>
    <x v="13"/>
    <x v="0"/>
    <x v="1"/>
    <x v="45"/>
    <x v="5"/>
    <s v="Nevada"/>
    <n v="0"/>
    <n v="43"/>
    <n v="2"/>
    <n v="0"/>
    <n v="1"/>
    <n v="0"/>
    <n v="0"/>
    <n v="0"/>
    <n v="0"/>
    <n v="0"/>
    <x v="38"/>
    <s v="ChapaRushingKaytron Allen"/>
    <n v="1"/>
    <n v="43"/>
  </r>
  <r>
    <x v="13"/>
    <x v="0"/>
    <x v="2"/>
    <x v="46"/>
    <x v="12"/>
    <s v="Old Dominion"/>
    <n v="0"/>
    <n v="0"/>
    <n v="52"/>
    <n v="0"/>
    <n v="0"/>
    <n v="0"/>
    <n v="0"/>
    <n v="0"/>
    <n v="0"/>
    <n v="0"/>
    <x v="39"/>
    <s v="ChapaReceivingOmar Cooper Jr."/>
    <n v="1"/>
    <n v="52"/>
  </r>
  <r>
    <x v="13"/>
    <x v="0"/>
    <x v="3"/>
    <x v="47"/>
    <x v="1"/>
    <s v="Auburn"/>
    <n v="0"/>
    <n v="0"/>
    <n v="0"/>
    <n v="0"/>
    <n v="0"/>
    <n v="0"/>
    <n v="0"/>
    <n v="6"/>
    <n v="0"/>
    <n v="0"/>
    <x v="18"/>
    <s v="ChapaDefensivePhoenix Jackson"/>
    <n v="1"/>
    <n v="6"/>
  </r>
  <r>
    <x v="14"/>
    <x v="0"/>
    <x v="0"/>
    <x v="44"/>
    <x v="28"/>
    <s v="CMU"/>
    <n v="308"/>
    <n v="-7"/>
    <n v="0"/>
    <n v="2"/>
    <n v="0"/>
    <n v="0"/>
    <n v="0"/>
    <n v="0"/>
    <n v="0"/>
    <n v="0"/>
    <x v="37"/>
    <s v="MarcPassingWalker Eget"/>
    <n v="1"/>
    <n v="308"/>
  </r>
  <r>
    <x v="14"/>
    <x v="0"/>
    <x v="1"/>
    <x v="48"/>
    <x v="7"/>
    <s v="Texas"/>
    <n v="0"/>
    <n v="20"/>
    <n v="0"/>
    <n v="0"/>
    <n v="0"/>
    <n v="0"/>
    <n v="0"/>
    <n v="0"/>
    <n v="0"/>
    <n v="0"/>
    <x v="40"/>
    <s v="MarcRushingJames Peoples"/>
    <n v="1"/>
    <n v="20"/>
  </r>
  <r>
    <x v="14"/>
    <x v="0"/>
    <x v="2"/>
    <x v="49"/>
    <x v="29"/>
    <s v="Colorado"/>
    <n v="0"/>
    <n v="34"/>
    <n v="24"/>
    <n v="0"/>
    <n v="0"/>
    <n v="0"/>
    <n v="0"/>
    <n v="0"/>
    <n v="0"/>
    <n v="0"/>
    <x v="41"/>
    <s v="MarcReceivingEric Rivers"/>
    <n v="1"/>
    <n v="24"/>
  </r>
  <r>
    <x v="14"/>
    <x v="0"/>
    <x v="3"/>
    <x v="20"/>
    <x v="13"/>
    <s v="Ohio State"/>
    <n v="0"/>
    <n v="0"/>
    <n v="0"/>
    <n v="0"/>
    <n v="0"/>
    <n v="0"/>
    <n v="0"/>
    <n v="2"/>
    <n v="0"/>
    <n v="0"/>
    <x v="20"/>
    <s v="MarcDefensiveColin Simmons"/>
    <n v="1"/>
    <n v="2"/>
  </r>
  <r>
    <x v="0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0"/>
    <x v="0"/>
    <x v="8"/>
    <x v="5"/>
    <s v="Nevada"/>
    <n v="217"/>
    <n v="20"/>
    <n v="0"/>
    <n v="1"/>
    <n v="0"/>
    <n v="0"/>
    <n v="0"/>
    <n v="0"/>
    <n v="0"/>
    <n v="0"/>
    <x v="8"/>
    <s v="ChrisPassingDrew Allar"/>
    <n v="1"/>
    <n v="217"/>
  </r>
  <r>
    <x v="15"/>
    <x v="0"/>
    <x v="1"/>
    <x v="34"/>
    <x v="11"/>
    <s v="UTSA"/>
    <n v="0"/>
    <n v="19"/>
    <n v="-2"/>
    <n v="0"/>
    <n v="0"/>
    <n v="0"/>
    <n v="0"/>
    <n v="0"/>
    <n v="0"/>
    <n v="0"/>
    <x v="32"/>
    <s v="ChrisRushingLe'Veon Moss"/>
    <n v="1"/>
    <n v="19"/>
  </r>
  <r>
    <x v="15"/>
    <x v="0"/>
    <x v="2"/>
    <x v="51"/>
    <x v="14"/>
    <s v="New Mexico"/>
    <n v="0"/>
    <n v="0"/>
    <n v="31"/>
    <n v="0"/>
    <n v="0"/>
    <n v="0"/>
    <n v="0"/>
    <n v="0"/>
    <n v="0"/>
    <n v="0"/>
    <x v="43"/>
    <s v="ChrisReceivingDonaven McCulley"/>
    <n v="1"/>
    <n v="31"/>
  </r>
  <r>
    <x v="15"/>
    <x v="0"/>
    <x v="3"/>
    <x v="52"/>
    <x v="2"/>
    <s v="Florida State"/>
    <n v="0"/>
    <n v="0"/>
    <n v="0"/>
    <n v="0"/>
    <n v="0"/>
    <n v="0"/>
    <n v="0"/>
    <n v="6"/>
    <n v="0"/>
    <n v="0"/>
    <x v="18"/>
    <s v="ChrisDefensiveDeontae Lawson"/>
    <n v="1"/>
    <n v="6"/>
  </r>
  <r>
    <x v="15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0"/>
    <x v="0"/>
    <x v="19"/>
    <x v="14"/>
    <s v="New Mexico"/>
    <n v="251"/>
    <n v="-5"/>
    <n v="0"/>
    <n v="1"/>
    <n v="0"/>
    <n v="0"/>
    <n v="0"/>
    <n v="0"/>
    <n v="0"/>
    <n v="0"/>
    <x v="19"/>
    <s v="JonathanPassingBryce Underwood"/>
    <n v="1"/>
    <n v="251"/>
  </r>
  <r>
    <x v="16"/>
    <x v="0"/>
    <x v="1"/>
    <x v="45"/>
    <x v="5"/>
    <s v="Nevada"/>
    <n v="0"/>
    <n v="43"/>
    <n v="2"/>
    <n v="0"/>
    <n v="1"/>
    <n v="0"/>
    <n v="0"/>
    <n v="0"/>
    <n v="0"/>
    <n v="0"/>
    <x v="38"/>
    <s v="JonathanRushingKaytron Allen"/>
    <n v="1"/>
    <n v="43"/>
  </r>
  <r>
    <x v="16"/>
    <x v="0"/>
    <x v="2"/>
    <x v="53"/>
    <x v="12"/>
    <s v="Old Dominion"/>
    <n v="0"/>
    <n v="0"/>
    <n v="44"/>
    <n v="0"/>
    <n v="0"/>
    <n v="0"/>
    <n v="0"/>
    <n v="0"/>
    <n v="0"/>
    <n v="0"/>
    <x v="44"/>
    <s v="JonathanReceivingElijah Sarratt"/>
    <n v="1"/>
    <n v="44"/>
  </r>
  <r>
    <x v="16"/>
    <x v="0"/>
    <x v="3"/>
    <x v="32"/>
    <x v="24"/>
    <s v="Clemson"/>
    <n v="0"/>
    <n v="0"/>
    <n v="0"/>
    <n v="0"/>
    <n v="0"/>
    <n v="0"/>
    <n v="0"/>
    <n v="2"/>
    <n v="0"/>
    <n v="0"/>
    <x v="20"/>
    <s v="JonathanDefensiveWhit Weeks"/>
    <n v="1"/>
    <n v="2"/>
  </r>
  <r>
    <x v="16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9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9">
        <item x="9"/>
        <item x="11"/>
        <item x="12"/>
        <item x="1"/>
        <item x="0"/>
        <item x="14"/>
        <item x="10"/>
        <item m="1" x="28"/>
        <item m="1" x="29"/>
        <item m="1" x="30"/>
        <item m="1" x="31"/>
        <item m="1" x="32"/>
        <item m="1" x="33"/>
        <item m="1" x="27"/>
        <item m="1" x="34"/>
        <item m="1" x="37"/>
        <item x="13"/>
        <item x="15"/>
        <item x="3"/>
        <item m="1" x="36"/>
        <item x="7"/>
        <item x="5"/>
        <item m="1" x="35"/>
        <item x="4"/>
        <item x="6"/>
        <item x="8"/>
        <item m="1" x="19"/>
        <item m="1" x="20"/>
        <item m="1" x="21"/>
        <item m="1" x="22"/>
        <item m="1" x="23"/>
        <item m="1" x="24"/>
        <item m="1" x="25"/>
        <item m="1" x="26"/>
        <item m="1" x="18"/>
        <item x="2"/>
        <item m="1" x="17"/>
        <item x="16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hier="-1"/>
  </pageFields>
  <dataFields count="1">
    <dataField name="Sum of Score" fld="16" baseField="1" baseItem="5" numFmtId="3"/>
  </dataFields>
  <formats count="36">
    <format dxfId="113">
      <pivotArea field="2" type="button" dataOnly="0" labelOnly="1" outline="0" axis="axisCol" fieldPosition="0"/>
    </format>
    <format dxfId="112">
      <pivotArea type="all" dataOnly="0" outline="0" fieldPosition="0"/>
    </format>
    <format dxfId="111">
      <pivotArea outline="0" collapsedLevelsAreSubtotals="1" fieldPosition="0"/>
    </format>
    <format dxfId="110">
      <pivotArea type="origin" dataOnly="0" labelOnly="1" outline="0" fieldPosition="0"/>
    </format>
    <format dxfId="109">
      <pivotArea field="2" type="button" dataOnly="0" labelOnly="1" outline="0" axis="axisCol" fieldPosition="0"/>
    </format>
    <format dxfId="108">
      <pivotArea type="topRight" dataOnly="0" labelOnly="1" outline="0" fieldPosition="0"/>
    </format>
    <format dxfId="107">
      <pivotArea field="1" type="button" dataOnly="0" labelOnly="1" outline="0" axis="axisRow" fieldPosition="0"/>
    </format>
    <format dxfId="106">
      <pivotArea dataOnly="0" labelOnly="1" fieldPosition="0">
        <references count="1">
          <reference field="1" count="0"/>
        </references>
      </pivotArea>
    </format>
    <format dxfId="105">
      <pivotArea dataOnly="0" labelOnly="1" grandRow="1" outline="0" fieldPosition="0"/>
    </format>
    <format dxfId="104">
      <pivotArea dataOnly="0" labelOnly="1" fieldPosition="0">
        <references count="1">
          <reference field="2" count="0"/>
        </references>
      </pivotArea>
    </format>
    <format dxfId="103">
      <pivotArea type="all" dataOnly="0" outline="0" fieldPosition="0"/>
    </format>
    <format dxfId="102">
      <pivotArea outline="0" collapsedLevelsAreSubtotals="1" fieldPosition="0"/>
    </format>
    <format dxfId="101">
      <pivotArea type="origin" dataOnly="0" labelOnly="1" outline="0" fieldPosition="0"/>
    </format>
    <format dxfId="100">
      <pivotArea field="2" type="button" dataOnly="0" labelOnly="1" outline="0" axis="axisCol" fieldPosition="0"/>
    </format>
    <format dxfId="99">
      <pivotArea type="topRight" dataOnly="0" labelOnly="1" outline="0" fieldPosition="0"/>
    </format>
    <format dxfId="98">
      <pivotArea field="1" type="button" dataOnly="0" labelOnly="1" outline="0" axis="axisRow" fieldPosition="0"/>
    </format>
    <format dxfId="97">
      <pivotArea dataOnly="0" labelOnly="1" fieldPosition="0">
        <references count="1">
          <reference field="1" count="0"/>
        </references>
      </pivotArea>
    </format>
    <format dxfId="96">
      <pivotArea dataOnly="0" labelOnly="1" grandRow="1" outline="0" fieldPosition="0"/>
    </format>
    <format dxfId="95">
      <pivotArea dataOnly="0" labelOnly="1" fieldPosition="0">
        <references count="1">
          <reference field="2" count="0"/>
        </references>
      </pivotArea>
    </format>
    <format dxfId="94">
      <pivotArea outline="0" collapsedLevelsAreSubtotals="1" fieldPosition="0"/>
    </format>
    <format dxfId="93">
      <pivotArea dataOnly="0" labelOnly="1" fieldPosition="0">
        <references count="1">
          <reference field="2" count="0"/>
        </references>
      </pivotArea>
    </format>
    <format dxfId="92">
      <pivotArea outline="0" collapsedLevelsAreSubtotals="1" fieldPosition="0"/>
    </format>
    <format dxfId="91">
      <pivotArea field="1" type="button" dataOnly="0" labelOnly="1" outline="0" axis="axisRow" fieldPosition="0"/>
    </format>
    <format dxfId="90">
      <pivotArea dataOnly="0" labelOnly="1" fieldPosition="0">
        <references count="1">
          <reference field="1" count="0"/>
        </references>
      </pivotArea>
    </format>
    <format dxfId="89">
      <pivotArea dataOnly="0" labelOnly="1" grandRow="1" outline="0" fieldPosition="0"/>
    </format>
    <format dxfId="88">
      <pivotArea dataOnly="0" labelOnly="1" fieldPosition="0">
        <references count="1">
          <reference field="2" count="0"/>
        </references>
      </pivotArea>
    </format>
    <format dxfId="87">
      <pivotArea type="origin" dataOnly="0" labelOnly="1" outline="0" fieldPosition="0"/>
    </format>
    <format dxfId="86">
      <pivotArea collapsedLevelsAreSubtotals="1" fieldPosition="0">
        <references count="1">
          <reference field="1" count="0"/>
        </references>
      </pivotArea>
    </format>
    <format dxfId="85">
      <pivotArea dataOnly="0" labelOnly="1" grandCol="1" outline="0" fieldPosition="0"/>
    </format>
    <format dxfId="84">
      <pivotArea dataOnly="0" labelOnly="1" grandCol="1" outline="0" fieldPosition="0"/>
    </format>
    <format dxfId="83">
      <pivotArea field="1" grandCol="1" collapsedLevelsAreSubtotals="1" axis="axisRow" fieldPosition="0">
        <references count="1">
          <reference field="1" count="0"/>
        </references>
      </pivotArea>
    </format>
    <format dxfId="82">
      <pivotArea dataOnly="0" labelOnly="1" grandCol="1" outline="0" fieldPosition="0"/>
    </format>
    <format dxfId="81">
      <pivotArea grandCol="1" outline="0" collapsedLevelsAreSubtotals="1" fieldPosition="0"/>
    </format>
    <format dxfId="80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9">
      <pivotArea field="0" type="button" dataOnly="0" labelOnly="1" outline="0" axis="axisPage" fieldPosition="0"/>
    </format>
    <format dxfId="78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9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Y20" firstHeaderRow="1" firstDataRow="2" firstDataCol="1"/>
  <pivotFields count="20">
    <pivotField axis="axisCol" showAll="0" sortType="ascending">
      <items count="39">
        <item x="9"/>
        <item x="13"/>
        <item x="15"/>
        <item m="1" x="35"/>
        <item x="5"/>
        <item x="6"/>
        <item x="11"/>
        <item x="12"/>
        <item x="1"/>
        <item x="0"/>
        <item m="1" x="17"/>
        <item x="16"/>
        <item x="2"/>
        <item x="14"/>
        <item m="1" x="37"/>
        <item x="7"/>
        <item x="3"/>
        <item x="10"/>
        <item m="1" x="19"/>
        <item m="1" x="28"/>
        <item m="1" x="29"/>
        <item m="1" x="30"/>
        <item m="1" x="31"/>
        <item m="1" x="32"/>
        <item m="1" x="33"/>
        <item m="1" x="18"/>
        <item m="1" x="20"/>
        <item m="1" x="21"/>
        <item m="1" x="22"/>
        <item m="1" x="23"/>
        <item m="1" x="24"/>
        <item m="1" x="25"/>
        <item m="1" x="26"/>
        <item m="1" x="27"/>
        <item x="8"/>
        <item m="1" x="34"/>
        <item x="4"/>
        <item m="1" x="36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7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1"/>
    </i>
    <i>
      <x v="12"/>
    </i>
    <i>
      <x v="13"/>
    </i>
    <i>
      <x v="15"/>
    </i>
    <i>
      <x v="16"/>
    </i>
    <i>
      <x v="17"/>
    </i>
    <i>
      <x v="34"/>
    </i>
    <i>
      <x v="36"/>
    </i>
  </colItems>
  <dataFields count="1">
    <dataField name="Sum of Score" fld="16" baseField="1" baseItem="9" numFmtId="3"/>
  </dataFields>
  <formats count="41">
    <format dxfId="154">
      <pivotArea field="0" type="button" dataOnly="0" labelOnly="1" outline="0" axis="axisCol" fieldPosition="0"/>
    </format>
    <format dxfId="153">
      <pivotArea collapsedLevelsAreSubtotals="1" fieldPosition="0">
        <references count="1">
          <reference field="1" count="0"/>
        </references>
      </pivotArea>
    </format>
    <format dxfId="152">
      <pivotArea dataOnly="0" labelOnly="1" fieldPosition="0">
        <references count="1">
          <reference field="0" count="0"/>
        </references>
      </pivotArea>
    </format>
    <format dxfId="151">
      <pivotArea grandRow="1" outline="0" collapsedLevelsAreSubtotals="1" fieldPosition="0"/>
    </format>
    <format dxfId="150">
      <pivotArea type="all" dataOnly="0" outline="0" fieldPosition="0"/>
    </format>
    <format dxfId="149">
      <pivotArea outline="0" collapsedLevelsAreSubtotals="1" fieldPosition="0"/>
    </format>
    <format dxfId="148">
      <pivotArea type="origin" dataOnly="0" labelOnly="1" outline="0" fieldPosition="0"/>
    </format>
    <format dxfId="147">
      <pivotArea field="0" type="button" dataOnly="0" labelOnly="1" outline="0" axis="axisCol" fieldPosition="0"/>
    </format>
    <format dxfId="146">
      <pivotArea type="topRight" dataOnly="0" labelOnly="1" outline="0" fieldPosition="0"/>
    </format>
    <format dxfId="145">
      <pivotArea field="1" type="button" dataOnly="0" labelOnly="1" outline="0" axis="axisRow" fieldPosition="0"/>
    </format>
    <format dxfId="144">
      <pivotArea dataOnly="0" labelOnly="1" fieldPosition="0">
        <references count="1">
          <reference field="1" count="0"/>
        </references>
      </pivotArea>
    </format>
    <format dxfId="143">
      <pivotArea dataOnly="0" labelOnly="1" grandRow="1" outline="0" fieldPosition="0"/>
    </format>
    <format dxfId="142">
      <pivotArea dataOnly="0" labelOnly="1" fieldPosition="0">
        <references count="1">
          <reference field="0" count="0"/>
        </references>
      </pivotArea>
    </format>
    <format dxfId="141">
      <pivotArea type="all" dataOnly="0" outline="0" fieldPosition="0"/>
    </format>
    <format dxfId="140">
      <pivotArea outline="0" collapsedLevelsAreSubtotals="1" fieldPosition="0"/>
    </format>
    <format dxfId="139">
      <pivotArea type="origin" dataOnly="0" labelOnly="1" outline="0" fieldPosition="0"/>
    </format>
    <format dxfId="138">
      <pivotArea field="0" type="button" dataOnly="0" labelOnly="1" outline="0" axis="axisCol" fieldPosition="0"/>
    </format>
    <format dxfId="137">
      <pivotArea type="topRight" dataOnly="0" labelOnly="1" outline="0" fieldPosition="0"/>
    </format>
    <format dxfId="136">
      <pivotArea field="1" type="button" dataOnly="0" labelOnly="1" outline="0" axis="axisRow" fieldPosition="0"/>
    </format>
    <format dxfId="135">
      <pivotArea dataOnly="0" labelOnly="1" fieldPosition="0">
        <references count="1">
          <reference field="1" count="0"/>
        </references>
      </pivotArea>
    </format>
    <format dxfId="134">
      <pivotArea dataOnly="0" labelOnly="1" grandRow="1" outline="0" fieldPosition="0"/>
    </format>
    <format dxfId="133">
      <pivotArea dataOnly="0" labelOnly="1" fieldPosition="0">
        <references count="1">
          <reference field="0" count="0"/>
        </references>
      </pivotArea>
    </format>
    <format dxfId="132">
      <pivotArea outline="0" collapsedLevelsAreSubtotals="1" fieldPosition="0"/>
    </format>
    <format dxfId="131">
      <pivotArea outline="0" collapsedLevelsAreSubtotals="1" fieldPosition="0"/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type="origin" dataOnly="0" labelOnly="1" outline="0" fieldPosition="0"/>
    </format>
    <format dxfId="127">
      <pivotArea field="0" type="button" dataOnly="0" labelOnly="1" outline="0" axis="axisCol" fieldPosition="0"/>
    </format>
    <format dxfId="126">
      <pivotArea type="topRight" dataOnly="0" labelOnly="1" outline="0" fieldPosition="0"/>
    </format>
    <format dxfId="125">
      <pivotArea field="1" type="button" dataOnly="0" labelOnly="1" outline="0" axis="axisRow" fieldPosition="0"/>
    </format>
    <format dxfId="124">
      <pivotArea dataOnly="0" labelOnly="1" fieldPosition="0">
        <references count="1">
          <reference field="1" count="0"/>
        </references>
      </pivotArea>
    </format>
    <format dxfId="123">
      <pivotArea dataOnly="0" labelOnly="1" grandRow="1" outline="0" fieldPosition="0"/>
    </format>
    <format dxfId="122">
      <pivotArea dataOnly="0" labelOnly="1" fieldPosition="0">
        <references count="1">
          <reference field="0" count="0"/>
        </references>
      </pivotArea>
    </format>
    <format dxfId="121">
      <pivotArea type="origin" dataOnly="0" labelOnly="1" outline="0" fieldPosition="0"/>
    </format>
    <format dxfId="120">
      <pivotArea collapsedLevelsAreSubtotals="1" fieldPosition="0">
        <references count="1">
          <reference field="1" count="0"/>
        </references>
      </pivotArea>
    </format>
    <format dxfId="119">
      <pivotArea collapsedLevelsAreSubtotals="1" fieldPosition="0">
        <references count="1">
          <reference field="1" count="0"/>
        </references>
      </pivotArea>
    </format>
    <format dxfId="118">
      <pivotArea outline="0" collapsedLevelsAreSubtotals="1" fieldPosition="0"/>
    </format>
    <format dxfId="117">
      <pivotArea collapsedLevelsAreSubtotals="1" fieldPosition="0">
        <references count="2">
          <reference field="0" count="1" selected="0">
            <x v="36"/>
          </reference>
          <reference field="1" count="4">
            <x v="3"/>
            <x v="4"/>
            <x v="5"/>
            <x v="6"/>
          </reference>
        </references>
      </pivotArea>
    </format>
    <format dxfId="116">
      <pivotArea collapsedLevelsAreSubtotals="1" fieldPosition="0">
        <references count="2">
          <reference field="0" count="1" selected="0">
            <x v="36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15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14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9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9">
        <item x="9"/>
        <item x="13"/>
        <item x="15"/>
        <item m="1" x="35"/>
        <item x="5"/>
        <item x="6"/>
        <item x="11"/>
        <item x="12"/>
        <item x="1"/>
        <item x="0"/>
        <item x="14"/>
        <item m="1" x="37"/>
        <item x="7"/>
        <item x="3"/>
        <item x="10"/>
        <item m="1" x="28"/>
        <item m="1" x="29"/>
        <item m="1" x="30"/>
        <item m="1" x="31"/>
        <item m="1" x="32"/>
        <item m="1" x="33"/>
        <item m="1" x="27"/>
        <item m="1" x="34"/>
        <item x="4"/>
        <item m="1" x="36"/>
        <item x="8"/>
        <item m="1" x="19"/>
        <item m="1" x="20"/>
        <item m="1" x="21"/>
        <item m="1" x="22"/>
        <item m="1" x="23"/>
        <item m="1" x="24"/>
        <item m="1" x="25"/>
        <item m="1" x="26"/>
        <item m="1" x="18"/>
        <item x="2"/>
        <item m="1" x="17"/>
        <item x="16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160">
      <pivotArea type="all" dataOnly="0" outline="0" fieldPosition="0"/>
    </format>
    <format dxfId="159">
      <pivotArea outline="0" collapsedLevelsAreSubtotals="1" fieldPosition="0"/>
    </format>
    <format dxfId="158">
      <pivotArea field="0" type="button" dataOnly="0" labelOnly="1" outline="0"/>
    </format>
    <format dxfId="157">
      <pivotArea outline="0" fieldPosition="0">
        <references count="1">
          <reference field="4294967294" count="1">
            <x v="0"/>
          </reference>
        </references>
      </pivotArea>
    </format>
    <format dxfId="156">
      <pivotArea field="2" type="button" dataOnly="0" labelOnly="1" outline="0" axis="axisRow" fieldPosition="0"/>
    </format>
    <format dxfId="155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9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8" firstHeaderRow="0" firstDataRow="1" firstDataCol="1"/>
  <pivotFields count="20">
    <pivotField axis="axisRow" compact="0" outline="0" showAll="0" sortType="ascending">
      <items count="39">
        <item x="9"/>
        <item x="13"/>
        <item x="15"/>
        <item m="1" x="35"/>
        <item x="5"/>
        <item x="6"/>
        <item x="11"/>
        <item x="12"/>
        <item x="1"/>
        <item x="0"/>
        <item x="14"/>
        <item m="1" x="37"/>
        <item x="7"/>
        <item x="3"/>
        <item x="10"/>
        <item m="1" x="28"/>
        <item m="1" x="29"/>
        <item m="1" x="30"/>
        <item m="1" x="31"/>
        <item m="1" x="32"/>
        <item m="1" x="33"/>
        <item m="1" x="27"/>
        <item m="1" x="34"/>
        <item x="4"/>
        <item m="1" x="36"/>
        <item x="8"/>
        <item m="1" x="19"/>
        <item m="1" x="20"/>
        <item m="1" x="21"/>
        <item m="1" x="22"/>
        <item m="1" x="23"/>
        <item m="1" x="24"/>
        <item m="1" x="25"/>
        <item m="1" x="26"/>
        <item m="1" x="18"/>
        <item x="2"/>
        <item m="1" x="17"/>
        <item x="1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7">
    <i>
      <x v="7"/>
    </i>
    <i>
      <x v="13"/>
    </i>
    <i>
      <x v="12"/>
    </i>
    <i>
      <x v="14"/>
    </i>
    <i>
      <x v="23"/>
    </i>
    <i>
      <x v="8"/>
    </i>
    <i>
      <x v="9"/>
    </i>
    <i>
      <x v="4"/>
    </i>
    <i>
      <x v="1"/>
    </i>
    <i>
      <x/>
    </i>
    <i>
      <x v="25"/>
    </i>
    <i>
      <x v="37"/>
    </i>
    <i>
      <x v="35"/>
    </i>
    <i>
      <x v="10"/>
    </i>
    <i>
      <x v="2"/>
    </i>
    <i>
      <x v="6"/>
    </i>
    <i>
      <x v="5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7" numFmtId="3"/>
  </dataFields>
  <formats count="14">
    <format dxfId="174">
      <pivotArea outline="0" fieldPosition="0">
        <references count="1">
          <reference field="4294967294" count="1" selected="0">
            <x v="1"/>
          </reference>
        </references>
      </pivotArea>
    </format>
    <format dxfId="1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2">
      <pivotArea outline="0" fieldPosition="0">
        <references count="1">
          <reference field="4294967294" count="1" selected="0">
            <x v="0"/>
          </reference>
        </references>
      </pivotArea>
    </format>
    <format dxfId="1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0">
      <pivotArea type="all" dataOnly="0" outline="0" fieldPosition="0"/>
    </format>
    <format dxfId="169">
      <pivotArea outline="0" collapsedLevelsAreSubtotals="1" fieldPosition="0"/>
    </format>
    <format dxfId="168">
      <pivotArea field="0" type="button" dataOnly="0" labelOnly="1" outline="0" axis="axisRow" fieldPosition="0"/>
    </format>
    <format dxfId="167">
      <pivotArea dataOnly="0" labelOnly="1" outline="0" fieldPosition="0">
        <references count="1">
          <reference field="0" count="0"/>
        </references>
      </pivotArea>
    </format>
    <format dxfId="16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5">
      <pivotArea outline="0" fieldPosition="0">
        <references count="1">
          <reference field="4294967294" count="1" selected="0">
            <x v="1"/>
          </reference>
        </references>
      </pivotArea>
    </format>
    <format dxfId="16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3">
      <pivotArea outline="0" fieldPosition="0">
        <references count="1">
          <reference field="4294967294" count="1" selected="0">
            <x v="2"/>
          </reference>
        </references>
      </pivotArea>
    </format>
    <format dxfId="162">
      <pivotArea outline="0" fieldPosition="0">
        <references count="1">
          <reference field="4294967294" count="1">
            <x v="1"/>
          </reference>
        </references>
      </pivotArea>
    </format>
    <format dxfId="161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9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157" firstHeaderRow="1" firstDataRow="1" firstDataCol="6"/>
  <pivotFields count="20">
    <pivotField axis="axisRow" compact="0" outline="0" showAll="0" defaultSubtotal="0">
      <items count="38">
        <item x="9"/>
        <item x="13"/>
        <item x="15"/>
        <item m="1" x="35"/>
        <item x="5"/>
        <item x="6"/>
        <item x="11"/>
        <item x="12"/>
        <item x="1"/>
        <item x="0"/>
        <item x="14"/>
        <item m="1" x="37"/>
        <item x="7"/>
        <item x="3"/>
        <item x="10"/>
        <item m="1" x="28"/>
        <item m="1" x="29"/>
        <item m="1" x="30"/>
        <item m="1" x="31"/>
        <item m="1" x="32"/>
        <item m="1" x="33"/>
        <item m="1" x="27"/>
        <item m="1" x="34"/>
        <item x="4"/>
        <item m="1" x="36"/>
        <item x="8"/>
        <item m="1" x="19"/>
        <item m="1" x="20"/>
        <item m="1" x="21"/>
        <item m="1" x="22"/>
        <item m="1" x="23"/>
        <item m="1" x="24"/>
        <item m="1" x="25"/>
        <item m="1" x="26"/>
        <item m="1" x="18"/>
        <item x="2"/>
        <item m="1" x="17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56">
        <item m="1" x="55"/>
        <item m="1" x="54"/>
        <item x="0"/>
        <item x="1"/>
        <item x="2"/>
        <item x="50"/>
        <item x="37"/>
        <item x="38"/>
        <item x="39"/>
        <item x="3"/>
        <item x="40"/>
        <item x="4"/>
        <item x="6"/>
        <item x="7"/>
        <item x="8"/>
        <item x="9"/>
        <item x="10"/>
        <item x="17"/>
        <item x="5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41"/>
        <item x="42"/>
        <item x="43"/>
        <item x="44"/>
        <item x="45"/>
        <item x="46"/>
        <item x="47"/>
        <item x="48"/>
        <item x="49"/>
        <item x="20"/>
        <item x="12"/>
        <item x="13"/>
        <item x="14"/>
        <item x="21"/>
        <item x="11"/>
        <item x="15"/>
        <item x="18"/>
        <item x="16"/>
        <item x="35"/>
        <item x="34"/>
        <item x="36"/>
        <item x="19"/>
        <item x="53"/>
        <item x="52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5">
        <item m="1" x="31"/>
        <item m="1" x="181"/>
        <item m="1" x="182"/>
        <item m="1" x="183"/>
        <item m="1" x="177"/>
        <item m="1" x="47"/>
        <item x="13"/>
        <item m="1" x="59"/>
        <item m="1" x="99"/>
        <item m="1" x="46"/>
        <item m="1" x="70"/>
        <item m="1" x="39"/>
        <item m="1" x="68"/>
        <item x="16"/>
        <item m="1" x="36"/>
        <item m="1" x="51"/>
        <item x="14"/>
        <item m="1" x="42"/>
        <item m="1" x="37"/>
        <item x="24"/>
        <item x="23"/>
        <item x="7"/>
        <item x="2"/>
        <item m="1" x="150"/>
        <item x="5"/>
        <item m="1" x="53"/>
        <item x="20"/>
        <item m="1" x="32"/>
        <item m="1" x="126"/>
        <item m="1" x="163"/>
        <item m="1" x="81"/>
        <item x="4"/>
        <item x="26"/>
        <item m="1" x="34"/>
        <item m="1" x="44"/>
        <item m="1" x="133"/>
        <item x="8"/>
        <item x="22"/>
        <item m="1" x="171"/>
        <item x="21"/>
        <item x="11"/>
        <item m="1" x="153"/>
        <item m="1" x="56"/>
        <item m="1" x="41"/>
        <item m="1" x="62"/>
        <item m="1" x="73"/>
        <item m="1" x="94"/>
        <item x="18"/>
        <item m="1" x="72"/>
        <item m="1" x="87"/>
        <item x="27"/>
        <item x="0"/>
        <item m="1" x="96"/>
        <item m="1" x="174"/>
        <item m="1" x="79"/>
        <item m="1" x="104"/>
        <item m="1" x="71"/>
        <item m="1" x="118"/>
        <item m="1" x="124"/>
        <item m="1" x="180"/>
        <item m="1" x="164"/>
        <item m="1" x="76"/>
        <item m="1" x="170"/>
        <item m="1" x="93"/>
        <item m="1" x="48"/>
        <item m="1" x="61"/>
        <item x="17"/>
        <item m="1" x="172"/>
        <item x="6"/>
        <item m="1" x="67"/>
        <item m="1" x="103"/>
        <item m="1" x="84"/>
        <item m="1" x="122"/>
        <item x="9"/>
        <item m="1" x="75"/>
        <item m="1" x="179"/>
        <item x="29"/>
        <item m="1" x="90"/>
        <item m="1" x="52"/>
        <item m="1" x="40"/>
        <item m="1" x="65"/>
        <item x="25"/>
        <item x="12"/>
        <item m="1" x="102"/>
        <item m="1" x="74"/>
        <item m="1" x="157"/>
        <item m="1" x="175"/>
        <item m="1" x="50"/>
        <item m="1" x="77"/>
        <item m="1" x="88"/>
        <item m="1" x="148"/>
        <item m="1" x="100"/>
        <item m="1" x="173"/>
        <item m="1" x="167"/>
        <item m="1" x="98"/>
        <item x="19"/>
        <item m="1" x="83"/>
        <item m="1" x="184"/>
        <item m="1" x="178"/>
        <item m="1" x="82"/>
        <item x="3"/>
        <item m="1" x="60"/>
        <item m="1" x="85"/>
        <item x="28"/>
        <item m="1" x="57"/>
        <item m="1" x="91"/>
        <item m="1" x="58"/>
        <item m="1" x="80"/>
        <item m="1" x="38"/>
        <item m="1" x="160"/>
        <item m="1" x="78"/>
        <item x="15"/>
        <item m="1" x="89"/>
        <item m="1" x="158"/>
        <item m="1" x="176"/>
        <item m="1" x="33"/>
        <item m="1" x="168"/>
        <item m="1" x="161"/>
        <item x="1"/>
        <item m="1" x="95"/>
        <item m="1" x="107"/>
        <item m="1" x="159"/>
        <item m="1" x="97"/>
        <item m="1" x="162"/>
        <item m="1" x="69"/>
        <item m="1" x="49"/>
        <item m="1" x="142"/>
        <item m="1" x="55"/>
        <item m="1" x="165"/>
        <item m="1" x="166"/>
        <item m="1" x="169"/>
        <item m="1" x="101"/>
        <item m="1" x="63"/>
        <item m="1" x="54"/>
        <item m="1" x="35"/>
        <item m="1" x="43"/>
        <item m="1" x="45"/>
        <item m="1" x="64"/>
        <item m="1" x="66"/>
        <item x="10"/>
        <item m="1" x="86"/>
        <item m="1" x="92"/>
        <item m="1" x="105"/>
        <item m="1" x="106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9"/>
        <item m="1" x="120"/>
        <item m="1" x="121"/>
        <item m="1" x="123"/>
        <item m="1" x="125"/>
        <item m="1" x="127"/>
        <item m="1" x="128"/>
        <item m="1" x="129"/>
        <item m="1" x="130"/>
        <item m="1" x="131"/>
        <item m="1" x="132"/>
        <item m="1" x="134"/>
        <item m="1" x="135"/>
        <item m="1" x="136"/>
        <item m="1" x="137"/>
        <item m="1" x="138"/>
        <item m="1" x="139"/>
        <item m="1" x="140"/>
        <item m="1" x="141"/>
        <item m="1" x="143"/>
        <item m="1" x="144"/>
        <item m="1" x="145"/>
        <item m="1" x="146"/>
        <item m="1" x="147"/>
        <item m="1" x="149"/>
        <item m="1" x="151"/>
        <item m="1" x="152"/>
        <item m="1" x="156"/>
        <item m="1" x="154"/>
        <item m="1" x="155"/>
        <item x="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6">
        <item m="1" x="304"/>
        <item m="1" x="592"/>
        <item m="1" x="553"/>
        <item m="1" x="626"/>
        <item m="1" x="305"/>
        <item m="1" x="422"/>
        <item m="1" x="48"/>
        <item m="1" x="545"/>
        <item m="1" x="631"/>
        <item m="1" x="59"/>
        <item m="1" x="675"/>
        <item m="1" x="268"/>
        <item m="1" x="153"/>
        <item m="1" x="207"/>
        <item m="1" x="499"/>
        <item m="1" x="464"/>
        <item x="36"/>
        <item m="1" x="264"/>
        <item m="1" x="477"/>
        <item m="1" x="359"/>
        <item m="1" x="522"/>
        <item m="1" x="452"/>
        <item m="1" x="546"/>
        <item m="1" x="500"/>
        <item m="1" x="211"/>
        <item m="1" x="566"/>
        <item m="1" x="518"/>
        <item m="1" x="137"/>
        <item m="1" x="444"/>
        <item m="1" x="465"/>
        <item m="1" x="652"/>
        <item m="1" x="193"/>
        <item m="1" x="303"/>
        <item m="1" x="576"/>
        <item m="1" x="463"/>
        <item m="1" x="367"/>
        <item m="1" x="467"/>
        <item m="1" x="450"/>
        <item m="1" x="349"/>
        <item m="1" x="660"/>
        <item m="1" x="128"/>
        <item m="1" x="168"/>
        <item m="1" x="236"/>
        <item m="1" x="261"/>
        <item m="1" x="124"/>
        <item m="1" x="532"/>
        <item m="1" x="278"/>
        <item m="1" x="293"/>
        <item m="1" x="333"/>
        <item m="1" x="600"/>
        <item m="1" x="194"/>
        <item m="1" x="400"/>
        <item m="1" x="60"/>
        <item m="1" x="432"/>
        <item m="1" x="608"/>
        <item m="1" x="232"/>
        <item m="1" x="627"/>
        <item m="1" x="119"/>
        <item m="1" x="424"/>
        <item m="1" x="260"/>
        <item m="1" x="327"/>
        <item m="1" x="665"/>
        <item m="1" x="360"/>
        <item m="1" x="155"/>
        <item m="1" x="457"/>
        <item m="1" x="353"/>
        <item m="1" x="350"/>
        <item m="1" x="281"/>
        <item m="1" x="613"/>
        <item m="1" x="314"/>
        <item m="1" x="469"/>
        <item m="1" x="298"/>
        <item m="1" x="558"/>
        <item m="1" x="234"/>
        <item m="1" x="156"/>
        <item m="1" x="567"/>
        <item m="1" x="510"/>
        <item m="1" x="352"/>
        <item m="1" x="526"/>
        <item x="13"/>
        <item m="1" x="249"/>
        <item m="1" x="223"/>
        <item m="1" x="116"/>
        <item m="1" x="103"/>
        <item m="1" x="258"/>
        <item m="1" x="212"/>
        <item m="1" x="401"/>
        <item m="1" x="56"/>
        <item m="1" x="357"/>
        <item m="1" x="354"/>
        <item m="1" x="502"/>
        <item m="1" x="138"/>
        <item m="1" x="141"/>
        <item m="1" x="610"/>
        <item m="1" x="276"/>
        <item m="1" x="365"/>
        <item m="1" x="183"/>
        <item m="1" x="622"/>
        <item m="1" x="175"/>
        <item m="1" x="219"/>
        <item m="1" x="221"/>
        <item m="1" x="588"/>
        <item m="1" x="316"/>
        <item m="1" x="157"/>
        <item m="1" x="516"/>
        <item m="1" x="337"/>
        <item m="1" x="248"/>
        <item m="1" x="147"/>
        <item m="1" x="324"/>
        <item m="1" x="387"/>
        <item m="1" x="129"/>
        <item m="1" x="94"/>
        <item m="1" x="89"/>
        <item m="1" x="321"/>
        <item m="1" x="113"/>
        <item m="1" x="252"/>
        <item m="1" x="142"/>
        <item m="1" x="415"/>
        <item m="1" x="658"/>
        <item m="1" x="196"/>
        <item m="1" x="182"/>
        <item m="1" x="541"/>
        <item m="1" x="515"/>
        <item m="1" x="676"/>
        <item m="1" x="406"/>
        <item m="1" x="240"/>
        <item m="1" x="448"/>
        <item m="1" x="307"/>
        <item m="1" x="351"/>
        <item m="1" x="383"/>
        <item m="1" x="213"/>
        <item m="1" x="266"/>
        <item m="1" x="355"/>
        <item m="1" x="256"/>
        <item m="1" x="362"/>
        <item m="1" x="216"/>
        <item m="1" x="319"/>
        <item m="1" x="423"/>
        <item m="1" x="343"/>
        <item m="1" x="151"/>
        <item m="1" x="611"/>
        <item m="1" x="325"/>
        <item m="1" x="560"/>
        <item m="1" x="83"/>
        <item m="1" x="271"/>
        <item m="1" x="488"/>
        <item m="1" x="493"/>
        <item m="1" x="162"/>
        <item m="1" x="184"/>
        <item m="1" x="68"/>
        <item m="1" x="126"/>
        <item m="1" x="150"/>
        <item m="1" x="313"/>
        <item x="33"/>
        <item m="1" x="102"/>
        <item m="1" x="447"/>
        <item m="1" x="148"/>
        <item m="1" x="542"/>
        <item m="1" x="345"/>
        <item m="1" x="206"/>
        <item m="1" x="171"/>
        <item m="1" x="380"/>
        <item m="1" x="55"/>
        <item m="1" x="226"/>
        <item m="1" x="210"/>
        <item m="1" x="245"/>
        <item m="1" x="105"/>
        <item m="1" x="649"/>
        <item m="1" x="192"/>
        <item m="1" x="80"/>
        <item m="1" x="214"/>
        <item m="1" x="609"/>
        <item m="1" x="95"/>
        <item m="1" x="317"/>
        <item m="1" x="296"/>
        <item m="1" x="282"/>
        <item m="1" x="334"/>
        <item m="1" x="340"/>
        <item m="1" x="370"/>
        <item m="1" x="373"/>
        <item m="1" x="605"/>
        <item m="1" x="433"/>
        <item m="1" x="208"/>
        <item m="1" x="267"/>
        <item x="31"/>
        <item m="1" x="47"/>
        <item m="1" x="189"/>
        <item m="1" x="487"/>
        <item m="1" x="377"/>
        <item m="1" x="291"/>
        <item m="1" x="503"/>
        <item m="1" x="379"/>
        <item m="1" x="115"/>
        <item x="3"/>
        <item m="1" x="195"/>
        <item m="1" x="205"/>
        <item m="1" x="366"/>
        <item m="1" x="238"/>
        <item m="1" x="519"/>
        <item m="1" x="114"/>
        <item m="1" x="372"/>
        <item m="1" x="439"/>
        <item m="1" x="177"/>
        <item m="1" x="243"/>
        <item m="1" x="169"/>
        <item m="1" x="309"/>
        <item m="1" x="165"/>
        <item m="1" x="478"/>
        <item m="1" x="358"/>
        <item m="1" x="133"/>
        <item m="1" x="106"/>
        <item m="1" x="237"/>
        <item m="1" x="468"/>
        <item m="1" x="67"/>
        <item m="1" x="578"/>
        <item m="1" x="280"/>
        <item m="1" x="587"/>
        <item m="1" x="130"/>
        <item m="1" x="603"/>
        <item m="1" x="254"/>
        <item m="1" x="227"/>
        <item m="1" x="235"/>
        <item m="1" x="339"/>
        <item m="1" x="49"/>
        <item m="1" x="470"/>
        <item m="1" x="311"/>
        <item x="37"/>
        <item m="1" x="285"/>
        <item m="1" x="431"/>
        <item m="1" x="185"/>
        <item m="1" x="222"/>
        <item m="1" x="568"/>
        <item m="1" x="86"/>
        <item m="1" x="306"/>
        <item m="1" x="328"/>
        <item m="1" x="251"/>
        <item m="1" x="74"/>
        <item m="1" x="677"/>
        <item m="1" x="623"/>
        <item m="1" x="229"/>
        <item m="1" x="346"/>
        <item m="1" x="92"/>
        <item m="1" x="378"/>
        <item m="1" x="132"/>
        <item m="1" x="647"/>
        <item x="4"/>
        <item m="1" x="315"/>
        <item x="29"/>
        <item m="1" x="527"/>
        <item m="1" x="331"/>
        <item m="1" x="250"/>
        <item m="1" x="123"/>
        <item x="26"/>
        <item m="1" x="376"/>
        <item m="1" x="638"/>
        <item m="1" x="204"/>
        <item m="1" x="224"/>
        <item m="1" x="255"/>
        <item m="1" x="201"/>
        <item m="1" x="76"/>
        <item m="1" x="498"/>
        <item m="1" x="335"/>
        <item m="1" x="270"/>
        <item m="1" x="344"/>
        <item x="12"/>
        <item m="1" x="670"/>
        <item m="1" x="396"/>
        <item m="1" x="231"/>
        <item m="1" x="581"/>
        <item m="1" x="209"/>
        <item m="1" x="284"/>
        <item m="1" x="52"/>
        <item m="1" x="491"/>
        <item m="1" x="320"/>
        <item m="1" x="152"/>
        <item m="1" x="122"/>
        <item m="1" x="53"/>
        <item m="1" x="666"/>
        <item m="1" x="167"/>
        <item m="1" x="511"/>
        <item m="1" x="140"/>
        <item m="1" x="230"/>
        <item m="1" x="72"/>
        <item m="1" x="458"/>
        <item m="1" x="181"/>
        <item m="1" x="247"/>
        <item m="1" x="483"/>
        <item m="1" x="81"/>
        <item m="1" x="523"/>
        <item m="1" x="589"/>
        <item m="1" x="178"/>
        <item m="1" x="614"/>
        <item m="1" x="139"/>
        <item m="1" x="533"/>
        <item m="1" x="561"/>
        <item m="1" x="624"/>
        <item m="1" x="144"/>
        <item m="1" x="543"/>
        <item m="1" x="188"/>
        <item x="0"/>
        <item m="1" x="215"/>
        <item m="1" x="166"/>
        <item x="22"/>
        <item m="1" x="486"/>
        <item m="1" x="203"/>
        <item m="1" x="671"/>
        <item m="1" x="425"/>
        <item m="1" x="63"/>
        <item m="1" x="199"/>
        <item x="24"/>
        <item m="1" x="179"/>
        <item m="1" x="438"/>
        <item m="1" x="218"/>
        <item m="1" x="161"/>
        <item m="1" x="265"/>
        <item m="1" x="158"/>
        <item m="1" x="482"/>
        <item m="1" x="667"/>
        <item m="1" x="290"/>
        <item m="1" x="579"/>
        <item x="17"/>
        <item m="1" x="490"/>
        <item m="1" x="411"/>
        <item m="1" x="45"/>
        <item x="19"/>
        <item m="1" x="375"/>
        <item m="1" x="186"/>
        <item m="1" x="134"/>
        <item m="1" x="524"/>
        <item m="1" x="590"/>
        <item m="1" x="118"/>
        <item m="1" x="110"/>
        <item m="1" x="61"/>
        <item m="1" x="246"/>
        <item m="1" x="461"/>
        <item m="1" x="170"/>
        <item m="1" x="253"/>
        <item m="1" x="242"/>
        <item m="1" x="287"/>
        <item m="1" x="65"/>
        <item m="1" x="496"/>
        <item m="1" x="300"/>
        <item m="1" x="330"/>
        <item m="1" x="374"/>
        <item m="1" x="381"/>
        <item m="1" x="453"/>
        <item m="1" x="127"/>
        <item m="1" x="51"/>
        <item m="1" x="82"/>
        <item m="1" x="550"/>
        <item x="30"/>
        <item m="1" x="569"/>
        <item m="1" x="85"/>
        <item m="1" x="440"/>
        <item m="1" x="112"/>
        <item m="1" x="429"/>
        <item m="1" x="672"/>
        <item m="1" x="263"/>
        <item x="15"/>
        <item m="1" x="512"/>
        <item m="1" x="97"/>
        <item m="1" x="495"/>
        <item x="8"/>
        <item m="1" x="312"/>
        <item m="1" x="111"/>
        <item m="1" x="347"/>
        <item x="16"/>
        <item m="1" x="507"/>
        <item m="1" x="62"/>
        <item m="1" x="520"/>
        <item m="1" x="131"/>
        <item m="1" x="121"/>
        <item x="5"/>
        <item m="1" x="678"/>
        <item m="1" x="336"/>
        <item m="1" x="437"/>
        <item m="1" x="326"/>
        <item m="1" x="528"/>
        <item m="1" x="420"/>
        <item m="1" x="348"/>
        <item m="1" x="668"/>
        <item m="1" x="289"/>
        <item m="1" x="369"/>
        <item m="1" x="299"/>
        <item m="1" x="634"/>
        <item m="1" x="159"/>
        <item m="1" x="190"/>
        <item x="25"/>
        <item m="1" x="135"/>
        <item m="1" x="682"/>
        <item m="1" x="443"/>
        <item m="1" x="109"/>
        <item m="1" x="386"/>
        <item m="1" x="93"/>
        <item m="1" x="272"/>
        <item x="23"/>
        <item m="1" x="217"/>
        <item m="1" x="489"/>
        <item m="1" x="341"/>
        <item m="1" x="449"/>
        <item m="1" x="323"/>
        <item m="1" x="591"/>
        <item m="1" x="172"/>
        <item m="1" x="554"/>
        <item m="1" x="174"/>
        <item m="1" x="397"/>
        <item m="1" x="295"/>
        <item m="1" x="233"/>
        <item m="1" x="277"/>
        <item m="1" x="70"/>
        <item m="1" x="107"/>
        <item m="1" x="548"/>
        <item m="1" x="145"/>
        <item m="1" x="562"/>
        <item m="1" x="87"/>
        <item m="1" x="460"/>
        <item m="1" x="84"/>
        <item m="1" x="529"/>
        <item m="1" x="117"/>
        <item m="1" x="77"/>
        <item m="1" x="275"/>
        <item m="1" x="414"/>
        <item m="1" x="329"/>
        <item m="1" x="200"/>
        <item m="1" x="342"/>
        <item m="1" x="187"/>
        <item m="1" x="239"/>
        <item x="38"/>
        <item m="1" x="494"/>
        <item x="27"/>
        <item m="1" x="356"/>
        <item m="1" x="475"/>
        <item m="1" x="164"/>
        <item m="1" x="673"/>
        <item m="1" x="136"/>
        <item m="1" x="619"/>
        <item m="1" x="322"/>
        <item m="1" x="446"/>
        <item m="1" x="75"/>
        <item x="6"/>
        <item m="1" x="274"/>
        <item m="1" x="455"/>
        <item m="1" x="104"/>
        <item m="1" x="292"/>
        <item m="1" x="88"/>
        <item m="1" x="202"/>
        <item m="1" x="228"/>
        <item m="1" x="430"/>
        <item m="1" x="225"/>
        <item m="1" x="485"/>
        <item m="1" x="301"/>
        <item m="1" x="641"/>
        <item m="1" x="405"/>
        <item m="1" x="180"/>
        <item m="1" x="269"/>
        <item m="1" x="101"/>
        <item m="1" x="556"/>
        <item m="1" x="220"/>
        <item m="1" x="571"/>
        <item x="34"/>
        <item m="1" x="390"/>
        <item m="1" x="54"/>
        <item m="1" x="601"/>
        <item m="1" x="551"/>
        <item m="1" x="46"/>
        <item x="18"/>
        <item m="1" x="517"/>
        <item x="10"/>
        <item m="1" x="474"/>
        <item m="1" x="653"/>
        <item m="1" x="173"/>
        <item m="1" x="459"/>
        <item m="1" x="441"/>
        <item m="1" x="620"/>
        <item m="1" x="416"/>
        <item m="1" x="79"/>
        <item m="1" x="513"/>
        <item m="1" x="273"/>
        <item m="1" x="394"/>
        <item m="1" x="525"/>
        <item m="1" x="395"/>
        <item m="1" x="648"/>
        <item m="1" x="149"/>
        <item m="1" x="538"/>
        <item m="1" x="661"/>
        <item m="1" x="604"/>
        <item m="1" x="454"/>
        <item m="1" x="310"/>
        <item m="1" x="58"/>
        <item m="1" x="480"/>
        <item m="1" x="279"/>
        <item m="1" x="659"/>
        <item m="1" x="476"/>
        <item m="1" x="332"/>
        <item x="7"/>
        <item m="1" x="259"/>
        <item m="1" x="436"/>
        <item m="1" x="363"/>
        <item m="1" x="198"/>
        <item m="1" x="163"/>
        <item m="1" x="241"/>
        <item m="1" x="643"/>
        <item m="1" x="427"/>
        <item m="1" x="160"/>
        <item m="1" x="398"/>
        <item m="1" x="64"/>
        <item m="1" x="574"/>
        <item m="1" x="66"/>
        <item m="1" x="244"/>
        <item x="1"/>
        <item m="1" x="412"/>
        <item m="1" x="593"/>
        <item m="1" x="91"/>
        <item m="1" x="98"/>
        <item x="39"/>
        <item m="1" x="413"/>
        <item m="1" x="286"/>
        <item m="1" x="617"/>
        <item x="11"/>
        <item m="1" x="382"/>
        <item m="1" x="497"/>
        <item m="1" x="580"/>
        <item m="1" x="404"/>
        <item m="1" x="302"/>
        <item x="9"/>
        <item m="1" x="508"/>
        <item m="1" x="471"/>
        <item m="1" x="262"/>
        <item m="1" x="435"/>
        <item x="44"/>
        <item m="1" x="78"/>
        <item m="1" x="628"/>
        <item m="1" x="197"/>
        <item m="1" x="462"/>
        <item m="1" x="409"/>
        <item m="1" x="108"/>
        <item m="1" x="586"/>
        <item m="1" x="531"/>
        <item m="1" x="654"/>
        <item m="1" x="410"/>
        <item m="1" x="575"/>
        <item m="1" x="547"/>
        <item m="1" x="154"/>
        <item m="1" x="50"/>
        <item m="1" x="191"/>
        <item m="1" x="650"/>
        <item m="1" x="120"/>
        <item m="1" x="514"/>
        <item m="1" x="639"/>
        <item m="1" x="582"/>
        <item m="1" x="557"/>
        <item x="35"/>
        <item m="1" x="391"/>
        <item m="1" x="146"/>
        <item m="1" x="662"/>
        <item m="1" x="635"/>
        <item x="43"/>
        <item m="1" x="418"/>
        <item x="2"/>
        <item m="1" x="615"/>
        <item m="1" x="99"/>
        <item m="1" x="421"/>
        <item m="1" x="632"/>
        <item m="1" x="456"/>
        <item x="14"/>
        <item m="1" x="645"/>
        <item m="1" x="472"/>
        <item m="1" x="338"/>
        <item m="1" x="534"/>
        <item x="20"/>
        <item m="1" x="596"/>
        <item x="41"/>
        <item m="1" x="442"/>
        <item m="1" x="679"/>
        <item m="1" x="143"/>
        <item m="1" x="563"/>
        <item m="1" x="361"/>
        <item m="1" x="594"/>
        <item m="1" x="283"/>
        <item x="40"/>
        <item m="1" x="584"/>
        <item x="32"/>
        <item m="1" x="385"/>
        <item m="1" x="651"/>
        <item m="1" x="308"/>
        <item m="1" x="544"/>
        <item m="1" x="606"/>
        <item m="1" x="90"/>
        <item m="1" x="69"/>
        <item m="1" x="572"/>
        <item m="1" x="297"/>
        <item m="1" x="663"/>
        <item m="1" x="636"/>
        <item m="1" x="257"/>
        <item m="1" x="71"/>
        <item m="1" x="73"/>
        <item m="1" x="537"/>
        <item m="1" x="96"/>
        <item m="1" x="552"/>
        <item m="1" x="57"/>
        <item m="1" x="393"/>
        <item m="1" x="612"/>
        <item m="1" x="125"/>
        <item m="1" x="505"/>
        <item m="1" x="371"/>
        <item m="1" x="451"/>
        <item m="1" x="100"/>
        <item m="1" x="644"/>
        <item m="1" x="318"/>
        <item x="28"/>
        <item m="1" x="417"/>
        <item m="1" x="595"/>
        <item m="1" x="294"/>
        <item m="1" x="530"/>
        <item m="1" x="176"/>
        <item x="21"/>
        <item m="1" x="364"/>
        <item m="1" x="583"/>
        <item m="1" x="288"/>
        <item m="1" x="402"/>
        <item m="1" x="445"/>
        <item m="1" x="368"/>
        <item m="1" x="685"/>
        <item m="1" x="616"/>
        <item m="1" x="570"/>
        <item m="1" x="509"/>
        <item m="1" x="633"/>
        <item m="1" x="683"/>
        <item m="1" x="535"/>
        <item m="1" x="657"/>
        <item m="1" x="597"/>
        <item m="1" x="577"/>
        <item m="1" x="549"/>
        <item m="1" x="680"/>
        <item m="1" x="434"/>
        <item m="1" x="564"/>
        <item m="1" x="655"/>
        <item m="1" x="642"/>
        <item m="1" x="559"/>
        <item m="1" x="428"/>
        <item m="1" x="640"/>
        <item m="1" x="607"/>
        <item m="1" x="501"/>
        <item m="1" x="618"/>
        <item m="1" x="539"/>
        <item m="1" x="637"/>
        <item m="1" x="466"/>
        <item m="1" x="408"/>
        <item m="1" x="407"/>
        <item m="1" x="602"/>
        <item m="1" x="521"/>
        <item m="1" x="684"/>
        <item m="1" x="389"/>
        <item m="1" x="506"/>
        <item m="1" x="629"/>
        <item m="1" x="598"/>
        <item m="1" x="399"/>
        <item m="1" x="479"/>
        <item m="1" x="656"/>
        <item m="1" x="419"/>
        <item m="1" x="674"/>
        <item m="1" x="585"/>
        <item m="1" x="621"/>
        <item m="1" x="573"/>
        <item m="1" x="669"/>
        <item m="1" x="426"/>
        <item m="1" x="540"/>
        <item m="1" x="664"/>
        <item m="1" x="481"/>
        <item m="1" x="555"/>
        <item m="1" x="484"/>
        <item m="1" x="388"/>
        <item m="1" x="403"/>
        <item m="1" x="646"/>
        <item m="1" x="473"/>
        <item m="1" x="536"/>
        <item m="1" x="630"/>
        <item m="1" x="599"/>
        <item m="1" x="681"/>
        <item m="1" x="565"/>
        <item m="1" x="392"/>
        <item m="1" x="504"/>
        <item m="1" x="625"/>
        <item m="1" x="384"/>
        <item m="1" x="492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156">
    <i>
      <x v="16"/>
      <x v="33"/>
      <x v="20"/>
      <x/>
      <x v="7"/>
      <x v="1"/>
    </i>
    <i>
      <x v="79"/>
      <x v="42"/>
      <x v="73"/>
      <x v="3"/>
      <x v="13"/>
      <x v="1"/>
    </i>
    <i>
      <x v="153"/>
      <x v="49"/>
      <x v="40"/>
      <x v="2"/>
      <x v="14"/>
      <x v="1"/>
    </i>
    <i>
      <x v="184"/>
      <x v="30"/>
      <x v="40"/>
      <x v="1"/>
      <x v="14"/>
      <x v="1"/>
    </i>
    <i>
      <x v="193"/>
      <x v="9"/>
      <x v="100"/>
      <x/>
      <x v="9"/>
      <x v="1"/>
    </i>
    <i>
      <x v="226"/>
      <x v="34"/>
      <x v="103"/>
      <x v="1"/>
      <x v="1"/>
      <x v="1"/>
    </i>
    <i r="4">
      <x v="10"/>
      <x v="1"/>
    </i>
    <i>
      <x v="245"/>
      <x v="11"/>
      <x v="31"/>
      <x v="1"/>
      <x v="8"/>
      <x v="1"/>
    </i>
    <i>
      <x v="247"/>
      <x v="27"/>
      <x v="20"/>
      <x v="1"/>
      <x/>
      <x v="1"/>
    </i>
    <i>
      <x v="252"/>
      <x v="23"/>
      <x v="26"/>
      <x v="1"/>
      <x v="25"/>
      <x v="1"/>
    </i>
    <i>
      <x v="264"/>
      <x v="41"/>
      <x v="36"/>
      <x v="1"/>
      <x v="13"/>
      <x v="1"/>
    </i>
    <i>
      <x v="299"/>
      <x v="2"/>
      <x v="51"/>
      <x v="1"/>
      <x v="9"/>
      <x v="1"/>
    </i>
    <i>
      <x v="302"/>
      <x v="19"/>
      <x v="13"/>
      <x v="1"/>
      <x v="12"/>
      <x v="1"/>
    </i>
    <i>
      <x v="309"/>
      <x v="21"/>
      <x v="47"/>
      <x v="2"/>
      <x v="12"/>
      <x v="1"/>
    </i>
    <i>
      <x v="320"/>
      <x v="17"/>
      <x v="73"/>
      <x v="2"/>
      <x v="4"/>
      <x v="1"/>
    </i>
    <i r="4">
      <x v="23"/>
      <x v="1"/>
    </i>
    <i>
      <x v="324"/>
      <x v="52"/>
      <x v="16"/>
      <x v="1"/>
      <x v="4"/>
      <x v="1"/>
    </i>
    <i r="4">
      <x v="37"/>
      <x v="1"/>
    </i>
    <i>
      <x v="350"/>
      <x v="28"/>
      <x v="13"/>
      <x v="3"/>
      <x/>
      <x v="1"/>
    </i>
    <i r="1">
      <x v="31"/>
      <x v="68"/>
      <x v="1"/>
      <x v="7"/>
      <x v="1"/>
    </i>
    <i>
      <x v="358"/>
      <x v="46"/>
      <x v="40"/>
      <x/>
      <x v="13"/>
      <x v="1"/>
    </i>
    <i>
      <x v="362"/>
      <x v="14"/>
      <x v="24"/>
      <x v="1"/>
      <x v="2"/>
      <x v="1"/>
    </i>
    <i r="4">
      <x v="35"/>
      <x v="1"/>
    </i>
    <i>
      <x v="366"/>
      <x v="48"/>
      <x v="82"/>
      <x v="1"/>
      <x v="23"/>
      <x v="1"/>
    </i>
    <i>
      <x v="372"/>
      <x v="18"/>
      <x v="24"/>
      <x v="3"/>
      <x v="4"/>
      <x v="1"/>
    </i>
    <i r="4">
      <x v="8"/>
      <x v="1"/>
    </i>
    <i r="4">
      <x v="23"/>
      <x v="1"/>
    </i>
    <i>
      <x v="387"/>
      <x v="10"/>
      <x v="50"/>
      <x/>
      <x v="6"/>
      <x v="1"/>
    </i>
    <i r="1">
      <x v="22"/>
      <x v="95"/>
      <x/>
      <x v="12"/>
      <x v="1"/>
    </i>
    <i>
      <x v="395"/>
      <x v="20"/>
      <x v="66"/>
      <x v="3"/>
      <x v="12"/>
      <x v="1"/>
    </i>
    <i>
      <x v="427"/>
      <x v="35"/>
      <x v="24"/>
      <x v="3"/>
      <x v="1"/>
      <x v="1"/>
    </i>
    <i r="4">
      <x v="37"/>
      <x v="1"/>
    </i>
    <i>
      <x v="429"/>
      <x v="24"/>
      <x v="39"/>
      <x v="3"/>
      <x v="25"/>
      <x v="1"/>
    </i>
    <i>
      <x v="439"/>
      <x v="12"/>
      <x v="68"/>
      <x v="2"/>
      <x v="7"/>
      <x v="1"/>
    </i>
    <i r="4">
      <x v="8"/>
      <x v="1"/>
    </i>
    <i>
      <x v="459"/>
      <x v="6"/>
      <x v="21"/>
      <x v="1"/>
      <x v="6"/>
      <x v="1"/>
    </i>
    <i>
      <x v="465"/>
      <x v="37"/>
      <x v="118"/>
      <x/>
      <x v="1"/>
      <x v="1"/>
    </i>
    <i r="1">
      <x v="47"/>
      <x v="6"/>
      <x/>
      <x v="23"/>
      <x v="1"/>
    </i>
    <i r="1">
      <x v="54"/>
      <x v="22"/>
      <x/>
      <x v="2"/>
      <x v="1"/>
    </i>
    <i>
      <x v="467"/>
      <x v="16"/>
      <x v="24"/>
      <x v="2"/>
      <x v="35"/>
      <x v="1"/>
    </i>
    <i>
      <x v="494"/>
      <x v="13"/>
      <x v="21"/>
      <x/>
      <x v="8"/>
      <x v="1"/>
    </i>
    <i r="1">
      <x v="26"/>
      <x v="37"/>
      <x/>
      <x v="25"/>
      <x v="1"/>
    </i>
    <i r="1">
      <x v="51"/>
      <x v="40"/>
      <x/>
      <x v="14"/>
      <x v="1"/>
    </i>
    <i>
      <x v="509"/>
      <x v="3"/>
      <x v="118"/>
      <x v="3"/>
      <x v="9"/>
      <x v="1"/>
    </i>
    <i>
      <x v="514"/>
      <x v="36"/>
      <x v="82"/>
      <x v="2"/>
      <x v="1"/>
      <x v="1"/>
    </i>
    <i>
      <x v="518"/>
      <x v="45"/>
      <x v="31"/>
      <x/>
      <x v="35"/>
      <x v="1"/>
    </i>
    <i>
      <x v="524"/>
      <x v="15"/>
      <x v="31"/>
      <x v="3"/>
      <x v="35"/>
      <x v="1"/>
    </i>
    <i>
      <x v="529"/>
      <x v="53"/>
      <x v="82"/>
      <x v="2"/>
      <x v="37"/>
      <x v="1"/>
    </i>
    <i>
      <x v="551"/>
      <x v="7"/>
      <x v="81"/>
      <x v="3"/>
      <x v="6"/>
      <x v="1"/>
    </i>
    <i>
      <x v="556"/>
      <x v="55"/>
      <x v="16"/>
      <x v="2"/>
      <x v="2"/>
      <x v="1"/>
    </i>
    <i>
      <x v="558"/>
      <x v="4"/>
      <x v="22"/>
      <x v="2"/>
      <x/>
      <x v="1"/>
    </i>
    <i r="4">
      <x v="9"/>
      <x v="1"/>
    </i>
    <i>
      <x v="564"/>
      <x v="43"/>
      <x v="139"/>
      <x v="2"/>
      <x v="13"/>
      <x v="1"/>
    </i>
    <i>
      <x v="569"/>
      <x v="29"/>
      <x v="19"/>
      <x/>
      <x/>
      <x v="1"/>
    </i>
    <i r="4">
      <x v="37"/>
      <x v="1"/>
    </i>
    <i r="1">
      <x v="32"/>
      <x v="20"/>
      <x v="3"/>
      <x v="7"/>
      <x v="1"/>
    </i>
    <i r="1">
      <x v="40"/>
      <x v="6"/>
      <x/>
      <x v="4"/>
      <x v="1"/>
    </i>
    <i r="4">
      <x v="10"/>
      <x v="1"/>
    </i>
    <i>
      <x v="571"/>
      <x v="39"/>
      <x v="76"/>
      <x v="2"/>
      <x v="10"/>
      <x v="1"/>
    </i>
    <i>
      <x v="579"/>
      <x v="38"/>
      <x v="21"/>
      <x v="3"/>
      <x v="10"/>
      <x v="1"/>
    </i>
    <i>
      <x v="581"/>
      <x v="50"/>
      <x v="40"/>
      <x v="3"/>
      <x v="2"/>
      <x v="1"/>
    </i>
    <i r="4">
      <x v="14"/>
      <x v="1"/>
    </i>
    <i>
      <x v="609"/>
      <x v="25"/>
      <x v="24"/>
      <x v="2"/>
      <x v="25"/>
      <x v="1"/>
    </i>
    <i>
      <x v="615"/>
      <x v="8"/>
      <x v="32"/>
      <x v="2"/>
      <x v="6"/>
      <x v="1"/>
    </i>
    <i r="1">
      <x v="44"/>
      <x v="111"/>
      <x/>
      <x v="5"/>
      <x v="1"/>
    </i>
    <i r="3">
      <x v="1"/>
      <x v="5"/>
      <x v="1"/>
    </i>
    <i r="3">
      <x v="2"/>
      <x v="5"/>
      <x v="1"/>
    </i>
    <i r="3">
      <x v="3"/>
      <x v="5"/>
      <x v="1"/>
    </i>
    <i>
      <x v="685"/>
      <x v="5"/>
      <x v="184"/>
      <x/>
      <x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4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6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8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9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0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2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3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4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3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3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3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3">
      <x v="1"/>
      <x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4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6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8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9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0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2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3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4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3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3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3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3">
      <x v="2"/>
      <x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4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6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8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9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0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2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3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4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3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3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3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3">
      <x v="3"/>
      <x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4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6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8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9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0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2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3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4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3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3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3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</rowItems>
  <colItems count="1">
    <i/>
  </colItems>
  <formats count="28">
    <format dxfId="57">
      <pivotArea type="all" dataOnly="0" outline="0" fieldPosition="0"/>
    </format>
    <format dxfId="56">
      <pivotArea outline="0" collapsedLevelsAreSubtotals="1" fieldPosition="0"/>
    </format>
    <format dxfId="55">
      <pivotArea field="3" type="button" dataOnly="0" labelOnly="1" outline="0" axis="axisRow" fieldPosition="1"/>
    </format>
    <format dxfId="54">
      <pivotArea field="4" type="button" dataOnly="0" labelOnly="1" outline="0" axis="axisRow" fieldPosition="2"/>
    </format>
    <format dxfId="53">
      <pivotArea field="2" type="button" dataOnly="0" labelOnly="1" outline="0" axis="axisRow" fieldPosition="3"/>
    </format>
    <format dxfId="52">
      <pivotArea dataOnly="0" labelOnly="1" outline="0" fieldPosition="0">
        <references count="1">
          <reference field="3" count="0"/>
        </references>
      </pivotArea>
    </format>
    <format dxfId="51">
      <pivotArea dataOnly="0" labelOnly="1" grandRow="1" outline="0" fieldPosition="0"/>
    </format>
    <format dxfId="50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49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48">
      <pivotArea type="all" dataOnly="0" outline="0" fieldPosition="0"/>
    </format>
    <format dxfId="47">
      <pivotArea outline="0" collapsedLevelsAreSubtotals="1" fieldPosition="0"/>
    </format>
    <format dxfId="46">
      <pivotArea field="3" type="button" dataOnly="0" labelOnly="1" outline="0" axis="axisRow" fieldPosition="1"/>
    </format>
    <format dxfId="45">
      <pivotArea field="4" type="button" dataOnly="0" labelOnly="1" outline="0" axis="axisRow" fieldPosition="2"/>
    </format>
    <format dxfId="44">
      <pivotArea field="2" type="button" dataOnly="0" labelOnly="1" outline="0" axis="axisRow" fieldPosition="3"/>
    </format>
    <format dxfId="43">
      <pivotArea dataOnly="0" labelOnly="1" outline="0" fieldPosition="0">
        <references count="1">
          <reference field="3" count="0"/>
        </references>
      </pivotArea>
    </format>
    <format dxfId="42">
      <pivotArea dataOnly="0" labelOnly="1" grandRow="1" outline="0" fieldPosition="0"/>
    </format>
    <format dxfId="41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40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39">
      <pivotArea outline="0" collapsedLevelsAreSubtotals="1" fieldPosition="0"/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field="3" type="button" dataOnly="0" labelOnly="1" outline="0" axis="axisRow" fieldPosition="1"/>
    </format>
    <format dxfId="35">
      <pivotArea field="4" type="button" dataOnly="0" labelOnly="1" outline="0" axis="axisRow" fieldPosition="2"/>
    </format>
    <format dxfId="34">
      <pivotArea field="2" type="button" dataOnly="0" labelOnly="1" outline="0" axis="axisRow" fieldPosition="3"/>
    </format>
    <format dxfId="33">
      <pivotArea dataOnly="0" labelOnly="1" outline="0" fieldPosition="0">
        <references count="1">
          <reference field="3" count="0"/>
        </references>
      </pivotArea>
    </format>
    <format dxfId="32">
      <pivotArea dataOnly="0" labelOnly="1" grandRow="1" outline="0" fieldPosition="0"/>
    </format>
    <format dxfId="31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30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C986B1C-F6EA-47C9-9557-3CAF3EBE5DB8}" autoFormatId="16" applyNumberFormats="0" applyBorderFormats="0" applyFontFormats="0" applyPatternFormats="0" applyAlignmentFormats="0" applyWidthHeightFormats="0">
  <queryTableRefresh nextId="7">
    <queryTableFields count="6">
      <queryTableField id="1" name="Player" tableColumnId="1"/>
      <queryTableField id="2" name="Week" tableColumnId="2"/>
      <queryTableField id="3" name="Role" tableColumnId="3"/>
      <queryTableField id="4" name="Pick" tableColumnId="4"/>
      <queryTableField id="5" name="Team" tableColumnId="5"/>
      <queryTableField id="6" name="Opponent" tableColumnId="6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77" dataDxfId="76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75"/>
    <tableColumn id="2" xr3:uid="{00000000-0010-0000-0000-000002000000}" name="Week 1" dataDxfId="74">
      <calculatedColumnFormula>SUMIFS($C:$C,$A:$A,G$2,$B:$B,$F3)</calculatedColumnFormula>
    </tableColumn>
    <tableColumn id="3" xr3:uid="{00000000-0010-0000-0000-000003000000}" name="Week 2" dataDxfId="73">
      <calculatedColumnFormula>SUMIFS($C:$C,$A:$A,H$2,$B:$B,$F3)</calculatedColumnFormula>
    </tableColumn>
    <tableColumn id="4" xr3:uid="{00000000-0010-0000-0000-000004000000}" name="Week 3" dataDxfId="72">
      <calculatedColumnFormula>SUMIFS($C:$C,$A:$A,I$2,$B:$B,$F3)</calculatedColumnFormula>
    </tableColumn>
    <tableColumn id="5" xr3:uid="{00000000-0010-0000-0000-000005000000}" name="Week 4" dataDxfId="71">
      <calculatedColumnFormula>SUMIFS($C:$C,$A:$A,J$2,$B:$B,$F3)</calculatedColumnFormula>
    </tableColumn>
    <tableColumn id="6" xr3:uid="{00000000-0010-0000-0000-000006000000}" name="Week 5" dataDxfId="70">
      <calculatedColumnFormula>SUMIFS($C:$C,$A:$A,K$2,$B:$B,$F3)</calculatedColumnFormula>
    </tableColumn>
    <tableColumn id="7" xr3:uid="{00000000-0010-0000-0000-000007000000}" name="Week 6" dataDxfId="69">
      <calculatedColumnFormula>SUMIFS($C:$C,$A:$A,L$2,$B:$B,$F3)</calculatedColumnFormula>
    </tableColumn>
    <tableColumn id="8" xr3:uid="{00000000-0010-0000-0000-000008000000}" name="Week 7" dataDxfId="68">
      <calculatedColumnFormula>SUMIFS($C:$C,$A:$A,M$2,$B:$B,$F3)</calculatedColumnFormula>
    </tableColumn>
    <tableColumn id="9" xr3:uid="{00000000-0010-0000-0000-000009000000}" name="Week 8" dataDxfId="67">
      <calculatedColumnFormula>SUMIFS($C:$C,$A:$A,N$2,$B:$B,$F3)</calculatedColumnFormula>
    </tableColumn>
    <tableColumn id="10" xr3:uid="{00000000-0010-0000-0000-00000A000000}" name="Week 9" dataDxfId="66">
      <calculatedColumnFormula>SUMIFS($C:$C,$A:$A,O$2,$B:$B,$F3)</calculatedColumnFormula>
    </tableColumn>
    <tableColumn id="11" xr3:uid="{00000000-0010-0000-0000-00000B000000}" name="Week 10" dataDxfId="65">
      <calculatedColumnFormula>SUMIFS($C:$C,$A:$A,P$2,$B:$B,$F3)</calculatedColumnFormula>
    </tableColumn>
    <tableColumn id="12" xr3:uid="{00000000-0010-0000-0000-00000C000000}" name="Week 11" dataDxfId="64">
      <calculatedColumnFormula>SUMIFS($C:$C,$A:$A,Q$2,$B:$B,$F3)</calculatedColumnFormula>
    </tableColumn>
    <tableColumn id="13" xr3:uid="{00000000-0010-0000-0000-00000D000000}" name="Week 12" dataDxfId="63">
      <calculatedColumnFormula>SUMIFS($C:$C,$A:$A,R$2,$B:$B,$F3)</calculatedColumnFormula>
    </tableColumn>
    <tableColumn id="14" xr3:uid="{00000000-0010-0000-0000-00000E000000}" name="Week 13" dataDxfId="62">
      <calculatedColumnFormula>SUMIFS($C:$C,$A:$A,S$2,$B:$B,$F3)</calculatedColumnFormula>
    </tableColumn>
    <tableColumn id="15" xr3:uid="{00000000-0010-0000-0000-00000F000000}" name="Week 14" dataDxfId="61">
      <calculatedColumnFormula>SUMIFS($C:$C,$A:$A,T$2,$B:$B,$F3)</calculatedColumnFormula>
    </tableColumn>
    <tableColumn id="16" xr3:uid="{00000000-0010-0000-0000-000010000000}" name="Week 15" dataDxfId="60">
      <calculatedColumnFormula>SUMIFS($C:$C,$A:$A,U$2,$B:$B,$F3)</calculatedColumnFormula>
    </tableColumn>
    <tableColumn id="18" xr3:uid="{468B236D-85BF-44D0-850F-7031146C93C0}" name="Week 16" dataDxfId="59">
      <calculatedColumnFormula>SUMIFS($C:$C,$A:$A,V$2,$B:$B,$F3)</calculatedColumnFormula>
    </tableColumn>
    <tableColumn id="17" xr3:uid="{00000000-0010-0000-0000-000011000000}" name="Bowls" dataDxfId="58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2:T1158" totalsRowShown="0" headerRowDxfId="29" tableBorderDxfId="28">
  <autoFilter ref="A2:T1158" xr:uid="{00000000-0009-0000-0100-000001000000}">
    <filterColumn colId="1">
      <filters>
        <filter val="Week 1"/>
      </filters>
    </filterColumn>
  </autoFilter>
  <tableColumns count="20">
    <tableColumn id="1" xr3:uid="{00000000-0010-0000-0100-000001000000}" name="Player" dataDxfId="27"/>
    <tableColumn id="2" xr3:uid="{00000000-0010-0000-0100-000002000000}" name="Week" dataDxfId="26"/>
    <tableColumn id="3" xr3:uid="{00000000-0010-0000-0100-000003000000}" name="Role" dataDxfId="25"/>
    <tableColumn id="4" xr3:uid="{00000000-0010-0000-0100-000004000000}" name="Pick" dataDxfId="24">
      <calculatedColumnFormula>_xlfn.XLOOKUP(Table1[[#This Row],[Player]]&amp;Table1[[#This Row],[Week]]&amp;Table1[[#This Row],[Role]],'Google Form Transform'!$A:$A,'Google Form Transform'!E:E,"")</calculatedColumnFormula>
    </tableColumn>
    <tableColumn id="5" xr3:uid="{00000000-0010-0000-0100-000005000000}" name="Team" dataDxfId="23">
      <calculatedColumnFormula>_xlfn.XLOOKUP(Table1[[#This Row],[Player]]&amp;Table1[[#This Row],[Week]]&amp;Table1[[#This Row],[Role]],'Google Form Transform'!$A:$A,'Google Form Transform'!F:F,"")</calculatedColumnFormula>
    </tableColumn>
    <tableColumn id="15" xr3:uid="{88C534EF-BFFD-43BF-B5E3-5D2EFB5E3F5F}" name="Opponent">
      <calculatedColumnFormula>_xlfn.XLOOKUP(Table1[[#This Row],[Player]]&amp;Table1[[#This Row],[Week]]&amp;Table1[[#This Row],[Role]],'Google Form Transform'!$A:$A,'Google Form Transform'!G:G,"")</calculatedColumnFormula>
    </tableColumn>
    <tableColumn id="6" xr3:uid="{00000000-0010-0000-0100-000006000000}" name="Passing Yards" dataDxfId="22">
      <calculatedColumnFormula>SUMIFS(Table2[Stat],Table2[Stat Category],"passing",Table2[Stat Type],"YDS",Table2[Athlete],Table1[[#This Row],[Pick]],Table2[Week],Table1[[#This Row],[Week]])</calculatedColumnFormula>
    </tableColumn>
    <tableColumn id="16" xr3:uid="{7B6DA479-9395-46A2-8A45-E0E60EBD47D6}" name="Rushing Yards" dataDxfId="21">
      <calculatedColumnFormula>SUMIFS(Table2[Stat],Table2[Stat Category],"rushing",Table2[Stat Type],"YDS",Table2[Athlete],Table1[[#This Row],[Pick]],Table2[Week],Table1[[#This Row],[Week]])</calculatedColumnFormula>
    </tableColumn>
    <tableColumn id="17" xr3:uid="{2F676F27-91E0-48B7-AB38-C18186427FD8}" name="Receiving Yards" dataDxfId="20">
      <calculatedColumnFormula>SUMIFS(Table2[Stat],Table2[Stat Category],"receiving",Table2[Stat Type],"YDS",Table2[Athlete],Table1[[#This Row],[Pick]],Table2[Week],Table1[[#This Row],[Week]])</calculatedColumnFormula>
    </tableColumn>
    <tableColumn id="7" xr3:uid="{00000000-0010-0000-0100-000007000000}" name="Passing TDs" dataDxfId="19">
      <calculatedColumnFormula>IF(AND($C3="Rushing", $H3&lt;=0), 0, IF(AND($C3="Passing", $G$3&lt;=0), 0,IF(AND($C3="Receiving",$I3&lt;=0), 0,SUMIFS(Table2[Stat],Table2[Week],Table1[[#This Row],[Week]],Table2[Athlete],Table1[[#This Row],[Pick]],Table2[Stat Category],"passing",Table2[Stat Type],"TD"))))</calculatedColumnFormula>
    </tableColumn>
    <tableColumn id="18" xr3:uid="{0D79C9D4-5DEC-4466-B73A-E7E0A9091CA2}" name="Rushing TDs" dataDxfId="18">
      <calculatedColumnFormula>IF(AND($C3="Rushing", $H3&lt;=0), 0, IF(AND($C3="Passing", $G$3&lt;=0), 0,IF(AND($C3="Receiving",$I3&lt;=0),0,SUMIFS(Table2[Stat],Table2[Week],Table1[[#This Row],[Week]],Table2[Athlete],Table1[[#This Row],[Pick]],Table2[Stat Category],"rushing",Table2[Stat Type],"TD"))))</calculatedColumnFormula>
    </tableColumn>
    <tableColumn id="19" xr3:uid="{09822478-EE95-4307-A843-3D71573F0777}" name="Receiving TDs" dataDxfId="17">
      <calculatedColumnFormula>IF(AND($C3="Rushing", $H3&lt;=0), 0, IF(AND($C3="Passing", $G$3&lt;=0), 0,IF(AND($C3="Receiving",$I3&lt;=0),0,SUMIFS(Table2[Stat],Table2[Week],Table1[[#This Row],[Week]],Table2[Athlete],Table1[[#This Row],[Pick]],Table2[Stat Category],"receiving",Table2[Stat Type],"TD"))))</calculatedColumnFormula>
    </tableColumn>
    <tableColumn id="20" xr3:uid="{F749F1C7-E122-421B-B75B-5222C6E11C14}" name="Other TD's" dataDxfId="16">
      <calculatedColumnFormula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calculatedColumnFormula>
    </tableColumn>
    <tableColumn id="8" xr3:uid="{00000000-0010-0000-0100-000008000000}" name="Tackles" dataDxfId="15">
      <calculatedColumnFormula>SUMIFS(Data!$J:$J,Data!$A:$A,Info!$B3,Data!$G:$G,Info!$C3,Data!$I:$I,Info!$D3,Data!$H:$H,"TOT")</calculatedColumnFormula>
    </tableColumn>
    <tableColumn id="9" xr3:uid="{00000000-0010-0000-0100-000009000000}" name="Interceptions" dataDxfId="14">
      <calculatedColumnFormula>IF(C3="Defensive",SUMIFS(Data!$J:$J,Data!$A:$A,Info!$B3,Data!$I:$I,Info!$D3,Data!$H:$H,"INT"),0)</calculatedColumnFormula>
    </tableColumn>
    <tableColumn id="10" xr3:uid="{00000000-0010-0000-0100-00000A000000}" name="Fumbles Recovered" dataDxfId="13">
      <calculatedColumnFormula>IF(Table1[[#This Row],[Role]]="Defensive",SUMIFS(Data!$J:$J,Data!$A:$A,Info!$B3,Data!$I:$I,Info!$D3,Data!$H:$H,$P$1),0)</calculatedColumnFormula>
    </tableColumn>
    <tableColumn id="11" xr3:uid="{00000000-0010-0000-0100-00000B000000}" name="Score" dataDxfId="12">
      <calculatedColumnFormula>IF(Table1[[#This Row],[Pick]]="","",IF(S3&gt;1,400,IF(G3="","",IF(C3="Passing",(400-Table1[[#This Row],[Passing Yards]]-(30*Table1[[#This Row],[Passing TDs]])-(50*SUM(Table1[[#This Row],[Rushing TDs]:[Other TD''s]]))),IF(C3="Rushing",2*(200-Table1[[#This Row],[Rushing Yards]]-(30*Table1[[#This Row],[Passing TDs]])-50*(Table1[[#This Row],[Rushing TDs]]+Table1[[#This Row],[Receiving TDs]]+Table1[[#This Row],[Other TD''s]])),IF(C3="Receiving",2*(200-Table1[[#This Row],[Receiving Yards]]-(30*Table1[[#This Row],[Passing TDs]])-50*(Table1[[#This Row],[Rushing TDs]]+Table1[[#This Row],[Receiving TDs]]+Table1[[#This Row],[Other TD''s]])),IF(C3="Defensive",(25*(16-Table1[[#This Row],[Tackles]]-(8*(Table1[[#This Row],[Other TD''s]]+Table1[[#This Row],[Interceptions]]+Table1[[#This Row],[Fumbles Recovered]])))))))))))</calculatedColumnFormula>
    </tableColumn>
    <tableColumn id="12" xr3:uid="{00000000-0010-0000-0100-00000C000000}" name="Duplicate Identifier" dataDxfId="11">
      <calculatedColumnFormula>IF(D3="","",A3&amp;C3&amp;D3)</calculatedColumnFormula>
    </tableColumn>
    <tableColumn id="13" xr3:uid="{00000000-0010-0000-0100-00000D000000}" name="Duplicate Data" dataDxfId="10">
      <calculatedColumnFormula>COUNTIF(R:R,R3)</calculatedColumnFormula>
    </tableColumn>
    <tableColumn id="14" xr3:uid="{00000000-0010-0000-0100-00000E000000}" name="Error Finder" dataDxfId="9">
      <calculatedColumnFormula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calculatedColumnFormula>
    </tableColumn>
  </tableColumns>
  <tableStyleInfo name="TableStyleLight13" showFirstColumn="0" showLastColumn="0" showRowStripes="1" showColumnStripes="1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2" displayName="Table2" ref="A1:J6769" totalsRowShown="0">
  <autoFilter ref="A1:J6769" xr:uid="{00000000-0009-0000-0100-000002000000}"/>
  <sortState xmlns:xlrd2="http://schemas.microsoft.com/office/spreadsheetml/2017/richdata2" ref="A1151:J1431">
    <sortCondition ref="C1:C6447"/>
  </sortState>
  <tableColumns count="10">
    <tableColumn id="1" xr3:uid="{00000000-0010-0000-0200-000001000000}" name="Week" dataDxfId="8"/>
    <tableColumn id="2" xr3:uid="{00000000-0010-0000-0200-000002000000}" name="Game ID"/>
    <tableColumn id="3" xr3:uid="{00000000-0010-0000-0200-000003000000}" name="School"/>
    <tableColumn id="4" xr3:uid="{00000000-0010-0000-0200-000004000000}" name="Conference"/>
    <tableColumn id="5" xr3:uid="{00000000-0010-0000-0200-000005000000}" name="Home/Away"/>
    <tableColumn id="6" xr3:uid="{00000000-0010-0000-0200-000006000000}" name="Points"/>
    <tableColumn id="7" xr3:uid="{00000000-0010-0000-0200-000007000000}" name="Stat Category"/>
    <tableColumn id="8" xr3:uid="{00000000-0010-0000-0200-000008000000}" name="Stat Type"/>
    <tableColumn id="9" xr3:uid="{00000000-0010-0000-0200-000009000000}" name="Athlete"/>
    <tableColumn id="10" xr3:uid="{00000000-0010-0000-0200-00000A000000}" name="Sta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292715-5AFD-4384-A5ED-B428B3AFD6BC}" name="Data_Transform" displayName="Data_Transform" ref="B1:G69" tableType="queryTable" totalsRowShown="0">
  <autoFilter ref="B1:G69" xr:uid="{13292715-5AFD-4384-A5ED-B428B3AFD6BC}"/>
  <tableColumns count="6">
    <tableColumn id="1" xr3:uid="{1CF9B92B-835B-47E7-B9D2-C28E27A20DA7}" uniqueName="1" name="Player" queryTableFieldId="1" dataDxfId="7"/>
    <tableColumn id="2" xr3:uid="{72DE885A-AC4D-45CA-8824-642478AD2F3B}" uniqueName="2" name="Week" queryTableFieldId="2" dataDxfId="6"/>
    <tableColumn id="3" xr3:uid="{B9BCB56A-7ADC-46ED-BAF9-BC61E34084F6}" uniqueName="3" name="Role" queryTableFieldId="3" dataDxfId="5"/>
    <tableColumn id="4" xr3:uid="{73084AA1-D830-4180-A1EF-C1252C6605CC}" uniqueName="4" name="Pick" queryTableFieldId="4" dataDxfId="4"/>
    <tableColumn id="5" xr3:uid="{BC47F465-1467-4F4C-8752-4D0B5CFE772A}" uniqueName="5" name="Team" queryTableFieldId="5" dataDxfId="3"/>
    <tableColumn id="6" xr3:uid="{137DACAD-67F8-4677-AAF0-5E8702979EDA}" uniqueName="6" name="Opponent" queryTableFieldId="6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Y68"/>
  <sheetViews>
    <sheetView showGridLines="0" tabSelected="1" zoomScaleNormal="100" workbookViewId="0">
      <selection activeCell="B5" sqref="B5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5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</row>
    <row r="2" spans="1:25" x14ac:dyDescent="0.25">
      <c r="A2" s="18" t="s">
        <v>26</v>
      </c>
      <c r="B2" s="75">
        <v>1</v>
      </c>
      <c r="C2" s="66">
        <v>268</v>
      </c>
      <c r="D2" s="66"/>
      <c r="E2"/>
      <c r="H2" s="11" t="s">
        <v>9</v>
      </c>
      <c r="I2" s="12" t="s">
        <v>5</v>
      </c>
      <c r="J2" s="12" t="s">
        <v>43</v>
      </c>
      <c r="K2" s="12" t="s">
        <v>106</v>
      </c>
      <c r="L2" s="12" t="s">
        <v>60</v>
      </c>
      <c r="M2" s="12" t="s">
        <v>62</v>
      </c>
      <c r="N2" s="12" t="s">
        <v>19</v>
      </c>
      <c r="O2" s="12" t="s">
        <v>26</v>
      </c>
      <c r="P2" s="12" t="s">
        <v>4</v>
      </c>
      <c r="Q2" s="12" t="s">
        <v>2</v>
      </c>
      <c r="R2" s="12" t="s">
        <v>144</v>
      </c>
      <c r="S2" s="12" t="s">
        <v>79</v>
      </c>
      <c r="T2" s="12" t="s">
        <v>7</v>
      </c>
      <c r="U2" s="12" t="s">
        <v>59</v>
      </c>
      <c r="V2" s="12" t="s">
        <v>58</v>
      </c>
      <c r="W2" s="12" t="s">
        <v>18</v>
      </c>
      <c r="X2" s="12" t="s">
        <v>68</v>
      </c>
      <c r="Y2" s="12" t="s">
        <v>61</v>
      </c>
    </row>
    <row r="3" spans="1:25" x14ac:dyDescent="0.25">
      <c r="A3" s="18" t="s">
        <v>58</v>
      </c>
      <c r="B3" s="75">
        <v>2</v>
      </c>
      <c r="C3" s="66">
        <v>408</v>
      </c>
      <c r="D3" s="66">
        <v>140</v>
      </c>
      <c r="E3"/>
      <c r="H3" s="14" t="s">
        <v>27</v>
      </c>
      <c r="I3" s="67">
        <v>884</v>
      </c>
      <c r="J3" s="67">
        <v>792</v>
      </c>
      <c r="K3" s="67">
        <v>1103</v>
      </c>
      <c r="L3" s="67">
        <v>747</v>
      </c>
      <c r="M3" s="67">
        <v>1600</v>
      </c>
      <c r="N3" s="67">
        <v>1153</v>
      </c>
      <c r="O3" s="67">
        <v>268</v>
      </c>
      <c r="P3" s="67">
        <v>713</v>
      </c>
      <c r="Q3" s="67">
        <v>729</v>
      </c>
      <c r="R3" s="67">
        <v>995</v>
      </c>
      <c r="S3" s="67">
        <v>1011</v>
      </c>
      <c r="T3" s="67">
        <v>1094</v>
      </c>
      <c r="U3" s="67">
        <v>563</v>
      </c>
      <c r="V3" s="67">
        <v>408</v>
      </c>
      <c r="W3" s="67">
        <v>584</v>
      </c>
      <c r="X3" s="67">
        <v>939</v>
      </c>
      <c r="Y3" s="67">
        <v>685</v>
      </c>
    </row>
    <row r="4" spans="1:25" x14ac:dyDescent="0.25">
      <c r="A4" s="18" t="s">
        <v>59</v>
      </c>
      <c r="B4" s="75">
        <v>3</v>
      </c>
      <c r="C4" s="66">
        <v>563</v>
      </c>
      <c r="D4" s="66">
        <v>295</v>
      </c>
      <c r="E4"/>
      <c r="H4" s="14" t="s">
        <v>44</v>
      </c>
      <c r="I4" s="67">
        <v>0</v>
      </c>
      <c r="J4" s="67">
        <v>0</v>
      </c>
      <c r="K4" s="67">
        <v>0</v>
      </c>
      <c r="L4" s="67">
        <v>0</v>
      </c>
      <c r="M4" s="67">
        <v>0</v>
      </c>
      <c r="N4" s="67">
        <v>0</v>
      </c>
      <c r="O4" s="67">
        <v>0</v>
      </c>
      <c r="P4" s="67">
        <v>0</v>
      </c>
      <c r="Q4" s="67">
        <v>0</v>
      </c>
      <c r="R4" s="67">
        <v>0</v>
      </c>
      <c r="S4" s="67">
        <v>0</v>
      </c>
      <c r="T4" s="67">
        <v>0</v>
      </c>
      <c r="U4" s="67">
        <v>0</v>
      </c>
      <c r="V4" s="67">
        <v>0</v>
      </c>
      <c r="W4" s="67">
        <v>0</v>
      </c>
      <c r="X4" s="67">
        <v>0</v>
      </c>
      <c r="Y4" s="67">
        <v>0</v>
      </c>
    </row>
    <row r="5" spans="1:25" x14ac:dyDescent="0.25">
      <c r="A5" s="18" t="s">
        <v>18</v>
      </c>
      <c r="B5" s="75">
        <v>4</v>
      </c>
      <c r="C5" s="66">
        <v>584</v>
      </c>
      <c r="D5" s="66">
        <v>316</v>
      </c>
      <c r="E5"/>
      <c r="H5" s="14" t="s">
        <v>45</v>
      </c>
      <c r="I5" s="67">
        <v>0</v>
      </c>
      <c r="J5" s="67">
        <v>0</v>
      </c>
      <c r="K5" s="67">
        <v>0</v>
      </c>
      <c r="L5" s="67">
        <v>0</v>
      </c>
      <c r="M5" s="67">
        <v>0</v>
      </c>
      <c r="N5" s="67">
        <v>0</v>
      </c>
      <c r="O5" s="67">
        <v>0</v>
      </c>
      <c r="P5" s="67">
        <v>0</v>
      </c>
      <c r="Q5" s="67">
        <v>0</v>
      </c>
      <c r="R5" s="67">
        <v>0</v>
      </c>
      <c r="S5" s="67">
        <v>0</v>
      </c>
      <c r="T5" s="67">
        <v>0</v>
      </c>
      <c r="U5" s="67">
        <v>0</v>
      </c>
      <c r="V5" s="67">
        <v>0</v>
      </c>
      <c r="W5" s="67">
        <v>0</v>
      </c>
      <c r="X5" s="67">
        <v>0</v>
      </c>
      <c r="Y5" s="67">
        <v>0</v>
      </c>
    </row>
    <row r="6" spans="1:25" x14ac:dyDescent="0.25">
      <c r="A6" s="18" t="s">
        <v>61</v>
      </c>
      <c r="B6" s="75">
        <v>5</v>
      </c>
      <c r="C6" s="66">
        <v>685</v>
      </c>
      <c r="D6" s="66">
        <v>417</v>
      </c>
      <c r="E6"/>
      <c r="H6" s="14" t="s">
        <v>46</v>
      </c>
      <c r="I6" s="67">
        <v>0</v>
      </c>
      <c r="J6" s="67">
        <v>0</v>
      </c>
      <c r="K6" s="67">
        <v>0</v>
      </c>
      <c r="L6" s="67">
        <v>0</v>
      </c>
      <c r="M6" s="67">
        <v>0</v>
      </c>
      <c r="N6" s="67">
        <v>0</v>
      </c>
      <c r="O6" s="67">
        <v>0</v>
      </c>
      <c r="P6" s="67">
        <v>0</v>
      </c>
      <c r="Q6" s="67">
        <v>0</v>
      </c>
      <c r="R6" s="67">
        <v>0</v>
      </c>
      <c r="S6" s="67">
        <v>0</v>
      </c>
      <c r="T6" s="67">
        <v>0</v>
      </c>
      <c r="U6" s="67">
        <v>0</v>
      </c>
      <c r="V6" s="67">
        <v>0</v>
      </c>
      <c r="W6" s="67">
        <v>0</v>
      </c>
      <c r="X6" s="67">
        <v>0</v>
      </c>
      <c r="Y6" s="74">
        <v>0</v>
      </c>
    </row>
    <row r="7" spans="1:25" x14ac:dyDescent="0.25">
      <c r="A7" s="18" t="s">
        <v>4</v>
      </c>
      <c r="B7" s="75">
        <v>6</v>
      </c>
      <c r="C7" s="66">
        <v>713</v>
      </c>
      <c r="D7" s="66">
        <v>445</v>
      </c>
      <c r="E7"/>
      <c r="H7" s="14" t="s">
        <v>47</v>
      </c>
      <c r="I7" s="67">
        <v>0</v>
      </c>
      <c r="J7" s="67">
        <v>0</v>
      </c>
      <c r="K7" s="67">
        <v>0</v>
      </c>
      <c r="L7" s="67">
        <v>0</v>
      </c>
      <c r="M7" s="67">
        <v>0</v>
      </c>
      <c r="N7" s="67">
        <v>0</v>
      </c>
      <c r="O7" s="67">
        <v>0</v>
      </c>
      <c r="P7" s="67">
        <v>0</v>
      </c>
      <c r="Q7" s="67">
        <v>0</v>
      </c>
      <c r="R7" s="67">
        <v>0</v>
      </c>
      <c r="S7" s="67">
        <v>0</v>
      </c>
      <c r="T7" s="67">
        <v>0</v>
      </c>
      <c r="U7" s="67">
        <v>0</v>
      </c>
      <c r="V7" s="67">
        <v>0</v>
      </c>
      <c r="W7" s="67">
        <v>0</v>
      </c>
      <c r="X7" s="67">
        <v>0</v>
      </c>
      <c r="Y7" s="74">
        <v>0</v>
      </c>
    </row>
    <row r="8" spans="1:25" x14ac:dyDescent="0.25">
      <c r="A8" s="18" t="s">
        <v>2</v>
      </c>
      <c r="B8" s="75">
        <v>7</v>
      </c>
      <c r="C8" s="66">
        <v>729</v>
      </c>
      <c r="D8" s="66">
        <v>461</v>
      </c>
      <c r="E8"/>
      <c r="H8" s="14" t="s">
        <v>48</v>
      </c>
      <c r="I8" s="67">
        <v>0</v>
      </c>
      <c r="J8" s="67">
        <v>0</v>
      </c>
      <c r="K8" s="67">
        <v>0</v>
      </c>
      <c r="L8" s="67">
        <v>0</v>
      </c>
      <c r="M8" s="67">
        <v>0</v>
      </c>
      <c r="N8" s="67">
        <v>0</v>
      </c>
      <c r="O8" s="67">
        <v>0</v>
      </c>
      <c r="P8" s="67">
        <v>0</v>
      </c>
      <c r="Q8" s="67">
        <v>0</v>
      </c>
      <c r="R8" s="67">
        <v>0</v>
      </c>
      <c r="S8" s="67">
        <v>0</v>
      </c>
      <c r="T8" s="67">
        <v>0</v>
      </c>
      <c r="U8" s="67">
        <v>0</v>
      </c>
      <c r="V8" s="67">
        <v>0</v>
      </c>
      <c r="W8" s="67">
        <v>0</v>
      </c>
      <c r="X8" s="67">
        <v>0</v>
      </c>
      <c r="Y8" s="74">
        <v>0</v>
      </c>
    </row>
    <row r="9" spans="1:25" x14ac:dyDescent="0.25">
      <c r="A9" s="18" t="s">
        <v>60</v>
      </c>
      <c r="B9" s="75">
        <v>8</v>
      </c>
      <c r="C9" s="66">
        <v>747</v>
      </c>
      <c r="D9" s="66">
        <v>479</v>
      </c>
      <c r="E9"/>
      <c r="H9" s="14" t="s">
        <v>49</v>
      </c>
      <c r="I9" s="67">
        <v>0</v>
      </c>
      <c r="J9" s="67">
        <v>0</v>
      </c>
      <c r="K9" s="67">
        <v>0</v>
      </c>
      <c r="L9" s="67">
        <v>0</v>
      </c>
      <c r="M9" s="67">
        <v>0</v>
      </c>
      <c r="N9" s="67">
        <v>0</v>
      </c>
      <c r="O9" s="67">
        <v>0</v>
      </c>
      <c r="P9" s="67">
        <v>0</v>
      </c>
      <c r="Q9" s="67">
        <v>0</v>
      </c>
      <c r="R9" s="67">
        <v>0</v>
      </c>
      <c r="S9" s="67">
        <v>0</v>
      </c>
      <c r="T9" s="67">
        <v>0</v>
      </c>
      <c r="U9" s="67">
        <v>0</v>
      </c>
      <c r="V9" s="67">
        <v>0</v>
      </c>
      <c r="W9" s="67">
        <v>0</v>
      </c>
      <c r="X9" s="67">
        <v>0</v>
      </c>
      <c r="Y9" s="74">
        <v>0</v>
      </c>
    </row>
    <row r="10" spans="1:25" x14ac:dyDescent="0.25">
      <c r="A10" s="18" t="s">
        <v>43</v>
      </c>
      <c r="B10" s="75">
        <v>9</v>
      </c>
      <c r="C10" s="66">
        <v>792</v>
      </c>
      <c r="D10" s="66">
        <v>524</v>
      </c>
      <c r="E10"/>
      <c r="H10" s="14" t="s">
        <v>50</v>
      </c>
      <c r="I10" s="67">
        <v>0</v>
      </c>
      <c r="J10" s="67">
        <v>0</v>
      </c>
      <c r="K10" s="67">
        <v>0</v>
      </c>
      <c r="L10" s="67">
        <v>0</v>
      </c>
      <c r="M10" s="67">
        <v>0</v>
      </c>
      <c r="N10" s="67">
        <v>0</v>
      </c>
      <c r="O10" s="67">
        <v>0</v>
      </c>
      <c r="P10" s="67">
        <v>0</v>
      </c>
      <c r="Q10" s="67">
        <v>0</v>
      </c>
      <c r="R10" s="67">
        <v>0</v>
      </c>
      <c r="S10" s="67">
        <v>0</v>
      </c>
      <c r="T10" s="67">
        <v>0</v>
      </c>
      <c r="U10" s="67">
        <v>0</v>
      </c>
      <c r="V10" s="67">
        <v>0</v>
      </c>
      <c r="W10" s="67">
        <v>0</v>
      </c>
      <c r="X10" s="67">
        <v>0</v>
      </c>
      <c r="Y10" s="74">
        <v>0</v>
      </c>
    </row>
    <row r="11" spans="1:25" x14ac:dyDescent="0.25">
      <c r="A11" s="18" t="s">
        <v>5</v>
      </c>
      <c r="B11" s="75">
        <v>10</v>
      </c>
      <c r="C11" s="66">
        <v>884</v>
      </c>
      <c r="D11" s="66">
        <v>616</v>
      </c>
      <c r="E11"/>
      <c r="H11" s="14" t="s">
        <v>51</v>
      </c>
      <c r="I11" s="67">
        <v>0</v>
      </c>
      <c r="J11" s="67">
        <v>0</v>
      </c>
      <c r="K11" s="68">
        <v>0</v>
      </c>
      <c r="L11" s="67">
        <v>0</v>
      </c>
      <c r="M11" s="67">
        <v>0</v>
      </c>
      <c r="N11" s="67">
        <v>0</v>
      </c>
      <c r="O11" s="67">
        <v>0</v>
      </c>
      <c r="P11" s="67">
        <v>0</v>
      </c>
      <c r="Q11" s="67">
        <v>0</v>
      </c>
      <c r="R11" s="67">
        <v>0</v>
      </c>
      <c r="S11" s="67">
        <v>0</v>
      </c>
      <c r="T11" s="67">
        <v>0</v>
      </c>
      <c r="U11" s="67">
        <v>0</v>
      </c>
      <c r="V11" s="67">
        <v>0</v>
      </c>
      <c r="W11" s="67">
        <v>0</v>
      </c>
      <c r="X11" s="67">
        <v>0</v>
      </c>
      <c r="Y11" s="67">
        <v>0</v>
      </c>
    </row>
    <row r="12" spans="1:25" x14ac:dyDescent="0.25">
      <c r="A12" s="18" t="s">
        <v>68</v>
      </c>
      <c r="B12" s="75">
        <v>11</v>
      </c>
      <c r="C12" s="66">
        <v>939</v>
      </c>
      <c r="D12" s="66">
        <v>671</v>
      </c>
      <c r="E12"/>
      <c r="H12" s="14" t="s">
        <v>52</v>
      </c>
      <c r="I12" s="67">
        <v>0</v>
      </c>
      <c r="J12" s="67">
        <v>0</v>
      </c>
      <c r="K12" s="67">
        <v>0</v>
      </c>
      <c r="L12" s="67">
        <v>0</v>
      </c>
      <c r="M12" s="67">
        <v>0</v>
      </c>
      <c r="N12" s="67">
        <v>0</v>
      </c>
      <c r="O12" s="67">
        <v>0</v>
      </c>
      <c r="P12" s="67">
        <v>0</v>
      </c>
      <c r="Q12" s="67">
        <v>0</v>
      </c>
      <c r="R12" s="67">
        <v>0</v>
      </c>
      <c r="S12" s="67">
        <v>0</v>
      </c>
      <c r="T12" s="67">
        <v>0</v>
      </c>
      <c r="U12" s="67">
        <v>0</v>
      </c>
      <c r="V12" s="67">
        <v>0</v>
      </c>
      <c r="W12" s="67">
        <v>0</v>
      </c>
      <c r="X12" s="67">
        <v>0</v>
      </c>
      <c r="Y12" s="67">
        <v>0</v>
      </c>
    </row>
    <row r="13" spans="1:25" x14ac:dyDescent="0.25">
      <c r="A13" s="18" t="s">
        <v>144</v>
      </c>
      <c r="B13" s="75">
        <v>12</v>
      </c>
      <c r="C13" s="66">
        <v>995</v>
      </c>
      <c r="D13" s="66">
        <v>727</v>
      </c>
      <c r="E13"/>
      <c r="H13" s="14" t="s">
        <v>53</v>
      </c>
      <c r="I13" s="67">
        <v>0</v>
      </c>
      <c r="J13" s="67">
        <v>0</v>
      </c>
      <c r="K13" s="67">
        <v>0</v>
      </c>
      <c r="L13" s="67">
        <v>0</v>
      </c>
      <c r="M13" s="67">
        <v>0</v>
      </c>
      <c r="N13" s="67">
        <v>0</v>
      </c>
      <c r="O13" s="67">
        <v>0</v>
      </c>
      <c r="P13" s="67">
        <v>0</v>
      </c>
      <c r="Q13" s="67">
        <v>0</v>
      </c>
      <c r="R13" s="67">
        <v>0</v>
      </c>
      <c r="S13" s="67">
        <v>0</v>
      </c>
      <c r="T13" s="67">
        <v>0</v>
      </c>
      <c r="U13" s="67">
        <v>0</v>
      </c>
      <c r="V13" s="67">
        <v>0</v>
      </c>
      <c r="W13" s="67">
        <v>0</v>
      </c>
      <c r="X13" s="67">
        <v>0</v>
      </c>
      <c r="Y13" s="67">
        <v>0</v>
      </c>
    </row>
    <row r="14" spans="1:25" x14ac:dyDescent="0.25">
      <c r="A14" s="18" t="s">
        <v>79</v>
      </c>
      <c r="B14" s="75">
        <v>13</v>
      </c>
      <c r="C14" s="66">
        <v>1011</v>
      </c>
      <c r="D14" s="66">
        <v>743</v>
      </c>
      <c r="E14"/>
      <c r="H14" s="14" t="s">
        <v>54</v>
      </c>
      <c r="I14" s="67">
        <v>0</v>
      </c>
      <c r="J14" s="67">
        <v>0</v>
      </c>
      <c r="K14" s="67">
        <v>0</v>
      </c>
      <c r="L14" s="67">
        <v>0</v>
      </c>
      <c r="M14" s="67">
        <v>0</v>
      </c>
      <c r="N14" s="67">
        <v>0</v>
      </c>
      <c r="O14" s="67">
        <v>0</v>
      </c>
      <c r="P14" s="67">
        <v>0</v>
      </c>
      <c r="Q14" s="67">
        <v>0</v>
      </c>
      <c r="R14" s="67">
        <v>0</v>
      </c>
      <c r="S14" s="67">
        <v>0</v>
      </c>
      <c r="T14" s="67">
        <v>0</v>
      </c>
      <c r="U14" s="67">
        <v>0</v>
      </c>
      <c r="V14" s="67">
        <v>0</v>
      </c>
      <c r="W14" s="67">
        <v>0</v>
      </c>
      <c r="X14" s="67">
        <v>0</v>
      </c>
      <c r="Y14" s="67">
        <v>0</v>
      </c>
    </row>
    <row r="15" spans="1:25" x14ac:dyDescent="0.25">
      <c r="A15" s="18" t="s">
        <v>7</v>
      </c>
      <c r="B15" s="75">
        <v>14</v>
      </c>
      <c r="C15" s="66">
        <v>1094</v>
      </c>
      <c r="D15" s="66">
        <v>826</v>
      </c>
      <c r="E15"/>
      <c r="H15" s="14" t="s">
        <v>15</v>
      </c>
      <c r="I15" s="67">
        <v>0</v>
      </c>
      <c r="J15" s="67">
        <v>0</v>
      </c>
      <c r="K15" s="67">
        <v>0</v>
      </c>
      <c r="L15" s="67">
        <v>0</v>
      </c>
      <c r="M15" s="67">
        <v>0</v>
      </c>
      <c r="N15" s="67">
        <v>0</v>
      </c>
      <c r="O15" s="67">
        <v>0</v>
      </c>
      <c r="P15" s="67">
        <v>0</v>
      </c>
      <c r="Q15" s="67">
        <v>0</v>
      </c>
      <c r="R15" s="67">
        <v>0</v>
      </c>
      <c r="S15" s="67">
        <v>0</v>
      </c>
      <c r="T15" s="67">
        <v>0</v>
      </c>
      <c r="U15" s="67">
        <v>0</v>
      </c>
      <c r="V15" s="67">
        <v>0</v>
      </c>
      <c r="W15" s="67">
        <v>0</v>
      </c>
      <c r="X15" s="67">
        <v>0</v>
      </c>
      <c r="Y15" s="67">
        <v>0</v>
      </c>
    </row>
    <row r="16" spans="1:25" x14ac:dyDescent="0.25">
      <c r="A16" s="18" t="s">
        <v>106</v>
      </c>
      <c r="B16" s="75">
        <v>15</v>
      </c>
      <c r="C16" s="66">
        <v>1103</v>
      </c>
      <c r="D16" s="66">
        <v>835</v>
      </c>
      <c r="E16"/>
      <c r="H16" s="14" t="s">
        <v>55</v>
      </c>
      <c r="I16" s="67">
        <v>0</v>
      </c>
      <c r="J16" s="67">
        <v>0</v>
      </c>
      <c r="K16" s="67">
        <v>0</v>
      </c>
      <c r="L16" s="67">
        <v>0</v>
      </c>
      <c r="M16" s="67">
        <v>0</v>
      </c>
      <c r="N16" s="67">
        <v>0</v>
      </c>
      <c r="O16" s="67">
        <v>0</v>
      </c>
      <c r="P16" s="67">
        <v>0</v>
      </c>
      <c r="Q16" s="67">
        <v>0</v>
      </c>
      <c r="R16" s="67">
        <v>0</v>
      </c>
      <c r="S16" s="67">
        <v>0</v>
      </c>
      <c r="T16" s="67">
        <v>0</v>
      </c>
      <c r="U16" s="67">
        <v>0</v>
      </c>
      <c r="V16" s="67">
        <v>0</v>
      </c>
      <c r="W16" s="67">
        <v>0</v>
      </c>
      <c r="X16" s="67">
        <v>0</v>
      </c>
      <c r="Y16" s="67">
        <v>0</v>
      </c>
    </row>
    <row r="17" spans="1:25" x14ac:dyDescent="0.25">
      <c r="A17" s="18" t="s">
        <v>19</v>
      </c>
      <c r="B17" s="75">
        <v>16</v>
      </c>
      <c r="C17" s="66">
        <v>1153</v>
      </c>
      <c r="D17" s="66">
        <v>885</v>
      </c>
      <c r="H17" s="14" t="s">
        <v>56</v>
      </c>
      <c r="I17" s="67">
        <v>0</v>
      </c>
      <c r="J17" s="67">
        <v>0</v>
      </c>
      <c r="K17" s="67">
        <v>0</v>
      </c>
      <c r="L17" s="67">
        <v>0</v>
      </c>
      <c r="M17" s="67">
        <v>0</v>
      </c>
      <c r="N17" s="67">
        <v>0</v>
      </c>
      <c r="O17" s="67">
        <v>0</v>
      </c>
      <c r="P17" s="67">
        <v>0</v>
      </c>
      <c r="Q17" s="67">
        <v>0</v>
      </c>
      <c r="R17" s="67">
        <v>0</v>
      </c>
      <c r="S17" s="67">
        <v>0</v>
      </c>
      <c r="T17" s="67">
        <v>0</v>
      </c>
      <c r="U17" s="67">
        <v>0</v>
      </c>
      <c r="V17" s="67">
        <v>0</v>
      </c>
      <c r="W17" s="67">
        <v>0</v>
      </c>
      <c r="X17" s="67">
        <v>0</v>
      </c>
      <c r="Y17" s="67">
        <v>0</v>
      </c>
    </row>
    <row r="18" spans="1:25" x14ac:dyDescent="0.25">
      <c r="A18" s="18" t="s">
        <v>62</v>
      </c>
      <c r="B18" s="75">
        <v>17</v>
      </c>
      <c r="C18" s="66">
        <v>1600</v>
      </c>
      <c r="D18" s="66">
        <v>1332</v>
      </c>
      <c r="H18" s="14" t="s">
        <v>93</v>
      </c>
      <c r="I18" s="67">
        <v>0</v>
      </c>
      <c r="J18" s="67">
        <v>0</v>
      </c>
      <c r="K18" s="67">
        <v>0</v>
      </c>
      <c r="L18" s="67">
        <v>0</v>
      </c>
      <c r="M18" s="67">
        <v>0</v>
      </c>
      <c r="N18" s="67">
        <v>0</v>
      </c>
      <c r="O18" s="67">
        <v>0</v>
      </c>
      <c r="P18" s="67">
        <v>0</v>
      </c>
      <c r="Q18" s="67">
        <v>0</v>
      </c>
      <c r="R18" s="67">
        <v>0</v>
      </c>
      <c r="S18" s="67">
        <v>0</v>
      </c>
      <c r="T18" s="67">
        <v>0</v>
      </c>
      <c r="U18" s="67">
        <v>0</v>
      </c>
      <c r="V18" s="67">
        <v>0</v>
      </c>
      <c r="W18" s="67">
        <v>0</v>
      </c>
      <c r="X18" s="67">
        <v>0</v>
      </c>
      <c r="Y18" s="67">
        <v>0</v>
      </c>
    </row>
    <row r="19" spans="1:25" x14ac:dyDescent="0.25">
      <c r="H19" s="14" t="s">
        <v>57</v>
      </c>
      <c r="I19" s="67">
        <v>0</v>
      </c>
      <c r="J19" s="67">
        <v>0</v>
      </c>
      <c r="K19" s="67">
        <v>0</v>
      </c>
      <c r="L19" s="67">
        <v>0</v>
      </c>
      <c r="M19" s="67">
        <v>0</v>
      </c>
      <c r="N19" s="67">
        <v>0</v>
      </c>
      <c r="O19" s="67">
        <v>0</v>
      </c>
      <c r="P19" s="67">
        <v>0</v>
      </c>
      <c r="Q19" s="67">
        <v>0</v>
      </c>
      <c r="R19" s="67">
        <v>0</v>
      </c>
      <c r="S19" s="67">
        <v>0</v>
      </c>
      <c r="T19" s="67">
        <v>0</v>
      </c>
      <c r="U19" s="67">
        <v>0</v>
      </c>
      <c r="V19" s="67">
        <v>0</v>
      </c>
      <c r="W19" s="67">
        <v>0</v>
      </c>
      <c r="X19" s="67">
        <v>0</v>
      </c>
      <c r="Y19" s="67">
        <v>0</v>
      </c>
    </row>
    <row r="20" spans="1:25" x14ac:dyDescent="0.25">
      <c r="H20" s="14" t="s">
        <v>67</v>
      </c>
      <c r="I20" s="67">
        <v>884</v>
      </c>
      <c r="J20" s="67">
        <v>792</v>
      </c>
      <c r="K20" s="67">
        <v>1103</v>
      </c>
      <c r="L20" s="67">
        <v>747</v>
      </c>
      <c r="M20" s="67">
        <v>1600</v>
      </c>
      <c r="N20" s="67">
        <v>1153</v>
      </c>
      <c r="O20" s="67">
        <v>268</v>
      </c>
      <c r="P20" s="67">
        <v>713</v>
      </c>
      <c r="Q20" s="67">
        <v>729</v>
      </c>
      <c r="R20" s="67">
        <v>995</v>
      </c>
      <c r="S20" s="67">
        <v>1011</v>
      </c>
      <c r="T20" s="67">
        <v>1094</v>
      </c>
      <c r="U20" s="67">
        <v>563</v>
      </c>
      <c r="V20" s="67">
        <v>408</v>
      </c>
      <c r="W20" s="67">
        <v>584</v>
      </c>
      <c r="X20" s="67">
        <v>939</v>
      </c>
      <c r="Y20" s="67">
        <v>685</v>
      </c>
    </row>
    <row r="21" spans="1:25" x14ac:dyDescent="0.25">
      <c r="A21" s="57" t="s">
        <v>8</v>
      </c>
      <c r="B21" s="9" t="s">
        <v>41</v>
      </c>
      <c r="C21" s="9"/>
      <c r="D21" s="9"/>
      <c r="H21" s="47" t="s">
        <v>9</v>
      </c>
      <c r="I21" s="48" t="s">
        <v>41</v>
      </c>
    </row>
    <row r="22" spans="1:25" x14ac:dyDescent="0.25">
      <c r="A22" s="9"/>
      <c r="B22" s="9"/>
      <c r="C22" s="9"/>
      <c r="D22" s="9"/>
    </row>
    <row r="23" spans="1:25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5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0.13758059994393049</v>
      </c>
      <c r="J24"/>
      <c r="K24"/>
      <c r="M24"/>
      <c r="N24"/>
      <c r="O24"/>
      <c r="P24"/>
      <c r="Q24"/>
      <c r="R24"/>
      <c r="S24"/>
      <c r="T24"/>
      <c r="U24"/>
    </row>
    <row r="25" spans="1:25" x14ac:dyDescent="0.25">
      <c r="A25" s="14" t="s">
        <v>27</v>
      </c>
      <c r="B25" s="67">
        <v>1963</v>
      </c>
      <c r="C25" s="67">
        <v>4066</v>
      </c>
      <c r="D25" s="67">
        <v>4514</v>
      </c>
      <c r="E25" s="67">
        <v>3725</v>
      </c>
      <c r="F25" s="69">
        <v>14268</v>
      </c>
      <c r="H25" s="52" t="s">
        <v>6</v>
      </c>
      <c r="I25" s="53">
        <v>0.28497336697504905</v>
      </c>
      <c r="J25"/>
      <c r="K25"/>
      <c r="M25"/>
      <c r="N25"/>
      <c r="O25"/>
      <c r="P25"/>
      <c r="Q25"/>
      <c r="R25"/>
      <c r="S25"/>
      <c r="T25"/>
      <c r="U25"/>
    </row>
    <row r="26" spans="1:25" x14ac:dyDescent="0.25">
      <c r="A26" s="14" t="s">
        <v>44</v>
      </c>
      <c r="B26" s="67">
        <v>0</v>
      </c>
      <c r="C26" s="67">
        <v>0</v>
      </c>
      <c r="D26" s="67">
        <v>0</v>
      </c>
      <c r="E26" s="67">
        <v>0</v>
      </c>
      <c r="F26" s="69">
        <v>0</v>
      </c>
      <c r="H26" s="52" t="s">
        <v>17</v>
      </c>
      <c r="I26" s="53">
        <v>0.316372301654051</v>
      </c>
      <c r="J26"/>
      <c r="K26"/>
      <c r="M26"/>
      <c r="N26"/>
      <c r="O26"/>
      <c r="P26"/>
      <c r="Q26"/>
      <c r="R26"/>
      <c r="S26"/>
      <c r="T26"/>
      <c r="U26"/>
    </row>
    <row r="27" spans="1:25" x14ac:dyDescent="0.25">
      <c r="A27" s="14" t="s">
        <v>45</v>
      </c>
      <c r="B27" s="67">
        <v>0</v>
      </c>
      <c r="C27" s="67">
        <v>0</v>
      </c>
      <c r="D27" s="67">
        <v>0</v>
      </c>
      <c r="E27" s="67">
        <v>0</v>
      </c>
      <c r="F27" s="69">
        <v>0</v>
      </c>
      <c r="H27" s="54" t="s">
        <v>20</v>
      </c>
      <c r="I27" s="55">
        <v>0.26107373142696944</v>
      </c>
      <c r="J27"/>
      <c r="K27"/>
      <c r="M27"/>
      <c r="N27"/>
      <c r="O27"/>
      <c r="P27"/>
      <c r="Q27"/>
      <c r="R27"/>
      <c r="S27"/>
      <c r="T27"/>
      <c r="U27"/>
    </row>
    <row r="28" spans="1:25" x14ac:dyDescent="0.25">
      <c r="A28" s="14" t="s">
        <v>46</v>
      </c>
      <c r="B28" s="67">
        <v>0</v>
      </c>
      <c r="C28" s="67">
        <v>0</v>
      </c>
      <c r="D28" s="67">
        <v>0</v>
      </c>
      <c r="E28" s="67">
        <v>0</v>
      </c>
      <c r="F28" s="69">
        <v>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5" x14ac:dyDescent="0.25">
      <c r="A29" s="14" t="s">
        <v>47</v>
      </c>
      <c r="B29" s="67">
        <v>0</v>
      </c>
      <c r="C29" s="67">
        <v>0</v>
      </c>
      <c r="D29" s="67">
        <v>0</v>
      </c>
      <c r="E29" s="67">
        <v>0</v>
      </c>
      <c r="F29" s="69">
        <v>0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5" x14ac:dyDescent="0.25">
      <c r="A30" s="14" t="s">
        <v>48</v>
      </c>
      <c r="B30" s="67">
        <v>0</v>
      </c>
      <c r="C30" s="67">
        <v>0</v>
      </c>
      <c r="D30" s="67">
        <v>0</v>
      </c>
      <c r="E30" s="67">
        <v>0</v>
      </c>
      <c r="F30" s="69">
        <v>0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5" x14ac:dyDescent="0.25">
      <c r="A31" s="14" t="s">
        <v>49</v>
      </c>
      <c r="B31" s="67">
        <v>0</v>
      </c>
      <c r="C31" s="67">
        <v>0</v>
      </c>
      <c r="D31" s="67">
        <v>0</v>
      </c>
      <c r="E31" s="67">
        <v>0</v>
      </c>
      <c r="F31" s="69">
        <v>0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5" x14ac:dyDescent="0.25">
      <c r="A32" s="14" t="s">
        <v>50</v>
      </c>
      <c r="B32" s="67">
        <v>0</v>
      </c>
      <c r="C32" s="67">
        <v>0</v>
      </c>
      <c r="D32" s="67">
        <v>0</v>
      </c>
      <c r="E32" s="67">
        <v>0</v>
      </c>
      <c r="F32" s="69">
        <v>0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7">
        <v>0</v>
      </c>
      <c r="C33" s="67">
        <v>0</v>
      </c>
      <c r="D33" s="67">
        <v>0</v>
      </c>
      <c r="E33" s="67">
        <v>0</v>
      </c>
      <c r="F33" s="69">
        <v>0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7">
        <v>0</v>
      </c>
      <c r="C34" s="67">
        <v>0</v>
      </c>
      <c r="D34" s="67">
        <v>0</v>
      </c>
      <c r="E34" s="67">
        <v>0</v>
      </c>
      <c r="F34" s="69">
        <v>0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7">
        <v>0</v>
      </c>
      <c r="C35" s="67">
        <v>0</v>
      </c>
      <c r="D35" s="67">
        <v>0</v>
      </c>
      <c r="E35" s="67">
        <v>0</v>
      </c>
      <c r="F35" s="69">
        <v>0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7">
        <v>0</v>
      </c>
      <c r="C36" s="67">
        <v>0</v>
      </c>
      <c r="D36" s="70">
        <v>0</v>
      </c>
      <c r="E36" s="67">
        <v>0</v>
      </c>
      <c r="F36" s="69">
        <v>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7">
        <v>0</v>
      </c>
      <c r="C37" s="67">
        <v>0</v>
      </c>
      <c r="D37" s="67">
        <v>0</v>
      </c>
      <c r="E37" s="67">
        <v>0</v>
      </c>
      <c r="F37" s="69">
        <v>0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7">
        <v>0</v>
      </c>
      <c r="C38" s="67">
        <v>0</v>
      </c>
      <c r="D38" s="67">
        <v>0</v>
      </c>
      <c r="E38" s="67">
        <v>0</v>
      </c>
      <c r="F38" s="69">
        <v>0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7">
        <v>0</v>
      </c>
      <c r="C39" s="67">
        <v>0</v>
      </c>
      <c r="D39" s="67">
        <v>0</v>
      </c>
      <c r="E39" s="67">
        <v>0</v>
      </c>
      <c r="F39" s="69">
        <v>0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93</v>
      </c>
      <c r="B40" s="67">
        <v>0</v>
      </c>
      <c r="C40" s="67">
        <v>0</v>
      </c>
      <c r="D40" s="67">
        <v>0</v>
      </c>
      <c r="E40" s="67">
        <v>0</v>
      </c>
      <c r="F40" s="69">
        <v>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7">
        <v>0</v>
      </c>
      <c r="C41" s="67">
        <v>0</v>
      </c>
      <c r="D41" s="67">
        <v>0</v>
      </c>
      <c r="E41" s="67">
        <v>0</v>
      </c>
      <c r="F41" s="69">
        <v>0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7">
        <v>1963</v>
      </c>
      <c r="C42" s="67">
        <v>4066</v>
      </c>
      <c r="D42" s="67">
        <v>4514</v>
      </c>
      <c r="E42" s="67">
        <v>3725</v>
      </c>
      <c r="F42" s="68">
        <v>14268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8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Y17 I19:Y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Y17 I19:Y19">
    <cfRule type="cellIs" dxfId="178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77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76" priority="3" operator="equal">
      <formula>0</formula>
    </cfRule>
  </conditionalFormatting>
  <conditionalFormatting pivot="1" sqref="I18:Y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Y18">
    <cfRule type="cellIs" dxfId="175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57"/>
  <sheetViews>
    <sheetView showGridLines="0" topLeftCell="E1" zoomScale="115" zoomScaleNormal="115" workbookViewId="0">
      <selection activeCell="M1" sqref="M1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4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93</v>
      </c>
      <c r="W2" s="26" t="s">
        <v>57</v>
      </c>
    </row>
    <row r="3" spans="1:23" x14ac:dyDescent="0.25">
      <c r="A3" s="19"/>
      <c r="B3" s="19"/>
      <c r="C3" s="19"/>
      <c r="D3" s="63"/>
      <c r="F3" s="21" t="s">
        <v>5</v>
      </c>
      <c r="G3" s="23">
        <f t="shared" ref="G3:W17" si="0">SUMIFS($C:$C,$A:$A,G$2,$B:$B,$F3)</f>
        <v>0</v>
      </c>
      <c r="H3" s="23">
        <f t="shared" si="0"/>
        <v>0</v>
      </c>
      <c r="I3" s="23">
        <f t="shared" si="0"/>
        <v>0</v>
      </c>
      <c r="J3" s="23">
        <f t="shared" si="0"/>
        <v>0</v>
      </c>
      <c r="K3" s="23">
        <f t="shared" si="0"/>
        <v>0</v>
      </c>
      <c r="L3" s="23">
        <f t="shared" si="0"/>
        <v>0</v>
      </c>
      <c r="M3" s="23">
        <f t="shared" si="0"/>
        <v>0</v>
      </c>
      <c r="N3" s="23">
        <f t="shared" si="0"/>
        <v>0</v>
      </c>
      <c r="O3" s="23">
        <f t="shared" si="0"/>
        <v>0</v>
      </c>
      <c r="P3" s="23">
        <f t="shared" si="0"/>
        <v>0</v>
      </c>
      <c r="Q3" s="23">
        <f t="shared" si="0"/>
        <v>0</v>
      </c>
      <c r="R3" s="23">
        <f t="shared" si="0"/>
        <v>0</v>
      </c>
      <c r="S3" s="23">
        <f t="shared" si="0"/>
        <v>0</v>
      </c>
      <c r="T3" s="23">
        <f t="shared" si="0"/>
        <v>0</v>
      </c>
      <c r="U3" s="23">
        <f t="shared" si="0"/>
        <v>0</v>
      </c>
      <c r="V3" s="23">
        <f t="shared" si="0"/>
        <v>0</v>
      </c>
      <c r="W3" s="23">
        <f t="shared" si="0"/>
        <v>0</v>
      </c>
    </row>
    <row r="4" spans="1:23" x14ac:dyDescent="0.25">
      <c r="A4" s="19"/>
      <c r="B4" s="19"/>
      <c r="C4" s="19"/>
      <c r="D4" s="63"/>
      <c r="F4" s="22" t="s">
        <v>43</v>
      </c>
      <c r="G4" s="24">
        <f t="shared" si="0"/>
        <v>0</v>
      </c>
      <c r="H4" s="24">
        <f t="shared" si="0"/>
        <v>0</v>
      </c>
      <c r="I4" s="24">
        <f t="shared" si="0"/>
        <v>0</v>
      </c>
      <c r="J4" s="24">
        <f t="shared" si="0"/>
        <v>0</v>
      </c>
      <c r="K4" s="24">
        <f t="shared" si="0"/>
        <v>0</v>
      </c>
      <c r="L4" s="24">
        <f t="shared" si="0"/>
        <v>0</v>
      </c>
      <c r="M4" s="24">
        <f t="shared" si="0"/>
        <v>0</v>
      </c>
      <c r="N4" s="24">
        <f t="shared" si="0"/>
        <v>0</v>
      </c>
      <c r="O4" s="24">
        <f t="shared" si="0"/>
        <v>0</v>
      </c>
      <c r="P4" s="24">
        <f t="shared" si="0"/>
        <v>0</v>
      </c>
      <c r="Q4" s="24">
        <f t="shared" si="0"/>
        <v>0</v>
      </c>
      <c r="R4" s="24">
        <f t="shared" si="0"/>
        <v>0</v>
      </c>
      <c r="S4" s="24">
        <f t="shared" si="0"/>
        <v>0</v>
      </c>
      <c r="T4" s="24">
        <f t="shared" si="0"/>
        <v>0</v>
      </c>
      <c r="U4" s="24">
        <f t="shared" si="0"/>
        <v>0</v>
      </c>
      <c r="V4" s="24">
        <f t="shared" si="0"/>
        <v>0</v>
      </c>
      <c r="W4" s="24">
        <f t="shared" si="0"/>
        <v>0</v>
      </c>
    </row>
    <row r="5" spans="1:23" x14ac:dyDescent="0.25">
      <c r="A5" s="19"/>
      <c r="B5" s="19"/>
      <c r="C5" s="19"/>
      <c r="D5" s="63"/>
      <c r="F5" s="21" t="s">
        <v>60</v>
      </c>
      <c r="G5" s="24">
        <f t="shared" si="0"/>
        <v>0</v>
      </c>
      <c r="H5" s="24">
        <f t="shared" si="0"/>
        <v>0</v>
      </c>
      <c r="I5" s="24">
        <f t="shared" si="0"/>
        <v>0</v>
      </c>
      <c r="J5" s="24">
        <f t="shared" si="0"/>
        <v>0</v>
      </c>
      <c r="K5" s="24">
        <f t="shared" si="0"/>
        <v>0</v>
      </c>
      <c r="L5" s="24">
        <f t="shared" si="0"/>
        <v>0</v>
      </c>
      <c r="M5" s="24">
        <f t="shared" si="0"/>
        <v>0</v>
      </c>
      <c r="N5" s="24">
        <f t="shared" si="0"/>
        <v>0</v>
      </c>
      <c r="O5" s="24">
        <f t="shared" si="0"/>
        <v>0</v>
      </c>
      <c r="P5" s="24">
        <f t="shared" si="0"/>
        <v>0</v>
      </c>
      <c r="Q5" s="24">
        <f t="shared" si="0"/>
        <v>0</v>
      </c>
      <c r="R5" s="24">
        <f t="shared" si="0"/>
        <v>0</v>
      </c>
      <c r="S5" s="24">
        <f t="shared" si="0"/>
        <v>0</v>
      </c>
      <c r="T5" s="24">
        <f t="shared" si="0"/>
        <v>0</v>
      </c>
      <c r="U5" s="24">
        <f t="shared" si="0"/>
        <v>0</v>
      </c>
      <c r="V5" s="24">
        <f t="shared" si="0"/>
        <v>0</v>
      </c>
      <c r="W5" s="24">
        <f t="shared" si="0"/>
        <v>0</v>
      </c>
    </row>
    <row r="6" spans="1:23" x14ac:dyDescent="0.25">
      <c r="A6" s="19"/>
      <c r="B6" s="19"/>
      <c r="C6" s="19"/>
      <c r="D6" s="63"/>
      <c r="F6" s="22" t="s">
        <v>62</v>
      </c>
      <c r="G6" s="24">
        <f t="shared" si="0"/>
        <v>0</v>
      </c>
      <c r="H6" s="24">
        <f t="shared" si="0"/>
        <v>0</v>
      </c>
      <c r="I6" s="24">
        <f t="shared" si="0"/>
        <v>0</v>
      </c>
      <c r="J6" s="24">
        <f t="shared" si="0"/>
        <v>0</v>
      </c>
      <c r="K6" s="24">
        <f t="shared" si="0"/>
        <v>0</v>
      </c>
      <c r="L6" s="24">
        <f t="shared" si="0"/>
        <v>0</v>
      </c>
      <c r="M6" s="24">
        <f t="shared" si="0"/>
        <v>0</v>
      </c>
      <c r="N6" s="24">
        <f t="shared" si="0"/>
        <v>0</v>
      </c>
      <c r="O6" s="24">
        <f t="shared" si="0"/>
        <v>0</v>
      </c>
      <c r="P6" s="24">
        <f t="shared" si="0"/>
        <v>0</v>
      </c>
      <c r="Q6" s="24">
        <f t="shared" si="0"/>
        <v>0</v>
      </c>
      <c r="R6" s="24">
        <f t="shared" si="0"/>
        <v>0</v>
      </c>
      <c r="S6" s="24">
        <f t="shared" si="0"/>
        <v>0</v>
      </c>
      <c r="T6" s="24">
        <f t="shared" si="0"/>
        <v>0</v>
      </c>
      <c r="U6" s="24">
        <f t="shared" si="0"/>
        <v>0</v>
      </c>
      <c r="V6" s="24">
        <f t="shared" si="0"/>
        <v>0</v>
      </c>
      <c r="W6" s="24">
        <f t="shared" si="0"/>
        <v>0</v>
      </c>
    </row>
    <row r="7" spans="1:23" x14ac:dyDescent="0.25">
      <c r="A7" s="19"/>
      <c r="B7" s="19"/>
      <c r="C7" s="19"/>
      <c r="D7" s="63"/>
      <c r="F7" s="21" t="s">
        <v>19</v>
      </c>
      <c r="G7" s="24">
        <f t="shared" si="0"/>
        <v>0</v>
      </c>
      <c r="H7" s="24">
        <f t="shared" si="0"/>
        <v>0</v>
      </c>
      <c r="I7" s="24">
        <f t="shared" si="0"/>
        <v>0</v>
      </c>
      <c r="J7" s="24">
        <f t="shared" si="0"/>
        <v>0</v>
      </c>
      <c r="K7" s="24">
        <f t="shared" si="0"/>
        <v>0</v>
      </c>
      <c r="L7" s="24">
        <f t="shared" si="0"/>
        <v>0</v>
      </c>
      <c r="M7" s="24">
        <f t="shared" si="0"/>
        <v>0</v>
      </c>
      <c r="N7" s="24">
        <f t="shared" si="0"/>
        <v>0</v>
      </c>
      <c r="O7" s="24">
        <f t="shared" si="0"/>
        <v>0</v>
      </c>
      <c r="P7" s="24">
        <f t="shared" si="0"/>
        <v>0</v>
      </c>
      <c r="Q7" s="24">
        <f t="shared" si="0"/>
        <v>0</v>
      </c>
      <c r="R7" s="24">
        <f t="shared" si="0"/>
        <v>0</v>
      </c>
      <c r="S7" s="24">
        <f t="shared" si="0"/>
        <v>0</v>
      </c>
      <c r="T7" s="24">
        <f t="shared" si="0"/>
        <v>0</v>
      </c>
      <c r="U7" s="24">
        <f t="shared" si="0"/>
        <v>0</v>
      </c>
      <c r="V7" s="24">
        <f t="shared" si="0"/>
        <v>0</v>
      </c>
      <c r="W7" s="24">
        <f t="shared" si="0"/>
        <v>0</v>
      </c>
    </row>
    <row r="8" spans="1:23" x14ac:dyDescent="0.25">
      <c r="A8" s="19"/>
      <c r="B8" s="19"/>
      <c r="C8" s="19"/>
      <c r="D8" s="63"/>
      <c r="F8" s="22" t="s">
        <v>26</v>
      </c>
      <c r="G8" s="24">
        <f t="shared" si="0"/>
        <v>0</v>
      </c>
      <c r="H8" s="24">
        <f t="shared" si="0"/>
        <v>0</v>
      </c>
      <c r="I8" s="24">
        <f t="shared" si="0"/>
        <v>0</v>
      </c>
      <c r="J8" s="24">
        <f t="shared" si="0"/>
        <v>0</v>
      </c>
      <c r="K8" s="24">
        <f t="shared" si="0"/>
        <v>0</v>
      </c>
      <c r="L8" s="24">
        <f t="shared" si="0"/>
        <v>0</v>
      </c>
      <c r="M8" s="24">
        <f t="shared" si="0"/>
        <v>0</v>
      </c>
      <c r="N8" s="24">
        <f t="shared" si="0"/>
        <v>0</v>
      </c>
      <c r="O8" s="24">
        <f t="shared" si="0"/>
        <v>0</v>
      </c>
      <c r="P8" s="24">
        <f t="shared" si="0"/>
        <v>0</v>
      </c>
      <c r="Q8" s="24">
        <f t="shared" si="0"/>
        <v>0</v>
      </c>
      <c r="R8" s="24">
        <f t="shared" si="0"/>
        <v>0</v>
      </c>
      <c r="S8" s="24">
        <f t="shared" si="0"/>
        <v>0</v>
      </c>
      <c r="T8" s="24">
        <f t="shared" si="0"/>
        <v>0</v>
      </c>
      <c r="U8" s="24">
        <f t="shared" si="0"/>
        <v>0</v>
      </c>
      <c r="V8" s="24">
        <f t="shared" si="0"/>
        <v>0</v>
      </c>
      <c r="W8" s="24">
        <f t="shared" si="0"/>
        <v>0</v>
      </c>
    </row>
    <row r="9" spans="1:23" x14ac:dyDescent="0.25">
      <c r="A9" s="19"/>
      <c r="B9" s="19"/>
      <c r="C9" s="19"/>
      <c r="D9" s="63"/>
      <c r="F9" s="21" t="s">
        <v>4</v>
      </c>
      <c r="G9" s="24">
        <f t="shared" si="0"/>
        <v>0</v>
      </c>
      <c r="H9" s="24">
        <f t="shared" si="0"/>
        <v>0</v>
      </c>
      <c r="I9" s="24">
        <f t="shared" si="0"/>
        <v>0</v>
      </c>
      <c r="J9" s="24">
        <f t="shared" si="0"/>
        <v>0</v>
      </c>
      <c r="K9" s="24">
        <f t="shared" si="0"/>
        <v>0</v>
      </c>
      <c r="L9" s="24">
        <f t="shared" si="0"/>
        <v>0</v>
      </c>
      <c r="M9" s="24">
        <f t="shared" si="0"/>
        <v>0</v>
      </c>
      <c r="N9" s="24">
        <f t="shared" si="0"/>
        <v>0</v>
      </c>
      <c r="O9" s="24">
        <f t="shared" si="0"/>
        <v>0</v>
      </c>
      <c r="P9" s="24">
        <f t="shared" si="0"/>
        <v>0</v>
      </c>
      <c r="Q9" s="24">
        <f t="shared" si="0"/>
        <v>0</v>
      </c>
      <c r="R9" s="24">
        <f t="shared" si="0"/>
        <v>0</v>
      </c>
      <c r="S9" s="24">
        <f t="shared" si="0"/>
        <v>0</v>
      </c>
      <c r="T9" s="24">
        <f t="shared" si="0"/>
        <v>0</v>
      </c>
      <c r="U9" s="24">
        <f t="shared" si="0"/>
        <v>0</v>
      </c>
      <c r="V9" s="24">
        <f t="shared" si="0"/>
        <v>0</v>
      </c>
      <c r="W9" s="24">
        <f t="shared" si="0"/>
        <v>0</v>
      </c>
    </row>
    <row r="10" spans="1:23" x14ac:dyDescent="0.25">
      <c r="A10" s="19"/>
      <c r="B10" s="19"/>
      <c r="C10" s="19"/>
      <c r="D10" s="63"/>
      <c r="F10" s="22" t="s">
        <v>2</v>
      </c>
      <c r="G10" s="24">
        <f t="shared" si="0"/>
        <v>0</v>
      </c>
      <c r="H10" s="24">
        <f t="shared" si="0"/>
        <v>0</v>
      </c>
      <c r="I10" s="24">
        <f t="shared" si="0"/>
        <v>0</v>
      </c>
      <c r="J10" s="24">
        <f t="shared" si="0"/>
        <v>0</v>
      </c>
      <c r="K10" s="24">
        <f t="shared" si="0"/>
        <v>0</v>
      </c>
      <c r="L10" s="24">
        <f t="shared" si="0"/>
        <v>0</v>
      </c>
      <c r="M10" s="24">
        <f t="shared" si="0"/>
        <v>0</v>
      </c>
      <c r="N10" s="24">
        <f t="shared" si="0"/>
        <v>0</v>
      </c>
      <c r="O10" s="24">
        <f t="shared" si="0"/>
        <v>0</v>
      </c>
      <c r="P10" s="24">
        <f t="shared" si="0"/>
        <v>0</v>
      </c>
      <c r="Q10" s="24">
        <f t="shared" si="0"/>
        <v>0</v>
      </c>
      <c r="R10" s="24">
        <f t="shared" si="0"/>
        <v>0</v>
      </c>
      <c r="S10" s="24">
        <f t="shared" si="0"/>
        <v>0</v>
      </c>
      <c r="T10" s="24">
        <f t="shared" si="0"/>
        <v>0</v>
      </c>
      <c r="U10" s="24">
        <f t="shared" si="0"/>
        <v>0</v>
      </c>
      <c r="V10" s="24">
        <f t="shared" si="0"/>
        <v>0</v>
      </c>
      <c r="W10" s="24">
        <f t="shared" si="0"/>
        <v>0</v>
      </c>
    </row>
    <row r="11" spans="1:23" x14ac:dyDescent="0.25">
      <c r="A11" s="19"/>
      <c r="B11" s="19"/>
      <c r="C11" s="19"/>
      <c r="D11" s="63"/>
      <c r="F11" s="21" t="s">
        <v>79</v>
      </c>
      <c r="G11" s="24">
        <f t="shared" si="0"/>
        <v>0</v>
      </c>
      <c r="H11" s="24">
        <f t="shared" si="0"/>
        <v>0</v>
      </c>
      <c r="I11" s="24">
        <f t="shared" si="0"/>
        <v>0</v>
      </c>
      <c r="J11" s="24">
        <f t="shared" si="0"/>
        <v>0</v>
      </c>
      <c r="K11" s="24">
        <f t="shared" si="0"/>
        <v>0</v>
      </c>
      <c r="L11" s="24">
        <f t="shared" si="0"/>
        <v>0</v>
      </c>
      <c r="M11" s="24">
        <f t="shared" si="0"/>
        <v>0</v>
      </c>
      <c r="N11" s="24">
        <f t="shared" si="0"/>
        <v>0</v>
      </c>
      <c r="O11" s="24">
        <f t="shared" si="0"/>
        <v>0</v>
      </c>
      <c r="P11" s="24">
        <f t="shared" si="0"/>
        <v>0</v>
      </c>
      <c r="Q11" s="24">
        <f t="shared" si="0"/>
        <v>0</v>
      </c>
      <c r="R11" s="24">
        <f t="shared" si="0"/>
        <v>0</v>
      </c>
      <c r="S11" s="24">
        <f t="shared" si="0"/>
        <v>0</v>
      </c>
      <c r="T11" s="24">
        <f t="shared" si="0"/>
        <v>0</v>
      </c>
      <c r="U11" s="24">
        <f t="shared" si="0"/>
        <v>0</v>
      </c>
      <c r="V11" s="24">
        <f t="shared" si="0"/>
        <v>0</v>
      </c>
      <c r="W11" s="24">
        <f t="shared" si="0"/>
        <v>0</v>
      </c>
    </row>
    <row r="12" spans="1:23" x14ac:dyDescent="0.25">
      <c r="A12" s="19"/>
      <c r="B12" s="19"/>
      <c r="C12" s="19"/>
      <c r="D12" s="63"/>
      <c r="F12" s="22" t="s">
        <v>7</v>
      </c>
      <c r="G12" s="24">
        <f t="shared" si="0"/>
        <v>0</v>
      </c>
      <c r="H12" s="24">
        <f t="shared" si="0"/>
        <v>0</v>
      </c>
      <c r="I12" s="24">
        <f t="shared" si="0"/>
        <v>0</v>
      </c>
      <c r="J12" s="24">
        <f t="shared" si="0"/>
        <v>0</v>
      </c>
      <c r="K12" s="24">
        <f t="shared" si="0"/>
        <v>0</v>
      </c>
      <c r="L12" s="24">
        <f t="shared" si="0"/>
        <v>0</v>
      </c>
      <c r="M12" s="24">
        <f t="shared" si="0"/>
        <v>0</v>
      </c>
      <c r="N12" s="24">
        <f t="shared" si="0"/>
        <v>0</v>
      </c>
      <c r="O12" s="24">
        <f t="shared" si="0"/>
        <v>0</v>
      </c>
      <c r="P12" s="24">
        <f t="shared" si="0"/>
        <v>0</v>
      </c>
      <c r="Q12" s="24">
        <f t="shared" si="0"/>
        <v>0</v>
      </c>
      <c r="R12" s="24">
        <f t="shared" si="0"/>
        <v>0</v>
      </c>
      <c r="S12" s="24">
        <f t="shared" si="0"/>
        <v>0</v>
      </c>
      <c r="T12" s="24">
        <f t="shared" si="0"/>
        <v>0</v>
      </c>
      <c r="U12" s="24">
        <f t="shared" si="0"/>
        <v>0</v>
      </c>
      <c r="V12" s="24">
        <f t="shared" si="0"/>
        <v>0</v>
      </c>
      <c r="W12" s="24">
        <f t="shared" si="0"/>
        <v>0</v>
      </c>
    </row>
    <row r="13" spans="1:23" x14ac:dyDescent="0.25">
      <c r="A13" s="19"/>
      <c r="B13" s="19"/>
      <c r="C13" s="19"/>
      <c r="D13" s="63"/>
      <c r="F13" s="21" t="s">
        <v>59</v>
      </c>
      <c r="G13" s="24">
        <f t="shared" si="0"/>
        <v>0</v>
      </c>
      <c r="H13" s="24">
        <f t="shared" si="0"/>
        <v>0</v>
      </c>
      <c r="I13" s="24">
        <f t="shared" si="0"/>
        <v>0</v>
      </c>
      <c r="J13" s="24">
        <f t="shared" si="0"/>
        <v>0</v>
      </c>
      <c r="K13" s="24">
        <f t="shared" si="0"/>
        <v>0</v>
      </c>
      <c r="L13" s="24">
        <f t="shared" si="0"/>
        <v>0</v>
      </c>
      <c r="M13" s="24">
        <f t="shared" si="0"/>
        <v>0</v>
      </c>
      <c r="N13" s="24">
        <f t="shared" si="0"/>
        <v>0</v>
      </c>
      <c r="O13" s="24">
        <f t="shared" si="0"/>
        <v>0</v>
      </c>
      <c r="P13" s="24">
        <f t="shared" si="0"/>
        <v>0</v>
      </c>
      <c r="Q13" s="24">
        <f t="shared" si="0"/>
        <v>0</v>
      </c>
      <c r="R13" s="24">
        <f t="shared" si="0"/>
        <v>0</v>
      </c>
      <c r="S13" s="24">
        <f t="shared" si="0"/>
        <v>0</v>
      </c>
      <c r="T13" s="24">
        <f t="shared" si="0"/>
        <v>0</v>
      </c>
      <c r="U13" s="24">
        <f t="shared" si="0"/>
        <v>0</v>
      </c>
      <c r="V13" s="24">
        <f t="shared" si="0"/>
        <v>0</v>
      </c>
      <c r="W13" s="24">
        <f t="shared" si="0"/>
        <v>0</v>
      </c>
    </row>
    <row r="14" spans="1:23" x14ac:dyDescent="0.25">
      <c r="A14" s="19"/>
      <c r="B14" s="19"/>
      <c r="C14" s="19"/>
      <c r="D14" s="63"/>
      <c r="F14" s="22" t="s">
        <v>58</v>
      </c>
      <c r="G14" s="24">
        <f t="shared" si="0"/>
        <v>0</v>
      </c>
      <c r="H14" s="24">
        <f t="shared" si="0"/>
        <v>0</v>
      </c>
      <c r="I14" s="24">
        <f t="shared" si="0"/>
        <v>0</v>
      </c>
      <c r="J14" s="24">
        <f t="shared" si="0"/>
        <v>0</v>
      </c>
      <c r="K14" s="24">
        <f t="shared" si="0"/>
        <v>0</v>
      </c>
      <c r="L14" s="24">
        <f t="shared" si="0"/>
        <v>0</v>
      </c>
      <c r="M14" s="24">
        <f t="shared" si="0"/>
        <v>0</v>
      </c>
      <c r="N14" s="24">
        <f t="shared" si="0"/>
        <v>0</v>
      </c>
      <c r="O14" s="24">
        <f t="shared" si="0"/>
        <v>0</v>
      </c>
      <c r="P14" s="24">
        <f t="shared" si="0"/>
        <v>0</v>
      </c>
      <c r="Q14" s="24">
        <f t="shared" si="0"/>
        <v>0</v>
      </c>
      <c r="R14" s="24">
        <f t="shared" si="0"/>
        <v>0</v>
      </c>
      <c r="S14" s="24">
        <f t="shared" si="0"/>
        <v>0</v>
      </c>
      <c r="T14" s="24">
        <f t="shared" si="0"/>
        <v>0</v>
      </c>
      <c r="U14" s="24">
        <f t="shared" si="0"/>
        <v>0</v>
      </c>
      <c r="V14" s="24">
        <f t="shared" si="0"/>
        <v>0</v>
      </c>
      <c r="W14" s="24">
        <f t="shared" si="0"/>
        <v>0</v>
      </c>
    </row>
    <row r="15" spans="1:23" x14ac:dyDescent="0.25">
      <c r="A15" s="19"/>
      <c r="B15" s="19"/>
      <c r="C15" s="19"/>
      <c r="D15" s="63"/>
      <c r="F15" s="21" t="s">
        <v>18</v>
      </c>
      <c r="G15" s="24">
        <f t="shared" si="0"/>
        <v>0</v>
      </c>
      <c r="H15" s="24">
        <f t="shared" si="0"/>
        <v>0</v>
      </c>
      <c r="I15" s="24">
        <f t="shared" si="0"/>
        <v>0</v>
      </c>
      <c r="J15" s="24">
        <f t="shared" si="0"/>
        <v>0</v>
      </c>
      <c r="K15" s="24">
        <f t="shared" si="0"/>
        <v>0</v>
      </c>
      <c r="L15" s="24">
        <f t="shared" si="0"/>
        <v>0</v>
      </c>
      <c r="M15" s="24">
        <f t="shared" si="0"/>
        <v>0</v>
      </c>
      <c r="N15" s="24">
        <f t="shared" si="0"/>
        <v>0</v>
      </c>
      <c r="O15" s="24">
        <f t="shared" si="0"/>
        <v>0</v>
      </c>
      <c r="P15" s="24">
        <f t="shared" si="0"/>
        <v>0</v>
      </c>
      <c r="Q15" s="24">
        <f t="shared" si="0"/>
        <v>0</v>
      </c>
      <c r="R15" s="24">
        <f t="shared" si="0"/>
        <v>0</v>
      </c>
      <c r="S15" s="24">
        <f t="shared" si="0"/>
        <v>0</v>
      </c>
      <c r="T15" s="24">
        <f t="shared" si="0"/>
        <v>0</v>
      </c>
      <c r="U15" s="24">
        <f t="shared" si="0"/>
        <v>0</v>
      </c>
      <c r="V15" s="24">
        <f t="shared" si="0"/>
        <v>0</v>
      </c>
      <c r="W15" s="24">
        <f t="shared" si="0"/>
        <v>0</v>
      </c>
    </row>
    <row r="16" spans="1:23" x14ac:dyDescent="0.25">
      <c r="A16" s="19"/>
      <c r="B16" s="19"/>
      <c r="C16" s="19"/>
      <c r="D16" s="63"/>
      <c r="F16" s="22" t="s">
        <v>68</v>
      </c>
      <c r="G16" s="24">
        <f t="shared" si="0"/>
        <v>0</v>
      </c>
      <c r="H16" s="24">
        <f t="shared" si="0"/>
        <v>0</v>
      </c>
      <c r="I16" s="24">
        <f t="shared" si="0"/>
        <v>0</v>
      </c>
      <c r="J16" s="24">
        <f t="shared" si="0"/>
        <v>0</v>
      </c>
      <c r="K16" s="24">
        <f t="shared" si="0"/>
        <v>0</v>
      </c>
      <c r="L16" s="24">
        <f t="shared" si="0"/>
        <v>0</v>
      </c>
      <c r="M16" s="24">
        <f t="shared" si="0"/>
        <v>0</v>
      </c>
      <c r="N16" s="24">
        <f t="shared" si="0"/>
        <v>0</v>
      </c>
      <c r="O16" s="24">
        <f t="shared" si="0"/>
        <v>0</v>
      </c>
      <c r="P16" s="24">
        <f t="shared" si="0"/>
        <v>0</v>
      </c>
      <c r="Q16" s="24">
        <f t="shared" si="0"/>
        <v>0</v>
      </c>
      <c r="R16" s="24">
        <f t="shared" si="0"/>
        <v>0</v>
      </c>
      <c r="S16" s="24">
        <f t="shared" si="0"/>
        <v>0</v>
      </c>
      <c r="T16" s="24">
        <f t="shared" si="0"/>
        <v>0</v>
      </c>
      <c r="U16" s="24">
        <f t="shared" si="0"/>
        <v>0</v>
      </c>
      <c r="V16" s="24">
        <f t="shared" si="0"/>
        <v>0</v>
      </c>
      <c r="W16" s="24">
        <f t="shared" si="0"/>
        <v>0</v>
      </c>
    </row>
    <row r="17" spans="1:23" x14ac:dyDescent="0.25">
      <c r="A17" s="19"/>
      <c r="B17" s="19"/>
      <c r="C17" s="19"/>
      <c r="D17" s="63"/>
      <c r="F17" s="21" t="s">
        <v>61</v>
      </c>
      <c r="G17" s="25">
        <f t="shared" si="0"/>
        <v>0</v>
      </c>
      <c r="H17" s="25">
        <f t="shared" si="0"/>
        <v>0</v>
      </c>
      <c r="I17" s="25">
        <f t="shared" si="0"/>
        <v>0</v>
      </c>
      <c r="J17" s="25">
        <f t="shared" si="0"/>
        <v>0</v>
      </c>
      <c r="K17" s="25">
        <f t="shared" si="0"/>
        <v>0</v>
      </c>
      <c r="L17" s="25">
        <f t="shared" si="0"/>
        <v>0</v>
      </c>
      <c r="M17" s="25">
        <f t="shared" si="0"/>
        <v>0</v>
      </c>
      <c r="N17" s="25">
        <f t="shared" si="0"/>
        <v>0</v>
      </c>
      <c r="O17" s="25">
        <f t="shared" si="0"/>
        <v>0</v>
      </c>
      <c r="P17" s="25">
        <f t="shared" si="0"/>
        <v>0</v>
      </c>
      <c r="Q17" s="25">
        <f t="shared" si="0"/>
        <v>0</v>
      </c>
      <c r="R17" s="25">
        <f t="shared" si="0"/>
        <v>0</v>
      </c>
      <c r="S17" s="25">
        <f t="shared" si="0"/>
        <v>0</v>
      </c>
      <c r="T17" s="25">
        <f t="shared" si="0"/>
        <v>0</v>
      </c>
      <c r="U17" s="25">
        <f t="shared" si="0"/>
        <v>0</v>
      </c>
      <c r="V17" s="25">
        <f t="shared" si="0"/>
        <v>0</v>
      </c>
      <c r="W17" s="25">
        <f t="shared" si="0"/>
        <v>0</v>
      </c>
    </row>
    <row r="18" spans="1:23" x14ac:dyDescent="0.25">
      <c r="A18" s="19"/>
      <c r="B18" s="19"/>
      <c r="C18" s="19"/>
      <c r="D18" s="63"/>
    </row>
    <row r="19" spans="1:23" x14ac:dyDescent="0.25">
      <c r="A19" s="19"/>
      <c r="B19" s="19"/>
      <c r="C19" s="19"/>
      <c r="D19" s="63"/>
    </row>
    <row r="20" spans="1:23" x14ac:dyDescent="0.25">
      <c r="A20" s="19"/>
      <c r="B20" s="19"/>
      <c r="C20" s="19"/>
      <c r="D20" s="63"/>
    </row>
    <row r="21" spans="1:23" x14ac:dyDescent="0.25">
      <c r="A21" s="19"/>
      <c r="B21" s="19"/>
      <c r="C21" s="19"/>
      <c r="D21" s="63"/>
    </row>
    <row r="22" spans="1:23" x14ac:dyDescent="0.25">
      <c r="A22" s="19"/>
      <c r="B22" s="19"/>
      <c r="C22" s="19"/>
      <c r="D22" s="63"/>
    </row>
    <row r="23" spans="1:23" x14ac:dyDescent="0.25">
      <c r="A23" s="19"/>
      <c r="B23" s="19"/>
      <c r="C23" s="19"/>
      <c r="D23" s="63"/>
    </row>
    <row r="24" spans="1:23" x14ac:dyDescent="0.25">
      <c r="A24" s="19"/>
      <c r="B24" s="19"/>
      <c r="C24" s="19"/>
      <c r="D24" s="63"/>
    </row>
    <row r="25" spans="1:23" x14ac:dyDescent="0.25">
      <c r="A25" s="19"/>
      <c r="B25" s="19"/>
      <c r="C25" s="19"/>
      <c r="D25" s="63"/>
    </row>
    <row r="26" spans="1:23" x14ac:dyDescent="0.25">
      <c r="A26" s="19"/>
      <c r="B26" s="19"/>
      <c r="C26" s="19"/>
      <c r="D26" s="63"/>
    </row>
    <row r="27" spans="1:23" x14ac:dyDescent="0.25">
      <c r="A27" s="19"/>
      <c r="B27" s="19"/>
      <c r="C27" s="19"/>
      <c r="D27" s="63"/>
    </row>
    <row r="28" spans="1:23" x14ac:dyDescent="0.25">
      <c r="A28" s="19"/>
      <c r="B28" s="19"/>
      <c r="C28" s="19"/>
      <c r="D28" s="63"/>
    </row>
    <row r="29" spans="1:23" x14ac:dyDescent="0.25">
      <c r="A29" s="19"/>
      <c r="B29" s="19"/>
      <c r="C29" s="19"/>
      <c r="D29" s="63"/>
    </row>
    <row r="30" spans="1:23" x14ac:dyDescent="0.25">
      <c r="A30" s="19"/>
      <c r="B30" s="19"/>
      <c r="C30" s="19"/>
      <c r="D30" s="63"/>
    </row>
    <row r="31" spans="1:23" x14ac:dyDescent="0.25">
      <c r="A31" s="19"/>
      <c r="B31" s="19"/>
      <c r="C31" s="19"/>
      <c r="D31" s="63"/>
    </row>
    <row r="32" spans="1:23" x14ac:dyDescent="0.25">
      <c r="A32" s="19"/>
      <c r="B32" s="19"/>
      <c r="C32" s="19"/>
      <c r="D32" s="63"/>
    </row>
    <row r="33" spans="1:4" x14ac:dyDescent="0.25">
      <c r="A33" s="19"/>
      <c r="B33" s="19"/>
      <c r="C33" s="19"/>
      <c r="D33" s="63"/>
    </row>
    <row r="34" spans="1:4" x14ac:dyDescent="0.25">
      <c r="A34" s="19"/>
      <c r="B34" s="19"/>
      <c r="C34" s="19"/>
      <c r="D34" s="63"/>
    </row>
    <row r="35" spans="1:4" x14ac:dyDescent="0.25">
      <c r="B35" s="19"/>
      <c r="C35" s="19"/>
    </row>
    <row r="36" spans="1:4" x14ac:dyDescent="0.25">
      <c r="B36" s="19"/>
      <c r="C36" s="19"/>
    </row>
    <row r="37" spans="1:4" x14ac:dyDescent="0.25">
      <c r="B37" s="19"/>
      <c r="C37" s="19"/>
    </row>
    <row r="38" spans="1:4" x14ac:dyDescent="0.25">
      <c r="B38" s="19"/>
      <c r="C38" s="19"/>
    </row>
    <row r="39" spans="1:4" x14ac:dyDescent="0.25">
      <c r="B39" s="19"/>
      <c r="C39" s="19"/>
    </row>
    <row r="40" spans="1:4" x14ac:dyDescent="0.25">
      <c r="B40" s="19"/>
      <c r="C40" s="19"/>
    </row>
    <row r="41" spans="1:4" x14ac:dyDescent="0.25">
      <c r="B41" s="19"/>
      <c r="C41" s="19"/>
    </row>
    <row r="42" spans="1:4" x14ac:dyDescent="0.25">
      <c r="B42" s="19"/>
      <c r="C42" s="19"/>
    </row>
    <row r="43" spans="1:4" x14ac:dyDescent="0.25">
      <c r="B43" s="19"/>
      <c r="C43" s="19"/>
    </row>
    <row r="44" spans="1:4" x14ac:dyDescent="0.25">
      <c r="B44" s="19"/>
      <c r="C44" s="19"/>
    </row>
    <row r="45" spans="1:4" x14ac:dyDescent="0.25">
      <c r="B45" s="19"/>
      <c r="C45" s="19"/>
    </row>
    <row r="46" spans="1:4" x14ac:dyDescent="0.25">
      <c r="B46" s="19"/>
      <c r="C46" s="19"/>
    </row>
    <row r="47" spans="1:4" x14ac:dyDescent="0.25">
      <c r="B47" s="19"/>
      <c r="C47" s="19"/>
    </row>
    <row r="48" spans="1:4" x14ac:dyDescent="0.25">
      <c r="B48" s="19"/>
      <c r="C48" s="19"/>
    </row>
    <row r="49" spans="2:3" x14ac:dyDescent="0.25">
      <c r="B49" s="19"/>
      <c r="C49" s="19"/>
    </row>
    <row r="50" spans="2:3" x14ac:dyDescent="0.25">
      <c r="B50" s="19"/>
      <c r="C50" s="19"/>
    </row>
    <row r="51" spans="2:3" x14ac:dyDescent="0.25">
      <c r="B51" s="19"/>
      <c r="C51" s="19"/>
    </row>
    <row r="52" spans="2:3" x14ac:dyDescent="0.25">
      <c r="B52" s="19"/>
      <c r="C52" s="19"/>
    </row>
    <row r="53" spans="2:3" x14ac:dyDescent="0.25">
      <c r="B53" s="19"/>
      <c r="C53" s="19"/>
    </row>
    <row r="54" spans="2:3" x14ac:dyDescent="0.25">
      <c r="B54" s="19"/>
      <c r="C54" s="19"/>
    </row>
    <row r="55" spans="2:3" x14ac:dyDescent="0.25">
      <c r="B55" s="19"/>
      <c r="C55" s="19"/>
    </row>
    <row r="56" spans="2:3" x14ac:dyDescent="0.25">
      <c r="B56" s="19"/>
      <c r="C56" s="19"/>
    </row>
    <row r="57" spans="2:3" x14ac:dyDescent="0.25">
      <c r="B57" s="19"/>
      <c r="C57" s="19"/>
    </row>
    <row r="58" spans="2:3" x14ac:dyDescent="0.25">
      <c r="B58" s="19"/>
      <c r="C58" s="19"/>
    </row>
    <row r="59" spans="2:3" x14ac:dyDescent="0.25">
      <c r="B59" s="19"/>
      <c r="C59" s="19"/>
    </row>
    <row r="60" spans="2:3" x14ac:dyDescent="0.25">
      <c r="B60" s="19"/>
      <c r="C60" s="19"/>
    </row>
    <row r="61" spans="2:3" x14ac:dyDescent="0.25">
      <c r="B61" s="19"/>
      <c r="C61" s="19"/>
    </row>
    <row r="62" spans="2:3" x14ac:dyDescent="0.25">
      <c r="B62" s="19"/>
      <c r="C62" s="19"/>
    </row>
    <row r="63" spans="2:3" x14ac:dyDescent="0.25">
      <c r="B63" s="19"/>
      <c r="C63" s="19"/>
    </row>
    <row r="64" spans="2:3" x14ac:dyDescent="0.25">
      <c r="B64" s="19"/>
      <c r="C64" s="19"/>
    </row>
    <row r="65" spans="2:3" x14ac:dyDescent="0.25">
      <c r="B65" s="19"/>
      <c r="C65" s="19"/>
    </row>
    <row r="66" spans="2:3" x14ac:dyDescent="0.25">
      <c r="B66" s="19"/>
      <c r="C66" s="19"/>
    </row>
    <row r="67" spans="2:3" x14ac:dyDescent="0.25">
      <c r="B67" s="19"/>
      <c r="C67" s="19"/>
    </row>
    <row r="68" spans="2:3" x14ac:dyDescent="0.25">
      <c r="B68" s="19"/>
      <c r="C68" s="19"/>
    </row>
    <row r="69" spans="2:3" x14ac:dyDescent="0.25">
      <c r="B69" s="19"/>
      <c r="C69" s="19"/>
    </row>
    <row r="70" spans="2:3" x14ac:dyDescent="0.25">
      <c r="B70" s="19"/>
      <c r="C70" s="19"/>
    </row>
    <row r="71" spans="2:3" x14ac:dyDescent="0.25">
      <c r="B71" s="19"/>
      <c r="C71" s="19"/>
    </row>
    <row r="72" spans="2:3" x14ac:dyDescent="0.25">
      <c r="B72" s="19"/>
      <c r="C72" s="19"/>
    </row>
    <row r="73" spans="2:3" x14ac:dyDescent="0.25">
      <c r="B73" s="19"/>
      <c r="C73" s="19"/>
    </row>
    <row r="74" spans="2:3" x14ac:dyDescent="0.25">
      <c r="B74" s="19"/>
      <c r="C74" s="19"/>
    </row>
    <row r="75" spans="2:3" x14ac:dyDescent="0.25">
      <c r="B75" s="19"/>
      <c r="C75" s="19"/>
    </row>
    <row r="76" spans="2:3" x14ac:dyDescent="0.25">
      <c r="B76" s="19"/>
      <c r="C76" s="19"/>
    </row>
    <row r="77" spans="2:3" x14ac:dyDescent="0.25">
      <c r="B77" s="19"/>
      <c r="C77" s="19"/>
    </row>
    <row r="78" spans="2:3" x14ac:dyDescent="0.25">
      <c r="B78" s="19"/>
      <c r="C78" s="19"/>
    </row>
    <row r="79" spans="2:3" x14ac:dyDescent="0.25">
      <c r="B79" s="19"/>
      <c r="C79" s="19"/>
    </row>
    <row r="80" spans="2:3" x14ac:dyDescent="0.25">
      <c r="B80" s="19"/>
      <c r="C80" s="19"/>
    </row>
    <row r="81" spans="2:3" x14ac:dyDescent="0.25">
      <c r="B81" s="19"/>
      <c r="C81" s="19"/>
    </row>
    <row r="82" spans="2:3" x14ac:dyDescent="0.25">
      <c r="B82" s="19"/>
      <c r="C82" s="19"/>
    </row>
    <row r="83" spans="2:3" x14ac:dyDescent="0.25">
      <c r="B83" s="19"/>
      <c r="C83" s="19"/>
    </row>
    <row r="84" spans="2:3" x14ac:dyDescent="0.25">
      <c r="B84" s="19"/>
      <c r="C84" s="19"/>
    </row>
    <row r="85" spans="2:3" x14ac:dyDescent="0.25">
      <c r="B85" s="19"/>
      <c r="C85" s="19"/>
    </row>
    <row r="86" spans="2:3" x14ac:dyDescent="0.25">
      <c r="B86" s="19"/>
      <c r="C86" s="19"/>
    </row>
    <row r="87" spans="2:3" x14ac:dyDescent="0.25">
      <c r="B87" s="19"/>
      <c r="C87" s="19"/>
    </row>
    <row r="88" spans="2:3" x14ac:dyDescent="0.25">
      <c r="B88" s="19"/>
      <c r="C88" s="19"/>
    </row>
    <row r="89" spans="2:3" x14ac:dyDescent="0.25">
      <c r="B89" s="19"/>
      <c r="C89" s="19"/>
    </row>
    <row r="90" spans="2:3" x14ac:dyDescent="0.25">
      <c r="B90" s="19"/>
      <c r="C90" s="19"/>
    </row>
    <row r="91" spans="2:3" x14ac:dyDescent="0.25">
      <c r="B91" s="19"/>
      <c r="C91" s="19"/>
    </row>
    <row r="92" spans="2:3" x14ac:dyDescent="0.25">
      <c r="B92" s="19"/>
      <c r="C92" s="19"/>
    </row>
    <row r="93" spans="2:3" x14ac:dyDescent="0.25">
      <c r="B93" s="19"/>
      <c r="C93" s="19"/>
    </row>
    <row r="94" spans="2:3" x14ac:dyDescent="0.25">
      <c r="B94" s="19"/>
      <c r="C94" s="19"/>
    </row>
    <row r="95" spans="2:3" x14ac:dyDescent="0.25">
      <c r="B95" s="19"/>
      <c r="C95" s="19"/>
    </row>
    <row r="96" spans="2:3" x14ac:dyDescent="0.25">
      <c r="B96" s="19"/>
      <c r="C96" s="19"/>
    </row>
    <row r="97" spans="2:3" x14ac:dyDescent="0.25">
      <c r="B97" s="19"/>
      <c r="C97" s="19"/>
    </row>
    <row r="98" spans="2:3" x14ac:dyDescent="0.25">
      <c r="B98" s="19"/>
      <c r="C98" s="19"/>
    </row>
    <row r="99" spans="2:3" x14ac:dyDescent="0.25">
      <c r="B99" s="19"/>
      <c r="C99" s="19"/>
    </row>
    <row r="100" spans="2:3" x14ac:dyDescent="0.25">
      <c r="B100" s="19"/>
      <c r="C100" s="19"/>
    </row>
    <row r="101" spans="2:3" x14ac:dyDescent="0.25">
      <c r="B101" s="19"/>
      <c r="C101" s="19"/>
    </row>
    <row r="102" spans="2:3" x14ac:dyDescent="0.25">
      <c r="B102" s="19"/>
      <c r="C102" s="19"/>
    </row>
    <row r="103" spans="2:3" x14ac:dyDescent="0.25">
      <c r="B103" s="19"/>
      <c r="C103" s="19"/>
    </row>
    <row r="104" spans="2:3" x14ac:dyDescent="0.25">
      <c r="B104" s="19"/>
      <c r="C104" s="19"/>
    </row>
    <row r="105" spans="2:3" x14ac:dyDescent="0.25">
      <c r="B105" s="19"/>
      <c r="C105" s="19"/>
    </row>
    <row r="106" spans="2:3" x14ac:dyDescent="0.25">
      <c r="B106" s="19"/>
      <c r="C106" s="19"/>
    </row>
    <row r="107" spans="2:3" x14ac:dyDescent="0.25">
      <c r="B107" s="19"/>
      <c r="C107" s="19"/>
    </row>
    <row r="108" spans="2:3" x14ac:dyDescent="0.25">
      <c r="B108" s="19"/>
      <c r="C108" s="19"/>
    </row>
    <row r="109" spans="2:3" x14ac:dyDescent="0.25">
      <c r="B109" s="19"/>
      <c r="C109" s="19"/>
    </row>
    <row r="110" spans="2:3" x14ac:dyDescent="0.25">
      <c r="B110" s="19"/>
      <c r="C110" s="19"/>
    </row>
    <row r="111" spans="2:3" x14ac:dyDescent="0.25">
      <c r="B111" s="19"/>
      <c r="C111" s="19"/>
    </row>
    <row r="112" spans="2:3" x14ac:dyDescent="0.25">
      <c r="B112" s="19"/>
      <c r="C112" s="19"/>
    </row>
    <row r="113" spans="2:3" x14ac:dyDescent="0.25">
      <c r="B113" s="19"/>
      <c r="C113" s="19"/>
    </row>
    <row r="114" spans="2:3" x14ac:dyDescent="0.25">
      <c r="B114" s="19"/>
      <c r="C114" s="19"/>
    </row>
    <row r="115" spans="2:3" x14ac:dyDescent="0.25">
      <c r="B115" s="19"/>
      <c r="C115" s="19"/>
    </row>
    <row r="116" spans="2:3" x14ac:dyDescent="0.25">
      <c r="B116" s="19"/>
      <c r="C116" s="19"/>
    </row>
    <row r="117" spans="2:3" x14ac:dyDescent="0.25">
      <c r="B117" s="19"/>
      <c r="C117" s="19"/>
    </row>
    <row r="118" spans="2:3" x14ac:dyDescent="0.25">
      <c r="B118" s="19"/>
      <c r="C118" s="19"/>
    </row>
    <row r="119" spans="2:3" x14ac:dyDescent="0.25">
      <c r="B119" s="19"/>
      <c r="C119" s="19"/>
    </row>
    <row r="120" spans="2:3" x14ac:dyDescent="0.25">
      <c r="B120" s="19"/>
      <c r="C120" s="19"/>
    </row>
    <row r="121" spans="2:3" x14ac:dyDescent="0.25">
      <c r="B121" s="19"/>
      <c r="C121" s="19"/>
    </row>
    <row r="122" spans="2:3" x14ac:dyDescent="0.25">
      <c r="B122" s="19"/>
      <c r="C122" s="19"/>
    </row>
    <row r="123" spans="2:3" x14ac:dyDescent="0.25">
      <c r="B123" s="19"/>
      <c r="C123" s="19"/>
    </row>
    <row r="124" spans="2:3" x14ac:dyDescent="0.25">
      <c r="B124" s="19"/>
      <c r="C124" s="19"/>
    </row>
    <row r="125" spans="2:3" x14ac:dyDescent="0.25">
      <c r="B125" s="19"/>
      <c r="C125" s="19"/>
    </row>
    <row r="126" spans="2:3" x14ac:dyDescent="0.25">
      <c r="B126" s="19"/>
      <c r="C126" s="19"/>
    </row>
    <row r="127" spans="2:3" x14ac:dyDescent="0.25">
      <c r="B127" s="19"/>
      <c r="C127" s="19"/>
    </row>
    <row r="128" spans="2:3" x14ac:dyDescent="0.25">
      <c r="B128" s="19"/>
      <c r="C128" s="19"/>
    </row>
    <row r="129" spans="2:3" x14ac:dyDescent="0.25">
      <c r="B129" s="19"/>
      <c r="C129" s="19"/>
    </row>
    <row r="130" spans="2:3" x14ac:dyDescent="0.25">
      <c r="B130" s="19"/>
      <c r="C130" s="19"/>
    </row>
    <row r="131" spans="2:3" x14ac:dyDescent="0.25">
      <c r="B131" s="19"/>
      <c r="C131" s="19"/>
    </row>
    <row r="132" spans="2:3" x14ac:dyDescent="0.25">
      <c r="B132" s="19"/>
      <c r="C132" s="19"/>
    </row>
    <row r="133" spans="2:3" x14ac:dyDescent="0.25">
      <c r="B133" s="19"/>
      <c r="C133" s="19"/>
    </row>
    <row r="134" spans="2:3" x14ac:dyDescent="0.25">
      <c r="B134" s="19"/>
      <c r="C134" s="19"/>
    </row>
    <row r="135" spans="2:3" x14ac:dyDescent="0.25">
      <c r="B135" s="19"/>
      <c r="C135" s="19"/>
    </row>
    <row r="136" spans="2:3" x14ac:dyDescent="0.25">
      <c r="B136" s="19"/>
      <c r="C136" s="19"/>
    </row>
    <row r="137" spans="2:3" x14ac:dyDescent="0.25">
      <c r="B137" s="19"/>
      <c r="C137" s="19"/>
    </row>
    <row r="138" spans="2:3" x14ac:dyDescent="0.25">
      <c r="B138" s="19"/>
      <c r="C138" s="19"/>
    </row>
    <row r="139" spans="2:3" x14ac:dyDescent="0.25">
      <c r="B139" s="19"/>
      <c r="C139" s="19"/>
    </row>
    <row r="140" spans="2:3" x14ac:dyDescent="0.25">
      <c r="B140" s="19"/>
      <c r="C140" s="19"/>
    </row>
    <row r="141" spans="2:3" x14ac:dyDescent="0.25">
      <c r="B141" s="19"/>
      <c r="C141" s="19"/>
    </row>
    <row r="142" spans="2:3" x14ac:dyDescent="0.25">
      <c r="B142" s="19"/>
      <c r="C142" s="19"/>
    </row>
    <row r="143" spans="2:3" x14ac:dyDescent="0.25">
      <c r="B143" s="19"/>
      <c r="C143" s="19"/>
    </row>
    <row r="144" spans="2:3" x14ac:dyDescent="0.25">
      <c r="B144" s="19"/>
      <c r="C144" s="19"/>
    </row>
    <row r="145" spans="2:3" x14ac:dyDescent="0.25">
      <c r="B145" s="19"/>
      <c r="C145" s="19"/>
    </row>
    <row r="146" spans="2:3" x14ac:dyDescent="0.25">
      <c r="B146" s="19"/>
      <c r="C146" s="19"/>
    </row>
    <row r="147" spans="2:3" x14ac:dyDescent="0.25">
      <c r="B147" s="19"/>
      <c r="C147" s="19"/>
    </row>
    <row r="148" spans="2:3" x14ac:dyDescent="0.25">
      <c r="B148" s="19"/>
      <c r="C148" s="19"/>
    </row>
    <row r="149" spans="2:3" x14ac:dyDescent="0.25">
      <c r="B149" s="19"/>
      <c r="C149" s="19"/>
    </row>
    <row r="150" spans="2:3" x14ac:dyDescent="0.25">
      <c r="B150" s="19"/>
      <c r="C150" s="19"/>
    </row>
    <row r="151" spans="2:3" x14ac:dyDescent="0.25">
      <c r="B151" s="19"/>
      <c r="C151" s="19"/>
    </row>
    <row r="152" spans="2:3" x14ac:dyDescent="0.25">
      <c r="B152" s="19"/>
      <c r="C152" s="19"/>
    </row>
    <row r="153" spans="2:3" x14ac:dyDescent="0.25">
      <c r="B153" s="19"/>
      <c r="C153" s="19"/>
    </row>
    <row r="154" spans="2:3" x14ac:dyDescent="0.25">
      <c r="B154" s="19"/>
      <c r="C154" s="19"/>
    </row>
    <row r="155" spans="2:3" x14ac:dyDescent="0.25">
      <c r="B155" s="19"/>
      <c r="C155" s="19"/>
    </row>
    <row r="156" spans="2:3" x14ac:dyDescent="0.25">
      <c r="B156" s="19"/>
      <c r="C156" s="19"/>
    </row>
    <row r="157" spans="2:3" x14ac:dyDescent="0.25">
      <c r="B157" s="19"/>
      <c r="C157" s="19"/>
    </row>
    <row r="158" spans="2:3" x14ac:dyDescent="0.25">
      <c r="B158" s="19"/>
      <c r="C158" s="19"/>
    </row>
    <row r="159" spans="2:3" x14ac:dyDescent="0.25">
      <c r="B159" s="19"/>
      <c r="C159" s="19"/>
    </row>
    <row r="160" spans="2:3" x14ac:dyDescent="0.25">
      <c r="B160" s="19"/>
      <c r="C160" s="19"/>
    </row>
    <row r="161" spans="2:3" x14ac:dyDescent="0.25">
      <c r="B161" s="19"/>
      <c r="C161" s="19"/>
    </row>
    <row r="162" spans="2:3" x14ac:dyDescent="0.25">
      <c r="B162" s="19"/>
      <c r="C162" s="19"/>
    </row>
    <row r="163" spans="2:3" x14ac:dyDescent="0.25">
      <c r="B163" s="19"/>
      <c r="C163" s="19"/>
    </row>
    <row r="164" spans="2:3" x14ac:dyDescent="0.25">
      <c r="B164" s="19"/>
      <c r="C164" s="19"/>
    </row>
    <row r="165" spans="2:3" x14ac:dyDescent="0.25">
      <c r="B165" s="19"/>
      <c r="C165" s="19"/>
    </row>
    <row r="166" spans="2:3" x14ac:dyDescent="0.25">
      <c r="B166" s="19"/>
      <c r="C166" s="19"/>
    </row>
    <row r="167" spans="2:3" x14ac:dyDescent="0.25">
      <c r="B167" s="19"/>
      <c r="C167" s="19"/>
    </row>
    <row r="168" spans="2:3" x14ac:dyDescent="0.25">
      <c r="B168" s="19"/>
      <c r="C168" s="19"/>
    </row>
    <row r="169" spans="2:3" x14ac:dyDescent="0.25">
      <c r="B169" s="19"/>
      <c r="C169" s="19"/>
    </row>
    <row r="170" spans="2:3" x14ac:dyDescent="0.25">
      <c r="B170" s="19"/>
      <c r="C170" s="19"/>
    </row>
    <row r="171" spans="2:3" x14ac:dyDescent="0.25">
      <c r="B171" s="19"/>
      <c r="C171" s="19"/>
    </row>
    <row r="172" spans="2:3" x14ac:dyDescent="0.25">
      <c r="B172" s="19"/>
      <c r="C172" s="19"/>
    </row>
    <row r="173" spans="2:3" x14ac:dyDescent="0.25">
      <c r="B173" s="19"/>
      <c r="C173" s="19"/>
    </row>
    <row r="174" spans="2:3" x14ac:dyDescent="0.25">
      <c r="B174" s="19"/>
      <c r="C174" s="19"/>
    </row>
    <row r="175" spans="2:3" x14ac:dyDescent="0.25">
      <c r="B175" s="19"/>
      <c r="C175" s="19"/>
    </row>
    <row r="176" spans="2:3" x14ac:dyDescent="0.25">
      <c r="B176" s="19"/>
      <c r="C176" s="19"/>
    </row>
    <row r="177" spans="2:3" x14ac:dyDescent="0.25">
      <c r="B177" s="19"/>
      <c r="C177" s="19"/>
    </row>
    <row r="178" spans="2:3" x14ac:dyDescent="0.25">
      <c r="B178" s="19"/>
      <c r="C178" s="19"/>
    </row>
    <row r="179" spans="2:3" x14ac:dyDescent="0.25">
      <c r="B179" s="19"/>
      <c r="C179" s="19"/>
    </row>
    <row r="180" spans="2:3" x14ac:dyDescent="0.25">
      <c r="B180" s="19"/>
      <c r="C180" s="19"/>
    </row>
    <row r="181" spans="2:3" x14ac:dyDescent="0.25">
      <c r="B181" s="19"/>
      <c r="C181" s="19"/>
    </row>
    <row r="182" spans="2:3" x14ac:dyDescent="0.25">
      <c r="B182" s="19"/>
      <c r="C182" s="19"/>
    </row>
    <row r="183" spans="2:3" x14ac:dyDescent="0.25">
      <c r="B183" s="19"/>
      <c r="C183" s="19"/>
    </row>
    <row r="184" spans="2:3" x14ac:dyDescent="0.25">
      <c r="B184" s="19"/>
      <c r="C184" s="19"/>
    </row>
    <row r="185" spans="2:3" x14ac:dyDescent="0.25">
      <c r="B185" s="19"/>
      <c r="C185" s="19"/>
    </row>
    <row r="186" spans="2:3" x14ac:dyDescent="0.25">
      <c r="B186" s="19"/>
      <c r="C186" s="19"/>
    </row>
    <row r="187" spans="2:3" x14ac:dyDescent="0.25">
      <c r="B187" s="19"/>
      <c r="C187" s="19"/>
    </row>
    <row r="188" spans="2:3" x14ac:dyDescent="0.25">
      <c r="B188" s="19"/>
      <c r="C188" s="19"/>
    </row>
    <row r="189" spans="2:3" x14ac:dyDescent="0.25">
      <c r="B189" s="19"/>
      <c r="C189" s="19"/>
    </row>
    <row r="190" spans="2:3" x14ac:dyDescent="0.25">
      <c r="B190" s="19"/>
      <c r="C190" s="19"/>
    </row>
    <row r="191" spans="2:3" x14ac:dyDescent="0.25">
      <c r="B191" s="19"/>
      <c r="C191" s="19"/>
    </row>
    <row r="192" spans="2:3" x14ac:dyDescent="0.25">
      <c r="B192" s="19"/>
      <c r="C192" s="19"/>
    </row>
    <row r="193" spans="2:3" x14ac:dyDescent="0.25">
      <c r="B193" s="19"/>
      <c r="C193" s="19"/>
    </row>
    <row r="194" spans="2:3" x14ac:dyDescent="0.25">
      <c r="B194" s="19"/>
      <c r="C194" s="19"/>
    </row>
    <row r="195" spans="2:3" x14ac:dyDescent="0.25">
      <c r="B195" s="19"/>
      <c r="C195" s="19"/>
    </row>
    <row r="196" spans="2:3" x14ac:dyDescent="0.25">
      <c r="B196" s="19"/>
      <c r="C196" s="19"/>
    </row>
    <row r="197" spans="2:3" x14ac:dyDescent="0.25">
      <c r="B197" s="19"/>
      <c r="C197" s="19"/>
    </row>
    <row r="198" spans="2:3" x14ac:dyDescent="0.25">
      <c r="B198" s="19"/>
      <c r="C198" s="19"/>
    </row>
    <row r="199" spans="2:3" x14ac:dyDescent="0.25">
      <c r="B199" s="19"/>
      <c r="C199" s="19"/>
    </row>
    <row r="200" spans="2:3" x14ac:dyDescent="0.25">
      <c r="B200" s="19"/>
      <c r="C200" s="19"/>
    </row>
    <row r="201" spans="2:3" x14ac:dyDescent="0.25">
      <c r="B201" s="19"/>
      <c r="C201" s="19"/>
    </row>
    <row r="202" spans="2:3" x14ac:dyDescent="0.25">
      <c r="B202" s="19"/>
      <c r="C202" s="19"/>
    </row>
    <row r="203" spans="2:3" x14ac:dyDescent="0.25">
      <c r="B203" s="19"/>
      <c r="C203" s="19"/>
    </row>
    <row r="204" spans="2:3" x14ac:dyDescent="0.25">
      <c r="B204" s="19"/>
      <c r="C204" s="19"/>
    </row>
    <row r="205" spans="2:3" x14ac:dyDescent="0.25">
      <c r="B205" s="19"/>
      <c r="C205" s="19"/>
    </row>
    <row r="206" spans="2:3" x14ac:dyDescent="0.25">
      <c r="B206" s="19"/>
      <c r="C206" s="19"/>
    </row>
    <row r="207" spans="2:3" x14ac:dyDescent="0.25">
      <c r="B207" s="19"/>
      <c r="C207" s="19"/>
    </row>
    <row r="208" spans="2:3" x14ac:dyDescent="0.25">
      <c r="B208" s="19"/>
      <c r="C208" s="19"/>
    </row>
    <row r="209" spans="2:3" x14ac:dyDescent="0.25">
      <c r="B209" s="19"/>
      <c r="C209" s="19"/>
    </row>
    <row r="210" spans="2:3" x14ac:dyDescent="0.25">
      <c r="B210" s="19"/>
      <c r="C210" s="19"/>
    </row>
    <row r="211" spans="2:3" x14ac:dyDescent="0.25">
      <c r="B211" s="19"/>
      <c r="C211" s="19"/>
    </row>
    <row r="212" spans="2:3" x14ac:dyDescent="0.25">
      <c r="B212" s="19"/>
      <c r="C212" s="19"/>
    </row>
    <row r="213" spans="2:3" x14ac:dyDescent="0.25">
      <c r="B213" s="19"/>
      <c r="C213" s="19"/>
    </row>
    <row r="214" spans="2:3" x14ac:dyDescent="0.25">
      <c r="B214" s="19"/>
      <c r="C214" s="19"/>
    </row>
    <row r="215" spans="2:3" x14ac:dyDescent="0.25">
      <c r="B215" s="19"/>
      <c r="C215" s="19"/>
    </row>
    <row r="216" spans="2:3" x14ac:dyDescent="0.25">
      <c r="B216" s="19"/>
      <c r="C216" s="19"/>
    </row>
    <row r="217" spans="2:3" x14ac:dyDescent="0.25">
      <c r="B217" s="19"/>
      <c r="C217" s="19"/>
    </row>
    <row r="218" spans="2:3" x14ac:dyDescent="0.25">
      <c r="B218" s="19"/>
      <c r="C218" s="19"/>
    </row>
    <row r="219" spans="2:3" x14ac:dyDescent="0.25">
      <c r="B219" s="19"/>
      <c r="C219" s="19"/>
    </row>
    <row r="220" spans="2:3" x14ac:dyDescent="0.25">
      <c r="B220" s="19"/>
      <c r="C220" s="19"/>
    </row>
    <row r="221" spans="2:3" x14ac:dyDescent="0.25">
      <c r="B221" s="19"/>
      <c r="C221" s="19"/>
    </row>
    <row r="222" spans="2:3" x14ac:dyDescent="0.25">
      <c r="B222" s="19"/>
      <c r="C222" s="19"/>
    </row>
    <row r="223" spans="2:3" x14ac:dyDescent="0.25">
      <c r="B223" s="19"/>
      <c r="C223" s="19"/>
    </row>
    <row r="224" spans="2:3" x14ac:dyDescent="0.25">
      <c r="B224" s="19"/>
      <c r="C224" s="19"/>
    </row>
    <row r="225" spans="2:3" x14ac:dyDescent="0.25">
      <c r="B225" s="19"/>
      <c r="C225" s="19"/>
    </row>
    <row r="226" spans="2:3" x14ac:dyDescent="0.25">
      <c r="B226" s="19"/>
      <c r="C226" s="19"/>
    </row>
    <row r="227" spans="2:3" x14ac:dyDescent="0.25">
      <c r="B227" s="19"/>
      <c r="C227" s="19"/>
    </row>
    <row r="228" spans="2:3" x14ac:dyDescent="0.25">
      <c r="B228" s="19"/>
      <c r="C228" s="19"/>
    </row>
    <row r="229" spans="2:3" x14ac:dyDescent="0.25">
      <c r="B229" s="19"/>
      <c r="C229" s="19"/>
    </row>
    <row r="230" spans="2:3" x14ac:dyDescent="0.25">
      <c r="B230" s="19"/>
      <c r="C230" s="19"/>
    </row>
    <row r="231" spans="2:3" x14ac:dyDescent="0.25">
      <c r="B231" s="19"/>
      <c r="C231" s="19"/>
    </row>
    <row r="232" spans="2:3" x14ac:dyDescent="0.25">
      <c r="B232" s="19"/>
      <c r="C232" s="19"/>
    </row>
    <row r="233" spans="2:3" x14ac:dyDescent="0.25">
      <c r="B233" s="19"/>
      <c r="C233" s="19"/>
    </row>
    <row r="234" spans="2:3" x14ac:dyDescent="0.25">
      <c r="B234" s="19"/>
      <c r="C234" s="19"/>
    </row>
    <row r="235" spans="2:3" x14ac:dyDescent="0.25">
      <c r="B235" s="19"/>
      <c r="C235" s="19"/>
    </row>
    <row r="236" spans="2:3" x14ac:dyDescent="0.25">
      <c r="B236" s="19"/>
      <c r="C236" s="19"/>
    </row>
    <row r="237" spans="2:3" x14ac:dyDescent="0.25">
      <c r="B237" s="19"/>
      <c r="C237" s="19"/>
    </row>
    <row r="238" spans="2:3" x14ac:dyDescent="0.25">
      <c r="B238" s="19"/>
      <c r="C238" s="19"/>
    </row>
    <row r="239" spans="2:3" x14ac:dyDescent="0.25">
      <c r="B239" s="19"/>
      <c r="C239" s="19"/>
    </row>
    <row r="240" spans="2:3" x14ac:dyDescent="0.25">
      <c r="B240" s="19"/>
      <c r="C240" s="19"/>
    </row>
    <row r="241" spans="2:3" x14ac:dyDescent="0.25">
      <c r="B241" s="19"/>
      <c r="C241" s="19"/>
    </row>
    <row r="242" spans="2:3" x14ac:dyDescent="0.25">
      <c r="B242" s="19"/>
      <c r="C242" s="19"/>
    </row>
    <row r="243" spans="2:3" x14ac:dyDescent="0.25">
      <c r="B243" s="19"/>
      <c r="C243" s="19"/>
    </row>
    <row r="244" spans="2:3" x14ac:dyDescent="0.25">
      <c r="B244" s="19"/>
      <c r="C244" s="19"/>
    </row>
    <row r="245" spans="2:3" x14ac:dyDescent="0.25">
      <c r="B245" s="19"/>
      <c r="C245" s="19"/>
    </row>
    <row r="246" spans="2:3" x14ac:dyDescent="0.25">
      <c r="B246" s="19"/>
      <c r="C246" s="19"/>
    </row>
    <row r="247" spans="2:3" x14ac:dyDescent="0.25">
      <c r="B247" s="19"/>
      <c r="C247" s="19"/>
    </row>
    <row r="248" spans="2:3" x14ac:dyDescent="0.25">
      <c r="B248" s="19"/>
      <c r="C248" s="19"/>
    </row>
    <row r="249" spans="2:3" x14ac:dyDescent="0.25">
      <c r="B249" s="19"/>
      <c r="C249" s="19"/>
    </row>
    <row r="250" spans="2:3" x14ac:dyDescent="0.25">
      <c r="B250" s="19"/>
      <c r="C250" s="19"/>
    </row>
    <row r="251" spans="2:3" x14ac:dyDescent="0.25">
      <c r="B251" s="19"/>
      <c r="C251" s="19"/>
    </row>
    <row r="252" spans="2:3" x14ac:dyDescent="0.25">
      <c r="B252" s="19"/>
      <c r="C252" s="19"/>
    </row>
    <row r="253" spans="2:3" x14ac:dyDescent="0.25">
      <c r="B253" s="19"/>
      <c r="C253" s="19"/>
    </row>
    <row r="254" spans="2:3" x14ac:dyDescent="0.25">
      <c r="B254" s="19"/>
      <c r="C254" s="19"/>
    </row>
    <row r="255" spans="2:3" x14ac:dyDescent="0.25">
      <c r="B255" s="19"/>
      <c r="C255" s="19"/>
    </row>
    <row r="256" spans="2:3" x14ac:dyDescent="0.25">
      <c r="B256" s="19"/>
      <c r="C256" s="19"/>
    </row>
    <row r="257" spans="2:3" x14ac:dyDescent="0.25">
      <c r="B257" s="19"/>
      <c r="C257" s="19"/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157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-450</v>
      </c>
      <c r="B2" s="13" t="s">
        <v>136</v>
      </c>
      <c r="C2" s="13" t="s">
        <v>113</v>
      </c>
      <c r="D2" s="13" t="s">
        <v>20</v>
      </c>
      <c r="E2" s="13" t="s">
        <v>26</v>
      </c>
      <c r="F2" s="13" t="s">
        <v>27</v>
      </c>
    </row>
    <row r="3" spans="1:6" x14ac:dyDescent="0.25">
      <c r="A3" s="13">
        <v>-154</v>
      </c>
      <c r="B3" s="13" t="s">
        <v>177</v>
      </c>
      <c r="C3" s="13" t="s">
        <v>133</v>
      </c>
      <c r="D3" s="13" t="s">
        <v>6</v>
      </c>
      <c r="E3" s="13" t="s">
        <v>58</v>
      </c>
      <c r="F3" s="13" t="s">
        <v>27</v>
      </c>
    </row>
    <row r="4" spans="1:6" x14ac:dyDescent="0.25">
      <c r="A4" s="13">
        <v>-44</v>
      </c>
      <c r="B4" s="13" t="s">
        <v>633</v>
      </c>
      <c r="C4" s="13" t="s">
        <v>131</v>
      </c>
      <c r="D4" s="13" t="s">
        <v>17</v>
      </c>
      <c r="E4" s="13" t="s">
        <v>18</v>
      </c>
      <c r="F4" s="13" t="s">
        <v>27</v>
      </c>
    </row>
    <row r="5" spans="1:6" x14ac:dyDescent="0.25">
      <c r="A5" s="13">
        <v>-9</v>
      </c>
      <c r="B5" s="13" t="s">
        <v>164</v>
      </c>
      <c r="C5" s="13" t="s">
        <v>131</v>
      </c>
      <c r="D5" s="13" t="s">
        <v>16</v>
      </c>
      <c r="E5" s="13" t="s">
        <v>18</v>
      </c>
      <c r="F5" s="13" t="s">
        <v>27</v>
      </c>
    </row>
    <row r="6" spans="1:6" x14ac:dyDescent="0.25">
      <c r="A6" s="13">
        <v>0</v>
      </c>
      <c r="B6" s="13" t="s">
        <v>102</v>
      </c>
      <c r="C6" s="13" t="s">
        <v>101</v>
      </c>
      <c r="D6" s="13" t="s">
        <v>20</v>
      </c>
      <c r="E6" s="13" t="s">
        <v>2</v>
      </c>
      <c r="F6" s="13" t="s">
        <v>27</v>
      </c>
    </row>
    <row r="7" spans="1:6" x14ac:dyDescent="0.25">
      <c r="A7" s="13">
        <v>32</v>
      </c>
      <c r="B7" s="13" t="s">
        <v>120</v>
      </c>
      <c r="C7" s="13" t="s">
        <v>121</v>
      </c>
      <c r="D7" s="13" t="s">
        <v>16</v>
      </c>
      <c r="E7" s="13" t="s">
        <v>43</v>
      </c>
      <c r="F7" s="13" t="s">
        <v>27</v>
      </c>
    </row>
    <row r="8" spans="1:6" x14ac:dyDescent="0.25">
      <c r="A8" s="13">
        <v>32</v>
      </c>
      <c r="B8" s="13" t="s">
        <v>120</v>
      </c>
      <c r="C8" s="13" t="s">
        <v>121</v>
      </c>
      <c r="D8" s="13" t="s">
        <v>16</v>
      </c>
      <c r="E8" s="13" t="s">
        <v>7</v>
      </c>
      <c r="F8" s="13" t="s">
        <v>27</v>
      </c>
    </row>
    <row r="9" spans="1:6" x14ac:dyDescent="0.25">
      <c r="A9" s="13">
        <v>50</v>
      </c>
      <c r="B9" s="13" t="s">
        <v>141</v>
      </c>
      <c r="C9" s="13" t="s">
        <v>142</v>
      </c>
      <c r="D9" s="13" t="s">
        <v>16</v>
      </c>
      <c r="E9" s="13" t="s">
        <v>4</v>
      </c>
      <c r="F9" s="13" t="s">
        <v>27</v>
      </c>
    </row>
    <row r="10" spans="1:6" x14ac:dyDescent="0.25">
      <c r="A10" s="13">
        <v>52</v>
      </c>
      <c r="B10" s="13" t="s">
        <v>112</v>
      </c>
      <c r="C10" s="13" t="s">
        <v>113</v>
      </c>
      <c r="D10" s="13" t="s">
        <v>16</v>
      </c>
      <c r="E10" s="13" t="s">
        <v>5</v>
      </c>
      <c r="F10" s="13" t="s">
        <v>27</v>
      </c>
    </row>
    <row r="11" spans="1:6" x14ac:dyDescent="0.25">
      <c r="A11" s="13">
        <v>56</v>
      </c>
      <c r="B11" s="13" t="s">
        <v>166</v>
      </c>
      <c r="C11" s="13" t="s">
        <v>167</v>
      </c>
      <c r="D11" s="13" t="s">
        <v>16</v>
      </c>
      <c r="E11" s="13" t="s">
        <v>68</v>
      </c>
      <c r="F11" s="13" t="s">
        <v>27</v>
      </c>
    </row>
    <row r="12" spans="1:6" x14ac:dyDescent="0.25">
      <c r="A12" s="13">
        <v>66</v>
      </c>
      <c r="B12" s="13" t="s">
        <v>174</v>
      </c>
      <c r="C12" s="13" t="s">
        <v>160</v>
      </c>
      <c r="D12" s="13" t="s">
        <v>16</v>
      </c>
      <c r="E12" s="13" t="s">
        <v>58</v>
      </c>
      <c r="F12" s="13" t="s">
        <v>27</v>
      </c>
    </row>
    <row r="13" spans="1:6" x14ac:dyDescent="0.25">
      <c r="A13" s="13">
        <v>97</v>
      </c>
      <c r="B13" s="13" t="s">
        <v>109</v>
      </c>
      <c r="C13" s="13" t="s">
        <v>110</v>
      </c>
      <c r="D13" s="13" t="s">
        <v>16</v>
      </c>
      <c r="E13" s="13" t="s">
        <v>2</v>
      </c>
      <c r="F13" s="13" t="s">
        <v>27</v>
      </c>
    </row>
    <row r="14" spans="1:6" x14ac:dyDescent="0.25">
      <c r="A14" s="13">
        <v>100</v>
      </c>
      <c r="B14" s="13" t="s">
        <v>157</v>
      </c>
      <c r="C14" s="13" t="s">
        <v>117</v>
      </c>
      <c r="D14" s="13" t="s">
        <v>16</v>
      </c>
      <c r="E14" s="13" t="s">
        <v>59</v>
      </c>
      <c r="F14" s="13" t="s">
        <v>27</v>
      </c>
    </row>
    <row r="15" spans="1:6" x14ac:dyDescent="0.25">
      <c r="A15" s="13">
        <v>106</v>
      </c>
      <c r="B15" s="13" t="s">
        <v>158</v>
      </c>
      <c r="C15" s="13" t="s">
        <v>159</v>
      </c>
      <c r="D15" s="13" t="s">
        <v>17</v>
      </c>
      <c r="E15" s="13" t="s">
        <v>59</v>
      </c>
      <c r="F15" s="13" t="s">
        <v>27</v>
      </c>
    </row>
    <row r="16" spans="1:6" x14ac:dyDescent="0.25">
      <c r="A16" s="13">
        <v>116</v>
      </c>
      <c r="B16" s="13" t="s">
        <v>173</v>
      </c>
      <c r="C16" s="13" t="s">
        <v>133</v>
      </c>
      <c r="D16" s="13" t="s">
        <v>17</v>
      </c>
      <c r="E16" s="13" t="s">
        <v>60</v>
      </c>
      <c r="F16" s="13" t="s">
        <v>27</v>
      </c>
    </row>
    <row r="17" spans="1:6" x14ac:dyDescent="0.25">
      <c r="A17" s="13">
        <v>116</v>
      </c>
      <c r="B17" s="13" t="s">
        <v>173</v>
      </c>
      <c r="C17" s="13" t="s">
        <v>133</v>
      </c>
      <c r="D17" s="13" t="s">
        <v>17</v>
      </c>
      <c r="E17" s="13" t="s">
        <v>61</v>
      </c>
      <c r="F17" s="13" t="s">
        <v>27</v>
      </c>
    </row>
    <row r="18" spans="1:6" x14ac:dyDescent="0.25">
      <c r="A18" s="13">
        <v>119</v>
      </c>
      <c r="B18" s="13" t="s">
        <v>145</v>
      </c>
      <c r="C18" s="13" t="s">
        <v>129</v>
      </c>
      <c r="D18" s="13" t="s">
        <v>16</v>
      </c>
      <c r="E18" s="13" t="s">
        <v>60</v>
      </c>
      <c r="F18" s="13" t="s">
        <v>27</v>
      </c>
    </row>
    <row r="19" spans="1:6" x14ac:dyDescent="0.25">
      <c r="A19" s="13">
        <v>119</v>
      </c>
      <c r="B19" s="13" t="s">
        <v>145</v>
      </c>
      <c r="C19" s="13" t="s">
        <v>129</v>
      </c>
      <c r="D19" s="13" t="s">
        <v>16</v>
      </c>
      <c r="E19" s="13" t="s">
        <v>144</v>
      </c>
      <c r="F19" s="13" t="s">
        <v>27</v>
      </c>
    </row>
    <row r="20" spans="1:6" x14ac:dyDescent="0.25">
      <c r="A20" s="13">
        <v>142</v>
      </c>
      <c r="B20" s="13" t="s">
        <v>116</v>
      </c>
      <c r="C20" s="13" t="s">
        <v>117</v>
      </c>
      <c r="D20" s="13" t="s">
        <v>6</v>
      </c>
      <c r="E20" s="13" t="s">
        <v>5</v>
      </c>
      <c r="F20" s="13" t="s">
        <v>27</v>
      </c>
    </row>
    <row r="21" spans="1:6" x14ac:dyDescent="0.25">
      <c r="A21" s="13">
        <v>142</v>
      </c>
      <c r="B21" s="13" t="s">
        <v>137</v>
      </c>
      <c r="C21" s="13" t="s">
        <v>114</v>
      </c>
      <c r="D21" s="13" t="s">
        <v>16</v>
      </c>
      <c r="E21" s="13" t="s">
        <v>26</v>
      </c>
      <c r="F21" s="13" t="s">
        <v>27</v>
      </c>
    </row>
    <row r="22" spans="1:6" x14ac:dyDescent="0.25">
      <c r="A22" s="13">
        <v>150</v>
      </c>
      <c r="B22" s="13" t="s">
        <v>641</v>
      </c>
      <c r="C22" s="13" t="s">
        <v>131</v>
      </c>
      <c r="D22" s="13" t="s">
        <v>20</v>
      </c>
      <c r="E22" s="13" t="s">
        <v>58</v>
      </c>
      <c r="F22" s="13" t="s">
        <v>27</v>
      </c>
    </row>
    <row r="23" spans="1:6" x14ac:dyDescent="0.25">
      <c r="A23" s="13">
        <v>153</v>
      </c>
      <c r="B23" s="13" t="s">
        <v>147</v>
      </c>
      <c r="C23" s="13" t="s">
        <v>127</v>
      </c>
      <c r="D23" s="13" t="s">
        <v>16</v>
      </c>
      <c r="E23" s="13" t="s">
        <v>106</v>
      </c>
      <c r="F23" s="13" t="s">
        <v>27</v>
      </c>
    </row>
    <row r="24" spans="1:6" x14ac:dyDescent="0.25">
      <c r="A24" s="13">
        <v>153</v>
      </c>
      <c r="B24" s="13" t="s">
        <v>147</v>
      </c>
      <c r="C24" s="13" t="s">
        <v>127</v>
      </c>
      <c r="D24" s="13" t="s">
        <v>16</v>
      </c>
      <c r="E24" s="13" t="s">
        <v>79</v>
      </c>
      <c r="F24" s="13" t="s">
        <v>27</v>
      </c>
    </row>
    <row r="25" spans="1:6" x14ac:dyDescent="0.25">
      <c r="A25" s="13">
        <v>157</v>
      </c>
      <c r="B25" s="13" t="s">
        <v>310</v>
      </c>
      <c r="C25" s="13" t="s">
        <v>124</v>
      </c>
      <c r="D25" s="13" t="s">
        <v>16</v>
      </c>
      <c r="E25" s="13" t="s">
        <v>61</v>
      </c>
      <c r="F25" s="13" t="s">
        <v>27</v>
      </c>
    </row>
    <row r="26" spans="1:6" x14ac:dyDescent="0.25">
      <c r="A26" s="13">
        <v>162</v>
      </c>
      <c r="B26" s="13" t="s">
        <v>135</v>
      </c>
      <c r="C26" s="13" t="s">
        <v>127</v>
      </c>
      <c r="D26" s="13" t="s">
        <v>6</v>
      </c>
      <c r="E26" s="13" t="s">
        <v>60</v>
      </c>
      <c r="F26" s="13" t="s">
        <v>27</v>
      </c>
    </row>
    <row r="27" spans="1:6" x14ac:dyDescent="0.25">
      <c r="A27" s="13">
        <v>162</v>
      </c>
      <c r="B27" s="13" t="s">
        <v>135</v>
      </c>
      <c r="C27" s="13" t="s">
        <v>127</v>
      </c>
      <c r="D27" s="13" t="s">
        <v>6</v>
      </c>
      <c r="E27" s="13" t="s">
        <v>4</v>
      </c>
      <c r="F27" s="13" t="s">
        <v>27</v>
      </c>
    </row>
    <row r="28" spans="1:6" x14ac:dyDescent="0.25">
      <c r="A28" s="13">
        <v>162</v>
      </c>
      <c r="B28" s="13" t="s">
        <v>135</v>
      </c>
      <c r="C28" s="13" t="s">
        <v>127</v>
      </c>
      <c r="D28" s="13" t="s">
        <v>6</v>
      </c>
      <c r="E28" s="13" t="s">
        <v>61</v>
      </c>
      <c r="F28" s="13" t="s">
        <v>27</v>
      </c>
    </row>
    <row r="29" spans="1:6" x14ac:dyDescent="0.25">
      <c r="A29" s="13">
        <v>175</v>
      </c>
      <c r="B29" s="13" t="s">
        <v>94</v>
      </c>
      <c r="C29" s="13" t="s">
        <v>95</v>
      </c>
      <c r="D29" s="13" t="s">
        <v>20</v>
      </c>
      <c r="E29" s="13" t="s">
        <v>19</v>
      </c>
      <c r="F29" s="13" t="s">
        <v>27</v>
      </c>
    </row>
    <row r="30" spans="1:6" x14ac:dyDescent="0.25">
      <c r="A30" s="13">
        <v>175</v>
      </c>
      <c r="B30" s="13" t="s">
        <v>154</v>
      </c>
      <c r="C30" s="13" t="s">
        <v>155</v>
      </c>
      <c r="D30" s="13" t="s">
        <v>20</v>
      </c>
      <c r="E30" s="13" t="s">
        <v>59</v>
      </c>
      <c r="F30" s="13" t="s">
        <v>27</v>
      </c>
    </row>
    <row r="31" spans="1:6" x14ac:dyDescent="0.25">
      <c r="A31" s="13">
        <v>182</v>
      </c>
      <c r="B31" s="13" t="s">
        <v>161</v>
      </c>
      <c r="C31" s="13" t="s">
        <v>162</v>
      </c>
      <c r="D31" s="13" t="s">
        <v>6</v>
      </c>
      <c r="E31" s="13" t="s">
        <v>59</v>
      </c>
      <c r="F31" s="13" t="s">
        <v>27</v>
      </c>
    </row>
    <row r="32" spans="1:6" x14ac:dyDescent="0.25">
      <c r="A32" s="13">
        <v>214</v>
      </c>
      <c r="B32" s="13" t="s">
        <v>126</v>
      </c>
      <c r="C32" s="13" t="s">
        <v>127</v>
      </c>
      <c r="D32" s="13" t="s">
        <v>6</v>
      </c>
      <c r="E32" s="13" t="s">
        <v>43</v>
      </c>
      <c r="F32" s="13" t="s">
        <v>27</v>
      </c>
    </row>
    <row r="33" spans="1:6" x14ac:dyDescent="0.25">
      <c r="A33" s="13">
        <v>214</v>
      </c>
      <c r="B33" s="13" t="s">
        <v>126</v>
      </c>
      <c r="C33" s="13" t="s">
        <v>127</v>
      </c>
      <c r="D33" s="13" t="s">
        <v>6</v>
      </c>
      <c r="E33" s="13" t="s">
        <v>144</v>
      </c>
      <c r="F33" s="13" t="s">
        <v>27</v>
      </c>
    </row>
    <row r="34" spans="1:6" x14ac:dyDescent="0.25">
      <c r="A34" s="13">
        <v>216</v>
      </c>
      <c r="B34" s="13" t="s">
        <v>170</v>
      </c>
      <c r="C34" s="13" t="s">
        <v>171</v>
      </c>
      <c r="D34" s="13" t="s">
        <v>6</v>
      </c>
      <c r="E34" s="13" t="s">
        <v>68</v>
      </c>
      <c r="F34" s="13" t="s">
        <v>27</v>
      </c>
    </row>
    <row r="35" spans="1:6" x14ac:dyDescent="0.25">
      <c r="A35" s="13">
        <v>226</v>
      </c>
      <c r="B35" s="13" t="s">
        <v>138</v>
      </c>
      <c r="C35" s="13" t="s">
        <v>114</v>
      </c>
      <c r="D35" s="13" t="s">
        <v>17</v>
      </c>
      <c r="E35" s="13" t="s">
        <v>26</v>
      </c>
      <c r="F35" s="13" t="s">
        <v>27</v>
      </c>
    </row>
    <row r="36" spans="1:6" x14ac:dyDescent="0.25">
      <c r="A36" s="13">
        <v>226</v>
      </c>
      <c r="B36" s="13" t="s">
        <v>138</v>
      </c>
      <c r="C36" s="13" t="s">
        <v>114</v>
      </c>
      <c r="D36" s="13" t="s">
        <v>17</v>
      </c>
      <c r="E36" s="13" t="s">
        <v>4</v>
      </c>
      <c r="F36" s="13" t="s">
        <v>27</v>
      </c>
    </row>
    <row r="37" spans="1:6" x14ac:dyDescent="0.25">
      <c r="A37" s="13">
        <v>244</v>
      </c>
      <c r="B37" s="13" t="s">
        <v>103</v>
      </c>
      <c r="C37" s="13" t="s">
        <v>86</v>
      </c>
      <c r="D37" s="13" t="s">
        <v>16</v>
      </c>
      <c r="E37" s="13" t="s">
        <v>19</v>
      </c>
      <c r="F37" s="13" t="s">
        <v>27</v>
      </c>
    </row>
    <row r="38" spans="1:6" x14ac:dyDescent="0.25">
      <c r="A38" s="13">
        <v>250</v>
      </c>
      <c r="B38" s="13" t="s">
        <v>119</v>
      </c>
      <c r="C38" s="13" t="s">
        <v>96</v>
      </c>
      <c r="D38" s="13" t="s">
        <v>20</v>
      </c>
      <c r="E38" s="13" t="s">
        <v>43</v>
      </c>
      <c r="F38" s="13" t="s">
        <v>27</v>
      </c>
    </row>
    <row r="39" spans="1:6" x14ac:dyDescent="0.25">
      <c r="A39" s="13">
        <v>250</v>
      </c>
      <c r="B39" s="13" t="s">
        <v>490</v>
      </c>
      <c r="C39" s="13" t="s">
        <v>84</v>
      </c>
      <c r="D39" s="13" t="s">
        <v>20</v>
      </c>
      <c r="E39" s="13" t="s">
        <v>61</v>
      </c>
      <c r="F39" s="13" t="s">
        <v>27</v>
      </c>
    </row>
    <row r="40" spans="1:6" x14ac:dyDescent="0.25">
      <c r="A40" s="13">
        <v>250</v>
      </c>
      <c r="B40" s="13" t="s">
        <v>956</v>
      </c>
      <c r="C40" s="13" t="s">
        <v>97</v>
      </c>
      <c r="D40" s="13" t="s">
        <v>20</v>
      </c>
      <c r="E40" s="13" t="s">
        <v>106</v>
      </c>
      <c r="F40" s="13" t="s">
        <v>27</v>
      </c>
    </row>
    <row r="41" spans="1:6" x14ac:dyDescent="0.25">
      <c r="A41" s="13">
        <v>252</v>
      </c>
      <c r="B41" s="13" t="s">
        <v>148</v>
      </c>
      <c r="C41" s="13" t="s">
        <v>127</v>
      </c>
      <c r="D41" s="13" t="s">
        <v>17</v>
      </c>
      <c r="E41" s="13" t="s">
        <v>79</v>
      </c>
      <c r="F41" s="13" t="s">
        <v>27</v>
      </c>
    </row>
    <row r="42" spans="1:6" x14ac:dyDescent="0.25">
      <c r="A42" s="13">
        <v>275</v>
      </c>
      <c r="B42" s="13" t="s">
        <v>140</v>
      </c>
      <c r="C42" s="13" t="s">
        <v>86</v>
      </c>
      <c r="D42" s="13" t="s">
        <v>20</v>
      </c>
      <c r="E42" s="13" t="s">
        <v>4</v>
      </c>
      <c r="F42" s="13" t="s">
        <v>27</v>
      </c>
    </row>
    <row r="43" spans="1:6" x14ac:dyDescent="0.25">
      <c r="A43" s="13">
        <v>275</v>
      </c>
      <c r="B43" s="13" t="s">
        <v>165</v>
      </c>
      <c r="C43" s="13" t="s">
        <v>125</v>
      </c>
      <c r="D43" s="13" t="s">
        <v>20</v>
      </c>
      <c r="E43" s="13" t="s">
        <v>68</v>
      </c>
      <c r="F43" s="13" t="s">
        <v>27</v>
      </c>
    </row>
    <row r="44" spans="1:6" x14ac:dyDescent="0.25">
      <c r="A44" s="13">
        <v>275</v>
      </c>
      <c r="B44" s="13" t="s">
        <v>643</v>
      </c>
      <c r="C44" s="13" t="s">
        <v>131</v>
      </c>
      <c r="D44" s="13" t="s">
        <v>20</v>
      </c>
      <c r="E44" s="13" t="s">
        <v>18</v>
      </c>
      <c r="F44" s="13" t="s">
        <v>27</v>
      </c>
    </row>
    <row r="45" spans="1:6" x14ac:dyDescent="0.25">
      <c r="A45" s="13">
        <v>292</v>
      </c>
      <c r="B45" s="13" t="s">
        <v>105</v>
      </c>
      <c r="C45" s="13" t="s">
        <v>96</v>
      </c>
      <c r="D45" s="13" t="s">
        <v>6</v>
      </c>
      <c r="E45" s="13" t="s">
        <v>2</v>
      </c>
      <c r="F45" s="13" t="s">
        <v>27</v>
      </c>
    </row>
    <row r="46" spans="1:6" x14ac:dyDescent="0.25">
      <c r="A46" s="13">
        <v>296</v>
      </c>
      <c r="B46" s="13" t="s">
        <v>123</v>
      </c>
      <c r="C46" s="13" t="s">
        <v>124</v>
      </c>
      <c r="D46" s="13" t="s">
        <v>17</v>
      </c>
      <c r="E46" s="13" t="s">
        <v>43</v>
      </c>
      <c r="F46" s="13" t="s">
        <v>27</v>
      </c>
    </row>
    <row r="47" spans="1:6" x14ac:dyDescent="0.25">
      <c r="A47" s="13">
        <v>300</v>
      </c>
      <c r="B47" s="13" t="s">
        <v>429</v>
      </c>
      <c r="C47" s="13" t="s">
        <v>142</v>
      </c>
      <c r="D47" s="13" t="s">
        <v>20</v>
      </c>
      <c r="E47" s="13" t="s">
        <v>79</v>
      </c>
      <c r="F47" s="13" t="s">
        <v>27</v>
      </c>
    </row>
    <row r="48" spans="1:6" x14ac:dyDescent="0.25">
      <c r="A48" s="13">
        <v>306</v>
      </c>
      <c r="B48" s="13" t="s">
        <v>149</v>
      </c>
      <c r="C48" s="13" t="s">
        <v>142</v>
      </c>
      <c r="D48" s="13" t="s">
        <v>6</v>
      </c>
      <c r="E48" s="13" t="s">
        <v>79</v>
      </c>
      <c r="F48" s="13" t="s">
        <v>27</v>
      </c>
    </row>
    <row r="49" spans="1:6" x14ac:dyDescent="0.25">
      <c r="A49" s="13">
        <v>312</v>
      </c>
      <c r="B49" s="13" t="s">
        <v>146</v>
      </c>
      <c r="C49" s="13" t="s">
        <v>124</v>
      </c>
      <c r="D49" s="13" t="s">
        <v>17</v>
      </c>
      <c r="E49" s="13" t="s">
        <v>144</v>
      </c>
      <c r="F49" s="13" t="s">
        <v>27</v>
      </c>
    </row>
    <row r="50" spans="1:6" x14ac:dyDescent="0.25">
      <c r="A50" s="13">
        <v>334</v>
      </c>
      <c r="B50" s="13" t="s">
        <v>87</v>
      </c>
      <c r="C50" s="13" t="s">
        <v>82</v>
      </c>
      <c r="D50" s="13" t="s">
        <v>6</v>
      </c>
      <c r="E50" s="13" t="s">
        <v>19</v>
      </c>
      <c r="F50" s="13" t="s">
        <v>27</v>
      </c>
    </row>
    <row r="51" spans="1:6" x14ac:dyDescent="0.25">
      <c r="A51" s="13">
        <v>338</v>
      </c>
      <c r="B51" s="13" t="s">
        <v>706</v>
      </c>
      <c r="C51" s="13" t="s">
        <v>129</v>
      </c>
      <c r="D51" s="13" t="s">
        <v>17</v>
      </c>
      <c r="E51" s="13" t="s">
        <v>106</v>
      </c>
      <c r="F51" s="13" t="s">
        <v>27</v>
      </c>
    </row>
    <row r="52" spans="1:6" x14ac:dyDescent="0.25">
      <c r="A52" s="13">
        <v>340</v>
      </c>
      <c r="B52" s="13" t="s">
        <v>99</v>
      </c>
      <c r="C52" s="13" t="s">
        <v>97</v>
      </c>
      <c r="D52" s="13" t="s">
        <v>17</v>
      </c>
      <c r="E52" s="13" t="s">
        <v>5</v>
      </c>
      <c r="F52" s="13" t="s">
        <v>27</v>
      </c>
    </row>
    <row r="53" spans="1:6" x14ac:dyDescent="0.25">
      <c r="A53" s="13">
        <v>340</v>
      </c>
      <c r="B53" s="13" t="s">
        <v>99</v>
      </c>
      <c r="C53" s="13" t="s">
        <v>97</v>
      </c>
      <c r="D53" s="13" t="s">
        <v>17</v>
      </c>
      <c r="E53" s="13" t="s">
        <v>2</v>
      </c>
      <c r="F53" s="13" t="s">
        <v>27</v>
      </c>
    </row>
    <row r="54" spans="1:6" x14ac:dyDescent="0.25">
      <c r="A54" s="13">
        <v>346</v>
      </c>
      <c r="B54" s="13" t="s">
        <v>176</v>
      </c>
      <c r="C54" s="13" t="s">
        <v>172</v>
      </c>
      <c r="D54" s="13" t="s">
        <v>17</v>
      </c>
      <c r="E54" s="13" t="s">
        <v>58</v>
      </c>
      <c r="F54" s="13" t="s">
        <v>27</v>
      </c>
    </row>
    <row r="55" spans="1:6" x14ac:dyDescent="0.25">
      <c r="A55" s="13">
        <v>350</v>
      </c>
      <c r="B55" s="13" t="s">
        <v>111</v>
      </c>
      <c r="C55" s="13" t="s">
        <v>80</v>
      </c>
      <c r="D55" s="13" t="s">
        <v>20</v>
      </c>
      <c r="E55" s="13" t="s">
        <v>5</v>
      </c>
      <c r="F55" s="13" t="s">
        <v>27</v>
      </c>
    </row>
    <row r="56" spans="1:6" x14ac:dyDescent="0.25">
      <c r="A56" s="13">
        <v>350</v>
      </c>
      <c r="B56" s="13" t="s">
        <v>111</v>
      </c>
      <c r="C56" s="13" t="s">
        <v>80</v>
      </c>
      <c r="D56" s="13" t="s">
        <v>20</v>
      </c>
      <c r="E56" s="13" t="s">
        <v>144</v>
      </c>
      <c r="F56" s="13" t="s">
        <v>27</v>
      </c>
    </row>
    <row r="57" spans="1:6" x14ac:dyDescent="0.25">
      <c r="A57" s="13">
        <v>350</v>
      </c>
      <c r="B57" s="13" t="s">
        <v>139</v>
      </c>
      <c r="C57" s="13" t="s">
        <v>113</v>
      </c>
      <c r="D57" s="13" t="s">
        <v>6</v>
      </c>
      <c r="E57" s="13" t="s">
        <v>26</v>
      </c>
      <c r="F57" s="13" t="s">
        <v>27</v>
      </c>
    </row>
    <row r="58" spans="1:6" x14ac:dyDescent="0.25">
      <c r="A58" s="13">
        <v>350</v>
      </c>
      <c r="B58" s="13" t="s">
        <v>150</v>
      </c>
      <c r="C58" s="13" t="s">
        <v>84</v>
      </c>
      <c r="D58" s="13" t="s">
        <v>20</v>
      </c>
      <c r="E58" s="13" t="s">
        <v>60</v>
      </c>
      <c r="F58" s="13" t="s">
        <v>27</v>
      </c>
    </row>
    <row r="59" spans="1:6" x14ac:dyDescent="0.25">
      <c r="A59" s="13">
        <v>350</v>
      </c>
      <c r="B59" s="13" t="s">
        <v>150</v>
      </c>
      <c r="C59" s="13" t="s">
        <v>84</v>
      </c>
      <c r="D59" s="13" t="s">
        <v>20</v>
      </c>
      <c r="E59" s="13" t="s">
        <v>7</v>
      </c>
      <c r="F59" s="13" t="s">
        <v>27</v>
      </c>
    </row>
    <row r="60" spans="1:6" x14ac:dyDescent="0.25">
      <c r="A60" s="13">
        <v>352</v>
      </c>
      <c r="B60" s="13" t="s">
        <v>151</v>
      </c>
      <c r="C60" s="13" t="s">
        <v>85</v>
      </c>
      <c r="D60" s="13" t="s">
        <v>17</v>
      </c>
      <c r="E60" s="13" t="s">
        <v>7</v>
      </c>
      <c r="F60" s="13" t="s">
        <v>27</v>
      </c>
    </row>
    <row r="61" spans="1:6" x14ac:dyDescent="0.25">
      <c r="A61" s="13">
        <v>360</v>
      </c>
      <c r="B61" s="13" t="s">
        <v>153</v>
      </c>
      <c r="C61" s="13" t="s">
        <v>86</v>
      </c>
      <c r="D61" s="13" t="s">
        <v>6</v>
      </c>
      <c r="E61" s="13" t="s">
        <v>7</v>
      </c>
      <c r="F61" s="13" t="s">
        <v>27</v>
      </c>
    </row>
    <row r="62" spans="1:6" x14ac:dyDescent="0.25">
      <c r="A62" s="13">
        <v>362</v>
      </c>
      <c r="B62" s="13" t="s">
        <v>629</v>
      </c>
      <c r="C62" s="13" t="s">
        <v>131</v>
      </c>
      <c r="D62" s="13" t="s">
        <v>6</v>
      </c>
      <c r="E62" s="13" t="s">
        <v>106</v>
      </c>
      <c r="F62" s="13" t="s">
        <v>27</v>
      </c>
    </row>
    <row r="63" spans="1:6" x14ac:dyDescent="0.25">
      <c r="A63" s="13">
        <v>362</v>
      </c>
      <c r="B63" s="13" t="s">
        <v>629</v>
      </c>
      <c r="C63" s="13" t="s">
        <v>131</v>
      </c>
      <c r="D63" s="13" t="s">
        <v>6</v>
      </c>
      <c r="E63" s="13" t="s">
        <v>18</v>
      </c>
      <c r="F63" s="13" t="s">
        <v>27</v>
      </c>
    </row>
    <row r="64" spans="1:6" x14ac:dyDescent="0.25">
      <c r="A64" s="13">
        <v>392</v>
      </c>
      <c r="B64" s="13" t="s">
        <v>169</v>
      </c>
      <c r="C64" s="13" t="s">
        <v>127</v>
      </c>
      <c r="D64" s="13" t="s">
        <v>17</v>
      </c>
      <c r="E64" s="13" t="s">
        <v>68</v>
      </c>
      <c r="F64" s="13" t="s">
        <v>27</v>
      </c>
    </row>
    <row r="65" spans="1:6" x14ac:dyDescent="0.25">
      <c r="A65" s="13">
        <v>400</v>
      </c>
      <c r="B65" s="13" t="s">
        <v>92</v>
      </c>
      <c r="C65" s="13" t="s">
        <v>83</v>
      </c>
      <c r="D65" s="13" t="s">
        <v>17</v>
      </c>
      <c r="E65" s="13" t="s">
        <v>19</v>
      </c>
      <c r="F65" s="13" t="s">
        <v>27</v>
      </c>
    </row>
    <row r="66" spans="1:6" x14ac:dyDescent="0.25">
      <c r="A66" s="13">
        <v>400</v>
      </c>
      <c r="B66" s="13" t="s">
        <v>178</v>
      </c>
      <c r="C66" s="13" t="s">
        <v>178</v>
      </c>
      <c r="D66" s="13" t="s">
        <v>20</v>
      </c>
      <c r="E66" s="13" t="s">
        <v>62</v>
      </c>
      <c r="F66" s="13" t="s">
        <v>27</v>
      </c>
    </row>
    <row r="67" spans="1:6" x14ac:dyDescent="0.25">
      <c r="A67" s="13">
        <v>400</v>
      </c>
      <c r="B67" s="13" t="s">
        <v>178</v>
      </c>
      <c r="C67" s="13" t="s">
        <v>178</v>
      </c>
      <c r="D67" s="13" t="s">
        <v>16</v>
      </c>
      <c r="E67" s="13" t="s">
        <v>62</v>
      </c>
      <c r="F67" s="13" t="s">
        <v>27</v>
      </c>
    </row>
    <row r="68" spans="1:6" x14ac:dyDescent="0.25">
      <c r="A68" s="13">
        <v>400</v>
      </c>
      <c r="B68" s="13" t="s">
        <v>178</v>
      </c>
      <c r="C68" s="13" t="s">
        <v>178</v>
      </c>
      <c r="D68" s="13" t="s">
        <v>17</v>
      </c>
      <c r="E68" s="13" t="s">
        <v>62</v>
      </c>
      <c r="F68" s="13" t="s">
        <v>27</v>
      </c>
    </row>
    <row r="69" spans="1:6" x14ac:dyDescent="0.25">
      <c r="A69" s="13">
        <v>400</v>
      </c>
      <c r="B69" s="13" t="s">
        <v>178</v>
      </c>
      <c r="C69" s="13" t="s">
        <v>178</v>
      </c>
      <c r="D69" s="13" t="s">
        <v>6</v>
      </c>
      <c r="E69" s="13" t="s">
        <v>62</v>
      </c>
      <c r="F69" s="13" t="s">
        <v>27</v>
      </c>
    </row>
    <row r="70" spans="1:6" x14ac:dyDescent="0.25">
      <c r="A70" s="13"/>
      <c r="B70" s="13"/>
      <c r="C70" s="13"/>
      <c r="D70" s="13" t="s">
        <v>20</v>
      </c>
      <c r="E70" s="13" t="s">
        <v>5</v>
      </c>
      <c r="F70" s="13" t="s">
        <v>57</v>
      </c>
    </row>
    <row r="71" spans="1:6" x14ac:dyDescent="0.25">
      <c r="A71" s="13"/>
      <c r="B71" s="13"/>
      <c r="C71" s="13"/>
      <c r="D71" s="13" t="s">
        <v>20</v>
      </c>
      <c r="E71" s="13" t="s">
        <v>5</v>
      </c>
      <c r="F71" s="13" t="s">
        <v>52</v>
      </c>
    </row>
    <row r="72" spans="1:6" x14ac:dyDescent="0.25">
      <c r="A72" s="13"/>
      <c r="B72" s="13"/>
      <c r="C72" s="13"/>
      <c r="D72" s="13" t="s">
        <v>20</v>
      </c>
      <c r="E72" s="13" t="s">
        <v>5</v>
      </c>
      <c r="F72" s="13" t="s">
        <v>53</v>
      </c>
    </row>
    <row r="73" spans="1:6" x14ac:dyDescent="0.25">
      <c r="A73" s="13"/>
      <c r="B73" s="13"/>
      <c r="C73" s="13"/>
      <c r="D73" s="13" t="s">
        <v>20</v>
      </c>
      <c r="E73" s="13" t="s">
        <v>5</v>
      </c>
      <c r="F73" s="13" t="s">
        <v>54</v>
      </c>
    </row>
    <row r="74" spans="1:6" x14ac:dyDescent="0.25">
      <c r="A74" s="13"/>
      <c r="B74" s="13"/>
      <c r="C74" s="13"/>
      <c r="D74" s="13" t="s">
        <v>20</v>
      </c>
      <c r="E74" s="13" t="s">
        <v>5</v>
      </c>
      <c r="F74" s="13" t="s">
        <v>15</v>
      </c>
    </row>
    <row r="75" spans="1:6" x14ac:dyDescent="0.25">
      <c r="A75" s="13"/>
      <c r="B75" s="13"/>
      <c r="C75" s="13"/>
      <c r="D75" s="13" t="s">
        <v>20</v>
      </c>
      <c r="E75" s="13" t="s">
        <v>5</v>
      </c>
      <c r="F75" s="13" t="s">
        <v>55</v>
      </c>
    </row>
    <row r="76" spans="1:6" x14ac:dyDescent="0.25">
      <c r="A76" s="13"/>
      <c r="B76" s="13"/>
      <c r="C76" s="13"/>
      <c r="D76" s="13" t="s">
        <v>20</v>
      </c>
      <c r="E76" s="13" t="s">
        <v>5</v>
      </c>
      <c r="F76" s="13" t="s">
        <v>56</v>
      </c>
    </row>
    <row r="77" spans="1:6" x14ac:dyDescent="0.25">
      <c r="A77" s="13"/>
      <c r="B77" s="13"/>
      <c r="C77" s="13"/>
      <c r="D77" s="13" t="s">
        <v>20</v>
      </c>
      <c r="E77" s="13" t="s">
        <v>5</v>
      </c>
      <c r="F77" s="13" t="s">
        <v>44</v>
      </c>
    </row>
    <row r="78" spans="1:6" x14ac:dyDescent="0.25">
      <c r="A78" s="13"/>
      <c r="B78" s="13"/>
      <c r="C78" s="13"/>
      <c r="D78" s="13" t="s">
        <v>20</v>
      </c>
      <c r="E78" s="13" t="s">
        <v>5</v>
      </c>
      <c r="F78" s="13" t="s">
        <v>45</v>
      </c>
    </row>
    <row r="79" spans="1:6" x14ac:dyDescent="0.25">
      <c r="A79" s="13"/>
      <c r="B79" s="13"/>
      <c r="C79" s="13"/>
      <c r="D79" s="13" t="s">
        <v>20</v>
      </c>
      <c r="E79" s="13" t="s">
        <v>5</v>
      </c>
      <c r="F79" s="13" t="s">
        <v>46</v>
      </c>
    </row>
    <row r="80" spans="1:6" x14ac:dyDescent="0.25">
      <c r="A80" s="13"/>
      <c r="B80" s="13"/>
      <c r="C80" s="13"/>
      <c r="D80" s="13" t="s">
        <v>20</v>
      </c>
      <c r="E80" s="13" t="s">
        <v>5</v>
      </c>
      <c r="F80" s="13" t="s">
        <v>47</v>
      </c>
    </row>
    <row r="81" spans="1:6" x14ac:dyDescent="0.25">
      <c r="A81" s="13"/>
      <c r="B81" s="13"/>
      <c r="C81" s="13"/>
      <c r="D81" s="13" t="s">
        <v>20</v>
      </c>
      <c r="E81" s="13" t="s">
        <v>5</v>
      </c>
      <c r="F81" s="13" t="s">
        <v>48</v>
      </c>
    </row>
    <row r="82" spans="1:6" x14ac:dyDescent="0.25">
      <c r="A82" s="13"/>
      <c r="B82" s="13"/>
      <c r="C82" s="13"/>
      <c r="D82" s="13" t="s">
        <v>20</v>
      </c>
      <c r="E82" s="13" t="s">
        <v>5</v>
      </c>
      <c r="F82" s="13" t="s">
        <v>49</v>
      </c>
    </row>
    <row r="83" spans="1:6" x14ac:dyDescent="0.25">
      <c r="A83" s="13"/>
      <c r="B83" s="13"/>
      <c r="C83" s="13"/>
      <c r="D83" s="13" t="s">
        <v>20</v>
      </c>
      <c r="E83" s="13" t="s">
        <v>5</v>
      </c>
      <c r="F83" s="13" t="s">
        <v>50</v>
      </c>
    </row>
    <row r="84" spans="1:6" x14ac:dyDescent="0.25">
      <c r="A84" s="13"/>
      <c r="B84" s="13"/>
      <c r="C84" s="13"/>
      <c r="D84" s="13" t="s">
        <v>20</v>
      </c>
      <c r="E84" s="13" t="s">
        <v>5</v>
      </c>
      <c r="F84" s="13" t="s">
        <v>51</v>
      </c>
    </row>
    <row r="85" spans="1:6" x14ac:dyDescent="0.25">
      <c r="A85" s="13"/>
      <c r="B85" s="13"/>
      <c r="C85" s="13"/>
      <c r="D85" s="13" t="s">
        <v>20</v>
      </c>
      <c r="E85" s="13" t="s">
        <v>5</v>
      </c>
      <c r="F85" s="13" t="s">
        <v>93</v>
      </c>
    </row>
    <row r="86" spans="1:6" x14ac:dyDescent="0.25">
      <c r="A86" s="13"/>
      <c r="B86" s="13"/>
      <c r="C86" s="13"/>
      <c r="D86" s="13" t="s">
        <v>20</v>
      </c>
      <c r="E86" s="13" t="s">
        <v>43</v>
      </c>
      <c r="F86" s="13" t="s">
        <v>57</v>
      </c>
    </row>
    <row r="87" spans="1:6" x14ac:dyDescent="0.25">
      <c r="A87" s="13"/>
      <c r="B87" s="13"/>
      <c r="C87" s="13"/>
      <c r="D87" s="13" t="s">
        <v>20</v>
      </c>
      <c r="E87" s="13" t="s">
        <v>43</v>
      </c>
      <c r="F87" s="13" t="s">
        <v>52</v>
      </c>
    </row>
    <row r="88" spans="1:6" x14ac:dyDescent="0.25">
      <c r="A88" s="13"/>
      <c r="B88" s="13"/>
      <c r="C88" s="13"/>
      <c r="D88" s="13" t="s">
        <v>20</v>
      </c>
      <c r="E88" s="13" t="s">
        <v>43</v>
      </c>
      <c r="F88" s="13" t="s">
        <v>53</v>
      </c>
    </row>
    <row r="89" spans="1:6" x14ac:dyDescent="0.25">
      <c r="A89" s="13"/>
      <c r="B89" s="13"/>
      <c r="C89" s="13"/>
      <c r="D89" s="13" t="s">
        <v>20</v>
      </c>
      <c r="E89" s="13" t="s">
        <v>43</v>
      </c>
      <c r="F89" s="13" t="s">
        <v>54</v>
      </c>
    </row>
    <row r="90" spans="1:6" x14ac:dyDescent="0.25">
      <c r="A90" s="13"/>
      <c r="B90" s="13"/>
      <c r="C90" s="13"/>
      <c r="D90" s="13" t="s">
        <v>20</v>
      </c>
      <c r="E90" s="13" t="s">
        <v>43</v>
      </c>
      <c r="F90" s="13" t="s">
        <v>15</v>
      </c>
    </row>
    <row r="91" spans="1:6" x14ac:dyDescent="0.25">
      <c r="A91" s="13"/>
      <c r="B91" s="13"/>
      <c r="C91" s="13"/>
      <c r="D91" s="13" t="s">
        <v>20</v>
      </c>
      <c r="E91" s="13" t="s">
        <v>43</v>
      </c>
      <c r="F91" s="13" t="s">
        <v>55</v>
      </c>
    </row>
    <row r="92" spans="1:6" x14ac:dyDescent="0.25">
      <c r="A92" s="13"/>
      <c r="B92" s="13"/>
      <c r="C92" s="13"/>
      <c r="D92" s="13" t="s">
        <v>20</v>
      </c>
      <c r="E92" s="13" t="s">
        <v>43</v>
      </c>
      <c r="F92" s="13" t="s">
        <v>56</v>
      </c>
    </row>
    <row r="93" spans="1:6" x14ac:dyDescent="0.25">
      <c r="A93" s="13"/>
      <c r="B93" s="13"/>
      <c r="C93" s="13"/>
      <c r="D93" s="13" t="s">
        <v>20</v>
      </c>
      <c r="E93" s="13" t="s">
        <v>43</v>
      </c>
      <c r="F93" s="13" t="s">
        <v>44</v>
      </c>
    </row>
    <row r="94" spans="1:6" x14ac:dyDescent="0.25">
      <c r="A94" s="13"/>
      <c r="B94" s="13"/>
      <c r="C94" s="13"/>
      <c r="D94" s="13" t="s">
        <v>20</v>
      </c>
      <c r="E94" s="13" t="s">
        <v>43</v>
      </c>
      <c r="F94" s="13" t="s">
        <v>45</v>
      </c>
    </row>
    <row r="95" spans="1:6" x14ac:dyDescent="0.25">
      <c r="A95" s="13"/>
      <c r="B95" s="13"/>
      <c r="C95" s="13"/>
      <c r="D95" s="13" t="s">
        <v>20</v>
      </c>
      <c r="E95" s="13" t="s">
        <v>43</v>
      </c>
      <c r="F95" s="13" t="s">
        <v>46</v>
      </c>
    </row>
    <row r="96" spans="1:6" x14ac:dyDescent="0.25">
      <c r="A96" s="13"/>
      <c r="B96" s="13"/>
      <c r="C96" s="13"/>
      <c r="D96" s="13" t="s">
        <v>20</v>
      </c>
      <c r="E96" s="13" t="s">
        <v>43</v>
      </c>
      <c r="F96" s="13" t="s">
        <v>47</v>
      </c>
    </row>
    <row r="97" spans="1:6" x14ac:dyDescent="0.25">
      <c r="A97" s="13"/>
      <c r="B97" s="13"/>
      <c r="C97" s="13"/>
      <c r="D97" s="13" t="s">
        <v>20</v>
      </c>
      <c r="E97" s="13" t="s">
        <v>43</v>
      </c>
      <c r="F97" s="13" t="s">
        <v>48</v>
      </c>
    </row>
    <row r="98" spans="1:6" x14ac:dyDescent="0.25">
      <c r="A98" s="13"/>
      <c r="B98" s="13"/>
      <c r="C98" s="13"/>
      <c r="D98" s="13" t="s">
        <v>20</v>
      </c>
      <c r="E98" s="13" t="s">
        <v>43</v>
      </c>
      <c r="F98" s="13" t="s">
        <v>49</v>
      </c>
    </row>
    <row r="99" spans="1:6" x14ac:dyDescent="0.25">
      <c r="A99" s="13"/>
      <c r="B99" s="13"/>
      <c r="C99" s="13"/>
      <c r="D99" s="13" t="s">
        <v>20</v>
      </c>
      <c r="E99" s="13" t="s">
        <v>43</v>
      </c>
      <c r="F99" s="13" t="s">
        <v>50</v>
      </c>
    </row>
    <row r="100" spans="1:6" x14ac:dyDescent="0.25">
      <c r="A100" s="13"/>
      <c r="B100" s="13"/>
      <c r="C100" s="13"/>
      <c r="D100" s="13" t="s">
        <v>20</v>
      </c>
      <c r="E100" s="13" t="s">
        <v>43</v>
      </c>
      <c r="F100" s="13" t="s">
        <v>51</v>
      </c>
    </row>
    <row r="101" spans="1:6" x14ac:dyDescent="0.25">
      <c r="A101" s="13"/>
      <c r="B101" s="13"/>
      <c r="C101" s="13"/>
      <c r="D101" s="13" t="s">
        <v>20</v>
      </c>
      <c r="E101" s="13" t="s">
        <v>43</v>
      </c>
      <c r="F101" s="13" t="s">
        <v>93</v>
      </c>
    </row>
    <row r="102" spans="1:6" x14ac:dyDescent="0.25">
      <c r="A102" s="13"/>
      <c r="B102" s="13"/>
      <c r="C102" s="13"/>
      <c r="D102" s="13" t="s">
        <v>20</v>
      </c>
      <c r="E102" s="13" t="s">
        <v>106</v>
      </c>
      <c r="F102" s="13" t="s">
        <v>57</v>
      </c>
    </row>
    <row r="103" spans="1:6" x14ac:dyDescent="0.25">
      <c r="A103" s="13"/>
      <c r="B103" s="13"/>
      <c r="C103" s="13"/>
      <c r="D103" s="13" t="s">
        <v>20</v>
      </c>
      <c r="E103" s="13" t="s">
        <v>106</v>
      </c>
      <c r="F103" s="13" t="s">
        <v>52</v>
      </c>
    </row>
    <row r="104" spans="1:6" x14ac:dyDescent="0.25">
      <c r="A104" s="13"/>
      <c r="B104" s="13"/>
      <c r="C104" s="13"/>
      <c r="D104" s="13" t="s">
        <v>20</v>
      </c>
      <c r="E104" s="13" t="s">
        <v>106</v>
      </c>
      <c r="F104" s="13" t="s">
        <v>53</v>
      </c>
    </row>
    <row r="105" spans="1:6" x14ac:dyDescent="0.25">
      <c r="A105" s="13"/>
      <c r="B105" s="13"/>
      <c r="C105" s="13"/>
      <c r="D105" s="13" t="s">
        <v>20</v>
      </c>
      <c r="E105" s="13" t="s">
        <v>106</v>
      </c>
      <c r="F105" s="13" t="s">
        <v>54</v>
      </c>
    </row>
    <row r="106" spans="1:6" x14ac:dyDescent="0.25">
      <c r="A106" s="13"/>
      <c r="B106" s="13"/>
      <c r="C106" s="13"/>
      <c r="D106" s="13" t="s">
        <v>20</v>
      </c>
      <c r="E106" s="13" t="s">
        <v>106</v>
      </c>
      <c r="F106" s="13" t="s">
        <v>15</v>
      </c>
    </row>
    <row r="107" spans="1:6" x14ac:dyDescent="0.25">
      <c r="A107" s="13"/>
      <c r="B107" s="13"/>
      <c r="C107" s="13"/>
      <c r="D107" s="13" t="s">
        <v>20</v>
      </c>
      <c r="E107" s="13" t="s">
        <v>106</v>
      </c>
      <c r="F107" s="13" t="s">
        <v>55</v>
      </c>
    </row>
    <row r="108" spans="1:6" x14ac:dyDescent="0.25">
      <c r="A108" s="13"/>
      <c r="B108" s="13"/>
      <c r="C108" s="13"/>
      <c r="D108" s="13" t="s">
        <v>20</v>
      </c>
      <c r="E108" s="13" t="s">
        <v>106</v>
      </c>
      <c r="F108" s="13" t="s">
        <v>56</v>
      </c>
    </row>
    <row r="109" spans="1:6" x14ac:dyDescent="0.25">
      <c r="A109" s="13"/>
      <c r="B109" s="13"/>
      <c r="C109" s="13"/>
      <c r="D109" s="13" t="s">
        <v>20</v>
      </c>
      <c r="E109" s="13" t="s">
        <v>106</v>
      </c>
      <c r="F109" s="13" t="s">
        <v>44</v>
      </c>
    </row>
    <row r="110" spans="1:6" x14ac:dyDescent="0.25">
      <c r="A110" s="13"/>
      <c r="B110" s="13"/>
      <c r="C110" s="13"/>
      <c r="D110" s="13" t="s">
        <v>20</v>
      </c>
      <c r="E110" s="13" t="s">
        <v>106</v>
      </c>
      <c r="F110" s="13" t="s">
        <v>45</v>
      </c>
    </row>
    <row r="111" spans="1:6" x14ac:dyDescent="0.25">
      <c r="A111" s="13"/>
      <c r="B111" s="13"/>
      <c r="C111" s="13"/>
      <c r="D111" s="13" t="s">
        <v>20</v>
      </c>
      <c r="E111" s="13" t="s">
        <v>106</v>
      </c>
      <c r="F111" s="13" t="s">
        <v>46</v>
      </c>
    </row>
    <row r="112" spans="1:6" x14ac:dyDescent="0.25">
      <c r="A112" s="13"/>
      <c r="B112" s="13"/>
      <c r="C112" s="13"/>
      <c r="D112" s="13" t="s">
        <v>20</v>
      </c>
      <c r="E112" s="13" t="s">
        <v>106</v>
      </c>
      <c r="F112" s="13" t="s">
        <v>47</v>
      </c>
    </row>
    <row r="113" spans="1:6" x14ac:dyDescent="0.25">
      <c r="A113" s="13"/>
      <c r="B113" s="13"/>
      <c r="C113" s="13"/>
      <c r="D113" s="13" t="s">
        <v>20</v>
      </c>
      <c r="E113" s="13" t="s">
        <v>106</v>
      </c>
      <c r="F113" s="13" t="s">
        <v>48</v>
      </c>
    </row>
    <row r="114" spans="1:6" x14ac:dyDescent="0.25">
      <c r="A114" s="13"/>
      <c r="B114" s="13"/>
      <c r="C114" s="13"/>
      <c r="D114" s="13" t="s">
        <v>20</v>
      </c>
      <c r="E114" s="13" t="s">
        <v>106</v>
      </c>
      <c r="F114" s="13" t="s">
        <v>49</v>
      </c>
    </row>
    <row r="115" spans="1:6" x14ac:dyDescent="0.25">
      <c r="A115" s="13"/>
      <c r="B115" s="13"/>
      <c r="C115" s="13"/>
      <c r="D115" s="13" t="s">
        <v>20</v>
      </c>
      <c r="E115" s="13" t="s">
        <v>106</v>
      </c>
      <c r="F115" s="13" t="s">
        <v>50</v>
      </c>
    </row>
    <row r="116" spans="1:6" x14ac:dyDescent="0.25">
      <c r="A116" s="13"/>
      <c r="B116" s="13"/>
      <c r="C116" s="13"/>
      <c r="D116" s="13" t="s">
        <v>20</v>
      </c>
      <c r="E116" s="13" t="s">
        <v>106</v>
      </c>
      <c r="F116" s="13" t="s">
        <v>51</v>
      </c>
    </row>
    <row r="117" spans="1:6" x14ac:dyDescent="0.25">
      <c r="A117" s="13"/>
      <c r="B117" s="13"/>
      <c r="C117" s="13"/>
      <c r="D117" s="13" t="s">
        <v>20</v>
      </c>
      <c r="E117" s="13" t="s">
        <v>106</v>
      </c>
      <c r="F117" s="13" t="s">
        <v>93</v>
      </c>
    </row>
    <row r="118" spans="1:6" x14ac:dyDescent="0.25">
      <c r="A118" s="13"/>
      <c r="B118" s="13"/>
      <c r="C118" s="13"/>
      <c r="D118" s="13" t="s">
        <v>20</v>
      </c>
      <c r="E118" s="13" t="s">
        <v>60</v>
      </c>
      <c r="F118" s="13" t="s">
        <v>57</v>
      </c>
    </row>
    <row r="119" spans="1:6" x14ac:dyDescent="0.25">
      <c r="A119" s="13"/>
      <c r="B119" s="13"/>
      <c r="C119" s="13"/>
      <c r="D119" s="13" t="s">
        <v>20</v>
      </c>
      <c r="E119" s="13" t="s">
        <v>60</v>
      </c>
      <c r="F119" s="13" t="s">
        <v>52</v>
      </c>
    </row>
    <row r="120" spans="1:6" x14ac:dyDescent="0.25">
      <c r="A120" s="13"/>
      <c r="B120" s="13"/>
      <c r="C120" s="13"/>
      <c r="D120" s="13" t="s">
        <v>20</v>
      </c>
      <c r="E120" s="13" t="s">
        <v>60</v>
      </c>
      <c r="F120" s="13" t="s">
        <v>53</v>
      </c>
    </row>
    <row r="121" spans="1:6" x14ac:dyDescent="0.25">
      <c r="A121" s="13"/>
      <c r="B121" s="13"/>
      <c r="C121" s="13"/>
      <c r="D121" s="13" t="s">
        <v>20</v>
      </c>
      <c r="E121" s="13" t="s">
        <v>60</v>
      </c>
      <c r="F121" s="13" t="s">
        <v>54</v>
      </c>
    </row>
    <row r="122" spans="1:6" x14ac:dyDescent="0.25">
      <c r="A122" s="13"/>
      <c r="B122" s="13"/>
      <c r="C122" s="13"/>
      <c r="D122" s="13" t="s">
        <v>20</v>
      </c>
      <c r="E122" s="13" t="s">
        <v>60</v>
      </c>
      <c r="F122" s="13" t="s">
        <v>15</v>
      </c>
    </row>
    <row r="123" spans="1:6" x14ac:dyDescent="0.25">
      <c r="A123" s="13"/>
      <c r="B123" s="13"/>
      <c r="C123" s="13"/>
      <c r="D123" s="13" t="s">
        <v>20</v>
      </c>
      <c r="E123" s="13" t="s">
        <v>60</v>
      </c>
      <c r="F123" s="13" t="s">
        <v>55</v>
      </c>
    </row>
    <row r="124" spans="1:6" x14ac:dyDescent="0.25">
      <c r="A124" s="13"/>
      <c r="B124" s="13"/>
      <c r="C124" s="13"/>
      <c r="D124" s="13" t="s">
        <v>20</v>
      </c>
      <c r="E124" s="13" t="s">
        <v>60</v>
      </c>
      <c r="F124" s="13" t="s">
        <v>56</v>
      </c>
    </row>
    <row r="125" spans="1:6" x14ac:dyDescent="0.25">
      <c r="A125" s="13"/>
      <c r="B125" s="13"/>
      <c r="C125" s="13"/>
      <c r="D125" s="13" t="s">
        <v>20</v>
      </c>
      <c r="E125" s="13" t="s">
        <v>60</v>
      </c>
      <c r="F125" s="13" t="s">
        <v>44</v>
      </c>
    </row>
    <row r="126" spans="1:6" x14ac:dyDescent="0.25">
      <c r="A126" s="13"/>
      <c r="B126" s="13"/>
      <c r="C126" s="13"/>
      <c r="D126" s="13" t="s">
        <v>20</v>
      </c>
      <c r="E126" s="13" t="s">
        <v>60</v>
      </c>
      <c r="F126" s="13" t="s">
        <v>45</v>
      </c>
    </row>
    <row r="127" spans="1:6" x14ac:dyDescent="0.25">
      <c r="A127" s="13"/>
      <c r="B127" s="13"/>
      <c r="C127" s="13"/>
      <c r="D127" s="13" t="s">
        <v>20</v>
      </c>
      <c r="E127" s="13" t="s">
        <v>60</v>
      </c>
      <c r="F127" s="13" t="s">
        <v>46</v>
      </c>
    </row>
    <row r="128" spans="1:6" x14ac:dyDescent="0.25">
      <c r="A128" s="13"/>
      <c r="B128" s="13"/>
      <c r="C128" s="13"/>
      <c r="D128" s="13" t="s">
        <v>20</v>
      </c>
      <c r="E128" s="13" t="s">
        <v>60</v>
      </c>
      <c r="F128" s="13" t="s">
        <v>47</v>
      </c>
    </row>
    <row r="129" spans="1:6" x14ac:dyDescent="0.25">
      <c r="A129" s="13"/>
      <c r="B129" s="13"/>
      <c r="C129" s="13"/>
      <c r="D129" s="13" t="s">
        <v>20</v>
      </c>
      <c r="E129" s="13" t="s">
        <v>60</v>
      </c>
      <c r="F129" s="13" t="s">
        <v>48</v>
      </c>
    </row>
    <row r="130" spans="1:6" x14ac:dyDescent="0.25">
      <c r="A130" s="13"/>
      <c r="B130" s="13"/>
      <c r="C130" s="13"/>
      <c r="D130" s="13" t="s">
        <v>20</v>
      </c>
      <c r="E130" s="13" t="s">
        <v>60</v>
      </c>
      <c r="F130" s="13" t="s">
        <v>49</v>
      </c>
    </row>
    <row r="131" spans="1:6" x14ac:dyDescent="0.25">
      <c r="A131" s="13"/>
      <c r="B131" s="13"/>
      <c r="C131" s="13"/>
      <c r="D131" s="13" t="s">
        <v>20</v>
      </c>
      <c r="E131" s="13" t="s">
        <v>60</v>
      </c>
      <c r="F131" s="13" t="s">
        <v>50</v>
      </c>
    </row>
    <row r="132" spans="1:6" x14ac:dyDescent="0.25">
      <c r="A132" s="13"/>
      <c r="B132" s="13"/>
      <c r="C132" s="13"/>
      <c r="D132" s="13" t="s">
        <v>20</v>
      </c>
      <c r="E132" s="13" t="s">
        <v>60</v>
      </c>
      <c r="F132" s="13" t="s">
        <v>51</v>
      </c>
    </row>
    <row r="133" spans="1:6" x14ac:dyDescent="0.25">
      <c r="A133" s="13"/>
      <c r="B133" s="13"/>
      <c r="C133" s="13"/>
      <c r="D133" s="13" t="s">
        <v>20</v>
      </c>
      <c r="E133" s="13" t="s">
        <v>60</v>
      </c>
      <c r="F133" s="13" t="s">
        <v>93</v>
      </c>
    </row>
    <row r="134" spans="1:6" x14ac:dyDescent="0.25">
      <c r="A134" s="13"/>
      <c r="B134" s="13"/>
      <c r="C134" s="13"/>
      <c r="D134" s="13" t="s">
        <v>20</v>
      </c>
      <c r="E134" s="13" t="s">
        <v>62</v>
      </c>
      <c r="F134" s="13" t="s">
        <v>57</v>
      </c>
    </row>
    <row r="135" spans="1:6" x14ac:dyDescent="0.25">
      <c r="A135" s="13"/>
      <c r="B135" s="13"/>
      <c r="C135" s="13"/>
      <c r="D135" s="13" t="s">
        <v>20</v>
      </c>
      <c r="E135" s="13" t="s">
        <v>62</v>
      </c>
      <c r="F135" s="13" t="s">
        <v>52</v>
      </c>
    </row>
    <row r="136" spans="1:6" x14ac:dyDescent="0.25">
      <c r="A136" s="13"/>
      <c r="B136" s="13"/>
      <c r="C136" s="13"/>
      <c r="D136" s="13" t="s">
        <v>20</v>
      </c>
      <c r="E136" s="13" t="s">
        <v>62</v>
      </c>
      <c r="F136" s="13" t="s">
        <v>53</v>
      </c>
    </row>
    <row r="137" spans="1:6" x14ac:dyDescent="0.25">
      <c r="A137" s="13"/>
      <c r="B137" s="13"/>
      <c r="C137" s="13"/>
      <c r="D137" s="13" t="s">
        <v>20</v>
      </c>
      <c r="E137" s="13" t="s">
        <v>62</v>
      </c>
      <c r="F137" s="13" t="s">
        <v>54</v>
      </c>
    </row>
    <row r="138" spans="1:6" x14ac:dyDescent="0.25">
      <c r="A138" s="13"/>
      <c r="B138" s="13"/>
      <c r="C138" s="13"/>
      <c r="D138" s="13" t="s">
        <v>20</v>
      </c>
      <c r="E138" s="13" t="s">
        <v>62</v>
      </c>
      <c r="F138" s="13" t="s">
        <v>15</v>
      </c>
    </row>
    <row r="139" spans="1:6" x14ac:dyDescent="0.25">
      <c r="A139" s="13"/>
      <c r="B139" s="13"/>
      <c r="C139" s="13"/>
      <c r="D139" s="13" t="s">
        <v>20</v>
      </c>
      <c r="E139" s="13" t="s">
        <v>62</v>
      </c>
      <c r="F139" s="13" t="s">
        <v>55</v>
      </c>
    </row>
    <row r="140" spans="1:6" x14ac:dyDescent="0.25">
      <c r="A140" s="13"/>
      <c r="B140" s="13"/>
      <c r="C140" s="13"/>
      <c r="D140" s="13" t="s">
        <v>20</v>
      </c>
      <c r="E140" s="13" t="s">
        <v>62</v>
      </c>
      <c r="F140" s="13" t="s">
        <v>56</v>
      </c>
    </row>
    <row r="141" spans="1:6" x14ac:dyDescent="0.25">
      <c r="A141" s="13"/>
      <c r="B141" s="13"/>
      <c r="C141" s="13"/>
      <c r="D141" s="13" t="s">
        <v>20</v>
      </c>
      <c r="E141" s="13" t="s">
        <v>62</v>
      </c>
      <c r="F141" s="13" t="s">
        <v>44</v>
      </c>
    </row>
    <row r="142" spans="1:6" x14ac:dyDescent="0.25">
      <c r="A142" s="13"/>
      <c r="B142" s="13"/>
      <c r="C142" s="13"/>
      <c r="D142" s="13" t="s">
        <v>20</v>
      </c>
      <c r="E142" s="13" t="s">
        <v>62</v>
      </c>
      <c r="F142" s="13" t="s">
        <v>45</v>
      </c>
    </row>
    <row r="143" spans="1:6" x14ac:dyDescent="0.25">
      <c r="A143" s="13"/>
      <c r="B143" s="13"/>
      <c r="C143" s="13"/>
      <c r="D143" s="13" t="s">
        <v>20</v>
      </c>
      <c r="E143" s="13" t="s">
        <v>62</v>
      </c>
      <c r="F143" s="13" t="s">
        <v>46</v>
      </c>
    </row>
    <row r="144" spans="1:6" x14ac:dyDescent="0.25">
      <c r="A144" s="13"/>
      <c r="B144" s="13"/>
      <c r="C144" s="13"/>
      <c r="D144" s="13" t="s">
        <v>20</v>
      </c>
      <c r="E144" s="13" t="s">
        <v>62</v>
      </c>
      <c r="F144" s="13" t="s">
        <v>47</v>
      </c>
    </row>
    <row r="145" spans="1:6" x14ac:dyDescent="0.25">
      <c r="A145" s="13"/>
      <c r="B145" s="13"/>
      <c r="C145" s="13"/>
      <c r="D145" s="13" t="s">
        <v>20</v>
      </c>
      <c r="E145" s="13" t="s">
        <v>62</v>
      </c>
      <c r="F145" s="13" t="s">
        <v>48</v>
      </c>
    </row>
    <row r="146" spans="1:6" x14ac:dyDescent="0.25">
      <c r="A146" s="13"/>
      <c r="B146" s="13"/>
      <c r="C146" s="13"/>
      <c r="D146" s="13" t="s">
        <v>20</v>
      </c>
      <c r="E146" s="13" t="s">
        <v>62</v>
      </c>
      <c r="F146" s="13" t="s">
        <v>49</v>
      </c>
    </row>
    <row r="147" spans="1:6" x14ac:dyDescent="0.25">
      <c r="A147" s="13"/>
      <c r="B147" s="13"/>
      <c r="C147" s="13"/>
      <c r="D147" s="13" t="s">
        <v>20</v>
      </c>
      <c r="E147" s="13" t="s">
        <v>62</v>
      </c>
      <c r="F147" s="13" t="s">
        <v>50</v>
      </c>
    </row>
    <row r="148" spans="1:6" x14ac:dyDescent="0.25">
      <c r="A148" s="13"/>
      <c r="B148" s="13"/>
      <c r="C148" s="13"/>
      <c r="D148" s="13" t="s">
        <v>20</v>
      </c>
      <c r="E148" s="13" t="s">
        <v>62</v>
      </c>
      <c r="F148" s="13" t="s">
        <v>51</v>
      </c>
    </row>
    <row r="149" spans="1:6" x14ac:dyDescent="0.25">
      <c r="A149" s="13"/>
      <c r="B149" s="13"/>
      <c r="C149" s="13"/>
      <c r="D149" s="13" t="s">
        <v>20</v>
      </c>
      <c r="E149" s="13" t="s">
        <v>62</v>
      </c>
      <c r="F149" s="13" t="s">
        <v>93</v>
      </c>
    </row>
    <row r="150" spans="1:6" x14ac:dyDescent="0.25">
      <c r="A150" s="13"/>
      <c r="B150" s="13"/>
      <c r="C150" s="13"/>
      <c r="D150" s="13" t="s">
        <v>20</v>
      </c>
      <c r="E150" s="13" t="s">
        <v>19</v>
      </c>
      <c r="F150" s="13" t="s">
        <v>57</v>
      </c>
    </row>
    <row r="151" spans="1:6" x14ac:dyDescent="0.25">
      <c r="A151" s="13"/>
      <c r="B151" s="13"/>
      <c r="C151" s="13"/>
      <c r="D151" s="13" t="s">
        <v>20</v>
      </c>
      <c r="E151" s="13" t="s">
        <v>19</v>
      </c>
      <c r="F151" s="13" t="s">
        <v>52</v>
      </c>
    </row>
    <row r="152" spans="1:6" x14ac:dyDescent="0.25">
      <c r="A152" s="13"/>
      <c r="B152" s="13"/>
      <c r="C152" s="13"/>
      <c r="D152" s="13" t="s">
        <v>20</v>
      </c>
      <c r="E152" s="13" t="s">
        <v>19</v>
      </c>
      <c r="F152" s="13" t="s">
        <v>53</v>
      </c>
    </row>
    <row r="153" spans="1:6" x14ac:dyDescent="0.25">
      <c r="A153" s="13"/>
      <c r="B153" s="13"/>
      <c r="C153" s="13"/>
      <c r="D153" s="13" t="s">
        <v>20</v>
      </c>
      <c r="E153" s="13" t="s">
        <v>19</v>
      </c>
      <c r="F153" s="13" t="s">
        <v>54</v>
      </c>
    </row>
    <row r="154" spans="1:6" x14ac:dyDescent="0.25">
      <c r="A154" s="13"/>
      <c r="B154" s="13"/>
      <c r="C154" s="13"/>
      <c r="D154" s="13" t="s">
        <v>20</v>
      </c>
      <c r="E154" s="13" t="s">
        <v>19</v>
      </c>
      <c r="F154" s="13" t="s">
        <v>15</v>
      </c>
    </row>
    <row r="155" spans="1:6" x14ac:dyDescent="0.25">
      <c r="A155" s="13"/>
      <c r="B155" s="13"/>
      <c r="C155" s="13"/>
      <c r="D155" s="13" t="s">
        <v>20</v>
      </c>
      <c r="E155" s="13" t="s">
        <v>19</v>
      </c>
      <c r="F155" s="13" t="s">
        <v>55</v>
      </c>
    </row>
    <row r="156" spans="1:6" x14ac:dyDescent="0.25">
      <c r="A156" s="13"/>
      <c r="B156" s="13"/>
      <c r="C156" s="13"/>
      <c r="D156" s="13" t="s">
        <v>20</v>
      </c>
      <c r="E156" s="13" t="s">
        <v>19</v>
      </c>
      <c r="F156" s="13" t="s">
        <v>56</v>
      </c>
    </row>
    <row r="157" spans="1:6" x14ac:dyDescent="0.25">
      <c r="A157" s="13"/>
      <c r="B157" s="13"/>
      <c r="C157" s="13"/>
      <c r="D157" s="13" t="s">
        <v>20</v>
      </c>
      <c r="E157" s="13" t="s">
        <v>19</v>
      </c>
      <c r="F157" s="13" t="s">
        <v>44</v>
      </c>
    </row>
    <row r="158" spans="1:6" x14ac:dyDescent="0.25">
      <c r="A158" s="13"/>
      <c r="B158" s="13"/>
      <c r="C158" s="13"/>
      <c r="D158" s="13" t="s">
        <v>20</v>
      </c>
      <c r="E158" s="13" t="s">
        <v>19</v>
      </c>
      <c r="F158" s="13" t="s">
        <v>45</v>
      </c>
    </row>
    <row r="159" spans="1:6" x14ac:dyDescent="0.25">
      <c r="A159" s="13"/>
      <c r="B159" s="13"/>
      <c r="C159" s="13"/>
      <c r="D159" s="13" t="s">
        <v>20</v>
      </c>
      <c r="E159" s="13" t="s">
        <v>19</v>
      </c>
      <c r="F159" s="13" t="s">
        <v>46</v>
      </c>
    </row>
    <row r="160" spans="1:6" x14ac:dyDescent="0.25">
      <c r="A160" s="13"/>
      <c r="B160" s="13"/>
      <c r="C160" s="13"/>
      <c r="D160" s="13" t="s">
        <v>20</v>
      </c>
      <c r="E160" s="13" t="s">
        <v>19</v>
      </c>
      <c r="F160" s="13" t="s">
        <v>47</v>
      </c>
    </row>
    <row r="161" spans="1:6" x14ac:dyDescent="0.25">
      <c r="A161" s="13"/>
      <c r="B161" s="13"/>
      <c r="C161" s="13"/>
      <c r="D161" s="13" t="s">
        <v>20</v>
      </c>
      <c r="E161" s="13" t="s">
        <v>19</v>
      </c>
      <c r="F161" s="13" t="s">
        <v>48</v>
      </c>
    </row>
    <row r="162" spans="1:6" x14ac:dyDescent="0.25">
      <c r="A162" s="13"/>
      <c r="B162" s="13"/>
      <c r="C162" s="13"/>
      <c r="D162" s="13" t="s">
        <v>20</v>
      </c>
      <c r="E162" s="13" t="s">
        <v>19</v>
      </c>
      <c r="F162" s="13" t="s">
        <v>49</v>
      </c>
    </row>
    <row r="163" spans="1:6" x14ac:dyDescent="0.25">
      <c r="A163" s="13"/>
      <c r="B163" s="13"/>
      <c r="C163" s="13"/>
      <c r="D163" s="13" t="s">
        <v>20</v>
      </c>
      <c r="E163" s="13" t="s">
        <v>19</v>
      </c>
      <c r="F163" s="13" t="s">
        <v>50</v>
      </c>
    </row>
    <row r="164" spans="1:6" x14ac:dyDescent="0.25">
      <c r="A164" s="13"/>
      <c r="B164" s="13"/>
      <c r="C164" s="13"/>
      <c r="D164" s="13" t="s">
        <v>20</v>
      </c>
      <c r="E164" s="13" t="s">
        <v>19</v>
      </c>
      <c r="F164" s="13" t="s">
        <v>51</v>
      </c>
    </row>
    <row r="165" spans="1:6" x14ac:dyDescent="0.25">
      <c r="A165" s="13"/>
      <c r="B165" s="13"/>
      <c r="C165" s="13"/>
      <c r="D165" s="13" t="s">
        <v>20</v>
      </c>
      <c r="E165" s="13" t="s">
        <v>19</v>
      </c>
      <c r="F165" s="13" t="s">
        <v>93</v>
      </c>
    </row>
    <row r="166" spans="1:6" x14ac:dyDescent="0.25">
      <c r="A166" s="13"/>
      <c r="B166" s="13"/>
      <c r="C166" s="13"/>
      <c r="D166" s="13" t="s">
        <v>20</v>
      </c>
      <c r="E166" s="13" t="s">
        <v>26</v>
      </c>
      <c r="F166" s="13" t="s">
        <v>57</v>
      </c>
    </row>
    <row r="167" spans="1:6" x14ac:dyDescent="0.25">
      <c r="A167" s="13"/>
      <c r="B167" s="13"/>
      <c r="C167" s="13"/>
      <c r="D167" s="13" t="s">
        <v>20</v>
      </c>
      <c r="E167" s="13" t="s">
        <v>26</v>
      </c>
      <c r="F167" s="13" t="s">
        <v>52</v>
      </c>
    </row>
    <row r="168" spans="1:6" x14ac:dyDescent="0.25">
      <c r="A168" s="13"/>
      <c r="B168" s="13"/>
      <c r="C168" s="13"/>
      <c r="D168" s="13" t="s">
        <v>20</v>
      </c>
      <c r="E168" s="13" t="s">
        <v>26</v>
      </c>
      <c r="F168" s="13" t="s">
        <v>53</v>
      </c>
    </row>
    <row r="169" spans="1:6" x14ac:dyDescent="0.25">
      <c r="A169" s="13"/>
      <c r="B169" s="13"/>
      <c r="C169" s="13"/>
      <c r="D169" s="13" t="s">
        <v>20</v>
      </c>
      <c r="E169" s="13" t="s">
        <v>26</v>
      </c>
      <c r="F169" s="13" t="s">
        <v>54</v>
      </c>
    </row>
    <row r="170" spans="1:6" x14ac:dyDescent="0.25">
      <c r="A170" s="13"/>
      <c r="B170" s="13"/>
      <c r="C170" s="13"/>
      <c r="D170" s="13" t="s">
        <v>20</v>
      </c>
      <c r="E170" s="13" t="s">
        <v>26</v>
      </c>
      <c r="F170" s="13" t="s">
        <v>15</v>
      </c>
    </row>
    <row r="171" spans="1:6" x14ac:dyDescent="0.25">
      <c r="A171" s="13"/>
      <c r="B171" s="13"/>
      <c r="C171" s="13"/>
      <c r="D171" s="13" t="s">
        <v>20</v>
      </c>
      <c r="E171" s="13" t="s">
        <v>26</v>
      </c>
      <c r="F171" s="13" t="s">
        <v>55</v>
      </c>
    </row>
    <row r="172" spans="1:6" x14ac:dyDescent="0.25">
      <c r="A172" s="13"/>
      <c r="B172" s="13"/>
      <c r="C172" s="13"/>
      <c r="D172" s="13" t="s">
        <v>20</v>
      </c>
      <c r="E172" s="13" t="s">
        <v>26</v>
      </c>
      <c r="F172" s="13" t="s">
        <v>56</v>
      </c>
    </row>
    <row r="173" spans="1:6" x14ac:dyDescent="0.25">
      <c r="A173" s="13"/>
      <c r="B173" s="13"/>
      <c r="C173" s="13"/>
      <c r="D173" s="13" t="s">
        <v>20</v>
      </c>
      <c r="E173" s="13" t="s">
        <v>26</v>
      </c>
      <c r="F173" s="13" t="s">
        <v>44</v>
      </c>
    </row>
    <row r="174" spans="1:6" x14ac:dyDescent="0.25">
      <c r="A174" s="13"/>
      <c r="B174" s="13"/>
      <c r="C174" s="13"/>
      <c r="D174" s="13" t="s">
        <v>20</v>
      </c>
      <c r="E174" s="13" t="s">
        <v>26</v>
      </c>
      <c r="F174" s="13" t="s">
        <v>45</v>
      </c>
    </row>
    <row r="175" spans="1:6" x14ac:dyDescent="0.25">
      <c r="A175" s="13"/>
      <c r="B175" s="13"/>
      <c r="C175" s="13"/>
      <c r="D175" s="13" t="s">
        <v>20</v>
      </c>
      <c r="E175" s="13" t="s">
        <v>26</v>
      </c>
      <c r="F175" s="13" t="s">
        <v>46</v>
      </c>
    </row>
    <row r="176" spans="1:6" x14ac:dyDescent="0.25">
      <c r="A176" s="13"/>
      <c r="B176" s="13"/>
      <c r="C176" s="13"/>
      <c r="D176" s="13" t="s">
        <v>20</v>
      </c>
      <c r="E176" s="13" t="s">
        <v>26</v>
      </c>
      <c r="F176" s="13" t="s">
        <v>47</v>
      </c>
    </row>
    <row r="177" spans="1:6" x14ac:dyDescent="0.25">
      <c r="A177" s="13"/>
      <c r="B177" s="13"/>
      <c r="C177" s="13"/>
      <c r="D177" s="13" t="s">
        <v>20</v>
      </c>
      <c r="E177" s="13" t="s">
        <v>26</v>
      </c>
      <c r="F177" s="13" t="s">
        <v>48</v>
      </c>
    </row>
    <row r="178" spans="1:6" x14ac:dyDescent="0.25">
      <c r="A178" s="13"/>
      <c r="B178" s="13"/>
      <c r="C178" s="13"/>
      <c r="D178" s="13" t="s">
        <v>20</v>
      </c>
      <c r="E178" s="13" t="s">
        <v>26</v>
      </c>
      <c r="F178" s="13" t="s">
        <v>49</v>
      </c>
    </row>
    <row r="179" spans="1:6" x14ac:dyDescent="0.25">
      <c r="A179" s="13"/>
      <c r="B179" s="13"/>
      <c r="C179" s="13"/>
      <c r="D179" s="13" t="s">
        <v>20</v>
      </c>
      <c r="E179" s="13" t="s">
        <v>26</v>
      </c>
      <c r="F179" s="13" t="s">
        <v>50</v>
      </c>
    </row>
    <row r="180" spans="1:6" x14ac:dyDescent="0.25">
      <c r="A180" s="13"/>
      <c r="B180" s="13"/>
      <c r="C180" s="13"/>
      <c r="D180" s="13" t="s">
        <v>20</v>
      </c>
      <c r="E180" s="13" t="s">
        <v>26</v>
      </c>
      <c r="F180" s="13" t="s">
        <v>51</v>
      </c>
    </row>
    <row r="181" spans="1:6" x14ac:dyDescent="0.25">
      <c r="A181" s="13"/>
      <c r="B181" s="13"/>
      <c r="C181" s="13"/>
      <c r="D181" s="13" t="s">
        <v>20</v>
      </c>
      <c r="E181" s="13" t="s">
        <v>26</v>
      </c>
      <c r="F181" s="13" t="s">
        <v>93</v>
      </c>
    </row>
    <row r="182" spans="1:6" x14ac:dyDescent="0.25">
      <c r="A182" s="13"/>
      <c r="B182" s="13"/>
      <c r="C182" s="13"/>
      <c r="D182" s="13" t="s">
        <v>20</v>
      </c>
      <c r="E182" s="13" t="s">
        <v>4</v>
      </c>
      <c r="F182" s="13" t="s">
        <v>57</v>
      </c>
    </row>
    <row r="183" spans="1:6" x14ac:dyDescent="0.25">
      <c r="A183" s="13"/>
      <c r="B183" s="13"/>
      <c r="C183" s="13"/>
      <c r="D183" s="13" t="s">
        <v>20</v>
      </c>
      <c r="E183" s="13" t="s">
        <v>4</v>
      </c>
      <c r="F183" s="13" t="s">
        <v>52</v>
      </c>
    </row>
    <row r="184" spans="1:6" x14ac:dyDescent="0.25">
      <c r="A184" s="13"/>
      <c r="B184" s="13"/>
      <c r="C184" s="13"/>
      <c r="D184" s="13" t="s">
        <v>20</v>
      </c>
      <c r="E184" s="13" t="s">
        <v>4</v>
      </c>
      <c r="F184" s="13" t="s">
        <v>53</v>
      </c>
    </row>
    <row r="185" spans="1:6" x14ac:dyDescent="0.25">
      <c r="A185" s="13"/>
      <c r="B185" s="13"/>
      <c r="C185" s="13"/>
      <c r="D185" s="13" t="s">
        <v>20</v>
      </c>
      <c r="E185" s="13" t="s">
        <v>4</v>
      </c>
      <c r="F185" s="13" t="s">
        <v>54</v>
      </c>
    </row>
    <row r="186" spans="1:6" x14ac:dyDescent="0.25">
      <c r="A186" s="13"/>
      <c r="B186" s="13"/>
      <c r="C186" s="13"/>
      <c r="D186" s="13" t="s">
        <v>20</v>
      </c>
      <c r="E186" s="13" t="s">
        <v>4</v>
      </c>
      <c r="F186" s="13" t="s">
        <v>15</v>
      </c>
    </row>
    <row r="187" spans="1:6" x14ac:dyDescent="0.25">
      <c r="A187" s="13"/>
      <c r="B187" s="13"/>
      <c r="C187" s="13"/>
      <c r="D187" s="13" t="s">
        <v>20</v>
      </c>
      <c r="E187" s="13" t="s">
        <v>4</v>
      </c>
      <c r="F187" s="13" t="s">
        <v>55</v>
      </c>
    </row>
    <row r="188" spans="1:6" x14ac:dyDescent="0.25">
      <c r="A188" s="13"/>
      <c r="B188" s="13"/>
      <c r="C188" s="13"/>
      <c r="D188" s="13" t="s">
        <v>20</v>
      </c>
      <c r="E188" s="13" t="s">
        <v>4</v>
      </c>
      <c r="F188" s="13" t="s">
        <v>56</v>
      </c>
    </row>
    <row r="189" spans="1:6" x14ac:dyDescent="0.25">
      <c r="A189" s="13"/>
      <c r="B189" s="13"/>
      <c r="C189" s="13"/>
      <c r="D189" s="13" t="s">
        <v>20</v>
      </c>
      <c r="E189" s="13" t="s">
        <v>4</v>
      </c>
      <c r="F189" s="13" t="s">
        <v>44</v>
      </c>
    </row>
    <row r="190" spans="1:6" x14ac:dyDescent="0.25">
      <c r="A190" s="13"/>
      <c r="B190" s="13"/>
      <c r="C190" s="13"/>
      <c r="D190" s="13" t="s">
        <v>20</v>
      </c>
      <c r="E190" s="13" t="s">
        <v>4</v>
      </c>
      <c r="F190" s="13" t="s">
        <v>45</v>
      </c>
    </row>
    <row r="191" spans="1:6" x14ac:dyDescent="0.25">
      <c r="A191" s="13"/>
      <c r="B191" s="13"/>
      <c r="C191" s="13"/>
      <c r="D191" s="13" t="s">
        <v>20</v>
      </c>
      <c r="E191" s="13" t="s">
        <v>4</v>
      </c>
      <c r="F191" s="13" t="s">
        <v>46</v>
      </c>
    </row>
    <row r="192" spans="1:6" x14ac:dyDescent="0.25">
      <c r="A192" s="13"/>
      <c r="B192" s="13"/>
      <c r="C192" s="13"/>
      <c r="D192" s="13" t="s">
        <v>20</v>
      </c>
      <c r="E192" s="13" t="s">
        <v>4</v>
      </c>
      <c r="F192" s="13" t="s">
        <v>47</v>
      </c>
    </row>
    <row r="193" spans="1:6" x14ac:dyDescent="0.25">
      <c r="A193" s="13"/>
      <c r="B193" s="13"/>
      <c r="C193" s="13"/>
      <c r="D193" s="13" t="s">
        <v>20</v>
      </c>
      <c r="E193" s="13" t="s">
        <v>4</v>
      </c>
      <c r="F193" s="13" t="s">
        <v>48</v>
      </c>
    </row>
    <row r="194" spans="1:6" x14ac:dyDescent="0.25">
      <c r="A194" s="13"/>
      <c r="B194" s="13"/>
      <c r="C194" s="13"/>
      <c r="D194" s="13" t="s">
        <v>20</v>
      </c>
      <c r="E194" s="13" t="s">
        <v>4</v>
      </c>
      <c r="F194" s="13" t="s">
        <v>49</v>
      </c>
    </row>
    <row r="195" spans="1:6" x14ac:dyDescent="0.25">
      <c r="A195" s="13"/>
      <c r="B195" s="13"/>
      <c r="C195" s="13"/>
      <c r="D195" s="13" t="s">
        <v>20</v>
      </c>
      <c r="E195" s="13" t="s">
        <v>4</v>
      </c>
      <c r="F195" s="13" t="s">
        <v>50</v>
      </c>
    </row>
    <row r="196" spans="1:6" x14ac:dyDescent="0.25">
      <c r="A196" s="13"/>
      <c r="B196" s="13"/>
      <c r="C196" s="13"/>
      <c r="D196" s="13" t="s">
        <v>20</v>
      </c>
      <c r="E196" s="13" t="s">
        <v>4</v>
      </c>
      <c r="F196" s="13" t="s">
        <v>51</v>
      </c>
    </row>
    <row r="197" spans="1:6" x14ac:dyDescent="0.25">
      <c r="A197" s="13"/>
      <c r="B197" s="13"/>
      <c r="C197" s="13"/>
      <c r="D197" s="13" t="s">
        <v>20</v>
      </c>
      <c r="E197" s="13" t="s">
        <v>4</v>
      </c>
      <c r="F197" s="13" t="s">
        <v>93</v>
      </c>
    </row>
    <row r="198" spans="1:6" x14ac:dyDescent="0.25">
      <c r="A198" s="13"/>
      <c r="B198" s="13"/>
      <c r="C198" s="13"/>
      <c r="D198" s="13" t="s">
        <v>20</v>
      </c>
      <c r="E198" s="13" t="s">
        <v>2</v>
      </c>
      <c r="F198" s="13" t="s">
        <v>57</v>
      </c>
    </row>
    <row r="199" spans="1:6" x14ac:dyDescent="0.25">
      <c r="A199" s="13"/>
      <c r="B199" s="13"/>
      <c r="C199" s="13"/>
      <c r="D199" s="13" t="s">
        <v>20</v>
      </c>
      <c r="E199" s="13" t="s">
        <v>2</v>
      </c>
      <c r="F199" s="13" t="s">
        <v>52</v>
      </c>
    </row>
    <row r="200" spans="1:6" x14ac:dyDescent="0.25">
      <c r="A200" s="13"/>
      <c r="B200" s="13"/>
      <c r="C200" s="13"/>
      <c r="D200" s="13" t="s">
        <v>20</v>
      </c>
      <c r="E200" s="13" t="s">
        <v>2</v>
      </c>
      <c r="F200" s="13" t="s">
        <v>53</v>
      </c>
    </row>
    <row r="201" spans="1:6" x14ac:dyDescent="0.25">
      <c r="A201" s="13"/>
      <c r="B201" s="13"/>
      <c r="C201" s="13"/>
      <c r="D201" s="13" t="s">
        <v>20</v>
      </c>
      <c r="E201" s="13" t="s">
        <v>2</v>
      </c>
      <c r="F201" s="13" t="s">
        <v>54</v>
      </c>
    </row>
    <row r="202" spans="1:6" x14ac:dyDescent="0.25">
      <c r="A202" s="13"/>
      <c r="B202" s="13"/>
      <c r="C202" s="13"/>
      <c r="D202" s="13" t="s">
        <v>20</v>
      </c>
      <c r="E202" s="13" t="s">
        <v>2</v>
      </c>
      <c r="F202" s="13" t="s">
        <v>15</v>
      </c>
    </row>
    <row r="203" spans="1:6" x14ac:dyDescent="0.25">
      <c r="A203" s="13"/>
      <c r="B203" s="13"/>
      <c r="C203" s="13"/>
      <c r="D203" s="13" t="s">
        <v>20</v>
      </c>
      <c r="E203" s="13" t="s">
        <v>2</v>
      </c>
      <c r="F203" s="13" t="s">
        <v>55</v>
      </c>
    </row>
    <row r="204" spans="1:6" x14ac:dyDescent="0.25">
      <c r="A204" s="13"/>
      <c r="B204" s="13"/>
      <c r="C204" s="13"/>
      <c r="D204" s="13" t="s">
        <v>20</v>
      </c>
      <c r="E204" s="13" t="s">
        <v>2</v>
      </c>
      <c r="F204" s="13" t="s">
        <v>56</v>
      </c>
    </row>
    <row r="205" spans="1:6" x14ac:dyDescent="0.25">
      <c r="A205" s="13"/>
      <c r="B205" s="13"/>
      <c r="C205" s="13"/>
      <c r="D205" s="13" t="s">
        <v>20</v>
      </c>
      <c r="E205" s="13" t="s">
        <v>2</v>
      </c>
      <c r="F205" s="13" t="s">
        <v>44</v>
      </c>
    </row>
    <row r="206" spans="1:6" x14ac:dyDescent="0.25">
      <c r="A206" s="13"/>
      <c r="B206" s="13"/>
      <c r="C206" s="13"/>
      <c r="D206" s="13" t="s">
        <v>20</v>
      </c>
      <c r="E206" s="13" t="s">
        <v>2</v>
      </c>
      <c r="F206" s="13" t="s">
        <v>45</v>
      </c>
    </row>
    <row r="207" spans="1:6" x14ac:dyDescent="0.25">
      <c r="A207" s="13"/>
      <c r="B207" s="13"/>
      <c r="C207" s="13"/>
      <c r="D207" s="13" t="s">
        <v>20</v>
      </c>
      <c r="E207" s="13" t="s">
        <v>2</v>
      </c>
      <c r="F207" s="13" t="s">
        <v>46</v>
      </c>
    </row>
    <row r="208" spans="1:6" x14ac:dyDescent="0.25">
      <c r="A208" s="13"/>
      <c r="B208" s="13"/>
      <c r="C208" s="13"/>
      <c r="D208" s="13" t="s">
        <v>20</v>
      </c>
      <c r="E208" s="13" t="s">
        <v>2</v>
      </c>
      <c r="F208" s="13" t="s">
        <v>47</v>
      </c>
    </row>
    <row r="209" spans="1:6" x14ac:dyDescent="0.25">
      <c r="A209" s="13"/>
      <c r="B209" s="13"/>
      <c r="C209" s="13"/>
      <c r="D209" s="13" t="s">
        <v>20</v>
      </c>
      <c r="E209" s="13" t="s">
        <v>2</v>
      </c>
      <c r="F209" s="13" t="s">
        <v>48</v>
      </c>
    </row>
    <row r="210" spans="1:6" x14ac:dyDescent="0.25">
      <c r="A210" s="13"/>
      <c r="B210" s="13"/>
      <c r="C210" s="13"/>
      <c r="D210" s="13" t="s">
        <v>20</v>
      </c>
      <c r="E210" s="13" t="s">
        <v>2</v>
      </c>
      <c r="F210" s="13" t="s">
        <v>49</v>
      </c>
    </row>
    <row r="211" spans="1:6" x14ac:dyDescent="0.25">
      <c r="A211" s="13"/>
      <c r="B211" s="13"/>
      <c r="C211" s="13"/>
      <c r="D211" s="13" t="s">
        <v>20</v>
      </c>
      <c r="E211" s="13" t="s">
        <v>2</v>
      </c>
      <c r="F211" s="13" t="s">
        <v>50</v>
      </c>
    </row>
    <row r="212" spans="1:6" x14ac:dyDescent="0.25">
      <c r="A212" s="13"/>
      <c r="B212" s="13"/>
      <c r="C212" s="13"/>
      <c r="D212" s="13" t="s">
        <v>20</v>
      </c>
      <c r="E212" s="13" t="s">
        <v>2</v>
      </c>
      <c r="F212" s="13" t="s">
        <v>51</v>
      </c>
    </row>
    <row r="213" spans="1:6" x14ac:dyDescent="0.25">
      <c r="A213" s="13"/>
      <c r="B213" s="13"/>
      <c r="C213" s="13"/>
      <c r="D213" s="13" t="s">
        <v>20</v>
      </c>
      <c r="E213" s="13" t="s">
        <v>2</v>
      </c>
      <c r="F213" s="13" t="s">
        <v>93</v>
      </c>
    </row>
    <row r="214" spans="1:6" x14ac:dyDescent="0.25">
      <c r="A214" s="13"/>
      <c r="B214" s="13"/>
      <c r="C214" s="13"/>
      <c r="D214" s="13" t="s">
        <v>20</v>
      </c>
      <c r="E214" s="13" t="s">
        <v>7</v>
      </c>
      <c r="F214" s="13" t="s">
        <v>57</v>
      </c>
    </row>
    <row r="215" spans="1:6" x14ac:dyDescent="0.25">
      <c r="A215" s="13"/>
      <c r="B215" s="13"/>
      <c r="C215" s="13"/>
      <c r="D215" s="13" t="s">
        <v>20</v>
      </c>
      <c r="E215" s="13" t="s">
        <v>7</v>
      </c>
      <c r="F215" s="13" t="s">
        <v>52</v>
      </c>
    </row>
    <row r="216" spans="1:6" x14ac:dyDescent="0.25">
      <c r="A216" s="13"/>
      <c r="B216" s="13"/>
      <c r="C216" s="13"/>
      <c r="D216" s="13" t="s">
        <v>20</v>
      </c>
      <c r="E216" s="13" t="s">
        <v>7</v>
      </c>
      <c r="F216" s="13" t="s">
        <v>53</v>
      </c>
    </row>
    <row r="217" spans="1:6" x14ac:dyDescent="0.25">
      <c r="A217" s="13"/>
      <c r="B217" s="13"/>
      <c r="C217" s="13"/>
      <c r="D217" s="13" t="s">
        <v>20</v>
      </c>
      <c r="E217" s="13" t="s">
        <v>7</v>
      </c>
      <c r="F217" s="13" t="s">
        <v>54</v>
      </c>
    </row>
    <row r="218" spans="1:6" x14ac:dyDescent="0.25">
      <c r="A218" s="13"/>
      <c r="B218" s="13"/>
      <c r="C218" s="13"/>
      <c r="D218" s="13" t="s">
        <v>20</v>
      </c>
      <c r="E218" s="13" t="s">
        <v>7</v>
      </c>
      <c r="F218" s="13" t="s">
        <v>15</v>
      </c>
    </row>
    <row r="219" spans="1:6" x14ac:dyDescent="0.25">
      <c r="A219" s="13"/>
      <c r="B219" s="13"/>
      <c r="C219" s="13"/>
      <c r="D219" s="13" t="s">
        <v>20</v>
      </c>
      <c r="E219" s="13" t="s">
        <v>7</v>
      </c>
      <c r="F219" s="13" t="s">
        <v>55</v>
      </c>
    </row>
    <row r="220" spans="1:6" x14ac:dyDescent="0.25">
      <c r="A220" s="13"/>
      <c r="B220" s="13"/>
      <c r="C220" s="13"/>
      <c r="D220" s="13" t="s">
        <v>20</v>
      </c>
      <c r="E220" s="13" t="s">
        <v>7</v>
      </c>
      <c r="F220" s="13" t="s">
        <v>56</v>
      </c>
    </row>
    <row r="221" spans="1:6" x14ac:dyDescent="0.25">
      <c r="A221" s="13"/>
      <c r="B221" s="13"/>
      <c r="C221" s="13"/>
      <c r="D221" s="13" t="s">
        <v>20</v>
      </c>
      <c r="E221" s="13" t="s">
        <v>7</v>
      </c>
      <c r="F221" s="13" t="s">
        <v>44</v>
      </c>
    </row>
    <row r="222" spans="1:6" x14ac:dyDescent="0.25">
      <c r="A222" s="13"/>
      <c r="B222" s="13"/>
      <c r="C222" s="13"/>
      <c r="D222" s="13" t="s">
        <v>20</v>
      </c>
      <c r="E222" s="13" t="s">
        <v>7</v>
      </c>
      <c r="F222" s="13" t="s">
        <v>45</v>
      </c>
    </row>
    <row r="223" spans="1:6" x14ac:dyDescent="0.25">
      <c r="A223" s="13"/>
      <c r="B223" s="13"/>
      <c r="C223" s="13"/>
      <c r="D223" s="13" t="s">
        <v>20</v>
      </c>
      <c r="E223" s="13" t="s">
        <v>7</v>
      </c>
      <c r="F223" s="13" t="s">
        <v>46</v>
      </c>
    </row>
    <row r="224" spans="1:6" x14ac:dyDescent="0.25">
      <c r="A224" s="13"/>
      <c r="B224" s="13"/>
      <c r="C224" s="13"/>
      <c r="D224" s="13" t="s">
        <v>20</v>
      </c>
      <c r="E224" s="13" t="s">
        <v>7</v>
      </c>
      <c r="F224" s="13" t="s">
        <v>47</v>
      </c>
    </row>
    <row r="225" spans="1:6" x14ac:dyDescent="0.25">
      <c r="A225" s="13"/>
      <c r="B225" s="13"/>
      <c r="C225" s="13"/>
      <c r="D225" s="13" t="s">
        <v>20</v>
      </c>
      <c r="E225" s="13" t="s">
        <v>7</v>
      </c>
      <c r="F225" s="13" t="s">
        <v>48</v>
      </c>
    </row>
    <row r="226" spans="1:6" x14ac:dyDescent="0.25">
      <c r="A226" s="13"/>
      <c r="B226" s="13"/>
      <c r="C226" s="13"/>
      <c r="D226" s="13" t="s">
        <v>20</v>
      </c>
      <c r="E226" s="13" t="s">
        <v>7</v>
      </c>
      <c r="F226" s="13" t="s">
        <v>49</v>
      </c>
    </row>
    <row r="227" spans="1:6" x14ac:dyDescent="0.25">
      <c r="A227" s="13"/>
      <c r="B227" s="13"/>
      <c r="C227" s="13"/>
      <c r="D227" s="13" t="s">
        <v>20</v>
      </c>
      <c r="E227" s="13" t="s">
        <v>7</v>
      </c>
      <c r="F227" s="13" t="s">
        <v>50</v>
      </c>
    </row>
    <row r="228" spans="1:6" x14ac:dyDescent="0.25">
      <c r="A228" s="13"/>
      <c r="B228" s="13"/>
      <c r="C228" s="13"/>
      <c r="D228" s="13" t="s">
        <v>20</v>
      </c>
      <c r="E228" s="13" t="s">
        <v>7</v>
      </c>
      <c r="F228" s="13" t="s">
        <v>51</v>
      </c>
    </row>
    <row r="229" spans="1:6" x14ac:dyDescent="0.25">
      <c r="A229" s="13"/>
      <c r="B229" s="13"/>
      <c r="C229" s="13"/>
      <c r="D229" s="13" t="s">
        <v>20</v>
      </c>
      <c r="E229" s="13" t="s">
        <v>7</v>
      </c>
      <c r="F229" s="13" t="s">
        <v>93</v>
      </c>
    </row>
    <row r="230" spans="1:6" x14ac:dyDescent="0.25">
      <c r="A230" s="13"/>
      <c r="B230" s="13"/>
      <c r="C230" s="13"/>
      <c r="D230" s="13" t="s">
        <v>20</v>
      </c>
      <c r="E230" s="13" t="s">
        <v>59</v>
      </c>
      <c r="F230" s="13" t="s">
        <v>57</v>
      </c>
    </row>
    <row r="231" spans="1:6" x14ac:dyDescent="0.25">
      <c r="A231" s="13"/>
      <c r="B231" s="13"/>
      <c r="C231" s="13"/>
      <c r="D231" s="13" t="s">
        <v>20</v>
      </c>
      <c r="E231" s="13" t="s">
        <v>59</v>
      </c>
      <c r="F231" s="13" t="s">
        <v>52</v>
      </c>
    </row>
    <row r="232" spans="1:6" x14ac:dyDescent="0.25">
      <c r="A232" s="13"/>
      <c r="B232" s="13"/>
      <c r="C232" s="13"/>
      <c r="D232" s="13" t="s">
        <v>20</v>
      </c>
      <c r="E232" s="13" t="s">
        <v>59</v>
      </c>
      <c r="F232" s="13" t="s">
        <v>53</v>
      </c>
    </row>
    <row r="233" spans="1:6" x14ac:dyDescent="0.25">
      <c r="A233" s="13"/>
      <c r="B233" s="13"/>
      <c r="C233" s="13"/>
      <c r="D233" s="13" t="s">
        <v>20</v>
      </c>
      <c r="E233" s="13" t="s">
        <v>59</v>
      </c>
      <c r="F233" s="13" t="s">
        <v>54</v>
      </c>
    </row>
    <row r="234" spans="1:6" x14ac:dyDescent="0.25">
      <c r="A234" s="13"/>
      <c r="B234" s="13"/>
      <c r="C234" s="13"/>
      <c r="D234" s="13" t="s">
        <v>20</v>
      </c>
      <c r="E234" s="13" t="s">
        <v>59</v>
      </c>
      <c r="F234" s="13" t="s">
        <v>15</v>
      </c>
    </row>
    <row r="235" spans="1:6" x14ac:dyDescent="0.25">
      <c r="A235" s="13"/>
      <c r="B235" s="13"/>
      <c r="C235" s="13"/>
      <c r="D235" s="13" t="s">
        <v>20</v>
      </c>
      <c r="E235" s="13" t="s">
        <v>59</v>
      </c>
      <c r="F235" s="13" t="s">
        <v>55</v>
      </c>
    </row>
    <row r="236" spans="1:6" x14ac:dyDescent="0.25">
      <c r="A236" s="13"/>
      <c r="B236" s="13"/>
      <c r="C236" s="13"/>
      <c r="D236" s="13" t="s">
        <v>20</v>
      </c>
      <c r="E236" s="13" t="s">
        <v>59</v>
      </c>
      <c r="F236" s="13" t="s">
        <v>56</v>
      </c>
    </row>
    <row r="237" spans="1:6" x14ac:dyDescent="0.25">
      <c r="A237" s="13"/>
      <c r="B237" s="13"/>
      <c r="C237" s="13"/>
      <c r="D237" s="13" t="s">
        <v>20</v>
      </c>
      <c r="E237" s="13" t="s">
        <v>59</v>
      </c>
      <c r="F237" s="13" t="s">
        <v>44</v>
      </c>
    </row>
    <row r="238" spans="1:6" x14ac:dyDescent="0.25">
      <c r="A238" s="13"/>
      <c r="B238" s="13"/>
      <c r="C238" s="13"/>
      <c r="D238" s="13" t="s">
        <v>20</v>
      </c>
      <c r="E238" s="13" t="s">
        <v>59</v>
      </c>
      <c r="F238" s="13" t="s">
        <v>45</v>
      </c>
    </row>
    <row r="239" spans="1:6" x14ac:dyDescent="0.25">
      <c r="A239" s="13"/>
      <c r="B239" s="13"/>
      <c r="C239" s="13"/>
      <c r="D239" s="13" t="s">
        <v>20</v>
      </c>
      <c r="E239" s="13" t="s">
        <v>59</v>
      </c>
      <c r="F239" s="13" t="s">
        <v>46</v>
      </c>
    </row>
    <row r="240" spans="1:6" x14ac:dyDescent="0.25">
      <c r="A240" s="13"/>
      <c r="B240" s="13"/>
      <c r="C240" s="13"/>
      <c r="D240" s="13" t="s">
        <v>20</v>
      </c>
      <c r="E240" s="13" t="s">
        <v>59</v>
      </c>
      <c r="F240" s="13" t="s">
        <v>47</v>
      </c>
    </row>
    <row r="241" spans="1:6" x14ac:dyDescent="0.25">
      <c r="A241" s="13"/>
      <c r="B241" s="13"/>
      <c r="C241" s="13"/>
      <c r="D241" s="13" t="s">
        <v>20</v>
      </c>
      <c r="E241" s="13" t="s">
        <v>59</v>
      </c>
      <c r="F241" s="13" t="s">
        <v>48</v>
      </c>
    </row>
    <row r="242" spans="1:6" x14ac:dyDescent="0.25">
      <c r="A242" s="13"/>
      <c r="B242" s="13"/>
      <c r="C242" s="13"/>
      <c r="D242" s="13" t="s">
        <v>20</v>
      </c>
      <c r="E242" s="13" t="s">
        <v>59</v>
      </c>
      <c r="F242" s="13" t="s">
        <v>49</v>
      </c>
    </row>
    <row r="243" spans="1:6" x14ac:dyDescent="0.25">
      <c r="A243" s="13"/>
      <c r="B243" s="13"/>
      <c r="C243" s="13"/>
      <c r="D243" s="13" t="s">
        <v>20</v>
      </c>
      <c r="E243" s="13" t="s">
        <v>59</v>
      </c>
      <c r="F243" s="13" t="s">
        <v>50</v>
      </c>
    </row>
    <row r="244" spans="1:6" x14ac:dyDescent="0.25">
      <c r="A244" s="13"/>
      <c r="B244" s="13"/>
      <c r="C244" s="13"/>
      <c r="D244" s="13" t="s">
        <v>20</v>
      </c>
      <c r="E244" s="13" t="s">
        <v>59</v>
      </c>
      <c r="F244" s="13" t="s">
        <v>51</v>
      </c>
    </row>
    <row r="245" spans="1:6" x14ac:dyDescent="0.25">
      <c r="A245" s="13"/>
      <c r="B245" s="13"/>
      <c r="C245" s="13"/>
      <c r="D245" s="13" t="s">
        <v>20</v>
      </c>
      <c r="E245" s="13" t="s">
        <v>59</v>
      </c>
      <c r="F245" s="13" t="s">
        <v>93</v>
      </c>
    </row>
    <row r="246" spans="1:6" x14ac:dyDescent="0.25">
      <c r="A246" s="13"/>
      <c r="B246" s="13"/>
      <c r="C246" s="13"/>
      <c r="D246" s="13" t="s">
        <v>20</v>
      </c>
      <c r="E246" s="13" t="s">
        <v>58</v>
      </c>
      <c r="F246" s="13" t="s">
        <v>57</v>
      </c>
    </row>
    <row r="247" spans="1:6" x14ac:dyDescent="0.25">
      <c r="A247" s="13"/>
      <c r="B247" s="13"/>
      <c r="C247" s="13"/>
      <c r="D247" s="13" t="s">
        <v>20</v>
      </c>
      <c r="E247" s="13" t="s">
        <v>58</v>
      </c>
      <c r="F247" s="13" t="s">
        <v>52</v>
      </c>
    </row>
    <row r="248" spans="1:6" x14ac:dyDescent="0.25">
      <c r="A248" s="13"/>
      <c r="B248" s="13"/>
      <c r="C248" s="13"/>
      <c r="D248" s="13" t="s">
        <v>20</v>
      </c>
      <c r="E248" s="13" t="s">
        <v>58</v>
      </c>
      <c r="F248" s="13" t="s">
        <v>53</v>
      </c>
    </row>
    <row r="249" spans="1:6" x14ac:dyDescent="0.25">
      <c r="A249" s="13"/>
      <c r="B249" s="13"/>
      <c r="C249" s="13"/>
      <c r="D249" s="13" t="s">
        <v>20</v>
      </c>
      <c r="E249" s="13" t="s">
        <v>58</v>
      </c>
      <c r="F249" s="13" t="s">
        <v>54</v>
      </c>
    </row>
    <row r="250" spans="1:6" x14ac:dyDescent="0.25">
      <c r="A250" s="13"/>
      <c r="B250" s="13"/>
      <c r="C250" s="13"/>
      <c r="D250" s="13" t="s">
        <v>20</v>
      </c>
      <c r="E250" s="13" t="s">
        <v>58</v>
      </c>
      <c r="F250" s="13" t="s">
        <v>15</v>
      </c>
    </row>
    <row r="251" spans="1:6" x14ac:dyDescent="0.25">
      <c r="A251" s="13"/>
      <c r="B251" s="13"/>
      <c r="C251" s="13"/>
      <c r="D251" s="13" t="s">
        <v>20</v>
      </c>
      <c r="E251" s="13" t="s">
        <v>58</v>
      </c>
      <c r="F251" s="13" t="s">
        <v>55</v>
      </c>
    </row>
    <row r="252" spans="1:6" x14ac:dyDescent="0.25">
      <c r="A252" s="13"/>
      <c r="B252" s="13"/>
      <c r="C252" s="13"/>
      <c r="D252" s="13" t="s">
        <v>20</v>
      </c>
      <c r="E252" s="13" t="s">
        <v>58</v>
      </c>
      <c r="F252" s="13" t="s">
        <v>56</v>
      </c>
    </row>
    <row r="253" spans="1:6" x14ac:dyDescent="0.25">
      <c r="A253" s="13"/>
      <c r="B253" s="13"/>
      <c r="C253" s="13"/>
      <c r="D253" s="13" t="s">
        <v>20</v>
      </c>
      <c r="E253" s="13" t="s">
        <v>58</v>
      </c>
      <c r="F253" s="13" t="s">
        <v>44</v>
      </c>
    </row>
    <row r="254" spans="1:6" x14ac:dyDescent="0.25">
      <c r="A254" s="13"/>
      <c r="B254" s="13"/>
      <c r="C254" s="13"/>
      <c r="D254" s="13" t="s">
        <v>20</v>
      </c>
      <c r="E254" s="13" t="s">
        <v>58</v>
      </c>
      <c r="F254" s="13" t="s">
        <v>45</v>
      </c>
    </row>
    <row r="255" spans="1:6" x14ac:dyDescent="0.25">
      <c r="A255" s="13"/>
      <c r="B255" s="13"/>
      <c r="C255" s="13"/>
      <c r="D255" s="13" t="s">
        <v>20</v>
      </c>
      <c r="E255" s="13" t="s">
        <v>58</v>
      </c>
      <c r="F255" s="13" t="s">
        <v>46</v>
      </c>
    </row>
    <row r="256" spans="1:6" x14ac:dyDescent="0.25">
      <c r="A256" s="13"/>
      <c r="B256" s="13"/>
      <c r="C256" s="13"/>
      <c r="D256" s="13" t="s">
        <v>20</v>
      </c>
      <c r="E256" s="13" t="s">
        <v>58</v>
      </c>
      <c r="F256" s="13" t="s">
        <v>47</v>
      </c>
    </row>
    <row r="257" spans="1:6" x14ac:dyDescent="0.25">
      <c r="A257" s="13"/>
      <c r="B257" s="13"/>
      <c r="C257" s="13"/>
      <c r="D257" s="13" t="s">
        <v>20</v>
      </c>
      <c r="E257" s="13" t="s">
        <v>58</v>
      </c>
      <c r="F257" s="13" t="s">
        <v>48</v>
      </c>
    </row>
    <row r="258" spans="1:6" x14ac:dyDescent="0.25">
      <c r="A258" s="13"/>
      <c r="B258" s="13"/>
      <c r="C258" s="13"/>
      <c r="D258" s="13" t="s">
        <v>20</v>
      </c>
      <c r="E258" s="13" t="s">
        <v>58</v>
      </c>
      <c r="F258" s="13" t="s">
        <v>49</v>
      </c>
    </row>
    <row r="259" spans="1:6" x14ac:dyDescent="0.25">
      <c r="A259" s="13"/>
      <c r="B259" s="13"/>
      <c r="C259" s="13"/>
      <c r="D259" s="13" t="s">
        <v>20</v>
      </c>
      <c r="E259" s="13" t="s">
        <v>58</v>
      </c>
      <c r="F259" s="13" t="s">
        <v>50</v>
      </c>
    </row>
    <row r="260" spans="1:6" x14ac:dyDescent="0.25">
      <c r="A260" s="13"/>
      <c r="B260" s="13"/>
      <c r="C260" s="13"/>
      <c r="D260" s="13" t="s">
        <v>20</v>
      </c>
      <c r="E260" s="13" t="s">
        <v>58</v>
      </c>
      <c r="F260" s="13" t="s">
        <v>51</v>
      </c>
    </row>
    <row r="261" spans="1:6" x14ac:dyDescent="0.25">
      <c r="A261" s="13"/>
      <c r="B261" s="13"/>
      <c r="C261" s="13"/>
      <c r="D261" s="13" t="s">
        <v>20</v>
      </c>
      <c r="E261" s="13" t="s">
        <v>58</v>
      </c>
      <c r="F261" s="13" t="s">
        <v>93</v>
      </c>
    </row>
    <row r="262" spans="1:6" x14ac:dyDescent="0.25">
      <c r="A262" s="13"/>
      <c r="B262" s="13"/>
      <c r="C262" s="13"/>
      <c r="D262" s="13" t="s">
        <v>20</v>
      </c>
      <c r="E262" s="13" t="s">
        <v>18</v>
      </c>
      <c r="F262" s="13" t="s">
        <v>57</v>
      </c>
    </row>
    <row r="263" spans="1:6" x14ac:dyDescent="0.25">
      <c r="A263" s="13"/>
      <c r="B263" s="13"/>
      <c r="C263" s="13"/>
      <c r="D263" s="13" t="s">
        <v>20</v>
      </c>
      <c r="E263" s="13" t="s">
        <v>18</v>
      </c>
      <c r="F263" s="13" t="s">
        <v>52</v>
      </c>
    </row>
    <row r="264" spans="1:6" x14ac:dyDescent="0.25">
      <c r="A264" s="13"/>
      <c r="B264" s="13"/>
      <c r="C264" s="13"/>
      <c r="D264" s="13" t="s">
        <v>20</v>
      </c>
      <c r="E264" s="13" t="s">
        <v>18</v>
      </c>
      <c r="F264" s="13" t="s">
        <v>53</v>
      </c>
    </row>
    <row r="265" spans="1:6" x14ac:dyDescent="0.25">
      <c r="A265" s="13"/>
      <c r="B265" s="13"/>
      <c r="C265" s="13"/>
      <c r="D265" s="13" t="s">
        <v>20</v>
      </c>
      <c r="E265" s="13" t="s">
        <v>18</v>
      </c>
      <c r="F265" s="13" t="s">
        <v>54</v>
      </c>
    </row>
    <row r="266" spans="1:6" x14ac:dyDescent="0.25">
      <c r="A266" s="13"/>
      <c r="B266" s="13"/>
      <c r="C266" s="13"/>
      <c r="D266" s="13" t="s">
        <v>20</v>
      </c>
      <c r="E266" s="13" t="s">
        <v>18</v>
      </c>
      <c r="F266" s="13" t="s">
        <v>15</v>
      </c>
    </row>
    <row r="267" spans="1:6" x14ac:dyDescent="0.25">
      <c r="A267" s="13"/>
      <c r="B267" s="13"/>
      <c r="C267" s="13"/>
      <c r="D267" s="13" t="s">
        <v>20</v>
      </c>
      <c r="E267" s="13" t="s">
        <v>18</v>
      </c>
      <c r="F267" s="13" t="s">
        <v>55</v>
      </c>
    </row>
    <row r="268" spans="1:6" x14ac:dyDescent="0.25">
      <c r="A268" s="13"/>
      <c r="B268" s="13"/>
      <c r="C268" s="13"/>
      <c r="D268" s="13" t="s">
        <v>20</v>
      </c>
      <c r="E268" s="13" t="s">
        <v>18</v>
      </c>
      <c r="F268" s="13" t="s">
        <v>56</v>
      </c>
    </row>
    <row r="269" spans="1:6" x14ac:dyDescent="0.25">
      <c r="A269" s="13"/>
      <c r="B269" s="13"/>
      <c r="C269" s="13"/>
      <c r="D269" s="13" t="s">
        <v>20</v>
      </c>
      <c r="E269" s="13" t="s">
        <v>18</v>
      </c>
      <c r="F269" s="13" t="s">
        <v>44</v>
      </c>
    </row>
    <row r="270" spans="1:6" x14ac:dyDescent="0.25">
      <c r="A270" s="13"/>
      <c r="B270" s="13"/>
      <c r="C270" s="13"/>
      <c r="D270" s="13" t="s">
        <v>20</v>
      </c>
      <c r="E270" s="13" t="s">
        <v>18</v>
      </c>
      <c r="F270" s="13" t="s">
        <v>45</v>
      </c>
    </row>
    <row r="271" spans="1:6" x14ac:dyDescent="0.25">
      <c r="A271" s="13"/>
      <c r="B271" s="13"/>
      <c r="C271" s="13"/>
      <c r="D271" s="13" t="s">
        <v>20</v>
      </c>
      <c r="E271" s="13" t="s">
        <v>18</v>
      </c>
      <c r="F271" s="13" t="s">
        <v>46</v>
      </c>
    </row>
    <row r="272" spans="1:6" x14ac:dyDescent="0.25">
      <c r="A272" s="13"/>
      <c r="B272" s="13"/>
      <c r="C272" s="13"/>
      <c r="D272" s="13" t="s">
        <v>20</v>
      </c>
      <c r="E272" s="13" t="s">
        <v>18</v>
      </c>
      <c r="F272" s="13" t="s">
        <v>47</v>
      </c>
    </row>
    <row r="273" spans="1:6" x14ac:dyDescent="0.25">
      <c r="A273" s="13"/>
      <c r="B273" s="13"/>
      <c r="C273" s="13"/>
      <c r="D273" s="13" t="s">
        <v>20</v>
      </c>
      <c r="E273" s="13" t="s">
        <v>18</v>
      </c>
      <c r="F273" s="13" t="s">
        <v>48</v>
      </c>
    </row>
    <row r="274" spans="1:6" x14ac:dyDescent="0.25">
      <c r="A274" s="13"/>
      <c r="B274" s="13"/>
      <c r="C274" s="13"/>
      <c r="D274" s="13" t="s">
        <v>20</v>
      </c>
      <c r="E274" s="13" t="s">
        <v>18</v>
      </c>
      <c r="F274" s="13" t="s">
        <v>49</v>
      </c>
    </row>
    <row r="275" spans="1:6" x14ac:dyDescent="0.25">
      <c r="A275" s="13"/>
      <c r="B275" s="13"/>
      <c r="C275" s="13"/>
      <c r="D275" s="13" t="s">
        <v>20</v>
      </c>
      <c r="E275" s="13" t="s">
        <v>18</v>
      </c>
      <c r="F275" s="13" t="s">
        <v>50</v>
      </c>
    </row>
    <row r="276" spans="1:6" x14ac:dyDescent="0.25">
      <c r="A276" s="13"/>
      <c r="B276" s="13"/>
      <c r="C276" s="13"/>
      <c r="D276" s="13" t="s">
        <v>20</v>
      </c>
      <c r="E276" s="13" t="s">
        <v>18</v>
      </c>
      <c r="F276" s="13" t="s">
        <v>51</v>
      </c>
    </row>
    <row r="277" spans="1:6" x14ac:dyDescent="0.25">
      <c r="A277" s="13"/>
      <c r="B277" s="13"/>
      <c r="C277" s="13"/>
      <c r="D277" s="13" t="s">
        <v>20</v>
      </c>
      <c r="E277" s="13" t="s">
        <v>18</v>
      </c>
      <c r="F277" s="13" t="s">
        <v>93</v>
      </c>
    </row>
    <row r="278" spans="1:6" x14ac:dyDescent="0.25">
      <c r="A278" s="13"/>
      <c r="B278" s="13"/>
      <c r="C278" s="13"/>
      <c r="D278" s="13" t="s">
        <v>20</v>
      </c>
      <c r="E278" s="13" t="s">
        <v>61</v>
      </c>
      <c r="F278" s="13" t="s">
        <v>57</v>
      </c>
    </row>
    <row r="279" spans="1:6" x14ac:dyDescent="0.25">
      <c r="A279" s="13"/>
      <c r="B279" s="13"/>
      <c r="C279" s="13"/>
      <c r="D279" s="13" t="s">
        <v>20</v>
      </c>
      <c r="E279" s="13" t="s">
        <v>61</v>
      </c>
      <c r="F279" s="13" t="s">
        <v>52</v>
      </c>
    </row>
    <row r="280" spans="1:6" x14ac:dyDescent="0.25">
      <c r="A280" s="13"/>
      <c r="B280" s="13"/>
      <c r="C280" s="13"/>
      <c r="D280" s="13" t="s">
        <v>20</v>
      </c>
      <c r="E280" s="13" t="s">
        <v>61</v>
      </c>
      <c r="F280" s="13" t="s">
        <v>53</v>
      </c>
    </row>
    <row r="281" spans="1:6" x14ac:dyDescent="0.25">
      <c r="A281" s="13"/>
      <c r="B281" s="13"/>
      <c r="C281" s="13"/>
      <c r="D281" s="13" t="s">
        <v>20</v>
      </c>
      <c r="E281" s="13" t="s">
        <v>61</v>
      </c>
      <c r="F281" s="13" t="s">
        <v>54</v>
      </c>
    </row>
    <row r="282" spans="1:6" x14ac:dyDescent="0.25">
      <c r="A282" s="13"/>
      <c r="B282" s="13"/>
      <c r="C282" s="13"/>
      <c r="D282" s="13" t="s">
        <v>20</v>
      </c>
      <c r="E282" s="13" t="s">
        <v>61</v>
      </c>
      <c r="F282" s="13" t="s">
        <v>15</v>
      </c>
    </row>
    <row r="283" spans="1:6" x14ac:dyDescent="0.25">
      <c r="A283" s="13"/>
      <c r="B283" s="13"/>
      <c r="C283" s="13"/>
      <c r="D283" s="13" t="s">
        <v>20</v>
      </c>
      <c r="E283" s="13" t="s">
        <v>61</v>
      </c>
      <c r="F283" s="13" t="s">
        <v>55</v>
      </c>
    </row>
    <row r="284" spans="1:6" x14ac:dyDescent="0.25">
      <c r="A284" s="13"/>
      <c r="B284" s="13"/>
      <c r="C284" s="13"/>
      <c r="D284" s="13" t="s">
        <v>20</v>
      </c>
      <c r="E284" s="13" t="s">
        <v>61</v>
      </c>
      <c r="F284" s="13" t="s">
        <v>56</v>
      </c>
    </row>
    <row r="285" spans="1:6" x14ac:dyDescent="0.25">
      <c r="A285" s="13"/>
      <c r="B285" s="13"/>
      <c r="C285" s="13"/>
      <c r="D285" s="13" t="s">
        <v>20</v>
      </c>
      <c r="E285" s="13" t="s">
        <v>61</v>
      </c>
      <c r="F285" s="13" t="s">
        <v>44</v>
      </c>
    </row>
    <row r="286" spans="1:6" x14ac:dyDescent="0.25">
      <c r="A286" s="13"/>
      <c r="B286" s="13"/>
      <c r="C286" s="13"/>
      <c r="D286" s="13" t="s">
        <v>20</v>
      </c>
      <c r="E286" s="13" t="s">
        <v>61</v>
      </c>
      <c r="F286" s="13" t="s">
        <v>45</v>
      </c>
    </row>
    <row r="287" spans="1:6" x14ac:dyDescent="0.25">
      <c r="A287" s="13"/>
      <c r="B287" s="13"/>
      <c r="C287" s="13"/>
      <c r="D287" s="13" t="s">
        <v>20</v>
      </c>
      <c r="E287" s="13" t="s">
        <v>61</v>
      </c>
      <c r="F287" s="13" t="s">
        <v>46</v>
      </c>
    </row>
    <row r="288" spans="1:6" x14ac:dyDescent="0.25">
      <c r="A288" s="13"/>
      <c r="B288" s="13"/>
      <c r="C288" s="13"/>
      <c r="D288" s="13" t="s">
        <v>20</v>
      </c>
      <c r="E288" s="13" t="s">
        <v>61</v>
      </c>
      <c r="F288" s="13" t="s">
        <v>47</v>
      </c>
    </row>
    <row r="289" spans="1:6" x14ac:dyDescent="0.25">
      <c r="A289" s="13"/>
      <c r="B289" s="13"/>
      <c r="C289" s="13"/>
      <c r="D289" s="13" t="s">
        <v>20</v>
      </c>
      <c r="E289" s="13" t="s">
        <v>61</v>
      </c>
      <c r="F289" s="13" t="s">
        <v>48</v>
      </c>
    </row>
    <row r="290" spans="1:6" x14ac:dyDescent="0.25">
      <c r="A290" s="13"/>
      <c r="B290" s="13"/>
      <c r="C290" s="13"/>
      <c r="D290" s="13" t="s">
        <v>20</v>
      </c>
      <c r="E290" s="13" t="s">
        <v>61</v>
      </c>
      <c r="F290" s="13" t="s">
        <v>49</v>
      </c>
    </row>
    <row r="291" spans="1:6" x14ac:dyDescent="0.25">
      <c r="A291" s="13"/>
      <c r="B291" s="13"/>
      <c r="C291" s="13"/>
      <c r="D291" s="13" t="s">
        <v>20</v>
      </c>
      <c r="E291" s="13" t="s">
        <v>61</v>
      </c>
      <c r="F291" s="13" t="s">
        <v>50</v>
      </c>
    </row>
    <row r="292" spans="1:6" x14ac:dyDescent="0.25">
      <c r="A292" s="13"/>
      <c r="B292" s="13"/>
      <c r="C292" s="13"/>
      <c r="D292" s="13" t="s">
        <v>20</v>
      </c>
      <c r="E292" s="13" t="s">
        <v>61</v>
      </c>
      <c r="F292" s="13" t="s">
        <v>51</v>
      </c>
    </row>
    <row r="293" spans="1:6" x14ac:dyDescent="0.25">
      <c r="A293" s="13"/>
      <c r="B293" s="13"/>
      <c r="C293" s="13"/>
      <c r="D293" s="13" t="s">
        <v>20</v>
      </c>
      <c r="E293" s="13" t="s">
        <v>61</v>
      </c>
      <c r="F293" s="13" t="s">
        <v>93</v>
      </c>
    </row>
    <row r="294" spans="1:6" x14ac:dyDescent="0.25">
      <c r="A294" s="13"/>
      <c r="B294" s="13"/>
      <c r="C294" s="13"/>
      <c r="D294" s="13" t="s">
        <v>20</v>
      </c>
      <c r="E294" s="13" t="s">
        <v>68</v>
      </c>
      <c r="F294" s="13" t="s">
        <v>57</v>
      </c>
    </row>
    <row r="295" spans="1:6" x14ac:dyDescent="0.25">
      <c r="A295" s="13"/>
      <c r="B295" s="13"/>
      <c r="C295" s="13"/>
      <c r="D295" s="13" t="s">
        <v>20</v>
      </c>
      <c r="E295" s="13" t="s">
        <v>68</v>
      </c>
      <c r="F295" s="13" t="s">
        <v>52</v>
      </c>
    </row>
    <row r="296" spans="1:6" x14ac:dyDescent="0.25">
      <c r="A296" s="13"/>
      <c r="B296" s="13"/>
      <c r="C296" s="13"/>
      <c r="D296" s="13" t="s">
        <v>20</v>
      </c>
      <c r="E296" s="13" t="s">
        <v>68</v>
      </c>
      <c r="F296" s="13" t="s">
        <v>53</v>
      </c>
    </row>
    <row r="297" spans="1:6" x14ac:dyDescent="0.25">
      <c r="A297" s="13"/>
      <c r="B297" s="13"/>
      <c r="C297" s="13"/>
      <c r="D297" s="13" t="s">
        <v>20</v>
      </c>
      <c r="E297" s="13" t="s">
        <v>68</v>
      </c>
      <c r="F297" s="13" t="s">
        <v>54</v>
      </c>
    </row>
    <row r="298" spans="1:6" x14ac:dyDescent="0.25">
      <c r="A298" s="13"/>
      <c r="B298" s="13"/>
      <c r="C298" s="13"/>
      <c r="D298" s="13" t="s">
        <v>20</v>
      </c>
      <c r="E298" s="13" t="s">
        <v>68</v>
      </c>
      <c r="F298" s="13" t="s">
        <v>15</v>
      </c>
    </row>
    <row r="299" spans="1:6" x14ac:dyDescent="0.25">
      <c r="A299" s="13"/>
      <c r="B299" s="13"/>
      <c r="C299" s="13"/>
      <c r="D299" s="13" t="s">
        <v>20</v>
      </c>
      <c r="E299" s="13" t="s">
        <v>68</v>
      </c>
      <c r="F299" s="13" t="s">
        <v>55</v>
      </c>
    </row>
    <row r="300" spans="1:6" x14ac:dyDescent="0.25">
      <c r="A300" s="13"/>
      <c r="B300" s="13"/>
      <c r="C300" s="13"/>
      <c r="D300" s="13" t="s">
        <v>20</v>
      </c>
      <c r="E300" s="13" t="s">
        <v>68</v>
      </c>
      <c r="F300" s="13" t="s">
        <v>56</v>
      </c>
    </row>
    <row r="301" spans="1:6" x14ac:dyDescent="0.25">
      <c r="A301" s="13"/>
      <c r="B301" s="13"/>
      <c r="C301" s="13"/>
      <c r="D301" s="13" t="s">
        <v>20</v>
      </c>
      <c r="E301" s="13" t="s">
        <v>68</v>
      </c>
      <c r="F301" s="13" t="s">
        <v>44</v>
      </c>
    </row>
    <row r="302" spans="1:6" x14ac:dyDescent="0.25">
      <c r="A302" s="13"/>
      <c r="B302" s="13"/>
      <c r="C302" s="13"/>
      <c r="D302" s="13" t="s">
        <v>20</v>
      </c>
      <c r="E302" s="13" t="s">
        <v>68</v>
      </c>
      <c r="F302" s="13" t="s">
        <v>45</v>
      </c>
    </row>
    <row r="303" spans="1:6" x14ac:dyDescent="0.25">
      <c r="A303" s="13"/>
      <c r="B303" s="13"/>
      <c r="C303" s="13"/>
      <c r="D303" s="13" t="s">
        <v>20</v>
      </c>
      <c r="E303" s="13" t="s">
        <v>68</v>
      </c>
      <c r="F303" s="13" t="s">
        <v>46</v>
      </c>
    </row>
    <row r="304" spans="1:6" x14ac:dyDescent="0.25">
      <c r="A304" s="13"/>
      <c r="B304" s="13"/>
      <c r="C304" s="13"/>
      <c r="D304" s="13" t="s">
        <v>20</v>
      </c>
      <c r="E304" s="13" t="s">
        <v>68</v>
      </c>
      <c r="F304" s="13" t="s">
        <v>47</v>
      </c>
    </row>
    <row r="305" spans="1:6" x14ac:dyDescent="0.25">
      <c r="A305" s="13"/>
      <c r="B305" s="13"/>
      <c r="C305" s="13"/>
      <c r="D305" s="13" t="s">
        <v>20</v>
      </c>
      <c r="E305" s="13" t="s">
        <v>68</v>
      </c>
      <c r="F305" s="13" t="s">
        <v>48</v>
      </c>
    </row>
    <row r="306" spans="1:6" x14ac:dyDescent="0.25">
      <c r="A306" s="13"/>
      <c r="B306" s="13"/>
      <c r="C306" s="13"/>
      <c r="D306" s="13" t="s">
        <v>20</v>
      </c>
      <c r="E306" s="13" t="s">
        <v>68</v>
      </c>
      <c r="F306" s="13" t="s">
        <v>49</v>
      </c>
    </row>
    <row r="307" spans="1:6" x14ac:dyDescent="0.25">
      <c r="A307" s="13"/>
      <c r="B307" s="13"/>
      <c r="C307" s="13"/>
      <c r="D307" s="13" t="s">
        <v>20</v>
      </c>
      <c r="E307" s="13" t="s">
        <v>68</v>
      </c>
      <c r="F307" s="13" t="s">
        <v>50</v>
      </c>
    </row>
    <row r="308" spans="1:6" x14ac:dyDescent="0.25">
      <c r="A308" s="13"/>
      <c r="B308" s="13"/>
      <c r="C308" s="13"/>
      <c r="D308" s="13" t="s">
        <v>20</v>
      </c>
      <c r="E308" s="13" t="s">
        <v>68</v>
      </c>
      <c r="F308" s="13" t="s">
        <v>51</v>
      </c>
    </row>
    <row r="309" spans="1:6" x14ac:dyDescent="0.25">
      <c r="A309" s="13"/>
      <c r="B309" s="13"/>
      <c r="C309" s="13"/>
      <c r="D309" s="13" t="s">
        <v>20</v>
      </c>
      <c r="E309" s="13" t="s">
        <v>68</v>
      </c>
      <c r="F309" s="13" t="s">
        <v>93</v>
      </c>
    </row>
    <row r="310" spans="1:6" x14ac:dyDescent="0.25">
      <c r="A310" s="13"/>
      <c r="B310" s="13"/>
      <c r="C310" s="13"/>
      <c r="D310" s="13" t="s">
        <v>20</v>
      </c>
      <c r="E310" s="13" t="s">
        <v>79</v>
      </c>
      <c r="F310" s="13" t="s">
        <v>57</v>
      </c>
    </row>
    <row r="311" spans="1:6" x14ac:dyDescent="0.25">
      <c r="A311" s="13"/>
      <c r="B311" s="13"/>
      <c r="C311" s="13"/>
      <c r="D311" s="13" t="s">
        <v>20</v>
      </c>
      <c r="E311" s="13" t="s">
        <v>79</v>
      </c>
      <c r="F311" s="13" t="s">
        <v>52</v>
      </c>
    </row>
    <row r="312" spans="1:6" x14ac:dyDescent="0.25">
      <c r="A312" s="13"/>
      <c r="B312" s="13"/>
      <c r="C312" s="13"/>
      <c r="D312" s="13" t="s">
        <v>20</v>
      </c>
      <c r="E312" s="13" t="s">
        <v>79</v>
      </c>
      <c r="F312" s="13" t="s">
        <v>53</v>
      </c>
    </row>
    <row r="313" spans="1:6" x14ac:dyDescent="0.25">
      <c r="A313" s="13"/>
      <c r="B313" s="13"/>
      <c r="C313" s="13"/>
      <c r="D313" s="13" t="s">
        <v>20</v>
      </c>
      <c r="E313" s="13" t="s">
        <v>79</v>
      </c>
      <c r="F313" s="13" t="s">
        <v>54</v>
      </c>
    </row>
    <row r="314" spans="1:6" x14ac:dyDescent="0.25">
      <c r="A314" s="13"/>
      <c r="B314" s="13"/>
      <c r="C314" s="13"/>
      <c r="D314" s="13" t="s">
        <v>20</v>
      </c>
      <c r="E314" s="13" t="s">
        <v>79</v>
      </c>
      <c r="F314" s="13" t="s">
        <v>15</v>
      </c>
    </row>
    <row r="315" spans="1:6" x14ac:dyDescent="0.25">
      <c r="A315" s="13"/>
      <c r="B315" s="13"/>
      <c r="C315" s="13"/>
      <c r="D315" s="13" t="s">
        <v>20</v>
      </c>
      <c r="E315" s="13" t="s">
        <v>79</v>
      </c>
      <c r="F315" s="13" t="s">
        <v>55</v>
      </c>
    </row>
    <row r="316" spans="1:6" x14ac:dyDescent="0.25">
      <c r="A316" s="13"/>
      <c r="B316" s="13"/>
      <c r="C316" s="13"/>
      <c r="D316" s="13" t="s">
        <v>20</v>
      </c>
      <c r="E316" s="13" t="s">
        <v>79</v>
      </c>
      <c r="F316" s="13" t="s">
        <v>56</v>
      </c>
    </row>
    <row r="317" spans="1:6" x14ac:dyDescent="0.25">
      <c r="A317" s="13"/>
      <c r="B317" s="13"/>
      <c r="C317" s="13"/>
      <c r="D317" s="13" t="s">
        <v>20</v>
      </c>
      <c r="E317" s="13" t="s">
        <v>79</v>
      </c>
      <c r="F317" s="13" t="s">
        <v>44</v>
      </c>
    </row>
    <row r="318" spans="1:6" x14ac:dyDescent="0.25">
      <c r="A318" s="13"/>
      <c r="B318" s="13"/>
      <c r="C318" s="13"/>
      <c r="D318" s="13" t="s">
        <v>20</v>
      </c>
      <c r="E318" s="13" t="s">
        <v>79</v>
      </c>
      <c r="F318" s="13" t="s">
        <v>45</v>
      </c>
    </row>
    <row r="319" spans="1:6" x14ac:dyDescent="0.25">
      <c r="A319" s="13"/>
      <c r="B319" s="13"/>
      <c r="C319" s="13"/>
      <c r="D319" s="13" t="s">
        <v>20</v>
      </c>
      <c r="E319" s="13" t="s">
        <v>79</v>
      </c>
      <c r="F319" s="13" t="s">
        <v>46</v>
      </c>
    </row>
    <row r="320" spans="1:6" x14ac:dyDescent="0.25">
      <c r="A320" s="13"/>
      <c r="B320" s="13"/>
      <c r="C320" s="13"/>
      <c r="D320" s="13" t="s">
        <v>20</v>
      </c>
      <c r="E320" s="13" t="s">
        <v>79</v>
      </c>
      <c r="F320" s="13" t="s">
        <v>47</v>
      </c>
    </row>
    <row r="321" spans="1:6" x14ac:dyDescent="0.25">
      <c r="A321" s="13"/>
      <c r="B321" s="13"/>
      <c r="C321" s="13"/>
      <c r="D321" s="13" t="s">
        <v>20</v>
      </c>
      <c r="E321" s="13" t="s">
        <v>79</v>
      </c>
      <c r="F321" s="13" t="s">
        <v>48</v>
      </c>
    </row>
    <row r="322" spans="1:6" x14ac:dyDescent="0.25">
      <c r="A322" s="13"/>
      <c r="B322" s="13"/>
      <c r="C322" s="13"/>
      <c r="D322" s="13" t="s">
        <v>20</v>
      </c>
      <c r="E322" s="13" t="s">
        <v>79</v>
      </c>
      <c r="F322" s="13" t="s">
        <v>49</v>
      </c>
    </row>
    <row r="323" spans="1:6" x14ac:dyDescent="0.25">
      <c r="A323" s="13"/>
      <c r="B323" s="13"/>
      <c r="C323" s="13"/>
      <c r="D323" s="13" t="s">
        <v>20</v>
      </c>
      <c r="E323" s="13" t="s">
        <v>79</v>
      </c>
      <c r="F323" s="13" t="s">
        <v>50</v>
      </c>
    </row>
    <row r="324" spans="1:6" x14ac:dyDescent="0.25">
      <c r="A324" s="13"/>
      <c r="B324" s="13"/>
      <c r="C324" s="13"/>
      <c r="D324" s="13" t="s">
        <v>20</v>
      </c>
      <c r="E324" s="13" t="s">
        <v>79</v>
      </c>
      <c r="F324" s="13" t="s">
        <v>51</v>
      </c>
    </row>
    <row r="325" spans="1:6" x14ac:dyDescent="0.25">
      <c r="A325" s="13"/>
      <c r="B325" s="13"/>
      <c r="C325" s="13"/>
      <c r="D325" s="13" t="s">
        <v>20</v>
      </c>
      <c r="E325" s="13" t="s">
        <v>79</v>
      </c>
      <c r="F325" s="13" t="s">
        <v>93</v>
      </c>
    </row>
    <row r="326" spans="1:6" x14ac:dyDescent="0.25">
      <c r="A326" s="13"/>
      <c r="B326" s="13"/>
      <c r="C326" s="13"/>
      <c r="D326" s="13" t="s">
        <v>20</v>
      </c>
      <c r="E326" s="13" t="s">
        <v>144</v>
      </c>
      <c r="F326" s="13" t="s">
        <v>57</v>
      </c>
    </row>
    <row r="327" spans="1:6" x14ac:dyDescent="0.25">
      <c r="A327" s="13"/>
      <c r="B327" s="13"/>
      <c r="C327" s="13"/>
      <c r="D327" s="13" t="s">
        <v>20</v>
      </c>
      <c r="E327" s="13" t="s">
        <v>144</v>
      </c>
      <c r="F327" s="13" t="s">
        <v>52</v>
      </c>
    </row>
    <row r="328" spans="1:6" x14ac:dyDescent="0.25">
      <c r="A328" s="13"/>
      <c r="B328" s="13"/>
      <c r="C328" s="13"/>
      <c r="D328" s="13" t="s">
        <v>20</v>
      </c>
      <c r="E328" s="13" t="s">
        <v>144</v>
      </c>
      <c r="F328" s="13" t="s">
        <v>53</v>
      </c>
    </row>
    <row r="329" spans="1:6" x14ac:dyDescent="0.25">
      <c r="A329" s="13"/>
      <c r="B329" s="13"/>
      <c r="C329" s="13"/>
      <c r="D329" s="13" t="s">
        <v>20</v>
      </c>
      <c r="E329" s="13" t="s">
        <v>144</v>
      </c>
      <c r="F329" s="13" t="s">
        <v>54</v>
      </c>
    </row>
    <row r="330" spans="1:6" x14ac:dyDescent="0.25">
      <c r="A330" s="13"/>
      <c r="B330" s="13"/>
      <c r="C330" s="13"/>
      <c r="D330" s="13" t="s">
        <v>20</v>
      </c>
      <c r="E330" s="13" t="s">
        <v>144</v>
      </c>
      <c r="F330" s="13" t="s">
        <v>15</v>
      </c>
    </row>
    <row r="331" spans="1:6" x14ac:dyDescent="0.25">
      <c r="A331" s="13"/>
      <c r="B331" s="13"/>
      <c r="C331" s="13"/>
      <c r="D331" s="13" t="s">
        <v>20</v>
      </c>
      <c r="E331" s="13" t="s">
        <v>144</v>
      </c>
      <c r="F331" s="13" t="s">
        <v>55</v>
      </c>
    </row>
    <row r="332" spans="1:6" x14ac:dyDescent="0.25">
      <c r="A332" s="13"/>
      <c r="B332" s="13"/>
      <c r="C332" s="13"/>
      <c r="D332" s="13" t="s">
        <v>20</v>
      </c>
      <c r="E332" s="13" t="s">
        <v>144</v>
      </c>
      <c r="F332" s="13" t="s">
        <v>56</v>
      </c>
    </row>
    <row r="333" spans="1:6" x14ac:dyDescent="0.25">
      <c r="A333" s="13"/>
      <c r="B333" s="13"/>
      <c r="C333" s="13"/>
      <c r="D333" s="13" t="s">
        <v>20</v>
      </c>
      <c r="E333" s="13" t="s">
        <v>144</v>
      </c>
      <c r="F333" s="13" t="s">
        <v>44</v>
      </c>
    </row>
    <row r="334" spans="1:6" x14ac:dyDescent="0.25">
      <c r="A334" s="13"/>
      <c r="B334" s="13"/>
      <c r="C334" s="13"/>
      <c r="D334" s="13" t="s">
        <v>20</v>
      </c>
      <c r="E334" s="13" t="s">
        <v>144</v>
      </c>
      <c r="F334" s="13" t="s">
        <v>45</v>
      </c>
    </row>
    <row r="335" spans="1:6" x14ac:dyDescent="0.25">
      <c r="A335" s="13"/>
      <c r="B335" s="13"/>
      <c r="C335" s="13"/>
      <c r="D335" s="13" t="s">
        <v>20</v>
      </c>
      <c r="E335" s="13" t="s">
        <v>144</v>
      </c>
      <c r="F335" s="13" t="s">
        <v>46</v>
      </c>
    </row>
    <row r="336" spans="1:6" x14ac:dyDescent="0.25">
      <c r="A336" s="13"/>
      <c r="B336" s="13"/>
      <c r="C336" s="13"/>
      <c r="D336" s="13" t="s">
        <v>20</v>
      </c>
      <c r="E336" s="13" t="s">
        <v>144</v>
      </c>
      <c r="F336" s="13" t="s">
        <v>47</v>
      </c>
    </row>
    <row r="337" spans="1:6" x14ac:dyDescent="0.25">
      <c r="A337" s="13"/>
      <c r="B337" s="13"/>
      <c r="C337" s="13"/>
      <c r="D337" s="13" t="s">
        <v>20</v>
      </c>
      <c r="E337" s="13" t="s">
        <v>144</v>
      </c>
      <c r="F337" s="13" t="s">
        <v>48</v>
      </c>
    </row>
    <row r="338" spans="1:6" x14ac:dyDescent="0.25">
      <c r="A338" s="13"/>
      <c r="B338" s="13"/>
      <c r="C338" s="13"/>
      <c r="D338" s="13" t="s">
        <v>20</v>
      </c>
      <c r="E338" s="13" t="s">
        <v>144</v>
      </c>
      <c r="F338" s="13" t="s">
        <v>49</v>
      </c>
    </row>
    <row r="339" spans="1:6" x14ac:dyDescent="0.25">
      <c r="A339" s="13"/>
      <c r="B339" s="13"/>
      <c r="C339" s="13"/>
      <c r="D339" s="13" t="s">
        <v>20</v>
      </c>
      <c r="E339" s="13" t="s">
        <v>144</v>
      </c>
      <c r="F339" s="13" t="s">
        <v>50</v>
      </c>
    </row>
    <row r="340" spans="1:6" x14ac:dyDescent="0.25">
      <c r="A340" s="13"/>
      <c r="B340" s="13"/>
      <c r="C340" s="13"/>
      <c r="D340" s="13" t="s">
        <v>20</v>
      </c>
      <c r="E340" s="13" t="s">
        <v>144</v>
      </c>
      <c r="F340" s="13" t="s">
        <v>51</v>
      </c>
    </row>
    <row r="341" spans="1:6" x14ac:dyDescent="0.25">
      <c r="A341" s="13"/>
      <c r="B341" s="13"/>
      <c r="C341" s="13"/>
      <c r="D341" s="13" t="s">
        <v>20</v>
      </c>
      <c r="E341" s="13" t="s">
        <v>144</v>
      </c>
      <c r="F341" s="13" t="s">
        <v>93</v>
      </c>
    </row>
    <row r="342" spans="1:6" x14ac:dyDescent="0.25">
      <c r="A342" s="13"/>
      <c r="B342" s="13"/>
      <c r="C342" s="13"/>
      <c r="D342" s="13" t="s">
        <v>16</v>
      </c>
      <c r="E342" s="13" t="s">
        <v>5</v>
      </c>
      <c r="F342" s="13" t="s">
        <v>57</v>
      </c>
    </row>
    <row r="343" spans="1:6" x14ac:dyDescent="0.25">
      <c r="A343" s="13"/>
      <c r="B343" s="13"/>
      <c r="C343" s="13"/>
      <c r="D343" s="13" t="s">
        <v>16</v>
      </c>
      <c r="E343" s="13" t="s">
        <v>5</v>
      </c>
      <c r="F343" s="13" t="s">
        <v>52</v>
      </c>
    </row>
    <row r="344" spans="1:6" x14ac:dyDescent="0.25">
      <c r="A344" s="13"/>
      <c r="B344" s="13"/>
      <c r="C344" s="13"/>
      <c r="D344" s="13" t="s">
        <v>16</v>
      </c>
      <c r="E344" s="13" t="s">
        <v>5</v>
      </c>
      <c r="F344" s="13" t="s">
        <v>53</v>
      </c>
    </row>
    <row r="345" spans="1:6" x14ac:dyDescent="0.25">
      <c r="A345" s="13"/>
      <c r="B345" s="13"/>
      <c r="C345" s="13"/>
      <c r="D345" s="13" t="s">
        <v>16</v>
      </c>
      <c r="E345" s="13" t="s">
        <v>5</v>
      </c>
      <c r="F345" s="13" t="s">
        <v>54</v>
      </c>
    </row>
    <row r="346" spans="1:6" x14ac:dyDescent="0.25">
      <c r="A346" s="13"/>
      <c r="B346" s="13"/>
      <c r="C346" s="13"/>
      <c r="D346" s="13" t="s">
        <v>16</v>
      </c>
      <c r="E346" s="13" t="s">
        <v>5</v>
      </c>
      <c r="F346" s="13" t="s">
        <v>15</v>
      </c>
    </row>
    <row r="347" spans="1:6" x14ac:dyDescent="0.25">
      <c r="A347" s="13"/>
      <c r="B347" s="13"/>
      <c r="C347" s="13"/>
      <c r="D347" s="13" t="s">
        <v>16</v>
      </c>
      <c r="E347" s="13" t="s">
        <v>5</v>
      </c>
      <c r="F347" s="13" t="s">
        <v>55</v>
      </c>
    </row>
    <row r="348" spans="1:6" x14ac:dyDescent="0.25">
      <c r="A348" s="13"/>
      <c r="B348" s="13"/>
      <c r="C348" s="13"/>
      <c r="D348" s="13" t="s">
        <v>16</v>
      </c>
      <c r="E348" s="13" t="s">
        <v>5</v>
      </c>
      <c r="F348" s="13" t="s">
        <v>56</v>
      </c>
    </row>
    <row r="349" spans="1:6" x14ac:dyDescent="0.25">
      <c r="A349" s="13"/>
      <c r="B349" s="13"/>
      <c r="C349" s="13"/>
      <c r="D349" s="13" t="s">
        <v>16</v>
      </c>
      <c r="E349" s="13" t="s">
        <v>5</v>
      </c>
      <c r="F349" s="13" t="s">
        <v>44</v>
      </c>
    </row>
    <row r="350" spans="1:6" x14ac:dyDescent="0.25">
      <c r="A350" s="13"/>
      <c r="B350" s="13"/>
      <c r="C350" s="13"/>
      <c r="D350" s="13" t="s">
        <v>16</v>
      </c>
      <c r="E350" s="13" t="s">
        <v>5</v>
      </c>
      <c r="F350" s="13" t="s">
        <v>45</v>
      </c>
    </row>
    <row r="351" spans="1:6" x14ac:dyDescent="0.25">
      <c r="A351" s="13"/>
      <c r="B351" s="13"/>
      <c r="C351" s="13"/>
      <c r="D351" s="13" t="s">
        <v>16</v>
      </c>
      <c r="E351" s="13" t="s">
        <v>5</v>
      </c>
      <c r="F351" s="13" t="s">
        <v>46</v>
      </c>
    </row>
    <row r="352" spans="1:6" x14ac:dyDescent="0.25">
      <c r="A352" s="13"/>
      <c r="B352" s="13"/>
      <c r="C352" s="13"/>
      <c r="D352" s="13" t="s">
        <v>16</v>
      </c>
      <c r="E352" s="13" t="s">
        <v>5</v>
      </c>
      <c r="F352" s="13" t="s">
        <v>47</v>
      </c>
    </row>
    <row r="353" spans="1:6" x14ac:dyDescent="0.25">
      <c r="A353" s="13"/>
      <c r="B353" s="13"/>
      <c r="C353" s="13"/>
      <c r="D353" s="13" t="s">
        <v>16</v>
      </c>
      <c r="E353" s="13" t="s">
        <v>5</v>
      </c>
      <c r="F353" s="13" t="s">
        <v>48</v>
      </c>
    </row>
    <row r="354" spans="1:6" x14ac:dyDescent="0.25">
      <c r="A354" s="13"/>
      <c r="B354" s="13"/>
      <c r="C354" s="13"/>
      <c r="D354" s="13" t="s">
        <v>16</v>
      </c>
      <c r="E354" s="13" t="s">
        <v>5</v>
      </c>
      <c r="F354" s="13" t="s">
        <v>49</v>
      </c>
    </row>
    <row r="355" spans="1:6" x14ac:dyDescent="0.25">
      <c r="A355" s="13"/>
      <c r="B355" s="13"/>
      <c r="C355" s="13"/>
      <c r="D355" s="13" t="s">
        <v>16</v>
      </c>
      <c r="E355" s="13" t="s">
        <v>5</v>
      </c>
      <c r="F355" s="13" t="s">
        <v>50</v>
      </c>
    </row>
    <row r="356" spans="1:6" x14ac:dyDescent="0.25">
      <c r="A356" s="13"/>
      <c r="B356" s="13"/>
      <c r="C356" s="13"/>
      <c r="D356" s="13" t="s">
        <v>16</v>
      </c>
      <c r="E356" s="13" t="s">
        <v>5</v>
      </c>
      <c r="F356" s="13" t="s">
        <v>51</v>
      </c>
    </row>
    <row r="357" spans="1:6" x14ac:dyDescent="0.25">
      <c r="A357" s="13"/>
      <c r="B357" s="13"/>
      <c r="C357" s="13"/>
      <c r="D357" s="13" t="s">
        <v>16</v>
      </c>
      <c r="E357" s="13" t="s">
        <v>5</v>
      </c>
      <c r="F357" s="13" t="s">
        <v>93</v>
      </c>
    </row>
    <row r="358" spans="1:6" x14ac:dyDescent="0.25">
      <c r="A358" s="13"/>
      <c r="B358" s="13"/>
      <c r="C358" s="13"/>
      <c r="D358" s="13" t="s">
        <v>16</v>
      </c>
      <c r="E358" s="13" t="s">
        <v>43</v>
      </c>
      <c r="F358" s="13" t="s">
        <v>57</v>
      </c>
    </row>
    <row r="359" spans="1:6" x14ac:dyDescent="0.25">
      <c r="A359" s="13"/>
      <c r="B359" s="13"/>
      <c r="C359" s="13"/>
      <c r="D359" s="13" t="s">
        <v>16</v>
      </c>
      <c r="E359" s="13" t="s">
        <v>43</v>
      </c>
      <c r="F359" s="13" t="s">
        <v>52</v>
      </c>
    </row>
    <row r="360" spans="1:6" x14ac:dyDescent="0.25">
      <c r="A360" s="13"/>
      <c r="B360" s="13"/>
      <c r="C360" s="13"/>
      <c r="D360" s="13" t="s">
        <v>16</v>
      </c>
      <c r="E360" s="13" t="s">
        <v>43</v>
      </c>
      <c r="F360" s="13" t="s">
        <v>53</v>
      </c>
    </row>
    <row r="361" spans="1:6" x14ac:dyDescent="0.25">
      <c r="A361" s="13"/>
      <c r="B361" s="13"/>
      <c r="C361" s="13"/>
      <c r="D361" s="13" t="s">
        <v>16</v>
      </c>
      <c r="E361" s="13" t="s">
        <v>43</v>
      </c>
      <c r="F361" s="13" t="s">
        <v>54</v>
      </c>
    </row>
    <row r="362" spans="1:6" x14ac:dyDescent="0.25">
      <c r="A362" s="13"/>
      <c r="B362" s="13"/>
      <c r="C362" s="13"/>
      <c r="D362" s="13" t="s">
        <v>16</v>
      </c>
      <c r="E362" s="13" t="s">
        <v>43</v>
      </c>
      <c r="F362" s="13" t="s">
        <v>15</v>
      </c>
    </row>
    <row r="363" spans="1:6" x14ac:dyDescent="0.25">
      <c r="A363" s="13"/>
      <c r="B363" s="13"/>
      <c r="C363" s="13"/>
      <c r="D363" s="13" t="s">
        <v>16</v>
      </c>
      <c r="E363" s="13" t="s">
        <v>43</v>
      </c>
      <c r="F363" s="13" t="s">
        <v>55</v>
      </c>
    </row>
    <row r="364" spans="1:6" x14ac:dyDescent="0.25">
      <c r="A364" s="13"/>
      <c r="B364" s="13"/>
      <c r="C364" s="13"/>
      <c r="D364" s="13" t="s">
        <v>16</v>
      </c>
      <c r="E364" s="13" t="s">
        <v>43</v>
      </c>
      <c r="F364" s="13" t="s">
        <v>56</v>
      </c>
    </row>
    <row r="365" spans="1:6" x14ac:dyDescent="0.25">
      <c r="A365" s="13"/>
      <c r="B365" s="13"/>
      <c r="C365" s="13"/>
      <c r="D365" s="13" t="s">
        <v>16</v>
      </c>
      <c r="E365" s="13" t="s">
        <v>43</v>
      </c>
      <c r="F365" s="13" t="s">
        <v>44</v>
      </c>
    </row>
    <row r="366" spans="1:6" x14ac:dyDescent="0.25">
      <c r="A366" s="13"/>
      <c r="B366" s="13"/>
      <c r="C366" s="13"/>
      <c r="D366" s="13" t="s">
        <v>16</v>
      </c>
      <c r="E366" s="13" t="s">
        <v>43</v>
      </c>
      <c r="F366" s="13" t="s">
        <v>45</v>
      </c>
    </row>
    <row r="367" spans="1:6" x14ac:dyDescent="0.25">
      <c r="A367" s="13"/>
      <c r="B367" s="13"/>
      <c r="C367" s="13"/>
      <c r="D367" s="13" t="s">
        <v>16</v>
      </c>
      <c r="E367" s="13" t="s">
        <v>43</v>
      </c>
      <c r="F367" s="13" t="s">
        <v>46</v>
      </c>
    </row>
    <row r="368" spans="1:6" x14ac:dyDescent="0.25">
      <c r="A368" s="13"/>
      <c r="B368" s="13"/>
      <c r="C368" s="13"/>
      <c r="D368" s="13" t="s">
        <v>16</v>
      </c>
      <c r="E368" s="13" t="s">
        <v>43</v>
      </c>
      <c r="F368" s="13" t="s">
        <v>47</v>
      </c>
    </row>
    <row r="369" spans="1:6" x14ac:dyDescent="0.25">
      <c r="A369" s="13"/>
      <c r="B369" s="13"/>
      <c r="C369" s="13"/>
      <c r="D369" s="13" t="s">
        <v>16</v>
      </c>
      <c r="E369" s="13" t="s">
        <v>43</v>
      </c>
      <c r="F369" s="13" t="s">
        <v>48</v>
      </c>
    </row>
    <row r="370" spans="1:6" x14ac:dyDescent="0.25">
      <c r="A370" s="13"/>
      <c r="B370" s="13"/>
      <c r="C370" s="13"/>
      <c r="D370" s="13" t="s">
        <v>16</v>
      </c>
      <c r="E370" s="13" t="s">
        <v>43</v>
      </c>
      <c r="F370" s="13" t="s">
        <v>49</v>
      </c>
    </row>
    <row r="371" spans="1:6" x14ac:dyDescent="0.25">
      <c r="A371" s="13"/>
      <c r="B371" s="13"/>
      <c r="C371" s="13"/>
      <c r="D371" s="13" t="s">
        <v>16</v>
      </c>
      <c r="E371" s="13" t="s">
        <v>43</v>
      </c>
      <c r="F371" s="13" t="s">
        <v>50</v>
      </c>
    </row>
    <row r="372" spans="1:6" x14ac:dyDescent="0.25">
      <c r="A372" s="13"/>
      <c r="B372" s="13"/>
      <c r="C372" s="13"/>
      <c r="D372" s="13" t="s">
        <v>16</v>
      </c>
      <c r="E372" s="13" t="s">
        <v>43</v>
      </c>
      <c r="F372" s="13" t="s">
        <v>51</v>
      </c>
    </row>
    <row r="373" spans="1:6" x14ac:dyDescent="0.25">
      <c r="A373" s="13"/>
      <c r="B373" s="13"/>
      <c r="C373" s="13"/>
      <c r="D373" s="13" t="s">
        <v>16</v>
      </c>
      <c r="E373" s="13" t="s">
        <v>43</v>
      </c>
      <c r="F373" s="13" t="s">
        <v>93</v>
      </c>
    </row>
    <row r="374" spans="1:6" x14ac:dyDescent="0.25">
      <c r="A374" s="13"/>
      <c r="B374" s="13"/>
      <c r="C374" s="13"/>
      <c r="D374" s="13" t="s">
        <v>16</v>
      </c>
      <c r="E374" s="13" t="s">
        <v>106</v>
      </c>
      <c r="F374" s="13" t="s">
        <v>57</v>
      </c>
    </row>
    <row r="375" spans="1:6" x14ac:dyDescent="0.25">
      <c r="A375" s="13"/>
      <c r="B375" s="13"/>
      <c r="C375" s="13"/>
      <c r="D375" s="13" t="s">
        <v>16</v>
      </c>
      <c r="E375" s="13" t="s">
        <v>106</v>
      </c>
      <c r="F375" s="13" t="s">
        <v>52</v>
      </c>
    </row>
    <row r="376" spans="1:6" x14ac:dyDescent="0.25">
      <c r="A376" s="13"/>
      <c r="B376" s="13"/>
      <c r="C376" s="13"/>
      <c r="D376" s="13" t="s">
        <v>16</v>
      </c>
      <c r="E376" s="13" t="s">
        <v>106</v>
      </c>
      <c r="F376" s="13" t="s">
        <v>53</v>
      </c>
    </row>
    <row r="377" spans="1:6" x14ac:dyDescent="0.25">
      <c r="A377" s="13"/>
      <c r="B377" s="13"/>
      <c r="C377" s="13"/>
      <c r="D377" s="13" t="s">
        <v>16</v>
      </c>
      <c r="E377" s="13" t="s">
        <v>106</v>
      </c>
      <c r="F377" s="13" t="s">
        <v>54</v>
      </c>
    </row>
    <row r="378" spans="1:6" x14ac:dyDescent="0.25">
      <c r="A378" s="13"/>
      <c r="B378" s="13"/>
      <c r="C378" s="13"/>
      <c r="D378" s="13" t="s">
        <v>16</v>
      </c>
      <c r="E378" s="13" t="s">
        <v>106</v>
      </c>
      <c r="F378" s="13" t="s">
        <v>15</v>
      </c>
    </row>
    <row r="379" spans="1:6" x14ac:dyDescent="0.25">
      <c r="A379" s="13"/>
      <c r="B379" s="13"/>
      <c r="C379" s="13"/>
      <c r="D379" s="13" t="s">
        <v>16</v>
      </c>
      <c r="E379" s="13" t="s">
        <v>106</v>
      </c>
      <c r="F379" s="13" t="s">
        <v>55</v>
      </c>
    </row>
    <row r="380" spans="1:6" x14ac:dyDescent="0.25">
      <c r="A380" s="13"/>
      <c r="B380" s="13"/>
      <c r="C380" s="13"/>
      <c r="D380" s="13" t="s">
        <v>16</v>
      </c>
      <c r="E380" s="13" t="s">
        <v>106</v>
      </c>
      <c r="F380" s="13" t="s">
        <v>56</v>
      </c>
    </row>
    <row r="381" spans="1:6" x14ac:dyDescent="0.25">
      <c r="A381" s="13"/>
      <c r="B381" s="13"/>
      <c r="C381" s="13"/>
      <c r="D381" s="13" t="s">
        <v>16</v>
      </c>
      <c r="E381" s="13" t="s">
        <v>106</v>
      </c>
      <c r="F381" s="13" t="s">
        <v>44</v>
      </c>
    </row>
    <row r="382" spans="1:6" x14ac:dyDescent="0.25">
      <c r="A382" s="13"/>
      <c r="B382" s="13"/>
      <c r="C382" s="13"/>
      <c r="D382" s="13" t="s">
        <v>16</v>
      </c>
      <c r="E382" s="13" t="s">
        <v>106</v>
      </c>
      <c r="F382" s="13" t="s">
        <v>45</v>
      </c>
    </row>
    <row r="383" spans="1:6" x14ac:dyDescent="0.25">
      <c r="A383" s="13"/>
      <c r="B383" s="13"/>
      <c r="C383" s="13"/>
      <c r="D383" s="13" t="s">
        <v>16</v>
      </c>
      <c r="E383" s="13" t="s">
        <v>106</v>
      </c>
      <c r="F383" s="13" t="s">
        <v>46</v>
      </c>
    </row>
    <row r="384" spans="1:6" x14ac:dyDescent="0.25">
      <c r="A384" s="13"/>
      <c r="B384" s="13"/>
      <c r="C384" s="13"/>
      <c r="D384" s="13" t="s">
        <v>16</v>
      </c>
      <c r="E384" s="13" t="s">
        <v>106</v>
      </c>
      <c r="F384" s="13" t="s">
        <v>47</v>
      </c>
    </row>
    <row r="385" spans="1:6" x14ac:dyDescent="0.25">
      <c r="A385" s="13"/>
      <c r="B385" s="13"/>
      <c r="C385" s="13"/>
      <c r="D385" s="13" t="s">
        <v>16</v>
      </c>
      <c r="E385" s="13" t="s">
        <v>106</v>
      </c>
      <c r="F385" s="13" t="s">
        <v>48</v>
      </c>
    </row>
    <row r="386" spans="1:6" x14ac:dyDescent="0.25">
      <c r="A386" s="13"/>
      <c r="B386" s="13"/>
      <c r="C386" s="13"/>
      <c r="D386" s="13" t="s">
        <v>16</v>
      </c>
      <c r="E386" s="13" t="s">
        <v>106</v>
      </c>
      <c r="F386" s="13" t="s">
        <v>49</v>
      </c>
    </row>
    <row r="387" spans="1:6" x14ac:dyDescent="0.25">
      <c r="A387" s="13"/>
      <c r="B387" s="13"/>
      <c r="C387" s="13"/>
      <c r="D387" s="13" t="s">
        <v>16</v>
      </c>
      <c r="E387" s="13" t="s">
        <v>106</v>
      </c>
      <c r="F387" s="13" t="s">
        <v>50</v>
      </c>
    </row>
    <row r="388" spans="1:6" x14ac:dyDescent="0.25">
      <c r="A388" s="13"/>
      <c r="B388" s="13"/>
      <c r="C388" s="13"/>
      <c r="D388" s="13" t="s">
        <v>16</v>
      </c>
      <c r="E388" s="13" t="s">
        <v>106</v>
      </c>
      <c r="F388" s="13" t="s">
        <v>51</v>
      </c>
    </row>
    <row r="389" spans="1:6" x14ac:dyDescent="0.25">
      <c r="A389" s="13"/>
      <c r="B389" s="13"/>
      <c r="C389" s="13"/>
      <c r="D389" s="13" t="s">
        <v>16</v>
      </c>
      <c r="E389" s="13" t="s">
        <v>106</v>
      </c>
      <c r="F389" s="13" t="s">
        <v>93</v>
      </c>
    </row>
    <row r="390" spans="1:6" x14ac:dyDescent="0.25">
      <c r="A390" s="13"/>
      <c r="B390" s="13"/>
      <c r="C390" s="13"/>
      <c r="D390" s="13" t="s">
        <v>16</v>
      </c>
      <c r="E390" s="13" t="s">
        <v>60</v>
      </c>
      <c r="F390" s="13" t="s">
        <v>57</v>
      </c>
    </row>
    <row r="391" spans="1:6" x14ac:dyDescent="0.25">
      <c r="A391" s="13"/>
      <c r="B391" s="13"/>
      <c r="C391" s="13"/>
      <c r="D391" s="13" t="s">
        <v>16</v>
      </c>
      <c r="E391" s="13" t="s">
        <v>60</v>
      </c>
      <c r="F391" s="13" t="s">
        <v>52</v>
      </c>
    </row>
    <row r="392" spans="1:6" x14ac:dyDescent="0.25">
      <c r="A392" s="13"/>
      <c r="B392" s="13"/>
      <c r="C392" s="13"/>
      <c r="D392" s="13" t="s">
        <v>16</v>
      </c>
      <c r="E392" s="13" t="s">
        <v>60</v>
      </c>
      <c r="F392" s="13" t="s">
        <v>53</v>
      </c>
    </row>
    <row r="393" spans="1:6" x14ac:dyDescent="0.25">
      <c r="A393" s="13"/>
      <c r="B393" s="13"/>
      <c r="C393" s="13"/>
      <c r="D393" s="13" t="s">
        <v>16</v>
      </c>
      <c r="E393" s="13" t="s">
        <v>60</v>
      </c>
      <c r="F393" s="13" t="s">
        <v>54</v>
      </c>
    </row>
    <row r="394" spans="1:6" x14ac:dyDescent="0.25">
      <c r="A394" s="13"/>
      <c r="B394" s="13"/>
      <c r="C394" s="13"/>
      <c r="D394" s="13" t="s">
        <v>16</v>
      </c>
      <c r="E394" s="13" t="s">
        <v>60</v>
      </c>
      <c r="F394" s="13" t="s">
        <v>15</v>
      </c>
    </row>
    <row r="395" spans="1:6" x14ac:dyDescent="0.25">
      <c r="A395" s="13"/>
      <c r="B395" s="13"/>
      <c r="C395" s="13"/>
      <c r="D395" s="13" t="s">
        <v>16</v>
      </c>
      <c r="E395" s="13" t="s">
        <v>60</v>
      </c>
      <c r="F395" s="13" t="s">
        <v>55</v>
      </c>
    </row>
    <row r="396" spans="1:6" x14ac:dyDescent="0.25">
      <c r="A396" s="13"/>
      <c r="B396" s="13"/>
      <c r="C396" s="13"/>
      <c r="D396" s="13" t="s">
        <v>16</v>
      </c>
      <c r="E396" s="13" t="s">
        <v>60</v>
      </c>
      <c r="F396" s="13" t="s">
        <v>56</v>
      </c>
    </row>
    <row r="397" spans="1:6" x14ac:dyDescent="0.25">
      <c r="A397" s="13"/>
      <c r="B397" s="13"/>
      <c r="C397" s="13"/>
      <c r="D397" s="13" t="s">
        <v>16</v>
      </c>
      <c r="E397" s="13" t="s">
        <v>60</v>
      </c>
      <c r="F397" s="13" t="s">
        <v>44</v>
      </c>
    </row>
    <row r="398" spans="1:6" x14ac:dyDescent="0.25">
      <c r="A398" s="13"/>
      <c r="B398" s="13"/>
      <c r="C398" s="13"/>
      <c r="D398" s="13" t="s">
        <v>16</v>
      </c>
      <c r="E398" s="13" t="s">
        <v>60</v>
      </c>
      <c r="F398" s="13" t="s">
        <v>45</v>
      </c>
    </row>
    <row r="399" spans="1:6" x14ac:dyDescent="0.25">
      <c r="A399" s="13"/>
      <c r="B399" s="13"/>
      <c r="C399" s="13"/>
      <c r="D399" s="13" t="s">
        <v>16</v>
      </c>
      <c r="E399" s="13" t="s">
        <v>60</v>
      </c>
      <c r="F399" s="13" t="s">
        <v>46</v>
      </c>
    </row>
    <row r="400" spans="1:6" x14ac:dyDescent="0.25">
      <c r="A400" s="13"/>
      <c r="B400" s="13"/>
      <c r="C400" s="13"/>
      <c r="D400" s="13" t="s">
        <v>16</v>
      </c>
      <c r="E400" s="13" t="s">
        <v>60</v>
      </c>
      <c r="F400" s="13" t="s">
        <v>47</v>
      </c>
    </row>
    <row r="401" spans="1:6" x14ac:dyDescent="0.25">
      <c r="A401" s="13"/>
      <c r="B401" s="13"/>
      <c r="C401" s="13"/>
      <c r="D401" s="13" t="s">
        <v>16</v>
      </c>
      <c r="E401" s="13" t="s">
        <v>60</v>
      </c>
      <c r="F401" s="13" t="s">
        <v>48</v>
      </c>
    </row>
    <row r="402" spans="1:6" x14ac:dyDescent="0.25">
      <c r="A402" s="13"/>
      <c r="B402" s="13"/>
      <c r="C402" s="13"/>
      <c r="D402" s="13" t="s">
        <v>16</v>
      </c>
      <c r="E402" s="13" t="s">
        <v>60</v>
      </c>
      <c r="F402" s="13" t="s">
        <v>49</v>
      </c>
    </row>
    <row r="403" spans="1:6" x14ac:dyDescent="0.25">
      <c r="A403" s="13"/>
      <c r="B403" s="13"/>
      <c r="C403" s="13"/>
      <c r="D403" s="13" t="s">
        <v>16</v>
      </c>
      <c r="E403" s="13" t="s">
        <v>60</v>
      </c>
      <c r="F403" s="13" t="s">
        <v>50</v>
      </c>
    </row>
    <row r="404" spans="1:6" x14ac:dyDescent="0.25">
      <c r="A404" s="13"/>
      <c r="B404" s="13"/>
      <c r="C404" s="13"/>
      <c r="D404" s="13" t="s">
        <v>16</v>
      </c>
      <c r="E404" s="13" t="s">
        <v>60</v>
      </c>
      <c r="F404" s="13" t="s">
        <v>51</v>
      </c>
    </row>
    <row r="405" spans="1:6" x14ac:dyDescent="0.25">
      <c r="A405" s="13"/>
      <c r="B405" s="13"/>
      <c r="C405" s="13"/>
      <c r="D405" s="13" t="s">
        <v>16</v>
      </c>
      <c r="E405" s="13" t="s">
        <v>60</v>
      </c>
      <c r="F405" s="13" t="s">
        <v>93</v>
      </c>
    </row>
    <row r="406" spans="1:6" x14ac:dyDescent="0.25">
      <c r="A406" s="13"/>
      <c r="B406" s="13"/>
      <c r="C406" s="13"/>
      <c r="D406" s="13" t="s">
        <v>16</v>
      </c>
      <c r="E406" s="13" t="s">
        <v>62</v>
      </c>
      <c r="F406" s="13" t="s">
        <v>57</v>
      </c>
    </row>
    <row r="407" spans="1:6" x14ac:dyDescent="0.25">
      <c r="A407" s="13"/>
      <c r="B407" s="13"/>
      <c r="C407" s="13"/>
      <c r="D407" s="13" t="s">
        <v>16</v>
      </c>
      <c r="E407" s="13" t="s">
        <v>62</v>
      </c>
      <c r="F407" s="13" t="s">
        <v>52</v>
      </c>
    </row>
    <row r="408" spans="1:6" x14ac:dyDescent="0.25">
      <c r="A408" s="13"/>
      <c r="B408" s="13"/>
      <c r="C408" s="13"/>
      <c r="D408" s="13" t="s">
        <v>16</v>
      </c>
      <c r="E408" s="13" t="s">
        <v>62</v>
      </c>
      <c r="F408" s="13" t="s">
        <v>53</v>
      </c>
    </row>
    <row r="409" spans="1:6" x14ac:dyDescent="0.25">
      <c r="A409" s="13"/>
      <c r="B409" s="13"/>
      <c r="C409" s="13"/>
      <c r="D409" s="13" t="s">
        <v>16</v>
      </c>
      <c r="E409" s="13" t="s">
        <v>62</v>
      </c>
      <c r="F409" s="13" t="s">
        <v>54</v>
      </c>
    </row>
    <row r="410" spans="1:6" x14ac:dyDescent="0.25">
      <c r="A410" s="13"/>
      <c r="B410" s="13"/>
      <c r="C410" s="13"/>
      <c r="D410" s="13" t="s">
        <v>16</v>
      </c>
      <c r="E410" s="13" t="s">
        <v>62</v>
      </c>
      <c r="F410" s="13" t="s">
        <v>15</v>
      </c>
    </row>
    <row r="411" spans="1:6" x14ac:dyDescent="0.25">
      <c r="A411" s="13"/>
      <c r="B411" s="13"/>
      <c r="C411" s="13"/>
      <c r="D411" s="13" t="s">
        <v>16</v>
      </c>
      <c r="E411" s="13" t="s">
        <v>62</v>
      </c>
      <c r="F411" s="13" t="s">
        <v>55</v>
      </c>
    </row>
    <row r="412" spans="1:6" x14ac:dyDescent="0.25">
      <c r="A412" s="13"/>
      <c r="B412" s="13"/>
      <c r="C412" s="13"/>
      <c r="D412" s="13" t="s">
        <v>16</v>
      </c>
      <c r="E412" s="13" t="s">
        <v>62</v>
      </c>
      <c r="F412" s="13" t="s">
        <v>56</v>
      </c>
    </row>
    <row r="413" spans="1:6" x14ac:dyDescent="0.25">
      <c r="A413" s="13"/>
      <c r="B413" s="13"/>
      <c r="C413" s="13"/>
      <c r="D413" s="13" t="s">
        <v>16</v>
      </c>
      <c r="E413" s="13" t="s">
        <v>62</v>
      </c>
      <c r="F413" s="13" t="s">
        <v>44</v>
      </c>
    </row>
    <row r="414" spans="1:6" x14ac:dyDescent="0.25">
      <c r="A414" s="13"/>
      <c r="B414" s="13"/>
      <c r="C414" s="13"/>
      <c r="D414" s="13" t="s">
        <v>16</v>
      </c>
      <c r="E414" s="13" t="s">
        <v>62</v>
      </c>
      <c r="F414" s="13" t="s">
        <v>45</v>
      </c>
    </row>
    <row r="415" spans="1:6" x14ac:dyDescent="0.25">
      <c r="A415" s="13"/>
      <c r="B415" s="13"/>
      <c r="C415" s="13"/>
      <c r="D415" s="13" t="s">
        <v>16</v>
      </c>
      <c r="E415" s="13" t="s">
        <v>62</v>
      </c>
      <c r="F415" s="13" t="s">
        <v>46</v>
      </c>
    </row>
    <row r="416" spans="1:6" x14ac:dyDescent="0.25">
      <c r="A416" s="13"/>
      <c r="B416" s="13"/>
      <c r="C416" s="13"/>
      <c r="D416" s="13" t="s">
        <v>16</v>
      </c>
      <c r="E416" s="13" t="s">
        <v>62</v>
      </c>
      <c r="F416" s="13" t="s">
        <v>47</v>
      </c>
    </row>
    <row r="417" spans="1:6" x14ac:dyDescent="0.25">
      <c r="A417" s="13"/>
      <c r="B417" s="13"/>
      <c r="C417" s="13"/>
      <c r="D417" s="13" t="s">
        <v>16</v>
      </c>
      <c r="E417" s="13" t="s">
        <v>62</v>
      </c>
      <c r="F417" s="13" t="s">
        <v>48</v>
      </c>
    </row>
    <row r="418" spans="1:6" x14ac:dyDescent="0.25">
      <c r="A418" s="13"/>
      <c r="B418" s="13"/>
      <c r="C418" s="13"/>
      <c r="D418" s="13" t="s">
        <v>16</v>
      </c>
      <c r="E418" s="13" t="s">
        <v>62</v>
      </c>
      <c r="F418" s="13" t="s">
        <v>49</v>
      </c>
    </row>
    <row r="419" spans="1:6" x14ac:dyDescent="0.25">
      <c r="A419" s="13"/>
      <c r="B419" s="13"/>
      <c r="C419" s="13"/>
      <c r="D419" s="13" t="s">
        <v>16</v>
      </c>
      <c r="E419" s="13" t="s">
        <v>62</v>
      </c>
      <c r="F419" s="13" t="s">
        <v>50</v>
      </c>
    </row>
    <row r="420" spans="1:6" x14ac:dyDescent="0.25">
      <c r="A420" s="13"/>
      <c r="B420" s="13"/>
      <c r="C420" s="13"/>
      <c r="D420" s="13" t="s">
        <v>16</v>
      </c>
      <c r="E420" s="13" t="s">
        <v>62</v>
      </c>
      <c r="F420" s="13" t="s">
        <v>51</v>
      </c>
    </row>
    <row r="421" spans="1:6" x14ac:dyDescent="0.25">
      <c r="A421" s="13"/>
      <c r="B421" s="13"/>
      <c r="C421" s="13"/>
      <c r="D421" s="13" t="s">
        <v>16</v>
      </c>
      <c r="E421" s="13" t="s">
        <v>62</v>
      </c>
      <c r="F421" s="13" t="s">
        <v>93</v>
      </c>
    </row>
    <row r="422" spans="1:6" x14ac:dyDescent="0.25">
      <c r="A422" s="13"/>
      <c r="B422" s="13"/>
      <c r="C422" s="13"/>
      <c r="D422" s="13" t="s">
        <v>16</v>
      </c>
      <c r="E422" s="13" t="s">
        <v>19</v>
      </c>
      <c r="F422" s="13" t="s">
        <v>57</v>
      </c>
    </row>
    <row r="423" spans="1:6" x14ac:dyDescent="0.25">
      <c r="A423" s="13"/>
      <c r="B423" s="13"/>
      <c r="C423" s="13"/>
      <c r="D423" s="13" t="s">
        <v>16</v>
      </c>
      <c r="E423" s="13" t="s">
        <v>19</v>
      </c>
      <c r="F423" s="13" t="s">
        <v>52</v>
      </c>
    </row>
    <row r="424" spans="1:6" x14ac:dyDescent="0.25">
      <c r="A424" s="13"/>
      <c r="B424" s="13"/>
      <c r="C424" s="13"/>
      <c r="D424" s="13" t="s">
        <v>16</v>
      </c>
      <c r="E424" s="13" t="s">
        <v>19</v>
      </c>
      <c r="F424" s="13" t="s">
        <v>53</v>
      </c>
    </row>
    <row r="425" spans="1:6" x14ac:dyDescent="0.25">
      <c r="A425" s="13"/>
      <c r="B425" s="13"/>
      <c r="C425" s="13"/>
      <c r="D425" s="13" t="s">
        <v>16</v>
      </c>
      <c r="E425" s="13" t="s">
        <v>19</v>
      </c>
      <c r="F425" s="13" t="s">
        <v>54</v>
      </c>
    </row>
    <row r="426" spans="1:6" x14ac:dyDescent="0.25">
      <c r="A426" s="13"/>
      <c r="B426" s="13"/>
      <c r="C426" s="13"/>
      <c r="D426" s="13" t="s">
        <v>16</v>
      </c>
      <c r="E426" s="13" t="s">
        <v>19</v>
      </c>
      <c r="F426" s="13" t="s">
        <v>15</v>
      </c>
    </row>
    <row r="427" spans="1:6" x14ac:dyDescent="0.25">
      <c r="A427" s="13"/>
      <c r="B427" s="13"/>
      <c r="C427" s="13"/>
      <c r="D427" s="13" t="s">
        <v>16</v>
      </c>
      <c r="E427" s="13" t="s">
        <v>19</v>
      </c>
      <c r="F427" s="13" t="s">
        <v>55</v>
      </c>
    </row>
    <row r="428" spans="1:6" x14ac:dyDescent="0.25">
      <c r="A428" s="13"/>
      <c r="B428" s="13"/>
      <c r="C428" s="13"/>
      <c r="D428" s="13" t="s">
        <v>16</v>
      </c>
      <c r="E428" s="13" t="s">
        <v>19</v>
      </c>
      <c r="F428" s="13" t="s">
        <v>56</v>
      </c>
    </row>
    <row r="429" spans="1:6" x14ac:dyDescent="0.25">
      <c r="A429" s="13"/>
      <c r="B429" s="13"/>
      <c r="C429" s="13"/>
      <c r="D429" s="13" t="s">
        <v>16</v>
      </c>
      <c r="E429" s="13" t="s">
        <v>19</v>
      </c>
      <c r="F429" s="13" t="s">
        <v>44</v>
      </c>
    </row>
    <row r="430" spans="1:6" x14ac:dyDescent="0.25">
      <c r="A430" s="13"/>
      <c r="B430" s="13"/>
      <c r="C430" s="13"/>
      <c r="D430" s="13" t="s">
        <v>16</v>
      </c>
      <c r="E430" s="13" t="s">
        <v>19</v>
      </c>
      <c r="F430" s="13" t="s">
        <v>45</v>
      </c>
    </row>
    <row r="431" spans="1:6" x14ac:dyDescent="0.25">
      <c r="A431" s="13"/>
      <c r="B431" s="13"/>
      <c r="C431" s="13"/>
      <c r="D431" s="13" t="s">
        <v>16</v>
      </c>
      <c r="E431" s="13" t="s">
        <v>19</v>
      </c>
      <c r="F431" s="13" t="s">
        <v>46</v>
      </c>
    </row>
    <row r="432" spans="1:6" x14ac:dyDescent="0.25">
      <c r="A432" s="13"/>
      <c r="B432" s="13"/>
      <c r="C432" s="13"/>
      <c r="D432" s="13" t="s">
        <v>16</v>
      </c>
      <c r="E432" s="13" t="s">
        <v>19</v>
      </c>
      <c r="F432" s="13" t="s">
        <v>47</v>
      </c>
    </row>
    <row r="433" spans="1:6" x14ac:dyDescent="0.25">
      <c r="A433" s="13"/>
      <c r="B433" s="13"/>
      <c r="C433" s="13"/>
      <c r="D433" s="13" t="s">
        <v>16</v>
      </c>
      <c r="E433" s="13" t="s">
        <v>19</v>
      </c>
      <c r="F433" s="13" t="s">
        <v>48</v>
      </c>
    </row>
    <row r="434" spans="1:6" x14ac:dyDescent="0.25">
      <c r="A434" s="13"/>
      <c r="B434" s="13"/>
      <c r="C434" s="13"/>
      <c r="D434" s="13" t="s">
        <v>16</v>
      </c>
      <c r="E434" s="13" t="s">
        <v>19</v>
      </c>
      <c r="F434" s="13" t="s">
        <v>49</v>
      </c>
    </row>
    <row r="435" spans="1:6" x14ac:dyDescent="0.25">
      <c r="A435" s="13"/>
      <c r="B435" s="13"/>
      <c r="C435" s="13"/>
      <c r="D435" s="13" t="s">
        <v>16</v>
      </c>
      <c r="E435" s="13" t="s">
        <v>19</v>
      </c>
      <c r="F435" s="13" t="s">
        <v>50</v>
      </c>
    </row>
    <row r="436" spans="1:6" x14ac:dyDescent="0.25">
      <c r="A436" s="13"/>
      <c r="B436" s="13"/>
      <c r="C436" s="13"/>
      <c r="D436" s="13" t="s">
        <v>16</v>
      </c>
      <c r="E436" s="13" t="s">
        <v>19</v>
      </c>
      <c r="F436" s="13" t="s">
        <v>51</v>
      </c>
    </row>
    <row r="437" spans="1:6" x14ac:dyDescent="0.25">
      <c r="A437" s="13"/>
      <c r="B437" s="13"/>
      <c r="C437" s="13"/>
      <c r="D437" s="13" t="s">
        <v>16</v>
      </c>
      <c r="E437" s="13" t="s">
        <v>19</v>
      </c>
      <c r="F437" s="13" t="s">
        <v>93</v>
      </c>
    </row>
    <row r="438" spans="1:6" x14ac:dyDescent="0.25">
      <c r="A438" s="13"/>
      <c r="B438" s="13"/>
      <c r="C438" s="13"/>
      <c r="D438" s="13" t="s">
        <v>16</v>
      </c>
      <c r="E438" s="13" t="s">
        <v>26</v>
      </c>
      <c r="F438" s="13" t="s">
        <v>57</v>
      </c>
    </row>
    <row r="439" spans="1:6" x14ac:dyDescent="0.25">
      <c r="A439" s="13"/>
      <c r="B439" s="13"/>
      <c r="C439" s="13"/>
      <c r="D439" s="13" t="s">
        <v>16</v>
      </c>
      <c r="E439" s="13" t="s">
        <v>26</v>
      </c>
      <c r="F439" s="13" t="s">
        <v>52</v>
      </c>
    </row>
    <row r="440" spans="1:6" x14ac:dyDescent="0.25">
      <c r="A440" s="13"/>
      <c r="B440" s="13"/>
      <c r="C440" s="13"/>
      <c r="D440" s="13" t="s">
        <v>16</v>
      </c>
      <c r="E440" s="13" t="s">
        <v>26</v>
      </c>
      <c r="F440" s="13" t="s">
        <v>53</v>
      </c>
    </row>
    <row r="441" spans="1:6" x14ac:dyDescent="0.25">
      <c r="A441" s="13"/>
      <c r="B441" s="13"/>
      <c r="C441" s="13"/>
      <c r="D441" s="13" t="s">
        <v>16</v>
      </c>
      <c r="E441" s="13" t="s">
        <v>26</v>
      </c>
      <c r="F441" s="13" t="s">
        <v>54</v>
      </c>
    </row>
    <row r="442" spans="1:6" x14ac:dyDescent="0.25">
      <c r="A442" s="13"/>
      <c r="B442" s="13"/>
      <c r="C442" s="13"/>
      <c r="D442" s="13" t="s">
        <v>16</v>
      </c>
      <c r="E442" s="13" t="s">
        <v>26</v>
      </c>
      <c r="F442" s="13" t="s">
        <v>15</v>
      </c>
    </row>
    <row r="443" spans="1:6" x14ac:dyDescent="0.25">
      <c r="A443" s="13"/>
      <c r="B443" s="13"/>
      <c r="C443" s="13"/>
      <c r="D443" s="13" t="s">
        <v>16</v>
      </c>
      <c r="E443" s="13" t="s">
        <v>26</v>
      </c>
      <c r="F443" s="13" t="s">
        <v>55</v>
      </c>
    </row>
    <row r="444" spans="1:6" x14ac:dyDescent="0.25">
      <c r="A444" s="13"/>
      <c r="B444" s="13"/>
      <c r="C444" s="13"/>
      <c r="D444" s="13" t="s">
        <v>16</v>
      </c>
      <c r="E444" s="13" t="s">
        <v>26</v>
      </c>
      <c r="F444" s="13" t="s">
        <v>56</v>
      </c>
    </row>
    <row r="445" spans="1:6" x14ac:dyDescent="0.25">
      <c r="A445" s="13"/>
      <c r="B445" s="13"/>
      <c r="C445" s="13"/>
      <c r="D445" s="13" t="s">
        <v>16</v>
      </c>
      <c r="E445" s="13" t="s">
        <v>26</v>
      </c>
      <c r="F445" s="13" t="s">
        <v>44</v>
      </c>
    </row>
    <row r="446" spans="1:6" x14ac:dyDescent="0.25">
      <c r="A446" s="13"/>
      <c r="B446" s="13"/>
      <c r="C446" s="13"/>
      <c r="D446" s="13" t="s">
        <v>16</v>
      </c>
      <c r="E446" s="13" t="s">
        <v>26</v>
      </c>
      <c r="F446" s="13" t="s">
        <v>45</v>
      </c>
    </row>
    <row r="447" spans="1:6" x14ac:dyDescent="0.25">
      <c r="A447" s="13"/>
      <c r="B447" s="13"/>
      <c r="C447" s="13"/>
      <c r="D447" s="13" t="s">
        <v>16</v>
      </c>
      <c r="E447" s="13" t="s">
        <v>26</v>
      </c>
      <c r="F447" s="13" t="s">
        <v>46</v>
      </c>
    </row>
    <row r="448" spans="1:6" x14ac:dyDescent="0.25">
      <c r="A448" s="13"/>
      <c r="B448" s="13"/>
      <c r="C448" s="13"/>
      <c r="D448" s="13" t="s">
        <v>16</v>
      </c>
      <c r="E448" s="13" t="s">
        <v>26</v>
      </c>
      <c r="F448" s="13" t="s">
        <v>47</v>
      </c>
    </row>
    <row r="449" spans="1:6" x14ac:dyDescent="0.25">
      <c r="A449" s="13"/>
      <c r="B449" s="13"/>
      <c r="C449" s="13"/>
      <c r="D449" s="13" t="s">
        <v>16</v>
      </c>
      <c r="E449" s="13" t="s">
        <v>26</v>
      </c>
      <c r="F449" s="13" t="s">
        <v>48</v>
      </c>
    </row>
    <row r="450" spans="1:6" x14ac:dyDescent="0.25">
      <c r="A450" s="13"/>
      <c r="B450" s="13"/>
      <c r="C450" s="13"/>
      <c r="D450" s="13" t="s">
        <v>16</v>
      </c>
      <c r="E450" s="13" t="s">
        <v>26</v>
      </c>
      <c r="F450" s="13" t="s">
        <v>49</v>
      </c>
    </row>
    <row r="451" spans="1:6" x14ac:dyDescent="0.25">
      <c r="A451" s="13"/>
      <c r="B451" s="13"/>
      <c r="C451" s="13"/>
      <c r="D451" s="13" t="s">
        <v>16</v>
      </c>
      <c r="E451" s="13" t="s">
        <v>26</v>
      </c>
      <c r="F451" s="13" t="s">
        <v>50</v>
      </c>
    </row>
    <row r="452" spans="1:6" x14ac:dyDescent="0.25">
      <c r="A452" s="13"/>
      <c r="B452" s="13"/>
      <c r="C452" s="13"/>
      <c r="D452" s="13" t="s">
        <v>16</v>
      </c>
      <c r="E452" s="13" t="s">
        <v>26</v>
      </c>
      <c r="F452" s="13" t="s">
        <v>51</v>
      </c>
    </row>
    <row r="453" spans="1:6" x14ac:dyDescent="0.25">
      <c r="A453" s="13"/>
      <c r="B453" s="13"/>
      <c r="C453" s="13"/>
      <c r="D453" s="13" t="s">
        <v>16</v>
      </c>
      <c r="E453" s="13" t="s">
        <v>26</v>
      </c>
      <c r="F453" s="13" t="s">
        <v>93</v>
      </c>
    </row>
    <row r="454" spans="1:6" x14ac:dyDescent="0.25">
      <c r="A454" s="13"/>
      <c r="B454" s="13"/>
      <c r="C454" s="13"/>
      <c r="D454" s="13" t="s">
        <v>16</v>
      </c>
      <c r="E454" s="13" t="s">
        <v>4</v>
      </c>
      <c r="F454" s="13" t="s">
        <v>57</v>
      </c>
    </row>
    <row r="455" spans="1:6" x14ac:dyDescent="0.25">
      <c r="A455" s="13"/>
      <c r="B455" s="13"/>
      <c r="C455" s="13"/>
      <c r="D455" s="13" t="s">
        <v>16</v>
      </c>
      <c r="E455" s="13" t="s">
        <v>4</v>
      </c>
      <c r="F455" s="13" t="s">
        <v>52</v>
      </c>
    </row>
    <row r="456" spans="1:6" x14ac:dyDescent="0.25">
      <c r="A456" s="13"/>
      <c r="B456" s="13"/>
      <c r="C456" s="13"/>
      <c r="D456" s="13" t="s">
        <v>16</v>
      </c>
      <c r="E456" s="13" t="s">
        <v>4</v>
      </c>
      <c r="F456" s="13" t="s">
        <v>53</v>
      </c>
    </row>
    <row r="457" spans="1:6" x14ac:dyDescent="0.25">
      <c r="A457" s="13"/>
      <c r="B457" s="13"/>
      <c r="C457" s="13"/>
      <c r="D457" s="13" t="s">
        <v>16</v>
      </c>
      <c r="E457" s="13" t="s">
        <v>4</v>
      </c>
      <c r="F457" s="13" t="s">
        <v>54</v>
      </c>
    </row>
    <row r="458" spans="1:6" x14ac:dyDescent="0.25">
      <c r="A458" s="13"/>
      <c r="B458" s="13"/>
      <c r="C458" s="13"/>
      <c r="D458" s="13" t="s">
        <v>16</v>
      </c>
      <c r="E458" s="13" t="s">
        <v>4</v>
      </c>
      <c r="F458" s="13" t="s">
        <v>15</v>
      </c>
    </row>
    <row r="459" spans="1:6" x14ac:dyDescent="0.25">
      <c r="A459" s="13"/>
      <c r="B459" s="13"/>
      <c r="C459" s="13"/>
      <c r="D459" s="13" t="s">
        <v>16</v>
      </c>
      <c r="E459" s="13" t="s">
        <v>4</v>
      </c>
      <c r="F459" s="13" t="s">
        <v>55</v>
      </c>
    </row>
    <row r="460" spans="1:6" x14ac:dyDescent="0.25">
      <c r="A460" s="13"/>
      <c r="B460" s="13"/>
      <c r="C460" s="13"/>
      <c r="D460" s="13" t="s">
        <v>16</v>
      </c>
      <c r="E460" s="13" t="s">
        <v>4</v>
      </c>
      <c r="F460" s="13" t="s">
        <v>56</v>
      </c>
    </row>
    <row r="461" spans="1:6" x14ac:dyDescent="0.25">
      <c r="A461" s="13"/>
      <c r="B461" s="13"/>
      <c r="C461" s="13"/>
      <c r="D461" s="13" t="s">
        <v>16</v>
      </c>
      <c r="E461" s="13" t="s">
        <v>4</v>
      </c>
      <c r="F461" s="13" t="s">
        <v>44</v>
      </c>
    </row>
    <row r="462" spans="1:6" x14ac:dyDescent="0.25">
      <c r="A462" s="13"/>
      <c r="B462" s="13"/>
      <c r="C462" s="13"/>
      <c r="D462" s="13" t="s">
        <v>16</v>
      </c>
      <c r="E462" s="13" t="s">
        <v>4</v>
      </c>
      <c r="F462" s="13" t="s">
        <v>45</v>
      </c>
    </row>
    <row r="463" spans="1:6" x14ac:dyDescent="0.25">
      <c r="A463" s="13"/>
      <c r="B463" s="13"/>
      <c r="C463" s="13"/>
      <c r="D463" s="13" t="s">
        <v>16</v>
      </c>
      <c r="E463" s="13" t="s">
        <v>4</v>
      </c>
      <c r="F463" s="13" t="s">
        <v>46</v>
      </c>
    </row>
    <row r="464" spans="1:6" x14ac:dyDescent="0.25">
      <c r="A464" s="13"/>
      <c r="B464" s="13"/>
      <c r="C464" s="13"/>
      <c r="D464" s="13" t="s">
        <v>16</v>
      </c>
      <c r="E464" s="13" t="s">
        <v>4</v>
      </c>
      <c r="F464" s="13" t="s">
        <v>47</v>
      </c>
    </row>
    <row r="465" spans="1:6" x14ac:dyDescent="0.25">
      <c r="A465" s="13"/>
      <c r="B465" s="13"/>
      <c r="C465" s="13"/>
      <c r="D465" s="13" t="s">
        <v>16</v>
      </c>
      <c r="E465" s="13" t="s">
        <v>4</v>
      </c>
      <c r="F465" s="13" t="s">
        <v>48</v>
      </c>
    </row>
    <row r="466" spans="1:6" x14ac:dyDescent="0.25">
      <c r="A466" s="13"/>
      <c r="B466" s="13"/>
      <c r="C466" s="13"/>
      <c r="D466" s="13" t="s">
        <v>16</v>
      </c>
      <c r="E466" s="13" t="s">
        <v>4</v>
      </c>
      <c r="F466" s="13" t="s">
        <v>49</v>
      </c>
    </row>
    <row r="467" spans="1:6" x14ac:dyDescent="0.25">
      <c r="A467" s="13"/>
      <c r="B467" s="13"/>
      <c r="C467" s="13"/>
      <c r="D467" s="13" t="s">
        <v>16</v>
      </c>
      <c r="E467" s="13" t="s">
        <v>4</v>
      </c>
      <c r="F467" s="13" t="s">
        <v>50</v>
      </c>
    </row>
    <row r="468" spans="1:6" x14ac:dyDescent="0.25">
      <c r="A468" s="13"/>
      <c r="B468" s="13"/>
      <c r="C468" s="13"/>
      <c r="D468" s="13" t="s">
        <v>16</v>
      </c>
      <c r="E468" s="13" t="s">
        <v>4</v>
      </c>
      <c r="F468" s="13" t="s">
        <v>51</v>
      </c>
    </row>
    <row r="469" spans="1:6" x14ac:dyDescent="0.25">
      <c r="A469" s="13"/>
      <c r="B469" s="13"/>
      <c r="C469" s="13"/>
      <c r="D469" s="13" t="s">
        <v>16</v>
      </c>
      <c r="E469" s="13" t="s">
        <v>4</v>
      </c>
      <c r="F469" s="13" t="s">
        <v>93</v>
      </c>
    </row>
    <row r="470" spans="1:6" x14ac:dyDescent="0.25">
      <c r="A470" s="13"/>
      <c r="B470" s="13"/>
      <c r="C470" s="13"/>
      <c r="D470" s="13" t="s">
        <v>16</v>
      </c>
      <c r="E470" s="13" t="s">
        <v>2</v>
      </c>
      <c r="F470" s="13" t="s">
        <v>57</v>
      </c>
    </row>
    <row r="471" spans="1:6" x14ac:dyDescent="0.25">
      <c r="A471" s="13"/>
      <c r="B471" s="13"/>
      <c r="C471" s="13"/>
      <c r="D471" s="13" t="s">
        <v>16</v>
      </c>
      <c r="E471" s="13" t="s">
        <v>2</v>
      </c>
      <c r="F471" s="13" t="s">
        <v>52</v>
      </c>
    </row>
    <row r="472" spans="1:6" x14ac:dyDescent="0.25">
      <c r="A472" s="13"/>
      <c r="B472" s="13"/>
      <c r="C472" s="13"/>
      <c r="D472" s="13" t="s">
        <v>16</v>
      </c>
      <c r="E472" s="13" t="s">
        <v>2</v>
      </c>
      <c r="F472" s="13" t="s">
        <v>53</v>
      </c>
    </row>
    <row r="473" spans="1:6" x14ac:dyDescent="0.25">
      <c r="A473" s="13"/>
      <c r="B473" s="13"/>
      <c r="C473" s="13"/>
      <c r="D473" s="13" t="s">
        <v>16</v>
      </c>
      <c r="E473" s="13" t="s">
        <v>2</v>
      </c>
      <c r="F473" s="13" t="s">
        <v>54</v>
      </c>
    </row>
    <row r="474" spans="1:6" x14ac:dyDescent="0.25">
      <c r="A474" s="13"/>
      <c r="B474" s="13"/>
      <c r="C474" s="13"/>
      <c r="D474" s="13" t="s">
        <v>16</v>
      </c>
      <c r="E474" s="13" t="s">
        <v>2</v>
      </c>
      <c r="F474" s="13" t="s">
        <v>15</v>
      </c>
    </row>
    <row r="475" spans="1:6" x14ac:dyDescent="0.25">
      <c r="A475" s="13"/>
      <c r="B475" s="13"/>
      <c r="C475" s="13"/>
      <c r="D475" s="13" t="s">
        <v>16</v>
      </c>
      <c r="E475" s="13" t="s">
        <v>2</v>
      </c>
      <c r="F475" s="13" t="s">
        <v>55</v>
      </c>
    </row>
    <row r="476" spans="1:6" x14ac:dyDescent="0.25">
      <c r="A476" s="13"/>
      <c r="B476" s="13"/>
      <c r="C476" s="13"/>
      <c r="D476" s="13" t="s">
        <v>16</v>
      </c>
      <c r="E476" s="13" t="s">
        <v>2</v>
      </c>
      <c r="F476" s="13" t="s">
        <v>56</v>
      </c>
    </row>
    <row r="477" spans="1:6" x14ac:dyDescent="0.25">
      <c r="A477" s="13"/>
      <c r="B477" s="13"/>
      <c r="C477" s="13"/>
      <c r="D477" s="13" t="s">
        <v>16</v>
      </c>
      <c r="E477" s="13" t="s">
        <v>2</v>
      </c>
      <c r="F477" s="13" t="s">
        <v>44</v>
      </c>
    </row>
    <row r="478" spans="1:6" x14ac:dyDescent="0.25">
      <c r="A478" s="13"/>
      <c r="B478" s="13"/>
      <c r="C478" s="13"/>
      <c r="D478" s="13" t="s">
        <v>16</v>
      </c>
      <c r="E478" s="13" t="s">
        <v>2</v>
      </c>
      <c r="F478" s="13" t="s">
        <v>45</v>
      </c>
    </row>
    <row r="479" spans="1:6" x14ac:dyDescent="0.25">
      <c r="A479" s="13"/>
      <c r="B479" s="13"/>
      <c r="C479" s="13"/>
      <c r="D479" s="13" t="s">
        <v>16</v>
      </c>
      <c r="E479" s="13" t="s">
        <v>2</v>
      </c>
      <c r="F479" s="13" t="s">
        <v>46</v>
      </c>
    </row>
    <row r="480" spans="1:6" x14ac:dyDescent="0.25">
      <c r="A480" s="13"/>
      <c r="B480" s="13"/>
      <c r="C480" s="13"/>
      <c r="D480" s="13" t="s">
        <v>16</v>
      </c>
      <c r="E480" s="13" t="s">
        <v>2</v>
      </c>
      <c r="F480" s="13" t="s">
        <v>47</v>
      </c>
    </row>
    <row r="481" spans="1:6" x14ac:dyDescent="0.25">
      <c r="A481" s="13"/>
      <c r="B481" s="13"/>
      <c r="C481" s="13"/>
      <c r="D481" s="13" t="s">
        <v>16</v>
      </c>
      <c r="E481" s="13" t="s">
        <v>2</v>
      </c>
      <c r="F481" s="13" t="s">
        <v>48</v>
      </c>
    </row>
    <row r="482" spans="1:6" x14ac:dyDescent="0.25">
      <c r="A482" s="13"/>
      <c r="B482" s="13"/>
      <c r="C482" s="13"/>
      <c r="D482" s="13" t="s">
        <v>16</v>
      </c>
      <c r="E482" s="13" t="s">
        <v>2</v>
      </c>
      <c r="F482" s="13" t="s">
        <v>49</v>
      </c>
    </row>
    <row r="483" spans="1:6" x14ac:dyDescent="0.25">
      <c r="A483" s="13"/>
      <c r="B483" s="13"/>
      <c r="C483" s="13"/>
      <c r="D483" s="13" t="s">
        <v>16</v>
      </c>
      <c r="E483" s="13" t="s">
        <v>2</v>
      </c>
      <c r="F483" s="13" t="s">
        <v>50</v>
      </c>
    </row>
    <row r="484" spans="1:6" x14ac:dyDescent="0.25">
      <c r="A484" s="13"/>
      <c r="B484" s="13"/>
      <c r="C484" s="13"/>
      <c r="D484" s="13" t="s">
        <v>16</v>
      </c>
      <c r="E484" s="13" t="s">
        <v>2</v>
      </c>
      <c r="F484" s="13" t="s">
        <v>51</v>
      </c>
    </row>
    <row r="485" spans="1:6" x14ac:dyDescent="0.25">
      <c r="A485" s="13"/>
      <c r="B485" s="13"/>
      <c r="C485" s="13"/>
      <c r="D485" s="13" t="s">
        <v>16</v>
      </c>
      <c r="E485" s="13" t="s">
        <v>2</v>
      </c>
      <c r="F485" s="13" t="s">
        <v>93</v>
      </c>
    </row>
    <row r="486" spans="1:6" x14ac:dyDescent="0.25">
      <c r="A486" s="13"/>
      <c r="B486" s="13"/>
      <c r="C486" s="13"/>
      <c r="D486" s="13" t="s">
        <v>16</v>
      </c>
      <c r="E486" s="13" t="s">
        <v>7</v>
      </c>
      <c r="F486" s="13" t="s">
        <v>57</v>
      </c>
    </row>
    <row r="487" spans="1:6" x14ac:dyDescent="0.25">
      <c r="A487" s="13"/>
      <c r="B487" s="13"/>
      <c r="C487" s="13"/>
      <c r="D487" s="13" t="s">
        <v>16</v>
      </c>
      <c r="E487" s="13" t="s">
        <v>7</v>
      </c>
      <c r="F487" s="13" t="s">
        <v>52</v>
      </c>
    </row>
    <row r="488" spans="1:6" x14ac:dyDescent="0.25">
      <c r="A488" s="13"/>
      <c r="B488" s="13"/>
      <c r="C488" s="13"/>
      <c r="D488" s="13" t="s">
        <v>16</v>
      </c>
      <c r="E488" s="13" t="s">
        <v>7</v>
      </c>
      <c r="F488" s="13" t="s">
        <v>53</v>
      </c>
    </row>
    <row r="489" spans="1:6" x14ac:dyDescent="0.25">
      <c r="A489" s="13"/>
      <c r="B489" s="13"/>
      <c r="C489" s="13"/>
      <c r="D489" s="13" t="s">
        <v>16</v>
      </c>
      <c r="E489" s="13" t="s">
        <v>7</v>
      </c>
      <c r="F489" s="13" t="s">
        <v>54</v>
      </c>
    </row>
    <row r="490" spans="1:6" x14ac:dyDescent="0.25">
      <c r="A490" s="13"/>
      <c r="B490" s="13"/>
      <c r="C490" s="13"/>
      <c r="D490" s="13" t="s">
        <v>16</v>
      </c>
      <c r="E490" s="13" t="s">
        <v>7</v>
      </c>
      <c r="F490" s="13" t="s">
        <v>15</v>
      </c>
    </row>
    <row r="491" spans="1:6" x14ac:dyDescent="0.25">
      <c r="A491" s="13"/>
      <c r="B491" s="13"/>
      <c r="C491" s="13"/>
      <c r="D491" s="13" t="s">
        <v>16</v>
      </c>
      <c r="E491" s="13" t="s">
        <v>7</v>
      </c>
      <c r="F491" s="13" t="s">
        <v>55</v>
      </c>
    </row>
    <row r="492" spans="1:6" x14ac:dyDescent="0.25">
      <c r="A492" s="13"/>
      <c r="B492" s="13"/>
      <c r="C492" s="13"/>
      <c r="D492" s="13" t="s">
        <v>16</v>
      </c>
      <c r="E492" s="13" t="s">
        <v>7</v>
      </c>
      <c r="F492" s="13" t="s">
        <v>56</v>
      </c>
    </row>
    <row r="493" spans="1:6" x14ac:dyDescent="0.25">
      <c r="A493" s="13"/>
      <c r="B493" s="13"/>
      <c r="C493" s="13"/>
      <c r="D493" s="13" t="s">
        <v>16</v>
      </c>
      <c r="E493" s="13" t="s">
        <v>7</v>
      </c>
      <c r="F493" s="13" t="s">
        <v>44</v>
      </c>
    </row>
    <row r="494" spans="1:6" x14ac:dyDescent="0.25">
      <c r="A494" s="13"/>
      <c r="B494" s="13"/>
      <c r="C494" s="13"/>
      <c r="D494" s="13" t="s">
        <v>16</v>
      </c>
      <c r="E494" s="13" t="s">
        <v>7</v>
      </c>
      <c r="F494" s="13" t="s">
        <v>45</v>
      </c>
    </row>
    <row r="495" spans="1:6" x14ac:dyDescent="0.25">
      <c r="A495" s="13"/>
      <c r="B495" s="13"/>
      <c r="C495" s="13"/>
      <c r="D495" s="13" t="s">
        <v>16</v>
      </c>
      <c r="E495" s="13" t="s">
        <v>7</v>
      </c>
      <c r="F495" s="13" t="s">
        <v>46</v>
      </c>
    </row>
    <row r="496" spans="1:6" x14ac:dyDescent="0.25">
      <c r="A496" s="13"/>
      <c r="B496" s="13"/>
      <c r="C496" s="13"/>
      <c r="D496" s="13" t="s">
        <v>16</v>
      </c>
      <c r="E496" s="13" t="s">
        <v>7</v>
      </c>
      <c r="F496" s="13" t="s">
        <v>47</v>
      </c>
    </row>
    <row r="497" spans="1:6" x14ac:dyDescent="0.25">
      <c r="A497" s="13"/>
      <c r="B497" s="13"/>
      <c r="C497" s="13"/>
      <c r="D497" s="13" t="s">
        <v>16</v>
      </c>
      <c r="E497" s="13" t="s">
        <v>7</v>
      </c>
      <c r="F497" s="13" t="s">
        <v>48</v>
      </c>
    </row>
    <row r="498" spans="1:6" x14ac:dyDescent="0.25">
      <c r="A498" s="13"/>
      <c r="B498" s="13"/>
      <c r="C498" s="13"/>
      <c r="D498" s="13" t="s">
        <v>16</v>
      </c>
      <c r="E498" s="13" t="s">
        <v>7</v>
      </c>
      <c r="F498" s="13" t="s">
        <v>49</v>
      </c>
    </row>
    <row r="499" spans="1:6" x14ac:dyDescent="0.25">
      <c r="A499" s="13"/>
      <c r="B499" s="13"/>
      <c r="C499" s="13"/>
      <c r="D499" s="13" t="s">
        <v>16</v>
      </c>
      <c r="E499" s="13" t="s">
        <v>7</v>
      </c>
      <c r="F499" s="13" t="s">
        <v>50</v>
      </c>
    </row>
    <row r="500" spans="1:6" x14ac:dyDescent="0.25">
      <c r="A500" s="13"/>
      <c r="B500" s="13"/>
      <c r="C500" s="13"/>
      <c r="D500" s="13" t="s">
        <v>16</v>
      </c>
      <c r="E500" s="13" t="s">
        <v>7</v>
      </c>
      <c r="F500" s="13" t="s">
        <v>51</v>
      </c>
    </row>
    <row r="501" spans="1:6" x14ac:dyDescent="0.25">
      <c r="A501" s="13"/>
      <c r="B501" s="13"/>
      <c r="C501" s="13"/>
      <c r="D501" s="13" t="s">
        <v>16</v>
      </c>
      <c r="E501" s="13" t="s">
        <v>7</v>
      </c>
      <c r="F501" s="13" t="s">
        <v>93</v>
      </c>
    </row>
    <row r="502" spans="1:6" x14ac:dyDescent="0.25">
      <c r="A502" s="13"/>
      <c r="B502" s="13"/>
      <c r="C502" s="13"/>
      <c r="D502" s="13" t="s">
        <v>16</v>
      </c>
      <c r="E502" s="13" t="s">
        <v>59</v>
      </c>
      <c r="F502" s="13" t="s">
        <v>57</v>
      </c>
    </row>
    <row r="503" spans="1:6" x14ac:dyDescent="0.25">
      <c r="A503" s="13"/>
      <c r="B503" s="13"/>
      <c r="C503" s="13"/>
      <c r="D503" s="13" t="s">
        <v>16</v>
      </c>
      <c r="E503" s="13" t="s">
        <v>59</v>
      </c>
      <c r="F503" s="13" t="s">
        <v>52</v>
      </c>
    </row>
    <row r="504" spans="1:6" x14ac:dyDescent="0.25">
      <c r="A504" s="13"/>
      <c r="B504" s="13"/>
      <c r="C504" s="13"/>
      <c r="D504" s="13" t="s">
        <v>16</v>
      </c>
      <c r="E504" s="13" t="s">
        <v>59</v>
      </c>
      <c r="F504" s="13" t="s">
        <v>53</v>
      </c>
    </row>
    <row r="505" spans="1:6" x14ac:dyDescent="0.25">
      <c r="A505" s="13"/>
      <c r="B505" s="13"/>
      <c r="C505" s="13"/>
      <c r="D505" s="13" t="s">
        <v>16</v>
      </c>
      <c r="E505" s="13" t="s">
        <v>59</v>
      </c>
      <c r="F505" s="13" t="s">
        <v>54</v>
      </c>
    </row>
    <row r="506" spans="1:6" x14ac:dyDescent="0.25">
      <c r="A506" s="13"/>
      <c r="B506" s="13"/>
      <c r="C506" s="13"/>
      <c r="D506" s="13" t="s">
        <v>16</v>
      </c>
      <c r="E506" s="13" t="s">
        <v>59</v>
      </c>
      <c r="F506" s="13" t="s">
        <v>15</v>
      </c>
    </row>
    <row r="507" spans="1:6" x14ac:dyDescent="0.25">
      <c r="A507" s="13"/>
      <c r="B507" s="13"/>
      <c r="C507" s="13"/>
      <c r="D507" s="13" t="s">
        <v>16</v>
      </c>
      <c r="E507" s="13" t="s">
        <v>59</v>
      </c>
      <c r="F507" s="13" t="s">
        <v>55</v>
      </c>
    </row>
    <row r="508" spans="1:6" x14ac:dyDescent="0.25">
      <c r="A508" s="13"/>
      <c r="B508" s="13"/>
      <c r="C508" s="13"/>
      <c r="D508" s="13" t="s">
        <v>16</v>
      </c>
      <c r="E508" s="13" t="s">
        <v>59</v>
      </c>
      <c r="F508" s="13" t="s">
        <v>56</v>
      </c>
    </row>
    <row r="509" spans="1:6" x14ac:dyDescent="0.25">
      <c r="A509" s="13"/>
      <c r="B509" s="13"/>
      <c r="C509" s="13"/>
      <c r="D509" s="13" t="s">
        <v>16</v>
      </c>
      <c r="E509" s="13" t="s">
        <v>59</v>
      </c>
      <c r="F509" s="13" t="s">
        <v>44</v>
      </c>
    </row>
    <row r="510" spans="1:6" x14ac:dyDescent="0.25">
      <c r="A510" s="13"/>
      <c r="B510" s="13"/>
      <c r="C510" s="13"/>
      <c r="D510" s="13" t="s">
        <v>16</v>
      </c>
      <c r="E510" s="13" t="s">
        <v>59</v>
      </c>
      <c r="F510" s="13" t="s">
        <v>45</v>
      </c>
    </row>
    <row r="511" spans="1:6" x14ac:dyDescent="0.25">
      <c r="A511" s="13"/>
      <c r="B511" s="13"/>
      <c r="C511" s="13"/>
      <c r="D511" s="13" t="s">
        <v>16</v>
      </c>
      <c r="E511" s="13" t="s">
        <v>59</v>
      </c>
      <c r="F511" s="13" t="s">
        <v>46</v>
      </c>
    </row>
    <row r="512" spans="1:6" x14ac:dyDescent="0.25">
      <c r="A512" s="13"/>
      <c r="B512" s="13"/>
      <c r="C512" s="13"/>
      <c r="D512" s="13" t="s">
        <v>16</v>
      </c>
      <c r="E512" s="13" t="s">
        <v>59</v>
      </c>
      <c r="F512" s="13" t="s">
        <v>47</v>
      </c>
    </row>
    <row r="513" spans="1:6" x14ac:dyDescent="0.25">
      <c r="A513" s="13"/>
      <c r="B513" s="13"/>
      <c r="C513" s="13"/>
      <c r="D513" s="13" t="s">
        <v>16</v>
      </c>
      <c r="E513" s="13" t="s">
        <v>59</v>
      </c>
      <c r="F513" s="13" t="s">
        <v>48</v>
      </c>
    </row>
    <row r="514" spans="1:6" x14ac:dyDescent="0.25">
      <c r="A514" s="13"/>
      <c r="B514" s="13"/>
      <c r="C514" s="13"/>
      <c r="D514" s="13" t="s">
        <v>16</v>
      </c>
      <c r="E514" s="13" t="s">
        <v>59</v>
      </c>
      <c r="F514" s="13" t="s">
        <v>49</v>
      </c>
    </row>
    <row r="515" spans="1:6" x14ac:dyDescent="0.25">
      <c r="A515" s="13"/>
      <c r="B515" s="13"/>
      <c r="C515" s="13"/>
      <c r="D515" s="13" t="s">
        <v>16</v>
      </c>
      <c r="E515" s="13" t="s">
        <v>59</v>
      </c>
      <c r="F515" s="13" t="s">
        <v>50</v>
      </c>
    </row>
    <row r="516" spans="1:6" x14ac:dyDescent="0.25">
      <c r="A516" s="13"/>
      <c r="B516" s="13"/>
      <c r="C516" s="13"/>
      <c r="D516" s="13" t="s">
        <v>16</v>
      </c>
      <c r="E516" s="13" t="s">
        <v>59</v>
      </c>
      <c r="F516" s="13" t="s">
        <v>51</v>
      </c>
    </row>
    <row r="517" spans="1:6" x14ac:dyDescent="0.25">
      <c r="A517" s="13"/>
      <c r="B517" s="13"/>
      <c r="C517" s="13"/>
      <c r="D517" s="13" t="s">
        <v>16</v>
      </c>
      <c r="E517" s="13" t="s">
        <v>59</v>
      </c>
      <c r="F517" s="13" t="s">
        <v>93</v>
      </c>
    </row>
    <row r="518" spans="1:6" x14ac:dyDescent="0.25">
      <c r="A518" s="13"/>
      <c r="B518" s="13"/>
      <c r="C518" s="13"/>
      <c r="D518" s="13" t="s">
        <v>16</v>
      </c>
      <c r="E518" s="13" t="s">
        <v>58</v>
      </c>
      <c r="F518" s="13" t="s">
        <v>57</v>
      </c>
    </row>
    <row r="519" spans="1:6" x14ac:dyDescent="0.25">
      <c r="A519" s="13"/>
      <c r="B519" s="13"/>
      <c r="C519" s="13"/>
      <c r="D519" s="13" t="s">
        <v>16</v>
      </c>
      <c r="E519" s="13" t="s">
        <v>58</v>
      </c>
      <c r="F519" s="13" t="s">
        <v>52</v>
      </c>
    </row>
    <row r="520" spans="1:6" x14ac:dyDescent="0.25">
      <c r="A520" s="13"/>
      <c r="B520" s="13"/>
      <c r="C520" s="13"/>
      <c r="D520" s="13" t="s">
        <v>16</v>
      </c>
      <c r="E520" s="13" t="s">
        <v>58</v>
      </c>
      <c r="F520" s="13" t="s">
        <v>53</v>
      </c>
    </row>
    <row r="521" spans="1:6" x14ac:dyDescent="0.25">
      <c r="A521" s="13"/>
      <c r="B521" s="13"/>
      <c r="C521" s="13"/>
      <c r="D521" s="13" t="s">
        <v>16</v>
      </c>
      <c r="E521" s="13" t="s">
        <v>58</v>
      </c>
      <c r="F521" s="13" t="s">
        <v>54</v>
      </c>
    </row>
    <row r="522" spans="1:6" x14ac:dyDescent="0.25">
      <c r="A522" s="13"/>
      <c r="B522" s="13"/>
      <c r="C522" s="13"/>
      <c r="D522" s="13" t="s">
        <v>16</v>
      </c>
      <c r="E522" s="13" t="s">
        <v>58</v>
      </c>
      <c r="F522" s="13" t="s">
        <v>15</v>
      </c>
    </row>
    <row r="523" spans="1:6" x14ac:dyDescent="0.25">
      <c r="A523" s="13"/>
      <c r="B523" s="13"/>
      <c r="C523" s="13"/>
      <c r="D523" s="13" t="s">
        <v>16</v>
      </c>
      <c r="E523" s="13" t="s">
        <v>58</v>
      </c>
      <c r="F523" s="13" t="s">
        <v>55</v>
      </c>
    </row>
    <row r="524" spans="1:6" x14ac:dyDescent="0.25">
      <c r="A524" s="13"/>
      <c r="B524" s="13"/>
      <c r="C524" s="13"/>
      <c r="D524" s="13" t="s">
        <v>16</v>
      </c>
      <c r="E524" s="13" t="s">
        <v>58</v>
      </c>
      <c r="F524" s="13" t="s">
        <v>56</v>
      </c>
    </row>
    <row r="525" spans="1:6" x14ac:dyDescent="0.25">
      <c r="A525" s="13"/>
      <c r="B525" s="13"/>
      <c r="C525" s="13"/>
      <c r="D525" s="13" t="s">
        <v>16</v>
      </c>
      <c r="E525" s="13" t="s">
        <v>58</v>
      </c>
      <c r="F525" s="13" t="s">
        <v>44</v>
      </c>
    </row>
    <row r="526" spans="1:6" x14ac:dyDescent="0.25">
      <c r="A526" s="13"/>
      <c r="B526" s="13"/>
      <c r="C526" s="13"/>
      <c r="D526" s="13" t="s">
        <v>16</v>
      </c>
      <c r="E526" s="13" t="s">
        <v>58</v>
      </c>
      <c r="F526" s="13" t="s">
        <v>45</v>
      </c>
    </row>
    <row r="527" spans="1:6" x14ac:dyDescent="0.25">
      <c r="A527" s="13"/>
      <c r="B527" s="13"/>
      <c r="C527" s="13"/>
      <c r="D527" s="13" t="s">
        <v>16</v>
      </c>
      <c r="E527" s="13" t="s">
        <v>58</v>
      </c>
      <c r="F527" s="13" t="s">
        <v>46</v>
      </c>
    </row>
    <row r="528" spans="1:6" x14ac:dyDescent="0.25">
      <c r="A528" s="13"/>
      <c r="B528" s="13"/>
      <c r="C528" s="13"/>
      <c r="D528" s="13" t="s">
        <v>16</v>
      </c>
      <c r="E528" s="13" t="s">
        <v>58</v>
      </c>
      <c r="F528" s="13" t="s">
        <v>47</v>
      </c>
    </row>
    <row r="529" spans="1:6" x14ac:dyDescent="0.25">
      <c r="A529" s="13"/>
      <c r="B529" s="13"/>
      <c r="C529" s="13"/>
      <c r="D529" s="13" t="s">
        <v>16</v>
      </c>
      <c r="E529" s="13" t="s">
        <v>58</v>
      </c>
      <c r="F529" s="13" t="s">
        <v>48</v>
      </c>
    </row>
    <row r="530" spans="1:6" x14ac:dyDescent="0.25">
      <c r="A530" s="13"/>
      <c r="B530" s="13"/>
      <c r="C530" s="13"/>
      <c r="D530" s="13" t="s">
        <v>16</v>
      </c>
      <c r="E530" s="13" t="s">
        <v>58</v>
      </c>
      <c r="F530" s="13" t="s">
        <v>49</v>
      </c>
    </row>
    <row r="531" spans="1:6" x14ac:dyDescent="0.25">
      <c r="A531" s="13"/>
      <c r="B531" s="13"/>
      <c r="C531" s="13"/>
      <c r="D531" s="13" t="s">
        <v>16</v>
      </c>
      <c r="E531" s="13" t="s">
        <v>58</v>
      </c>
      <c r="F531" s="13" t="s">
        <v>50</v>
      </c>
    </row>
    <row r="532" spans="1:6" x14ac:dyDescent="0.25">
      <c r="A532" s="13"/>
      <c r="B532" s="13"/>
      <c r="C532" s="13"/>
      <c r="D532" s="13" t="s">
        <v>16</v>
      </c>
      <c r="E532" s="13" t="s">
        <v>58</v>
      </c>
      <c r="F532" s="13" t="s">
        <v>51</v>
      </c>
    </row>
    <row r="533" spans="1:6" x14ac:dyDescent="0.25">
      <c r="A533" s="13"/>
      <c r="B533" s="13"/>
      <c r="C533" s="13"/>
      <c r="D533" s="13" t="s">
        <v>16</v>
      </c>
      <c r="E533" s="13" t="s">
        <v>58</v>
      </c>
      <c r="F533" s="13" t="s">
        <v>93</v>
      </c>
    </row>
    <row r="534" spans="1:6" x14ac:dyDescent="0.25">
      <c r="A534" s="13"/>
      <c r="B534" s="13"/>
      <c r="C534" s="13"/>
      <c r="D534" s="13" t="s">
        <v>16</v>
      </c>
      <c r="E534" s="13" t="s">
        <v>18</v>
      </c>
      <c r="F534" s="13" t="s">
        <v>57</v>
      </c>
    </row>
    <row r="535" spans="1:6" x14ac:dyDescent="0.25">
      <c r="A535" s="13"/>
      <c r="B535" s="13"/>
      <c r="C535" s="13"/>
      <c r="D535" s="13" t="s">
        <v>16</v>
      </c>
      <c r="E535" s="13" t="s">
        <v>18</v>
      </c>
      <c r="F535" s="13" t="s">
        <v>52</v>
      </c>
    </row>
    <row r="536" spans="1:6" x14ac:dyDescent="0.25">
      <c r="A536" s="13"/>
      <c r="B536" s="13"/>
      <c r="C536" s="13"/>
      <c r="D536" s="13" t="s">
        <v>16</v>
      </c>
      <c r="E536" s="13" t="s">
        <v>18</v>
      </c>
      <c r="F536" s="13" t="s">
        <v>53</v>
      </c>
    </row>
    <row r="537" spans="1:6" x14ac:dyDescent="0.25">
      <c r="A537" s="13"/>
      <c r="B537" s="13"/>
      <c r="C537" s="13"/>
      <c r="D537" s="13" t="s">
        <v>16</v>
      </c>
      <c r="E537" s="13" t="s">
        <v>18</v>
      </c>
      <c r="F537" s="13" t="s">
        <v>54</v>
      </c>
    </row>
    <row r="538" spans="1:6" x14ac:dyDescent="0.25">
      <c r="A538" s="13"/>
      <c r="B538" s="13"/>
      <c r="C538" s="13"/>
      <c r="D538" s="13" t="s">
        <v>16</v>
      </c>
      <c r="E538" s="13" t="s">
        <v>18</v>
      </c>
      <c r="F538" s="13" t="s">
        <v>15</v>
      </c>
    </row>
    <row r="539" spans="1:6" x14ac:dyDescent="0.25">
      <c r="A539" s="13"/>
      <c r="B539" s="13"/>
      <c r="C539" s="13"/>
      <c r="D539" s="13" t="s">
        <v>16</v>
      </c>
      <c r="E539" s="13" t="s">
        <v>18</v>
      </c>
      <c r="F539" s="13" t="s">
        <v>55</v>
      </c>
    </row>
    <row r="540" spans="1:6" x14ac:dyDescent="0.25">
      <c r="A540" s="13"/>
      <c r="B540" s="13"/>
      <c r="C540" s="13"/>
      <c r="D540" s="13" t="s">
        <v>16</v>
      </c>
      <c r="E540" s="13" t="s">
        <v>18</v>
      </c>
      <c r="F540" s="13" t="s">
        <v>56</v>
      </c>
    </row>
    <row r="541" spans="1:6" x14ac:dyDescent="0.25">
      <c r="A541" s="13"/>
      <c r="B541" s="13"/>
      <c r="C541" s="13"/>
      <c r="D541" s="13" t="s">
        <v>16</v>
      </c>
      <c r="E541" s="13" t="s">
        <v>18</v>
      </c>
      <c r="F541" s="13" t="s">
        <v>44</v>
      </c>
    </row>
    <row r="542" spans="1:6" x14ac:dyDescent="0.25">
      <c r="A542" s="13"/>
      <c r="B542" s="13"/>
      <c r="C542" s="13"/>
      <c r="D542" s="13" t="s">
        <v>16</v>
      </c>
      <c r="E542" s="13" t="s">
        <v>18</v>
      </c>
      <c r="F542" s="13" t="s">
        <v>45</v>
      </c>
    </row>
    <row r="543" spans="1:6" x14ac:dyDescent="0.25">
      <c r="A543" s="13"/>
      <c r="B543" s="13"/>
      <c r="C543" s="13"/>
      <c r="D543" s="13" t="s">
        <v>16</v>
      </c>
      <c r="E543" s="13" t="s">
        <v>18</v>
      </c>
      <c r="F543" s="13" t="s">
        <v>46</v>
      </c>
    </row>
    <row r="544" spans="1:6" x14ac:dyDescent="0.25">
      <c r="A544" s="13"/>
      <c r="B544" s="13"/>
      <c r="C544" s="13"/>
      <c r="D544" s="13" t="s">
        <v>16</v>
      </c>
      <c r="E544" s="13" t="s">
        <v>18</v>
      </c>
      <c r="F544" s="13" t="s">
        <v>47</v>
      </c>
    </row>
    <row r="545" spans="1:6" x14ac:dyDescent="0.25">
      <c r="A545" s="13"/>
      <c r="B545" s="13"/>
      <c r="C545" s="13"/>
      <c r="D545" s="13" t="s">
        <v>16</v>
      </c>
      <c r="E545" s="13" t="s">
        <v>18</v>
      </c>
      <c r="F545" s="13" t="s">
        <v>48</v>
      </c>
    </row>
    <row r="546" spans="1:6" x14ac:dyDescent="0.25">
      <c r="A546" s="13"/>
      <c r="B546" s="13"/>
      <c r="C546" s="13"/>
      <c r="D546" s="13" t="s">
        <v>16</v>
      </c>
      <c r="E546" s="13" t="s">
        <v>18</v>
      </c>
      <c r="F546" s="13" t="s">
        <v>49</v>
      </c>
    </row>
    <row r="547" spans="1:6" x14ac:dyDescent="0.25">
      <c r="A547" s="13"/>
      <c r="B547" s="13"/>
      <c r="C547" s="13"/>
      <c r="D547" s="13" t="s">
        <v>16</v>
      </c>
      <c r="E547" s="13" t="s">
        <v>18</v>
      </c>
      <c r="F547" s="13" t="s">
        <v>50</v>
      </c>
    </row>
    <row r="548" spans="1:6" x14ac:dyDescent="0.25">
      <c r="A548" s="13"/>
      <c r="B548" s="13"/>
      <c r="C548" s="13"/>
      <c r="D548" s="13" t="s">
        <v>16</v>
      </c>
      <c r="E548" s="13" t="s">
        <v>18</v>
      </c>
      <c r="F548" s="13" t="s">
        <v>51</v>
      </c>
    </row>
    <row r="549" spans="1:6" x14ac:dyDescent="0.25">
      <c r="A549" s="13"/>
      <c r="B549" s="13"/>
      <c r="C549" s="13"/>
      <c r="D549" s="13" t="s">
        <v>16</v>
      </c>
      <c r="E549" s="13" t="s">
        <v>18</v>
      </c>
      <c r="F549" s="13" t="s">
        <v>93</v>
      </c>
    </row>
    <row r="550" spans="1:6" x14ac:dyDescent="0.25">
      <c r="A550" s="13"/>
      <c r="B550" s="13"/>
      <c r="C550" s="13"/>
      <c r="D550" s="13" t="s">
        <v>16</v>
      </c>
      <c r="E550" s="13" t="s">
        <v>61</v>
      </c>
      <c r="F550" s="13" t="s">
        <v>57</v>
      </c>
    </row>
    <row r="551" spans="1:6" x14ac:dyDescent="0.25">
      <c r="A551" s="13"/>
      <c r="B551" s="13"/>
      <c r="C551" s="13"/>
      <c r="D551" s="13" t="s">
        <v>16</v>
      </c>
      <c r="E551" s="13" t="s">
        <v>61</v>
      </c>
      <c r="F551" s="13" t="s">
        <v>52</v>
      </c>
    </row>
    <row r="552" spans="1:6" x14ac:dyDescent="0.25">
      <c r="A552" s="13"/>
      <c r="B552" s="13"/>
      <c r="C552" s="13"/>
      <c r="D552" s="13" t="s">
        <v>16</v>
      </c>
      <c r="E552" s="13" t="s">
        <v>61</v>
      </c>
      <c r="F552" s="13" t="s">
        <v>53</v>
      </c>
    </row>
    <row r="553" spans="1:6" x14ac:dyDescent="0.25">
      <c r="A553" s="13"/>
      <c r="B553" s="13"/>
      <c r="C553" s="13"/>
      <c r="D553" s="13" t="s">
        <v>16</v>
      </c>
      <c r="E553" s="13" t="s">
        <v>61</v>
      </c>
      <c r="F553" s="13" t="s">
        <v>54</v>
      </c>
    </row>
    <row r="554" spans="1:6" x14ac:dyDescent="0.25">
      <c r="A554" s="13"/>
      <c r="B554" s="13"/>
      <c r="C554" s="13"/>
      <c r="D554" s="13" t="s">
        <v>16</v>
      </c>
      <c r="E554" s="13" t="s">
        <v>61</v>
      </c>
      <c r="F554" s="13" t="s">
        <v>15</v>
      </c>
    </row>
    <row r="555" spans="1:6" x14ac:dyDescent="0.25">
      <c r="A555" s="13"/>
      <c r="B555" s="13"/>
      <c r="C555" s="13"/>
      <c r="D555" s="13" t="s">
        <v>16</v>
      </c>
      <c r="E555" s="13" t="s">
        <v>61</v>
      </c>
      <c r="F555" s="13" t="s">
        <v>55</v>
      </c>
    </row>
    <row r="556" spans="1:6" x14ac:dyDescent="0.25">
      <c r="A556" s="13"/>
      <c r="B556" s="13"/>
      <c r="C556" s="13"/>
      <c r="D556" s="13" t="s">
        <v>16</v>
      </c>
      <c r="E556" s="13" t="s">
        <v>61</v>
      </c>
      <c r="F556" s="13" t="s">
        <v>56</v>
      </c>
    </row>
    <row r="557" spans="1:6" x14ac:dyDescent="0.25">
      <c r="A557" s="13"/>
      <c r="B557" s="13"/>
      <c r="C557" s="13"/>
      <c r="D557" s="13" t="s">
        <v>16</v>
      </c>
      <c r="E557" s="13" t="s">
        <v>61</v>
      </c>
      <c r="F557" s="13" t="s">
        <v>44</v>
      </c>
    </row>
    <row r="558" spans="1:6" x14ac:dyDescent="0.25">
      <c r="A558" s="13"/>
      <c r="B558" s="13"/>
      <c r="C558" s="13"/>
      <c r="D558" s="13" t="s">
        <v>16</v>
      </c>
      <c r="E558" s="13" t="s">
        <v>61</v>
      </c>
      <c r="F558" s="13" t="s">
        <v>45</v>
      </c>
    </row>
    <row r="559" spans="1:6" x14ac:dyDescent="0.25">
      <c r="A559" s="13"/>
      <c r="B559" s="13"/>
      <c r="C559" s="13"/>
      <c r="D559" s="13" t="s">
        <v>16</v>
      </c>
      <c r="E559" s="13" t="s">
        <v>61</v>
      </c>
      <c r="F559" s="13" t="s">
        <v>46</v>
      </c>
    </row>
    <row r="560" spans="1:6" x14ac:dyDescent="0.25">
      <c r="A560" s="13"/>
      <c r="B560" s="13"/>
      <c r="C560" s="13"/>
      <c r="D560" s="13" t="s">
        <v>16</v>
      </c>
      <c r="E560" s="13" t="s">
        <v>61</v>
      </c>
      <c r="F560" s="13" t="s">
        <v>47</v>
      </c>
    </row>
    <row r="561" spans="1:6" x14ac:dyDescent="0.25">
      <c r="A561" s="13"/>
      <c r="B561" s="13"/>
      <c r="C561" s="13"/>
      <c r="D561" s="13" t="s">
        <v>16</v>
      </c>
      <c r="E561" s="13" t="s">
        <v>61</v>
      </c>
      <c r="F561" s="13" t="s">
        <v>48</v>
      </c>
    </row>
    <row r="562" spans="1:6" x14ac:dyDescent="0.25">
      <c r="A562" s="13"/>
      <c r="B562" s="13"/>
      <c r="C562" s="13"/>
      <c r="D562" s="13" t="s">
        <v>16</v>
      </c>
      <c r="E562" s="13" t="s">
        <v>61</v>
      </c>
      <c r="F562" s="13" t="s">
        <v>49</v>
      </c>
    </row>
    <row r="563" spans="1:6" x14ac:dyDescent="0.25">
      <c r="A563" s="13"/>
      <c r="B563" s="13"/>
      <c r="C563" s="13"/>
      <c r="D563" s="13" t="s">
        <v>16</v>
      </c>
      <c r="E563" s="13" t="s">
        <v>61</v>
      </c>
      <c r="F563" s="13" t="s">
        <v>50</v>
      </c>
    </row>
    <row r="564" spans="1:6" x14ac:dyDescent="0.25">
      <c r="A564" s="13"/>
      <c r="B564" s="13"/>
      <c r="C564" s="13"/>
      <c r="D564" s="13" t="s">
        <v>16</v>
      </c>
      <c r="E564" s="13" t="s">
        <v>61</v>
      </c>
      <c r="F564" s="13" t="s">
        <v>51</v>
      </c>
    </row>
    <row r="565" spans="1:6" x14ac:dyDescent="0.25">
      <c r="A565" s="13"/>
      <c r="B565" s="13"/>
      <c r="C565" s="13"/>
      <c r="D565" s="13" t="s">
        <v>16</v>
      </c>
      <c r="E565" s="13" t="s">
        <v>61</v>
      </c>
      <c r="F565" s="13" t="s">
        <v>93</v>
      </c>
    </row>
    <row r="566" spans="1:6" x14ac:dyDescent="0.25">
      <c r="A566" s="13"/>
      <c r="B566" s="13"/>
      <c r="C566" s="13"/>
      <c r="D566" s="13" t="s">
        <v>16</v>
      </c>
      <c r="E566" s="13" t="s">
        <v>68</v>
      </c>
      <c r="F566" s="13" t="s">
        <v>57</v>
      </c>
    </row>
    <row r="567" spans="1:6" x14ac:dyDescent="0.25">
      <c r="A567" s="13"/>
      <c r="B567" s="13"/>
      <c r="C567" s="13"/>
      <c r="D567" s="13" t="s">
        <v>16</v>
      </c>
      <c r="E567" s="13" t="s">
        <v>68</v>
      </c>
      <c r="F567" s="13" t="s">
        <v>52</v>
      </c>
    </row>
    <row r="568" spans="1:6" x14ac:dyDescent="0.25">
      <c r="A568" s="13"/>
      <c r="B568" s="13"/>
      <c r="C568" s="13"/>
      <c r="D568" s="13" t="s">
        <v>16</v>
      </c>
      <c r="E568" s="13" t="s">
        <v>68</v>
      </c>
      <c r="F568" s="13" t="s">
        <v>53</v>
      </c>
    </row>
    <row r="569" spans="1:6" x14ac:dyDescent="0.25">
      <c r="A569" s="13"/>
      <c r="B569" s="13"/>
      <c r="C569" s="13"/>
      <c r="D569" s="13" t="s">
        <v>16</v>
      </c>
      <c r="E569" s="13" t="s">
        <v>68</v>
      </c>
      <c r="F569" s="13" t="s">
        <v>54</v>
      </c>
    </row>
    <row r="570" spans="1:6" x14ac:dyDescent="0.25">
      <c r="A570" s="13"/>
      <c r="B570" s="13"/>
      <c r="C570" s="13"/>
      <c r="D570" s="13" t="s">
        <v>16</v>
      </c>
      <c r="E570" s="13" t="s">
        <v>68</v>
      </c>
      <c r="F570" s="13" t="s">
        <v>15</v>
      </c>
    </row>
    <row r="571" spans="1:6" x14ac:dyDescent="0.25">
      <c r="A571" s="13"/>
      <c r="B571" s="13"/>
      <c r="C571" s="13"/>
      <c r="D571" s="13" t="s">
        <v>16</v>
      </c>
      <c r="E571" s="13" t="s">
        <v>68</v>
      </c>
      <c r="F571" s="13" t="s">
        <v>55</v>
      </c>
    </row>
    <row r="572" spans="1:6" x14ac:dyDescent="0.25">
      <c r="A572" s="13"/>
      <c r="B572" s="13"/>
      <c r="C572" s="13"/>
      <c r="D572" s="13" t="s">
        <v>16</v>
      </c>
      <c r="E572" s="13" t="s">
        <v>68</v>
      </c>
      <c r="F572" s="13" t="s">
        <v>56</v>
      </c>
    </row>
    <row r="573" spans="1:6" x14ac:dyDescent="0.25">
      <c r="A573" s="13"/>
      <c r="B573" s="13"/>
      <c r="C573" s="13"/>
      <c r="D573" s="13" t="s">
        <v>16</v>
      </c>
      <c r="E573" s="13" t="s">
        <v>68</v>
      </c>
      <c r="F573" s="13" t="s">
        <v>44</v>
      </c>
    </row>
    <row r="574" spans="1:6" x14ac:dyDescent="0.25">
      <c r="A574" s="13"/>
      <c r="B574" s="13"/>
      <c r="C574" s="13"/>
      <c r="D574" s="13" t="s">
        <v>16</v>
      </c>
      <c r="E574" s="13" t="s">
        <v>68</v>
      </c>
      <c r="F574" s="13" t="s">
        <v>45</v>
      </c>
    </row>
    <row r="575" spans="1:6" x14ac:dyDescent="0.25">
      <c r="A575" s="13"/>
      <c r="B575" s="13"/>
      <c r="C575" s="13"/>
      <c r="D575" s="13" t="s">
        <v>16</v>
      </c>
      <c r="E575" s="13" t="s">
        <v>68</v>
      </c>
      <c r="F575" s="13" t="s">
        <v>46</v>
      </c>
    </row>
    <row r="576" spans="1:6" x14ac:dyDescent="0.25">
      <c r="A576" s="13"/>
      <c r="B576" s="13"/>
      <c r="C576" s="13"/>
      <c r="D576" s="13" t="s">
        <v>16</v>
      </c>
      <c r="E576" s="13" t="s">
        <v>68</v>
      </c>
      <c r="F576" s="13" t="s">
        <v>47</v>
      </c>
    </row>
    <row r="577" spans="1:6" x14ac:dyDescent="0.25">
      <c r="A577" s="13"/>
      <c r="B577" s="13"/>
      <c r="C577" s="13"/>
      <c r="D577" s="13" t="s">
        <v>16</v>
      </c>
      <c r="E577" s="13" t="s">
        <v>68</v>
      </c>
      <c r="F577" s="13" t="s">
        <v>48</v>
      </c>
    </row>
    <row r="578" spans="1:6" x14ac:dyDescent="0.25">
      <c r="A578" s="13"/>
      <c r="B578" s="13"/>
      <c r="C578" s="13"/>
      <c r="D578" s="13" t="s">
        <v>16</v>
      </c>
      <c r="E578" s="13" t="s">
        <v>68</v>
      </c>
      <c r="F578" s="13" t="s">
        <v>49</v>
      </c>
    </row>
    <row r="579" spans="1:6" x14ac:dyDescent="0.25">
      <c r="A579" s="13"/>
      <c r="B579" s="13"/>
      <c r="C579" s="13"/>
      <c r="D579" s="13" t="s">
        <v>16</v>
      </c>
      <c r="E579" s="13" t="s">
        <v>68</v>
      </c>
      <c r="F579" s="13" t="s">
        <v>50</v>
      </c>
    </row>
    <row r="580" spans="1:6" x14ac:dyDescent="0.25">
      <c r="A580" s="13"/>
      <c r="B580" s="13"/>
      <c r="C580" s="13"/>
      <c r="D580" s="13" t="s">
        <v>16</v>
      </c>
      <c r="E580" s="13" t="s">
        <v>68</v>
      </c>
      <c r="F580" s="13" t="s">
        <v>51</v>
      </c>
    </row>
    <row r="581" spans="1:6" x14ac:dyDescent="0.25">
      <c r="A581" s="13"/>
      <c r="B581" s="13"/>
      <c r="C581" s="13"/>
      <c r="D581" s="13" t="s">
        <v>16</v>
      </c>
      <c r="E581" s="13" t="s">
        <v>68</v>
      </c>
      <c r="F581" s="13" t="s">
        <v>93</v>
      </c>
    </row>
    <row r="582" spans="1:6" x14ac:dyDescent="0.25">
      <c r="A582" s="13"/>
      <c r="B582" s="13"/>
      <c r="C582" s="13"/>
      <c r="D582" s="13" t="s">
        <v>16</v>
      </c>
      <c r="E582" s="13" t="s">
        <v>79</v>
      </c>
      <c r="F582" s="13" t="s">
        <v>57</v>
      </c>
    </row>
    <row r="583" spans="1:6" x14ac:dyDescent="0.25">
      <c r="A583" s="13"/>
      <c r="B583" s="13"/>
      <c r="C583" s="13"/>
      <c r="D583" s="13" t="s">
        <v>16</v>
      </c>
      <c r="E583" s="13" t="s">
        <v>79</v>
      </c>
      <c r="F583" s="13" t="s">
        <v>52</v>
      </c>
    </row>
    <row r="584" spans="1:6" x14ac:dyDescent="0.25">
      <c r="A584" s="13"/>
      <c r="B584" s="13"/>
      <c r="C584" s="13"/>
      <c r="D584" s="13" t="s">
        <v>16</v>
      </c>
      <c r="E584" s="13" t="s">
        <v>79</v>
      </c>
      <c r="F584" s="13" t="s">
        <v>53</v>
      </c>
    </row>
    <row r="585" spans="1:6" x14ac:dyDescent="0.25">
      <c r="A585" s="13"/>
      <c r="B585" s="13"/>
      <c r="C585" s="13"/>
      <c r="D585" s="13" t="s">
        <v>16</v>
      </c>
      <c r="E585" s="13" t="s">
        <v>79</v>
      </c>
      <c r="F585" s="13" t="s">
        <v>54</v>
      </c>
    </row>
    <row r="586" spans="1:6" x14ac:dyDescent="0.25">
      <c r="A586" s="13"/>
      <c r="B586" s="13"/>
      <c r="C586" s="13"/>
      <c r="D586" s="13" t="s">
        <v>16</v>
      </c>
      <c r="E586" s="13" t="s">
        <v>79</v>
      </c>
      <c r="F586" s="13" t="s">
        <v>15</v>
      </c>
    </row>
    <row r="587" spans="1:6" x14ac:dyDescent="0.25">
      <c r="A587" s="13"/>
      <c r="B587" s="13"/>
      <c r="C587" s="13"/>
      <c r="D587" s="13" t="s">
        <v>16</v>
      </c>
      <c r="E587" s="13" t="s">
        <v>79</v>
      </c>
      <c r="F587" s="13" t="s">
        <v>55</v>
      </c>
    </row>
    <row r="588" spans="1:6" x14ac:dyDescent="0.25">
      <c r="A588" s="13"/>
      <c r="B588" s="13"/>
      <c r="C588" s="13"/>
      <c r="D588" s="13" t="s">
        <v>16</v>
      </c>
      <c r="E588" s="13" t="s">
        <v>79</v>
      </c>
      <c r="F588" s="13" t="s">
        <v>56</v>
      </c>
    </row>
    <row r="589" spans="1:6" x14ac:dyDescent="0.25">
      <c r="A589" s="13"/>
      <c r="B589" s="13"/>
      <c r="C589" s="13"/>
      <c r="D589" s="13" t="s">
        <v>16</v>
      </c>
      <c r="E589" s="13" t="s">
        <v>79</v>
      </c>
      <c r="F589" s="13" t="s">
        <v>44</v>
      </c>
    </row>
    <row r="590" spans="1:6" x14ac:dyDescent="0.25">
      <c r="A590" s="13"/>
      <c r="B590" s="13"/>
      <c r="C590" s="13"/>
      <c r="D590" s="13" t="s">
        <v>16</v>
      </c>
      <c r="E590" s="13" t="s">
        <v>79</v>
      </c>
      <c r="F590" s="13" t="s">
        <v>45</v>
      </c>
    </row>
    <row r="591" spans="1:6" x14ac:dyDescent="0.25">
      <c r="A591" s="13"/>
      <c r="B591" s="13"/>
      <c r="C591" s="13"/>
      <c r="D591" s="13" t="s">
        <v>16</v>
      </c>
      <c r="E591" s="13" t="s">
        <v>79</v>
      </c>
      <c r="F591" s="13" t="s">
        <v>46</v>
      </c>
    </row>
    <row r="592" spans="1:6" x14ac:dyDescent="0.25">
      <c r="A592" s="13"/>
      <c r="B592" s="13"/>
      <c r="C592" s="13"/>
      <c r="D592" s="13" t="s">
        <v>16</v>
      </c>
      <c r="E592" s="13" t="s">
        <v>79</v>
      </c>
      <c r="F592" s="13" t="s">
        <v>47</v>
      </c>
    </row>
    <row r="593" spans="1:6" x14ac:dyDescent="0.25">
      <c r="A593" s="13"/>
      <c r="B593" s="13"/>
      <c r="C593" s="13"/>
      <c r="D593" s="13" t="s">
        <v>16</v>
      </c>
      <c r="E593" s="13" t="s">
        <v>79</v>
      </c>
      <c r="F593" s="13" t="s">
        <v>48</v>
      </c>
    </row>
    <row r="594" spans="1:6" x14ac:dyDescent="0.25">
      <c r="A594" s="13"/>
      <c r="B594" s="13"/>
      <c r="C594" s="13"/>
      <c r="D594" s="13" t="s">
        <v>16</v>
      </c>
      <c r="E594" s="13" t="s">
        <v>79</v>
      </c>
      <c r="F594" s="13" t="s">
        <v>49</v>
      </c>
    </row>
    <row r="595" spans="1:6" x14ac:dyDescent="0.25">
      <c r="A595" s="13"/>
      <c r="B595" s="13"/>
      <c r="C595" s="13"/>
      <c r="D595" s="13" t="s">
        <v>16</v>
      </c>
      <c r="E595" s="13" t="s">
        <v>79</v>
      </c>
      <c r="F595" s="13" t="s">
        <v>50</v>
      </c>
    </row>
    <row r="596" spans="1:6" x14ac:dyDescent="0.25">
      <c r="A596" s="13"/>
      <c r="B596" s="13"/>
      <c r="C596" s="13"/>
      <c r="D596" s="13" t="s">
        <v>16</v>
      </c>
      <c r="E596" s="13" t="s">
        <v>79</v>
      </c>
      <c r="F596" s="13" t="s">
        <v>51</v>
      </c>
    </row>
    <row r="597" spans="1:6" x14ac:dyDescent="0.25">
      <c r="A597" s="13"/>
      <c r="B597" s="13"/>
      <c r="C597" s="13"/>
      <c r="D597" s="13" t="s">
        <v>16</v>
      </c>
      <c r="E597" s="13" t="s">
        <v>79</v>
      </c>
      <c r="F597" s="13" t="s">
        <v>93</v>
      </c>
    </row>
    <row r="598" spans="1:6" x14ac:dyDescent="0.25">
      <c r="A598" s="13"/>
      <c r="B598" s="13"/>
      <c r="C598" s="13"/>
      <c r="D598" s="13" t="s">
        <v>16</v>
      </c>
      <c r="E598" s="13" t="s">
        <v>144</v>
      </c>
      <c r="F598" s="13" t="s">
        <v>57</v>
      </c>
    </row>
    <row r="599" spans="1:6" x14ac:dyDescent="0.25">
      <c r="A599" s="13"/>
      <c r="B599" s="13"/>
      <c r="C599" s="13"/>
      <c r="D599" s="13" t="s">
        <v>16</v>
      </c>
      <c r="E599" s="13" t="s">
        <v>144</v>
      </c>
      <c r="F599" s="13" t="s">
        <v>52</v>
      </c>
    </row>
    <row r="600" spans="1:6" x14ac:dyDescent="0.25">
      <c r="A600" s="13"/>
      <c r="B600" s="13"/>
      <c r="C600" s="13"/>
      <c r="D600" s="13" t="s">
        <v>16</v>
      </c>
      <c r="E600" s="13" t="s">
        <v>144</v>
      </c>
      <c r="F600" s="13" t="s">
        <v>53</v>
      </c>
    </row>
    <row r="601" spans="1:6" x14ac:dyDescent="0.25">
      <c r="A601" s="13"/>
      <c r="B601" s="13"/>
      <c r="C601" s="13"/>
      <c r="D601" s="13" t="s">
        <v>16</v>
      </c>
      <c r="E601" s="13" t="s">
        <v>144</v>
      </c>
      <c r="F601" s="13" t="s">
        <v>54</v>
      </c>
    </row>
    <row r="602" spans="1:6" x14ac:dyDescent="0.25">
      <c r="A602" s="13"/>
      <c r="B602" s="13"/>
      <c r="C602" s="13"/>
      <c r="D602" s="13" t="s">
        <v>16</v>
      </c>
      <c r="E602" s="13" t="s">
        <v>144</v>
      </c>
      <c r="F602" s="13" t="s">
        <v>15</v>
      </c>
    </row>
    <row r="603" spans="1:6" x14ac:dyDescent="0.25">
      <c r="A603" s="13"/>
      <c r="B603" s="13"/>
      <c r="C603" s="13"/>
      <c r="D603" s="13" t="s">
        <v>16</v>
      </c>
      <c r="E603" s="13" t="s">
        <v>144</v>
      </c>
      <c r="F603" s="13" t="s">
        <v>55</v>
      </c>
    </row>
    <row r="604" spans="1:6" x14ac:dyDescent="0.25">
      <c r="A604" s="13"/>
      <c r="B604" s="13"/>
      <c r="C604" s="13"/>
      <c r="D604" s="13" t="s">
        <v>16</v>
      </c>
      <c r="E604" s="13" t="s">
        <v>144</v>
      </c>
      <c r="F604" s="13" t="s">
        <v>56</v>
      </c>
    </row>
    <row r="605" spans="1:6" x14ac:dyDescent="0.25">
      <c r="A605" s="13"/>
      <c r="B605" s="13"/>
      <c r="C605" s="13"/>
      <c r="D605" s="13" t="s">
        <v>16</v>
      </c>
      <c r="E605" s="13" t="s">
        <v>144</v>
      </c>
      <c r="F605" s="13" t="s">
        <v>44</v>
      </c>
    </row>
    <row r="606" spans="1:6" x14ac:dyDescent="0.25">
      <c r="A606" s="13"/>
      <c r="B606" s="13"/>
      <c r="C606" s="13"/>
      <c r="D606" s="13" t="s">
        <v>16</v>
      </c>
      <c r="E606" s="13" t="s">
        <v>144</v>
      </c>
      <c r="F606" s="13" t="s">
        <v>45</v>
      </c>
    </row>
    <row r="607" spans="1:6" x14ac:dyDescent="0.25">
      <c r="A607" s="13"/>
      <c r="B607" s="13"/>
      <c r="C607" s="13"/>
      <c r="D607" s="13" t="s">
        <v>16</v>
      </c>
      <c r="E607" s="13" t="s">
        <v>144</v>
      </c>
      <c r="F607" s="13" t="s">
        <v>46</v>
      </c>
    </row>
    <row r="608" spans="1:6" x14ac:dyDescent="0.25">
      <c r="A608" s="13"/>
      <c r="B608" s="13"/>
      <c r="C608" s="13"/>
      <c r="D608" s="13" t="s">
        <v>16</v>
      </c>
      <c r="E608" s="13" t="s">
        <v>144</v>
      </c>
      <c r="F608" s="13" t="s">
        <v>47</v>
      </c>
    </row>
    <row r="609" spans="1:6" x14ac:dyDescent="0.25">
      <c r="A609" s="13"/>
      <c r="B609" s="13"/>
      <c r="C609" s="13"/>
      <c r="D609" s="13" t="s">
        <v>16</v>
      </c>
      <c r="E609" s="13" t="s">
        <v>144</v>
      </c>
      <c r="F609" s="13" t="s">
        <v>48</v>
      </c>
    </row>
    <row r="610" spans="1:6" x14ac:dyDescent="0.25">
      <c r="A610" s="13"/>
      <c r="B610" s="13"/>
      <c r="C610" s="13"/>
      <c r="D610" s="13" t="s">
        <v>16</v>
      </c>
      <c r="E610" s="13" t="s">
        <v>144</v>
      </c>
      <c r="F610" s="13" t="s">
        <v>49</v>
      </c>
    </row>
    <row r="611" spans="1:6" x14ac:dyDescent="0.25">
      <c r="A611" s="13"/>
      <c r="B611" s="13"/>
      <c r="C611" s="13"/>
      <c r="D611" s="13" t="s">
        <v>16</v>
      </c>
      <c r="E611" s="13" t="s">
        <v>144</v>
      </c>
      <c r="F611" s="13" t="s">
        <v>50</v>
      </c>
    </row>
    <row r="612" spans="1:6" x14ac:dyDescent="0.25">
      <c r="A612" s="13"/>
      <c r="B612" s="13"/>
      <c r="C612" s="13"/>
      <c r="D612" s="13" t="s">
        <v>16</v>
      </c>
      <c r="E612" s="13" t="s">
        <v>144</v>
      </c>
      <c r="F612" s="13" t="s">
        <v>51</v>
      </c>
    </row>
    <row r="613" spans="1:6" x14ac:dyDescent="0.25">
      <c r="A613" s="13"/>
      <c r="B613" s="13"/>
      <c r="C613" s="13"/>
      <c r="D613" s="13" t="s">
        <v>16</v>
      </c>
      <c r="E613" s="13" t="s">
        <v>144</v>
      </c>
      <c r="F613" s="13" t="s">
        <v>93</v>
      </c>
    </row>
    <row r="614" spans="1:6" x14ac:dyDescent="0.25">
      <c r="A614" s="13"/>
      <c r="B614" s="13"/>
      <c r="C614" s="13"/>
      <c r="D614" s="13" t="s">
        <v>17</v>
      </c>
      <c r="E614" s="13" t="s">
        <v>5</v>
      </c>
      <c r="F614" s="13" t="s">
        <v>57</v>
      </c>
    </row>
    <row r="615" spans="1:6" x14ac:dyDescent="0.25">
      <c r="A615" s="13"/>
      <c r="B615" s="13"/>
      <c r="C615" s="13"/>
      <c r="D615" s="13" t="s">
        <v>17</v>
      </c>
      <c r="E615" s="13" t="s">
        <v>5</v>
      </c>
      <c r="F615" s="13" t="s">
        <v>52</v>
      </c>
    </row>
    <row r="616" spans="1:6" x14ac:dyDescent="0.25">
      <c r="A616" s="13"/>
      <c r="B616" s="13"/>
      <c r="C616" s="13"/>
      <c r="D616" s="13" t="s">
        <v>17</v>
      </c>
      <c r="E616" s="13" t="s">
        <v>5</v>
      </c>
      <c r="F616" s="13" t="s">
        <v>53</v>
      </c>
    </row>
    <row r="617" spans="1:6" x14ac:dyDescent="0.25">
      <c r="A617" s="13"/>
      <c r="B617" s="13"/>
      <c r="C617" s="13"/>
      <c r="D617" s="13" t="s">
        <v>17</v>
      </c>
      <c r="E617" s="13" t="s">
        <v>5</v>
      </c>
      <c r="F617" s="13" t="s">
        <v>54</v>
      </c>
    </row>
    <row r="618" spans="1:6" x14ac:dyDescent="0.25">
      <c r="A618" s="13"/>
      <c r="B618" s="13"/>
      <c r="C618" s="13"/>
      <c r="D618" s="13" t="s">
        <v>17</v>
      </c>
      <c r="E618" s="13" t="s">
        <v>5</v>
      </c>
      <c r="F618" s="13" t="s">
        <v>15</v>
      </c>
    </row>
    <row r="619" spans="1:6" x14ac:dyDescent="0.25">
      <c r="A619" s="13"/>
      <c r="B619" s="13"/>
      <c r="C619" s="13"/>
      <c r="D619" s="13" t="s">
        <v>17</v>
      </c>
      <c r="E619" s="13" t="s">
        <v>5</v>
      </c>
      <c r="F619" s="13" t="s">
        <v>55</v>
      </c>
    </row>
    <row r="620" spans="1:6" x14ac:dyDescent="0.25">
      <c r="A620" s="13"/>
      <c r="B620" s="13"/>
      <c r="C620" s="13"/>
      <c r="D620" s="13" t="s">
        <v>17</v>
      </c>
      <c r="E620" s="13" t="s">
        <v>5</v>
      </c>
      <c r="F620" s="13" t="s">
        <v>56</v>
      </c>
    </row>
    <row r="621" spans="1:6" x14ac:dyDescent="0.25">
      <c r="A621" s="13"/>
      <c r="B621" s="13"/>
      <c r="C621" s="13"/>
      <c r="D621" s="13" t="s">
        <v>17</v>
      </c>
      <c r="E621" s="13" t="s">
        <v>5</v>
      </c>
      <c r="F621" s="13" t="s">
        <v>44</v>
      </c>
    </row>
    <row r="622" spans="1:6" x14ac:dyDescent="0.25">
      <c r="A622" s="13"/>
      <c r="B622" s="13"/>
      <c r="C622" s="13"/>
      <c r="D622" s="13" t="s">
        <v>17</v>
      </c>
      <c r="E622" s="13" t="s">
        <v>5</v>
      </c>
      <c r="F622" s="13" t="s">
        <v>45</v>
      </c>
    </row>
    <row r="623" spans="1:6" x14ac:dyDescent="0.25">
      <c r="A623" s="13"/>
      <c r="B623" s="13"/>
      <c r="C623" s="13"/>
      <c r="D623" s="13" t="s">
        <v>17</v>
      </c>
      <c r="E623" s="13" t="s">
        <v>5</v>
      </c>
      <c r="F623" s="13" t="s">
        <v>46</v>
      </c>
    </row>
    <row r="624" spans="1:6" x14ac:dyDescent="0.25">
      <c r="A624" s="13"/>
      <c r="B624" s="13"/>
      <c r="C624" s="13"/>
      <c r="D624" s="13" t="s">
        <v>17</v>
      </c>
      <c r="E624" s="13" t="s">
        <v>5</v>
      </c>
      <c r="F624" s="13" t="s">
        <v>47</v>
      </c>
    </row>
    <row r="625" spans="1:6" x14ac:dyDescent="0.25">
      <c r="A625" s="13"/>
      <c r="B625" s="13"/>
      <c r="C625" s="13"/>
      <c r="D625" s="13" t="s">
        <v>17</v>
      </c>
      <c r="E625" s="13" t="s">
        <v>5</v>
      </c>
      <c r="F625" s="13" t="s">
        <v>48</v>
      </c>
    </row>
    <row r="626" spans="1:6" x14ac:dyDescent="0.25">
      <c r="A626" s="13"/>
      <c r="B626" s="13"/>
      <c r="C626" s="13"/>
      <c r="D626" s="13" t="s">
        <v>17</v>
      </c>
      <c r="E626" s="13" t="s">
        <v>5</v>
      </c>
      <c r="F626" s="13" t="s">
        <v>49</v>
      </c>
    </row>
    <row r="627" spans="1:6" x14ac:dyDescent="0.25">
      <c r="A627" s="13"/>
      <c r="B627" s="13"/>
      <c r="C627" s="13"/>
      <c r="D627" s="13" t="s">
        <v>17</v>
      </c>
      <c r="E627" s="13" t="s">
        <v>5</v>
      </c>
      <c r="F627" s="13" t="s">
        <v>50</v>
      </c>
    </row>
    <row r="628" spans="1:6" x14ac:dyDescent="0.25">
      <c r="A628" s="13"/>
      <c r="B628" s="13"/>
      <c r="C628" s="13"/>
      <c r="D628" s="13" t="s">
        <v>17</v>
      </c>
      <c r="E628" s="13" t="s">
        <v>5</v>
      </c>
      <c r="F628" s="13" t="s">
        <v>51</v>
      </c>
    </row>
    <row r="629" spans="1:6" x14ac:dyDescent="0.25">
      <c r="A629" s="13"/>
      <c r="B629" s="13"/>
      <c r="C629" s="13"/>
      <c r="D629" s="13" t="s">
        <v>17</v>
      </c>
      <c r="E629" s="13" t="s">
        <v>5</v>
      </c>
      <c r="F629" s="13" t="s">
        <v>93</v>
      </c>
    </row>
    <row r="630" spans="1:6" x14ac:dyDescent="0.25">
      <c r="A630" s="13"/>
      <c r="B630" s="13"/>
      <c r="C630" s="13"/>
      <c r="D630" s="13" t="s">
        <v>17</v>
      </c>
      <c r="E630" s="13" t="s">
        <v>43</v>
      </c>
      <c r="F630" s="13" t="s">
        <v>57</v>
      </c>
    </row>
    <row r="631" spans="1:6" x14ac:dyDescent="0.25">
      <c r="A631" s="13"/>
      <c r="B631" s="13"/>
      <c r="C631" s="13"/>
      <c r="D631" s="13" t="s">
        <v>17</v>
      </c>
      <c r="E631" s="13" t="s">
        <v>43</v>
      </c>
      <c r="F631" s="13" t="s">
        <v>52</v>
      </c>
    </row>
    <row r="632" spans="1:6" x14ac:dyDescent="0.25">
      <c r="A632" s="13"/>
      <c r="B632" s="13"/>
      <c r="C632" s="13"/>
      <c r="D632" s="13" t="s">
        <v>17</v>
      </c>
      <c r="E632" s="13" t="s">
        <v>43</v>
      </c>
      <c r="F632" s="13" t="s">
        <v>53</v>
      </c>
    </row>
    <row r="633" spans="1:6" x14ac:dyDescent="0.25">
      <c r="A633" s="13"/>
      <c r="B633" s="13"/>
      <c r="C633" s="13"/>
      <c r="D633" s="13" t="s">
        <v>17</v>
      </c>
      <c r="E633" s="13" t="s">
        <v>43</v>
      </c>
      <c r="F633" s="13" t="s">
        <v>54</v>
      </c>
    </row>
    <row r="634" spans="1:6" x14ac:dyDescent="0.25">
      <c r="A634" s="13"/>
      <c r="B634" s="13"/>
      <c r="C634" s="13"/>
      <c r="D634" s="13" t="s">
        <v>17</v>
      </c>
      <c r="E634" s="13" t="s">
        <v>43</v>
      </c>
      <c r="F634" s="13" t="s">
        <v>15</v>
      </c>
    </row>
    <row r="635" spans="1:6" x14ac:dyDescent="0.25">
      <c r="A635" s="13"/>
      <c r="B635" s="13"/>
      <c r="C635" s="13"/>
      <c r="D635" s="13" t="s">
        <v>17</v>
      </c>
      <c r="E635" s="13" t="s">
        <v>43</v>
      </c>
      <c r="F635" s="13" t="s">
        <v>55</v>
      </c>
    </row>
    <row r="636" spans="1:6" x14ac:dyDescent="0.25">
      <c r="A636" s="13"/>
      <c r="B636" s="13"/>
      <c r="C636" s="13"/>
      <c r="D636" s="13" t="s">
        <v>17</v>
      </c>
      <c r="E636" s="13" t="s">
        <v>43</v>
      </c>
      <c r="F636" s="13" t="s">
        <v>56</v>
      </c>
    </row>
    <row r="637" spans="1:6" x14ac:dyDescent="0.25">
      <c r="A637" s="13"/>
      <c r="B637" s="13"/>
      <c r="C637" s="13"/>
      <c r="D637" s="13" t="s">
        <v>17</v>
      </c>
      <c r="E637" s="13" t="s">
        <v>43</v>
      </c>
      <c r="F637" s="13" t="s">
        <v>44</v>
      </c>
    </row>
    <row r="638" spans="1:6" x14ac:dyDescent="0.25">
      <c r="A638" s="13"/>
      <c r="B638" s="13"/>
      <c r="C638" s="13"/>
      <c r="D638" s="13" t="s">
        <v>17</v>
      </c>
      <c r="E638" s="13" t="s">
        <v>43</v>
      </c>
      <c r="F638" s="13" t="s">
        <v>45</v>
      </c>
    </row>
    <row r="639" spans="1:6" x14ac:dyDescent="0.25">
      <c r="A639" s="13"/>
      <c r="B639" s="13"/>
      <c r="C639" s="13"/>
      <c r="D639" s="13" t="s">
        <v>17</v>
      </c>
      <c r="E639" s="13" t="s">
        <v>43</v>
      </c>
      <c r="F639" s="13" t="s">
        <v>46</v>
      </c>
    </row>
    <row r="640" spans="1:6" x14ac:dyDescent="0.25">
      <c r="A640" s="13"/>
      <c r="B640" s="13"/>
      <c r="C640" s="13"/>
      <c r="D640" s="13" t="s">
        <v>17</v>
      </c>
      <c r="E640" s="13" t="s">
        <v>43</v>
      </c>
      <c r="F640" s="13" t="s">
        <v>47</v>
      </c>
    </row>
    <row r="641" spans="1:6" x14ac:dyDescent="0.25">
      <c r="A641" s="13"/>
      <c r="B641" s="13"/>
      <c r="C641" s="13"/>
      <c r="D641" s="13" t="s">
        <v>17</v>
      </c>
      <c r="E641" s="13" t="s">
        <v>43</v>
      </c>
      <c r="F641" s="13" t="s">
        <v>48</v>
      </c>
    </row>
    <row r="642" spans="1:6" x14ac:dyDescent="0.25">
      <c r="A642" s="13"/>
      <c r="B642" s="13"/>
      <c r="C642" s="13"/>
      <c r="D642" s="13" t="s">
        <v>17</v>
      </c>
      <c r="E642" s="13" t="s">
        <v>43</v>
      </c>
      <c r="F642" s="13" t="s">
        <v>49</v>
      </c>
    </row>
    <row r="643" spans="1:6" x14ac:dyDescent="0.25">
      <c r="A643" s="13"/>
      <c r="B643" s="13"/>
      <c r="C643" s="13"/>
      <c r="D643" s="13" t="s">
        <v>17</v>
      </c>
      <c r="E643" s="13" t="s">
        <v>43</v>
      </c>
      <c r="F643" s="13" t="s">
        <v>50</v>
      </c>
    </row>
    <row r="644" spans="1:6" x14ac:dyDescent="0.25">
      <c r="A644" s="13"/>
      <c r="B644" s="13"/>
      <c r="C644" s="13"/>
      <c r="D644" s="13" t="s">
        <v>17</v>
      </c>
      <c r="E644" s="13" t="s">
        <v>43</v>
      </c>
      <c r="F644" s="13" t="s">
        <v>51</v>
      </c>
    </row>
    <row r="645" spans="1:6" x14ac:dyDescent="0.25">
      <c r="A645" s="13"/>
      <c r="B645" s="13"/>
      <c r="C645" s="13"/>
      <c r="D645" s="13" t="s">
        <v>17</v>
      </c>
      <c r="E645" s="13" t="s">
        <v>43</v>
      </c>
      <c r="F645" s="13" t="s">
        <v>93</v>
      </c>
    </row>
    <row r="646" spans="1:6" x14ac:dyDescent="0.25">
      <c r="A646" s="13"/>
      <c r="B646" s="13"/>
      <c r="C646" s="13"/>
      <c r="D646" s="13" t="s">
        <v>17</v>
      </c>
      <c r="E646" s="13" t="s">
        <v>106</v>
      </c>
      <c r="F646" s="13" t="s">
        <v>57</v>
      </c>
    </row>
    <row r="647" spans="1:6" x14ac:dyDescent="0.25">
      <c r="A647" s="13"/>
      <c r="B647" s="13"/>
      <c r="C647" s="13"/>
      <c r="D647" s="13" t="s">
        <v>17</v>
      </c>
      <c r="E647" s="13" t="s">
        <v>106</v>
      </c>
      <c r="F647" s="13" t="s">
        <v>52</v>
      </c>
    </row>
    <row r="648" spans="1:6" x14ac:dyDescent="0.25">
      <c r="A648" s="13"/>
      <c r="B648" s="13"/>
      <c r="C648" s="13"/>
      <c r="D648" s="13" t="s">
        <v>17</v>
      </c>
      <c r="E648" s="13" t="s">
        <v>106</v>
      </c>
      <c r="F648" s="13" t="s">
        <v>53</v>
      </c>
    </row>
    <row r="649" spans="1:6" x14ac:dyDescent="0.25">
      <c r="A649" s="13"/>
      <c r="B649" s="13"/>
      <c r="C649" s="13"/>
      <c r="D649" s="13" t="s">
        <v>17</v>
      </c>
      <c r="E649" s="13" t="s">
        <v>106</v>
      </c>
      <c r="F649" s="13" t="s">
        <v>54</v>
      </c>
    </row>
    <row r="650" spans="1:6" x14ac:dyDescent="0.25">
      <c r="A650" s="13"/>
      <c r="B650" s="13"/>
      <c r="C650" s="13"/>
      <c r="D650" s="13" t="s">
        <v>17</v>
      </c>
      <c r="E650" s="13" t="s">
        <v>106</v>
      </c>
      <c r="F650" s="13" t="s">
        <v>15</v>
      </c>
    </row>
    <row r="651" spans="1:6" x14ac:dyDescent="0.25">
      <c r="A651" s="13"/>
      <c r="B651" s="13"/>
      <c r="C651" s="13"/>
      <c r="D651" s="13" t="s">
        <v>17</v>
      </c>
      <c r="E651" s="13" t="s">
        <v>106</v>
      </c>
      <c r="F651" s="13" t="s">
        <v>55</v>
      </c>
    </row>
    <row r="652" spans="1:6" x14ac:dyDescent="0.25">
      <c r="A652" s="13"/>
      <c r="B652" s="13"/>
      <c r="C652" s="13"/>
      <c r="D652" s="13" t="s">
        <v>17</v>
      </c>
      <c r="E652" s="13" t="s">
        <v>106</v>
      </c>
      <c r="F652" s="13" t="s">
        <v>56</v>
      </c>
    </row>
    <row r="653" spans="1:6" x14ac:dyDescent="0.25">
      <c r="A653" s="13"/>
      <c r="B653" s="13"/>
      <c r="C653" s="13"/>
      <c r="D653" s="13" t="s">
        <v>17</v>
      </c>
      <c r="E653" s="13" t="s">
        <v>106</v>
      </c>
      <c r="F653" s="13" t="s">
        <v>44</v>
      </c>
    </row>
    <row r="654" spans="1:6" x14ac:dyDescent="0.25">
      <c r="A654" s="13"/>
      <c r="B654" s="13"/>
      <c r="C654" s="13"/>
      <c r="D654" s="13" t="s">
        <v>17</v>
      </c>
      <c r="E654" s="13" t="s">
        <v>106</v>
      </c>
      <c r="F654" s="13" t="s">
        <v>45</v>
      </c>
    </row>
    <row r="655" spans="1:6" x14ac:dyDescent="0.25">
      <c r="A655" s="13"/>
      <c r="B655" s="13"/>
      <c r="C655" s="13"/>
      <c r="D655" s="13" t="s">
        <v>17</v>
      </c>
      <c r="E655" s="13" t="s">
        <v>106</v>
      </c>
      <c r="F655" s="13" t="s">
        <v>46</v>
      </c>
    </row>
    <row r="656" spans="1:6" x14ac:dyDescent="0.25">
      <c r="A656" s="13"/>
      <c r="B656" s="13"/>
      <c r="C656" s="13"/>
      <c r="D656" s="13" t="s">
        <v>17</v>
      </c>
      <c r="E656" s="13" t="s">
        <v>106</v>
      </c>
      <c r="F656" s="13" t="s">
        <v>47</v>
      </c>
    </row>
    <row r="657" spans="1:6" x14ac:dyDescent="0.25">
      <c r="A657" s="13"/>
      <c r="B657" s="13"/>
      <c r="C657" s="13"/>
      <c r="D657" s="13" t="s">
        <v>17</v>
      </c>
      <c r="E657" s="13" t="s">
        <v>106</v>
      </c>
      <c r="F657" s="13" t="s">
        <v>48</v>
      </c>
    </row>
    <row r="658" spans="1:6" x14ac:dyDescent="0.25">
      <c r="A658" s="13"/>
      <c r="B658" s="13"/>
      <c r="C658" s="13"/>
      <c r="D658" s="13" t="s">
        <v>17</v>
      </c>
      <c r="E658" s="13" t="s">
        <v>106</v>
      </c>
      <c r="F658" s="13" t="s">
        <v>49</v>
      </c>
    </row>
    <row r="659" spans="1:6" x14ac:dyDescent="0.25">
      <c r="A659" s="13"/>
      <c r="B659" s="13"/>
      <c r="C659" s="13"/>
      <c r="D659" s="13" t="s">
        <v>17</v>
      </c>
      <c r="E659" s="13" t="s">
        <v>106</v>
      </c>
      <c r="F659" s="13" t="s">
        <v>50</v>
      </c>
    </row>
    <row r="660" spans="1:6" x14ac:dyDescent="0.25">
      <c r="A660" s="13"/>
      <c r="B660" s="13"/>
      <c r="C660" s="13"/>
      <c r="D660" s="13" t="s">
        <v>17</v>
      </c>
      <c r="E660" s="13" t="s">
        <v>106</v>
      </c>
      <c r="F660" s="13" t="s">
        <v>51</v>
      </c>
    </row>
    <row r="661" spans="1:6" x14ac:dyDescent="0.25">
      <c r="A661" s="13"/>
      <c r="B661" s="13"/>
      <c r="C661" s="13"/>
      <c r="D661" s="13" t="s">
        <v>17</v>
      </c>
      <c r="E661" s="13" t="s">
        <v>106</v>
      </c>
      <c r="F661" s="13" t="s">
        <v>93</v>
      </c>
    </row>
    <row r="662" spans="1:6" x14ac:dyDescent="0.25">
      <c r="A662" s="13"/>
      <c r="B662" s="13"/>
      <c r="C662" s="13"/>
      <c r="D662" s="13" t="s">
        <v>17</v>
      </c>
      <c r="E662" s="13" t="s">
        <v>60</v>
      </c>
      <c r="F662" s="13" t="s">
        <v>57</v>
      </c>
    </row>
    <row r="663" spans="1:6" x14ac:dyDescent="0.25">
      <c r="A663" s="13"/>
      <c r="B663" s="13"/>
      <c r="C663" s="13"/>
      <c r="D663" s="13" t="s">
        <v>17</v>
      </c>
      <c r="E663" s="13" t="s">
        <v>60</v>
      </c>
      <c r="F663" s="13" t="s">
        <v>52</v>
      </c>
    </row>
    <row r="664" spans="1:6" x14ac:dyDescent="0.25">
      <c r="A664" s="13"/>
      <c r="B664" s="13"/>
      <c r="C664" s="13"/>
      <c r="D664" s="13" t="s">
        <v>17</v>
      </c>
      <c r="E664" s="13" t="s">
        <v>60</v>
      </c>
      <c r="F664" s="13" t="s">
        <v>53</v>
      </c>
    </row>
    <row r="665" spans="1:6" x14ac:dyDescent="0.25">
      <c r="A665" s="13"/>
      <c r="B665" s="13"/>
      <c r="C665" s="13"/>
      <c r="D665" s="13" t="s">
        <v>17</v>
      </c>
      <c r="E665" s="13" t="s">
        <v>60</v>
      </c>
      <c r="F665" s="13" t="s">
        <v>54</v>
      </c>
    </row>
    <row r="666" spans="1:6" x14ac:dyDescent="0.25">
      <c r="A666" s="13"/>
      <c r="B666" s="13"/>
      <c r="C666" s="13"/>
      <c r="D666" s="13" t="s">
        <v>17</v>
      </c>
      <c r="E666" s="13" t="s">
        <v>60</v>
      </c>
      <c r="F666" s="13" t="s">
        <v>15</v>
      </c>
    </row>
    <row r="667" spans="1:6" x14ac:dyDescent="0.25">
      <c r="A667" s="13"/>
      <c r="B667" s="13"/>
      <c r="C667" s="13"/>
      <c r="D667" s="13" t="s">
        <v>17</v>
      </c>
      <c r="E667" s="13" t="s">
        <v>60</v>
      </c>
      <c r="F667" s="13" t="s">
        <v>55</v>
      </c>
    </row>
    <row r="668" spans="1:6" x14ac:dyDescent="0.25">
      <c r="A668" s="13"/>
      <c r="B668" s="13"/>
      <c r="C668" s="13"/>
      <c r="D668" s="13" t="s">
        <v>17</v>
      </c>
      <c r="E668" s="13" t="s">
        <v>60</v>
      </c>
      <c r="F668" s="13" t="s">
        <v>56</v>
      </c>
    </row>
    <row r="669" spans="1:6" x14ac:dyDescent="0.25">
      <c r="A669" s="13"/>
      <c r="B669" s="13"/>
      <c r="C669" s="13"/>
      <c r="D669" s="13" t="s">
        <v>17</v>
      </c>
      <c r="E669" s="13" t="s">
        <v>60</v>
      </c>
      <c r="F669" s="13" t="s">
        <v>44</v>
      </c>
    </row>
    <row r="670" spans="1:6" x14ac:dyDescent="0.25">
      <c r="A670" s="13"/>
      <c r="B670" s="13"/>
      <c r="C670" s="13"/>
      <c r="D670" s="13" t="s">
        <v>17</v>
      </c>
      <c r="E670" s="13" t="s">
        <v>60</v>
      </c>
      <c r="F670" s="13" t="s">
        <v>45</v>
      </c>
    </row>
    <row r="671" spans="1:6" x14ac:dyDescent="0.25">
      <c r="A671" s="13"/>
      <c r="B671" s="13"/>
      <c r="C671" s="13"/>
      <c r="D671" s="13" t="s">
        <v>17</v>
      </c>
      <c r="E671" s="13" t="s">
        <v>60</v>
      </c>
      <c r="F671" s="13" t="s">
        <v>46</v>
      </c>
    </row>
    <row r="672" spans="1:6" x14ac:dyDescent="0.25">
      <c r="A672" s="13"/>
      <c r="B672" s="13"/>
      <c r="C672" s="13"/>
      <c r="D672" s="13" t="s">
        <v>17</v>
      </c>
      <c r="E672" s="13" t="s">
        <v>60</v>
      </c>
      <c r="F672" s="13" t="s">
        <v>47</v>
      </c>
    </row>
    <row r="673" spans="1:6" x14ac:dyDescent="0.25">
      <c r="A673" s="13"/>
      <c r="B673" s="13"/>
      <c r="C673" s="13"/>
      <c r="D673" s="13" t="s">
        <v>17</v>
      </c>
      <c r="E673" s="13" t="s">
        <v>60</v>
      </c>
      <c r="F673" s="13" t="s">
        <v>48</v>
      </c>
    </row>
    <row r="674" spans="1:6" x14ac:dyDescent="0.25">
      <c r="A674" s="13"/>
      <c r="B674" s="13"/>
      <c r="C674" s="13"/>
      <c r="D674" s="13" t="s">
        <v>17</v>
      </c>
      <c r="E674" s="13" t="s">
        <v>60</v>
      </c>
      <c r="F674" s="13" t="s">
        <v>49</v>
      </c>
    </row>
    <row r="675" spans="1:6" x14ac:dyDescent="0.25">
      <c r="A675" s="13"/>
      <c r="B675" s="13"/>
      <c r="C675" s="13"/>
      <c r="D675" s="13" t="s">
        <v>17</v>
      </c>
      <c r="E675" s="13" t="s">
        <v>60</v>
      </c>
      <c r="F675" s="13" t="s">
        <v>50</v>
      </c>
    </row>
    <row r="676" spans="1:6" x14ac:dyDescent="0.25">
      <c r="A676" s="13"/>
      <c r="B676" s="13"/>
      <c r="C676" s="13"/>
      <c r="D676" s="13" t="s">
        <v>17</v>
      </c>
      <c r="E676" s="13" t="s">
        <v>60</v>
      </c>
      <c r="F676" s="13" t="s">
        <v>51</v>
      </c>
    </row>
    <row r="677" spans="1:6" x14ac:dyDescent="0.25">
      <c r="A677" s="13"/>
      <c r="B677" s="13"/>
      <c r="C677" s="13"/>
      <c r="D677" s="13" t="s">
        <v>17</v>
      </c>
      <c r="E677" s="13" t="s">
        <v>60</v>
      </c>
      <c r="F677" s="13" t="s">
        <v>93</v>
      </c>
    </row>
    <row r="678" spans="1:6" x14ac:dyDescent="0.25">
      <c r="A678" s="13"/>
      <c r="B678" s="13"/>
      <c r="C678" s="13"/>
      <c r="D678" s="13" t="s">
        <v>17</v>
      </c>
      <c r="E678" s="13" t="s">
        <v>62</v>
      </c>
      <c r="F678" s="13" t="s">
        <v>57</v>
      </c>
    </row>
    <row r="679" spans="1:6" x14ac:dyDescent="0.25">
      <c r="A679" s="13"/>
      <c r="B679" s="13"/>
      <c r="C679" s="13"/>
      <c r="D679" s="13" t="s">
        <v>17</v>
      </c>
      <c r="E679" s="13" t="s">
        <v>62</v>
      </c>
      <c r="F679" s="13" t="s">
        <v>52</v>
      </c>
    </row>
    <row r="680" spans="1:6" x14ac:dyDescent="0.25">
      <c r="A680" s="13"/>
      <c r="B680" s="13"/>
      <c r="C680" s="13"/>
      <c r="D680" s="13" t="s">
        <v>17</v>
      </c>
      <c r="E680" s="13" t="s">
        <v>62</v>
      </c>
      <c r="F680" s="13" t="s">
        <v>53</v>
      </c>
    </row>
    <row r="681" spans="1:6" x14ac:dyDescent="0.25">
      <c r="A681" s="13"/>
      <c r="B681" s="13"/>
      <c r="C681" s="13"/>
      <c r="D681" s="13" t="s">
        <v>17</v>
      </c>
      <c r="E681" s="13" t="s">
        <v>62</v>
      </c>
      <c r="F681" s="13" t="s">
        <v>54</v>
      </c>
    </row>
    <row r="682" spans="1:6" x14ac:dyDescent="0.25">
      <c r="A682" s="13"/>
      <c r="B682" s="13"/>
      <c r="C682" s="13"/>
      <c r="D682" s="13" t="s">
        <v>17</v>
      </c>
      <c r="E682" s="13" t="s">
        <v>62</v>
      </c>
      <c r="F682" s="13" t="s">
        <v>15</v>
      </c>
    </row>
    <row r="683" spans="1:6" x14ac:dyDescent="0.25">
      <c r="A683" s="13"/>
      <c r="B683" s="13"/>
      <c r="C683" s="13"/>
      <c r="D683" s="13" t="s">
        <v>17</v>
      </c>
      <c r="E683" s="13" t="s">
        <v>62</v>
      </c>
      <c r="F683" s="13" t="s">
        <v>55</v>
      </c>
    </row>
    <row r="684" spans="1:6" x14ac:dyDescent="0.25">
      <c r="A684" s="13"/>
      <c r="B684" s="13"/>
      <c r="C684" s="13"/>
      <c r="D684" s="13" t="s">
        <v>17</v>
      </c>
      <c r="E684" s="13" t="s">
        <v>62</v>
      </c>
      <c r="F684" s="13" t="s">
        <v>56</v>
      </c>
    </row>
    <row r="685" spans="1:6" x14ac:dyDescent="0.25">
      <c r="A685" s="13"/>
      <c r="B685" s="13"/>
      <c r="C685" s="13"/>
      <c r="D685" s="13" t="s">
        <v>17</v>
      </c>
      <c r="E685" s="13" t="s">
        <v>62</v>
      </c>
      <c r="F685" s="13" t="s">
        <v>44</v>
      </c>
    </row>
    <row r="686" spans="1:6" x14ac:dyDescent="0.25">
      <c r="A686" s="13"/>
      <c r="B686" s="13"/>
      <c r="C686" s="13"/>
      <c r="D686" s="13" t="s">
        <v>17</v>
      </c>
      <c r="E686" s="13" t="s">
        <v>62</v>
      </c>
      <c r="F686" s="13" t="s">
        <v>45</v>
      </c>
    </row>
    <row r="687" spans="1:6" x14ac:dyDescent="0.25">
      <c r="A687" s="13"/>
      <c r="B687" s="13"/>
      <c r="C687" s="13"/>
      <c r="D687" s="13" t="s">
        <v>17</v>
      </c>
      <c r="E687" s="13" t="s">
        <v>62</v>
      </c>
      <c r="F687" s="13" t="s">
        <v>46</v>
      </c>
    </row>
    <row r="688" spans="1:6" x14ac:dyDescent="0.25">
      <c r="A688" s="13"/>
      <c r="B688" s="13"/>
      <c r="C688" s="13"/>
      <c r="D688" s="13" t="s">
        <v>17</v>
      </c>
      <c r="E688" s="13" t="s">
        <v>62</v>
      </c>
      <c r="F688" s="13" t="s">
        <v>47</v>
      </c>
    </row>
    <row r="689" spans="1:6" x14ac:dyDescent="0.25">
      <c r="A689" s="13"/>
      <c r="B689" s="13"/>
      <c r="C689" s="13"/>
      <c r="D689" s="13" t="s">
        <v>17</v>
      </c>
      <c r="E689" s="13" t="s">
        <v>62</v>
      </c>
      <c r="F689" s="13" t="s">
        <v>48</v>
      </c>
    </row>
    <row r="690" spans="1:6" x14ac:dyDescent="0.25">
      <c r="A690" s="13"/>
      <c r="B690" s="13"/>
      <c r="C690" s="13"/>
      <c r="D690" s="13" t="s">
        <v>17</v>
      </c>
      <c r="E690" s="13" t="s">
        <v>62</v>
      </c>
      <c r="F690" s="13" t="s">
        <v>49</v>
      </c>
    </row>
    <row r="691" spans="1:6" x14ac:dyDescent="0.25">
      <c r="A691" s="13"/>
      <c r="B691" s="13"/>
      <c r="C691" s="13"/>
      <c r="D691" s="13" t="s">
        <v>17</v>
      </c>
      <c r="E691" s="13" t="s">
        <v>62</v>
      </c>
      <c r="F691" s="13" t="s">
        <v>50</v>
      </c>
    </row>
    <row r="692" spans="1:6" x14ac:dyDescent="0.25">
      <c r="A692" s="13"/>
      <c r="B692" s="13"/>
      <c r="C692" s="13"/>
      <c r="D692" s="13" t="s">
        <v>17</v>
      </c>
      <c r="E692" s="13" t="s">
        <v>62</v>
      </c>
      <c r="F692" s="13" t="s">
        <v>51</v>
      </c>
    </row>
    <row r="693" spans="1:6" x14ac:dyDescent="0.25">
      <c r="A693" s="13"/>
      <c r="B693" s="13"/>
      <c r="C693" s="13"/>
      <c r="D693" s="13" t="s">
        <v>17</v>
      </c>
      <c r="E693" s="13" t="s">
        <v>62</v>
      </c>
      <c r="F693" s="13" t="s">
        <v>93</v>
      </c>
    </row>
    <row r="694" spans="1:6" x14ac:dyDescent="0.25">
      <c r="A694" s="13"/>
      <c r="B694" s="13"/>
      <c r="C694" s="13"/>
      <c r="D694" s="13" t="s">
        <v>17</v>
      </c>
      <c r="E694" s="13" t="s">
        <v>19</v>
      </c>
      <c r="F694" s="13" t="s">
        <v>57</v>
      </c>
    </row>
    <row r="695" spans="1:6" x14ac:dyDescent="0.25">
      <c r="A695" s="13"/>
      <c r="B695" s="13"/>
      <c r="C695" s="13"/>
      <c r="D695" s="13" t="s">
        <v>17</v>
      </c>
      <c r="E695" s="13" t="s">
        <v>19</v>
      </c>
      <c r="F695" s="13" t="s">
        <v>52</v>
      </c>
    </row>
    <row r="696" spans="1:6" x14ac:dyDescent="0.25">
      <c r="A696" s="13"/>
      <c r="B696" s="13"/>
      <c r="C696" s="13"/>
      <c r="D696" s="13" t="s">
        <v>17</v>
      </c>
      <c r="E696" s="13" t="s">
        <v>19</v>
      </c>
      <c r="F696" s="13" t="s">
        <v>53</v>
      </c>
    </row>
    <row r="697" spans="1:6" x14ac:dyDescent="0.25">
      <c r="A697" s="13"/>
      <c r="B697" s="13"/>
      <c r="C697" s="13"/>
      <c r="D697" s="13" t="s">
        <v>17</v>
      </c>
      <c r="E697" s="13" t="s">
        <v>19</v>
      </c>
      <c r="F697" s="13" t="s">
        <v>54</v>
      </c>
    </row>
    <row r="698" spans="1:6" x14ac:dyDescent="0.25">
      <c r="A698" s="13"/>
      <c r="B698" s="13"/>
      <c r="C698" s="13"/>
      <c r="D698" s="13" t="s">
        <v>17</v>
      </c>
      <c r="E698" s="13" t="s">
        <v>19</v>
      </c>
      <c r="F698" s="13" t="s">
        <v>15</v>
      </c>
    </row>
    <row r="699" spans="1:6" x14ac:dyDescent="0.25">
      <c r="A699" s="13"/>
      <c r="B699" s="13"/>
      <c r="C699" s="13"/>
      <c r="D699" s="13" t="s">
        <v>17</v>
      </c>
      <c r="E699" s="13" t="s">
        <v>19</v>
      </c>
      <c r="F699" s="13" t="s">
        <v>55</v>
      </c>
    </row>
    <row r="700" spans="1:6" x14ac:dyDescent="0.25">
      <c r="A700" s="13"/>
      <c r="B700" s="13"/>
      <c r="C700" s="13"/>
      <c r="D700" s="13" t="s">
        <v>17</v>
      </c>
      <c r="E700" s="13" t="s">
        <v>19</v>
      </c>
      <c r="F700" s="13" t="s">
        <v>56</v>
      </c>
    </row>
    <row r="701" spans="1:6" x14ac:dyDescent="0.25">
      <c r="A701" s="13"/>
      <c r="B701" s="13"/>
      <c r="C701" s="13"/>
      <c r="D701" s="13" t="s">
        <v>17</v>
      </c>
      <c r="E701" s="13" t="s">
        <v>19</v>
      </c>
      <c r="F701" s="13" t="s">
        <v>44</v>
      </c>
    </row>
    <row r="702" spans="1:6" x14ac:dyDescent="0.25">
      <c r="A702" s="13"/>
      <c r="B702" s="13"/>
      <c r="C702" s="13"/>
      <c r="D702" s="13" t="s">
        <v>17</v>
      </c>
      <c r="E702" s="13" t="s">
        <v>19</v>
      </c>
      <c r="F702" s="13" t="s">
        <v>45</v>
      </c>
    </row>
    <row r="703" spans="1:6" x14ac:dyDescent="0.25">
      <c r="A703" s="13"/>
      <c r="B703" s="13"/>
      <c r="C703" s="13"/>
      <c r="D703" s="13" t="s">
        <v>17</v>
      </c>
      <c r="E703" s="13" t="s">
        <v>19</v>
      </c>
      <c r="F703" s="13" t="s">
        <v>46</v>
      </c>
    </row>
    <row r="704" spans="1:6" x14ac:dyDescent="0.25">
      <c r="A704" s="13"/>
      <c r="B704" s="13"/>
      <c r="C704" s="13"/>
      <c r="D704" s="13" t="s">
        <v>17</v>
      </c>
      <c r="E704" s="13" t="s">
        <v>19</v>
      </c>
      <c r="F704" s="13" t="s">
        <v>47</v>
      </c>
    </row>
    <row r="705" spans="1:6" x14ac:dyDescent="0.25">
      <c r="A705" s="13"/>
      <c r="B705" s="13"/>
      <c r="C705" s="13"/>
      <c r="D705" s="13" t="s">
        <v>17</v>
      </c>
      <c r="E705" s="13" t="s">
        <v>19</v>
      </c>
      <c r="F705" s="13" t="s">
        <v>48</v>
      </c>
    </row>
    <row r="706" spans="1:6" x14ac:dyDescent="0.25">
      <c r="A706" s="13"/>
      <c r="B706" s="13"/>
      <c r="C706" s="13"/>
      <c r="D706" s="13" t="s">
        <v>17</v>
      </c>
      <c r="E706" s="13" t="s">
        <v>19</v>
      </c>
      <c r="F706" s="13" t="s">
        <v>49</v>
      </c>
    </row>
    <row r="707" spans="1:6" x14ac:dyDescent="0.25">
      <c r="A707" s="13"/>
      <c r="B707" s="13"/>
      <c r="C707" s="13"/>
      <c r="D707" s="13" t="s">
        <v>17</v>
      </c>
      <c r="E707" s="13" t="s">
        <v>19</v>
      </c>
      <c r="F707" s="13" t="s">
        <v>50</v>
      </c>
    </row>
    <row r="708" spans="1:6" x14ac:dyDescent="0.25">
      <c r="A708" s="13"/>
      <c r="B708" s="13"/>
      <c r="C708" s="13"/>
      <c r="D708" s="13" t="s">
        <v>17</v>
      </c>
      <c r="E708" s="13" t="s">
        <v>19</v>
      </c>
      <c r="F708" s="13" t="s">
        <v>51</v>
      </c>
    </row>
    <row r="709" spans="1:6" x14ac:dyDescent="0.25">
      <c r="A709" s="13"/>
      <c r="B709" s="13"/>
      <c r="C709" s="13"/>
      <c r="D709" s="13" t="s">
        <v>17</v>
      </c>
      <c r="E709" s="13" t="s">
        <v>19</v>
      </c>
      <c r="F709" s="13" t="s">
        <v>93</v>
      </c>
    </row>
    <row r="710" spans="1:6" x14ac:dyDescent="0.25">
      <c r="A710" s="13"/>
      <c r="B710" s="13"/>
      <c r="C710" s="13"/>
      <c r="D710" s="13" t="s">
        <v>17</v>
      </c>
      <c r="E710" s="13" t="s">
        <v>26</v>
      </c>
      <c r="F710" s="13" t="s">
        <v>57</v>
      </c>
    </row>
    <row r="711" spans="1:6" x14ac:dyDescent="0.25">
      <c r="A711" s="13"/>
      <c r="B711" s="13"/>
      <c r="C711" s="13"/>
      <c r="D711" s="13" t="s">
        <v>17</v>
      </c>
      <c r="E711" s="13" t="s">
        <v>26</v>
      </c>
      <c r="F711" s="13" t="s">
        <v>52</v>
      </c>
    </row>
    <row r="712" spans="1:6" x14ac:dyDescent="0.25">
      <c r="A712" s="13"/>
      <c r="B712" s="13"/>
      <c r="C712" s="13"/>
      <c r="D712" s="13" t="s">
        <v>17</v>
      </c>
      <c r="E712" s="13" t="s">
        <v>26</v>
      </c>
      <c r="F712" s="13" t="s">
        <v>53</v>
      </c>
    </row>
    <row r="713" spans="1:6" x14ac:dyDescent="0.25">
      <c r="A713" s="13"/>
      <c r="B713" s="13"/>
      <c r="C713" s="13"/>
      <c r="D713" s="13" t="s">
        <v>17</v>
      </c>
      <c r="E713" s="13" t="s">
        <v>26</v>
      </c>
      <c r="F713" s="13" t="s">
        <v>54</v>
      </c>
    </row>
    <row r="714" spans="1:6" x14ac:dyDescent="0.25">
      <c r="A714" s="13"/>
      <c r="B714" s="13"/>
      <c r="C714" s="13"/>
      <c r="D714" s="13" t="s">
        <v>17</v>
      </c>
      <c r="E714" s="13" t="s">
        <v>26</v>
      </c>
      <c r="F714" s="13" t="s">
        <v>15</v>
      </c>
    </row>
    <row r="715" spans="1:6" x14ac:dyDescent="0.25">
      <c r="A715" s="13"/>
      <c r="B715" s="13"/>
      <c r="C715" s="13"/>
      <c r="D715" s="13" t="s">
        <v>17</v>
      </c>
      <c r="E715" s="13" t="s">
        <v>26</v>
      </c>
      <c r="F715" s="13" t="s">
        <v>55</v>
      </c>
    </row>
    <row r="716" spans="1:6" x14ac:dyDescent="0.25">
      <c r="A716" s="13"/>
      <c r="B716" s="13"/>
      <c r="C716" s="13"/>
      <c r="D716" s="13" t="s">
        <v>17</v>
      </c>
      <c r="E716" s="13" t="s">
        <v>26</v>
      </c>
      <c r="F716" s="13" t="s">
        <v>56</v>
      </c>
    </row>
    <row r="717" spans="1:6" x14ac:dyDescent="0.25">
      <c r="A717" s="13"/>
      <c r="B717" s="13"/>
      <c r="C717" s="13"/>
      <c r="D717" s="13" t="s">
        <v>17</v>
      </c>
      <c r="E717" s="13" t="s">
        <v>26</v>
      </c>
      <c r="F717" s="13" t="s">
        <v>44</v>
      </c>
    </row>
    <row r="718" spans="1:6" x14ac:dyDescent="0.25">
      <c r="A718" s="13"/>
      <c r="B718" s="13"/>
      <c r="C718" s="13"/>
      <c r="D718" s="13" t="s">
        <v>17</v>
      </c>
      <c r="E718" s="13" t="s">
        <v>26</v>
      </c>
      <c r="F718" s="13" t="s">
        <v>45</v>
      </c>
    </row>
    <row r="719" spans="1:6" x14ac:dyDescent="0.25">
      <c r="A719" s="13"/>
      <c r="B719" s="13"/>
      <c r="C719" s="13"/>
      <c r="D719" s="13" t="s">
        <v>17</v>
      </c>
      <c r="E719" s="13" t="s">
        <v>26</v>
      </c>
      <c r="F719" s="13" t="s">
        <v>46</v>
      </c>
    </row>
    <row r="720" spans="1:6" x14ac:dyDescent="0.25">
      <c r="A720" s="13"/>
      <c r="B720" s="13"/>
      <c r="C720" s="13"/>
      <c r="D720" s="13" t="s">
        <v>17</v>
      </c>
      <c r="E720" s="13" t="s">
        <v>26</v>
      </c>
      <c r="F720" s="13" t="s">
        <v>47</v>
      </c>
    </row>
    <row r="721" spans="1:6" x14ac:dyDescent="0.25">
      <c r="A721" s="13"/>
      <c r="B721" s="13"/>
      <c r="C721" s="13"/>
      <c r="D721" s="13" t="s">
        <v>17</v>
      </c>
      <c r="E721" s="13" t="s">
        <v>26</v>
      </c>
      <c r="F721" s="13" t="s">
        <v>48</v>
      </c>
    </row>
    <row r="722" spans="1:6" x14ac:dyDescent="0.25">
      <c r="A722" s="13"/>
      <c r="B722" s="13"/>
      <c r="C722" s="13"/>
      <c r="D722" s="13" t="s">
        <v>17</v>
      </c>
      <c r="E722" s="13" t="s">
        <v>26</v>
      </c>
      <c r="F722" s="13" t="s">
        <v>49</v>
      </c>
    </row>
    <row r="723" spans="1:6" x14ac:dyDescent="0.25">
      <c r="A723" s="13"/>
      <c r="B723" s="13"/>
      <c r="C723" s="13"/>
      <c r="D723" s="13" t="s">
        <v>17</v>
      </c>
      <c r="E723" s="13" t="s">
        <v>26</v>
      </c>
      <c r="F723" s="13" t="s">
        <v>50</v>
      </c>
    </row>
    <row r="724" spans="1:6" x14ac:dyDescent="0.25">
      <c r="A724" s="13"/>
      <c r="B724" s="13"/>
      <c r="C724" s="13"/>
      <c r="D724" s="13" t="s">
        <v>17</v>
      </c>
      <c r="E724" s="13" t="s">
        <v>26</v>
      </c>
      <c r="F724" s="13" t="s">
        <v>51</v>
      </c>
    </row>
    <row r="725" spans="1:6" x14ac:dyDescent="0.25">
      <c r="A725" s="13"/>
      <c r="B725" s="13"/>
      <c r="C725" s="13"/>
      <c r="D725" s="13" t="s">
        <v>17</v>
      </c>
      <c r="E725" s="13" t="s">
        <v>26</v>
      </c>
      <c r="F725" s="13" t="s">
        <v>93</v>
      </c>
    </row>
    <row r="726" spans="1:6" x14ac:dyDescent="0.25">
      <c r="A726" s="13"/>
      <c r="B726" s="13"/>
      <c r="C726" s="13"/>
      <c r="D726" s="13" t="s">
        <v>17</v>
      </c>
      <c r="E726" s="13" t="s">
        <v>4</v>
      </c>
      <c r="F726" s="13" t="s">
        <v>57</v>
      </c>
    </row>
    <row r="727" spans="1:6" x14ac:dyDescent="0.25">
      <c r="A727" s="13"/>
      <c r="B727" s="13"/>
      <c r="C727" s="13"/>
      <c r="D727" s="13" t="s">
        <v>17</v>
      </c>
      <c r="E727" s="13" t="s">
        <v>4</v>
      </c>
      <c r="F727" s="13" t="s">
        <v>52</v>
      </c>
    </row>
    <row r="728" spans="1:6" x14ac:dyDescent="0.25">
      <c r="A728" s="13"/>
      <c r="B728" s="13"/>
      <c r="C728" s="13"/>
      <c r="D728" s="13" t="s">
        <v>17</v>
      </c>
      <c r="E728" s="13" t="s">
        <v>4</v>
      </c>
      <c r="F728" s="13" t="s">
        <v>53</v>
      </c>
    </row>
    <row r="729" spans="1:6" x14ac:dyDescent="0.25">
      <c r="A729" s="13"/>
      <c r="B729" s="13"/>
      <c r="C729" s="13"/>
      <c r="D729" s="13" t="s">
        <v>17</v>
      </c>
      <c r="E729" s="13" t="s">
        <v>4</v>
      </c>
      <c r="F729" s="13" t="s">
        <v>54</v>
      </c>
    </row>
    <row r="730" spans="1:6" x14ac:dyDescent="0.25">
      <c r="A730" s="13"/>
      <c r="B730" s="13"/>
      <c r="C730" s="13"/>
      <c r="D730" s="13" t="s">
        <v>17</v>
      </c>
      <c r="E730" s="13" t="s">
        <v>4</v>
      </c>
      <c r="F730" s="13" t="s">
        <v>15</v>
      </c>
    </row>
    <row r="731" spans="1:6" x14ac:dyDescent="0.25">
      <c r="A731" s="13"/>
      <c r="B731" s="13"/>
      <c r="C731" s="13"/>
      <c r="D731" s="13" t="s">
        <v>17</v>
      </c>
      <c r="E731" s="13" t="s">
        <v>4</v>
      </c>
      <c r="F731" s="13" t="s">
        <v>55</v>
      </c>
    </row>
    <row r="732" spans="1:6" x14ac:dyDescent="0.25">
      <c r="A732" s="13"/>
      <c r="B732" s="13"/>
      <c r="C732" s="13"/>
      <c r="D732" s="13" t="s">
        <v>17</v>
      </c>
      <c r="E732" s="13" t="s">
        <v>4</v>
      </c>
      <c r="F732" s="13" t="s">
        <v>56</v>
      </c>
    </row>
    <row r="733" spans="1:6" x14ac:dyDescent="0.25">
      <c r="A733" s="13"/>
      <c r="B733" s="13"/>
      <c r="C733" s="13"/>
      <c r="D733" s="13" t="s">
        <v>17</v>
      </c>
      <c r="E733" s="13" t="s">
        <v>4</v>
      </c>
      <c r="F733" s="13" t="s">
        <v>44</v>
      </c>
    </row>
    <row r="734" spans="1:6" x14ac:dyDescent="0.25">
      <c r="A734" s="13"/>
      <c r="B734" s="13"/>
      <c r="C734" s="13"/>
      <c r="D734" s="13" t="s">
        <v>17</v>
      </c>
      <c r="E734" s="13" t="s">
        <v>4</v>
      </c>
      <c r="F734" s="13" t="s">
        <v>45</v>
      </c>
    </row>
    <row r="735" spans="1:6" x14ac:dyDescent="0.25">
      <c r="A735" s="13"/>
      <c r="B735" s="13"/>
      <c r="C735" s="13"/>
      <c r="D735" s="13" t="s">
        <v>17</v>
      </c>
      <c r="E735" s="13" t="s">
        <v>4</v>
      </c>
      <c r="F735" s="13" t="s">
        <v>46</v>
      </c>
    </row>
    <row r="736" spans="1:6" x14ac:dyDescent="0.25">
      <c r="A736" s="13"/>
      <c r="B736" s="13"/>
      <c r="C736" s="13"/>
      <c r="D736" s="13" t="s">
        <v>17</v>
      </c>
      <c r="E736" s="13" t="s">
        <v>4</v>
      </c>
      <c r="F736" s="13" t="s">
        <v>47</v>
      </c>
    </row>
    <row r="737" spans="1:6" x14ac:dyDescent="0.25">
      <c r="A737" s="13"/>
      <c r="B737" s="13"/>
      <c r="C737" s="13"/>
      <c r="D737" s="13" t="s">
        <v>17</v>
      </c>
      <c r="E737" s="13" t="s">
        <v>4</v>
      </c>
      <c r="F737" s="13" t="s">
        <v>48</v>
      </c>
    </row>
    <row r="738" spans="1:6" x14ac:dyDescent="0.25">
      <c r="A738" s="13"/>
      <c r="B738" s="13"/>
      <c r="C738" s="13"/>
      <c r="D738" s="13" t="s">
        <v>17</v>
      </c>
      <c r="E738" s="13" t="s">
        <v>4</v>
      </c>
      <c r="F738" s="13" t="s">
        <v>49</v>
      </c>
    </row>
    <row r="739" spans="1:6" x14ac:dyDescent="0.25">
      <c r="A739" s="13"/>
      <c r="B739" s="13"/>
      <c r="C739" s="13"/>
      <c r="D739" s="13" t="s">
        <v>17</v>
      </c>
      <c r="E739" s="13" t="s">
        <v>4</v>
      </c>
      <c r="F739" s="13" t="s">
        <v>50</v>
      </c>
    </row>
    <row r="740" spans="1:6" x14ac:dyDescent="0.25">
      <c r="A740" s="13"/>
      <c r="B740" s="13"/>
      <c r="C740" s="13"/>
      <c r="D740" s="13" t="s">
        <v>17</v>
      </c>
      <c r="E740" s="13" t="s">
        <v>4</v>
      </c>
      <c r="F740" s="13" t="s">
        <v>51</v>
      </c>
    </row>
    <row r="741" spans="1:6" x14ac:dyDescent="0.25">
      <c r="A741" s="13"/>
      <c r="B741" s="13"/>
      <c r="C741" s="13"/>
      <c r="D741" s="13" t="s">
        <v>17</v>
      </c>
      <c r="E741" s="13" t="s">
        <v>4</v>
      </c>
      <c r="F741" s="13" t="s">
        <v>93</v>
      </c>
    </row>
    <row r="742" spans="1:6" x14ac:dyDescent="0.25">
      <c r="A742" s="13"/>
      <c r="B742" s="13"/>
      <c r="C742" s="13"/>
      <c r="D742" s="13" t="s">
        <v>17</v>
      </c>
      <c r="E742" s="13" t="s">
        <v>2</v>
      </c>
      <c r="F742" s="13" t="s">
        <v>57</v>
      </c>
    </row>
    <row r="743" spans="1:6" x14ac:dyDescent="0.25">
      <c r="A743" s="13"/>
      <c r="B743" s="13"/>
      <c r="C743" s="13"/>
      <c r="D743" s="13" t="s">
        <v>17</v>
      </c>
      <c r="E743" s="13" t="s">
        <v>2</v>
      </c>
      <c r="F743" s="13" t="s">
        <v>52</v>
      </c>
    </row>
    <row r="744" spans="1:6" x14ac:dyDescent="0.25">
      <c r="A744" s="13"/>
      <c r="B744" s="13"/>
      <c r="C744" s="13"/>
      <c r="D744" s="13" t="s">
        <v>17</v>
      </c>
      <c r="E744" s="13" t="s">
        <v>2</v>
      </c>
      <c r="F744" s="13" t="s">
        <v>53</v>
      </c>
    </row>
    <row r="745" spans="1:6" x14ac:dyDescent="0.25">
      <c r="A745" s="13"/>
      <c r="B745" s="13"/>
      <c r="C745" s="13"/>
      <c r="D745" s="13" t="s">
        <v>17</v>
      </c>
      <c r="E745" s="13" t="s">
        <v>2</v>
      </c>
      <c r="F745" s="13" t="s">
        <v>54</v>
      </c>
    </row>
    <row r="746" spans="1:6" x14ac:dyDescent="0.25">
      <c r="A746" s="13"/>
      <c r="B746" s="13"/>
      <c r="C746" s="13"/>
      <c r="D746" s="13" t="s">
        <v>17</v>
      </c>
      <c r="E746" s="13" t="s">
        <v>2</v>
      </c>
      <c r="F746" s="13" t="s">
        <v>15</v>
      </c>
    </row>
    <row r="747" spans="1:6" x14ac:dyDescent="0.25">
      <c r="A747" s="13"/>
      <c r="B747" s="13"/>
      <c r="C747" s="13"/>
      <c r="D747" s="13" t="s">
        <v>17</v>
      </c>
      <c r="E747" s="13" t="s">
        <v>2</v>
      </c>
      <c r="F747" s="13" t="s">
        <v>55</v>
      </c>
    </row>
    <row r="748" spans="1:6" x14ac:dyDescent="0.25">
      <c r="A748" s="13"/>
      <c r="B748" s="13"/>
      <c r="C748" s="13"/>
      <c r="D748" s="13" t="s">
        <v>17</v>
      </c>
      <c r="E748" s="13" t="s">
        <v>2</v>
      </c>
      <c r="F748" s="13" t="s">
        <v>56</v>
      </c>
    </row>
    <row r="749" spans="1:6" x14ac:dyDescent="0.25">
      <c r="A749" s="13"/>
      <c r="B749" s="13"/>
      <c r="C749" s="13"/>
      <c r="D749" s="13" t="s">
        <v>17</v>
      </c>
      <c r="E749" s="13" t="s">
        <v>2</v>
      </c>
      <c r="F749" s="13" t="s">
        <v>44</v>
      </c>
    </row>
    <row r="750" spans="1:6" x14ac:dyDescent="0.25">
      <c r="A750" s="13"/>
      <c r="B750" s="13"/>
      <c r="C750" s="13"/>
      <c r="D750" s="13" t="s">
        <v>17</v>
      </c>
      <c r="E750" s="13" t="s">
        <v>2</v>
      </c>
      <c r="F750" s="13" t="s">
        <v>45</v>
      </c>
    </row>
    <row r="751" spans="1:6" x14ac:dyDescent="0.25">
      <c r="A751" s="13"/>
      <c r="B751" s="13"/>
      <c r="C751" s="13"/>
      <c r="D751" s="13" t="s">
        <v>17</v>
      </c>
      <c r="E751" s="13" t="s">
        <v>2</v>
      </c>
      <c r="F751" s="13" t="s">
        <v>46</v>
      </c>
    </row>
    <row r="752" spans="1:6" x14ac:dyDescent="0.25">
      <c r="A752" s="13"/>
      <c r="B752" s="13"/>
      <c r="C752" s="13"/>
      <c r="D752" s="13" t="s">
        <v>17</v>
      </c>
      <c r="E752" s="13" t="s">
        <v>2</v>
      </c>
      <c r="F752" s="13" t="s">
        <v>47</v>
      </c>
    </row>
    <row r="753" spans="1:6" x14ac:dyDescent="0.25">
      <c r="A753" s="13"/>
      <c r="B753" s="13"/>
      <c r="C753" s="13"/>
      <c r="D753" s="13" t="s">
        <v>17</v>
      </c>
      <c r="E753" s="13" t="s">
        <v>2</v>
      </c>
      <c r="F753" s="13" t="s">
        <v>48</v>
      </c>
    </row>
    <row r="754" spans="1:6" x14ac:dyDescent="0.25">
      <c r="A754" s="13"/>
      <c r="B754" s="13"/>
      <c r="C754" s="13"/>
      <c r="D754" s="13" t="s">
        <v>17</v>
      </c>
      <c r="E754" s="13" t="s">
        <v>2</v>
      </c>
      <c r="F754" s="13" t="s">
        <v>49</v>
      </c>
    </row>
    <row r="755" spans="1:6" x14ac:dyDescent="0.25">
      <c r="A755" s="13"/>
      <c r="B755" s="13"/>
      <c r="C755" s="13"/>
      <c r="D755" s="13" t="s">
        <v>17</v>
      </c>
      <c r="E755" s="13" t="s">
        <v>2</v>
      </c>
      <c r="F755" s="13" t="s">
        <v>50</v>
      </c>
    </row>
    <row r="756" spans="1:6" x14ac:dyDescent="0.25">
      <c r="A756" s="13"/>
      <c r="B756" s="13"/>
      <c r="C756" s="13"/>
      <c r="D756" s="13" t="s">
        <v>17</v>
      </c>
      <c r="E756" s="13" t="s">
        <v>2</v>
      </c>
      <c r="F756" s="13" t="s">
        <v>51</v>
      </c>
    </row>
    <row r="757" spans="1:6" x14ac:dyDescent="0.25">
      <c r="A757" s="13"/>
      <c r="B757" s="13"/>
      <c r="C757" s="13"/>
      <c r="D757" s="13" t="s">
        <v>17</v>
      </c>
      <c r="E757" s="13" t="s">
        <v>2</v>
      </c>
      <c r="F757" s="13" t="s">
        <v>93</v>
      </c>
    </row>
    <row r="758" spans="1:6" x14ac:dyDescent="0.25">
      <c r="A758" s="13"/>
      <c r="B758" s="13"/>
      <c r="C758" s="13"/>
      <c r="D758" s="13" t="s">
        <v>17</v>
      </c>
      <c r="E758" s="13" t="s">
        <v>7</v>
      </c>
      <c r="F758" s="13" t="s">
        <v>57</v>
      </c>
    </row>
    <row r="759" spans="1:6" x14ac:dyDescent="0.25">
      <c r="A759" s="13"/>
      <c r="B759" s="13"/>
      <c r="C759" s="13"/>
      <c r="D759" s="13" t="s">
        <v>17</v>
      </c>
      <c r="E759" s="13" t="s">
        <v>7</v>
      </c>
      <c r="F759" s="13" t="s">
        <v>52</v>
      </c>
    </row>
    <row r="760" spans="1:6" x14ac:dyDescent="0.25">
      <c r="A760" s="13"/>
      <c r="B760" s="13"/>
      <c r="C760" s="13"/>
      <c r="D760" s="13" t="s">
        <v>17</v>
      </c>
      <c r="E760" s="13" t="s">
        <v>7</v>
      </c>
      <c r="F760" s="13" t="s">
        <v>53</v>
      </c>
    </row>
    <row r="761" spans="1:6" x14ac:dyDescent="0.25">
      <c r="A761" s="13"/>
      <c r="B761" s="13"/>
      <c r="C761" s="13"/>
      <c r="D761" s="13" t="s">
        <v>17</v>
      </c>
      <c r="E761" s="13" t="s">
        <v>7</v>
      </c>
      <c r="F761" s="13" t="s">
        <v>54</v>
      </c>
    </row>
    <row r="762" spans="1:6" x14ac:dyDescent="0.25">
      <c r="A762" s="13"/>
      <c r="B762" s="13"/>
      <c r="C762" s="13"/>
      <c r="D762" s="13" t="s">
        <v>17</v>
      </c>
      <c r="E762" s="13" t="s">
        <v>7</v>
      </c>
      <c r="F762" s="13" t="s">
        <v>15</v>
      </c>
    </row>
    <row r="763" spans="1:6" x14ac:dyDescent="0.25">
      <c r="A763" s="13"/>
      <c r="B763" s="13"/>
      <c r="C763" s="13"/>
      <c r="D763" s="13" t="s">
        <v>17</v>
      </c>
      <c r="E763" s="13" t="s">
        <v>7</v>
      </c>
      <c r="F763" s="13" t="s">
        <v>55</v>
      </c>
    </row>
    <row r="764" spans="1:6" x14ac:dyDescent="0.25">
      <c r="A764" s="13"/>
      <c r="B764" s="13"/>
      <c r="C764" s="13"/>
      <c r="D764" s="13" t="s">
        <v>17</v>
      </c>
      <c r="E764" s="13" t="s">
        <v>7</v>
      </c>
      <c r="F764" s="13" t="s">
        <v>56</v>
      </c>
    </row>
    <row r="765" spans="1:6" x14ac:dyDescent="0.25">
      <c r="A765" s="13"/>
      <c r="B765" s="13"/>
      <c r="C765" s="13"/>
      <c r="D765" s="13" t="s">
        <v>17</v>
      </c>
      <c r="E765" s="13" t="s">
        <v>7</v>
      </c>
      <c r="F765" s="13" t="s">
        <v>44</v>
      </c>
    </row>
    <row r="766" spans="1:6" x14ac:dyDescent="0.25">
      <c r="A766" s="13"/>
      <c r="B766" s="13"/>
      <c r="C766" s="13"/>
      <c r="D766" s="13" t="s">
        <v>17</v>
      </c>
      <c r="E766" s="13" t="s">
        <v>7</v>
      </c>
      <c r="F766" s="13" t="s">
        <v>45</v>
      </c>
    </row>
    <row r="767" spans="1:6" x14ac:dyDescent="0.25">
      <c r="A767" s="13"/>
      <c r="B767" s="13"/>
      <c r="C767" s="13"/>
      <c r="D767" s="13" t="s">
        <v>17</v>
      </c>
      <c r="E767" s="13" t="s">
        <v>7</v>
      </c>
      <c r="F767" s="13" t="s">
        <v>46</v>
      </c>
    </row>
    <row r="768" spans="1:6" x14ac:dyDescent="0.25">
      <c r="A768" s="13"/>
      <c r="B768" s="13"/>
      <c r="C768" s="13"/>
      <c r="D768" s="13" t="s">
        <v>17</v>
      </c>
      <c r="E768" s="13" t="s">
        <v>7</v>
      </c>
      <c r="F768" s="13" t="s">
        <v>47</v>
      </c>
    </row>
    <row r="769" spans="1:6" x14ac:dyDescent="0.25">
      <c r="A769" s="13"/>
      <c r="B769" s="13"/>
      <c r="C769" s="13"/>
      <c r="D769" s="13" t="s">
        <v>17</v>
      </c>
      <c r="E769" s="13" t="s">
        <v>7</v>
      </c>
      <c r="F769" s="13" t="s">
        <v>48</v>
      </c>
    </row>
    <row r="770" spans="1:6" x14ac:dyDescent="0.25">
      <c r="A770" s="13"/>
      <c r="B770" s="13"/>
      <c r="C770" s="13"/>
      <c r="D770" s="13" t="s">
        <v>17</v>
      </c>
      <c r="E770" s="13" t="s">
        <v>7</v>
      </c>
      <c r="F770" s="13" t="s">
        <v>49</v>
      </c>
    </row>
    <row r="771" spans="1:6" x14ac:dyDescent="0.25">
      <c r="A771" s="13"/>
      <c r="B771" s="13"/>
      <c r="C771" s="13"/>
      <c r="D771" s="13" t="s">
        <v>17</v>
      </c>
      <c r="E771" s="13" t="s">
        <v>7</v>
      </c>
      <c r="F771" s="13" t="s">
        <v>50</v>
      </c>
    </row>
    <row r="772" spans="1:6" x14ac:dyDescent="0.25">
      <c r="A772" s="13"/>
      <c r="B772" s="13"/>
      <c r="C772" s="13"/>
      <c r="D772" s="13" t="s">
        <v>17</v>
      </c>
      <c r="E772" s="13" t="s">
        <v>7</v>
      </c>
      <c r="F772" s="13" t="s">
        <v>51</v>
      </c>
    </row>
    <row r="773" spans="1:6" x14ac:dyDescent="0.25">
      <c r="A773" s="13"/>
      <c r="B773" s="13"/>
      <c r="C773" s="13"/>
      <c r="D773" s="13" t="s">
        <v>17</v>
      </c>
      <c r="E773" s="13" t="s">
        <v>7</v>
      </c>
      <c r="F773" s="13" t="s">
        <v>93</v>
      </c>
    </row>
    <row r="774" spans="1:6" x14ac:dyDescent="0.25">
      <c r="A774" s="13"/>
      <c r="B774" s="13"/>
      <c r="C774" s="13"/>
      <c r="D774" s="13" t="s">
        <v>17</v>
      </c>
      <c r="E774" s="13" t="s">
        <v>59</v>
      </c>
      <c r="F774" s="13" t="s">
        <v>57</v>
      </c>
    </row>
    <row r="775" spans="1:6" x14ac:dyDescent="0.25">
      <c r="A775" s="13"/>
      <c r="B775" s="13"/>
      <c r="C775" s="13"/>
      <c r="D775" s="13" t="s">
        <v>17</v>
      </c>
      <c r="E775" s="13" t="s">
        <v>59</v>
      </c>
      <c r="F775" s="13" t="s">
        <v>52</v>
      </c>
    </row>
    <row r="776" spans="1:6" x14ac:dyDescent="0.25">
      <c r="A776" s="13"/>
      <c r="B776" s="13"/>
      <c r="C776" s="13"/>
      <c r="D776" s="13" t="s">
        <v>17</v>
      </c>
      <c r="E776" s="13" t="s">
        <v>59</v>
      </c>
      <c r="F776" s="13" t="s">
        <v>53</v>
      </c>
    </row>
    <row r="777" spans="1:6" x14ac:dyDescent="0.25">
      <c r="A777" s="13"/>
      <c r="B777" s="13"/>
      <c r="C777" s="13"/>
      <c r="D777" s="13" t="s">
        <v>17</v>
      </c>
      <c r="E777" s="13" t="s">
        <v>59</v>
      </c>
      <c r="F777" s="13" t="s">
        <v>54</v>
      </c>
    </row>
    <row r="778" spans="1:6" x14ac:dyDescent="0.25">
      <c r="A778" s="13"/>
      <c r="B778" s="13"/>
      <c r="C778" s="13"/>
      <c r="D778" s="13" t="s">
        <v>17</v>
      </c>
      <c r="E778" s="13" t="s">
        <v>59</v>
      </c>
      <c r="F778" s="13" t="s">
        <v>15</v>
      </c>
    </row>
    <row r="779" spans="1:6" x14ac:dyDescent="0.25">
      <c r="A779" s="13"/>
      <c r="B779" s="13"/>
      <c r="C779" s="13"/>
      <c r="D779" s="13" t="s">
        <v>17</v>
      </c>
      <c r="E779" s="13" t="s">
        <v>59</v>
      </c>
      <c r="F779" s="13" t="s">
        <v>55</v>
      </c>
    </row>
    <row r="780" spans="1:6" x14ac:dyDescent="0.25">
      <c r="A780" s="13"/>
      <c r="B780" s="13"/>
      <c r="C780" s="13"/>
      <c r="D780" s="13" t="s">
        <v>17</v>
      </c>
      <c r="E780" s="13" t="s">
        <v>59</v>
      </c>
      <c r="F780" s="13" t="s">
        <v>56</v>
      </c>
    </row>
    <row r="781" spans="1:6" x14ac:dyDescent="0.25">
      <c r="A781" s="13"/>
      <c r="B781" s="13"/>
      <c r="C781" s="13"/>
      <c r="D781" s="13" t="s">
        <v>17</v>
      </c>
      <c r="E781" s="13" t="s">
        <v>59</v>
      </c>
      <c r="F781" s="13" t="s">
        <v>44</v>
      </c>
    </row>
    <row r="782" spans="1:6" x14ac:dyDescent="0.25">
      <c r="A782" s="13"/>
      <c r="B782" s="13"/>
      <c r="C782" s="13"/>
      <c r="D782" s="13" t="s">
        <v>17</v>
      </c>
      <c r="E782" s="13" t="s">
        <v>59</v>
      </c>
      <c r="F782" s="13" t="s">
        <v>45</v>
      </c>
    </row>
    <row r="783" spans="1:6" x14ac:dyDescent="0.25">
      <c r="A783" s="13"/>
      <c r="B783" s="13"/>
      <c r="C783" s="13"/>
      <c r="D783" s="13" t="s">
        <v>17</v>
      </c>
      <c r="E783" s="13" t="s">
        <v>59</v>
      </c>
      <c r="F783" s="13" t="s">
        <v>46</v>
      </c>
    </row>
    <row r="784" spans="1:6" x14ac:dyDescent="0.25">
      <c r="A784" s="13"/>
      <c r="B784" s="13"/>
      <c r="C784" s="13"/>
      <c r="D784" s="13" t="s">
        <v>17</v>
      </c>
      <c r="E784" s="13" t="s">
        <v>59</v>
      </c>
      <c r="F784" s="13" t="s">
        <v>47</v>
      </c>
    </row>
    <row r="785" spans="1:6" x14ac:dyDescent="0.25">
      <c r="A785" s="13"/>
      <c r="B785" s="13"/>
      <c r="C785" s="13"/>
      <c r="D785" s="13" t="s">
        <v>17</v>
      </c>
      <c r="E785" s="13" t="s">
        <v>59</v>
      </c>
      <c r="F785" s="13" t="s">
        <v>48</v>
      </c>
    </row>
    <row r="786" spans="1:6" x14ac:dyDescent="0.25">
      <c r="A786" s="13"/>
      <c r="B786" s="13"/>
      <c r="C786" s="13"/>
      <c r="D786" s="13" t="s">
        <v>17</v>
      </c>
      <c r="E786" s="13" t="s">
        <v>59</v>
      </c>
      <c r="F786" s="13" t="s">
        <v>49</v>
      </c>
    </row>
    <row r="787" spans="1:6" x14ac:dyDescent="0.25">
      <c r="A787" s="13"/>
      <c r="B787" s="13"/>
      <c r="C787" s="13"/>
      <c r="D787" s="13" t="s">
        <v>17</v>
      </c>
      <c r="E787" s="13" t="s">
        <v>59</v>
      </c>
      <c r="F787" s="13" t="s">
        <v>50</v>
      </c>
    </row>
    <row r="788" spans="1:6" x14ac:dyDescent="0.25">
      <c r="A788" s="13"/>
      <c r="B788" s="13"/>
      <c r="C788" s="13"/>
      <c r="D788" s="13" t="s">
        <v>17</v>
      </c>
      <c r="E788" s="13" t="s">
        <v>59</v>
      </c>
      <c r="F788" s="13" t="s">
        <v>51</v>
      </c>
    </row>
    <row r="789" spans="1:6" x14ac:dyDescent="0.25">
      <c r="A789" s="13"/>
      <c r="B789" s="13"/>
      <c r="C789" s="13"/>
      <c r="D789" s="13" t="s">
        <v>17</v>
      </c>
      <c r="E789" s="13" t="s">
        <v>59</v>
      </c>
      <c r="F789" s="13" t="s">
        <v>93</v>
      </c>
    </row>
    <row r="790" spans="1:6" x14ac:dyDescent="0.25">
      <c r="A790" s="13"/>
      <c r="B790" s="13"/>
      <c r="C790" s="13"/>
      <c r="D790" s="13" t="s">
        <v>17</v>
      </c>
      <c r="E790" s="13" t="s">
        <v>58</v>
      </c>
      <c r="F790" s="13" t="s">
        <v>57</v>
      </c>
    </row>
    <row r="791" spans="1:6" x14ac:dyDescent="0.25">
      <c r="A791" s="13"/>
      <c r="B791" s="13"/>
      <c r="C791" s="13"/>
      <c r="D791" s="13" t="s">
        <v>17</v>
      </c>
      <c r="E791" s="13" t="s">
        <v>58</v>
      </c>
      <c r="F791" s="13" t="s">
        <v>52</v>
      </c>
    </row>
    <row r="792" spans="1:6" x14ac:dyDescent="0.25">
      <c r="A792" s="13"/>
      <c r="B792" s="13"/>
      <c r="C792" s="13"/>
      <c r="D792" s="13" t="s">
        <v>17</v>
      </c>
      <c r="E792" s="13" t="s">
        <v>58</v>
      </c>
      <c r="F792" s="13" t="s">
        <v>53</v>
      </c>
    </row>
    <row r="793" spans="1:6" x14ac:dyDescent="0.25">
      <c r="A793" s="13"/>
      <c r="B793" s="13"/>
      <c r="C793" s="13"/>
      <c r="D793" s="13" t="s">
        <v>17</v>
      </c>
      <c r="E793" s="13" t="s">
        <v>58</v>
      </c>
      <c r="F793" s="13" t="s">
        <v>54</v>
      </c>
    </row>
    <row r="794" spans="1:6" x14ac:dyDescent="0.25">
      <c r="A794" s="13"/>
      <c r="B794" s="13"/>
      <c r="C794" s="13"/>
      <c r="D794" s="13" t="s">
        <v>17</v>
      </c>
      <c r="E794" s="13" t="s">
        <v>58</v>
      </c>
      <c r="F794" s="13" t="s">
        <v>15</v>
      </c>
    </row>
    <row r="795" spans="1:6" x14ac:dyDescent="0.25">
      <c r="A795" s="13"/>
      <c r="B795" s="13"/>
      <c r="C795" s="13"/>
      <c r="D795" s="13" t="s">
        <v>17</v>
      </c>
      <c r="E795" s="13" t="s">
        <v>58</v>
      </c>
      <c r="F795" s="13" t="s">
        <v>55</v>
      </c>
    </row>
    <row r="796" spans="1:6" x14ac:dyDescent="0.25">
      <c r="A796" s="13"/>
      <c r="B796" s="13"/>
      <c r="C796" s="13"/>
      <c r="D796" s="13" t="s">
        <v>17</v>
      </c>
      <c r="E796" s="13" t="s">
        <v>58</v>
      </c>
      <c r="F796" s="13" t="s">
        <v>56</v>
      </c>
    </row>
    <row r="797" spans="1:6" x14ac:dyDescent="0.25">
      <c r="A797" s="13"/>
      <c r="B797" s="13"/>
      <c r="C797" s="13"/>
      <c r="D797" s="13" t="s">
        <v>17</v>
      </c>
      <c r="E797" s="13" t="s">
        <v>58</v>
      </c>
      <c r="F797" s="13" t="s">
        <v>44</v>
      </c>
    </row>
    <row r="798" spans="1:6" x14ac:dyDescent="0.25">
      <c r="A798" s="13"/>
      <c r="B798" s="13"/>
      <c r="C798" s="13"/>
      <c r="D798" s="13" t="s">
        <v>17</v>
      </c>
      <c r="E798" s="13" t="s">
        <v>58</v>
      </c>
      <c r="F798" s="13" t="s">
        <v>45</v>
      </c>
    </row>
    <row r="799" spans="1:6" x14ac:dyDescent="0.25">
      <c r="A799" s="13"/>
      <c r="B799" s="13"/>
      <c r="C799" s="13"/>
      <c r="D799" s="13" t="s">
        <v>17</v>
      </c>
      <c r="E799" s="13" t="s">
        <v>58</v>
      </c>
      <c r="F799" s="13" t="s">
        <v>46</v>
      </c>
    </row>
    <row r="800" spans="1:6" x14ac:dyDescent="0.25">
      <c r="A800" s="13"/>
      <c r="B800" s="13"/>
      <c r="C800" s="13"/>
      <c r="D800" s="13" t="s">
        <v>17</v>
      </c>
      <c r="E800" s="13" t="s">
        <v>58</v>
      </c>
      <c r="F800" s="13" t="s">
        <v>47</v>
      </c>
    </row>
    <row r="801" spans="1:6" x14ac:dyDescent="0.25">
      <c r="A801" s="13"/>
      <c r="B801" s="13"/>
      <c r="C801" s="13"/>
      <c r="D801" s="13" t="s">
        <v>17</v>
      </c>
      <c r="E801" s="13" t="s">
        <v>58</v>
      </c>
      <c r="F801" s="13" t="s">
        <v>48</v>
      </c>
    </row>
    <row r="802" spans="1:6" x14ac:dyDescent="0.25">
      <c r="A802" s="13"/>
      <c r="B802" s="13"/>
      <c r="C802" s="13"/>
      <c r="D802" s="13" t="s">
        <v>17</v>
      </c>
      <c r="E802" s="13" t="s">
        <v>58</v>
      </c>
      <c r="F802" s="13" t="s">
        <v>49</v>
      </c>
    </row>
    <row r="803" spans="1:6" x14ac:dyDescent="0.25">
      <c r="A803" s="13"/>
      <c r="B803" s="13"/>
      <c r="C803" s="13"/>
      <c r="D803" s="13" t="s">
        <v>17</v>
      </c>
      <c r="E803" s="13" t="s">
        <v>58</v>
      </c>
      <c r="F803" s="13" t="s">
        <v>50</v>
      </c>
    </row>
    <row r="804" spans="1:6" x14ac:dyDescent="0.25">
      <c r="A804" s="13"/>
      <c r="B804" s="13"/>
      <c r="C804" s="13"/>
      <c r="D804" s="13" t="s">
        <v>17</v>
      </c>
      <c r="E804" s="13" t="s">
        <v>58</v>
      </c>
      <c r="F804" s="13" t="s">
        <v>51</v>
      </c>
    </row>
    <row r="805" spans="1:6" x14ac:dyDescent="0.25">
      <c r="A805" s="13"/>
      <c r="B805" s="13"/>
      <c r="C805" s="13"/>
      <c r="D805" s="13" t="s">
        <v>17</v>
      </c>
      <c r="E805" s="13" t="s">
        <v>58</v>
      </c>
      <c r="F805" s="13" t="s">
        <v>93</v>
      </c>
    </row>
    <row r="806" spans="1:6" x14ac:dyDescent="0.25">
      <c r="A806" s="13"/>
      <c r="B806" s="13"/>
      <c r="C806" s="13"/>
      <c r="D806" s="13" t="s">
        <v>17</v>
      </c>
      <c r="E806" s="13" t="s">
        <v>18</v>
      </c>
      <c r="F806" s="13" t="s">
        <v>57</v>
      </c>
    </row>
    <row r="807" spans="1:6" x14ac:dyDescent="0.25">
      <c r="A807" s="13"/>
      <c r="B807" s="13"/>
      <c r="C807" s="13"/>
      <c r="D807" s="13" t="s">
        <v>17</v>
      </c>
      <c r="E807" s="13" t="s">
        <v>18</v>
      </c>
      <c r="F807" s="13" t="s">
        <v>52</v>
      </c>
    </row>
    <row r="808" spans="1:6" x14ac:dyDescent="0.25">
      <c r="A808" s="13"/>
      <c r="B808" s="13"/>
      <c r="C808" s="13"/>
      <c r="D808" s="13" t="s">
        <v>17</v>
      </c>
      <c r="E808" s="13" t="s">
        <v>18</v>
      </c>
      <c r="F808" s="13" t="s">
        <v>53</v>
      </c>
    </row>
    <row r="809" spans="1:6" x14ac:dyDescent="0.25">
      <c r="A809" s="13"/>
      <c r="B809" s="13"/>
      <c r="C809" s="13"/>
      <c r="D809" s="13" t="s">
        <v>17</v>
      </c>
      <c r="E809" s="13" t="s">
        <v>18</v>
      </c>
      <c r="F809" s="13" t="s">
        <v>54</v>
      </c>
    </row>
    <row r="810" spans="1:6" x14ac:dyDescent="0.25">
      <c r="A810" s="13"/>
      <c r="B810" s="13"/>
      <c r="C810" s="13"/>
      <c r="D810" s="13" t="s">
        <v>17</v>
      </c>
      <c r="E810" s="13" t="s">
        <v>18</v>
      </c>
      <c r="F810" s="13" t="s">
        <v>15</v>
      </c>
    </row>
    <row r="811" spans="1:6" x14ac:dyDescent="0.25">
      <c r="A811" s="13"/>
      <c r="B811" s="13"/>
      <c r="C811" s="13"/>
      <c r="D811" s="13" t="s">
        <v>17</v>
      </c>
      <c r="E811" s="13" t="s">
        <v>18</v>
      </c>
      <c r="F811" s="13" t="s">
        <v>55</v>
      </c>
    </row>
    <row r="812" spans="1:6" x14ac:dyDescent="0.25">
      <c r="A812" s="13"/>
      <c r="B812" s="13"/>
      <c r="C812" s="13"/>
      <c r="D812" s="13" t="s">
        <v>17</v>
      </c>
      <c r="E812" s="13" t="s">
        <v>18</v>
      </c>
      <c r="F812" s="13" t="s">
        <v>56</v>
      </c>
    </row>
    <row r="813" spans="1:6" x14ac:dyDescent="0.25">
      <c r="A813" s="13"/>
      <c r="B813" s="13"/>
      <c r="C813" s="13"/>
      <c r="D813" s="13" t="s">
        <v>17</v>
      </c>
      <c r="E813" s="13" t="s">
        <v>18</v>
      </c>
      <c r="F813" s="13" t="s">
        <v>44</v>
      </c>
    </row>
    <row r="814" spans="1:6" x14ac:dyDescent="0.25">
      <c r="A814" s="13"/>
      <c r="B814" s="13"/>
      <c r="C814" s="13"/>
      <c r="D814" s="13" t="s">
        <v>17</v>
      </c>
      <c r="E814" s="13" t="s">
        <v>18</v>
      </c>
      <c r="F814" s="13" t="s">
        <v>45</v>
      </c>
    </row>
    <row r="815" spans="1:6" x14ac:dyDescent="0.25">
      <c r="A815" s="13"/>
      <c r="B815" s="13"/>
      <c r="C815" s="13"/>
      <c r="D815" s="13" t="s">
        <v>17</v>
      </c>
      <c r="E815" s="13" t="s">
        <v>18</v>
      </c>
      <c r="F815" s="13" t="s">
        <v>46</v>
      </c>
    </row>
    <row r="816" spans="1:6" x14ac:dyDescent="0.25">
      <c r="A816" s="13"/>
      <c r="B816" s="13"/>
      <c r="C816" s="13"/>
      <c r="D816" s="13" t="s">
        <v>17</v>
      </c>
      <c r="E816" s="13" t="s">
        <v>18</v>
      </c>
      <c r="F816" s="13" t="s">
        <v>47</v>
      </c>
    </row>
    <row r="817" spans="1:6" x14ac:dyDescent="0.25">
      <c r="A817" s="13"/>
      <c r="B817" s="13"/>
      <c r="C817" s="13"/>
      <c r="D817" s="13" t="s">
        <v>17</v>
      </c>
      <c r="E817" s="13" t="s">
        <v>18</v>
      </c>
      <c r="F817" s="13" t="s">
        <v>48</v>
      </c>
    </row>
    <row r="818" spans="1:6" x14ac:dyDescent="0.25">
      <c r="A818" s="13"/>
      <c r="B818" s="13"/>
      <c r="C818" s="13"/>
      <c r="D818" s="13" t="s">
        <v>17</v>
      </c>
      <c r="E818" s="13" t="s">
        <v>18</v>
      </c>
      <c r="F818" s="13" t="s">
        <v>49</v>
      </c>
    </row>
    <row r="819" spans="1:6" x14ac:dyDescent="0.25">
      <c r="A819" s="13"/>
      <c r="B819" s="13"/>
      <c r="C819" s="13"/>
      <c r="D819" s="13" t="s">
        <v>17</v>
      </c>
      <c r="E819" s="13" t="s">
        <v>18</v>
      </c>
      <c r="F819" s="13" t="s">
        <v>50</v>
      </c>
    </row>
    <row r="820" spans="1:6" x14ac:dyDescent="0.25">
      <c r="A820" s="13"/>
      <c r="B820" s="13"/>
      <c r="C820" s="13"/>
      <c r="D820" s="13" t="s">
        <v>17</v>
      </c>
      <c r="E820" s="13" t="s">
        <v>18</v>
      </c>
      <c r="F820" s="13" t="s">
        <v>51</v>
      </c>
    </row>
    <row r="821" spans="1:6" x14ac:dyDescent="0.25">
      <c r="A821" s="13"/>
      <c r="B821" s="13"/>
      <c r="C821" s="13"/>
      <c r="D821" s="13" t="s">
        <v>17</v>
      </c>
      <c r="E821" s="13" t="s">
        <v>18</v>
      </c>
      <c r="F821" s="13" t="s">
        <v>93</v>
      </c>
    </row>
    <row r="822" spans="1:6" x14ac:dyDescent="0.25">
      <c r="A822" s="13"/>
      <c r="B822" s="13"/>
      <c r="C822" s="13"/>
      <c r="D822" s="13" t="s">
        <v>17</v>
      </c>
      <c r="E822" s="13" t="s">
        <v>61</v>
      </c>
      <c r="F822" s="13" t="s">
        <v>57</v>
      </c>
    </row>
    <row r="823" spans="1:6" x14ac:dyDescent="0.25">
      <c r="A823" s="13"/>
      <c r="B823" s="13"/>
      <c r="C823" s="13"/>
      <c r="D823" s="13" t="s">
        <v>17</v>
      </c>
      <c r="E823" s="13" t="s">
        <v>61</v>
      </c>
      <c r="F823" s="13" t="s">
        <v>52</v>
      </c>
    </row>
    <row r="824" spans="1:6" x14ac:dyDescent="0.25">
      <c r="A824" s="13"/>
      <c r="B824" s="13"/>
      <c r="C824" s="13"/>
      <c r="D824" s="13" t="s">
        <v>17</v>
      </c>
      <c r="E824" s="13" t="s">
        <v>61</v>
      </c>
      <c r="F824" s="13" t="s">
        <v>53</v>
      </c>
    </row>
    <row r="825" spans="1:6" x14ac:dyDescent="0.25">
      <c r="A825" s="13"/>
      <c r="B825" s="13"/>
      <c r="C825" s="13"/>
      <c r="D825" s="13" t="s">
        <v>17</v>
      </c>
      <c r="E825" s="13" t="s">
        <v>61</v>
      </c>
      <c r="F825" s="13" t="s">
        <v>54</v>
      </c>
    </row>
    <row r="826" spans="1:6" x14ac:dyDescent="0.25">
      <c r="A826" s="13"/>
      <c r="B826" s="13"/>
      <c r="C826" s="13"/>
      <c r="D826" s="13" t="s">
        <v>17</v>
      </c>
      <c r="E826" s="13" t="s">
        <v>61</v>
      </c>
      <c r="F826" s="13" t="s">
        <v>15</v>
      </c>
    </row>
    <row r="827" spans="1:6" x14ac:dyDescent="0.25">
      <c r="A827" s="13"/>
      <c r="B827" s="13"/>
      <c r="C827" s="13"/>
      <c r="D827" s="13" t="s">
        <v>17</v>
      </c>
      <c r="E827" s="13" t="s">
        <v>61</v>
      </c>
      <c r="F827" s="13" t="s">
        <v>55</v>
      </c>
    </row>
    <row r="828" spans="1:6" x14ac:dyDescent="0.25">
      <c r="A828" s="13"/>
      <c r="B828" s="13"/>
      <c r="C828" s="13"/>
      <c r="D828" s="13" t="s">
        <v>17</v>
      </c>
      <c r="E828" s="13" t="s">
        <v>61</v>
      </c>
      <c r="F828" s="13" t="s">
        <v>56</v>
      </c>
    </row>
    <row r="829" spans="1:6" x14ac:dyDescent="0.25">
      <c r="A829" s="13"/>
      <c r="B829" s="13"/>
      <c r="C829" s="13"/>
      <c r="D829" s="13" t="s">
        <v>17</v>
      </c>
      <c r="E829" s="13" t="s">
        <v>61</v>
      </c>
      <c r="F829" s="13" t="s">
        <v>44</v>
      </c>
    </row>
    <row r="830" spans="1:6" x14ac:dyDescent="0.25">
      <c r="A830" s="13"/>
      <c r="B830" s="13"/>
      <c r="C830" s="13"/>
      <c r="D830" s="13" t="s">
        <v>17</v>
      </c>
      <c r="E830" s="13" t="s">
        <v>61</v>
      </c>
      <c r="F830" s="13" t="s">
        <v>45</v>
      </c>
    </row>
    <row r="831" spans="1:6" x14ac:dyDescent="0.25">
      <c r="A831" s="13"/>
      <c r="B831" s="13"/>
      <c r="C831" s="13"/>
      <c r="D831" s="13" t="s">
        <v>17</v>
      </c>
      <c r="E831" s="13" t="s">
        <v>61</v>
      </c>
      <c r="F831" s="13" t="s">
        <v>46</v>
      </c>
    </row>
    <row r="832" spans="1:6" x14ac:dyDescent="0.25">
      <c r="A832" s="13"/>
      <c r="B832" s="13"/>
      <c r="C832" s="13"/>
      <c r="D832" s="13" t="s">
        <v>17</v>
      </c>
      <c r="E832" s="13" t="s">
        <v>61</v>
      </c>
      <c r="F832" s="13" t="s">
        <v>47</v>
      </c>
    </row>
    <row r="833" spans="1:6" x14ac:dyDescent="0.25">
      <c r="A833" s="13"/>
      <c r="B833" s="13"/>
      <c r="C833" s="13"/>
      <c r="D833" s="13" t="s">
        <v>17</v>
      </c>
      <c r="E833" s="13" t="s">
        <v>61</v>
      </c>
      <c r="F833" s="13" t="s">
        <v>48</v>
      </c>
    </row>
    <row r="834" spans="1:6" x14ac:dyDescent="0.25">
      <c r="A834" s="13"/>
      <c r="B834" s="13"/>
      <c r="C834" s="13"/>
      <c r="D834" s="13" t="s">
        <v>17</v>
      </c>
      <c r="E834" s="13" t="s">
        <v>61</v>
      </c>
      <c r="F834" s="13" t="s">
        <v>49</v>
      </c>
    </row>
    <row r="835" spans="1:6" x14ac:dyDescent="0.25">
      <c r="A835" s="13"/>
      <c r="B835" s="13"/>
      <c r="C835" s="13"/>
      <c r="D835" s="13" t="s">
        <v>17</v>
      </c>
      <c r="E835" s="13" t="s">
        <v>61</v>
      </c>
      <c r="F835" s="13" t="s">
        <v>50</v>
      </c>
    </row>
    <row r="836" spans="1:6" x14ac:dyDescent="0.25">
      <c r="A836" s="13"/>
      <c r="B836" s="13"/>
      <c r="C836" s="13"/>
      <c r="D836" s="13" t="s">
        <v>17</v>
      </c>
      <c r="E836" s="13" t="s">
        <v>61</v>
      </c>
      <c r="F836" s="13" t="s">
        <v>51</v>
      </c>
    </row>
    <row r="837" spans="1:6" x14ac:dyDescent="0.25">
      <c r="A837" s="13"/>
      <c r="B837" s="13"/>
      <c r="C837" s="13"/>
      <c r="D837" s="13" t="s">
        <v>17</v>
      </c>
      <c r="E837" s="13" t="s">
        <v>61</v>
      </c>
      <c r="F837" s="13" t="s">
        <v>93</v>
      </c>
    </row>
    <row r="838" spans="1:6" x14ac:dyDescent="0.25">
      <c r="A838" s="13"/>
      <c r="B838" s="13"/>
      <c r="C838" s="13"/>
      <c r="D838" s="13" t="s">
        <v>17</v>
      </c>
      <c r="E838" s="13" t="s">
        <v>68</v>
      </c>
      <c r="F838" s="13" t="s">
        <v>57</v>
      </c>
    </row>
    <row r="839" spans="1:6" x14ac:dyDescent="0.25">
      <c r="A839" s="13"/>
      <c r="B839" s="13"/>
      <c r="C839" s="13"/>
      <c r="D839" s="13" t="s">
        <v>17</v>
      </c>
      <c r="E839" s="13" t="s">
        <v>68</v>
      </c>
      <c r="F839" s="13" t="s">
        <v>52</v>
      </c>
    </row>
    <row r="840" spans="1:6" x14ac:dyDescent="0.25">
      <c r="A840" s="13"/>
      <c r="B840" s="13"/>
      <c r="C840" s="13"/>
      <c r="D840" s="13" t="s">
        <v>17</v>
      </c>
      <c r="E840" s="13" t="s">
        <v>68</v>
      </c>
      <c r="F840" s="13" t="s">
        <v>53</v>
      </c>
    </row>
    <row r="841" spans="1:6" x14ac:dyDescent="0.25">
      <c r="A841" s="13"/>
      <c r="B841" s="13"/>
      <c r="C841" s="13"/>
      <c r="D841" s="13" t="s">
        <v>17</v>
      </c>
      <c r="E841" s="13" t="s">
        <v>68</v>
      </c>
      <c r="F841" s="13" t="s">
        <v>54</v>
      </c>
    </row>
    <row r="842" spans="1:6" x14ac:dyDescent="0.25">
      <c r="A842" s="13"/>
      <c r="B842" s="13"/>
      <c r="C842" s="13"/>
      <c r="D842" s="13" t="s">
        <v>17</v>
      </c>
      <c r="E842" s="13" t="s">
        <v>68</v>
      </c>
      <c r="F842" s="13" t="s">
        <v>15</v>
      </c>
    </row>
    <row r="843" spans="1:6" x14ac:dyDescent="0.25">
      <c r="A843" s="13"/>
      <c r="B843" s="13"/>
      <c r="C843" s="13"/>
      <c r="D843" s="13" t="s">
        <v>17</v>
      </c>
      <c r="E843" s="13" t="s">
        <v>68</v>
      </c>
      <c r="F843" s="13" t="s">
        <v>55</v>
      </c>
    </row>
    <row r="844" spans="1:6" x14ac:dyDescent="0.25">
      <c r="A844" s="13"/>
      <c r="B844" s="13"/>
      <c r="C844" s="13"/>
      <c r="D844" s="13" t="s">
        <v>17</v>
      </c>
      <c r="E844" s="13" t="s">
        <v>68</v>
      </c>
      <c r="F844" s="13" t="s">
        <v>56</v>
      </c>
    </row>
    <row r="845" spans="1:6" x14ac:dyDescent="0.25">
      <c r="A845" s="13"/>
      <c r="B845" s="13"/>
      <c r="C845" s="13"/>
      <c r="D845" s="13" t="s">
        <v>17</v>
      </c>
      <c r="E845" s="13" t="s">
        <v>68</v>
      </c>
      <c r="F845" s="13" t="s">
        <v>44</v>
      </c>
    </row>
    <row r="846" spans="1:6" x14ac:dyDescent="0.25">
      <c r="A846" s="13"/>
      <c r="B846" s="13"/>
      <c r="C846" s="13"/>
      <c r="D846" s="13" t="s">
        <v>17</v>
      </c>
      <c r="E846" s="13" t="s">
        <v>68</v>
      </c>
      <c r="F846" s="13" t="s">
        <v>45</v>
      </c>
    </row>
    <row r="847" spans="1:6" x14ac:dyDescent="0.25">
      <c r="A847" s="13"/>
      <c r="B847" s="13"/>
      <c r="C847" s="13"/>
      <c r="D847" s="13" t="s">
        <v>17</v>
      </c>
      <c r="E847" s="13" t="s">
        <v>68</v>
      </c>
      <c r="F847" s="13" t="s">
        <v>46</v>
      </c>
    </row>
    <row r="848" spans="1:6" x14ac:dyDescent="0.25">
      <c r="A848" s="13"/>
      <c r="B848" s="13"/>
      <c r="C848" s="13"/>
      <c r="D848" s="13" t="s">
        <v>17</v>
      </c>
      <c r="E848" s="13" t="s">
        <v>68</v>
      </c>
      <c r="F848" s="13" t="s">
        <v>47</v>
      </c>
    </row>
    <row r="849" spans="1:6" x14ac:dyDescent="0.25">
      <c r="A849" s="13"/>
      <c r="B849" s="13"/>
      <c r="C849" s="13"/>
      <c r="D849" s="13" t="s">
        <v>17</v>
      </c>
      <c r="E849" s="13" t="s">
        <v>68</v>
      </c>
      <c r="F849" s="13" t="s">
        <v>48</v>
      </c>
    </row>
    <row r="850" spans="1:6" x14ac:dyDescent="0.25">
      <c r="A850" s="13"/>
      <c r="B850" s="13"/>
      <c r="C850" s="13"/>
      <c r="D850" s="13" t="s">
        <v>17</v>
      </c>
      <c r="E850" s="13" t="s">
        <v>68</v>
      </c>
      <c r="F850" s="13" t="s">
        <v>49</v>
      </c>
    </row>
    <row r="851" spans="1:6" x14ac:dyDescent="0.25">
      <c r="A851" s="13"/>
      <c r="B851" s="13"/>
      <c r="C851" s="13"/>
      <c r="D851" s="13" t="s">
        <v>17</v>
      </c>
      <c r="E851" s="13" t="s">
        <v>68</v>
      </c>
      <c r="F851" s="13" t="s">
        <v>50</v>
      </c>
    </row>
    <row r="852" spans="1:6" x14ac:dyDescent="0.25">
      <c r="A852" s="13"/>
      <c r="B852" s="13"/>
      <c r="C852" s="13"/>
      <c r="D852" s="13" t="s">
        <v>17</v>
      </c>
      <c r="E852" s="13" t="s">
        <v>68</v>
      </c>
      <c r="F852" s="13" t="s">
        <v>51</v>
      </c>
    </row>
    <row r="853" spans="1:6" x14ac:dyDescent="0.25">
      <c r="A853" s="13"/>
      <c r="B853" s="13"/>
      <c r="C853" s="13"/>
      <c r="D853" s="13" t="s">
        <v>17</v>
      </c>
      <c r="E853" s="13" t="s">
        <v>68</v>
      </c>
      <c r="F853" s="13" t="s">
        <v>93</v>
      </c>
    </row>
    <row r="854" spans="1:6" x14ac:dyDescent="0.25">
      <c r="A854" s="13"/>
      <c r="B854" s="13"/>
      <c r="C854" s="13"/>
      <c r="D854" s="13" t="s">
        <v>17</v>
      </c>
      <c r="E854" s="13" t="s">
        <v>79</v>
      </c>
      <c r="F854" s="13" t="s">
        <v>57</v>
      </c>
    </row>
    <row r="855" spans="1:6" x14ac:dyDescent="0.25">
      <c r="A855" s="13"/>
      <c r="B855" s="13"/>
      <c r="C855" s="13"/>
      <c r="D855" s="13" t="s">
        <v>17</v>
      </c>
      <c r="E855" s="13" t="s">
        <v>79</v>
      </c>
      <c r="F855" s="13" t="s">
        <v>52</v>
      </c>
    </row>
    <row r="856" spans="1:6" x14ac:dyDescent="0.25">
      <c r="A856" s="13"/>
      <c r="B856" s="13"/>
      <c r="C856" s="13"/>
      <c r="D856" s="13" t="s">
        <v>17</v>
      </c>
      <c r="E856" s="13" t="s">
        <v>79</v>
      </c>
      <c r="F856" s="13" t="s">
        <v>53</v>
      </c>
    </row>
    <row r="857" spans="1:6" x14ac:dyDescent="0.25">
      <c r="A857" s="13"/>
      <c r="B857" s="13"/>
      <c r="C857" s="13"/>
      <c r="D857" s="13" t="s">
        <v>17</v>
      </c>
      <c r="E857" s="13" t="s">
        <v>79</v>
      </c>
      <c r="F857" s="13" t="s">
        <v>54</v>
      </c>
    </row>
    <row r="858" spans="1:6" x14ac:dyDescent="0.25">
      <c r="A858" s="13"/>
      <c r="B858" s="13"/>
      <c r="C858" s="13"/>
      <c r="D858" s="13" t="s">
        <v>17</v>
      </c>
      <c r="E858" s="13" t="s">
        <v>79</v>
      </c>
      <c r="F858" s="13" t="s">
        <v>15</v>
      </c>
    </row>
    <row r="859" spans="1:6" x14ac:dyDescent="0.25">
      <c r="A859" s="13"/>
      <c r="B859" s="13"/>
      <c r="C859" s="13"/>
      <c r="D859" s="13" t="s">
        <v>17</v>
      </c>
      <c r="E859" s="13" t="s">
        <v>79</v>
      </c>
      <c r="F859" s="13" t="s">
        <v>55</v>
      </c>
    </row>
    <row r="860" spans="1:6" x14ac:dyDescent="0.25">
      <c r="A860" s="13"/>
      <c r="B860" s="13"/>
      <c r="C860" s="13"/>
      <c r="D860" s="13" t="s">
        <v>17</v>
      </c>
      <c r="E860" s="13" t="s">
        <v>79</v>
      </c>
      <c r="F860" s="13" t="s">
        <v>56</v>
      </c>
    </row>
    <row r="861" spans="1:6" x14ac:dyDescent="0.25">
      <c r="A861" s="13"/>
      <c r="B861" s="13"/>
      <c r="C861" s="13"/>
      <c r="D861" s="13" t="s">
        <v>17</v>
      </c>
      <c r="E861" s="13" t="s">
        <v>79</v>
      </c>
      <c r="F861" s="13" t="s">
        <v>44</v>
      </c>
    </row>
    <row r="862" spans="1:6" x14ac:dyDescent="0.25">
      <c r="A862" s="13"/>
      <c r="B862" s="13"/>
      <c r="C862" s="13"/>
      <c r="D862" s="13" t="s">
        <v>17</v>
      </c>
      <c r="E862" s="13" t="s">
        <v>79</v>
      </c>
      <c r="F862" s="13" t="s">
        <v>45</v>
      </c>
    </row>
    <row r="863" spans="1:6" x14ac:dyDescent="0.25">
      <c r="A863" s="13"/>
      <c r="B863" s="13"/>
      <c r="C863" s="13"/>
      <c r="D863" s="13" t="s">
        <v>17</v>
      </c>
      <c r="E863" s="13" t="s">
        <v>79</v>
      </c>
      <c r="F863" s="13" t="s">
        <v>46</v>
      </c>
    </row>
    <row r="864" spans="1:6" x14ac:dyDescent="0.25">
      <c r="A864" s="13"/>
      <c r="B864" s="13"/>
      <c r="C864" s="13"/>
      <c r="D864" s="13" t="s">
        <v>17</v>
      </c>
      <c r="E864" s="13" t="s">
        <v>79</v>
      </c>
      <c r="F864" s="13" t="s">
        <v>47</v>
      </c>
    </row>
    <row r="865" spans="1:6" x14ac:dyDescent="0.25">
      <c r="A865" s="13"/>
      <c r="B865" s="13"/>
      <c r="C865" s="13"/>
      <c r="D865" s="13" t="s">
        <v>17</v>
      </c>
      <c r="E865" s="13" t="s">
        <v>79</v>
      </c>
      <c r="F865" s="13" t="s">
        <v>48</v>
      </c>
    </row>
    <row r="866" spans="1:6" x14ac:dyDescent="0.25">
      <c r="A866" s="13"/>
      <c r="B866" s="13"/>
      <c r="C866" s="13"/>
      <c r="D866" s="13" t="s">
        <v>17</v>
      </c>
      <c r="E866" s="13" t="s">
        <v>79</v>
      </c>
      <c r="F866" s="13" t="s">
        <v>49</v>
      </c>
    </row>
    <row r="867" spans="1:6" x14ac:dyDescent="0.25">
      <c r="A867" s="13"/>
      <c r="B867" s="13"/>
      <c r="C867" s="13"/>
      <c r="D867" s="13" t="s">
        <v>17</v>
      </c>
      <c r="E867" s="13" t="s">
        <v>79</v>
      </c>
      <c r="F867" s="13" t="s">
        <v>50</v>
      </c>
    </row>
    <row r="868" spans="1:6" x14ac:dyDescent="0.25">
      <c r="A868" s="13"/>
      <c r="B868" s="13"/>
      <c r="C868" s="13"/>
      <c r="D868" s="13" t="s">
        <v>17</v>
      </c>
      <c r="E868" s="13" t="s">
        <v>79</v>
      </c>
      <c r="F868" s="13" t="s">
        <v>51</v>
      </c>
    </row>
    <row r="869" spans="1:6" x14ac:dyDescent="0.25">
      <c r="A869" s="13"/>
      <c r="B869" s="13"/>
      <c r="C869" s="13"/>
      <c r="D869" s="13" t="s">
        <v>17</v>
      </c>
      <c r="E869" s="13" t="s">
        <v>79</v>
      </c>
      <c r="F869" s="13" t="s">
        <v>93</v>
      </c>
    </row>
    <row r="870" spans="1:6" x14ac:dyDescent="0.25">
      <c r="A870" s="13"/>
      <c r="B870" s="13"/>
      <c r="C870" s="13"/>
      <c r="D870" s="13" t="s">
        <v>17</v>
      </c>
      <c r="E870" s="13" t="s">
        <v>144</v>
      </c>
      <c r="F870" s="13" t="s">
        <v>57</v>
      </c>
    </row>
    <row r="871" spans="1:6" x14ac:dyDescent="0.25">
      <c r="A871" s="13"/>
      <c r="B871" s="13"/>
      <c r="C871" s="13"/>
      <c r="D871" s="13" t="s">
        <v>17</v>
      </c>
      <c r="E871" s="13" t="s">
        <v>144</v>
      </c>
      <c r="F871" s="13" t="s">
        <v>52</v>
      </c>
    </row>
    <row r="872" spans="1:6" x14ac:dyDescent="0.25">
      <c r="A872" s="13"/>
      <c r="B872" s="13"/>
      <c r="C872" s="13"/>
      <c r="D872" s="13" t="s">
        <v>17</v>
      </c>
      <c r="E872" s="13" t="s">
        <v>144</v>
      </c>
      <c r="F872" s="13" t="s">
        <v>53</v>
      </c>
    </row>
    <row r="873" spans="1:6" x14ac:dyDescent="0.25">
      <c r="A873" s="13"/>
      <c r="B873" s="13"/>
      <c r="C873" s="13"/>
      <c r="D873" s="13" t="s">
        <v>17</v>
      </c>
      <c r="E873" s="13" t="s">
        <v>144</v>
      </c>
      <c r="F873" s="13" t="s">
        <v>54</v>
      </c>
    </row>
    <row r="874" spans="1:6" x14ac:dyDescent="0.25">
      <c r="A874" s="13"/>
      <c r="B874" s="13"/>
      <c r="C874" s="13"/>
      <c r="D874" s="13" t="s">
        <v>17</v>
      </c>
      <c r="E874" s="13" t="s">
        <v>144</v>
      </c>
      <c r="F874" s="13" t="s">
        <v>15</v>
      </c>
    </row>
    <row r="875" spans="1:6" x14ac:dyDescent="0.25">
      <c r="A875" s="13"/>
      <c r="B875" s="13"/>
      <c r="C875" s="13"/>
      <c r="D875" s="13" t="s">
        <v>17</v>
      </c>
      <c r="E875" s="13" t="s">
        <v>144</v>
      </c>
      <c r="F875" s="13" t="s">
        <v>55</v>
      </c>
    </row>
    <row r="876" spans="1:6" x14ac:dyDescent="0.25">
      <c r="A876" s="13"/>
      <c r="B876" s="13"/>
      <c r="C876" s="13"/>
      <c r="D876" s="13" t="s">
        <v>17</v>
      </c>
      <c r="E876" s="13" t="s">
        <v>144</v>
      </c>
      <c r="F876" s="13" t="s">
        <v>56</v>
      </c>
    </row>
    <row r="877" spans="1:6" x14ac:dyDescent="0.25">
      <c r="A877" s="13"/>
      <c r="B877" s="13"/>
      <c r="C877" s="13"/>
      <c r="D877" s="13" t="s">
        <v>17</v>
      </c>
      <c r="E877" s="13" t="s">
        <v>144</v>
      </c>
      <c r="F877" s="13" t="s">
        <v>44</v>
      </c>
    </row>
    <row r="878" spans="1:6" x14ac:dyDescent="0.25">
      <c r="A878" s="13"/>
      <c r="B878" s="13"/>
      <c r="C878" s="13"/>
      <c r="D878" s="13" t="s">
        <v>17</v>
      </c>
      <c r="E878" s="13" t="s">
        <v>144</v>
      </c>
      <c r="F878" s="13" t="s">
        <v>45</v>
      </c>
    </row>
    <row r="879" spans="1:6" x14ac:dyDescent="0.25">
      <c r="A879" s="13"/>
      <c r="B879" s="13"/>
      <c r="C879" s="13"/>
      <c r="D879" s="13" t="s">
        <v>17</v>
      </c>
      <c r="E879" s="13" t="s">
        <v>144</v>
      </c>
      <c r="F879" s="13" t="s">
        <v>46</v>
      </c>
    </row>
    <row r="880" spans="1:6" x14ac:dyDescent="0.25">
      <c r="A880" s="13"/>
      <c r="B880" s="13"/>
      <c r="C880" s="13"/>
      <c r="D880" s="13" t="s">
        <v>17</v>
      </c>
      <c r="E880" s="13" t="s">
        <v>144</v>
      </c>
      <c r="F880" s="13" t="s">
        <v>47</v>
      </c>
    </row>
    <row r="881" spans="1:6" x14ac:dyDescent="0.25">
      <c r="A881" s="13"/>
      <c r="B881" s="13"/>
      <c r="C881" s="13"/>
      <c r="D881" s="13" t="s">
        <v>17</v>
      </c>
      <c r="E881" s="13" t="s">
        <v>144</v>
      </c>
      <c r="F881" s="13" t="s">
        <v>48</v>
      </c>
    </row>
    <row r="882" spans="1:6" x14ac:dyDescent="0.25">
      <c r="A882" s="13"/>
      <c r="B882" s="13"/>
      <c r="C882" s="13"/>
      <c r="D882" s="13" t="s">
        <v>17</v>
      </c>
      <c r="E882" s="13" t="s">
        <v>144</v>
      </c>
      <c r="F882" s="13" t="s">
        <v>49</v>
      </c>
    </row>
    <row r="883" spans="1:6" x14ac:dyDescent="0.25">
      <c r="A883" s="13"/>
      <c r="B883" s="13"/>
      <c r="C883" s="13"/>
      <c r="D883" s="13" t="s">
        <v>17</v>
      </c>
      <c r="E883" s="13" t="s">
        <v>144</v>
      </c>
      <c r="F883" s="13" t="s">
        <v>50</v>
      </c>
    </row>
    <row r="884" spans="1:6" x14ac:dyDescent="0.25">
      <c r="A884" s="13"/>
      <c r="B884" s="13"/>
      <c r="C884" s="13"/>
      <c r="D884" s="13" t="s">
        <v>17</v>
      </c>
      <c r="E884" s="13" t="s">
        <v>144</v>
      </c>
      <c r="F884" s="13" t="s">
        <v>51</v>
      </c>
    </row>
    <row r="885" spans="1:6" x14ac:dyDescent="0.25">
      <c r="A885" s="13"/>
      <c r="B885" s="13"/>
      <c r="C885" s="13"/>
      <c r="D885" s="13" t="s">
        <v>17</v>
      </c>
      <c r="E885" s="13" t="s">
        <v>144</v>
      </c>
      <c r="F885" s="13" t="s">
        <v>93</v>
      </c>
    </row>
    <row r="886" spans="1:6" x14ac:dyDescent="0.25">
      <c r="A886" s="13"/>
      <c r="B886" s="13"/>
      <c r="C886" s="13"/>
      <c r="D886" s="13" t="s">
        <v>6</v>
      </c>
      <c r="E886" s="13" t="s">
        <v>5</v>
      </c>
      <c r="F886" s="13" t="s">
        <v>57</v>
      </c>
    </row>
    <row r="887" spans="1:6" x14ac:dyDescent="0.25">
      <c r="A887" s="13"/>
      <c r="B887" s="13"/>
      <c r="C887" s="13"/>
      <c r="D887" s="13" t="s">
        <v>6</v>
      </c>
      <c r="E887" s="13" t="s">
        <v>5</v>
      </c>
      <c r="F887" s="13" t="s">
        <v>52</v>
      </c>
    </row>
    <row r="888" spans="1:6" x14ac:dyDescent="0.25">
      <c r="A888" s="13"/>
      <c r="B888" s="13"/>
      <c r="C888" s="13"/>
      <c r="D888" s="13" t="s">
        <v>6</v>
      </c>
      <c r="E888" s="13" t="s">
        <v>5</v>
      </c>
      <c r="F888" s="13" t="s">
        <v>53</v>
      </c>
    </row>
    <row r="889" spans="1:6" x14ac:dyDescent="0.25">
      <c r="A889" s="13"/>
      <c r="B889" s="13"/>
      <c r="C889" s="13"/>
      <c r="D889" s="13" t="s">
        <v>6</v>
      </c>
      <c r="E889" s="13" t="s">
        <v>5</v>
      </c>
      <c r="F889" s="13" t="s">
        <v>54</v>
      </c>
    </row>
    <row r="890" spans="1:6" x14ac:dyDescent="0.25">
      <c r="A890" s="13"/>
      <c r="B890" s="13"/>
      <c r="C890" s="13"/>
      <c r="D890" s="13" t="s">
        <v>6</v>
      </c>
      <c r="E890" s="13" t="s">
        <v>5</v>
      </c>
      <c r="F890" s="13" t="s">
        <v>15</v>
      </c>
    </row>
    <row r="891" spans="1:6" x14ac:dyDescent="0.25">
      <c r="A891" s="13"/>
      <c r="B891" s="13"/>
      <c r="C891" s="13"/>
      <c r="D891" s="13" t="s">
        <v>6</v>
      </c>
      <c r="E891" s="13" t="s">
        <v>5</v>
      </c>
      <c r="F891" s="13" t="s">
        <v>55</v>
      </c>
    </row>
    <row r="892" spans="1:6" x14ac:dyDescent="0.25">
      <c r="A892" s="13"/>
      <c r="B892" s="13"/>
      <c r="C892" s="13"/>
      <c r="D892" s="13" t="s">
        <v>6</v>
      </c>
      <c r="E892" s="13" t="s">
        <v>5</v>
      </c>
      <c r="F892" s="13" t="s">
        <v>56</v>
      </c>
    </row>
    <row r="893" spans="1:6" x14ac:dyDescent="0.25">
      <c r="A893" s="13"/>
      <c r="B893" s="13"/>
      <c r="C893" s="13"/>
      <c r="D893" s="13" t="s">
        <v>6</v>
      </c>
      <c r="E893" s="13" t="s">
        <v>5</v>
      </c>
      <c r="F893" s="13" t="s">
        <v>44</v>
      </c>
    </row>
    <row r="894" spans="1:6" x14ac:dyDescent="0.25">
      <c r="A894" s="13"/>
      <c r="B894" s="13"/>
      <c r="C894" s="13"/>
      <c r="D894" s="13" t="s">
        <v>6</v>
      </c>
      <c r="E894" s="13" t="s">
        <v>5</v>
      </c>
      <c r="F894" s="13" t="s">
        <v>45</v>
      </c>
    </row>
    <row r="895" spans="1:6" x14ac:dyDescent="0.25">
      <c r="A895" s="13"/>
      <c r="B895" s="13"/>
      <c r="C895" s="13"/>
      <c r="D895" s="13" t="s">
        <v>6</v>
      </c>
      <c r="E895" s="13" t="s">
        <v>5</v>
      </c>
      <c r="F895" s="13" t="s">
        <v>46</v>
      </c>
    </row>
    <row r="896" spans="1:6" x14ac:dyDescent="0.25">
      <c r="A896" s="13"/>
      <c r="B896" s="13"/>
      <c r="C896" s="13"/>
      <c r="D896" s="13" t="s">
        <v>6</v>
      </c>
      <c r="E896" s="13" t="s">
        <v>5</v>
      </c>
      <c r="F896" s="13" t="s">
        <v>47</v>
      </c>
    </row>
    <row r="897" spans="1:6" x14ac:dyDescent="0.25">
      <c r="A897" s="13"/>
      <c r="B897" s="13"/>
      <c r="C897" s="13"/>
      <c r="D897" s="13" t="s">
        <v>6</v>
      </c>
      <c r="E897" s="13" t="s">
        <v>5</v>
      </c>
      <c r="F897" s="13" t="s">
        <v>48</v>
      </c>
    </row>
    <row r="898" spans="1:6" x14ac:dyDescent="0.25">
      <c r="A898" s="13"/>
      <c r="B898" s="13"/>
      <c r="C898" s="13"/>
      <c r="D898" s="13" t="s">
        <v>6</v>
      </c>
      <c r="E898" s="13" t="s">
        <v>5</v>
      </c>
      <c r="F898" s="13" t="s">
        <v>49</v>
      </c>
    </row>
    <row r="899" spans="1:6" x14ac:dyDescent="0.25">
      <c r="A899" s="13"/>
      <c r="B899" s="13"/>
      <c r="C899" s="13"/>
      <c r="D899" s="13" t="s">
        <v>6</v>
      </c>
      <c r="E899" s="13" t="s">
        <v>5</v>
      </c>
      <c r="F899" s="13" t="s">
        <v>50</v>
      </c>
    </row>
    <row r="900" spans="1:6" x14ac:dyDescent="0.25">
      <c r="A900" s="13"/>
      <c r="B900" s="13"/>
      <c r="C900" s="13"/>
      <c r="D900" s="13" t="s">
        <v>6</v>
      </c>
      <c r="E900" s="13" t="s">
        <v>5</v>
      </c>
      <c r="F900" s="13" t="s">
        <v>51</v>
      </c>
    </row>
    <row r="901" spans="1:6" x14ac:dyDescent="0.25">
      <c r="A901" s="13"/>
      <c r="B901" s="13"/>
      <c r="C901" s="13"/>
      <c r="D901" s="13" t="s">
        <v>6</v>
      </c>
      <c r="E901" s="13" t="s">
        <v>5</v>
      </c>
      <c r="F901" s="13" t="s">
        <v>93</v>
      </c>
    </row>
    <row r="902" spans="1:6" x14ac:dyDescent="0.25">
      <c r="A902" s="13"/>
      <c r="B902" s="13"/>
      <c r="C902" s="13"/>
      <c r="D902" s="13" t="s">
        <v>6</v>
      </c>
      <c r="E902" s="13" t="s">
        <v>43</v>
      </c>
      <c r="F902" s="13" t="s">
        <v>57</v>
      </c>
    </row>
    <row r="903" spans="1:6" x14ac:dyDescent="0.25">
      <c r="A903" s="13"/>
      <c r="B903" s="13"/>
      <c r="C903" s="13"/>
      <c r="D903" s="13" t="s">
        <v>6</v>
      </c>
      <c r="E903" s="13" t="s">
        <v>43</v>
      </c>
      <c r="F903" s="13" t="s">
        <v>52</v>
      </c>
    </row>
    <row r="904" spans="1:6" x14ac:dyDescent="0.25">
      <c r="A904" s="13"/>
      <c r="B904" s="13"/>
      <c r="C904" s="13"/>
      <c r="D904" s="13" t="s">
        <v>6</v>
      </c>
      <c r="E904" s="13" t="s">
        <v>43</v>
      </c>
      <c r="F904" s="13" t="s">
        <v>53</v>
      </c>
    </row>
    <row r="905" spans="1:6" x14ac:dyDescent="0.25">
      <c r="A905" s="13"/>
      <c r="B905" s="13"/>
      <c r="C905" s="13"/>
      <c r="D905" s="13" t="s">
        <v>6</v>
      </c>
      <c r="E905" s="13" t="s">
        <v>43</v>
      </c>
      <c r="F905" s="13" t="s">
        <v>54</v>
      </c>
    </row>
    <row r="906" spans="1:6" x14ac:dyDescent="0.25">
      <c r="A906" s="13"/>
      <c r="B906" s="13"/>
      <c r="C906" s="13"/>
      <c r="D906" s="13" t="s">
        <v>6</v>
      </c>
      <c r="E906" s="13" t="s">
        <v>43</v>
      </c>
      <c r="F906" s="13" t="s">
        <v>15</v>
      </c>
    </row>
    <row r="907" spans="1:6" x14ac:dyDescent="0.25">
      <c r="A907" s="13"/>
      <c r="B907" s="13"/>
      <c r="C907" s="13"/>
      <c r="D907" s="13" t="s">
        <v>6</v>
      </c>
      <c r="E907" s="13" t="s">
        <v>43</v>
      </c>
      <c r="F907" s="13" t="s">
        <v>55</v>
      </c>
    </row>
    <row r="908" spans="1:6" x14ac:dyDescent="0.25">
      <c r="A908" s="13"/>
      <c r="B908" s="13"/>
      <c r="C908" s="13"/>
      <c r="D908" s="13" t="s">
        <v>6</v>
      </c>
      <c r="E908" s="13" t="s">
        <v>43</v>
      </c>
      <c r="F908" s="13" t="s">
        <v>56</v>
      </c>
    </row>
    <row r="909" spans="1:6" x14ac:dyDescent="0.25">
      <c r="A909" s="13"/>
      <c r="B909" s="13"/>
      <c r="C909" s="13"/>
      <c r="D909" s="13" t="s">
        <v>6</v>
      </c>
      <c r="E909" s="13" t="s">
        <v>43</v>
      </c>
      <c r="F909" s="13" t="s">
        <v>44</v>
      </c>
    </row>
    <row r="910" spans="1:6" x14ac:dyDescent="0.25">
      <c r="A910" s="13"/>
      <c r="B910" s="13"/>
      <c r="C910" s="13"/>
      <c r="D910" s="13" t="s">
        <v>6</v>
      </c>
      <c r="E910" s="13" t="s">
        <v>43</v>
      </c>
      <c r="F910" s="13" t="s">
        <v>45</v>
      </c>
    </row>
    <row r="911" spans="1:6" x14ac:dyDescent="0.25">
      <c r="A911" s="13"/>
      <c r="B911" s="13"/>
      <c r="C911" s="13"/>
      <c r="D911" s="13" t="s">
        <v>6</v>
      </c>
      <c r="E911" s="13" t="s">
        <v>43</v>
      </c>
      <c r="F911" s="13" t="s">
        <v>46</v>
      </c>
    </row>
    <row r="912" spans="1:6" x14ac:dyDescent="0.25">
      <c r="A912" s="13"/>
      <c r="B912" s="13"/>
      <c r="C912" s="13"/>
      <c r="D912" s="13" t="s">
        <v>6</v>
      </c>
      <c r="E912" s="13" t="s">
        <v>43</v>
      </c>
      <c r="F912" s="13" t="s">
        <v>47</v>
      </c>
    </row>
    <row r="913" spans="1:6" x14ac:dyDescent="0.25">
      <c r="A913" s="13"/>
      <c r="B913" s="13"/>
      <c r="C913" s="13"/>
      <c r="D913" s="13" t="s">
        <v>6</v>
      </c>
      <c r="E913" s="13" t="s">
        <v>43</v>
      </c>
      <c r="F913" s="13" t="s">
        <v>48</v>
      </c>
    </row>
    <row r="914" spans="1:6" x14ac:dyDescent="0.25">
      <c r="A914" s="13"/>
      <c r="B914" s="13"/>
      <c r="C914" s="13"/>
      <c r="D914" s="13" t="s">
        <v>6</v>
      </c>
      <c r="E914" s="13" t="s">
        <v>43</v>
      </c>
      <c r="F914" s="13" t="s">
        <v>49</v>
      </c>
    </row>
    <row r="915" spans="1:6" x14ac:dyDescent="0.25">
      <c r="A915" s="13"/>
      <c r="B915" s="13"/>
      <c r="C915" s="13"/>
      <c r="D915" s="13" t="s">
        <v>6</v>
      </c>
      <c r="E915" s="13" t="s">
        <v>43</v>
      </c>
      <c r="F915" s="13" t="s">
        <v>50</v>
      </c>
    </row>
    <row r="916" spans="1:6" x14ac:dyDescent="0.25">
      <c r="A916" s="13"/>
      <c r="B916" s="13"/>
      <c r="C916" s="13"/>
      <c r="D916" s="13" t="s">
        <v>6</v>
      </c>
      <c r="E916" s="13" t="s">
        <v>43</v>
      </c>
      <c r="F916" s="13" t="s">
        <v>51</v>
      </c>
    </row>
    <row r="917" spans="1:6" x14ac:dyDescent="0.25">
      <c r="A917" s="13"/>
      <c r="B917" s="13"/>
      <c r="C917" s="13"/>
      <c r="D917" s="13" t="s">
        <v>6</v>
      </c>
      <c r="E917" s="13" t="s">
        <v>43</v>
      </c>
      <c r="F917" s="13" t="s">
        <v>93</v>
      </c>
    </row>
    <row r="918" spans="1:6" x14ac:dyDescent="0.25">
      <c r="A918" s="13"/>
      <c r="B918" s="13"/>
      <c r="C918" s="13"/>
      <c r="D918" s="13" t="s">
        <v>6</v>
      </c>
      <c r="E918" s="13" t="s">
        <v>106</v>
      </c>
      <c r="F918" s="13" t="s">
        <v>57</v>
      </c>
    </row>
    <row r="919" spans="1:6" x14ac:dyDescent="0.25">
      <c r="A919" s="13"/>
      <c r="B919" s="13"/>
      <c r="C919" s="13"/>
      <c r="D919" s="13" t="s">
        <v>6</v>
      </c>
      <c r="E919" s="13" t="s">
        <v>106</v>
      </c>
      <c r="F919" s="13" t="s">
        <v>52</v>
      </c>
    </row>
    <row r="920" spans="1:6" x14ac:dyDescent="0.25">
      <c r="A920" s="13"/>
      <c r="B920" s="13"/>
      <c r="C920" s="13"/>
      <c r="D920" s="13" t="s">
        <v>6</v>
      </c>
      <c r="E920" s="13" t="s">
        <v>106</v>
      </c>
      <c r="F920" s="13" t="s">
        <v>53</v>
      </c>
    </row>
    <row r="921" spans="1:6" x14ac:dyDescent="0.25">
      <c r="A921" s="13"/>
      <c r="B921" s="13"/>
      <c r="C921" s="13"/>
      <c r="D921" s="13" t="s">
        <v>6</v>
      </c>
      <c r="E921" s="13" t="s">
        <v>106</v>
      </c>
      <c r="F921" s="13" t="s">
        <v>54</v>
      </c>
    </row>
    <row r="922" spans="1:6" x14ac:dyDescent="0.25">
      <c r="A922" s="13"/>
      <c r="B922" s="13"/>
      <c r="C922" s="13"/>
      <c r="D922" s="13" t="s">
        <v>6</v>
      </c>
      <c r="E922" s="13" t="s">
        <v>106</v>
      </c>
      <c r="F922" s="13" t="s">
        <v>15</v>
      </c>
    </row>
    <row r="923" spans="1:6" x14ac:dyDescent="0.25">
      <c r="A923" s="13"/>
      <c r="B923" s="13"/>
      <c r="C923" s="13"/>
      <c r="D923" s="13" t="s">
        <v>6</v>
      </c>
      <c r="E923" s="13" t="s">
        <v>106</v>
      </c>
      <c r="F923" s="13" t="s">
        <v>55</v>
      </c>
    </row>
    <row r="924" spans="1:6" x14ac:dyDescent="0.25">
      <c r="A924" s="13"/>
      <c r="B924" s="13"/>
      <c r="C924" s="13"/>
      <c r="D924" s="13" t="s">
        <v>6</v>
      </c>
      <c r="E924" s="13" t="s">
        <v>106</v>
      </c>
      <c r="F924" s="13" t="s">
        <v>56</v>
      </c>
    </row>
    <row r="925" spans="1:6" x14ac:dyDescent="0.25">
      <c r="A925" s="13"/>
      <c r="B925" s="13"/>
      <c r="C925" s="13"/>
      <c r="D925" s="13" t="s">
        <v>6</v>
      </c>
      <c r="E925" s="13" t="s">
        <v>106</v>
      </c>
      <c r="F925" s="13" t="s">
        <v>44</v>
      </c>
    </row>
    <row r="926" spans="1:6" x14ac:dyDescent="0.25">
      <c r="A926" s="13"/>
      <c r="B926" s="13"/>
      <c r="C926" s="13"/>
      <c r="D926" s="13" t="s">
        <v>6</v>
      </c>
      <c r="E926" s="13" t="s">
        <v>106</v>
      </c>
      <c r="F926" s="13" t="s">
        <v>45</v>
      </c>
    </row>
    <row r="927" spans="1:6" x14ac:dyDescent="0.25">
      <c r="A927" s="13"/>
      <c r="B927" s="13"/>
      <c r="C927" s="13"/>
      <c r="D927" s="13" t="s">
        <v>6</v>
      </c>
      <c r="E927" s="13" t="s">
        <v>106</v>
      </c>
      <c r="F927" s="13" t="s">
        <v>46</v>
      </c>
    </row>
    <row r="928" spans="1:6" x14ac:dyDescent="0.25">
      <c r="A928" s="13"/>
      <c r="B928" s="13"/>
      <c r="C928" s="13"/>
      <c r="D928" s="13" t="s">
        <v>6</v>
      </c>
      <c r="E928" s="13" t="s">
        <v>106</v>
      </c>
      <c r="F928" s="13" t="s">
        <v>47</v>
      </c>
    </row>
    <row r="929" spans="1:6" x14ac:dyDescent="0.25">
      <c r="A929" s="13"/>
      <c r="B929" s="13"/>
      <c r="C929" s="13"/>
      <c r="D929" s="13" t="s">
        <v>6</v>
      </c>
      <c r="E929" s="13" t="s">
        <v>106</v>
      </c>
      <c r="F929" s="13" t="s">
        <v>48</v>
      </c>
    </row>
    <row r="930" spans="1:6" x14ac:dyDescent="0.25">
      <c r="A930" s="13"/>
      <c r="B930" s="13"/>
      <c r="C930" s="13"/>
      <c r="D930" s="13" t="s">
        <v>6</v>
      </c>
      <c r="E930" s="13" t="s">
        <v>106</v>
      </c>
      <c r="F930" s="13" t="s">
        <v>49</v>
      </c>
    </row>
    <row r="931" spans="1:6" x14ac:dyDescent="0.25">
      <c r="A931" s="13"/>
      <c r="B931" s="13"/>
      <c r="C931" s="13"/>
      <c r="D931" s="13" t="s">
        <v>6</v>
      </c>
      <c r="E931" s="13" t="s">
        <v>106</v>
      </c>
      <c r="F931" s="13" t="s">
        <v>50</v>
      </c>
    </row>
    <row r="932" spans="1:6" x14ac:dyDescent="0.25">
      <c r="A932" s="13"/>
      <c r="B932" s="13"/>
      <c r="C932" s="13"/>
      <c r="D932" s="13" t="s">
        <v>6</v>
      </c>
      <c r="E932" s="13" t="s">
        <v>106</v>
      </c>
      <c r="F932" s="13" t="s">
        <v>51</v>
      </c>
    </row>
    <row r="933" spans="1:6" x14ac:dyDescent="0.25">
      <c r="A933" s="13"/>
      <c r="B933" s="13"/>
      <c r="C933" s="13"/>
      <c r="D933" s="13" t="s">
        <v>6</v>
      </c>
      <c r="E933" s="13" t="s">
        <v>106</v>
      </c>
      <c r="F933" s="13" t="s">
        <v>93</v>
      </c>
    </row>
    <row r="934" spans="1:6" x14ac:dyDescent="0.25">
      <c r="A934" s="13"/>
      <c r="B934" s="13"/>
      <c r="C934" s="13"/>
      <c r="D934" s="13" t="s">
        <v>6</v>
      </c>
      <c r="E934" s="13" t="s">
        <v>60</v>
      </c>
      <c r="F934" s="13" t="s">
        <v>57</v>
      </c>
    </row>
    <row r="935" spans="1:6" x14ac:dyDescent="0.25">
      <c r="A935" s="13"/>
      <c r="B935" s="13"/>
      <c r="C935" s="13"/>
      <c r="D935" s="13" t="s">
        <v>6</v>
      </c>
      <c r="E935" s="13" t="s">
        <v>60</v>
      </c>
      <c r="F935" s="13" t="s">
        <v>52</v>
      </c>
    </row>
    <row r="936" spans="1:6" x14ac:dyDescent="0.25">
      <c r="A936" s="13"/>
      <c r="B936" s="13"/>
      <c r="C936" s="13"/>
      <c r="D936" s="13" t="s">
        <v>6</v>
      </c>
      <c r="E936" s="13" t="s">
        <v>60</v>
      </c>
      <c r="F936" s="13" t="s">
        <v>53</v>
      </c>
    </row>
    <row r="937" spans="1:6" x14ac:dyDescent="0.25">
      <c r="A937" s="13"/>
      <c r="B937" s="13"/>
      <c r="C937" s="13"/>
      <c r="D937" s="13" t="s">
        <v>6</v>
      </c>
      <c r="E937" s="13" t="s">
        <v>60</v>
      </c>
      <c r="F937" s="13" t="s">
        <v>54</v>
      </c>
    </row>
    <row r="938" spans="1:6" x14ac:dyDescent="0.25">
      <c r="A938" s="13"/>
      <c r="B938" s="13"/>
      <c r="C938" s="13"/>
      <c r="D938" s="13" t="s">
        <v>6</v>
      </c>
      <c r="E938" s="13" t="s">
        <v>60</v>
      </c>
      <c r="F938" s="13" t="s">
        <v>15</v>
      </c>
    </row>
    <row r="939" spans="1:6" x14ac:dyDescent="0.25">
      <c r="A939" s="13"/>
      <c r="B939" s="13"/>
      <c r="C939" s="13"/>
      <c r="D939" s="13" t="s">
        <v>6</v>
      </c>
      <c r="E939" s="13" t="s">
        <v>60</v>
      </c>
      <c r="F939" s="13" t="s">
        <v>55</v>
      </c>
    </row>
    <row r="940" spans="1:6" x14ac:dyDescent="0.25">
      <c r="A940" s="13"/>
      <c r="B940" s="13"/>
      <c r="C940" s="13"/>
      <c r="D940" s="13" t="s">
        <v>6</v>
      </c>
      <c r="E940" s="13" t="s">
        <v>60</v>
      </c>
      <c r="F940" s="13" t="s">
        <v>56</v>
      </c>
    </row>
    <row r="941" spans="1:6" x14ac:dyDescent="0.25">
      <c r="A941" s="13"/>
      <c r="B941" s="13"/>
      <c r="C941" s="13"/>
      <c r="D941" s="13" t="s">
        <v>6</v>
      </c>
      <c r="E941" s="13" t="s">
        <v>60</v>
      </c>
      <c r="F941" s="13" t="s">
        <v>44</v>
      </c>
    </row>
    <row r="942" spans="1:6" x14ac:dyDescent="0.25">
      <c r="A942" s="13"/>
      <c r="B942" s="13"/>
      <c r="C942" s="13"/>
      <c r="D942" s="13" t="s">
        <v>6</v>
      </c>
      <c r="E942" s="13" t="s">
        <v>60</v>
      </c>
      <c r="F942" s="13" t="s">
        <v>45</v>
      </c>
    </row>
    <row r="943" spans="1:6" x14ac:dyDescent="0.25">
      <c r="A943" s="13"/>
      <c r="B943" s="13"/>
      <c r="C943" s="13"/>
      <c r="D943" s="13" t="s">
        <v>6</v>
      </c>
      <c r="E943" s="13" t="s">
        <v>60</v>
      </c>
      <c r="F943" s="13" t="s">
        <v>46</v>
      </c>
    </row>
    <row r="944" spans="1:6" x14ac:dyDescent="0.25">
      <c r="A944" s="13"/>
      <c r="B944" s="13"/>
      <c r="C944" s="13"/>
      <c r="D944" s="13" t="s">
        <v>6</v>
      </c>
      <c r="E944" s="13" t="s">
        <v>60</v>
      </c>
      <c r="F944" s="13" t="s">
        <v>47</v>
      </c>
    </row>
    <row r="945" spans="1:6" x14ac:dyDescent="0.25">
      <c r="A945" s="13"/>
      <c r="B945" s="13"/>
      <c r="C945" s="13"/>
      <c r="D945" s="13" t="s">
        <v>6</v>
      </c>
      <c r="E945" s="13" t="s">
        <v>60</v>
      </c>
      <c r="F945" s="13" t="s">
        <v>48</v>
      </c>
    </row>
    <row r="946" spans="1:6" x14ac:dyDescent="0.25">
      <c r="A946" s="13"/>
      <c r="B946" s="13"/>
      <c r="C946" s="13"/>
      <c r="D946" s="13" t="s">
        <v>6</v>
      </c>
      <c r="E946" s="13" t="s">
        <v>60</v>
      </c>
      <c r="F946" s="13" t="s">
        <v>49</v>
      </c>
    </row>
    <row r="947" spans="1:6" x14ac:dyDescent="0.25">
      <c r="A947" s="13"/>
      <c r="B947" s="13"/>
      <c r="C947" s="13"/>
      <c r="D947" s="13" t="s">
        <v>6</v>
      </c>
      <c r="E947" s="13" t="s">
        <v>60</v>
      </c>
      <c r="F947" s="13" t="s">
        <v>50</v>
      </c>
    </row>
    <row r="948" spans="1:6" x14ac:dyDescent="0.25">
      <c r="A948" s="13"/>
      <c r="B948" s="13"/>
      <c r="C948" s="13"/>
      <c r="D948" s="13" t="s">
        <v>6</v>
      </c>
      <c r="E948" s="13" t="s">
        <v>60</v>
      </c>
      <c r="F948" s="13" t="s">
        <v>51</v>
      </c>
    </row>
    <row r="949" spans="1:6" x14ac:dyDescent="0.25">
      <c r="A949" s="13"/>
      <c r="B949" s="13"/>
      <c r="C949" s="13"/>
      <c r="D949" s="13" t="s">
        <v>6</v>
      </c>
      <c r="E949" s="13" t="s">
        <v>60</v>
      </c>
      <c r="F949" s="13" t="s">
        <v>93</v>
      </c>
    </row>
    <row r="950" spans="1:6" x14ac:dyDescent="0.25">
      <c r="A950" s="13"/>
      <c r="B950" s="13"/>
      <c r="C950" s="13"/>
      <c r="D950" s="13" t="s">
        <v>6</v>
      </c>
      <c r="E950" s="13" t="s">
        <v>62</v>
      </c>
      <c r="F950" s="13" t="s">
        <v>57</v>
      </c>
    </row>
    <row r="951" spans="1:6" x14ac:dyDescent="0.25">
      <c r="A951" s="13"/>
      <c r="B951" s="13"/>
      <c r="C951" s="13"/>
      <c r="D951" s="13" t="s">
        <v>6</v>
      </c>
      <c r="E951" s="13" t="s">
        <v>62</v>
      </c>
      <c r="F951" s="13" t="s">
        <v>52</v>
      </c>
    </row>
    <row r="952" spans="1:6" x14ac:dyDescent="0.25">
      <c r="A952" s="13"/>
      <c r="B952" s="13"/>
      <c r="C952" s="13"/>
      <c r="D952" s="13" t="s">
        <v>6</v>
      </c>
      <c r="E952" s="13" t="s">
        <v>62</v>
      </c>
      <c r="F952" s="13" t="s">
        <v>53</v>
      </c>
    </row>
    <row r="953" spans="1:6" x14ac:dyDescent="0.25">
      <c r="A953" s="13"/>
      <c r="B953" s="13"/>
      <c r="C953" s="13"/>
      <c r="D953" s="13" t="s">
        <v>6</v>
      </c>
      <c r="E953" s="13" t="s">
        <v>62</v>
      </c>
      <c r="F953" s="13" t="s">
        <v>54</v>
      </c>
    </row>
    <row r="954" spans="1:6" x14ac:dyDescent="0.25">
      <c r="A954" s="13"/>
      <c r="B954" s="13"/>
      <c r="C954" s="13"/>
      <c r="D954" s="13" t="s">
        <v>6</v>
      </c>
      <c r="E954" s="13" t="s">
        <v>62</v>
      </c>
      <c r="F954" s="13" t="s">
        <v>15</v>
      </c>
    </row>
    <row r="955" spans="1:6" x14ac:dyDescent="0.25">
      <c r="A955" s="13"/>
      <c r="B955" s="13"/>
      <c r="C955" s="13"/>
      <c r="D955" s="13" t="s">
        <v>6</v>
      </c>
      <c r="E955" s="13" t="s">
        <v>62</v>
      </c>
      <c r="F955" s="13" t="s">
        <v>55</v>
      </c>
    </row>
    <row r="956" spans="1:6" x14ac:dyDescent="0.25">
      <c r="A956" s="13"/>
      <c r="B956" s="13"/>
      <c r="C956" s="13"/>
      <c r="D956" s="13" t="s">
        <v>6</v>
      </c>
      <c r="E956" s="13" t="s">
        <v>62</v>
      </c>
      <c r="F956" s="13" t="s">
        <v>56</v>
      </c>
    </row>
    <row r="957" spans="1:6" x14ac:dyDescent="0.25">
      <c r="A957" s="13"/>
      <c r="B957" s="13"/>
      <c r="C957" s="13"/>
      <c r="D957" s="13" t="s">
        <v>6</v>
      </c>
      <c r="E957" s="13" t="s">
        <v>62</v>
      </c>
      <c r="F957" s="13" t="s">
        <v>44</v>
      </c>
    </row>
    <row r="958" spans="1:6" x14ac:dyDescent="0.25">
      <c r="A958" s="13"/>
      <c r="B958" s="13"/>
      <c r="C958" s="13"/>
      <c r="D958" s="13" t="s">
        <v>6</v>
      </c>
      <c r="E958" s="13" t="s">
        <v>62</v>
      </c>
      <c r="F958" s="13" t="s">
        <v>45</v>
      </c>
    </row>
    <row r="959" spans="1:6" x14ac:dyDescent="0.25">
      <c r="A959" s="13"/>
      <c r="B959" s="13"/>
      <c r="C959" s="13"/>
      <c r="D959" s="13" t="s">
        <v>6</v>
      </c>
      <c r="E959" s="13" t="s">
        <v>62</v>
      </c>
      <c r="F959" s="13" t="s">
        <v>46</v>
      </c>
    </row>
    <row r="960" spans="1:6" x14ac:dyDescent="0.25">
      <c r="A960" s="13"/>
      <c r="B960" s="13"/>
      <c r="C960" s="13"/>
      <c r="D960" s="13" t="s">
        <v>6</v>
      </c>
      <c r="E960" s="13" t="s">
        <v>62</v>
      </c>
      <c r="F960" s="13" t="s">
        <v>47</v>
      </c>
    </row>
    <row r="961" spans="1:6" x14ac:dyDescent="0.25">
      <c r="A961" s="13"/>
      <c r="B961" s="13"/>
      <c r="C961" s="13"/>
      <c r="D961" s="13" t="s">
        <v>6</v>
      </c>
      <c r="E961" s="13" t="s">
        <v>62</v>
      </c>
      <c r="F961" s="13" t="s">
        <v>48</v>
      </c>
    </row>
    <row r="962" spans="1:6" x14ac:dyDescent="0.25">
      <c r="A962" s="13"/>
      <c r="B962" s="13"/>
      <c r="C962" s="13"/>
      <c r="D962" s="13" t="s">
        <v>6</v>
      </c>
      <c r="E962" s="13" t="s">
        <v>62</v>
      </c>
      <c r="F962" s="13" t="s">
        <v>49</v>
      </c>
    </row>
    <row r="963" spans="1:6" x14ac:dyDescent="0.25">
      <c r="A963" s="13"/>
      <c r="B963" s="13"/>
      <c r="C963" s="13"/>
      <c r="D963" s="13" t="s">
        <v>6</v>
      </c>
      <c r="E963" s="13" t="s">
        <v>62</v>
      </c>
      <c r="F963" s="13" t="s">
        <v>50</v>
      </c>
    </row>
    <row r="964" spans="1:6" x14ac:dyDescent="0.25">
      <c r="A964" s="13"/>
      <c r="B964" s="13"/>
      <c r="C964" s="13"/>
      <c r="D964" s="13" t="s">
        <v>6</v>
      </c>
      <c r="E964" s="13" t="s">
        <v>62</v>
      </c>
      <c r="F964" s="13" t="s">
        <v>51</v>
      </c>
    </row>
    <row r="965" spans="1:6" x14ac:dyDescent="0.25">
      <c r="A965" s="13"/>
      <c r="B965" s="13"/>
      <c r="C965" s="13"/>
      <c r="D965" s="13" t="s">
        <v>6</v>
      </c>
      <c r="E965" s="13" t="s">
        <v>62</v>
      </c>
      <c r="F965" s="13" t="s">
        <v>93</v>
      </c>
    </row>
    <row r="966" spans="1:6" x14ac:dyDescent="0.25">
      <c r="A966" s="13"/>
      <c r="B966" s="13"/>
      <c r="C966" s="13"/>
      <c r="D966" s="13" t="s">
        <v>6</v>
      </c>
      <c r="E966" s="13" t="s">
        <v>19</v>
      </c>
      <c r="F966" s="13" t="s">
        <v>57</v>
      </c>
    </row>
    <row r="967" spans="1:6" x14ac:dyDescent="0.25">
      <c r="A967" s="13"/>
      <c r="B967" s="13"/>
      <c r="C967" s="13"/>
      <c r="D967" s="13" t="s">
        <v>6</v>
      </c>
      <c r="E967" s="13" t="s">
        <v>19</v>
      </c>
      <c r="F967" s="13" t="s">
        <v>52</v>
      </c>
    </row>
    <row r="968" spans="1:6" x14ac:dyDescent="0.25">
      <c r="A968" s="13"/>
      <c r="B968" s="13"/>
      <c r="C968" s="13"/>
      <c r="D968" s="13" t="s">
        <v>6</v>
      </c>
      <c r="E968" s="13" t="s">
        <v>19</v>
      </c>
      <c r="F968" s="13" t="s">
        <v>53</v>
      </c>
    </row>
    <row r="969" spans="1:6" x14ac:dyDescent="0.25">
      <c r="A969" s="13"/>
      <c r="B969" s="13"/>
      <c r="C969" s="13"/>
      <c r="D969" s="13" t="s">
        <v>6</v>
      </c>
      <c r="E969" s="13" t="s">
        <v>19</v>
      </c>
      <c r="F969" s="13" t="s">
        <v>54</v>
      </c>
    </row>
    <row r="970" spans="1:6" x14ac:dyDescent="0.25">
      <c r="A970" s="13"/>
      <c r="B970" s="13"/>
      <c r="C970" s="13"/>
      <c r="D970" s="13" t="s">
        <v>6</v>
      </c>
      <c r="E970" s="13" t="s">
        <v>19</v>
      </c>
      <c r="F970" s="13" t="s">
        <v>15</v>
      </c>
    </row>
    <row r="971" spans="1:6" x14ac:dyDescent="0.25">
      <c r="A971" s="13"/>
      <c r="B971" s="13"/>
      <c r="C971" s="13"/>
      <c r="D971" s="13" t="s">
        <v>6</v>
      </c>
      <c r="E971" s="13" t="s">
        <v>19</v>
      </c>
      <c r="F971" s="13" t="s">
        <v>55</v>
      </c>
    </row>
    <row r="972" spans="1:6" x14ac:dyDescent="0.25">
      <c r="A972" s="13"/>
      <c r="B972" s="13"/>
      <c r="C972" s="13"/>
      <c r="D972" s="13" t="s">
        <v>6</v>
      </c>
      <c r="E972" s="13" t="s">
        <v>19</v>
      </c>
      <c r="F972" s="13" t="s">
        <v>56</v>
      </c>
    </row>
    <row r="973" spans="1:6" x14ac:dyDescent="0.25">
      <c r="A973" s="13"/>
      <c r="B973" s="13"/>
      <c r="C973" s="13"/>
      <c r="D973" s="13" t="s">
        <v>6</v>
      </c>
      <c r="E973" s="13" t="s">
        <v>19</v>
      </c>
      <c r="F973" s="13" t="s">
        <v>44</v>
      </c>
    </row>
    <row r="974" spans="1:6" x14ac:dyDescent="0.25">
      <c r="A974" s="13"/>
      <c r="B974" s="13"/>
      <c r="C974" s="13"/>
      <c r="D974" s="13" t="s">
        <v>6</v>
      </c>
      <c r="E974" s="13" t="s">
        <v>19</v>
      </c>
      <c r="F974" s="13" t="s">
        <v>45</v>
      </c>
    </row>
    <row r="975" spans="1:6" x14ac:dyDescent="0.25">
      <c r="A975" s="13"/>
      <c r="B975" s="13"/>
      <c r="C975" s="13"/>
      <c r="D975" s="13" t="s">
        <v>6</v>
      </c>
      <c r="E975" s="13" t="s">
        <v>19</v>
      </c>
      <c r="F975" s="13" t="s">
        <v>46</v>
      </c>
    </row>
    <row r="976" spans="1:6" x14ac:dyDescent="0.25">
      <c r="A976" s="13"/>
      <c r="B976" s="13"/>
      <c r="C976" s="13"/>
      <c r="D976" s="13" t="s">
        <v>6</v>
      </c>
      <c r="E976" s="13" t="s">
        <v>19</v>
      </c>
      <c r="F976" s="13" t="s">
        <v>47</v>
      </c>
    </row>
    <row r="977" spans="1:6" x14ac:dyDescent="0.25">
      <c r="A977" s="13"/>
      <c r="B977" s="13"/>
      <c r="C977" s="13"/>
      <c r="D977" s="13" t="s">
        <v>6</v>
      </c>
      <c r="E977" s="13" t="s">
        <v>19</v>
      </c>
      <c r="F977" s="13" t="s">
        <v>48</v>
      </c>
    </row>
    <row r="978" spans="1:6" x14ac:dyDescent="0.25">
      <c r="A978" s="13"/>
      <c r="B978" s="13"/>
      <c r="C978" s="13"/>
      <c r="D978" s="13" t="s">
        <v>6</v>
      </c>
      <c r="E978" s="13" t="s">
        <v>19</v>
      </c>
      <c r="F978" s="13" t="s">
        <v>49</v>
      </c>
    </row>
    <row r="979" spans="1:6" x14ac:dyDescent="0.25">
      <c r="A979" s="13"/>
      <c r="B979" s="13"/>
      <c r="C979" s="13"/>
      <c r="D979" s="13" t="s">
        <v>6</v>
      </c>
      <c r="E979" s="13" t="s">
        <v>19</v>
      </c>
      <c r="F979" s="13" t="s">
        <v>50</v>
      </c>
    </row>
    <row r="980" spans="1:6" x14ac:dyDescent="0.25">
      <c r="A980" s="13"/>
      <c r="B980" s="13"/>
      <c r="C980" s="13"/>
      <c r="D980" s="13" t="s">
        <v>6</v>
      </c>
      <c r="E980" s="13" t="s">
        <v>19</v>
      </c>
      <c r="F980" s="13" t="s">
        <v>51</v>
      </c>
    </row>
    <row r="981" spans="1:6" x14ac:dyDescent="0.25">
      <c r="A981" s="13"/>
      <c r="B981" s="13"/>
      <c r="C981" s="13"/>
      <c r="D981" s="13" t="s">
        <v>6</v>
      </c>
      <c r="E981" s="13" t="s">
        <v>19</v>
      </c>
      <c r="F981" s="13" t="s">
        <v>93</v>
      </c>
    </row>
    <row r="982" spans="1:6" x14ac:dyDescent="0.25">
      <c r="A982" s="13"/>
      <c r="B982" s="13"/>
      <c r="C982" s="13"/>
      <c r="D982" s="13" t="s">
        <v>6</v>
      </c>
      <c r="E982" s="13" t="s">
        <v>26</v>
      </c>
      <c r="F982" s="13" t="s">
        <v>57</v>
      </c>
    </row>
    <row r="983" spans="1:6" x14ac:dyDescent="0.25">
      <c r="A983" s="13"/>
      <c r="B983" s="13"/>
      <c r="C983" s="13"/>
      <c r="D983" s="13" t="s">
        <v>6</v>
      </c>
      <c r="E983" s="13" t="s">
        <v>26</v>
      </c>
      <c r="F983" s="13" t="s">
        <v>52</v>
      </c>
    </row>
    <row r="984" spans="1:6" x14ac:dyDescent="0.25">
      <c r="A984" s="13"/>
      <c r="B984" s="13"/>
      <c r="C984" s="13"/>
      <c r="D984" s="13" t="s">
        <v>6</v>
      </c>
      <c r="E984" s="13" t="s">
        <v>26</v>
      </c>
      <c r="F984" s="13" t="s">
        <v>53</v>
      </c>
    </row>
    <row r="985" spans="1:6" x14ac:dyDescent="0.25">
      <c r="A985" s="13"/>
      <c r="B985" s="13"/>
      <c r="C985" s="13"/>
      <c r="D985" s="13" t="s">
        <v>6</v>
      </c>
      <c r="E985" s="13" t="s">
        <v>26</v>
      </c>
      <c r="F985" s="13" t="s">
        <v>54</v>
      </c>
    </row>
    <row r="986" spans="1:6" x14ac:dyDescent="0.25">
      <c r="A986" s="13"/>
      <c r="B986" s="13"/>
      <c r="C986" s="13"/>
      <c r="D986" s="13" t="s">
        <v>6</v>
      </c>
      <c r="E986" s="13" t="s">
        <v>26</v>
      </c>
      <c r="F986" s="13" t="s">
        <v>15</v>
      </c>
    </row>
    <row r="987" spans="1:6" x14ac:dyDescent="0.25">
      <c r="A987" s="13"/>
      <c r="B987" s="13"/>
      <c r="C987" s="13"/>
      <c r="D987" s="13" t="s">
        <v>6</v>
      </c>
      <c r="E987" s="13" t="s">
        <v>26</v>
      </c>
      <c r="F987" s="13" t="s">
        <v>55</v>
      </c>
    </row>
    <row r="988" spans="1:6" x14ac:dyDescent="0.25">
      <c r="A988" s="13"/>
      <c r="B988" s="13"/>
      <c r="C988" s="13"/>
      <c r="D988" s="13" t="s">
        <v>6</v>
      </c>
      <c r="E988" s="13" t="s">
        <v>26</v>
      </c>
      <c r="F988" s="13" t="s">
        <v>56</v>
      </c>
    </row>
    <row r="989" spans="1:6" x14ac:dyDescent="0.25">
      <c r="A989" s="13"/>
      <c r="B989" s="13"/>
      <c r="C989" s="13"/>
      <c r="D989" s="13" t="s">
        <v>6</v>
      </c>
      <c r="E989" s="13" t="s">
        <v>26</v>
      </c>
      <c r="F989" s="13" t="s">
        <v>44</v>
      </c>
    </row>
    <row r="990" spans="1:6" x14ac:dyDescent="0.25">
      <c r="A990" s="13"/>
      <c r="B990" s="13"/>
      <c r="C990" s="13"/>
      <c r="D990" s="13" t="s">
        <v>6</v>
      </c>
      <c r="E990" s="13" t="s">
        <v>26</v>
      </c>
      <c r="F990" s="13" t="s">
        <v>45</v>
      </c>
    </row>
    <row r="991" spans="1:6" x14ac:dyDescent="0.25">
      <c r="A991" s="13"/>
      <c r="B991" s="13"/>
      <c r="C991" s="13"/>
      <c r="D991" s="13" t="s">
        <v>6</v>
      </c>
      <c r="E991" s="13" t="s">
        <v>26</v>
      </c>
      <c r="F991" s="13" t="s">
        <v>46</v>
      </c>
    </row>
    <row r="992" spans="1:6" x14ac:dyDescent="0.25">
      <c r="A992" s="13"/>
      <c r="B992" s="13"/>
      <c r="C992" s="13"/>
      <c r="D992" s="13" t="s">
        <v>6</v>
      </c>
      <c r="E992" s="13" t="s">
        <v>26</v>
      </c>
      <c r="F992" s="13" t="s">
        <v>47</v>
      </c>
    </row>
    <row r="993" spans="1:6" x14ac:dyDescent="0.25">
      <c r="A993" s="13"/>
      <c r="B993" s="13"/>
      <c r="C993" s="13"/>
      <c r="D993" s="13" t="s">
        <v>6</v>
      </c>
      <c r="E993" s="13" t="s">
        <v>26</v>
      </c>
      <c r="F993" s="13" t="s">
        <v>48</v>
      </c>
    </row>
    <row r="994" spans="1:6" x14ac:dyDescent="0.25">
      <c r="A994" s="13"/>
      <c r="B994" s="13"/>
      <c r="C994" s="13"/>
      <c r="D994" s="13" t="s">
        <v>6</v>
      </c>
      <c r="E994" s="13" t="s">
        <v>26</v>
      </c>
      <c r="F994" s="13" t="s">
        <v>49</v>
      </c>
    </row>
    <row r="995" spans="1:6" x14ac:dyDescent="0.25">
      <c r="A995" s="13"/>
      <c r="B995" s="13"/>
      <c r="C995" s="13"/>
      <c r="D995" s="13" t="s">
        <v>6</v>
      </c>
      <c r="E995" s="13" t="s">
        <v>26</v>
      </c>
      <c r="F995" s="13" t="s">
        <v>50</v>
      </c>
    </row>
    <row r="996" spans="1:6" x14ac:dyDescent="0.25">
      <c r="A996" s="13"/>
      <c r="B996" s="13"/>
      <c r="C996" s="13"/>
      <c r="D996" s="13" t="s">
        <v>6</v>
      </c>
      <c r="E996" s="13" t="s">
        <v>26</v>
      </c>
      <c r="F996" s="13" t="s">
        <v>51</v>
      </c>
    </row>
    <row r="997" spans="1:6" x14ac:dyDescent="0.25">
      <c r="A997" s="13"/>
      <c r="B997" s="13"/>
      <c r="C997" s="13"/>
      <c r="D997" s="13" t="s">
        <v>6</v>
      </c>
      <c r="E997" s="13" t="s">
        <v>26</v>
      </c>
      <c r="F997" s="13" t="s">
        <v>93</v>
      </c>
    </row>
    <row r="998" spans="1:6" x14ac:dyDescent="0.25">
      <c r="A998" s="13"/>
      <c r="B998" s="13"/>
      <c r="C998" s="13"/>
      <c r="D998" s="13" t="s">
        <v>6</v>
      </c>
      <c r="E998" s="13" t="s">
        <v>4</v>
      </c>
      <c r="F998" s="13" t="s">
        <v>57</v>
      </c>
    </row>
    <row r="999" spans="1:6" x14ac:dyDescent="0.25">
      <c r="A999" s="13"/>
      <c r="B999" s="13"/>
      <c r="C999" s="13"/>
      <c r="D999" s="13" t="s">
        <v>6</v>
      </c>
      <c r="E999" s="13" t="s">
        <v>4</v>
      </c>
      <c r="F999" s="13" t="s">
        <v>52</v>
      </c>
    </row>
    <row r="1000" spans="1:6" x14ac:dyDescent="0.25">
      <c r="A1000" s="13"/>
      <c r="B1000" s="13"/>
      <c r="C1000" s="13"/>
      <c r="D1000" s="13" t="s">
        <v>6</v>
      </c>
      <c r="E1000" s="13" t="s">
        <v>4</v>
      </c>
      <c r="F1000" s="13" t="s">
        <v>53</v>
      </c>
    </row>
    <row r="1001" spans="1:6" x14ac:dyDescent="0.25">
      <c r="A1001" s="13"/>
      <c r="B1001" s="13"/>
      <c r="C1001" s="13"/>
      <c r="D1001" s="13" t="s">
        <v>6</v>
      </c>
      <c r="E1001" s="13" t="s">
        <v>4</v>
      </c>
      <c r="F1001" s="13" t="s">
        <v>54</v>
      </c>
    </row>
    <row r="1002" spans="1:6" x14ac:dyDescent="0.25">
      <c r="A1002" s="13"/>
      <c r="B1002" s="13"/>
      <c r="C1002" s="13"/>
      <c r="D1002" s="13" t="s">
        <v>6</v>
      </c>
      <c r="E1002" s="13" t="s">
        <v>4</v>
      </c>
      <c r="F1002" s="13" t="s">
        <v>15</v>
      </c>
    </row>
    <row r="1003" spans="1:6" x14ac:dyDescent="0.25">
      <c r="A1003" s="13"/>
      <c r="B1003" s="13"/>
      <c r="C1003" s="13"/>
      <c r="D1003" s="13" t="s">
        <v>6</v>
      </c>
      <c r="E1003" s="13" t="s">
        <v>4</v>
      </c>
      <c r="F1003" s="13" t="s">
        <v>55</v>
      </c>
    </row>
    <row r="1004" spans="1:6" x14ac:dyDescent="0.25">
      <c r="A1004" s="13"/>
      <c r="B1004" s="13"/>
      <c r="C1004" s="13"/>
      <c r="D1004" s="13" t="s">
        <v>6</v>
      </c>
      <c r="E1004" s="13" t="s">
        <v>4</v>
      </c>
      <c r="F1004" s="13" t="s">
        <v>56</v>
      </c>
    </row>
    <row r="1005" spans="1:6" x14ac:dyDescent="0.25">
      <c r="A1005" s="13"/>
      <c r="B1005" s="13"/>
      <c r="C1005" s="13"/>
      <c r="D1005" s="13" t="s">
        <v>6</v>
      </c>
      <c r="E1005" s="13" t="s">
        <v>4</v>
      </c>
      <c r="F1005" s="13" t="s">
        <v>44</v>
      </c>
    </row>
    <row r="1006" spans="1:6" x14ac:dyDescent="0.25">
      <c r="A1006" s="13"/>
      <c r="B1006" s="13"/>
      <c r="C1006" s="13"/>
      <c r="D1006" s="13" t="s">
        <v>6</v>
      </c>
      <c r="E1006" s="13" t="s">
        <v>4</v>
      </c>
      <c r="F1006" s="13" t="s">
        <v>45</v>
      </c>
    </row>
    <row r="1007" spans="1:6" x14ac:dyDescent="0.25">
      <c r="A1007" s="13"/>
      <c r="B1007" s="13"/>
      <c r="C1007" s="13"/>
      <c r="D1007" s="13" t="s">
        <v>6</v>
      </c>
      <c r="E1007" s="13" t="s">
        <v>4</v>
      </c>
      <c r="F1007" s="13" t="s">
        <v>46</v>
      </c>
    </row>
    <row r="1008" spans="1:6" x14ac:dyDescent="0.25">
      <c r="A1008" s="13"/>
      <c r="B1008" s="13"/>
      <c r="C1008" s="13"/>
      <c r="D1008" s="13" t="s">
        <v>6</v>
      </c>
      <c r="E1008" s="13" t="s">
        <v>4</v>
      </c>
      <c r="F1008" s="13" t="s">
        <v>47</v>
      </c>
    </row>
    <row r="1009" spans="1:6" x14ac:dyDescent="0.25">
      <c r="A1009" s="13"/>
      <c r="B1009" s="13"/>
      <c r="C1009" s="13"/>
      <c r="D1009" s="13" t="s">
        <v>6</v>
      </c>
      <c r="E1009" s="13" t="s">
        <v>4</v>
      </c>
      <c r="F1009" s="13" t="s">
        <v>48</v>
      </c>
    </row>
    <row r="1010" spans="1:6" x14ac:dyDescent="0.25">
      <c r="A1010" s="13"/>
      <c r="B1010" s="13"/>
      <c r="C1010" s="13"/>
      <c r="D1010" s="13" t="s">
        <v>6</v>
      </c>
      <c r="E1010" s="13" t="s">
        <v>4</v>
      </c>
      <c r="F1010" s="13" t="s">
        <v>49</v>
      </c>
    </row>
    <row r="1011" spans="1:6" x14ac:dyDescent="0.25">
      <c r="A1011" s="13"/>
      <c r="B1011" s="13"/>
      <c r="C1011" s="13"/>
      <c r="D1011" s="13" t="s">
        <v>6</v>
      </c>
      <c r="E1011" s="13" t="s">
        <v>4</v>
      </c>
      <c r="F1011" s="13" t="s">
        <v>50</v>
      </c>
    </row>
    <row r="1012" spans="1:6" x14ac:dyDescent="0.25">
      <c r="A1012" s="13"/>
      <c r="B1012" s="13"/>
      <c r="C1012" s="13"/>
      <c r="D1012" s="13" t="s">
        <v>6</v>
      </c>
      <c r="E1012" s="13" t="s">
        <v>4</v>
      </c>
      <c r="F1012" s="13" t="s">
        <v>51</v>
      </c>
    </row>
    <row r="1013" spans="1:6" x14ac:dyDescent="0.25">
      <c r="A1013" s="13"/>
      <c r="B1013" s="13"/>
      <c r="C1013" s="13"/>
      <c r="D1013" s="13" t="s">
        <v>6</v>
      </c>
      <c r="E1013" s="13" t="s">
        <v>4</v>
      </c>
      <c r="F1013" s="13" t="s">
        <v>93</v>
      </c>
    </row>
    <row r="1014" spans="1:6" x14ac:dyDescent="0.25">
      <c r="A1014" s="13"/>
      <c r="B1014" s="13"/>
      <c r="C1014" s="13"/>
      <c r="D1014" s="13" t="s">
        <v>6</v>
      </c>
      <c r="E1014" s="13" t="s">
        <v>2</v>
      </c>
      <c r="F1014" s="13" t="s">
        <v>57</v>
      </c>
    </row>
    <row r="1015" spans="1:6" x14ac:dyDescent="0.25">
      <c r="A1015" s="13"/>
      <c r="B1015" s="13"/>
      <c r="C1015" s="13"/>
      <c r="D1015" s="13" t="s">
        <v>6</v>
      </c>
      <c r="E1015" s="13" t="s">
        <v>2</v>
      </c>
      <c r="F1015" s="13" t="s">
        <v>52</v>
      </c>
    </row>
    <row r="1016" spans="1:6" x14ac:dyDescent="0.25">
      <c r="A1016" s="13"/>
      <c r="B1016" s="13"/>
      <c r="C1016" s="13"/>
      <c r="D1016" s="13" t="s">
        <v>6</v>
      </c>
      <c r="E1016" s="13" t="s">
        <v>2</v>
      </c>
      <c r="F1016" s="13" t="s">
        <v>53</v>
      </c>
    </row>
    <row r="1017" spans="1:6" x14ac:dyDescent="0.25">
      <c r="A1017" s="13"/>
      <c r="B1017" s="13"/>
      <c r="C1017" s="13"/>
      <c r="D1017" s="13" t="s">
        <v>6</v>
      </c>
      <c r="E1017" s="13" t="s">
        <v>2</v>
      </c>
      <c r="F1017" s="13" t="s">
        <v>54</v>
      </c>
    </row>
    <row r="1018" spans="1:6" x14ac:dyDescent="0.25">
      <c r="A1018" s="13"/>
      <c r="B1018" s="13"/>
      <c r="C1018" s="13"/>
      <c r="D1018" s="13" t="s">
        <v>6</v>
      </c>
      <c r="E1018" s="13" t="s">
        <v>2</v>
      </c>
      <c r="F1018" s="13" t="s">
        <v>15</v>
      </c>
    </row>
    <row r="1019" spans="1:6" x14ac:dyDescent="0.25">
      <c r="A1019" s="13"/>
      <c r="B1019" s="13"/>
      <c r="C1019" s="13"/>
      <c r="D1019" s="13" t="s">
        <v>6</v>
      </c>
      <c r="E1019" s="13" t="s">
        <v>2</v>
      </c>
      <c r="F1019" s="13" t="s">
        <v>55</v>
      </c>
    </row>
    <row r="1020" spans="1:6" x14ac:dyDescent="0.25">
      <c r="A1020" s="13"/>
      <c r="B1020" s="13"/>
      <c r="C1020" s="13"/>
      <c r="D1020" s="13" t="s">
        <v>6</v>
      </c>
      <c r="E1020" s="13" t="s">
        <v>2</v>
      </c>
      <c r="F1020" s="13" t="s">
        <v>56</v>
      </c>
    </row>
    <row r="1021" spans="1:6" x14ac:dyDescent="0.25">
      <c r="A1021" s="13"/>
      <c r="B1021" s="13"/>
      <c r="C1021" s="13"/>
      <c r="D1021" s="13" t="s">
        <v>6</v>
      </c>
      <c r="E1021" s="13" t="s">
        <v>2</v>
      </c>
      <c r="F1021" s="13" t="s">
        <v>44</v>
      </c>
    </row>
    <row r="1022" spans="1:6" x14ac:dyDescent="0.25">
      <c r="A1022" s="13"/>
      <c r="B1022" s="13"/>
      <c r="C1022" s="13"/>
      <c r="D1022" s="13" t="s">
        <v>6</v>
      </c>
      <c r="E1022" s="13" t="s">
        <v>2</v>
      </c>
      <c r="F1022" s="13" t="s">
        <v>45</v>
      </c>
    </row>
    <row r="1023" spans="1:6" x14ac:dyDescent="0.25">
      <c r="A1023" s="13"/>
      <c r="B1023" s="13"/>
      <c r="C1023" s="13"/>
      <c r="D1023" s="13" t="s">
        <v>6</v>
      </c>
      <c r="E1023" s="13" t="s">
        <v>2</v>
      </c>
      <c r="F1023" s="13" t="s">
        <v>46</v>
      </c>
    </row>
    <row r="1024" spans="1:6" x14ac:dyDescent="0.25">
      <c r="A1024" s="13"/>
      <c r="B1024" s="13"/>
      <c r="C1024" s="13"/>
      <c r="D1024" s="13" t="s">
        <v>6</v>
      </c>
      <c r="E1024" s="13" t="s">
        <v>2</v>
      </c>
      <c r="F1024" s="13" t="s">
        <v>47</v>
      </c>
    </row>
    <row r="1025" spans="1:6" x14ac:dyDescent="0.25">
      <c r="A1025" s="13"/>
      <c r="B1025" s="13"/>
      <c r="C1025" s="13"/>
      <c r="D1025" s="13" t="s">
        <v>6</v>
      </c>
      <c r="E1025" s="13" t="s">
        <v>2</v>
      </c>
      <c r="F1025" s="13" t="s">
        <v>48</v>
      </c>
    </row>
    <row r="1026" spans="1:6" x14ac:dyDescent="0.25">
      <c r="A1026" s="13"/>
      <c r="B1026" s="13"/>
      <c r="C1026" s="13"/>
      <c r="D1026" s="13" t="s">
        <v>6</v>
      </c>
      <c r="E1026" s="13" t="s">
        <v>2</v>
      </c>
      <c r="F1026" s="13" t="s">
        <v>49</v>
      </c>
    </row>
    <row r="1027" spans="1:6" x14ac:dyDescent="0.25">
      <c r="A1027" s="13"/>
      <c r="B1027" s="13"/>
      <c r="C1027" s="13"/>
      <c r="D1027" s="13" t="s">
        <v>6</v>
      </c>
      <c r="E1027" s="13" t="s">
        <v>2</v>
      </c>
      <c r="F1027" s="13" t="s">
        <v>50</v>
      </c>
    </row>
    <row r="1028" spans="1:6" x14ac:dyDescent="0.25">
      <c r="A1028" s="13"/>
      <c r="B1028" s="13"/>
      <c r="C1028" s="13"/>
      <c r="D1028" s="13" t="s">
        <v>6</v>
      </c>
      <c r="E1028" s="13" t="s">
        <v>2</v>
      </c>
      <c r="F1028" s="13" t="s">
        <v>51</v>
      </c>
    </row>
    <row r="1029" spans="1:6" x14ac:dyDescent="0.25">
      <c r="A1029" s="13"/>
      <c r="B1029" s="13"/>
      <c r="C1029" s="13"/>
      <c r="D1029" s="13" t="s">
        <v>6</v>
      </c>
      <c r="E1029" s="13" t="s">
        <v>2</v>
      </c>
      <c r="F1029" s="13" t="s">
        <v>93</v>
      </c>
    </row>
    <row r="1030" spans="1:6" x14ac:dyDescent="0.25">
      <c r="A1030" s="13"/>
      <c r="B1030" s="13"/>
      <c r="C1030" s="13"/>
      <c r="D1030" s="13" t="s">
        <v>6</v>
      </c>
      <c r="E1030" s="13" t="s">
        <v>7</v>
      </c>
      <c r="F1030" s="13" t="s">
        <v>57</v>
      </c>
    </row>
    <row r="1031" spans="1:6" x14ac:dyDescent="0.25">
      <c r="A1031" s="13"/>
      <c r="B1031" s="13"/>
      <c r="C1031" s="13"/>
      <c r="D1031" s="13" t="s">
        <v>6</v>
      </c>
      <c r="E1031" s="13" t="s">
        <v>7</v>
      </c>
      <c r="F1031" s="13" t="s">
        <v>52</v>
      </c>
    </row>
    <row r="1032" spans="1:6" x14ac:dyDescent="0.25">
      <c r="A1032" s="13"/>
      <c r="B1032" s="13"/>
      <c r="C1032" s="13"/>
      <c r="D1032" s="13" t="s">
        <v>6</v>
      </c>
      <c r="E1032" s="13" t="s">
        <v>7</v>
      </c>
      <c r="F1032" s="13" t="s">
        <v>53</v>
      </c>
    </row>
    <row r="1033" spans="1:6" x14ac:dyDescent="0.25">
      <c r="A1033" s="13"/>
      <c r="B1033" s="13"/>
      <c r="C1033" s="13"/>
      <c r="D1033" s="13" t="s">
        <v>6</v>
      </c>
      <c r="E1033" s="13" t="s">
        <v>7</v>
      </c>
      <c r="F1033" s="13" t="s">
        <v>54</v>
      </c>
    </row>
    <row r="1034" spans="1:6" x14ac:dyDescent="0.25">
      <c r="A1034" s="13"/>
      <c r="B1034" s="13"/>
      <c r="C1034" s="13"/>
      <c r="D1034" s="13" t="s">
        <v>6</v>
      </c>
      <c r="E1034" s="13" t="s">
        <v>7</v>
      </c>
      <c r="F1034" s="13" t="s">
        <v>15</v>
      </c>
    </row>
    <row r="1035" spans="1:6" x14ac:dyDescent="0.25">
      <c r="A1035" s="13"/>
      <c r="B1035" s="13"/>
      <c r="C1035" s="13"/>
      <c r="D1035" s="13" t="s">
        <v>6</v>
      </c>
      <c r="E1035" s="13" t="s">
        <v>7</v>
      </c>
      <c r="F1035" s="13" t="s">
        <v>55</v>
      </c>
    </row>
    <row r="1036" spans="1:6" x14ac:dyDescent="0.25">
      <c r="A1036" s="13"/>
      <c r="B1036" s="13"/>
      <c r="C1036" s="13"/>
      <c r="D1036" s="13" t="s">
        <v>6</v>
      </c>
      <c r="E1036" s="13" t="s">
        <v>7</v>
      </c>
      <c r="F1036" s="13" t="s">
        <v>56</v>
      </c>
    </row>
    <row r="1037" spans="1:6" x14ac:dyDescent="0.25">
      <c r="A1037" s="13"/>
      <c r="B1037" s="13"/>
      <c r="C1037" s="13"/>
      <c r="D1037" s="13" t="s">
        <v>6</v>
      </c>
      <c r="E1037" s="13" t="s">
        <v>7</v>
      </c>
      <c r="F1037" s="13" t="s">
        <v>44</v>
      </c>
    </row>
    <row r="1038" spans="1:6" x14ac:dyDescent="0.25">
      <c r="A1038" s="13"/>
      <c r="B1038" s="13"/>
      <c r="C1038" s="13"/>
      <c r="D1038" s="13" t="s">
        <v>6</v>
      </c>
      <c r="E1038" s="13" t="s">
        <v>7</v>
      </c>
      <c r="F1038" s="13" t="s">
        <v>45</v>
      </c>
    </row>
    <row r="1039" spans="1:6" x14ac:dyDescent="0.25">
      <c r="A1039" s="13"/>
      <c r="B1039" s="13"/>
      <c r="C1039" s="13"/>
      <c r="D1039" s="13" t="s">
        <v>6</v>
      </c>
      <c r="E1039" s="13" t="s">
        <v>7</v>
      </c>
      <c r="F1039" s="13" t="s">
        <v>46</v>
      </c>
    </row>
    <row r="1040" spans="1:6" x14ac:dyDescent="0.25">
      <c r="A1040" s="13"/>
      <c r="B1040" s="13"/>
      <c r="C1040" s="13"/>
      <c r="D1040" s="13" t="s">
        <v>6</v>
      </c>
      <c r="E1040" s="13" t="s">
        <v>7</v>
      </c>
      <c r="F1040" s="13" t="s">
        <v>47</v>
      </c>
    </row>
    <row r="1041" spans="1:6" x14ac:dyDescent="0.25">
      <c r="A1041" s="13"/>
      <c r="B1041" s="13"/>
      <c r="C1041" s="13"/>
      <c r="D1041" s="13" t="s">
        <v>6</v>
      </c>
      <c r="E1041" s="13" t="s">
        <v>7</v>
      </c>
      <c r="F1041" s="13" t="s">
        <v>48</v>
      </c>
    </row>
    <row r="1042" spans="1:6" x14ac:dyDescent="0.25">
      <c r="A1042" s="13"/>
      <c r="B1042" s="13"/>
      <c r="C1042" s="13"/>
      <c r="D1042" s="13" t="s">
        <v>6</v>
      </c>
      <c r="E1042" s="13" t="s">
        <v>7</v>
      </c>
      <c r="F1042" s="13" t="s">
        <v>49</v>
      </c>
    </row>
    <row r="1043" spans="1:6" x14ac:dyDescent="0.25">
      <c r="A1043" s="13"/>
      <c r="B1043" s="13"/>
      <c r="C1043" s="13"/>
      <c r="D1043" s="13" t="s">
        <v>6</v>
      </c>
      <c r="E1043" s="13" t="s">
        <v>7</v>
      </c>
      <c r="F1043" s="13" t="s">
        <v>50</v>
      </c>
    </row>
    <row r="1044" spans="1:6" x14ac:dyDescent="0.25">
      <c r="A1044" s="13"/>
      <c r="B1044" s="13"/>
      <c r="C1044" s="13"/>
      <c r="D1044" s="13" t="s">
        <v>6</v>
      </c>
      <c r="E1044" s="13" t="s">
        <v>7</v>
      </c>
      <c r="F1044" s="13" t="s">
        <v>51</v>
      </c>
    </row>
    <row r="1045" spans="1:6" x14ac:dyDescent="0.25">
      <c r="A1045" s="13"/>
      <c r="B1045" s="13"/>
      <c r="C1045" s="13"/>
      <c r="D1045" s="13" t="s">
        <v>6</v>
      </c>
      <c r="E1045" s="13" t="s">
        <v>7</v>
      </c>
      <c r="F1045" s="13" t="s">
        <v>93</v>
      </c>
    </row>
    <row r="1046" spans="1:6" x14ac:dyDescent="0.25">
      <c r="A1046" s="13"/>
      <c r="B1046" s="13"/>
      <c r="C1046" s="13"/>
      <c r="D1046" s="13" t="s">
        <v>6</v>
      </c>
      <c r="E1046" s="13" t="s">
        <v>59</v>
      </c>
      <c r="F1046" s="13" t="s">
        <v>57</v>
      </c>
    </row>
    <row r="1047" spans="1:6" x14ac:dyDescent="0.25">
      <c r="A1047" s="13"/>
      <c r="B1047" s="13"/>
      <c r="C1047" s="13"/>
      <c r="D1047" s="13" t="s">
        <v>6</v>
      </c>
      <c r="E1047" s="13" t="s">
        <v>59</v>
      </c>
      <c r="F1047" s="13" t="s">
        <v>52</v>
      </c>
    </row>
    <row r="1048" spans="1:6" x14ac:dyDescent="0.25">
      <c r="A1048" s="13"/>
      <c r="B1048" s="13"/>
      <c r="C1048" s="13"/>
      <c r="D1048" s="13" t="s">
        <v>6</v>
      </c>
      <c r="E1048" s="13" t="s">
        <v>59</v>
      </c>
      <c r="F1048" s="13" t="s">
        <v>53</v>
      </c>
    </row>
    <row r="1049" spans="1:6" x14ac:dyDescent="0.25">
      <c r="A1049" s="13"/>
      <c r="B1049" s="13"/>
      <c r="C1049" s="13"/>
      <c r="D1049" s="13" t="s">
        <v>6</v>
      </c>
      <c r="E1049" s="13" t="s">
        <v>59</v>
      </c>
      <c r="F1049" s="13" t="s">
        <v>54</v>
      </c>
    </row>
    <row r="1050" spans="1:6" x14ac:dyDescent="0.25">
      <c r="A1050" s="13"/>
      <c r="B1050" s="13"/>
      <c r="C1050" s="13"/>
      <c r="D1050" s="13" t="s">
        <v>6</v>
      </c>
      <c r="E1050" s="13" t="s">
        <v>59</v>
      </c>
      <c r="F1050" s="13" t="s">
        <v>15</v>
      </c>
    </row>
    <row r="1051" spans="1:6" x14ac:dyDescent="0.25">
      <c r="A1051" s="13"/>
      <c r="B1051" s="13"/>
      <c r="C1051" s="13"/>
      <c r="D1051" s="13" t="s">
        <v>6</v>
      </c>
      <c r="E1051" s="13" t="s">
        <v>59</v>
      </c>
      <c r="F1051" s="13" t="s">
        <v>55</v>
      </c>
    </row>
    <row r="1052" spans="1:6" x14ac:dyDescent="0.25">
      <c r="A1052" s="13"/>
      <c r="B1052" s="13"/>
      <c r="C1052" s="13"/>
      <c r="D1052" s="13" t="s">
        <v>6</v>
      </c>
      <c r="E1052" s="13" t="s">
        <v>59</v>
      </c>
      <c r="F1052" s="13" t="s">
        <v>56</v>
      </c>
    </row>
    <row r="1053" spans="1:6" x14ac:dyDescent="0.25">
      <c r="A1053" s="13"/>
      <c r="B1053" s="13"/>
      <c r="C1053" s="13"/>
      <c r="D1053" s="13" t="s">
        <v>6</v>
      </c>
      <c r="E1053" s="13" t="s">
        <v>59</v>
      </c>
      <c r="F1053" s="13" t="s">
        <v>44</v>
      </c>
    </row>
    <row r="1054" spans="1:6" x14ac:dyDescent="0.25">
      <c r="A1054" s="13"/>
      <c r="B1054" s="13"/>
      <c r="C1054" s="13"/>
      <c r="D1054" s="13" t="s">
        <v>6</v>
      </c>
      <c r="E1054" s="13" t="s">
        <v>59</v>
      </c>
      <c r="F1054" s="13" t="s">
        <v>45</v>
      </c>
    </row>
    <row r="1055" spans="1:6" x14ac:dyDescent="0.25">
      <c r="A1055" s="13"/>
      <c r="B1055" s="13"/>
      <c r="C1055" s="13"/>
      <c r="D1055" s="13" t="s">
        <v>6</v>
      </c>
      <c r="E1055" s="13" t="s">
        <v>59</v>
      </c>
      <c r="F1055" s="13" t="s">
        <v>46</v>
      </c>
    </row>
    <row r="1056" spans="1:6" x14ac:dyDescent="0.25">
      <c r="A1056" s="13"/>
      <c r="B1056" s="13"/>
      <c r="C1056" s="13"/>
      <c r="D1056" s="13" t="s">
        <v>6</v>
      </c>
      <c r="E1056" s="13" t="s">
        <v>59</v>
      </c>
      <c r="F1056" s="13" t="s">
        <v>47</v>
      </c>
    </row>
    <row r="1057" spans="1:6" x14ac:dyDescent="0.25">
      <c r="A1057" s="13"/>
      <c r="B1057" s="13"/>
      <c r="C1057" s="13"/>
      <c r="D1057" s="13" t="s">
        <v>6</v>
      </c>
      <c r="E1057" s="13" t="s">
        <v>59</v>
      </c>
      <c r="F1057" s="13" t="s">
        <v>48</v>
      </c>
    </row>
    <row r="1058" spans="1:6" x14ac:dyDescent="0.25">
      <c r="A1058" s="13"/>
      <c r="B1058" s="13"/>
      <c r="C1058" s="13"/>
      <c r="D1058" s="13" t="s">
        <v>6</v>
      </c>
      <c r="E1058" s="13" t="s">
        <v>59</v>
      </c>
      <c r="F1058" s="13" t="s">
        <v>49</v>
      </c>
    </row>
    <row r="1059" spans="1:6" x14ac:dyDescent="0.25">
      <c r="A1059" s="13"/>
      <c r="B1059" s="13"/>
      <c r="C1059" s="13"/>
      <c r="D1059" s="13" t="s">
        <v>6</v>
      </c>
      <c r="E1059" s="13" t="s">
        <v>59</v>
      </c>
      <c r="F1059" s="13" t="s">
        <v>50</v>
      </c>
    </row>
    <row r="1060" spans="1:6" x14ac:dyDescent="0.25">
      <c r="A1060" s="13"/>
      <c r="B1060" s="13"/>
      <c r="C1060" s="13"/>
      <c r="D1060" s="13" t="s">
        <v>6</v>
      </c>
      <c r="E1060" s="13" t="s">
        <v>59</v>
      </c>
      <c r="F1060" s="13" t="s">
        <v>51</v>
      </c>
    </row>
    <row r="1061" spans="1:6" x14ac:dyDescent="0.25">
      <c r="A1061" s="13"/>
      <c r="B1061" s="13"/>
      <c r="C1061" s="13"/>
      <c r="D1061" s="13" t="s">
        <v>6</v>
      </c>
      <c r="E1061" s="13" t="s">
        <v>59</v>
      </c>
      <c r="F1061" s="13" t="s">
        <v>93</v>
      </c>
    </row>
    <row r="1062" spans="1:6" x14ac:dyDescent="0.25">
      <c r="A1062" s="13"/>
      <c r="B1062" s="13"/>
      <c r="C1062" s="13"/>
      <c r="D1062" s="13" t="s">
        <v>6</v>
      </c>
      <c r="E1062" s="13" t="s">
        <v>58</v>
      </c>
      <c r="F1062" s="13" t="s">
        <v>57</v>
      </c>
    </row>
    <row r="1063" spans="1:6" x14ac:dyDescent="0.25">
      <c r="A1063" s="13"/>
      <c r="B1063" s="13"/>
      <c r="C1063" s="13"/>
      <c r="D1063" s="13" t="s">
        <v>6</v>
      </c>
      <c r="E1063" s="13" t="s">
        <v>58</v>
      </c>
      <c r="F1063" s="13" t="s">
        <v>52</v>
      </c>
    </row>
    <row r="1064" spans="1:6" x14ac:dyDescent="0.25">
      <c r="A1064" s="13"/>
      <c r="B1064" s="13"/>
      <c r="C1064" s="13"/>
      <c r="D1064" s="13" t="s">
        <v>6</v>
      </c>
      <c r="E1064" s="13" t="s">
        <v>58</v>
      </c>
      <c r="F1064" s="13" t="s">
        <v>53</v>
      </c>
    </row>
    <row r="1065" spans="1:6" x14ac:dyDescent="0.25">
      <c r="A1065" s="13"/>
      <c r="B1065" s="13"/>
      <c r="C1065" s="13"/>
      <c r="D1065" s="13" t="s">
        <v>6</v>
      </c>
      <c r="E1065" s="13" t="s">
        <v>58</v>
      </c>
      <c r="F1065" s="13" t="s">
        <v>54</v>
      </c>
    </row>
    <row r="1066" spans="1:6" x14ac:dyDescent="0.25">
      <c r="A1066" s="13"/>
      <c r="B1066" s="13"/>
      <c r="C1066" s="13"/>
      <c r="D1066" s="13" t="s">
        <v>6</v>
      </c>
      <c r="E1066" s="13" t="s">
        <v>58</v>
      </c>
      <c r="F1066" s="13" t="s">
        <v>15</v>
      </c>
    </row>
    <row r="1067" spans="1:6" x14ac:dyDescent="0.25">
      <c r="A1067" s="13"/>
      <c r="B1067" s="13"/>
      <c r="C1067" s="13"/>
      <c r="D1067" s="13" t="s">
        <v>6</v>
      </c>
      <c r="E1067" s="13" t="s">
        <v>58</v>
      </c>
      <c r="F1067" s="13" t="s">
        <v>55</v>
      </c>
    </row>
    <row r="1068" spans="1:6" x14ac:dyDescent="0.25">
      <c r="A1068" s="13"/>
      <c r="B1068" s="13"/>
      <c r="C1068" s="13"/>
      <c r="D1068" s="13" t="s">
        <v>6</v>
      </c>
      <c r="E1068" s="13" t="s">
        <v>58</v>
      </c>
      <c r="F1068" s="13" t="s">
        <v>56</v>
      </c>
    </row>
    <row r="1069" spans="1:6" x14ac:dyDescent="0.25">
      <c r="A1069" s="13"/>
      <c r="B1069" s="13"/>
      <c r="C1069" s="13"/>
      <c r="D1069" s="13" t="s">
        <v>6</v>
      </c>
      <c r="E1069" s="13" t="s">
        <v>58</v>
      </c>
      <c r="F1069" s="13" t="s">
        <v>44</v>
      </c>
    </row>
    <row r="1070" spans="1:6" x14ac:dyDescent="0.25">
      <c r="A1070" s="13"/>
      <c r="B1070" s="13"/>
      <c r="C1070" s="13"/>
      <c r="D1070" s="13" t="s">
        <v>6</v>
      </c>
      <c r="E1070" s="13" t="s">
        <v>58</v>
      </c>
      <c r="F1070" s="13" t="s">
        <v>45</v>
      </c>
    </row>
    <row r="1071" spans="1:6" x14ac:dyDescent="0.25">
      <c r="A1071" s="13"/>
      <c r="B1071" s="13"/>
      <c r="C1071" s="13"/>
      <c r="D1071" s="13" t="s">
        <v>6</v>
      </c>
      <c r="E1071" s="13" t="s">
        <v>58</v>
      </c>
      <c r="F1071" s="13" t="s">
        <v>46</v>
      </c>
    </row>
    <row r="1072" spans="1:6" x14ac:dyDescent="0.25">
      <c r="A1072" s="13"/>
      <c r="B1072" s="13"/>
      <c r="C1072" s="13"/>
      <c r="D1072" s="13" t="s">
        <v>6</v>
      </c>
      <c r="E1072" s="13" t="s">
        <v>58</v>
      </c>
      <c r="F1072" s="13" t="s">
        <v>47</v>
      </c>
    </row>
    <row r="1073" spans="1:6" x14ac:dyDescent="0.25">
      <c r="A1073" s="13"/>
      <c r="B1073" s="13"/>
      <c r="C1073" s="13"/>
      <c r="D1073" s="13" t="s">
        <v>6</v>
      </c>
      <c r="E1073" s="13" t="s">
        <v>58</v>
      </c>
      <c r="F1073" s="13" t="s">
        <v>48</v>
      </c>
    </row>
    <row r="1074" spans="1:6" x14ac:dyDescent="0.25">
      <c r="A1074" s="13"/>
      <c r="B1074" s="13"/>
      <c r="C1074" s="13"/>
      <c r="D1074" s="13" t="s">
        <v>6</v>
      </c>
      <c r="E1074" s="13" t="s">
        <v>58</v>
      </c>
      <c r="F1074" s="13" t="s">
        <v>49</v>
      </c>
    </row>
    <row r="1075" spans="1:6" x14ac:dyDescent="0.25">
      <c r="A1075" s="13"/>
      <c r="B1075" s="13"/>
      <c r="C1075" s="13"/>
      <c r="D1075" s="13" t="s">
        <v>6</v>
      </c>
      <c r="E1075" s="13" t="s">
        <v>58</v>
      </c>
      <c r="F1075" s="13" t="s">
        <v>50</v>
      </c>
    </row>
    <row r="1076" spans="1:6" x14ac:dyDescent="0.25">
      <c r="A1076" s="13"/>
      <c r="B1076" s="13"/>
      <c r="C1076" s="13"/>
      <c r="D1076" s="13" t="s">
        <v>6</v>
      </c>
      <c r="E1076" s="13" t="s">
        <v>58</v>
      </c>
      <c r="F1076" s="13" t="s">
        <v>51</v>
      </c>
    </row>
    <row r="1077" spans="1:6" x14ac:dyDescent="0.25">
      <c r="A1077" s="13"/>
      <c r="B1077" s="13"/>
      <c r="C1077" s="13"/>
      <c r="D1077" s="13" t="s">
        <v>6</v>
      </c>
      <c r="E1077" s="13" t="s">
        <v>58</v>
      </c>
      <c r="F1077" s="13" t="s">
        <v>93</v>
      </c>
    </row>
    <row r="1078" spans="1:6" x14ac:dyDescent="0.25">
      <c r="A1078" s="13"/>
      <c r="B1078" s="13"/>
      <c r="C1078" s="13"/>
      <c r="D1078" s="13" t="s">
        <v>6</v>
      </c>
      <c r="E1078" s="13" t="s">
        <v>18</v>
      </c>
      <c r="F1078" s="13" t="s">
        <v>57</v>
      </c>
    </row>
    <row r="1079" spans="1:6" x14ac:dyDescent="0.25">
      <c r="A1079" s="13"/>
      <c r="B1079" s="13"/>
      <c r="C1079" s="13"/>
      <c r="D1079" s="13" t="s">
        <v>6</v>
      </c>
      <c r="E1079" s="13" t="s">
        <v>18</v>
      </c>
      <c r="F1079" s="13" t="s">
        <v>52</v>
      </c>
    </row>
    <row r="1080" spans="1:6" x14ac:dyDescent="0.25">
      <c r="A1080" s="13"/>
      <c r="B1080" s="13"/>
      <c r="C1080" s="13"/>
      <c r="D1080" s="13" t="s">
        <v>6</v>
      </c>
      <c r="E1080" s="13" t="s">
        <v>18</v>
      </c>
      <c r="F1080" s="13" t="s">
        <v>53</v>
      </c>
    </row>
    <row r="1081" spans="1:6" x14ac:dyDescent="0.25">
      <c r="A1081" s="13"/>
      <c r="B1081" s="13"/>
      <c r="C1081" s="13"/>
      <c r="D1081" s="13" t="s">
        <v>6</v>
      </c>
      <c r="E1081" s="13" t="s">
        <v>18</v>
      </c>
      <c r="F1081" s="13" t="s">
        <v>54</v>
      </c>
    </row>
    <row r="1082" spans="1:6" x14ac:dyDescent="0.25">
      <c r="A1082" s="13"/>
      <c r="B1082" s="13"/>
      <c r="C1082" s="13"/>
      <c r="D1082" s="13" t="s">
        <v>6</v>
      </c>
      <c r="E1082" s="13" t="s">
        <v>18</v>
      </c>
      <c r="F1082" s="13" t="s">
        <v>15</v>
      </c>
    </row>
    <row r="1083" spans="1:6" x14ac:dyDescent="0.25">
      <c r="A1083" s="13"/>
      <c r="B1083" s="13"/>
      <c r="C1083" s="13"/>
      <c r="D1083" s="13" t="s">
        <v>6</v>
      </c>
      <c r="E1083" s="13" t="s">
        <v>18</v>
      </c>
      <c r="F1083" s="13" t="s">
        <v>55</v>
      </c>
    </row>
    <row r="1084" spans="1:6" x14ac:dyDescent="0.25">
      <c r="A1084" s="13"/>
      <c r="B1084" s="13"/>
      <c r="C1084" s="13"/>
      <c r="D1084" s="13" t="s">
        <v>6</v>
      </c>
      <c r="E1084" s="13" t="s">
        <v>18</v>
      </c>
      <c r="F1084" s="13" t="s">
        <v>56</v>
      </c>
    </row>
    <row r="1085" spans="1:6" x14ac:dyDescent="0.25">
      <c r="A1085" s="13"/>
      <c r="B1085" s="13"/>
      <c r="C1085" s="13"/>
      <c r="D1085" s="13" t="s">
        <v>6</v>
      </c>
      <c r="E1085" s="13" t="s">
        <v>18</v>
      </c>
      <c r="F1085" s="13" t="s">
        <v>44</v>
      </c>
    </row>
    <row r="1086" spans="1:6" x14ac:dyDescent="0.25">
      <c r="A1086" s="13"/>
      <c r="B1086" s="13"/>
      <c r="C1086" s="13"/>
      <c r="D1086" s="13" t="s">
        <v>6</v>
      </c>
      <c r="E1086" s="13" t="s">
        <v>18</v>
      </c>
      <c r="F1086" s="13" t="s">
        <v>45</v>
      </c>
    </row>
    <row r="1087" spans="1:6" x14ac:dyDescent="0.25">
      <c r="A1087" s="13"/>
      <c r="B1087" s="13"/>
      <c r="C1087" s="13"/>
      <c r="D1087" s="13" t="s">
        <v>6</v>
      </c>
      <c r="E1087" s="13" t="s">
        <v>18</v>
      </c>
      <c r="F1087" s="13" t="s">
        <v>46</v>
      </c>
    </row>
    <row r="1088" spans="1:6" x14ac:dyDescent="0.25">
      <c r="A1088" s="13"/>
      <c r="B1088" s="13"/>
      <c r="C1088" s="13"/>
      <c r="D1088" s="13" t="s">
        <v>6</v>
      </c>
      <c r="E1088" s="13" t="s">
        <v>18</v>
      </c>
      <c r="F1088" s="13" t="s">
        <v>47</v>
      </c>
    </row>
    <row r="1089" spans="1:6" x14ac:dyDescent="0.25">
      <c r="A1089" s="13"/>
      <c r="B1089" s="13"/>
      <c r="C1089" s="13"/>
      <c r="D1089" s="13" t="s">
        <v>6</v>
      </c>
      <c r="E1089" s="13" t="s">
        <v>18</v>
      </c>
      <c r="F1089" s="13" t="s">
        <v>48</v>
      </c>
    </row>
    <row r="1090" spans="1:6" x14ac:dyDescent="0.25">
      <c r="A1090" s="13"/>
      <c r="B1090" s="13"/>
      <c r="C1090" s="13"/>
      <c r="D1090" s="13" t="s">
        <v>6</v>
      </c>
      <c r="E1090" s="13" t="s">
        <v>18</v>
      </c>
      <c r="F1090" s="13" t="s">
        <v>49</v>
      </c>
    </row>
    <row r="1091" spans="1:6" x14ac:dyDescent="0.25">
      <c r="A1091" s="13"/>
      <c r="B1091" s="13"/>
      <c r="C1091" s="13"/>
      <c r="D1091" s="13" t="s">
        <v>6</v>
      </c>
      <c r="E1091" s="13" t="s">
        <v>18</v>
      </c>
      <c r="F1091" s="13" t="s">
        <v>50</v>
      </c>
    </row>
    <row r="1092" spans="1:6" x14ac:dyDescent="0.25">
      <c r="A1092" s="13"/>
      <c r="B1092" s="13"/>
      <c r="C1092" s="13"/>
      <c r="D1092" s="13" t="s">
        <v>6</v>
      </c>
      <c r="E1092" s="13" t="s">
        <v>18</v>
      </c>
      <c r="F1092" s="13" t="s">
        <v>51</v>
      </c>
    </row>
    <row r="1093" spans="1:6" x14ac:dyDescent="0.25">
      <c r="A1093" s="13"/>
      <c r="B1093" s="13"/>
      <c r="C1093" s="13"/>
      <c r="D1093" s="13" t="s">
        <v>6</v>
      </c>
      <c r="E1093" s="13" t="s">
        <v>18</v>
      </c>
      <c r="F1093" s="13" t="s">
        <v>93</v>
      </c>
    </row>
    <row r="1094" spans="1:6" x14ac:dyDescent="0.25">
      <c r="A1094" s="13"/>
      <c r="B1094" s="13"/>
      <c r="C1094" s="13"/>
      <c r="D1094" s="13" t="s">
        <v>6</v>
      </c>
      <c r="E1094" s="13" t="s">
        <v>61</v>
      </c>
      <c r="F1094" s="13" t="s">
        <v>57</v>
      </c>
    </row>
    <row r="1095" spans="1:6" x14ac:dyDescent="0.25">
      <c r="A1095" s="13"/>
      <c r="B1095" s="13"/>
      <c r="C1095" s="13"/>
      <c r="D1095" s="13" t="s">
        <v>6</v>
      </c>
      <c r="E1095" s="13" t="s">
        <v>61</v>
      </c>
      <c r="F1095" s="13" t="s">
        <v>52</v>
      </c>
    </row>
    <row r="1096" spans="1:6" x14ac:dyDescent="0.25">
      <c r="A1096" s="13"/>
      <c r="B1096" s="13"/>
      <c r="C1096" s="13"/>
      <c r="D1096" s="13" t="s">
        <v>6</v>
      </c>
      <c r="E1096" s="13" t="s">
        <v>61</v>
      </c>
      <c r="F1096" s="13" t="s">
        <v>53</v>
      </c>
    </row>
    <row r="1097" spans="1:6" x14ac:dyDescent="0.25">
      <c r="A1097" s="13"/>
      <c r="B1097" s="13"/>
      <c r="C1097" s="13"/>
      <c r="D1097" s="13" t="s">
        <v>6</v>
      </c>
      <c r="E1097" s="13" t="s">
        <v>61</v>
      </c>
      <c r="F1097" s="13" t="s">
        <v>54</v>
      </c>
    </row>
    <row r="1098" spans="1:6" x14ac:dyDescent="0.25">
      <c r="A1098" s="13"/>
      <c r="B1098" s="13"/>
      <c r="C1098" s="13"/>
      <c r="D1098" s="13" t="s">
        <v>6</v>
      </c>
      <c r="E1098" s="13" t="s">
        <v>61</v>
      </c>
      <c r="F1098" s="13" t="s">
        <v>15</v>
      </c>
    </row>
    <row r="1099" spans="1:6" x14ac:dyDescent="0.25">
      <c r="A1099" s="13"/>
      <c r="B1099" s="13"/>
      <c r="C1099" s="13"/>
      <c r="D1099" s="13" t="s">
        <v>6</v>
      </c>
      <c r="E1099" s="13" t="s">
        <v>61</v>
      </c>
      <c r="F1099" s="13" t="s">
        <v>55</v>
      </c>
    </row>
    <row r="1100" spans="1:6" x14ac:dyDescent="0.25">
      <c r="A1100" s="13"/>
      <c r="B1100" s="13"/>
      <c r="C1100" s="13"/>
      <c r="D1100" s="13" t="s">
        <v>6</v>
      </c>
      <c r="E1100" s="13" t="s">
        <v>61</v>
      </c>
      <c r="F1100" s="13" t="s">
        <v>56</v>
      </c>
    </row>
    <row r="1101" spans="1:6" x14ac:dyDescent="0.25">
      <c r="A1101" s="13"/>
      <c r="B1101" s="13"/>
      <c r="C1101" s="13"/>
      <c r="D1101" s="13" t="s">
        <v>6</v>
      </c>
      <c r="E1101" s="13" t="s">
        <v>61</v>
      </c>
      <c r="F1101" s="13" t="s">
        <v>44</v>
      </c>
    </row>
    <row r="1102" spans="1:6" x14ac:dyDescent="0.25">
      <c r="A1102" s="13"/>
      <c r="B1102" s="13"/>
      <c r="C1102" s="13"/>
      <c r="D1102" s="13" t="s">
        <v>6</v>
      </c>
      <c r="E1102" s="13" t="s">
        <v>61</v>
      </c>
      <c r="F1102" s="13" t="s">
        <v>45</v>
      </c>
    </row>
    <row r="1103" spans="1:6" x14ac:dyDescent="0.25">
      <c r="A1103" s="13"/>
      <c r="B1103" s="13"/>
      <c r="C1103" s="13"/>
      <c r="D1103" s="13" t="s">
        <v>6</v>
      </c>
      <c r="E1103" s="13" t="s">
        <v>61</v>
      </c>
      <c r="F1103" s="13" t="s">
        <v>46</v>
      </c>
    </row>
    <row r="1104" spans="1:6" x14ac:dyDescent="0.25">
      <c r="A1104" s="13"/>
      <c r="B1104" s="13"/>
      <c r="C1104" s="13"/>
      <c r="D1104" s="13" t="s">
        <v>6</v>
      </c>
      <c r="E1104" s="13" t="s">
        <v>61</v>
      </c>
      <c r="F1104" s="13" t="s">
        <v>47</v>
      </c>
    </row>
    <row r="1105" spans="1:6" x14ac:dyDescent="0.25">
      <c r="A1105" s="13"/>
      <c r="B1105" s="13"/>
      <c r="C1105" s="13"/>
      <c r="D1105" s="13" t="s">
        <v>6</v>
      </c>
      <c r="E1105" s="13" t="s">
        <v>61</v>
      </c>
      <c r="F1105" s="13" t="s">
        <v>48</v>
      </c>
    </row>
    <row r="1106" spans="1:6" x14ac:dyDescent="0.25">
      <c r="A1106" s="13"/>
      <c r="B1106" s="13"/>
      <c r="C1106" s="13"/>
      <c r="D1106" s="13" t="s">
        <v>6</v>
      </c>
      <c r="E1106" s="13" t="s">
        <v>61</v>
      </c>
      <c r="F1106" s="13" t="s">
        <v>49</v>
      </c>
    </row>
    <row r="1107" spans="1:6" x14ac:dyDescent="0.25">
      <c r="A1107" s="13"/>
      <c r="B1107" s="13"/>
      <c r="C1107" s="13"/>
      <c r="D1107" s="13" t="s">
        <v>6</v>
      </c>
      <c r="E1107" s="13" t="s">
        <v>61</v>
      </c>
      <c r="F1107" s="13" t="s">
        <v>50</v>
      </c>
    </row>
    <row r="1108" spans="1:6" x14ac:dyDescent="0.25">
      <c r="A1108" s="13"/>
      <c r="B1108" s="13"/>
      <c r="C1108" s="13"/>
      <c r="D1108" s="13" t="s">
        <v>6</v>
      </c>
      <c r="E1108" s="13" t="s">
        <v>61</v>
      </c>
      <c r="F1108" s="13" t="s">
        <v>51</v>
      </c>
    </row>
    <row r="1109" spans="1:6" x14ac:dyDescent="0.25">
      <c r="A1109" s="13"/>
      <c r="B1109" s="13"/>
      <c r="C1109" s="13"/>
      <c r="D1109" s="13" t="s">
        <v>6</v>
      </c>
      <c r="E1109" s="13" t="s">
        <v>61</v>
      </c>
      <c r="F1109" s="13" t="s">
        <v>93</v>
      </c>
    </row>
    <row r="1110" spans="1:6" x14ac:dyDescent="0.25">
      <c r="A1110" s="13"/>
      <c r="B1110" s="13"/>
      <c r="C1110" s="13"/>
      <c r="D1110" s="13" t="s">
        <v>6</v>
      </c>
      <c r="E1110" s="13" t="s">
        <v>68</v>
      </c>
      <c r="F1110" s="13" t="s">
        <v>57</v>
      </c>
    </row>
    <row r="1111" spans="1:6" x14ac:dyDescent="0.25">
      <c r="A1111" s="13"/>
      <c r="B1111" s="13"/>
      <c r="C1111" s="13"/>
      <c r="D1111" s="13" t="s">
        <v>6</v>
      </c>
      <c r="E1111" s="13" t="s">
        <v>68</v>
      </c>
      <c r="F1111" s="13" t="s">
        <v>52</v>
      </c>
    </row>
    <row r="1112" spans="1:6" x14ac:dyDescent="0.25">
      <c r="A1112" s="13"/>
      <c r="B1112" s="13"/>
      <c r="C1112" s="13"/>
      <c r="D1112" s="13" t="s">
        <v>6</v>
      </c>
      <c r="E1112" s="13" t="s">
        <v>68</v>
      </c>
      <c r="F1112" s="13" t="s">
        <v>53</v>
      </c>
    </row>
    <row r="1113" spans="1:6" x14ac:dyDescent="0.25">
      <c r="A1113" s="13"/>
      <c r="B1113" s="13"/>
      <c r="C1113" s="13"/>
      <c r="D1113" s="13" t="s">
        <v>6</v>
      </c>
      <c r="E1113" s="13" t="s">
        <v>68</v>
      </c>
      <c r="F1113" s="13" t="s">
        <v>54</v>
      </c>
    </row>
    <row r="1114" spans="1:6" x14ac:dyDescent="0.25">
      <c r="A1114" s="13"/>
      <c r="B1114" s="13"/>
      <c r="C1114" s="13"/>
      <c r="D1114" s="13" t="s">
        <v>6</v>
      </c>
      <c r="E1114" s="13" t="s">
        <v>68</v>
      </c>
      <c r="F1114" s="13" t="s">
        <v>15</v>
      </c>
    </row>
    <row r="1115" spans="1:6" x14ac:dyDescent="0.25">
      <c r="A1115" s="13"/>
      <c r="B1115" s="13"/>
      <c r="C1115" s="13"/>
      <c r="D1115" s="13" t="s">
        <v>6</v>
      </c>
      <c r="E1115" s="13" t="s">
        <v>68</v>
      </c>
      <c r="F1115" s="13" t="s">
        <v>55</v>
      </c>
    </row>
    <row r="1116" spans="1:6" x14ac:dyDescent="0.25">
      <c r="A1116" s="13"/>
      <c r="B1116" s="13"/>
      <c r="C1116" s="13"/>
      <c r="D1116" s="13" t="s">
        <v>6</v>
      </c>
      <c r="E1116" s="13" t="s">
        <v>68</v>
      </c>
      <c r="F1116" s="13" t="s">
        <v>56</v>
      </c>
    </row>
    <row r="1117" spans="1:6" x14ac:dyDescent="0.25">
      <c r="A1117" s="13"/>
      <c r="B1117" s="13"/>
      <c r="C1117" s="13"/>
      <c r="D1117" s="13" t="s">
        <v>6</v>
      </c>
      <c r="E1117" s="13" t="s">
        <v>68</v>
      </c>
      <c r="F1117" s="13" t="s">
        <v>44</v>
      </c>
    </row>
    <row r="1118" spans="1:6" x14ac:dyDescent="0.25">
      <c r="A1118" s="13"/>
      <c r="B1118" s="13"/>
      <c r="C1118" s="13"/>
      <c r="D1118" s="13" t="s">
        <v>6</v>
      </c>
      <c r="E1118" s="13" t="s">
        <v>68</v>
      </c>
      <c r="F1118" s="13" t="s">
        <v>45</v>
      </c>
    </row>
    <row r="1119" spans="1:6" x14ac:dyDescent="0.25">
      <c r="A1119" s="13"/>
      <c r="B1119" s="13"/>
      <c r="C1119" s="13"/>
      <c r="D1119" s="13" t="s">
        <v>6</v>
      </c>
      <c r="E1119" s="13" t="s">
        <v>68</v>
      </c>
      <c r="F1119" s="13" t="s">
        <v>46</v>
      </c>
    </row>
    <row r="1120" spans="1:6" x14ac:dyDescent="0.25">
      <c r="A1120" s="13"/>
      <c r="B1120" s="13"/>
      <c r="C1120" s="13"/>
      <c r="D1120" s="13" t="s">
        <v>6</v>
      </c>
      <c r="E1120" s="13" t="s">
        <v>68</v>
      </c>
      <c r="F1120" s="13" t="s">
        <v>47</v>
      </c>
    </row>
    <row r="1121" spans="1:6" x14ac:dyDescent="0.25">
      <c r="A1121" s="13"/>
      <c r="B1121" s="13"/>
      <c r="C1121" s="13"/>
      <c r="D1121" s="13" t="s">
        <v>6</v>
      </c>
      <c r="E1121" s="13" t="s">
        <v>68</v>
      </c>
      <c r="F1121" s="13" t="s">
        <v>48</v>
      </c>
    </row>
    <row r="1122" spans="1:6" x14ac:dyDescent="0.25">
      <c r="A1122" s="13"/>
      <c r="B1122" s="13"/>
      <c r="C1122" s="13"/>
      <c r="D1122" s="13" t="s">
        <v>6</v>
      </c>
      <c r="E1122" s="13" t="s">
        <v>68</v>
      </c>
      <c r="F1122" s="13" t="s">
        <v>49</v>
      </c>
    </row>
    <row r="1123" spans="1:6" x14ac:dyDescent="0.25">
      <c r="A1123" s="13"/>
      <c r="B1123" s="13"/>
      <c r="C1123" s="13"/>
      <c r="D1123" s="13" t="s">
        <v>6</v>
      </c>
      <c r="E1123" s="13" t="s">
        <v>68</v>
      </c>
      <c r="F1123" s="13" t="s">
        <v>50</v>
      </c>
    </row>
    <row r="1124" spans="1:6" x14ac:dyDescent="0.25">
      <c r="A1124" s="13"/>
      <c r="B1124" s="13"/>
      <c r="C1124" s="13"/>
      <c r="D1124" s="13" t="s">
        <v>6</v>
      </c>
      <c r="E1124" s="13" t="s">
        <v>68</v>
      </c>
      <c r="F1124" s="13" t="s">
        <v>51</v>
      </c>
    </row>
    <row r="1125" spans="1:6" x14ac:dyDescent="0.25">
      <c r="A1125" s="13"/>
      <c r="B1125" s="13"/>
      <c r="C1125" s="13"/>
      <c r="D1125" s="13" t="s">
        <v>6</v>
      </c>
      <c r="E1125" s="13" t="s">
        <v>68</v>
      </c>
      <c r="F1125" s="13" t="s">
        <v>93</v>
      </c>
    </row>
    <row r="1126" spans="1:6" x14ac:dyDescent="0.25">
      <c r="A1126" s="13"/>
      <c r="B1126" s="13"/>
      <c r="C1126" s="13"/>
      <c r="D1126" s="13" t="s">
        <v>6</v>
      </c>
      <c r="E1126" s="13" t="s">
        <v>79</v>
      </c>
      <c r="F1126" s="13" t="s">
        <v>57</v>
      </c>
    </row>
    <row r="1127" spans="1:6" x14ac:dyDescent="0.25">
      <c r="A1127" s="13"/>
      <c r="B1127" s="13"/>
      <c r="C1127" s="13"/>
      <c r="D1127" s="13" t="s">
        <v>6</v>
      </c>
      <c r="E1127" s="13" t="s">
        <v>79</v>
      </c>
      <c r="F1127" s="13" t="s">
        <v>52</v>
      </c>
    </row>
    <row r="1128" spans="1:6" x14ac:dyDescent="0.25">
      <c r="A1128" s="13"/>
      <c r="B1128" s="13"/>
      <c r="C1128" s="13"/>
      <c r="D1128" s="13" t="s">
        <v>6</v>
      </c>
      <c r="E1128" s="13" t="s">
        <v>79</v>
      </c>
      <c r="F1128" s="13" t="s">
        <v>53</v>
      </c>
    </row>
    <row r="1129" spans="1:6" x14ac:dyDescent="0.25">
      <c r="A1129" s="13"/>
      <c r="B1129" s="13"/>
      <c r="C1129" s="13"/>
      <c r="D1129" s="13" t="s">
        <v>6</v>
      </c>
      <c r="E1129" s="13" t="s">
        <v>79</v>
      </c>
      <c r="F1129" s="13" t="s">
        <v>54</v>
      </c>
    </row>
    <row r="1130" spans="1:6" x14ac:dyDescent="0.25">
      <c r="A1130" s="13"/>
      <c r="B1130" s="13"/>
      <c r="C1130" s="13"/>
      <c r="D1130" s="13" t="s">
        <v>6</v>
      </c>
      <c r="E1130" s="13" t="s">
        <v>79</v>
      </c>
      <c r="F1130" s="13" t="s">
        <v>15</v>
      </c>
    </row>
    <row r="1131" spans="1:6" x14ac:dyDescent="0.25">
      <c r="A1131" s="13"/>
      <c r="B1131" s="13"/>
      <c r="C1131" s="13"/>
      <c r="D1131" s="13" t="s">
        <v>6</v>
      </c>
      <c r="E1131" s="13" t="s">
        <v>79</v>
      </c>
      <c r="F1131" s="13" t="s">
        <v>55</v>
      </c>
    </row>
    <row r="1132" spans="1:6" x14ac:dyDescent="0.25">
      <c r="A1132" s="13"/>
      <c r="B1132" s="13"/>
      <c r="C1132" s="13"/>
      <c r="D1132" s="13" t="s">
        <v>6</v>
      </c>
      <c r="E1132" s="13" t="s">
        <v>79</v>
      </c>
      <c r="F1132" s="13" t="s">
        <v>56</v>
      </c>
    </row>
    <row r="1133" spans="1:6" x14ac:dyDescent="0.25">
      <c r="A1133" s="13"/>
      <c r="B1133" s="13"/>
      <c r="C1133" s="13"/>
      <c r="D1133" s="13" t="s">
        <v>6</v>
      </c>
      <c r="E1133" s="13" t="s">
        <v>79</v>
      </c>
      <c r="F1133" s="13" t="s">
        <v>44</v>
      </c>
    </row>
    <row r="1134" spans="1:6" x14ac:dyDescent="0.25">
      <c r="A1134" s="13"/>
      <c r="B1134" s="13"/>
      <c r="C1134" s="13"/>
      <c r="D1134" s="13" t="s">
        <v>6</v>
      </c>
      <c r="E1134" s="13" t="s">
        <v>79</v>
      </c>
      <c r="F1134" s="13" t="s">
        <v>45</v>
      </c>
    </row>
    <row r="1135" spans="1:6" x14ac:dyDescent="0.25">
      <c r="A1135" s="13"/>
      <c r="B1135" s="13"/>
      <c r="C1135" s="13"/>
      <c r="D1135" s="13" t="s">
        <v>6</v>
      </c>
      <c r="E1135" s="13" t="s">
        <v>79</v>
      </c>
      <c r="F1135" s="13" t="s">
        <v>46</v>
      </c>
    </row>
    <row r="1136" spans="1:6" x14ac:dyDescent="0.25">
      <c r="A1136" s="13"/>
      <c r="B1136" s="13"/>
      <c r="C1136" s="13"/>
      <c r="D1136" s="13" t="s">
        <v>6</v>
      </c>
      <c r="E1136" s="13" t="s">
        <v>79</v>
      </c>
      <c r="F1136" s="13" t="s">
        <v>47</v>
      </c>
    </row>
    <row r="1137" spans="1:6" x14ac:dyDescent="0.25">
      <c r="A1137" s="13"/>
      <c r="B1137" s="13"/>
      <c r="C1137" s="13"/>
      <c r="D1137" s="13" t="s">
        <v>6</v>
      </c>
      <c r="E1137" s="13" t="s">
        <v>79</v>
      </c>
      <c r="F1137" s="13" t="s">
        <v>48</v>
      </c>
    </row>
    <row r="1138" spans="1:6" x14ac:dyDescent="0.25">
      <c r="A1138" s="13"/>
      <c r="B1138" s="13"/>
      <c r="C1138" s="13"/>
      <c r="D1138" s="13" t="s">
        <v>6</v>
      </c>
      <c r="E1138" s="13" t="s">
        <v>79</v>
      </c>
      <c r="F1138" s="13" t="s">
        <v>49</v>
      </c>
    </row>
    <row r="1139" spans="1:6" x14ac:dyDescent="0.25">
      <c r="A1139" s="13"/>
      <c r="B1139" s="13"/>
      <c r="C1139" s="13"/>
      <c r="D1139" s="13" t="s">
        <v>6</v>
      </c>
      <c r="E1139" s="13" t="s">
        <v>79</v>
      </c>
      <c r="F1139" s="13" t="s">
        <v>50</v>
      </c>
    </row>
    <row r="1140" spans="1:6" x14ac:dyDescent="0.25">
      <c r="A1140" s="13"/>
      <c r="B1140" s="13"/>
      <c r="C1140" s="13"/>
      <c r="D1140" s="13" t="s">
        <v>6</v>
      </c>
      <c r="E1140" s="13" t="s">
        <v>79</v>
      </c>
      <c r="F1140" s="13" t="s">
        <v>51</v>
      </c>
    </row>
    <row r="1141" spans="1:6" x14ac:dyDescent="0.25">
      <c r="A1141" s="13"/>
      <c r="B1141" s="13"/>
      <c r="C1141" s="13"/>
      <c r="D1141" s="13" t="s">
        <v>6</v>
      </c>
      <c r="E1141" s="13" t="s">
        <v>79</v>
      </c>
      <c r="F1141" s="13" t="s">
        <v>93</v>
      </c>
    </row>
    <row r="1142" spans="1:6" x14ac:dyDescent="0.25">
      <c r="A1142" s="13"/>
      <c r="B1142" s="13"/>
      <c r="C1142" s="13"/>
      <c r="D1142" s="13" t="s">
        <v>6</v>
      </c>
      <c r="E1142" s="13" t="s">
        <v>144</v>
      </c>
      <c r="F1142" s="13" t="s">
        <v>57</v>
      </c>
    </row>
    <row r="1143" spans="1:6" x14ac:dyDescent="0.25">
      <c r="A1143" s="13"/>
      <c r="B1143" s="13"/>
      <c r="C1143" s="13"/>
      <c r="D1143" s="13" t="s">
        <v>6</v>
      </c>
      <c r="E1143" s="13" t="s">
        <v>144</v>
      </c>
      <c r="F1143" s="13" t="s">
        <v>52</v>
      </c>
    </row>
    <row r="1144" spans="1:6" x14ac:dyDescent="0.25">
      <c r="A1144" s="13"/>
      <c r="B1144" s="13"/>
      <c r="C1144" s="13"/>
      <c r="D1144" s="13" t="s">
        <v>6</v>
      </c>
      <c r="E1144" s="13" t="s">
        <v>144</v>
      </c>
      <c r="F1144" s="13" t="s">
        <v>53</v>
      </c>
    </row>
    <row r="1145" spans="1:6" x14ac:dyDescent="0.25">
      <c r="A1145" s="13"/>
      <c r="B1145" s="13"/>
      <c r="C1145" s="13"/>
      <c r="D1145" s="13" t="s">
        <v>6</v>
      </c>
      <c r="E1145" s="13" t="s">
        <v>144</v>
      </c>
      <c r="F1145" s="13" t="s">
        <v>54</v>
      </c>
    </row>
    <row r="1146" spans="1:6" x14ac:dyDescent="0.25">
      <c r="A1146" s="13"/>
      <c r="B1146" s="13"/>
      <c r="C1146" s="13"/>
      <c r="D1146" s="13" t="s">
        <v>6</v>
      </c>
      <c r="E1146" s="13" t="s">
        <v>144</v>
      </c>
      <c r="F1146" s="13" t="s">
        <v>15</v>
      </c>
    </row>
    <row r="1147" spans="1:6" x14ac:dyDescent="0.25">
      <c r="A1147" s="13"/>
      <c r="B1147" s="13"/>
      <c r="C1147" s="13"/>
      <c r="D1147" s="13" t="s">
        <v>6</v>
      </c>
      <c r="E1147" s="13" t="s">
        <v>144</v>
      </c>
      <c r="F1147" s="13" t="s">
        <v>55</v>
      </c>
    </row>
    <row r="1148" spans="1:6" x14ac:dyDescent="0.25">
      <c r="A1148" s="13"/>
      <c r="B1148" s="13"/>
      <c r="C1148" s="13"/>
      <c r="D1148" s="13" t="s">
        <v>6</v>
      </c>
      <c r="E1148" s="13" t="s">
        <v>144</v>
      </c>
      <c r="F1148" s="13" t="s">
        <v>56</v>
      </c>
    </row>
    <row r="1149" spans="1:6" x14ac:dyDescent="0.25">
      <c r="A1149" s="13"/>
      <c r="B1149" s="13"/>
      <c r="C1149" s="13"/>
      <c r="D1149" s="13" t="s">
        <v>6</v>
      </c>
      <c r="E1149" s="13" t="s">
        <v>144</v>
      </c>
      <c r="F1149" s="13" t="s">
        <v>44</v>
      </c>
    </row>
    <row r="1150" spans="1:6" x14ac:dyDescent="0.25">
      <c r="A1150" s="13"/>
      <c r="B1150" s="13"/>
      <c r="C1150" s="13"/>
      <c r="D1150" s="13" t="s">
        <v>6</v>
      </c>
      <c r="E1150" s="13" t="s">
        <v>144</v>
      </c>
      <c r="F1150" s="13" t="s">
        <v>45</v>
      </c>
    </row>
    <row r="1151" spans="1:6" x14ac:dyDescent="0.25">
      <c r="A1151" s="13"/>
      <c r="B1151" s="13"/>
      <c r="C1151" s="13"/>
      <c r="D1151" s="13" t="s">
        <v>6</v>
      </c>
      <c r="E1151" s="13" t="s">
        <v>144</v>
      </c>
      <c r="F1151" s="13" t="s">
        <v>46</v>
      </c>
    </row>
    <row r="1152" spans="1:6" x14ac:dyDescent="0.25">
      <c r="A1152" s="13"/>
      <c r="B1152" s="13"/>
      <c r="C1152" s="13"/>
      <c r="D1152" s="13" t="s">
        <v>6</v>
      </c>
      <c r="E1152" s="13" t="s">
        <v>144</v>
      </c>
      <c r="F1152" s="13" t="s">
        <v>47</v>
      </c>
    </row>
    <row r="1153" spans="1:6" x14ac:dyDescent="0.25">
      <c r="A1153" s="13"/>
      <c r="B1153" s="13"/>
      <c r="C1153" s="13"/>
      <c r="D1153" s="13" t="s">
        <v>6</v>
      </c>
      <c r="E1153" s="13" t="s">
        <v>144</v>
      </c>
      <c r="F1153" s="13" t="s">
        <v>48</v>
      </c>
    </row>
    <row r="1154" spans="1:6" x14ac:dyDescent="0.25">
      <c r="A1154" s="13"/>
      <c r="B1154" s="13"/>
      <c r="C1154" s="13"/>
      <c r="D1154" s="13" t="s">
        <v>6</v>
      </c>
      <c r="E1154" s="13" t="s">
        <v>144</v>
      </c>
      <c r="F1154" s="13" t="s">
        <v>49</v>
      </c>
    </row>
    <row r="1155" spans="1:6" x14ac:dyDescent="0.25">
      <c r="A1155" s="13"/>
      <c r="B1155" s="13"/>
      <c r="C1155" s="13"/>
      <c r="D1155" s="13" t="s">
        <v>6</v>
      </c>
      <c r="E1155" s="13" t="s">
        <v>144</v>
      </c>
      <c r="F1155" s="13" t="s">
        <v>50</v>
      </c>
    </row>
    <row r="1156" spans="1:6" x14ac:dyDescent="0.25">
      <c r="A1156" s="13"/>
      <c r="B1156" s="13"/>
      <c r="C1156" s="13"/>
      <c r="D1156" s="13" t="s">
        <v>6</v>
      </c>
      <c r="E1156" s="13" t="s">
        <v>144</v>
      </c>
      <c r="F1156" s="13" t="s">
        <v>51</v>
      </c>
    </row>
    <row r="1157" spans="1:6" x14ac:dyDescent="0.25">
      <c r="A1157" s="13"/>
      <c r="B1157" s="13"/>
      <c r="C1157" s="13"/>
      <c r="D1157" s="13" t="s">
        <v>6</v>
      </c>
      <c r="E1157" s="13" t="s">
        <v>144</v>
      </c>
      <c r="F1157" s="13" t="s">
        <v>93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1158"/>
  <sheetViews>
    <sheetView showGridLines="0" zoomScaleNormal="85" workbookViewId="0">
      <pane ySplit="2" topLeftCell="A24" activePane="bottomLeft" state="frozen"/>
      <selection pane="bottomLeft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hidden="1" customWidth="1" outlineLevel="1"/>
    <col min="8" max="9" width="15.7109375" hidden="1" customWidth="1" outlineLevel="1"/>
    <col min="10" max="13" width="14.42578125" hidden="1" customWidth="1" outlineLevel="1"/>
    <col min="14" max="14" width="9.7109375" hidden="1" customWidth="1" outlineLevel="1"/>
    <col min="15" max="15" width="15.140625" hidden="1" customWidth="1" outlineLevel="1"/>
    <col min="16" max="16" width="21" hidden="1" customWidth="1" outlineLevel="1"/>
    <col min="17" max="17" width="8.140625" bestFit="1" customWidth="1" collapsed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71</v>
      </c>
      <c r="G2" s="60" t="s">
        <v>72</v>
      </c>
      <c r="H2" s="60" t="s">
        <v>73</v>
      </c>
      <c r="I2" s="60" t="s">
        <v>74</v>
      </c>
      <c r="J2" s="7" t="s">
        <v>75</v>
      </c>
      <c r="K2" s="7" t="s">
        <v>76</v>
      </c>
      <c r="L2" s="7" t="s">
        <v>77</v>
      </c>
      <c r="M2" s="7" t="s">
        <v>78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65</v>
      </c>
    </row>
    <row r="3" spans="1:23" x14ac:dyDescent="0.25">
      <c r="A3" t="s">
        <v>2</v>
      </c>
      <c r="B3" s="28" t="s">
        <v>27</v>
      </c>
      <c r="C3" t="s">
        <v>16</v>
      </c>
      <c r="D3" t="str">
        <f>_xlfn.XLOOKUP(Table1[[#This Row],[Player]]&amp;Table1[[#This Row],[Week]]&amp;Table1[[#This Row],[Role]],'Google Form Transform'!$A:$A,'Google Form Transform'!E:E,"")</f>
        <v>Dylan Raiola</v>
      </c>
      <c r="E3" t="str">
        <f>_xlfn.XLOOKUP(Table1[[#This Row],[Player]]&amp;Table1[[#This Row],[Week]]&amp;Table1[[#This Row],[Role]],'Google Form Transform'!$A:$A,'Google Form Transform'!F:F,"")</f>
        <v>Nebraska</v>
      </c>
      <c r="F3" t="str">
        <f>_xlfn.XLOOKUP(Table1[[#This Row],[Player]]&amp;Table1[[#This Row],[Week]]&amp;Table1[[#This Row],[Role]],'Google Form Transform'!$A:$A,'Google Form Transform'!G:G,"")</f>
        <v>Cincinnati</v>
      </c>
      <c r="G3" s="59">
        <f>SUMIFS(Table2[Stat],Table2[Stat Category],"passing",Table2[Stat Type],"YDS",Table2[Athlete],Table1[[#This Row],[Pick]],Table2[Week],Table1[[#This Row],[Week]])</f>
        <v>243</v>
      </c>
      <c r="H3" s="59">
        <f>SUMIFS(Table2[Stat],Table2[Stat Category],"rushing",Table2[Stat Type],"YDS",Table2[Athlete],Table1[[#This Row],[Pick]],Table2[Week],Table1[[#This Row],[Week]])</f>
        <v>-1</v>
      </c>
      <c r="I3" s="59">
        <f>SUMIFS(Table2[Stat],Table2[Stat Category],"receiving",Table2[Stat Type],"YDS",Table2[Athlete],Table1[[#This Row],[Pick]],Table2[Week],Table1[[#This Row],[Week]])</f>
        <v>0</v>
      </c>
      <c r="J3" s="6">
        <f>IF(AND($C3="Rushing", $H3&lt;=0), 0, IF(AND($C3="Passing", $G$3&lt;=0), 0,IF(AND($C3="Receiving",$I3&lt;=0), 0,SUMIFS(Table2[Stat],Table2[Week],Table1[[#This Row],[Week]],Table2[Athlete],Table1[[#This Row],[Pick]],Table2[Stat Category],"passing",Table2[Stat Type],"TD"))))</f>
        <v>2</v>
      </c>
      <c r="K3" s="6">
        <f>IF(AND($C3="Rushing", $H3&lt;=0), 0, IF(AND($C3="Passing", $G$3&lt;=0), 0,IF(AND($C3="Receiving",$I3&lt;=0),0,SUMIFS(Table2[Stat],Table2[Week],Table1[[#This Row],[Week]],Table2[Athlete],Table1[[#This Row],[Pick]],Table2[Stat Category],"rushing",Table2[Stat Type],"TD"))))</f>
        <v>0</v>
      </c>
      <c r="L3" s="6">
        <f>IF(AND($C3="Rushing", $H3&lt;=0), 0, IF(AND($C3="Passing", $G$3&lt;=0), 0,IF(AND($C3="Receiving",$I3&lt;=0),0,SUMIFS(Table2[Stat],Table2[Week],Table1[[#This Row],[Week]],Table2[Athlete],Table1[[#This Row],[Pick]],Table2[Stat Category],"receiving",Table2[Stat Type],"TD"))))</f>
        <v>0</v>
      </c>
      <c r="M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" s="61">
        <f>SUMIFS(Data!$J:$J,Data!$A:$A,Info!$B3,Data!$G:$G,Info!$C3,Data!$I:$I,Info!$D3,Data!$H:$H,"TOT")</f>
        <v>0</v>
      </c>
      <c r="O3" s="61">
        <f>IF(C3="Defensive",SUMIFS(Data!$J:$J,Data!$A:$A,Info!$B3,Data!$I:$I,Info!$D3,Data!$H:$H,"INT"),0)</f>
        <v>0</v>
      </c>
      <c r="P3" s="61">
        <f>IF(Table1[[#This Row],[Role]]="Defensive",SUMIFS(Data!$J:$J,Data!$A:$A,Info!$B3,Data!$I:$I,Info!$D3,Data!$H:$H,$P$1),0)</f>
        <v>0</v>
      </c>
      <c r="Q3" s="65">
        <f>IF(Table1[[#This Row],[Pick]]="","",IF(S3&gt;1,400,IF(G3="","",IF(C3="Passing",(400-Table1[[#This Row],[Passing Yards]]-(30*Table1[[#This Row],[Passing TDs]])-(50*SUM(Table1[[#This Row],[Rushing TDs]:[Other TD''s]]))),IF(C3="Rushing",2*(200-Table1[[#This Row],[Rushing Yards]]-(30*Table1[[#This Row],[Passing TDs]])-50*(Table1[[#This Row],[Rushing TDs]]+Table1[[#This Row],[Receiving TDs]]+Table1[[#This Row],[Other TD''s]])),IF(C3="Receiving",2*(200-Table1[[#This Row],[Receiving Yards]]-(30*Table1[[#This Row],[Passing TDs]])-50*(Table1[[#This Row],[Rushing TDs]]+Table1[[#This Row],[Receiving TDs]]+Table1[[#This Row],[Other TD''s]])),IF(C3="Defensive",(25*(16-Table1[[#This Row],[Tackles]]-(8*(Table1[[#This Row],[Other TD''s]]+Table1[[#This Row],[Interceptions]]+Table1[[#This Row],[Fumbles Recovered]])))))))))))</f>
        <v>97</v>
      </c>
      <c r="R3" s="3" t="str">
        <f t="shared" ref="R3" si="0">IF(D3="","",A3&amp;C3&amp;D3)</f>
        <v>JacobPassingDylan Raiola</v>
      </c>
      <c r="S3" s="4">
        <f t="shared" ref="S3:S66" si="1">COUNTIF(R:R,R3)</f>
        <v>1</v>
      </c>
      <c r="T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tr">
        <f>_xlfn.XLOOKUP(Table1[[#This Row],[Player]]&amp;Table1[[#This Row],[Week]]&amp;Table1[[#This Row],[Role]],'Google Form Transform'!$A:$A,'Google Form Transform'!E:E,"")</f>
        <v>Bryson Washington</v>
      </c>
      <c r="E4" t="str">
        <f>_xlfn.XLOOKUP(Table1[[#This Row],[Player]]&amp;Table1[[#This Row],[Week]]&amp;Table1[[#This Row],[Role]],'Google Form Transform'!$A:$A,'Google Form Transform'!F:F,"")</f>
        <v>Baylor</v>
      </c>
      <c r="F4" t="str">
        <f>_xlfn.XLOOKUP(Table1[[#This Row],[Player]]&amp;Table1[[#This Row],[Week]]&amp;Table1[[#This Row],[Role]],'Google Form Transform'!$A:$A,'Google Form Transform'!G:G,"")</f>
        <v>Auburn</v>
      </c>
      <c r="G4" s="59">
        <f>SUMIFS(Table2[Stat],Table2[Stat Category],"passing",Table2[Stat Type],"YDS",Table2[Athlete],Table1[[#This Row],[Pick]],Table2[Week],Table1[[#This Row],[Week]])</f>
        <v>0</v>
      </c>
      <c r="H4" s="59">
        <f>SUMIFS(Table2[Stat],Table2[Stat Category],"rushing",Table2[Stat Type],"YDS",Table2[Athlete],Table1[[#This Row],[Pick]],Table2[Week],Table1[[#This Row],[Week]])</f>
        <v>54</v>
      </c>
      <c r="I4" s="59">
        <f>SUMIFS(Table2[Stat],Table2[Stat Category],"receiving",Table2[Stat Type],"YDS",Table2[Athlete],Table1[[#This Row],[Pick]],Table2[Week],Table1[[#This Row],[Week]])</f>
        <v>2</v>
      </c>
      <c r="J4" s="6">
        <f>IF(AND($C4="Rushing", $H4&lt;=0), 0, IF(AND($C4="Passing", $G$3&lt;=0), 0,IF(AND($C4="Receiving",$I4&lt;=0), 0,SUMIFS(Table2[Stat],Table2[Week],Table1[[#This Row],[Week]],Table2[Athlete],Table1[[#This Row],[Pick]],Table2[Stat Category],"passing",Table2[Stat Type],"TD"))))</f>
        <v>0</v>
      </c>
      <c r="K4" s="6">
        <f>IF(AND($C4="Rushing", $H4&lt;=0), 0, IF(AND($C4="Passing", $G$3&lt;=0), 0,IF(AND($C4="Receiving",$I4&lt;=0),0,SUMIFS(Table2[Stat],Table2[Week],Table1[[#This Row],[Week]],Table2[Athlete],Table1[[#This Row],[Pick]],Table2[Stat Category],"rushing",Table2[Stat Type],"TD"))))</f>
        <v>0</v>
      </c>
      <c r="L4" s="6">
        <f>IF(AND($C4="Rushing", $H4&lt;=0), 0, IF(AND($C4="Passing", $G$3&lt;=0), 0,IF(AND($C4="Receiving",$I4&lt;=0),0,SUMIFS(Table2[Stat],Table2[Week],Table1[[#This Row],[Week]],Table2[Athlete],Table1[[#This Row],[Pick]],Table2[Stat Category],"receiving",Table2[Stat Type],"TD"))))</f>
        <v>0</v>
      </c>
      <c r="M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" s="61">
        <f>SUMIFS(Data!$J:$J,Data!$A:$A,Info!$B4,Data!$G:$G,Info!$C4,Data!$I:$I,Info!$D4,Data!$H:$H,"TOT")</f>
        <v>0</v>
      </c>
      <c r="O4" s="61">
        <f>IF(C4="Defensive",SUMIFS(Data!$J:$J,Data!$A:$A,Info!$B4,Data!$I:$I,Info!$D4,Data!$H:$H,"INT"),0)</f>
        <v>0</v>
      </c>
      <c r="P4" s="61">
        <f>IF(Table1[[#This Row],[Role]]="Defensive",SUMIFS(Data!$J:$J,Data!$A:$A,Info!$B4,Data!$I:$I,Info!$D4,Data!$H:$H,$P$1),0)</f>
        <v>0</v>
      </c>
      <c r="Q4" s="65">
        <f>IF(Table1[[#This Row],[Pick]]="","",IF(S4&gt;1,400,IF(G4="","",IF(C4="Passing",(400-Table1[[#This Row],[Passing Yards]]-(30*Table1[[#This Row],[Passing TDs]])-(50*SUM(Table1[[#This Row],[Rushing TDs]:[Other TD''s]]))),IF(C4="Rushing",2*(200-Table1[[#This Row],[Rushing Yards]]-(30*Table1[[#This Row],[Passing TDs]])-50*(Table1[[#This Row],[Rushing TDs]]+Table1[[#This Row],[Receiving TDs]]+Table1[[#This Row],[Other TD''s]])),IF(C4="Receiving",2*(200-Table1[[#This Row],[Receiving Yards]]-(30*Table1[[#This Row],[Passing TDs]])-50*(Table1[[#This Row],[Rushing TDs]]+Table1[[#This Row],[Receiving TDs]]+Table1[[#This Row],[Other TD''s]])),IF(C4="Defensive",(25*(16-Table1[[#This Row],[Tackles]]-(8*(Table1[[#This Row],[Other TD''s]]+Table1[[#This Row],[Interceptions]]+Table1[[#This Row],[Fumbles Recovered]])))))))))))</f>
        <v>292</v>
      </c>
      <c r="R4" s="3" t="str">
        <f t="shared" ref="R4:R67" si="2">IF(D4="","",A4&amp;C4&amp;D4)</f>
        <v>JacobRushingBryson Washington</v>
      </c>
      <c r="S4" s="4">
        <f t="shared" si="1"/>
        <v>1</v>
      </c>
      <c r="T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tr">
        <f>_xlfn.XLOOKUP(Table1[[#This Row],[Player]]&amp;Table1[[#This Row],[Week]]&amp;Table1[[#This Row],[Role]],'Google Form Transform'!$A:$A,'Google Form Transform'!E:E,"")</f>
        <v>Ryan Williams</v>
      </c>
      <c r="E5" t="str">
        <f>_xlfn.XLOOKUP(Table1[[#This Row],[Player]]&amp;Table1[[#This Row],[Week]]&amp;Table1[[#This Row],[Role]],'Google Form Transform'!$A:$A,'Google Form Transform'!F:F,"")</f>
        <v>Alabama</v>
      </c>
      <c r="F5" t="str">
        <f>_xlfn.XLOOKUP(Table1[[#This Row],[Player]]&amp;Table1[[#This Row],[Week]]&amp;Table1[[#This Row],[Role]],'Google Form Transform'!$A:$A,'Google Form Transform'!G:G,"")</f>
        <v>Florida State</v>
      </c>
      <c r="G5" s="59">
        <f>SUMIFS(Table2[Stat],Table2[Stat Category],"passing",Table2[Stat Type],"YDS",Table2[Athlete],Table1[[#This Row],[Pick]],Table2[Week],Table1[[#This Row],[Week]])</f>
        <v>0</v>
      </c>
      <c r="H5" s="59">
        <f>SUMIFS(Table2[Stat],Table2[Stat Category],"rushing",Table2[Stat Type],"YDS",Table2[Athlete],Table1[[#This Row],[Pick]],Table2[Week],Table1[[#This Row],[Week]])</f>
        <v>0</v>
      </c>
      <c r="I5" s="59">
        <f>SUMIFS(Table2[Stat],Table2[Stat Category],"receiving",Table2[Stat Type],"YDS",Table2[Athlete],Table1[[#This Row],[Pick]],Table2[Week],Table1[[#This Row],[Week]])</f>
        <v>30</v>
      </c>
      <c r="J5" s="6">
        <f>IF(AND($C5="Rushing", $H5&lt;=0), 0, IF(AND($C5="Passing", $G$3&lt;=0), 0,IF(AND($C5="Receiving",$I5&lt;=0), 0,SUMIFS(Table2[Stat],Table2[Week],Table1[[#This Row],[Week]],Table2[Athlete],Table1[[#This Row],[Pick]],Table2[Stat Category],"passing",Table2[Stat Type],"TD"))))</f>
        <v>0</v>
      </c>
      <c r="K5" s="6">
        <f>IF(AND($C5="Rushing", $H5&lt;=0), 0, IF(AND($C5="Passing", $G$3&lt;=0), 0,IF(AND($C5="Receiving",$I5&lt;=0),0,SUMIFS(Table2[Stat],Table2[Week],Table1[[#This Row],[Week]],Table2[Athlete],Table1[[#This Row],[Pick]],Table2[Stat Category],"rushing",Table2[Stat Type],"TD"))))</f>
        <v>0</v>
      </c>
      <c r="L5" s="6">
        <f>IF(AND($C5="Rushing", $H5&lt;=0), 0, IF(AND($C5="Passing", $G$3&lt;=0), 0,IF(AND($C5="Receiving",$I5&lt;=0),0,SUMIFS(Table2[Stat],Table2[Week],Table1[[#This Row],[Week]],Table2[Athlete],Table1[[#This Row],[Pick]],Table2[Stat Category],"receiving",Table2[Stat Type],"TD"))))</f>
        <v>0</v>
      </c>
      <c r="M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" s="61">
        <f>SUMIFS(Data!$J:$J,Data!$A:$A,Info!$B5,Data!$G:$G,Info!$C5,Data!$I:$I,Info!$D5,Data!$H:$H,"TOT")</f>
        <v>0</v>
      </c>
      <c r="O5" s="61">
        <f>IF(C5="Defensive",SUMIFS(Data!$J:$J,Data!$A:$A,Info!$B5,Data!$I:$I,Info!$D5,Data!$H:$H,"INT"),0)</f>
        <v>0</v>
      </c>
      <c r="P5" s="61">
        <f>IF(Table1[[#This Row],[Role]]="Defensive",SUMIFS(Data!$J:$J,Data!$A:$A,Info!$B5,Data!$I:$I,Info!$D5,Data!$H:$H,$P$1),0)</f>
        <v>0</v>
      </c>
      <c r="Q5" s="65">
        <f>IF(Table1[[#This Row],[Pick]]="","",IF(S5&gt;1,400,IF(G5="","",IF(C5="Passing",(400-Table1[[#This Row],[Passing Yards]]-(30*Table1[[#This Row],[Passing TDs]])-(50*SUM(Table1[[#This Row],[Rushing TDs]:[Other TD''s]]))),IF(C5="Rushing",2*(200-Table1[[#This Row],[Rushing Yards]]-(30*Table1[[#This Row],[Passing TDs]])-50*(Table1[[#This Row],[Rushing TDs]]+Table1[[#This Row],[Receiving TDs]]+Table1[[#This Row],[Other TD''s]])),IF(C5="Receiving",2*(200-Table1[[#This Row],[Receiving Yards]]-(30*Table1[[#This Row],[Passing TDs]])-50*(Table1[[#This Row],[Rushing TDs]]+Table1[[#This Row],[Receiving TDs]]+Table1[[#This Row],[Other TD''s]])),IF(C5="Defensive",(25*(16-Table1[[#This Row],[Tackles]]-(8*(Table1[[#This Row],[Other TD''s]]+Table1[[#This Row],[Interceptions]]+Table1[[#This Row],[Fumbles Recovered]])))))))))))</f>
        <v>340</v>
      </c>
      <c r="R5" s="3" t="str">
        <f t="shared" si="2"/>
        <v>JacobReceivingRyan Williams</v>
      </c>
      <c r="S5" s="4">
        <f t="shared" si="1"/>
        <v>1</v>
      </c>
      <c r="T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tr">
        <f>_xlfn.XLOOKUP(Table1[[#This Row],[Player]]&amp;Table1[[#This Row],[Week]]&amp;Table1[[#This Row],[Role]],'Google Form Transform'!$A:$A,'Google Form Transform'!E:E,"")</f>
        <v>Khalil Murdock</v>
      </c>
      <c r="E6" t="str">
        <f>_xlfn.XLOOKUP(Table1[[#This Row],[Player]]&amp;Table1[[#This Row],[Week]]&amp;Table1[[#This Row],[Role]],'Google Form Transform'!$A:$A,'Google Form Transform'!F:F,"")</f>
        <v>Buffalo</v>
      </c>
      <c r="F6" t="str">
        <f>_xlfn.XLOOKUP(Table1[[#This Row],[Player]]&amp;Table1[[#This Row],[Week]]&amp;Table1[[#This Row],[Role]],'Google Form Transform'!$A:$A,'Google Form Transform'!G:G,"")</f>
        <v>Minnesota</v>
      </c>
      <c r="G6" s="59">
        <f>SUMIFS(Table2[Stat],Table2[Stat Category],"passing",Table2[Stat Type],"YDS",Table2[Athlete],Table1[[#This Row],[Pick]],Table2[Week],Table1[[#This Row],[Week]])</f>
        <v>0</v>
      </c>
      <c r="H6" s="59">
        <f>SUMIFS(Table2[Stat],Table2[Stat Category],"rushing",Table2[Stat Type],"YDS",Table2[Athlete],Table1[[#This Row],[Pick]],Table2[Week],Table1[[#This Row],[Week]])</f>
        <v>0</v>
      </c>
      <c r="I6" s="59">
        <f>SUMIFS(Table2[Stat],Table2[Stat Category],"receiving",Table2[Stat Type],"YDS",Table2[Athlete],Table1[[#This Row],[Pick]],Table2[Week],Table1[[#This Row],[Week]])</f>
        <v>0</v>
      </c>
      <c r="J6" s="6">
        <f>IF(AND($C6="Rushing", $H6&lt;=0), 0, IF(AND($C6="Passing", $G$3&lt;=0), 0,IF(AND($C6="Receiving",$I6&lt;=0), 0,SUMIFS(Table2[Stat],Table2[Week],Table1[[#This Row],[Week]],Table2[Athlete],Table1[[#This Row],[Pick]],Table2[Stat Category],"passing",Table2[Stat Type],"TD"))))</f>
        <v>0</v>
      </c>
      <c r="K6" s="6">
        <f>IF(AND($C6="Rushing", $H6&lt;=0), 0, IF(AND($C6="Passing", $G$3&lt;=0), 0,IF(AND($C6="Receiving",$I6&lt;=0),0,SUMIFS(Table2[Stat],Table2[Week],Table1[[#This Row],[Week]],Table2[Athlete],Table1[[#This Row],[Pick]],Table2[Stat Category],"rushing",Table2[Stat Type],"TD"))))</f>
        <v>0</v>
      </c>
      <c r="L6" s="6">
        <f>IF(AND($C6="Rushing", $H6&lt;=0), 0, IF(AND($C6="Passing", $G$3&lt;=0), 0,IF(AND($C6="Receiving",$I6&lt;=0),0,SUMIFS(Table2[Stat],Table2[Week],Table1[[#This Row],[Week]],Table2[Athlete],Table1[[#This Row],[Pick]],Table2[Stat Category],"receiving",Table2[Stat Type],"TD"))))</f>
        <v>0</v>
      </c>
      <c r="M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" s="61">
        <f>SUMIFS(Data!$J:$J,Data!$A:$A,Info!$B6,Data!$G:$G,Info!$C6,Data!$I:$I,Info!$D6,Data!$H:$H,"TOT")</f>
        <v>16</v>
      </c>
      <c r="O6" s="61">
        <f>IF(C6="Defensive",SUMIFS(Data!$J:$J,Data!$A:$A,Info!$B6,Data!$I:$I,Info!$D6,Data!$H:$H,"INT"),0)</f>
        <v>0</v>
      </c>
      <c r="P6" s="61">
        <f>IF(Table1[[#This Row],[Role]]="Defensive",SUMIFS(Data!$J:$J,Data!$A:$A,Info!$B6,Data!$I:$I,Info!$D6,Data!$H:$H,$P$1),0)</f>
        <v>0</v>
      </c>
      <c r="Q6" s="65">
        <f>IF(Table1[[#This Row],[Pick]]="","",IF(S6&gt;1,400,IF(G6="","",IF(C6="Passing",(400-Table1[[#This Row],[Passing Yards]]-(30*Table1[[#This Row],[Passing TDs]])-(50*SUM(Table1[[#This Row],[Rushing TDs]:[Other TD''s]]))),IF(C6="Rushing",2*(200-Table1[[#This Row],[Rushing Yards]]-(30*Table1[[#This Row],[Passing TDs]])-50*(Table1[[#This Row],[Rushing TDs]]+Table1[[#This Row],[Receiving TDs]]+Table1[[#This Row],[Other TD''s]])),IF(C6="Receiving",2*(200-Table1[[#This Row],[Receiving Yards]]-(30*Table1[[#This Row],[Passing TDs]])-50*(Table1[[#This Row],[Rushing TDs]]+Table1[[#This Row],[Receiving TDs]]+Table1[[#This Row],[Other TD''s]])),IF(C6="Defensive",(25*(16-Table1[[#This Row],[Tackles]]-(8*(Table1[[#This Row],[Other TD''s]]+Table1[[#This Row],[Interceptions]]+Table1[[#This Row],[Fumbles Recovered]])))))))))))</f>
        <v>0</v>
      </c>
      <c r="R6" s="3" t="str">
        <f t="shared" si="2"/>
        <v>JacobDefensiveKhalil Murdock</v>
      </c>
      <c r="S6" s="4">
        <f t="shared" si="1"/>
        <v>1</v>
      </c>
      <c r="T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16</v>
      </c>
      <c r="V6" t="s">
        <v>18</v>
      </c>
      <c r="W6" t="s">
        <v>65</v>
      </c>
    </row>
    <row r="7" spans="1:23" x14ac:dyDescent="0.25">
      <c r="A7" t="s">
        <v>4</v>
      </c>
      <c r="B7" s="28" t="s">
        <v>27</v>
      </c>
      <c r="C7" t="s">
        <v>16</v>
      </c>
      <c r="D7" t="str">
        <f>_xlfn.XLOOKUP(Table1[[#This Row],[Player]]&amp;Table1[[#This Row],[Week]]&amp;Table1[[#This Row],[Role]],'Google Form Transform'!$A:$A,'Google Form Transform'!E:E,"")</f>
        <v>Gunner Stockton</v>
      </c>
      <c r="E7" t="str">
        <f>_xlfn.XLOOKUP(Table1[[#This Row],[Player]]&amp;Table1[[#This Row],[Week]]&amp;Table1[[#This Row],[Role]],'Google Form Transform'!$A:$A,'Google Form Transform'!F:F,"")</f>
        <v>Georgia</v>
      </c>
      <c r="F7" t="str">
        <f>_xlfn.XLOOKUP(Table1[[#This Row],[Player]]&amp;Table1[[#This Row],[Week]]&amp;Table1[[#This Row],[Role]],'Google Form Transform'!$A:$A,'Google Form Transform'!G:G,"")</f>
        <v>Marshall</v>
      </c>
      <c r="G7" s="59">
        <f>SUMIFS(Table2[Stat],Table2[Stat Category],"passing",Table2[Stat Type],"YDS",Table2[Athlete],Table1[[#This Row],[Pick]],Table2[Week],Table1[[#This Row],[Week]])</f>
        <v>190</v>
      </c>
      <c r="H7" s="59">
        <f>SUMIFS(Table2[Stat],Table2[Stat Category],"rushing",Table2[Stat Type],"YDS",Table2[Athlete],Table1[[#This Row],[Pick]],Table2[Week],Table1[[#This Row],[Week]])</f>
        <v>73</v>
      </c>
      <c r="I7" s="59">
        <f>SUMIFS(Table2[Stat],Table2[Stat Category],"receiving",Table2[Stat Type],"YDS",Table2[Athlete],Table1[[#This Row],[Pick]],Table2[Week],Table1[[#This Row],[Week]])</f>
        <v>0</v>
      </c>
      <c r="J7" s="6">
        <f>IF(AND($C7="Rushing", $H7&lt;=0), 0, IF(AND($C7="Passing", $G$3&lt;=0), 0,IF(AND($C7="Receiving",$I7&lt;=0), 0,SUMIFS(Table2[Stat],Table2[Week],Table1[[#This Row],[Week]],Table2[Athlete],Table1[[#This Row],[Pick]],Table2[Stat Category],"passing",Table2[Stat Type],"TD"))))</f>
        <v>2</v>
      </c>
      <c r="K7" s="6">
        <f>IF(AND($C7="Rushing", $H7&lt;=0), 0, IF(AND($C7="Passing", $G$3&lt;=0), 0,IF(AND($C7="Receiving",$I7&lt;=0),0,SUMIFS(Table2[Stat],Table2[Week],Table1[[#This Row],[Week]],Table2[Athlete],Table1[[#This Row],[Pick]],Table2[Stat Category],"rushing",Table2[Stat Type],"TD"))))</f>
        <v>2</v>
      </c>
      <c r="L7" s="6">
        <f>IF(AND($C7="Rushing", $H7&lt;=0), 0, IF(AND($C7="Passing", $G$3&lt;=0), 0,IF(AND($C7="Receiving",$I7&lt;=0),0,SUMIFS(Table2[Stat],Table2[Week],Table1[[#This Row],[Week]],Table2[Athlete],Table1[[#This Row],[Pick]],Table2[Stat Category],"receiving",Table2[Stat Type],"TD"))))</f>
        <v>0</v>
      </c>
      <c r="M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" s="61">
        <f>SUMIFS(Data!$J:$J,Data!$A:$A,Info!$B7,Data!$G:$G,Info!$C7,Data!$I:$I,Info!$D7,Data!$H:$H,"TOT")</f>
        <v>0</v>
      </c>
      <c r="O7" s="61">
        <f>IF(C7="Defensive",SUMIFS(Data!$J:$J,Data!$A:$A,Info!$B7,Data!$I:$I,Info!$D7,Data!$H:$H,"INT"),0)</f>
        <v>0</v>
      </c>
      <c r="P7" s="61">
        <f>IF(Table1[[#This Row],[Role]]="Defensive",SUMIFS(Data!$J:$J,Data!$A:$A,Info!$B7,Data!$I:$I,Info!$D7,Data!$H:$H,$P$1),0)</f>
        <v>0</v>
      </c>
      <c r="Q7" s="65">
        <f>IF(Table1[[#This Row],[Pick]]="","",IF(S7&gt;1,400,IF(G7="","",IF(C7="Passing",(400-Table1[[#This Row],[Passing Yards]]-(30*Table1[[#This Row],[Passing TDs]])-(50*SUM(Table1[[#This Row],[Rushing TDs]:[Other TD''s]]))),IF(C7="Rushing",2*(200-Table1[[#This Row],[Rushing Yards]]-(30*Table1[[#This Row],[Passing TDs]])-50*(Table1[[#This Row],[Rushing TDs]]+Table1[[#This Row],[Receiving TDs]]+Table1[[#This Row],[Other TD''s]])),IF(C7="Receiving",2*(200-Table1[[#This Row],[Receiving Yards]]-(30*Table1[[#This Row],[Passing TDs]])-50*(Table1[[#This Row],[Rushing TDs]]+Table1[[#This Row],[Receiving TDs]]+Table1[[#This Row],[Other TD''s]])),IF(C7="Defensive",(25*(16-Table1[[#This Row],[Tackles]]-(8*(Table1[[#This Row],[Other TD''s]]+Table1[[#This Row],[Interceptions]]+Table1[[#This Row],[Fumbles Recovered]])))))))))))</f>
        <v>50</v>
      </c>
      <c r="R7" s="3" t="str">
        <f t="shared" si="2"/>
        <v>JacksonPassingGunner Stockton</v>
      </c>
      <c r="S7" s="4">
        <f t="shared" si="1"/>
        <v>1</v>
      </c>
      <c r="T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190</v>
      </c>
      <c r="V7" t="s">
        <v>19</v>
      </c>
      <c r="W7" t="s">
        <v>65</v>
      </c>
    </row>
    <row r="8" spans="1:23" x14ac:dyDescent="0.25">
      <c r="A8" t="s">
        <v>4</v>
      </c>
      <c r="B8" s="28" t="s">
        <v>27</v>
      </c>
      <c r="C8" t="s">
        <v>6</v>
      </c>
      <c r="D8" t="str">
        <f>_xlfn.XLOOKUP(Table1[[#This Row],[Player]]&amp;Table1[[#This Row],[Week]]&amp;Table1[[#This Row],[Role]],'Google Form Transform'!$A:$A,'Google Form Transform'!E:E,"")</f>
        <v>Nicholas Singleton</v>
      </c>
      <c r="E8" t="str">
        <f>_xlfn.XLOOKUP(Table1[[#This Row],[Player]]&amp;Table1[[#This Row],[Week]]&amp;Table1[[#This Row],[Role]],'Google Form Transform'!$A:$A,'Google Form Transform'!F:F,"")</f>
        <v>Penn State</v>
      </c>
      <c r="F8" t="str">
        <f>_xlfn.XLOOKUP(Table1[[#This Row],[Player]]&amp;Table1[[#This Row],[Week]]&amp;Table1[[#This Row],[Role]],'Google Form Transform'!$A:$A,'Google Form Transform'!G:G,"")</f>
        <v>Nevada</v>
      </c>
      <c r="G8" s="59">
        <f>SUMIFS(Table2[Stat],Table2[Stat Category],"passing",Table2[Stat Type],"YDS",Table2[Athlete],Table1[[#This Row],[Pick]],Table2[Week],Table1[[#This Row],[Week]])</f>
        <v>0</v>
      </c>
      <c r="H8" s="59">
        <f>SUMIFS(Table2[Stat],Table2[Stat Category],"rushing",Table2[Stat Type],"YDS",Table2[Athlete],Table1[[#This Row],[Pick]],Table2[Week],Table1[[#This Row],[Week]])</f>
        <v>19</v>
      </c>
      <c r="I8" s="59">
        <f>SUMIFS(Table2[Stat],Table2[Stat Category],"receiving",Table2[Stat Type],"YDS",Table2[Athlete],Table1[[#This Row],[Pick]],Table2[Week],Table1[[#This Row],[Week]])</f>
        <v>37</v>
      </c>
      <c r="J8" s="6">
        <f>IF(AND($C8="Rushing", $H8&lt;=0), 0, IF(AND($C8="Passing", $G$3&lt;=0), 0,IF(AND($C8="Receiving",$I8&lt;=0), 0,SUMIFS(Table2[Stat],Table2[Week],Table1[[#This Row],[Week]],Table2[Athlete],Table1[[#This Row],[Pick]],Table2[Stat Category],"passing",Table2[Stat Type],"TD"))))</f>
        <v>0</v>
      </c>
      <c r="K8" s="6">
        <f>IF(AND($C8="Rushing", $H8&lt;=0), 0, IF(AND($C8="Passing", $G$3&lt;=0), 0,IF(AND($C8="Receiving",$I8&lt;=0),0,SUMIFS(Table2[Stat],Table2[Week],Table1[[#This Row],[Week]],Table2[Athlete],Table1[[#This Row],[Pick]],Table2[Stat Category],"rushing",Table2[Stat Type],"TD"))))</f>
        <v>2</v>
      </c>
      <c r="L8" s="6">
        <f>IF(AND($C8="Rushing", $H8&lt;=0), 0, IF(AND($C8="Passing", $G$3&lt;=0), 0,IF(AND($C8="Receiving",$I8&lt;=0),0,SUMIFS(Table2[Stat],Table2[Week],Table1[[#This Row],[Week]],Table2[Athlete],Table1[[#This Row],[Pick]],Table2[Stat Category],"receiving",Table2[Stat Type],"TD"))))</f>
        <v>0</v>
      </c>
      <c r="M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" s="61">
        <f>SUMIFS(Data!$J:$J,Data!$A:$A,Info!$B8,Data!$G:$G,Info!$C8,Data!$I:$I,Info!$D8,Data!$H:$H,"TOT")</f>
        <v>0</v>
      </c>
      <c r="O8" s="61">
        <f>IF(C8="Defensive",SUMIFS(Data!$J:$J,Data!$A:$A,Info!$B8,Data!$I:$I,Info!$D8,Data!$H:$H,"INT"),0)</f>
        <v>0</v>
      </c>
      <c r="P8" s="61">
        <f>IF(Table1[[#This Row],[Role]]="Defensive",SUMIFS(Data!$J:$J,Data!$A:$A,Info!$B8,Data!$I:$I,Info!$D8,Data!$H:$H,$P$1),0)</f>
        <v>0</v>
      </c>
      <c r="Q8" s="65">
        <f>IF(Table1[[#This Row],[Pick]]="","",IF(S8&gt;1,400,IF(G8="","",IF(C8="Passing",(400-Table1[[#This Row],[Passing Yards]]-(30*Table1[[#This Row],[Passing TDs]])-(50*SUM(Table1[[#This Row],[Rushing TDs]:[Other TD''s]]))),IF(C8="Rushing",2*(200-Table1[[#This Row],[Rushing Yards]]-(30*Table1[[#This Row],[Passing TDs]])-50*(Table1[[#This Row],[Rushing TDs]]+Table1[[#This Row],[Receiving TDs]]+Table1[[#This Row],[Other TD''s]])),IF(C8="Receiving",2*(200-Table1[[#This Row],[Receiving Yards]]-(30*Table1[[#This Row],[Passing TDs]])-50*(Table1[[#This Row],[Rushing TDs]]+Table1[[#This Row],[Receiving TDs]]+Table1[[#This Row],[Other TD''s]])),IF(C8="Defensive",(25*(16-Table1[[#This Row],[Tackles]]-(8*(Table1[[#This Row],[Other TD''s]]+Table1[[#This Row],[Interceptions]]+Table1[[#This Row],[Fumbles Recovered]])))))))))))</f>
        <v>162</v>
      </c>
      <c r="R8" s="3" t="str">
        <f t="shared" si="2"/>
        <v>JacksonRushingNicholas Singleton</v>
      </c>
      <c r="S8" s="4">
        <f t="shared" si="1"/>
        <v>1</v>
      </c>
      <c r="T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19</v>
      </c>
      <c r="V8" t="s">
        <v>26</v>
      </c>
      <c r="W8" t="s">
        <v>65</v>
      </c>
    </row>
    <row r="9" spans="1:23" x14ac:dyDescent="0.25">
      <c r="A9" t="s">
        <v>4</v>
      </c>
      <c r="B9" s="28" t="s">
        <v>27</v>
      </c>
      <c r="C9" t="s">
        <v>17</v>
      </c>
      <c r="D9" t="str">
        <f>_xlfn.XLOOKUP(Table1[[#This Row],[Player]]&amp;Table1[[#This Row],[Week]]&amp;Table1[[#This Row],[Role]],'Google Form Transform'!$A:$A,'Google Form Transform'!E:E,"")</f>
        <v>Easton Messer</v>
      </c>
      <c r="E9" t="str">
        <f>_xlfn.XLOOKUP(Table1[[#This Row],[Player]]&amp;Table1[[#This Row],[Week]]&amp;Table1[[#This Row],[Role]],'Google Form Transform'!$A:$A,'Google Form Transform'!F:F,"")</f>
        <v>FAU</v>
      </c>
      <c r="F9" t="str">
        <f>_xlfn.XLOOKUP(Table1[[#This Row],[Player]]&amp;Table1[[#This Row],[Week]]&amp;Table1[[#This Row],[Role]],'Google Form Transform'!$A:$A,'Google Form Transform'!G:G,"")</f>
        <v>Maryland</v>
      </c>
      <c r="G9" s="59">
        <f>SUMIFS(Table2[Stat],Table2[Stat Category],"passing",Table2[Stat Type],"YDS",Table2[Athlete],Table1[[#This Row],[Pick]],Table2[Week],Table1[[#This Row],[Week]])</f>
        <v>0</v>
      </c>
      <c r="H9" s="59">
        <f>SUMIFS(Table2[Stat],Table2[Stat Category],"rushing",Table2[Stat Type],"YDS",Table2[Athlete],Table1[[#This Row],[Pick]],Table2[Week],Table1[[#This Row],[Week]])</f>
        <v>0</v>
      </c>
      <c r="I9" s="59">
        <f>SUMIFS(Table2[Stat],Table2[Stat Category],"receiving",Table2[Stat Type],"YDS",Table2[Athlete],Table1[[#This Row],[Pick]],Table2[Week],Table1[[#This Row],[Week]])</f>
        <v>87</v>
      </c>
      <c r="J9" s="6">
        <f>IF(AND($C9="Rushing", $H9&lt;=0), 0, IF(AND($C9="Passing", $G$3&lt;=0), 0,IF(AND($C9="Receiving",$I9&lt;=0), 0,SUMIFS(Table2[Stat],Table2[Week],Table1[[#This Row],[Week]],Table2[Athlete],Table1[[#This Row],[Pick]],Table2[Stat Category],"passing",Table2[Stat Type],"TD"))))</f>
        <v>0</v>
      </c>
      <c r="K9" s="6">
        <f>IF(AND($C9="Rushing", $H9&lt;=0), 0, IF(AND($C9="Passing", $G$3&lt;=0), 0,IF(AND($C9="Receiving",$I9&lt;=0),0,SUMIFS(Table2[Stat],Table2[Week],Table1[[#This Row],[Week]],Table2[Athlete],Table1[[#This Row],[Pick]],Table2[Stat Category],"rushing",Table2[Stat Type],"TD"))))</f>
        <v>0</v>
      </c>
      <c r="L9" s="6">
        <f>IF(AND($C9="Rushing", $H9&lt;=0), 0, IF(AND($C9="Passing", $G$3&lt;=0), 0,IF(AND($C9="Receiving",$I9&lt;=0),0,SUMIFS(Table2[Stat],Table2[Week],Table1[[#This Row],[Week]],Table2[Athlete],Table1[[#This Row],[Pick]],Table2[Stat Category],"receiving",Table2[Stat Type],"TD"))))</f>
        <v>0</v>
      </c>
      <c r="M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" s="61">
        <f>SUMIFS(Data!$J:$J,Data!$A:$A,Info!$B9,Data!$G:$G,Info!$C9,Data!$I:$I,Info!$D9,Data!$H:$H,"TOT")</f>
        <v>0</v>
      </c>
      <c r="O9" s="61">
        <f>IF(C9="Defensive",SUMIFS(Data!$J:$J,Data!$A:$A,Info!$B9,Data!$I:$I,Info!$D9,Data!$H:$H,"INT"),0)</f>
        <v>0</v>
      </c>
      <c r="P9" s="61">
        <f>IF(Table1[[#This Row],[Role]]="Defensive",SUMIFS(Data!$J:$J,Data!$A:$A,Info!$B9,Data!$I:$I,Info!$D9,Data!$H:$H,$P$1),0)</f>
        <v>0</v>
      </c>
      <c r="Q9" s="65">
        <f>IF(Table1[[#This Row],[Pick]]="","",IF(S9&gt;1,400,IF(G9="","",IF(C9="Passing",(400-Table1[[#This Row],[Passing Yards]]-(30*Table1[[#This Row],[Passing TDs]])-(50*SUM(Table1[[#This Row],[Rushing TDs]:[Other TD''s]]))),IF(C9="Rushing",2*(200-Table1[[#This Row],[Rushing Yards]]-(30*Table1[[#This Row],[Passing TDs]])-50*(Table1[[#This Row],[Rushing TDs]]+Table1[[#This Row],[Receiving TDs]]+Table1[[#This Row],[Other TD''s]])),IF(C9="Receiving",2*(200-Table1[[#This Row],[Receiving Yards]]-(30*Table1[[#This Row],[Passing TDs]])-50*(Table1[[#This Row],[Rushing TDs]]+Table1[[#This Row],[Receiving TDs]]+Table1[[#This Row],[Other TD''s]])),IF(C9="Defensive",(25*(16-Table1[[#This Row],[Tackles]]-(8*(Table1[[#This Row],[Other TD''s]]+Table1[[#This Row],[Interceptions]]+Table1[[#This Row],[Fumbles Recovered]])))))))))))</f>
        <v>226</v>
      </c>
      <c r="R9" s="3" t="str">
        <f t="shared" si="2"/>
        <v>JacksonReceivingEaston Messer</v>
      </c>
      <c r="S9" s="4">
        <f t="shared" si="1"/>
        <v>1</v>
      </c>
      <c r="T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tr">
        <f>_xlfn.XLOOKUP(Table1[[#This Row],[Player]]&amp;Table1[[#This Row],[Week]]&amp;Table1[[#This Row],[Role]],'Google Form Transform'!$A:$A,'Google Form Transform'!E:E,"")</f>
        <v>Caleb Downs</v>
      </c>
      <c r="E10" t="str">
        <f>_xlfn.XLOOKUP(Table1[[#This Row],[Player]]&amp;Table1[[#This Row],[Week]]&amp;Table1[[#This Row],[Role]],'Google Form Transform'!$A:$A,'Google Form Transform'!F:F,"")</f>
        <v>Ohio State</v>
      </c>
      <c r="F10" t="str">
        <f>_xlfn.XLOOKUP(Table1[[#This Row],[Player]]&amp;Table1[[#This Row],[Week]]&amp;Table1[[#This Row],[Role]],'Google Form Transform'!$A:$A,'Google Form Transform'!G:G,"")</f>
        <v>Texas</v>
      </c>
      <c r="G10" s="59">
        <f>SUMIFS(Table2[Stat],Table2[Stat Category],"passing",Table2[Stat Type],"YDS",Table2[Athlete],Table1[[#This Row],[Pick]],Table2[Week],Table1[[#This Row],[Week]])</f>
        <v>0</v>
      </c>
      <c r="H10" s="59">
        <f>SUMIFS(Table2[Stat],Table2[Stat Category],"rushing",Table2[Stat Type],"YDS",Table2[Athlete],Table1[[#This Row],[Pick]],Table2[Week],Table1[[#This Row],[Week]])</f>
        <v>0</v>
      </c>
      <c r="I10" s="59">
        <f>SUMIFS(Table2[Stat],Table2[Stat Category],"receiving",Table2[Stat Type],"YDS",Table2[Athlete],Table1[[#This Row],[Pick]],Table2[Week],Table1[[#This Row],[Week]])</f>
        <v>0</v>
      </c>
      <c r="J10" s="6">
        <f>IF(AND($C10="Rushing", $H10&lt;=0), 0, IF(AND($C10="Passing", $G$3&lt;=0), 0,IF(AND($C10="Receiving",$I10&lt;=0), 0,SUMIFS(Table2[Stat],Table2[Week],Table1[[#This Row],[Week]],Table2[Athlete],Table1[[#This Row],[Pick]],Table2[Stat Category],"passing",Table2[Stat Type],"TD"))))</f>
        <v>0</v>
      </c>
      <c r="K10" s="6">
        <f>IF(AND($C10="Rushing", $H10&lt;=0), 0, IF(AND($C10="Passing", $G$3&lt;=0), 0,IF(AND($C10="Receiving",$I10&lt;=0),0,SUMIFS(Table2[Stat],Table2[Week],Table1[[#This Row],[Week]],Table2[Athlete],Table1[[#This Row],[Pick]],Table2[Stat Category],"rushing",Table2[Stat Type],"TD"))))</f>
        <v>0</v>
      </c>
      <c r="L10" s="6">
        <f>IF(AND($C10="Rushing", $H10&lt;=0), 0, IF(AND($C10="Passing", $G$3&lt;=0), 0,IF(AND($C10="Receiving",$I10&lt;=0),0,SUMIFS(Table2[Stat],Table2[Week],Table1[[#This Row],[Week]],Table2[Athlete],Table1[[#This Row],[Pick]],Table2[Stat Category],"receiving",Table2[Stat Type],"TD"))))</f>
        <v>0</v>
      </c>
      <c r="M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" s="61">
        <f>SUMIFS(Data!$J:$J,Data!$A:$A,Info!$B10,Data!$G:$G,Info!$C10,Data!$I:$I,Info!$D10,Data!$H:$H,"TOT")</f>
        <v>5</v>
      </c>
      <c r="O10" s="61">
        <f>IF(C10="Defensive",SUMIFS(Data!$J:$J,Data!$A:$A,Info!$B10,Data!$I:$I,Info!$D10,Data!$H:$H,"INT"),0)</f>
        <v>0</v>
      </c>
      <c r="P10" s="61">
        <f>IF(Table1[[#This Row],[Role]]="Defensive",SUMIFS(Data!$J:$J,Data!$A:$A,Info!$B10,Data!$I:$I,Info!$D10,Data!$H:$H,$P$1),0)</f>
        <v>0</v>
      </c>
      <c r="Q10" s="65">
        <f>IF(Table1[[#This Row],[Pick]]="","",IF(S10&gt;1,400,IF(G10="","",IF(C10="Passing",(400-Table1[[#This Row],[Passing Yards]]-(30*Table1[[#This Row],[Passing TDs]])-(50*SUM(Table1[[#This Row],[Rushing TDs]:[Other TD''s]]))),IF(C10="Rushing",2*(200-Table1[[#This Row],[Rushing Yards]]-(30*Table1[[#This Row],[Passing TDs]])-50*(Table1[[#This Row],[Rushing TDs]]+Table1[[#This Row],[Receiving TDs]]+Table1[[#This Row],[Other TD''s]])),IF(C10="Receiving",2*(200-Table1[[#This Row],[Receiving Yards]]-(30*Table1[[#This Row],[Passing TDs]])-50*(Table1[[#This Row],[Rushing TDs]]+Table1[[#This Row],[Receiving TDs]]+Table1[[#This Row],[Other TD''s]])),IF(C10="Defensive",(25*(16-Table1[[#This Row],[Tackles]]-(8*(Table1[[#This Row],[Other TD''s]]+Table1[[#This Row],[Interceptions]]+Table1[[#This Row],[Fumbles Recovered]])))))))))))</f>
        <v>275</v>
      </c>
      <c r="R10" s="3" t="str">
        <f t="shared" si="2"/>
        <v>JacksonDefensiveCaleb Downs</v>
      </c>
      <c r="S10" s="4">
        <f t="shared" si="1"/>
        <v>1</v>
      </c>
      <c r="T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5</v>
      </c>
      <c r="V10" t="s">
        <v>43</v>
      </c>
      <c r="W10" t="s">
        <v>65</v>
      </c>
    </row>
    <row r="11" spans="1:23" x14ac:dyDescent="0.25">
      <c r="A11" t="s">
        <v>79</v>
      </c>
      <c r="B11" s="28" t="s">
        <v>27</v>
      </c>
      <c r="C11" t="s">
        <v>16</v>
      </c>
      <c r="D11" t="str">
        <f>_xlfn.XLOOKUP(Table1[[#This Row],[Player]]&amp;Table1[[#This Row],[Week]]&amp;Table1[[#This Row],[Role]],'Google Form Transform'!$A:$A,'Google Form Transform'!E:E,"")</f>
        <v>Drew Allar</v>
      </c>
      <c r="E11" t="str">
        <f>_xlfn.XLOOKUP(Table1[[#This Row],[Player]]&amp;Table1[[#This Row],[Week]]&amp;Table1[[#This Row],[Role]],'Google Form Transform'!$A:$A,'Google Form Transform'!F:F,"")</f>
        <v>Penn State</v>
      </c>
      <c r="F11" t="str">
        <f>_xlfn.XLOOKUP(Table1[[#This Row],[Player]]&amp;Table1[[#This Row],[Week]]&amp;Table1[[#This Row],[Role]],'Google Form Transform'!$A:$A,'Google Form Transform'!G:G,"")</f>
        <v>Nevada</v>
      </c>
      <c r="G11" s="59">
        <f>SUMIFS(Table2[Stat],Table2[Stat Category],"passing",Table2[Stat Type],"YDS",Table2[Athlete],Table1[[#This Row],[Pick]],Table2[Week],Table1[[#This Row],[Week]])</f>
        <v>217</v>
      </c>
      <c r="H11" s="59">
        <f>SUMIFS(Table2[Stat],Table2[Stat Category],"rushing",Table2[Stat Type],"YDS",Table2[Athlete],Table1[[#This Row],[Pick]],Table2[Week],Table1[[#This Row],[Week]])</f>
        <v>20</v>
      </c>
      <c r="I11" s="59">
        <f>SUMIFS(Table2[Stat],Table2[Stat Category],"receiving",Table2[Stat Type],"YDS",Table2[Athlete],Table1[[#This Row],[Pick]],Table2[Week],Table1[[#This Row],[Week]])</f>
        <v>0</v>
      </c>
      <c r="J11" s="6">
        <f>IF(AND($C11="Rushing", $H11&lt;=0), 0, IF(AND($C11="Passing", $G$3&lt;=0), 0,IF(AND($C11="Receiving",$I11&lt;=0), 0,SUMIFS(Table2[Stat],Table2[Week],Table1[[#This Row],[Week]],Table2[Athlete],Table1[[#This Row],[Pick]],Table2[Stat Category],"passing",Table2[Stat Type],"TD"))))</f>
        <v>1</v>
      </c>
      <c r="K11" s="6">
        <f>IF(AND($C11="Rushing", $H11&lt;=0), 0, IF(AND($C11="Passing", $G$3&lt;=0), 0,IF(AND($C11="Receiving",$I11&lt;=0),0,SUMIFS(Table2[Stat],Table2[Week],Table1[[#This Row],[Week]],Table2[Athlete],Table1[[#This Row],[Pick]],Table2[Stat Category],"rushing",Table2[Stat Type],"TD"))))</f>
        <v>0</v>
      </c>
      <c r="L11" s="6">
        <f>IF(AND($C11="Rushing", $H11&lt;=0), 0, IF(AND($C11="Passing", $G$3&lt;=0), 0,IF(AND($C11="Receiving",$I11&lt;=0),0,SUMIFS(Table2[Stat],Table2[Week],Table1[[#This Row],[Week]],Table2[Athlete],Table1[[#This Row],[Pick]],Table2[Stat Category],"receiving",Table2[Stat Type],"TD"))))</f>
        <v>0</v>
      </c>
      <c r="M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" s="61">
        <f>SUMIFS(Data!$J:$J,Data!$A:$A,Info!$B11,Data!$G:$G,Info!$C11,Data!$I:$I,Info!$D11,Data!$H:$H,"TOT")</f>
        <v>0</v>
      </c>
      <c r="O11" s="61">
        <f>IF(C11="Defensive",SUMIFS(Data!$J:$J,Data!$A:$A,Info!$B11,Data!$I:$I,Info!$D11,Data!$H:$H,"INT"),0)</f>
        <v>0</v>
      </c>
      <c r="P11" s="61">
        <f>IF(Table1[[#This Row],[Role]]="Defensive",SUMIFS(Data!$J:$J,Data!$A:$A,Info!$B11,Data!$I:$I,Info!$D11,Data!$H:$H,$P$1),0)</f>
        <v>0</v>
      </c>
      <c r="Q11" s="65">
        <f>IF(Table1[[#This Row],[Pick]]="","",IF(S11&gt;1,400,IF(G11="","",IF(C11="Passing",(400-Table1[[#This Row],[Passing Yards]]-(30*Table1[[#This Row],[Passing TDs]])-(50*SUM(Table1[[#This Row],[Rushing TDs]:[Other TD''s]]))),IF(C11="Rushing",2*(200-Table1[[#This Row],[Rushing Yards]]-(30*Table1[[#This Row],[Passing TDs]])-50*(Table1[[#This Row],[Rushing TDs]]+Table1[[#This Row],[Receiving TDs]]+Table1[[#This Row],[Other TD''s]])),IF(C11="Receiving",2*(200-Table1[[#This Row],[Receiving Yards]]-(30*Table1[[#This Row],[Passing TDs]])-50*(Table1[[#This Row],[Rushing TDs]]+Table1[[#This Row],[Receiving TDs]]+Table1[[#This Row],[Other TD''s]])),IF(C11="Defensive",(25*(16-Table1[[#This Row],[Tackles]]-(8*(Table1[[#This Row],[Other TD''s]]+Table1[[#This Row],[Interceptions]]+Table1[[#This Row],[Fumbles Recovered]])))))))))))</f>
        <v>153</v>
      </c>
      <c r="R11" s="3" t="str">
        <f t="shared" si="2"/>
        <v>LoganPassingDrew Allar</v>
      </c>
      <c r="S11" s="4">
        <f t="shared" si="1"/>
        <v>1</v>
      </c>
      <c r="T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217</v>
      </c>
      <c r="V11" t="s">
        <v>59</v>
      </c>
      <c r="W11" t="s">
        <v>65</v>
      </c>
    </row>
    <row r="12" spans="1:23" x14ac:dyDescent="0.25">
      <c r="A12" t="s">
        <v>79</v>
      </c>
      <c r="B12" s="28" t="s">
        <v>27</v>
      </c>
      <c r="C12" t="s">
        <v>6</v>
      </c>
      <c r="D12" t="str">
        <f>_xlfn.XLOOKUP(Table1[[#This Row],[Player]]&amp;Table1[[#This Row],[Week]]&amp;Table1[[#This Row],[Role]],'Google Form Transform'!$A:$A,'Google Form Transform'!E:E,"")</f>
        <v>Nate Frazier</v>
      </c>
      <c r="E12" t="str">
        <f>_xlfn.XLOOKUP(Table1[[#This Row],[Player]]&amp;Table1[[#This Row],[Week]]&amp;Table1[[#This Row],[Role]],'Google Form Transform'!$A:$A,'Google Form Transform'!F:F,"")</f>
        <v>Georgia</v>
      </c>
      <c r="F12" t="str">
        <f>_xlfn.XLOOKUP(Table1[[#This Row],[Player]]&amp;Table1[[#This Row],[Week]]&amp;Table1[[#This Row],[Role]],'Google Form Transform'!$A:$A,'Google Form Transform'!G:G,"")</f>
        <v>Marshall</v>
      </c>
      <c r="G12" s="59">
        <f>SUMIFS(Table2[Stat],Table2[Stat Category],"passing",Table2[Stat Type],"YDS",Table2[Athlete],Table1[[#This Row],[Pick]],Table2[Week],Table1[[#This Row],[Week]])</f>
        <v>0</v>
      </c>
      <c r="H12" s="59">
        <f>SUMIFS(Table2[Stat],Table2[Stat Category],"rushing",Table2[Stat Type],"YDS",Table2[Athlete],Table1[[#This Row],[Pick]],Table2[Week],Table1[[#This Row],[Week]])</f>
        <v>47</v>
      </c>
      <c r="I12" s="59">
        <f>SUMIFS(Table2[Stat],Table2[Stat Category],"receiving",Table2[Stat Type],"YDS",Table2[Athlete],Table1[[#This Row],[Pick]],Table2[Week],Table1[[#This Row],[Week]])</f>
        <v>0</v>
      </c>
      <c r="J12" s="6">
        <f>IF(AND($C12="Rushing", $H12&lt;=0), 0, IF(AND($C12="Passing", $G$3&lt;=0), 0,IF(AND($C12="Receiving",$I12&lt;=0), 0,SUMIFS(Table2[Stat],Table2[Week],Table1[[#This Row],[Week]],Table2[Athlete],Table1[[#This Row],[Pick]],Table2[Stat Category],"passing",Table2[Stat Type],"TD"))))</f>
        <v>0</v>
      </c>
      <c r="K12" s="6">
        <f>IF(AND($C12="Rushing", $H12&lt;=0), 0, IF(AND($C12="Passing", $G$3&lt;=0), 0,IF(AND($C12="Receiving",$I12&lt;=0),0,SUMIFS(Table2[Stat],Table2[Week],Table1[[#This Row],[Week]],Table2[Athlete],Table1[[#This Row],[Pick]],Table2[Stat Category],"rushing",Table2[Stat Type],"TD"))))</f>
        <v>0</v>
      </c>
      <c r="L12" s="6">
        <f>IF(AND($C12="Rushing", $H12&lt;=0), 0, IF(AND($C12="Passing", $G$3&lt;=0), 0,IF(AND($C12="Receiving",$I12&lt;=0),0,SUMIFS(Table2[Stat],Table2[Week],Table1[[#This Row],[Week]],Table2[Athlete],Table1[[#This Row],[Pick]],Table2[Stat Category],"receiving",Table2[Stat Type],"TD"))))</f>
        <v>0</v>
      </c>
      <c r="M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" s="61">
        <f>SUMIFS(Data!$J:$J,Data!$A:$A,Info!$B12,Data!$G:$G,Info!$C12,Data!$I:$I,Info!$D12,Data!$H:$H,"TOT")</f>
        <v>0</v>
      </c>
      <c r="O12" s="61">
        <f>IF(C12="Defensive",SUMIFS(Data!$J:$J,Data!$A:$A,Info!$B12,Data!$I:$I,Info!$D12,Data!$H:$H,"INT"),0)</f>
        <v>0</v>
      </c>
      <c r="P12" s="61">
        <f>IF(Table1[[#This Row],[Role]]="Defensive",SUMIFS(Data!$J:$J,Data!$A:$A,Info!$B12,Data!$I:$I,Info!$D12,Data!$H:$H,$P$1),0)</f>
        <v>0</v>
      </c>
      <c r="Q12" s="65">
        <f>IF(Table1[[#This Row],[Pick]]="","",IF(S12&gt;1,400,IF(G12="","",IF(C12="Passing",(400-Table1[[#This Row],[Passing Yards]]-(30*Table1[[#This Row],[Passing TDs]])-(50*SUM(Table1[[#This Row],[Rushing TDs]:[Other TD''s]]))),IF(C12="Rushing",2*(200-Table1[[#This Row],[Rushing Yards]]-(30*Table1[[#This Row],[Passing TDs]])-50*(Table1[[#This Row],[Rushing TDs]]+Table1[[#This Row],[Receiving TDs]]+Table1[[#This Row],[Other TD''s]])),IF(C12="Receiving",2*(200-Table1[[#This Row],[Receiving Yards]]-(30*Table1[[#This Row],[Passing TDs]])-50*(Table1[[#This Row],[Rushing TDs]]+Table1[[#This Row],[Receiving TDs]]+Table1[[#This Row],[Other TD''s]])),IF(C12="Defensive",(25*(16-Table1[[#This Row],[Tackles]]-(8*(Table1[[#This Row],[Other TD''s]]+Table1[[#This Row],[Interceptions]]+Table1[[#This Row],[Fumbles Recovered]])))))))))))</f>
        <v>306</v>
      </c>
      <c r="R12" s="3" t="str">
        <f t="shared" si="2"/>
        <v>LoganRushingNate Frazier</v>
      </c>
      <c r="S12" s="4">
        <f t="shared" si="1"/>
        <v>1</v>
      </c>
      <c r="T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47</v>
      </c>
      <c r="V12" t="s">
        <v>60</v>
      </c>
      <c r="W12" t="s">
        <v>65</v>
      </c>
    </row>
    <row r="13" spans="1:23" x14ac:dyDescent="0.25">
      <c r="A13" t="s">
        <v>79</v>
      </c>
      <c r="B13" s="28" t="s">
        <v>27</v>
      </c>
      <c r="C13" t="s">
        <v>17</v>
      </c>
      <c r="D13" t="str">
        <f>_xlfn.XLOOKUP(Table1[[#This Row],[Player]]&amp;Table1[[#This Row],[Week]]&amp;Table1[[#This Row],[Role]],'Google Form Transform'!$A:$A,'Google Form Transform'!E:E,"")</f>
        <v>Trebor Pena</v>
      </c>
      <c r="E13" t="str">
        <f>_xlfn.XLOOKUP(Table1[[#This Row],[Player]]&amp;Table1[[#This Row],[Week]]&amp;Table1[[#This Row],[Role]],'Google Form Transform'!$A:$A,'Google Form Transform'!F:F,"")</f>
        <v>Penn State</v>
      </c>
      <c r="F13" t="str">
        <f>_xlfn.XLOOKUP(Table1[[#This Row],[Player]]&amp;Table1[[#This Row],[Week]]&amp;Table1[[#This Row],[Role]],'Google Form Transform'!$A:$A,'Google Form Transform'!G:G,"")</f>
        <v>Nevada</v>
      </c>
      <c r="G13" s="59">
        <f>SUMIFS(Table2[Stat],Table2[Stat Category],"passing",Table2[Stat Type],"YDS",Table2[Athlete],Table1[[#This Row],[Pick]],Table2[Week],Table1[[#This Row],[Week]])</f>
        <v>0</v>
      </c>
      <c r="H13" s="59">
        <f>SUMIFS(Table2[Stat],Table2[Stat Category],"rushing",Table2[Stat Type],"YDS",Table2[Athlete],Table1[[#This Row],[Pick]],Table2[Week],Table1[[#This Row],[Week]])</f>
        <v>13</v>
      </c>
      <c r="I13" s="59">
        <f>SUMIFS(Table2[Stat],Table2[Stat Category],"receiving",Table2[Stat Type],"YDS",Table2[Athlete],Table1[[#This Row],[Pick]],Table2[Week],Table1[[#This Row],[Week]])</f>
        <v>74</v>
      </c>
      <c r="J13" s="6">
        <f>IF(AND($C13="Rushing", $H13&lt;=0), 0, IF(AND($C13="Passing", $G$3&lt;=0), 0,IF(AND($C13="Receiving",$I13&lt;=0), 0,SUMIFS(Table2[Stat],Table2[Week],Table1[[#This Row],[Week]],Table2[Athlete],Table1[[#This Row],[Pick]],Table2[Stat Category],"passing",Table2[Stat Type],"TD"))))</f>
        <v>0</v>
      </c>
      <c r="K13" s="6">
        <f>IF(AND($C13="Rushing", $H13&lt;=0), 0, IF(AND($C13="Passing", $G$3&lt;=0), 0,IF(AND($C13="Receiving",$I13&lt;=0),0,SUMIFS(Table2[Stat],Table2[Week],Table1[[#This Row],[Week]],Table2[Athlete],Table1[[#This Row],[Pick]],Table2[Stat Category],"rushing",Table2[Stat Type],"TD"))))</f>
        <v>0</v>
      </c>
      <c r="L13" s="6">
        <f>IF(AND($C13="Rushing", $H13&lt;=0), 0, IF(AND($C13="Passing", $G$3&lt;=0), 0,IF(AND($C13="Receiving",$I13&lt;=0),0,SUMIFS(Table2[Stat],Table2[Week],Table1[[#This Row],[Week]],Table2[Athlete],Table1[[#This Row],[Pick]],Table2[Stat Category],"receiving",Table2[Stat Type],"TD"))))</f>
        <v>0</v>
      </c>
      <c r="M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" s="61">
        <f>SUMIFS(Data!$J:$J,Data!$A:$A,Info!$B13,Data!$G:$G,Info!$C13,Data!$I:$I,Info!$D13,Data!$H:$H,"TOT")</f>
        <v>0</v>
      </c>
      <c r="O13" s="61">
        <f>IF(C13="Defensive",SUMIFS(Data!$J:$J,Data!$A:$A,Info!$B13,Data!$I:$I,Info!$D13,Data!$H:$H,"INT"),0)</f>
        <v>0</v>
      </c>
      <c r="P13" s="61">
        <f>IF(Table1[[#This Row],[Role]]="Defensive",SUMIFS(Data!$J:$J,Data!$A:$A,Info!$B13,Data!$I:$I,Info!$D13,Data!$H:$H,$P$1),0)</f>
        <v>0</v>
      </c>
      <c r="Q13" s="65">
        <f>IF(Table1[[#This Row],[Pick]]="","",IF(S13&gt;1,400,IF(G13="","",IF(C13="Passing",(400-Table1[[#This Row],[Passing Yards]]-(30*Table1[[#This Row],[Passing TDs]])-(50*SUM(Table1[[#This Row],[Rushing TDs]:[Other TD''s]]))),IF(C13="Rushing",2*(200-Table1[[#This Row],[Rushing Yards]]-(30*Table1[[#This Row],[Passing TDs]])-50*(Table1[[#This Row],[Rushing TDs]]+Table1[[#This Row],[Receiving TDs]]+Table1[[#This Row],[Other TD''s]])),IF(C13="Receiving",2*(200-Table1[[#This Row],[Receiving Yards]]-(30*Table1[[#This Row],[Passing TDs]])-50*(Table1[[#This Row],[Rushing TDs]]+Table1[[#This Row],[Receiving TDs]]+Table1[[#This Row],[Other TD''s]])),IF(C13="Defensive",(25*(16-Table1[[#This Row],[Tackles]]-(8*(Table1[[#This Row],[Other TD''s]]+Table1[[#This Row],[Interceptions]]+Table1[[#This Row],[Fumbles Recovered]])))))))))))</f>
        <v>252</v>
      </c>
      <c r="R13" s="3" t="str">
        <f t="shared" si="2"/>
        <v>LoganReceivingTrebor Pena</v>
      </c>
      <c r="S13" s="4">
        <f t="shared" si="1"/>
        <v>1</v>
      </c>
      <c r="T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74</v>
      </c>
      <c r="V13" t="s">
        <v>61</v>
      </c>
      <c r="W13" t="s">
        <v>65</v>
      </c>
    </row>
    <row r="14" spans="1:23" x14ac:dyDescent="0.25">
      <c r="A14" t="s">
        <v>79</v>
      </c>
      <c r="B14" s="28" t="s">
        <v>27</v>
      </c>
      <c r="C14" t="s">
        <v>20</v>
      </c>
      <c r="D14" t="str">
        <f>_xlfn.XLOOKUP(Table1[[#This Row],[Player]]&amp;Table1[[#This Row],[Week]]&amp;Table1[[#This Row],[Role]],'Google Form Transform'!$A:$A,'Google Form Transform'!E:E,"")</f>
        <v>C.J. Allen</v>
      </c>
      <c r="E14" t="str">
        <f>_xlfn.XLOOKUP(Table1[[#This Row],[Player]]&amp;Table1[[#This Row],[Week]]&amp;Table1[[#This Row],[Role]],'Google Form Transform'!$A:$A,'Google Form Transform'!F:F,"")</f>
        <v>Georgia</v>
      </c>
      <c r="F14" t="str">
        <f>_xlfn.XLOOKUP(Table1[[#This Row],[Player]]&amp;Table1[[#This Row],[Week]]&amp;Table1[[#This Row],[Role]],'Google Form Transform'!$A:$A,'Google Form Transform'!G:G,"")</f>
        <v>Marshall</v>
      </c>
      <c r="G14" s="59">
        <f>SUMIFS(Table2[Stat],Table2[Stat Category],"passing",Table2[Stat Type],"YDS",Table2[Athlete],Table1[[#This Row],[Pick]],Table2[Week],Table1[[#This Row],[Week]])</f>
        <v>0</v>
      </c>
      <c r="H14" s="59">
        <f>SUMIFS(Table2[Stat],Table2[Stat Category],"rushing",Table2[Stat Type],"YDS",Table2[Athlete],Table1[[#This Row],[Pick]],Table2[Week],Table1[[#This Row],[Week]])</f>
        <v>0</v>
      </c>
      <c r="I14" s="59">
        <f>SUMIFS(Table2[Stat],Table2[Stat Category],"receiving",Table2[Stat Type],"YDS",Table2[Athlete],Table1[[#This Row],[Pick]],Table2[Week],Table1[[#This Row],[Week]])</f>
        <v>0</v>
      </c>
      <c r="J14" s="6">
        <f>IF(AND($C14="Rushing", $H14&lt;=0), 0, IF(AND($C14="Passing", $G$3&lt;=0), 0,IF(AND($C14="Receiving",$I14&lt;=0), 0,SUMIFS(Table2[Stat],Table2[Week],Table1[[#This Row],[Week]],Table2[Athlete],Table1[[#This Row],[Pick]],Table2[Stat Category],"passing",Table2[Stat Type],"TD"))))</f>
        <v>0</v>
      </c>
      <c r="K14" s="6">
        <f>IF(AND($C14="Rushing", $H14&lt;=0), 0, IF(AND($C14="Passing", $G$3&lt;=0), 0,IF(AND($C14="Receiving",$I14&lt;=0),0,SUMIFS(Table2[Stat],Table2[Week],Table1[[#This Row],[Week]],Table2[Athlete],Table1[[#This Row],[Pick]],Table2[Stat Category],"rushing",Table2[Stat Type],"TD"))))</f>
        <v>0</v>
      </c>
      <c r="L14" s="6">
        <f>IF(AND($C14="Rushing", $H14&lt;=0), 0, IF(AND($C14="Passing", $G$3&lt;=0), 0,IF(AND($C14="Receiving",$I14&lt;=0),0,SUMIFS(Table2[Stat],Table2[Week],Table1[[#This Row],[Week]],Table2[Athlete],Table1[[#This Row],[Pick]],Table2[Stat Category],"receiving",Table2[Stat Type],"TD"))))</f>
        <v>0</v>
      </c>
      <c r="M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" s="61">
        <f>SUMIFS(Data!$J:$J,Data!$A:$A,Info!$B14,Data!$G:$G,Info!$C14,Data!$I:$I,Info!$D14,Data!$H:$H,"TOT")</f>
        <v>4</v>
      </c>
      <c r="O14" s="61">
        <f>IF(C14="Defensive",SUMIFS(Data!$J:$J,Data!$A:$A,Info!$B14,Data!$I:$I,Info!$D14,Data!$H:$H,"INT"),0)</f>
        <v>0</v>
      </c>
      <c r="P14" s="61">
        <f>IF(Table1[[#This Row],[Role]]="Defensive",SUMIFS(Data!$J:$J,Data!$A:$A,Info!$B14,Data!$I:$I,Info!$D14,Data!$H:$H,$P$1),0)</f>
        <v>0</v>
      </c>
      <c r="Q14" s="65">
        <f>IF(Table1[[#This Row],[Pick]]="","",IF(S14&gt;1,400,IF(G14="","",IF(C14="Passing",(400-Table1[[#This Row],[Passing Yards]]-(30*Table1[[#This Row],[Passing TDs]])-(50*SUM(Table1[[#This Row],[Rushing TDs]:[Other TD''s]]))),IF(C14="Rushing",2*(200-Table1[[#This Row],[Rushing Yards]]-(30*Table1[[#This Row],[Passing TDs]])-50*(Table1[[#This Row],[Rushing TDs]]+Table1[[#This Row],[Receiving TDs]]+Table1[[#This Row],[Other TD''s]])),IF(C14="Receiving",2*(200-Table1[[#This Row],[Receiving Yards]]-(30*Table1[[#This Row],[Passing TDs]])-50*(Table1[[#This Row],[Rushing TDs]]+Table1[[#This Row],[Receiving TDs]]+Table1[[#This Row],[Other TD''s]])),IF(C14="Defensive",(25*(16-Table1[[#This Row],[Tackles]]-(8*(Table1[[#This Row],[Other TD''s]]+Table1[[#This Row],[Interceptions]]+Table1[[#This Row],[Fumbles Recovered]])))))))))))</f>
        <v>300</v>
      </c>
      <c r="R14" s="3" t="str">
        <f t="shared" si="2"/>
        <v>LoganDefensiveC.J. Allen</v>
      </c>
      <c r="S14" s="4">
        <f t="shared" si="1"/>
        <v>1</v>
      </c>
      <c r="T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tr">
        <f>_xlfn.XLOOKUP(Table1[[#This Row],[Player]]&amp;Table1[[#This Row],[Week]]&amp;Table1[[#This Row],[Role]],'Google Form Transform'!$A:$A,'Google Form Transform'!E:E,"")</f>
        <v>Brad Jackson</v>
      </c>
      <c r="E15" t="str">
        <f>_xlfn.XLOOKUP(Table1[[#This Row],[Player]]&amp;Table1[[#This Row],[Week]]&amp;Table1[[#This Row],[Role]],'Google Form Transform'!$A:$A,'Google Form Transform'!F:F,"")</f>
        <v>Texas State</v>
      </c>
      <c r="F15" t="str">
        <f>_xlfn.XLOOKUP(Table1[[#This Row],[Player]]&amp;Table1[[#This Row],[Week]]&amp;Table1[[#This Row],[Role]],'Google Form Transform'!$A:$A,'Google Form Transform'!G:G,"")</f>
        <v>EMU</v>
      </c>
      <c r="G15" s="59">
        <f>SUMIFS(Table2[Stat],Table2[Stat Category],"passing",Table2[Stat Type],"YDS",Table2[Athlete],Table1[[#This Row],[Pick]],Table2[Week],Table1[[#This Row],[Week]])</f>
        <v>214</v>
      </c>
      <c r="H15" s="59">
        <f>SUMIFS(Table2[Stat],Table2[Stat Category],"rushing",Table2[Stat Type],"YDS",Table2[Athlete],Table1[[#This Row],[Pick]],Table2[Week],Table1[[#This Row],[Week]])</f>
        <v>48</v>
      </c>
      <c r="I15" s="59">
        <f>SUMIFS(Table2[Stat],Table2[Stat Category],"receiving",Table2[Stat Type],"YDS",Table2[Athlete],Table1[[#This Row],[Pick]],Table2[Week],Table1[[#This Row],[Week]])</f>
        <v>0</v>
      </c>
      <c r="J15" s="6">
        <f>IF(AND($C15="Rushing", $H15&lt;=0), 0, IF(AND($C15="Passing", $G$3&lt;=0), 0,IF(AND($C15="Receiving",$I15&lt;=0), 0,SUMIFS(Table2[Stat],Table2[Week],Table1[[#This Row],[Week]],Table2[Athlete],Table1[[#This Row],[Pick]],Table2[Stat Category],"passing",Table2[Stat Type],"TD"))))</f>
        <v>4</v>
      </c>
      <c r="K15" s="6">
        <f>IF(AND($C15="Rushing", $H15&lt;=0), 0, IF(AND($C15="Passing", $G$3&lt;=0), 0,IF(AND($C15="Receiving",$I15&lt;=0),0,SUMIFS(Table2[Stat],Table2[Week],Table1[[#This Row],[Week]],Table2[Athlete],Table1[[#This Row],[Pick]],Table2[Stat Category],"rushing",Table2[Stat Type],"TD"))))</f>
        <v>0</v>
      </c>
      <c r="L15" s="6">
        <f>IF(AND($C15="Rushing", $H15&lt;=0), 0, IF(AND($C15="Passing", $G$3&lt;=0), 0,IF(AND($C15="Receiving",$I15&lt;=0),0,SUMIFS(Table2[Stat],Table2[Week],Table1[[#This Row],[Week]],Table2[Athlete],Table1[[#This Row],[Pick]],Table2[Stat Category],"receiving",Table2[Stat Type],"TD"))))</f>
        <v>0</v>
      </c>
      <c r="M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" s="61">
        <f>SUMIFS(Data!$J:$J,Data!$A:$A,Info!$B15,Data!$G:$G,Info!$C15,Data!$I:$I,Info!$D15,Data!$H:$H,"TOT")</f>
        <v>0</v>
      </c>
      <c r="O15" s="61">
        <f>IF(C15="Defensive",SUMIFS(Data!$J:$J,Data!$A:$A,Info!$B15,Data!$I:$I,Info!$D15,Data!$H:$H,"INT"),0)</f>
        <v>0</v>
      </c>
      <c r="P15" s="61">
        <f>IF(Table1[[#This Row],[Role]]="Defensive",SUMIFS(Data!$J:$J,Data!$A:$A,Info!$B15,Data!$I:$I,Info!$D15,Data!$H:$H,$P$1),0)</f>
        <v>0</v>
      </c>
      <c r="Q15" s="65">
        <f>IF(Table1[[#This Row],[Pick]]="","",IF(S15&gt;1,400,IF(G15="","",IF(C15="Passing",(400-Table1[[#This Row],[Passing Yards]]-(30*Table1[[#This Row],[Passing TDs]])-(50*SUM(Table1[[#This Row],[Rushing TDs]:[Other TD''s]]))),IF(C15="Rushing",2*(200-Table1[[#This Row],[Rushing Yards]]-(30*Table1[[#This Row],[Passing TDs]])-50*(Table1[[#This Row],[Rushing TDs]]+Table1[[#This Row],[Receiving TDs]]+Table1[[#This Row],[Other TD''s]])),IF(C15="Receiving",2*(200-Table1[[#This Row],[Receiving Yards]]-(30*Table1[[#This Row],[Passing TDs]])-50*(Table1[[#This Row],[Rushing TDs]]+Table1[[#This Row],[Receiving TDs]]+Table1[[#This Row],[Other TD''s]])),IF(C15="Defensive",(25*(16-Table1[[#This Row],[Tackles]]-(8*(Table1[[#This Row],[Other TD''s]]+Table1[[#This Row],[Interceptions]]+Table1[[#This Row],[Fumbles Recovered]])))))))))))</f>
        <v>66</v>
      </c>
      <c r="R15" s="3" t="str">
        <f t="shared" si="2"/>
        <v>Mike M.PassingBrad Jackson</v>
      </c>
      <c r="S15" s="4">
        <f t="shared" si="1"/>
        <v>1</v>
      </c>
      <c r="T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tr">
        <f>_xlfn.XLOOKUP(Table1[[#This Row],[Player]]&amp;Table1[[#This Row],[Week]]&amp;Table1[[#This Row],[Role]],'Google Form Transform'!$A:$A,'Google Form Transform'!E:E,"")</f>
        <v>Jonah Coleman</v>
      </c>
      <c r="E16" t="str">
        <f>_xlfn.XLOOKUP(Table1[[#This Row],[Player]]&amp;Table1[[#This Row],[Week]]&amp;Table1[[#This Row],[Role]],'Google Form Transform'!$A:$A,'Google Form Transform'!F:F,"")</f>
        <v>Washington</v>
      </c>
      <c r="F16" t="str">
        <f>_xlfn.XLOOKUP(Table1[[#This Row],[Player]]&amp;Table1[[#This Row],[Week]]&amp;Table1[[#This Row],[Role]],'Google Form Transform'!$A:$A,'Google Form Transform'!G:G,"")</f>
        <v>Colorado State</v>
      </c>
      <c r="G16" s="59">
        <f>SUMIFS(Table2[Stat],Table2[Stat Category],"passing",Table2[Stat Type],"YDS",Table2[Athlete],Table1[[#This Row],[Pick]],Table2[Week],Table1[[#This Row],[Week]])</f>
        <v>0</v>
      </c>
      <c r="H16" s="59">
        <f>SUMIFS(Table2[Stat],Table2[Stat Category],"rushing",Table2[Stat Type],"YDS",Table2[Athlete],Table1[[#This Row],[Pick]],Table2[Week],Table1[[#This Row],[Week]])</f>
        <v>177</v>
      </c>
      <c r="I16" s="59">
        <f>SUMIFS(Table2[Stat],Table2[Stat Category],"receiving",Table2[Stat Type],"YDS",Table2[Athlete],Table1[[#This Row],[Pick]],Table2[Week],Table1[[#This Row],[Week]])</f>
        <v>22</v>
      </c>
      <c r="J16" s="6">
        <f>IF(AND($C16="Rushing", $H16&lt;=0), 0, IF(AND($C16="Passing", $G$3&lt;=0), 0,IF(AND($C16="Receiving",$I16&lt;=0), 0,SUMIFS(Table2[Stat],Table2[Week],Table1[[#This Row],[Week]],Table2[Athlete],Table1[[#This Row],[Pick]],Table2[Stat Category],"passing",Table2[Stat Type],"TD"))))</f>
        <v>0</v>
      </c>
      <c r="K16" s="6">
        <f>IF(AND($C16="Rushing", $H16&lt;=0), 0, IF(AND($C16="Passing", $G$3&lt;=0), 0,IF(AND($C16="Receiving",$I16&lt;=0),0,SUMIFS(Table2[Stat],Table2[Week],Table1[[#This Row],[Week]],Table2[Athlete],Table1[[#This Row],[Pick]],Table2[Stat Category],"rushing",Table2[Stat Type],"TD"))))</f>
        <v>2</v>
      </c>
      <c r="L16" s="6">
        <f>IF(AND($C16="Rushing", $H16&lt;=0), 0, IF(AND($C16="Passing", $G$3&lt;=0), 0,IF(AND($C16="Receiving",$I16&lt;=0),0,SUMIFS(Table2[Stat],Table2[Week],Table1[[#This Row],[Week]],Table2[Athlete],Table1[[#This Row],[Pick]],Table2[Stat Category],"receiving",Table2[Stat Type],"TD"))))</f>
        <v>0</v>
      </c>
      <c r="M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" s="61">
        <f>SUMIFS(Data!$J:$J,Data!$A:$A,Info!$B16,Data!$G:$G,Info!$C16,Data!$I:$I,Info!$D16,Data!$H:$H,"TOT")</f>
        <v>0</v>
      </c>
      <c r="O16" s="61">
        <f>IF(C16="Defensive",SUMIFS(Data!$J:$J,Data!$A:$A,Info!$B16,Data!$I:$I,Info!$D16,Data!$H:$H,"INT"),0)</f>
        <v>0</v>
      </c>
      <c r="P16" s="61">
        <f>IF(Table1[[#This Row],[Role]]="Defensive",SUMIFS(Data!$J:$J,Data!$A:$A,Info!$B16,Data!$I:$I,Info!$D16,Data!$H:$H,$P$1),0)</f>
        <v>0</v>
      </c>
      <c r="Q16" s="65">
        <f>IF(Table1[[#This Row],[Pick]]="","",IF(S16&gt;1,400,IF(G16="","",IF(C16="Passing",(400-Table1[[#This Row],[Passing Yards]]-(30*Table1[[#This Row],[Passing TDs]])-(50*SUM(Table1[[#This Row],[Rushing TDs]:[Other TD''s]]))),IF(C16="Rushing",2*(200-Table1[[#This Row],[Rushing Yards]]-(30*Table1[[#This Row],[Passing TDs]])-50*(Table1[[#This Row],[Rushing TDs]]+Table1[[#This Row],[Receiving TDs]]+Table1[[#This Row],[Other TD''s]])),IF(C16="Receiving",2*(200-Table1[[#This Row],[Receiving Yards]]-(30*Table1[[#This Row],[Passing TDs]])-50*(Table1[[#This Row],[Rushing TDs]]+Table1[[#This Row],[Receiving TDs]]+Table1[[#This Row],[Other TD''s]])),IF(C16="Defensive",(25*(16-Table1[[#This Row],[Tackles]]-(8*(Table1[[#This Row],[Other TD''s]]+Table1[[#This Row],[Interceptions]]+Table1[[#This Row],[Fumbles Recovered]])))))))))))</f>
        <v>-154</v>
      </c>
      <c r="R16" s="3" t="str">
        <f t="shared" si="2"/>
        <v>Mike M.RushingJonah Coleman</v>
      </c>
      <c r="S16" s="4">
        <f t="shared" si="1"/>
        <v>1</v>
      </c>
      <c r="T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177</v>
      </c>
    </row>
    <row r="17" spans="1:20" x14ac:dyDescent="0.25">
      <c r="A17" t="s">
        <v>58</v>
      </c>
      <c r="B17" s="28" t="s">
        <v>27</v>
      </c>
      <c r="C17" t="s">
        <v>17</v>
      </c>
      <c r="D17" t="str">
        <f>_xlfn.XLOOKUP(Table1[[#This Row],[Player]]&amp;Table1[[#This Row],[Week]]&amp;Table1[[#This Row],[Role]],'Google Form Transform'!$A:$A,'Google Form Transform'!E:E,"")</f>
        <v>Jacob De Jesus</v>
      </c>
      <c r="E17" t="str">
        <f>_xlfn.XLOOKUP(Table1[[#This Row],[Player]]&amp;Table1[[#This Row],[Week]]&amp;Table1[[#This Row],[Role]],'Google Form Transform'!$A:$A,'Google Form Transform'!F:F,"")</f>
        <v>California</v>
      </c>
      <c r="F17" t="str">
        <f>_xlfn.XLOOKUP(Table1[[#This Row],[Player]]&amp;Table1[[#This Row],[Week]]&amp;Table1[[#This Row],[Role]],'Google Form Transform'!$A:$A,'Google Form Transform'!G:G,"")</f>
        <v>Oregon State</v>
      </c>
      <c r="G17" s="59">
        <f>SUMIFS(Table2[Stat],Table2[Stat Category],"passing",Table2[Stat Type],"YDS",Table2[Athlete],Table1[[#This Row],[Pick]],Table2[Week],Table1[[#This Row],[Week]])</f>
        <v>0</v>
      </c>
      <c r="H17" s="59">
        <f>SUMIFS(Table2[Stat],Table2[Stat Category],"rushing",Table2[Stat Type],"YDS",Table2[Athlete],Table1[[#This Row],[Pick]],Table2[Week],Table1[[#This Row],[Week]])</f>
        <v>0</v>
      </c>
      <c r="I17" s="59">
        <f>SUMIFS(Table2[Stat],Table2[Stat Category],"receiving",Table2[Stat Type],"YDS",Table2[Athlete],Table1[[#This Row],[Pick]],Table2[Week],Table1[[#This Row],[Week]])</f>
        <v>27</v>
      </c>
      <c r="J17" s="6">
        <f>IF(AND($C17="Rushing", $H17&lt;=0), 0, IF(AND($C17="Passing", $G$3&lt;=0), 0,IF(AND($C17="Receiving",$I17&lt;=0), 0,SUMIFS(Table2[Stat],Table2[Week],Table1[[#This Row],[Week]],Table2[Athlete],Table1[[#This Row],[Pick]],Table2[Stat Category],"passing",Table2[Stat Type],"TD"))))</f>
        <v>0</v>
      </c>
      <c r="K17" s="6">
        <f>IF(AND($C17="Rushing", $H17&lt;=0), 0, IF(AND($C17="Passing", $G$3&lt;=0), 0,IF(AND($C17="Receiving",$I17&lt;=0),0,SUMIFS(Table2[Stat],Table2[Week],Table1[[#This Row],[Week]],Table2[Athlete],Table1[[#This Row],[Pick]],Table2[Stat Category],"rushing",Table2[Stat Type],"TD"))))</f>
        <v>0</v>
      </c>
      <c r="L17" s="6">
        <f>IF(AND($C17="Rushing", $H17&lt;=0), 0, IF(AND($C17="Passing", $G$3&lt;=0), 0,IF(AND($C17="Receiving",$I17&lt;=0),0,SUMIFS(Table2[Stat],Table2[Week],Table1[[#This Row],[Week]],Table2[Athlete],Table1[[#This Row],[Pick]],Table2[Stat Category],"receiving",Table2[Stat Type],"TD"))))</f>
        <v>0</v>
      </c>
      <c r="M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" s="61">
        <f>SUMIFS(Data!$J:$J,Data!$A:$A,Info!$B17,Data!$G:$G,Info!$C17,Data!$I:$I,Info!$D17,Data!$H:$H,"TOT")</f>
        <v>0</v>
      </c>
      <c r="O17" s="61">
        <f>IF(C17="Defensive",SUMIFS(Data!$J:$J,Data!$A:$A,Info!$B17,Data!$I:$I,Info!$D17,Data!$H:$H,"INT"),0)</f>
        <v>0</v>
      </c>
      <c r="P17" s="61">
        <f>IF(Table1[[#This Row],[Role]]="Defensive",SUMIFS(Data!$J:$J,Data!$A:$A,Info!$B17,Data!$I:$I,Info!$D17,Data!$H:$H,$P$1),0)</f>
        <v>0</v>
      </c>
      <c r="Q17" s="65">
        <f>IF(Table1[[#This Row],[Pick]]="","",IF(S17&gt;1,400,IF(G17="","",IF(C17="Passing",(400-Table1[[#This Row],[Passing Yards]]-(30*Table1[[#This Row],[Passing TDs]])-(50*SUM(Table1[[#This Row],[Rushing TDs]:[Other TD''s]]))),IF(C17="Rushing",2*(200-Table1[[#This Row],[Rushing Yards]]-(30*Table1[[#This Row],[Passing TDs]])-50*(Table1[[#This Row],[Rushing TDs]]+Table1[[#This Row],[Receiving TDs]]+Table1[[#This Row],[Other TD''s]])),IF(C17="Receiving",2*(200-Table1[[#This Row],[Receiving Yards]]-(30*Table1[[#This Row],[Passing TDs]])-50*(Table1[[#This Row],[Rushing TDs]]+Table1[[#This Row],[Receiving TDs]]+Table1[[#This Row],[Other TD''s]])),IF(C17="Defensive",(25*(16-Table1[[#This Row],[Tackles]]-(8*(Table1[[#This Row],[Other TD''s]]+Table1[[#This Row],[Interceptions]]+Table1[[#This Row],[Fumbles Recovered]])))))))))))</f>
        <v>346</v>
      </c>
      <c r="R17" s="3" t="str">
        <f t="shared" si="2"/>
        <v>Mike M.ReceivingJacob De Jesus</v>
      </c>
      <c r="S17" s="4">
        <f t="shared" si="1"/>
        <v>1</v>
      </c>
      <c r="T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tr">
        <f>_xlfn.XLOOKUP(Table1[[#This Row],[Player]]&amp;Table1[[#This Row],[Week]]&amp;Table1[[#This Row],[Role]],'Google Form Transform'!$A:$A,'Google Form Transform'!E:E,"")</f>
        <v>Taurean York</v>
      </c>
      <c r="E18" t="str">
        <f>_xlfn.XLOOKUP(Table1[[#This Row],[Player]]&amp;Table1[[#This Row],[Week]]&amp;Table1[[#This Row],[Role]],'Google Form Transform'!$A:$A,'Google Form Transform'!F:F,"")</f>
        <v>Texas A&amp;M</v>
      </c>
      <c r="F18" t="str">
        <f>_xlfn.XLOOKUP(Table1[[#This Row],[Player]]&amp;Table1[[#This Row],[Week]]&amp;Table1[[#This Row],[Role]],'Google Form Transform'!$A:$A,'Google Form Transform'!G:G,"")</f>
        <v>UTSA</v>
      </c>
      <c r="G18" s="59">
        <f>SUMIFS(Table2[Stat],Table2[Stat Category],"passing",Table2[Stat Type],"YDS",Table2[Athlete],Table1[[#This Row],[Pick]],Table2[Week],Table1[[#This Row],[Week]])</f>
        <v>0</v>
      </c>
      <c r="H18" s="59">
        <f>SUMIFS(Table2[Stat],Table2[Stat Category],"rushing",Table2[Stat Type],"YDS",Table2[Athlete],Table1[[#This Row],[Pick]],Table2[Week],Table1[[#This Row],[Week]])</f>
        <v>0</v>
      </c>
      <c r="I18" s="59">
        <f>SUMIFS(Table2[Stat],Table2[Stat Category],"receiving",Table2[Stat Type],"YDS",Table2[Athlete],Table1[[#This Row],[Pick]],Table2[Week],Table1[[#This Row],[Week]])</f>
        <v>0</v>
      </c>
      <c r="J18" s="6">
        <f>IF(AND($C18="Rushing", $H18&lt;=0), 0, IF(AND($C18="Passing", $G$3&lt;=0), 0,IF(AND($C18="Receiving",$I18&lt;=0), 0,SUMIFS(Table2[Stat],Table2[Week],Table1[[#This Row],[Week]],Table2[Athlete],Table1[[#This Row],[Pick]],Table2[Stat Category],"passing",Table2[Stat Type],"TD"))))</f>
        <v>0</v>
      </c>
      <c r="K18" s="6">
        <f>IF(AND($C18="Rushing", $H18&lt;=0), 0, IF(AND($C18="Passing", $G$3&lt;=0), 0,IF(AND($C18="Receiving",$I18&lt;=0),0,SUMIFS(Table2[Stat],Table2[Week],Table1[[#This Row],[Week]],Table2[Athlete],Table1[[#This Row],[Pick]],Table2[Stat Category],"rushing",Table2[Stat Type],"TD"))))</f>
        <v>0</v>
      </c>
      <c r="L18" s="6">
        <f>IF(AND($C18="Rushing", $H18&lt;=0), 0, IF(AND($C18="Passing", $G$3&lt;=0), 0,IF(AND($C18="Receiving",$I18&lt;=0),0,SUMIFS(Table2[Stat],Table2[Week],Table1[[#This Row],[Week]],Table2[Athlete],Table1[[#This Row],[Pick]],Table2[Stat Category],"receiving",Table2[Stat Type],"TD"))))</f>
        <v>0</v>
      </c>
      <c r="M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" s="61">
        <f>SUMIFS(Data!$J:$J,Data!$A:$A,Info!$B18,Data!$G:$G,Info!$C18,Data!$I:$I,Info!$D18,Data!$H:$H,"TOT")</f>
        <v>10</v>
      </c>
      <c r="O18" s="61">
        <f>IF(C18="Defensive",SUMIFS(Data!$J:$J,Data!$A:$A,Info!$B18,Data!$I:$I,Info!$D18,Data!$H:$H,"INT"),0)</f>
        <v>0</v>
      </c>
      <c r="P18" s="61">
        <f>IF(Table1[[#This Row],[Role]]="Defensive",SUMIFS(Data!$J:$J,Data!$A:$A,Info!$B18,Data!$I:$I,Info!$D18,Data!$H:$H,$P$1),0)</f>
        <v>0</v>
      </c>
      <c r="Q18" s="65">
        <f>IF(Table1[[#This Row],[Pick]]="","",IF(S18&gt;1,400,IF(G18="","",IF(C18="Passing",(400-Table1[[#This Row],[Passing Yards]]-(30*Table1[[#This Row],[Passing TDs]])-(50*SUM(Table1[[#This Row],[Rushing TDs]:[Other TD''s]]))),IF(C18="Rushing",2*(200-Table1[[#This Row],[Rushing Yards]]-(30*Table1[[#This Row],[Passing TDs]])-50*(Table1[[#This Row],[Rushing TDs]]+Table1[[#This Row],[Receiving TDs]]+Table1[[#This Row],[Other TD''s]])),IF(C18="Receiving",2*(200-Table1[[#This Row],[Receiving Yards]]-(30*Table1[[#This Row],[Passing TDs]])-50*(Table1[[#This Row],[Rushing TDs]]+Table1[[#This Row],[Receiving TDs]]+Table1[[#This Row],[Other TD''s]])),IF(C18="Defensive",(25*(16-Table1[[#This Row],[Tackles]]-(8*(Table1[[#This Row],[Other TD''s]]+Table1[[#This Row],[Interceptions]]+Table1[[#This Row],[Fumbles Recovered]])))))))))))</f>
        <v>150</v>
      </c>
      <c r="R18" s="3" t="str">
        <f t="shared" si="2"/>
        <v>Mike M.DefensiveTaurean York</v>
      </c>
      <c r="S18" s="4">
        <f t="shared" si="1"/>
        <v>1</v>
      </c>
      <c r="T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tr">
        <f>_xlfn.XLOOKUP(Table1[[#This Row],[Player]]&amp;Table1[[#This Row],[Week]]&amp;Table1[[#This Row],[Role]],'Google Form Transform'!$A:$A,'Google Form Transform'!E:E,"")</f>
        <v>Fernando Mendoza</v>
      </c>
      <c r="E19" t="str">
        <f>_xlfn.XLOOKUP(Table1[[#This Row],[Player]]&amp;Table1[[#This Row],[Week]]&amp;Table1[[#This Row],[Role]],'Google Form Transform'!$A:$A,'Google Form Transform'!F:F,"")</f>
        <v>Indiana</v>
      </c>
      <c r="F19" t="str">
        <f>_xlfn.XLOOKUP(Table1[[#This Row],[Player]]&amp;Table1[[#This Row],[Week]]&amp;Table1[[#This Row],[Role]],'Google Form Transform'!$A:$A,'Google Form Transform'!G:G,"")</f>
        <v>Old Dominion</v>
      </c>
      <c r="G19" s="59">
        <f>SUMIFS(Table2[Stat],Table2[Stat Category],"passing",Table2[Stat Type],"YDS",Table2[Athlete],Table1[[#This Row],[Pick]],Table2[Week],Table1[[#This Row],[Week]])</f>
        <v>193</v>
      </c>
      <c r="H19" s="59">
        <f>SUMIFS(Table2[Stat],Table2[Stat Category],"rushing",Table2[Stat Type],"YDS",Table2[Athlete],Table1[[#This Row],[Pick]],Table2[Week],Table1[[#This Row],[Week]])</f>
        <v>33</v>
      </c>
      <c r="I19" s="59">
        <f>SUMIFS(Table2[Stat],Table2[Stat Category],"receiving",Table2[Stat Type],"YDS",Table2[Athlete],Table1[[#This Row],[Pick]],Table2[Week],Table1[[#This Row],[Week]])</f>
        <v>0</v>
      </c>
      <c r="J19" s="6">
        <f>IF(AND($C19="Rushing", $H19&lt;=0), 0, IF(AND($C19="Passing", $G$3&lt;=0), 0,IF(AND($C19="Receiving",$I19&lt;=0), 0,SUMIFS(Table2[Stat],Table2[Week],Table1[[#This Row],[Week]],Table2[Athlete],Table1[[#This Row],[Pick]],Table2[Stat Category],"passing",Table2[Stat Type],"TD"))))</f>
        <v>0</v>
      </c>
      <c r="K19" s="6">
        <f>IF(AND($C19="Rushing", $H19&lt;=0), 0, IF(AND($C19="Passing", $G$3&lt;=0), 0,IF(AND($C19="Receiving",$I19&lt;=0),0,SUMIFS(Table2[Stat],Table2[Week],Table1[[#This Row],[Week]],Table2[Athlete],Table1[[#This Row],[Pick]],Table2[Stat Category],"rushing",Table2[Stat Type],"TD"))))</f>
        <v>1</v>
      </c>
      <c r="L19" s="6">
        <f>IF(AND($C19="Rushing", $H19&lt;=0), 0, IF(AND($C19="Passing", $G$3&lt;=0), 0,IF(AND($C19="Receiving",$I19&lt;=0),0,SUMIFS(Table2[Stat],Table2[Week],Table1[[#This Row],[Week]],Table2[Athlete],Table1[[#This Row],[Pick]],Table2[Stat Category],"receiving",Table2[Stat Type],"TD"))))</f>
        <v>0</v>
      </c>
      <c r="M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" s="61">
        <f>SUMIFS(Data!$J:$J,Data!$A:$A,Info!$B19,Data!$G:$G,Info!$C19,Data!$I:$I,Info!$D19,Data!$H:$H,"TOT")</f>
        <v>0</v>
      </c>
      <c r="O19" s="61">
        <f>IF(C19="Defensive",SUMIFS(Data!$J:$J,Data!$A:$A,Info!$B19,Data!$I:$I,Info!$D19,Data!$H:$H,"INT"),0)</f>
        <v>0</v>
      </c>
      <c r="P19" s="61">
        <f>IF(Table1[[#This Row],[Role]]="Defensive",SUMIFS(Data!$J:$J,Data!$A:$A,Info!$B19,Data!$I:$I,Info!$D19,Data!$H:$H,$P$1),0)</f>
        <v>0</v>
      </c>
      <c r="Q19" s="65">
        <f>IF(Table1[[#This Row],[Pick]]="","",IF(S19&gt;1,400,IF(G19="","",IF(C19="Passing",(400-Table1[[#This Row],[Passing Yards]]-(30*Table1[[#This Row],[Passing TDs]])-(50*SUM(Table1[[#This Row],[Rushing TDs]:[Other TD''s]]))),IF(C19="Rushing",2*(200-Table1[[#This Row],[Rushing Yards]]-(30*Table1[[#This Row],[Passing TDs]])-50*(Table1[[#This Row],[Rushing TDs]]+Table1[[#This Row],[Receiving TDs]]+Table1[[#This Row],[Other TD''s]])),IF(C19="Receiving",2*(200-Table1[[#This Row],[Receiving Yards]]-(30*Table1[[#This Row],[Passing TDs]])-50*(Table1[[#This Row],[Rushing TDs]]+Table1[[#This Row],[Receiving TDs]]+Table1[[#This Row],[Other TD''s]])),IF(C19="Defensive",(25*(16-Table1[[#This Row],[Tackles]]-(8*(Table1[[#This Row],[Other TD''s]]+Table1[[#This Row],[Interceptions]]+Table1[[#This Row],[Fumbles Recovered]])))))))))))</f>
        <v>157</v>
      </c>
      <c r="R19" s="3" t="str">
        <f t="shared" si="2"/>
        <v>SpencerPassingFernando Mendoza</v>
      </c>
      <c r="S19" s="4">
        <f t="shared" si="1"/>
        <v>1</v>
      </c>
      <c r="T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tr">
        <f>_xlfn.XLOOKUP(Table1[[#This Row],[Player]]&amp;Table1[[#This Row],[Week]]&amp;Table1[[#This Row],[Role]],'Google Form Transform'!$A:$A,'Google Form Transform'!E:E,"")</f>
        <v>Nicholas Singleton</v>
      </c>
      <c r="E20" t="str">
        <f>_xlfn.XLOOKUP(Table1[[#This Row],[Player]]&amp;Table1[[#This Row],[Week]]&amp;Table1[[#This Row],[Role]],'Google Form Transform'!$A:$A,'Google Form Transform'!F:F,"")</f>
        <v>Penn State</v>
      </c>
      <c r="F20" t="str">
        <f>_xlfn.XLOOKUP(Table1[[#This Row],[Player]]&amp;Table1[[#This Row],[Week]]&amp;Table1[[#This Row],[Role]],'Google Form Transform'!$A:$A,'Google Form Transform'!G:G,"")</f>
        <v>Nevada</v>
      </c>
      <c r="G20" s="59">
        <f>SUMIFS(Table2[Stat],Table2[Stat Category],"passing",Table2[Stat Type],"YDS",Table2[Athlete],Table1[[#This Row],[Pick]],Table2[Week],Table1[[#This Row],[Week]])</f>
        <v>0</v>
      </c>
      <c r="H20" s="59">
        <f>SUMIFS(Table2[Stat],Table2[Stat Category],"rushing",Table2[Stat Type],"YDS",Table2[Athlete],Table1[[#This Row],[Pick]],Table2[Week],Table1[[#This Row],[Week]])</f>
        <v>19</v>
      </c>
      <c r="I20" s="59">
        <f>SUMIFS(Table2[Stat],Table2[Stat Category],"receiving",Table2[Stat Type],"YDS",Table2[Athlete],Table1[[#This Row],[Pick]],Table2[Week],Table1[[#This Row],[Week]])</f>
        <v>37</v>
      </c>
      <c r="J20" s="6">
        <f>IF(AND($C20="Rushing", $H20&lt;=0), 0, IF(AND($C20="Passing", $G$3&lt;=0), 0,IF(AND($C20="Receiving",$I20&lt;=0), 0,SUMIFS(Table2[Stat],Table2[Week],Table1[[#This Row],[Week]],Table2[Athlete],Table1[[#This Row],[Pick]],Table2[Stat Category],"passing",Table2[Stat Type],"TD"))))</f>
        <v>0</v>
      </c>
      <c r="K20" s="6">
        <f>IF(AND($C20="Rushing", $H20&lt;=0), 0, IF(AND($C20="Passing", $G$3&lt;=0), 0,IF(AND($C20="Receiving",$I20&lt;=0),0,SUMIFS(Table2[Stat],Table2[Week],Table1[[#This Row],[Week]],Table2[Athlete],Table1[[#This Row],[Pick]],Table2[Stat Category],"rushing",Table2[Stat Type],"TD"))))</f>
        <v>2</v>
      </c>
      <c r="L20" s="6">
        <f>IF(AND($C20="Rushing", $H20&lt;=0), 0, IF(AND($C20="Passing", $G$3&lt;=0), 0,IF(AND($C20="Receiving",$I20&lt;=0),0,SUMIFS(Table2[Stat],Table2[Week],Table1[[#This Row],[Week]],Table2[Athlete],Table1[[#This Row],[Pick]],Table2[Stat Category],"receiving",Table2[Stat Type],"TD"))))</f>
        <v>0</v>
      </c>
      <c r="M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" s="61">
        <f>SUMIFS(Data!$J:$J,Data!$A:$A,Info!$B20,Data!$G:$G,Info!$C20,Data!$I:$I,Info!$D20,Data!$H:$H,"TOT")</f>
        <v>0</v>
      </c>
      <c r="O20" s="61">
        <f>IF(C20="Defensive",SUMIFS(Data!$J:$J,Data!$A:$A,Info!$B20,Data!$I:$I,Info!$D20,Data!$H:$H,"INT"),0)</f>
        <v>0</v>
      </c>
      <c r="P20" s="61">
        <f>IF(Table1[[#This Row],[Role]]="Defensive",SUMIFS(Data!$J:$J,Data!$A:$A,Info!$B20,Data!$I:$I,Info!$D20,Data!$H:$H,$P$1),0)</f>
        <v>0</v>
      </c>
      <c r="Q20" s="65">
        <f>IF(Table1[[#This Row],[Pick]]="","",IF(S20&gt;1,400,IF(G20="","",IF(C20="Passing",(400-Table1[[#This Row],[Passing Yards]]-(30*Table1[[#This Row],[Passing TDs]])-(50*SUM(Table1[[#This Row],[Rushing TDs]:[Other TD''s]]))),IF(C20="Rushing",2*(200-Table1[[#This Row],[Rushing Yards]]-(30*Table1[[#This Row],[Passing TDs]])-50*(Table1[[#This Row],[Rushing TDs]]+Table1[[#This Row],[Receiving TDs]]+Table1[[#This Row],[Other TD''s]])),IF(C20="Receiving",2*(200-Table1[[#This Row],[Receiving Yards]]-(30*Table1[[#This Row],[Passing TDs]])-50*(Table1[[#This Row],[Rushing TDs]]+Table1[[#This Row],[Receiving TDs]]+Table1[[#This Row],[Other TD''s]])),IF(C20="Defensive",(25*(16-Table1[[#This Row],[Tackles]]-(8*(Table1[[#This Row],[Other TD''s]]+Table1[[#This Row],[Interceptions]]+Table1[[#This Row],[Fumbles Recovered]])))))))))))</f>
        <v>162</v>
      </c>
      <c r="R20" s="3" t="str">
        <f t="shared" si="2"/>
        <v>SpencerRushingNicholas Singleton</v>
      </c>
      <c r="S20" s="4">
        <f t="shared" si="1"/>
        <v>1</v>
      </c>
      <c r="T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tr">
        <f>_xlfn.XLOOKUP(Table1[[#This Row],[Player]]&amp;Table1[[#This Row],[Week]]&amp;Table1[[#This Row],[Role]],'Google Form Transform'!$A:$A,'Google Form Transform'!E:E,"")</f>
        <v>Denzel Boston</v>
      </c>
      <c r="E21" t="str">
        <f>_xlfn.XLOOKUP(Table1[[#This Row],[Player]]&amp;Table1[[#This Row],[Week]]&amp;Table1[[#This Row],[Role]],'Google Form Transform'!$A:$A,'Google Form Transform'!F:F,"")</f>
        <v>Washington</v>
      </c>
      <c r="F21" t="str">
        <f>_xlfn.XLOOKUP(Table1[[#This Row],[Player]]&amp;Table1[[#This Row],[Week]]&amp;Table1[[#This Row],[Role]],'Google Form Transform'!$A:$A,'Google Form Transform'!G:G,"")</f>
        <v>Colorado State</v>
      </c>
      <c r="G21" s="59">
        <f>SUMIFS(Table2[Stat],Table2[Stat Category],"passing",Table2[Stat Type],"YDS",Table2[Athlete],Table1[[#This Row],[Pick]],Table2[Week],Table1[[#This Row],[Week]])</f>
        <v>0</v>
      </c>
      <c r="H21" s="59">
        <f>SUMIFS(Table2[Stat],Table2[Stat Category],"rushing",Table2[Stat Type],"YDS",Table2[Athlete],Table1[[#This Row],[Pick]],Table2[Week],Table1[[#This Row],[Week]])</f>
        <v>0</v>
      </c>
      <c r="I21" s="59">
        <f>SUMIFS(Table2[Stat],Table2[Stat Category],"receiving",Table2[Stat Type],"YDS",Table2[Athlete],Table1[[#This Row],[Pick]],Table2[Week],Table1[[#This Row],[Week]])</f>
        <v>92</v>
      </c>
      <c r="J21" s="6">
        <f>IF(AND($C21="Rushing", $H21&lt;=0), 0, IF(AND($C21="Passing", $G$3&lt;=0), 0,IF(AND($C21="Receiving",$I21&lt;=0), 0,SUMIFS(Table2[Stat],Table2[Week],Table1[[#This Row],[Week]],Table2[Athlete],Table1[[#This Row],[Pick]],Table2[Stat Category],"passing",Table2[Stat Type],"TD"))))</f>
        <v>0</v>
      </c>
      <c r="K21" s="6">
        <f>IF(AND($C21="Rushing", $H21&lt;=0), 0, IF(AND($C21="Passing", $G$3&lt;=0), 0,IF(AND($C21="Receiving",$I21&lt;=0),0,SUMIFS(Table2[Stat],Table2[Week],Table1[[#This Row],[Week]],Table2[Athlete],Table1[[#This Row],[Pick]],Table2[Stat Category],"rushing",Table2[Stat Type],"TD"))))</f>
        <v>0</v>
      </c>
      <c r="L21" s="6">
        <f>IF(AND($C21="Rushing", $H21&lt;=0), 0, IF(AND($C21="Passing", $G$3&lt;=0), 0,IF(AND($C21="Receiving",$I21&lt;=0),0,SUMIFS(Table2[Stat],Table2[Week],Table1[[#This Row],[Week]],Table2[Athlete],Table1[[#This Row],[Pick]],Table2[Stat Category],"receiving",Table2[Stat Type],"TD"))))</f>
        <v>1</v>
      </c>
      <c r="M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" s="61">
        <f>SUMIFS(Data!$J:$J,Data!$A:$A,Info!$B21,Data!$G:$G,Info!$C21,Data!$I:$I,Info!$D21,Data!$H:$H,"TOT")</f>
        <v>0</v>
      </c>
      <c r="O21" s="61">
        <f>IF(C21="Defensive",SUMIFS(Data!$J:$J,Data!$A:$A,Info!$B21,Data!$I:$I,Info!$D21,Data!$H:$H,"INT"),0)</f>
        <v>0</v>
      </c>
      <c r="P21" s="61">
        <f>IF(Table1[[#This Row],[Role]]="Defensive",SUMIFS(Data!$J:$J,Data!$A:$A,Info!$B21,Data!$I:$I,Info!$D21,Data!$H:$H,$P$1),0)</f>
        <v>0</v>
      </c>
      <c r="Q21" s="65">
        <f>IF(Table1[[#This Row],[Pick]]="","",IF(S21&gt;1,400,IF(G21="","",IF(C21="Passing",(400-Table1[[#This Row],[Passing Yards]]-(30*Table1[[#This Row],[Passing TDs]])-(50*SUM(Table1[[#This Row],[Rushing TDs]:[Other TD''s]]))),IF(C21="Rushing",2*(200-Table1[[#This Row],[Rushing Yards]]-(30*Table1[[#This Row],[Passing TDs]])-50*(Table1[[#This Row],[Rushing TDs]]+Table1[[#This Row],[Receiving TDs]]+Table1[[#This Row],[Other TD''s]])),IF(C21="Receiving",2*(200-Table1[[#This Row],[Receiving Yards]]-(30*Table1[[#This Row],[Passing TDs]])-50*(Table1[[#This Row],[Rushing TDs]]+Table1[[#This Row],[Receiving TDs]]+Table1[[#This Row],[Other TD''s]])),IF(C21="Defensive",(25*(16-Table1[[#This Row],[Tackles]]-(8*(Table1[[#This Row],[Other TD''s]]+Table1[[#This Row],[Interceptions]]+Table1[[#This Row],[Fumbles Recovered]])))))))))))</f>
        <v>116</v>
      </c>
      <c r="R21" s="3" t="str">
        <f t="shared" si="2"/>
        <v>SpencerReceivingDenzel Boston</v>
      </c>
      <c r="S21" s="4">
        <f t="shared" si="1"/>
        <v>1</v>
      </c>
      <c r="T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tr">
        <f>_xlfn.XLOOKUP(Table1[[#This Row],[Player]]&amp;Table1[[#This Row],[Week]]&amp;Table1[[#This Row],[Role]],'Google Form Transform'!$A:$A,'Google Form Transform'!E:E,"")</f>
        <v>Anthony Hill Jr.</v>
      </c>
      <c r="E22" t="str">
        <f>_xlfn.XLOOKUP(Table1[[#This Row],[Player]]&amp;Table1[[#This Row],[Week]]&amp;Table1[[#This Row],[Role]],'Google Form Transform'!$A:$A,'Google Form Transform'!F:F,"")</f>
        <v>Texas</v>
      </c>
      <c r="F22" t="str">
        <f>_xlfn.XLOOKUP(Table1[[#This Row],[Player]]&amp;Table1[[#This Row],[Week]]&amp;Table1[[#This Row],[Role]],'Google Form Transform'!$A:$A,'Google Form Transform'!G:G,"")</f>
        <v>Ohio State</v>
      </c>
      <c r="G22" s="59">
        <f>SUMIFS(Table2[Stat],Table2[Stat Category],"passing",Table2[Stat Type],"YDS",Table2[Athlete],Table1[[#This Row],[Pick]],Table2[Week],Table1[[#This Row],[Week]])</f>
        <v>0</v>
      </c>
      <c r="H22" s="59">
        <f>SUMIFS(Table2[Stat],Table2[Stat Category],"rushing",Table2[Stat Type],"YDS",Table2[Athlete],Table1[[#This Row],[Pick]],Table2[Week],Table1[[#This Row],[Week]])</f>
        <v>0</v>
      </c>
      <c r="I22" s="59">
        <f>SUMIFS(Table2[Stat],Table2[Stat Category],"receiving",Table2[Stat Type],"YDS",Table2[Athlete],Table1[[#This Row],[Pick]],Table2[Week],Table1[[#This Row],[Week]])</f>
        <v>0</v>
      </c>
      <c r="J22" s="6">
        <f>IF(AND($C22="Rushing", $H22&lt;=0), 0, IF(AND($C22="Passing", $G$3&lt;=0), 0,IF(AND($C22="Receiving",$I22&lt;=0), 0,SUMIFS(Table2[Stat],Table2[Week],Table1[[#This Row],[Week]],Table2[Athlete],Table1[[#This Row],[Pick]],Table2[Stat Category],"passing",Table2[Stat Type],"TD"))))</f>
        <v>0</v>
      </c>
      <c r="K22" s="6">
        <f>IF(AND($C22="Rushing", $H22&lt;=0), 0, IF(AND($C22="Passing", $G$3&lt;=0), 0,IF(AND($C22="Receiving",$I22&lt;=0),0,SUMIFS(Table2[Stat],Table2[Week],Table1[[#This Row],[Week]],Table2[Athlete],Table1[[#This Row],[Pick]],Table2[Stat Category],"rushing",Table2[Stat Type],"TD"))))</f>
        <v>0</v>
      </c>
      <c r="L22" s="6">
        <f>IF(AND($C22="Rushing", $H22&lt;=0), 0, IF(AND($C22="Passing", $G$3&lt;=0), 0,IF(AND($C22="Receiving",$I22&lt;=0),0,SUMIFS(Table2[Stat],Table2[Week],Table1[[#This Row],[Week]],Table2[Athlete],Table1[[#This Row],[Pick]],Table2[Stat Category],"receiving",Table2[Stat Type],"TD"))))</f>
        <v>0</v>
      </c>
      <c r="M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" s="61">
        <f>SUMIFS(Data!$J:$J,Data!$A:$A,Info!$B22,Data!$G:$G,Info!$C22,Data!$I:$I,Info!$D22,Data!$H:$H,"TOT")</f>
        <v>6</v>
      </c>
      <c r="O22" s="61">
        <f>IF(C22="Defensive",SUMIFS(Data!$J:$J,Data!$A:$A,Info!$B22,Data!$I:$I,Info!$D22,Data!$H:$H,"INT"),0)</f>
        <v>0</v>
      </c>
      <c r="P22" s="61">
        <f>IF(Table1[[#This Row],[Role]]="Defensive",SUMIFS(Data!$J:$J,Data!$A:$A,Info!$B22,Data!$I:$I,Info!$D22,Data!$H:$H,$P$1),0)</f>
        <v>0</v>
      </c>
      <c r="Q22" s="65">
        <f>IF(Table1[[#This Row],[Pick]]="","",IF(S22&gt;1,400,IF(G22="","",IF(C22="Passing",(400-Table1[[#This Row],[Passing Yards]]-(30*Table1[[#This Row],[Passing TDs]])-(50*SUM(Table1[[#This Row],[Rushing TDs]:[Other TD''s]]))),IF(C22="Rushing",2*(200-Table1[[#This Row],[Rushing Yards]]-(30*Table1[[#This Row],[Passing TDs]])-50*(Table1[[#This Row],[Rushing TDs]]+Table1[[#This Row],[Receiving TDs]]+Table1[[#This Row],[Other TD''s]])),IF(C22="Receiving",2*(200-Table1[[#This Row],[Receiving Yards]]-(30*Table1[[#This Row],[Passing TDs]])-50*(Table1[[#This Row],[Rushing TDs]]+Table1[[#This Row],[Receiving TDs]]+Table1[[#This Row],[Other TD''s]])),IF(C22="Defensive",(25*(16-Table1[[#This Row],[Tackles]]-(8*(Table1[[#This Row],[Other TD''s]]+Table1[[#This Row],[Interceptions]]+Table1[[#This Row],[Fumbles Recovered]])))))))))))</f>
        <v>250</v>
      </c>
      <c r="R22" s="3" t="str">
        <f t="shared" si="2"/>
        <v>SpencerDefensiveAnthony Hill Jr.</v>
      </c>
      <c r="S22" s="4">
        <f t="shared" si="1"/>
        <v>1</v>
      </c>
      <c r="T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tr">
        <f>_xlfn.XLOOKUP(Table1[[#This Row],[Player]]&amp;Table1[[#This Row],[Week]]&amp;Table1[[#This Row],[Role]],'Google Form Transform'!$A:$A,'Google Form Transform'!E:E,"")</f>
        <v>Bryce Underwood</v>
      </c>
      <c r="E23" t="str">
        <f>_xlfn.XLOOKUP(Table1[[#This Row],[Player]]&amp;Table1[[#This Row],[Week]]&amp;Table1[[#This Row],[Role]],'Google Form Transform'!$A:$A,'Google Form Transform'!F:F,"")</f>
        <v>Michigan</v>
      </c>
      <c r="F23" t="str">
        <f>_xlfn.XLOOKUP(Table1[[#This Row],[Player]]&amp;Table1[[#This Row],[Week]]&amp;Table1[[#This Row],[Role]],'Google Form Transform'!$A:$A,'Google Form Transform'!G:G,"")</f>
        <v>New Mexico</v>
      </c>
      <c r="G23" s="59">
        <f>SUMIFS(Table2[Stat],Table2[Stat Category],"passing",Table2[Stat Type],"YDS",Table2[Athlete],Table1[[#This Row],[Pick]],Table2[Week],Table1[[#This Row],[Week]])</f>
        <v>251</v>
      </c>
      <c r="H23" s="59">
        <f>SUMIFS(Table2[Stat],Table2[Stat Category],"rushing",Table2[Stat Type],"YDS",Table2[Athlete],Table1[[#This Row],[Pick]],Table2[Week],Table1[[#This Row],[Week]])</f>
        <v>-5</v>
      </c>
      <c r="I23" s="59">
        <f>SUMIFS(Table2[Stat],Table2[Stat Category],"receiving",Table2[Stat Type],"YDS",Table2[Athlete],Table1[[#This Row],[Pick]],Table2[Week],Table1[[#This Row],[Week]])</f>
        <v>0</v>
      </c>
      <c r="J23" s="6">
        <f>IF(AND($C23="Rushing", $H23&lt;=0), 0, IF(AND($C23="Passing", $G$3&lt;=0), 0,IF(AND($C23="Receiving",$I23&lt;=0), 0,SUMIFS(Table2[Stat],Table2[Week],Table1[[#This Row],[Week]],Table2[Athlete],Table1[[#This Row],[Pick]],Table2[Stat Category],"passing",Table2[Stat Type],"TD"))))</f>
        <v>1</v>
      </c>
      <c r="K23" s="6">
        <f>IF(AND($C23="Rushing", $H23&lt;=0), 0, IF(AND($C23="Passing", $G$3&lt;=0), 0,IF(AND($C23="Receiving",$I23&lt;=0),0,SUMIFS(Table2[Stat],Table2[Week],Table1[[#This Row],[Week]],Table2[Athlete],Table1[[#This Row],[Pick]],Table2[Stat Category],"rushing",Table2[Stat Type],"TD"))))</f>
        <v>0</v>
      </c>
      <c r="L23" s="6">
        <f>IF(AND($C23="Rushing", $H23&lt;=0), 0, IF(AND($C23="Passing", $G$3&lt;=0), 0,IF(AND($C23="Receiving",$I23&lt;=0),0,SUMIFS(Table2[Stat],Table2[Week],Table1[[#This Row],[Week]],Table2[Athlete],Table1[[#This Row],[Pick]],Table2[Stat Category],"receiving",Table2[Stat Type],"TD"))))</f>
        <v>0</v>
      </c>
      <c r="M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" s="61">
        <f>SUMIFS(Data!$J:$J,Data!$A:$A,Info!$B23,Data!$G:$G,Info!$C23,Data!$I:$I,Info!$D23,Data!$H:$H,"TOT")</f>
        <v>0</v>
      </c>
      <c r="O23" s="61">
        <f>IF(C23="Defensive",SUMIFS(Data!$J:$J,Data!$A:$A,Info!$B23,Data!$I:$I,Info!$D23,Data!$H:$H,"INT"),0)</f>
        <v>0</v>
      </c>
      <c r="P23" s="61">
        <f>IF(Table1[[#This Row],[Role]]="Defensive",SUMIFS(Data!$J:$J,Data!$A:$A,Info!$B23,Data!$I:$I,Info!$D23,Data!$H:$H,$P$1),0)</f>
        <v>0</v>
      </c>
      <c r="Q23" s="65">
        <f>IF(Table1[[#This Row],[Pick]]="","",IF(S23&gt;1,400,IF(G23="","",IF(C23="Passing",(400-Table1[[#This Row],[Passing Yards]]-(30*Table1[[#This Row],[Passing TDs]])-(50*SUM(Table1[[#This Row],[Rushing TDs]:[Other TD''s]]))),IF(C23="Rushing",2*(200-Table1[[#This Row],[Rushing Yards]]-(30*Table1[[#This Row],[Passing TDs]])-50*(Table1[[#This Row],[Rushing TDs]]+Table1[[#This Row],[Receiving TDs]]+Table1[[#This Row],[Other TD''s]])),IF(C23="Receiving",2*(200-Table1[[#This Row],[Receiving Yards]]-(30*Table1[[#This Row],[Passing TDs]])-50*(Table1[[#This Row],[Rushing TDs]]+Table1[[#This Row],[Receiving TDs]]+Table1[[#This Row],[Other TD''s]])),IF(C23="Defensive",(25*(16-Table1[[#This Row],[Tackles]]-(8*(Table1[[#This Row],[Other TD''s]]+Table1[[#This Row],[Interceptions]]+Table1[[#This Row],[Fumbles Recovered]])))))))))))</f>
        <v>119</v>
      </c>
      <c r="R23" s="3" t="str">
        <f t="shared" si="2"/>
        <v>DarioPassingBryce Underwood</v>
      </c>
      <c r="S23" s="4">
        <f t="shared" si="1"/>
        <v>1</v>
      </c>
      <c r="T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tr">
        <f>_xlfn.XLOOKUP(Table1[[#This Row],[Player]]&amp;Table1[[#This Row],[Week]]&amp;Table1[[#This Row],[Role]],'Google Form Transform'!$A:$A,'Google Form Transform'!E:E,"")</f>
        <v>Nicholas Singleton</v>
      </c>
      <c r="E24" t="str">
        <f>_xlfn.XLOOKUP(Table1[[#This Row],[Player]]&amp;Table1[[#This Row],[Week]]&amp;Table1[[#This Row],[Role]],'Google Form Transform'!$A:$A,'Google Form Transform'!F:F,"")</f>
        <v>Penn State</v>
      </c>
      <c r="F24" t="str">
        <f>_xlfn.XLOOKUP(Table1[[#This Row],[Player]]&amp;Table1[[#This Row],[Week]]&amp;Table1[[#This Row],[Role]],'Google Form Transform'!$A:$A,'Google Form Transform'!G:G,"")</f>
        <v>Nevada</v>
      </c>
      <c r="G24" s="59">
        <f>SUMIFS(Table2[Stat],Table2[Stat Category],"passing",Table2[Stat Type],"YDS",Table2[Athlete],Table1[[#This Row],[Pick]],Table2[Week],Table1[[#This Row],[Week]])</f>
        <v>0</v>
      </c>
      <c r="H24" s="59">
        <f>SUMIFS(Table2[Stat],Table2[Stat Category],"rushing",Table2[Stat Type],"YDS",Table2[Athlete],Table1[[#This Row],[Pick]],Table2[Week],Table1[[#This Row],[Week]])</f>
        <v>19</v>
      </c>
      <c r="I24" s="59">
        <f>SUMIFS(Table2[Stat],Table2[Stat Category],"receiving",Table2[Stat Type],"YDS",Table2[Athlete],Table1[[#This Row],[Pick]],Table2[Week],Table1[[#This Row],[Week]])</f>
        <v>37</v>
      </c>
      <c r="J24" s="6">
        <f>IF(AND($C24="Rushing", $H24&lt;=0), 0, IF(AND($C24="Passing", $G$3&lt;=0), 0,IF(AND($C24="Receiving",$I24&lt;=0), 0,SUMIFS(Table2[Stat],Table2[Week],Table1[[#This Row],[Week]],Table2[Athlete],Table1[[#This Row],[Pick]],Table2[Stat Category],"passing",Table2[Stat Type],"TD"))))</f>
        <v>0</v>
      </c>
      <c r="K24" s="6">
        <f>IF(AND($C24="Rushing", $H24&lt;=0), 0, IF(AND($C24="Passing", $G$3&lt;=0), 0,IF(AND($C24="Receiving",$I24&lt;=0),0,SUMIFS(Table2[Stat],Table2[Week],Table1[[#This Row],[Week]],Table2[Athlete],Table1[[#This Row],[Pick]],Table2[Stat Category],"rushing",Table2[Stat Type],"TD"))))</f>
        <v>2</v>
      </c>
      <c r="L24" s="6">
        <f>IF(AND($C24="Rushing", $H24&lt;=0), 0, IF(AND($C24="Passing", $G$3&lt;=0), 0,IF(AND($C24="Receiving",$I24&lt;=0),0,SUMIFS(Table2[Stat],Table2[Week],Table1[[#This Row],[Week]],Table2[Athlete],Table1[[#This Row],[Pick]],Table2[Stat Category],"receiving",Table2[Stat Type],"TD"))))</f>
        <v>0</v>
      </c>
      <c r="M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" s="61">
        <f>SUMIFS(Data!$J:$J,Data!$A:$A,Info!$B24,Data!$G:$G,Info!$C24,Data!$I:$I,Info!$D24,Data!$H:$H,"TOT")</f>
        <v>0</v>
      </c>
      <c r="O24" s="61">
        <f>IF(C24="Defensive",SUMIFS(Data!$J:$J,Data!$A:$A,Info!$B24,Data!$I:$I,Info!$D24,Data!$H:$H,"INT"),0)</f>
        <v>0</v>
      </c>
      <c r="P24" s="61">
        <f>IF(Table1[[#This Row],[Role]]="Defensive",SUMIFS(Data!$J:$J,Data!$A:$A,Info!$B24,Data!$I:$I,Info!$D24,Data!$H:$H,$P$1),0)</f>
        <v>0</v>
      </c>
      <c r="Q24" s="65">
        <f>IF(Table1[[#This Row],[Pick]]="","",IF(S24&gt;1,400,IF(G24="","",IF(C24="Passing",(400-Table1[[#This Row],[Passing Yards]]-(30*Table1[[#This Row],[Passing TDs]])-(50*SUM(Table1[[#This Row],[Rushing TDs]:[Other TD''s]]))),IF(C24="Rushing",2*(200-Table1[[#This Row],[Rushing Yards]]-(30*Table1[[#This Row],[Passing TDs]])-50*(Table1[[#This Row],[Rushing TDs]]+Table1[[#This Row],[Receiving TDs]]+Table1[[#This Row],[Other TD''s]])),IF(C24="Receiving",2*(200-Table1[[#This Row],[Receiving Yards]]-(30*Table1[[#This Row],[Passing TDs]])-50*(Table1[[#This Row],[Rushing TDs]]+Table1[[#This Row],[Receiving TDs]]+Table1[[#This Row],[Other TD''s]])),IF(C24="Defensive",(25*(16-Table1[[#This Row],[Tackles]]-(8*(Table1[[#This Row],[Other TD''s]]+Table1[[#This Row],[Interceptions]]+Table1[[#This Row],[Fumbles Recovered]])))))))))))</f>
        <v>162</v>
      </c>
      <c r="R24" s="3" t="str">
        <f t="shared" si="2"/>
        <v>DarioRushingNicholas Singleton</v>
      </c>
      <c r="S24" s="4">
        <f t="shared" si="1"/>
        <v>1</v>
      </c>
      <c r="T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tr">
        <f>_xlfn.XLOOKUP(Table1[[#This Row],[Player]]&amp;Table1[[#This Row],[Week]]&amp;Table1[[#This Row],[Role]],'Google Form Transform'!$A:$A,'Google Form Transform'!E:E,"")</f>
        <v>Denzel Boston</v>
      </c>
      <c r="E25" t="str">
        <f>_xlfn.XLOOKUP(Table1[[#This Row],[Player]]&amp;Table1[[#This Row],[Week]]&amp;Table1[[#This Row],[Role]],'Google Form Transform'!$A:$A,'Google Form Transform'!F:F,"")</f>
        <v>Washington</v>
      </c>
      <c r="F25" t="str">
        <f>_xlfn.XLOOKUP(Table1[[#This Row],[Player]]&amp;Table1[[#This Row],[Week]]&amp;Table1[[#This Row],[Role]],'Google Form Transform'!$A:$A,'Google Form Transform'!G:G,"")</f>
        <v>Colorado State</v>
      </c>
      <c r="G25" s="59">
        <f>SUMIFS(Table2[Stat],Table2[Stat Category],"passing",Table2[Stat Type],"YDS",Table2[Athlete],Table1[[#This Row],[Pick]],Table2[Week],Table1[[#This Row],[Week]])</f>
        <v>0</v>
      </c>
      <c r="H25" s="59">
        <f>SUMIFS(Table2[Stat],Table2[Stat Category],"rushing",Table2[Stat Type],"YDS",Table2[Athlete],Table1[[#This Row],[Pick]],Table2[Week],Table1[[#This Row],[Week]])</f>
        <v>0</v>
      </c>
      <c r="I25" s="59">
        <f>SUMIFS(Table2[Stat],Table2[Stat Category],"receiving",Table2[Stat Type],"YDS",Table2[Athlete],Table1[[#This Row],[Pick]],Table2[Week],Table1[[#This Row],[Week]])</f>
        <v>92</v>
      </c>
      <c r="J25" s="6">
        <f>IF(AND($C25="Rushing", $H25&lt;=0), 0, IF(AND($C25="Passing", $G$3&lt;=0), 0,IF(AND($C25="Receiving",$I25&lt;=0), 0,SUMIFS(Table2[Stat],Table2[Week],Table1[[#This Row],[Week]],Table2[Athlete],Table1[[#This Row],[Pick]],Table2[Stat Category],"passing",Table2[Stat Type],"TD"))))</f>
        <v>0</v>
      </c>
      <c r="K25" s="6">
        <f>IF(AND($C25="Rushing", $H25&lt;=0), 0, IF(AND($C25="Passing", $G$3&lt;=0), 0,IF(AND($C25="Receiving",$I25&lt;=0),0,SUMIFS(Table2[Stat],Table2[Week],Table1[[#This Row],[Week]],Table2[Athlete],Table1[[#This Row],[Pick]],Table2[Stat Category],"rushing",Table2[Stat Type],"TD"))))</f>
        <v>0</v>
      </c>
      <c r="L25" s="6">
        <f>IF(AND($C25="Rushing", $H25&lt;=0), 0, IF(AND($C25="Passing", $G$3&lt;=0), 0,IF(AND($C25="Receiving",$I25&lt;=0),0,SUMIFS(Table2[Stat],Table2[Week],Table1[[#This Row],[Week]],Table2[Athlete],Table1[[#This Row],[Pick]],Table2[Stat Category],"receiving",Table2[Stat Type],"TD"))))</f>
        <v>1</v>
      </c>
      <c r="M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" s="61">
        <f>SUMIFS(Data!$J:$J,Data!$A:$A,Info!$B25,Data!$G:$G,Info!$C25,Data!$I:$I,Info!$D25,Data!$H:$H,"TOT")</f>
        <v>0</v>
      </c>
      <c r="O25" s="61">
        <f>IF(C25="Defensive",SUMIFS(Data!$J:$J,Data!$A:$A,Info!$B25,Data!$I:$I,Info!$D25,Data!$H:$H,"INT"),0)</f>
        <v>0</v>
      </c>
      <c r="P25" s="61">
        <f>IF(Table1[[#This Row],[Role]]="Defensive",SUMIFS(Data!$J:$J,Data!$A:$A,Info!$B25,Data!$I:$I,Info!$D25,Data!$H:$H,$P$1),0)</f>
        <v>0</v>
      </c>
      <c r="Q25" s="65">
        <f>IF(Table1[[#This Row],[Pick]]="","",IF(S25&gt;1,400,IF(G25="","",IF(C25="Passing",(400-Table1[[#This Row],[Passing Yards]]-(30*Table1[[#This Row],[Passing TDs]])-(50*SUM(Table1[[#This Row],[Rushing TDs]:[Other TD''s]]))),IF(C25="Rushing",2*(200-Table1[[#This Row],[Rushing Yards]]-(30*Table1[[#This Row],[Passing TDs]])-50*(Table1[[#This Row],[Rushing TDs]]+Table1[[#This Row],[Receiving TDs]]+Table1[[#This Row],[Other TD''s]])),IF(C25="Receiving",2*(200-Table1[[#This Row],[Receiving Yards]]-(30*Table1[[#This Row],[Passing TDs]])-50*(Table1[[#This Row],[Rushing TDs]]+Table1[[#This Row],[Receiving TDs]]+Table1[[#This Row],[Other TD''s]])),IF(C25="Defensive",(25*(16-Table1[[#This Row],[Tackles]]-(8*(Table1[[#This Row],[Other TD''s]]+Table1[[#This Row],[Interceptions]]+Table1[[#This Row],[Fumbles Recovered]])))))))))))</f>
        <v>116</v>
      </c>
      <c r="R25" s="3" t="str">
        <f t="shared" si="2"/>
        <v>DarioReceivingDenzel Boston</v>
      </c>
      <c r="S25" s="4">
        <f t="shared" si="1"/>
        <v>1</v>
      </c>
      <c r="T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tr">
        <f>_xlfn.XLOOKUP(Table1[[#This Row],[Player]]&amp;Table1[[#This Row],[Week]]&amp;Table1[[#This Row],[Role]],'Google Form Transform'!$A:$A,'Google Form Transform'!E:E,"")</f>
        <v>Colin Simmons</v>
      </c>
      <c r="E26" t="str">
        <f>_xlfn.XLOOKUP(Table1[[#This Row],[Player]]&amp;Table1[[#This Row],[Week]]&amp;Table1[[#This Row],[Role]],'Google Form Transform'!$A:$A,'Google Form Transform'!F:F,"")</f>
        <v>Texas</v>
      </c>
      <c r="F26" t="str">
        <f>_xlfn.XLOOKUP(Table1[[#This Row],[Player]]&amp;Table1[[#This Row],[Week]]&amp;Table1[[#This Row],[Role]],'Google Form Transform'!$A:$A,'Google Form Transform'!G:G,"")</f>
        <v>Ohio State</v>
      </c>
      <c r="G26" s="59">
        <f>SUMIFS(Table2[Stat],Table2[Stat Category],"passing",Table2[Stat Type],"YDS",Table2[Athlete],Table1[[#This Row],[Pick]],Table2[Week],Table1[[#This Row],[Week]])</f>
        <v>0</v>
      </c>
      <c r="H26" s="59">
        <f>SUMIFS(Table2[Stat],Table2[Stat Category],"rushing",Table2[Stat Type],"YDS",Table2[Athlete],Table1[[#This Row],[Pick]],Table2[Week],Table1[[#This Row],[Week]])</f>
        <v>0</v>
      </c>
      <c r="I26" s="59">
        <f>SUMIFS(Table2[Stat],Table2[Stat Category],"receiving",Table2[Stat Type],"YDS",Table2[Athlete],Table1[[#This Row],[Pick]],Table2[Week],Table1[[#This Row],[Week]])</f>
        <v>0</v>
      </c>
      <c r="J26" s="6">
        <f>IF(AND($C26="Rushing", $H26&lt;=0), 0, IF(AND($C26="Passing", $G$3&lt;=0), 0,IF(AND($C26="Receiving",$I26&lt;=0), 0,SUMIFS(Table2[Stat],Table2[Week],Table1[[#This Row],[Week]],Table2[Athlete],Table1[[#This Row],[Pick]],Table2[Stat Category],"passing",Table2[Stat Type],"TD"))))</f>
        <v>0</v>
      </c>
      <c r="K26" s="6">
        <f>IF(AND($C26="Rushing", $H26&lt;=0), 0, IF(AND($C26="Passing", $G$3&lt;=0), 0,IF(AND($C26="Receiving",$I26&lt;=0),0,SUMIFS(Table2[Stat],Table2[Week],Table1[[#This Row],[Week]],Table2[Athlete],Table1[[#This Row],[Pick]],Table2[Stat Category],"rushing",Table2[Stat Type],"TD"))))</f>
        <v>0</v>
      </c>
      <c r="L26" s="6">
        <f>IF(AND($C26="Rushing", $H26&lt;=0), 0, IF(AND($C26="Passing", $G$3&lt;=0), 0,IF(AND($C26="Receiving",$I26&lt;=0),0,SUMIFS(Table2[Stat],Table2[Week],Table1[[#This Row],[Week]],Table2[Athlete],Table1[[#This Row],[Pick]],Table2[Stat Category],"receiving",Table2[Stat Type],"TD"))))</f>
        <v>0</v>
      </c>
      <c r="M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" s="61">
        <f>SUMIFS(Data!$J:$J,Data!$A:$A,Info!$B26,Data!$G:$G,Info!$C26,Data!$I:$I,Info!$D26,Data!$H:$H,"TOT")</f>
        <v>2</v>
      </c>
      <c r="O26" s="61">
        <f>IF(C26="Defensive",SUMIFS(Data!$J:$J,Data!$A:$A,Info!$B26,Data!$I:$I,Info!$D26,Data!$H:$H,"INT"),0)</f>
        <v>0</v>
      </c>
      <c r="P26" s="61">
        <f>IF(Table1[[#This Row],[Role]]="Defensive",SUMIFS(Data!$J:$J,Data!$A:$A,Info!$B26,Data!$I:$I,Info!$D26,Data!$H:$H,$P$1),0)</f>
        <v>0</v>
      </c>
      <c r="Q26" s="65">
        <f>IF(Table1[[#This Row],[Pick]]="","",IF(S26&gt;1,400,IF(G26="","",IF(C26="Passing",(400-Table1[[#This Row],[Passing Yards]]-(30*Table1[[#This Row],[Passing TDs]])-(50*SUM(Table1[[#This Row],[Rushing TDs]:[Other TD''s]]))),IF(C26="Rushing",2*(200-Table1[[#This Row],[Rushing Yards]]-(30*Table1[[#This Row],[Passing TDs]])-50*(Table1[[#This Row],[Rushing TDs]]+Table1[[#This Row],[Receiving TDs]]+Table1[[#This Row],[Other TD''s]])),IF(C26="Receiving",2*(200-Table1[[#This Row],[Receiving Yards]]-(30*Table1[[#This Row],[Passing TDs]])-50*(Table1[[#This Row],[Rushing TDs]]+Table1[[#This Row],[Receiving TDs]]+Table1[[#This Row],[Other TD''s]])),IF(C26="Defensive",(25*(16-Table1[[#This Row],[Tackles]]-(8*(Table1[[#This Row],[Other TD''s]]+Table1[[#This Row],[Interceptions]]+Table1[[#This Row],[Fumbles Recovered]])))))))))))</f>
        <v>350</v>
      </c>
      <c r="R26" s="3" t="str">
        <f t="shared" si="2"/>
        <v>DarioDefensiveColin Simmons</v>
      </c>
      <c r="S26" s="4">
        <f t="shared" si="1"/>
        <v>1</v>
      </c>
      <c r="T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2</v>
      </c>
    </row>
    <row r="27" spans="1:20" x14ac:dyDescent="0.25">
      <c r="A27" t="s">
        <v>62</v>
      </c>
      <c r="B27" s="28" t="s">
        <v>27</v>
      </c>
      <c r="C27" t="s">
        <v>16</v>
      </c>
      <c r="D27" t="str">
        <f>_xlfn.XLOOKUP(Table1[[#This Row],[Player]]&amp;Table1[[#This Row],[Week]]&amp;Table1[[#This Row],[Role]],'Google Form Transform'!$A:$A,'Google Form Transform'!E:E,"")</f>
        <v>No Pick</v>
      </c>
      <c r="E27" t="str">
        <f>_xlfn.XLOOKUP(Table1[[#This Row],[Player]]&amp;Table1[[#This Row],[Week]]&amp;Table1[[#This Row],[Role]],'Google Form Transform'!$A:$A,'Google Form Transform'!F:F,"")</f>
        <v>No Pick</v>
      </c>
      <c r="F27" t="str">
        <f>_xlfn.XLOOKUP(Table1[[#This Row],[Player]]&amp;Table1[[#This Row],[Week]]&amp;Table1[[#This Row],[Role]],'Google Form Transform'!$A:$A,'Google Form Transform'!G:G,"")</f>
        <v>No Pick</v>
      </c>
      <c r="G27" s="59">
        <f>SUMIFS(Table2[Stat],Table2[Stat Category],"passing",Table2[Stat Type],"YDS",Table2[Athlete],Table1[[#This Row],[Pick]],Table2[Week],Table1[[#This Row],[Week]])</f>
        <v>0</v>
      </c>
      <c r="H27" s="59">
        <f>SUMIFS(Table2[Stat],Table2[Stat Category],"rushing",Table2[Stat Type],"YDS",Table2[Athlete],Table1[[#This Row],[Pick]],Table2[Week],Table1[[#This Row],[Week]])</f>
        <v>0</v>
      </c>
      <c r="I27" s="59">
        <f>SUMIFS(Table2[Stat],Table2[Stat Category],"receiving",Table2[Stat Type],"YDS",Table2[Athlete],Table1[[#This Row],[Pick]],Table2[Week],Table1[[#This Row],[Week]])</f>
        <v>0</v>
      </c>
      <c r="J27" s="6">
        <f>IF(AND($C27="Rushing", $H27&lt;=0), 0, IF(AND($C27="Passing", $G$3&lt;=0), 0,IF(AND($C27="Receiving",$I27&lt;=0), 0,SUMIFS(Table2[Stat],Table2[Week],Table1[[#This Row],[Week]],Table2[Athlete],Table1[[#This Row],[Pick]],Table2[Stat Category],"passing",Table2[Stat Type],"TD"))))</f>
        <v>0</v>
      </c>
      <c r="K27" s="6">
        <f>IF(AND($C27="Rushing", $H27&lt;=0), 0, IF(AND($C27="Passing", $G$3&lt;=0), 0,IF(AND($C27="Receiving",$I27&lt;=0),0,SUMIFS(Table2[Stat],Table2[Week],Table1[[#This Row],[Week]],Table2[Athlete],Table1[[#This Row],[Pick]],Table2[Stat Category],"rushing",Table2[Stat Type],"TD"))))</f>
        <v>0</v>
      </c>
      <c r="L27" s="6">
        <f>IF(AND($C27="Rushing", $H27&lt;=0), 0, IF(AND($C27="Passing", $G$3&lt;=0), 0,IF(AND($C27="Receiving",$I27&lt;=0),0,SUMIFS(Table2[Stat],Table2[Week],Table1[[#This Row],[Week]],Table2[Athlete],Table1[[#This Row],[Pick]],Table2[Stat Category],"receiving",Table2[Stat Type],"TD"))))</f>
        <v>0</v>
      </c>
      <c r="M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" s="61">
        <f>SUMIFS(Data!$J:$J,Data!$A:$A,Info!$B27,Data!$G:$G,Info!$C27,Data!$I:$I,Info!$D27,Data!$H:$H,"TOT")</f>
        <v>0</v>
      </c>
      <c r="O27" s="61">
        <f>IF(C27="Defensive",SUMIFS(Data!$J:$J,Data!$A:$A,Info!$B27,Data!$I:$I,Info!$D27,Data!$H:$H,"INT"),0)</f>
        <v>0</v>
      </c>
      <c r="P27" s="61">
        <f>IF(Table1[[#This Row],[Role]]="Defensive",SUMIFS(Data!$J:$J,Data!$A:$A,Info!$B27,Data!$I:$I,Info!$D27,Data!$H:$H,$P$1),0)</f>
        <v>0</v>
      </c>
      <c r="Q27" s="65">
        <f>IF(Table1[[#This Row],[Pick]]="","",IF(S27&gt;1,400,IF(G27="","",IF(C27="Passing",(400-Table1[[#This Row],[Passing Yards]]-(30*Table1[[#This Row],[Passing TDs]])-(50*SUM(Table1[[#This Row],[Rushing TDs]:[Other TD''s]]))),IF(C27="Rushing",2*(200-Table1[[#This Row],[Rushing Yards]]-(30*Table1[[#This Row],[Passing TDs]])-50*(Table1[[#This Row],[Rushing TDs]]+Table1[[#This Row],[Receiving TDs]]+Table1[[#This Row],[Other TD''s]])),IF(C27="Receiving",2*(200-Table1[[#This Row],[Receiving Yards]]-(30*Table1[[#This Row],[Passing TDs]])-50*(Table1[[#This Row],[Rushing TDs]]+Table1[[#This Row],[Receiving TDs]]+Table1[[#This Row],[Other TD''s]])),IF(C27="Defensive",(25*(16-Table1[[#This Row],[Tackles]]-(8*(Table1[[#This Row],[Other TD''s]]+Table1[[#This Row],[Interceptions]]+Table1[[#This Row],[Fumbles Recovered]])))))))))))</f>
        <v>400</v>
      </c>
      <c r="R27" s="3" t="str">
        <f t="shared" si="2"/>
        <v>GrantPassingNo Pick</v>
      </c>
      <c r="S27" s="4">
        <f t="shared" si="1"/>
        <v>1</v>
      </c>
      <c r="T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" spans="1:20" x14ac:dyDescent="0.25">
      <c r="A28" t="s">
        <v>62</v>
      </c>
      <c r="B28" s="28" t="s">
        <v>27</v>
      </c>
      <c r="C28" t="s">
        <v>6</v>
      </c>
      <c r="D28" t="str">
        <f>_xlfn.XLOOKUP(Table1[[#This Row],[Player]]&amp;Table1[[#This Row],[Week]]&amp;Table1[[#This Row],[Role]],'Google Form Transform'!$A:$A,'Google Form Transform'!E:E,"")</f>
        <v>No Pick</v>
      </c>
      <c r="E28" t="str">
        <f>_xlfn.XLOOKUP(Table1[[#This Row],[Player]]&amp;Table1[[#This Row],[Week]]&amp;Table1[[#This Row],[Role]],'Google Form Transform'!$A:$A,'Google Form Transform'!F:F,"")</f>
        <v>No Pick</v>
      </c>
      <c r="F28" t="str">
        <f>_xlfn.XLOOKUP(Table1[[#This Row],[Player]]&amp;Table1[[#This Row],[Week]]&amp;Table1[[#This Row],[Role]],'Google Form Transform'!$A:$A,'Google Form Transform'!G:G,"")</f>
        <v>No Pick</v>
      </c>
      <c r="G28" s="59">
        <f>SUMIFS(Table2[Stat],Table2[Stat Category],"passing",Table2[Stat Type],"YDS",Table2[Athlete],Table1[[#This Row],[Pick]],Table2[Week],Table1[[#This Row],[Week]])</f>
        <v>0</v>
      </c>
      <c r="H28" s="59">
        <f>SUMIFS(Table2[Stat],Table2[Stat Category],"rushing",Table2[Stat Type],"YDS",Table2[Athlete],Table1[[#This Row],[Pick]],Table2[Week],Table1[[#This Row],[Week]])</f>
        <v>0</v>
      </c>
      <c r="I28" s="59">
        <f>SUMIFS(Table2[Stat],Table2[Stat Category],"receiving",Table2[Stat Type],"YDS",Table2[Athlete],Table1[[#This Row],[Pick]],Table2[Week],Table1[[#This Row],[Week]])</f>
        <v>0</v>
      </c>
      <c r="J28" s="6">
        <f>IF(AND($C28="Rushing", $H28&lt;=0), 0, IF(AND($C28="Passing", $G$3&lt;=0), 0,IF(AND($C28="Receiving",$I28&lt;=0), 0,SUMIFS(Table2[Stat],Table2[Week],Table1[[#This Row],[Week]],Table2[Athlete],Table1[[#This Row],[Pick]],Table2[Stat Category],"passing",Table2[Stat Type],"TD"))))</f>
        <v>0</v>
      </c>
      <c r="K28" s="6">
        <f>IF(AND($C28="Rushing", $H28&lt;=0), 0, IF(AND($C28="Passing", $G$3&lt;=0), 0,IF(AND($C28="Receiving",$I28&lt;=0),0,SUMIFS(Table2[Stat],Table2[Week],Table1[[#This Row],[Week]],Table2[Athlete],Table1[[#This Row],[Pick]],Table2[Stat Category],"rushing",Table2[Stat Type],"TD"))))</f>
        <v>0</v>
      </c>
      <c r="L28" s="6">
        <f>IF(AND($C28="Rushing", $H28&lt;=0), 0, IF(AND($C28="Passing", $G$3&lt;=0), 0,IF(AND($C28="Receiving",$I28&lt;=0),0,SUMIFS(Table2[Stat],Table2[Week],Table1[[#This Row],[Week]],Table2[Athlete],Table1[[#This Row],[Pick]],Table2[Stat Category],"receiving",Table2[Stat Type],"TD"))))</f>
        <v>0</v>
      </c>
      <c r="M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" s="61">
        <f>SUMIFS(Data!$J:$J,Data!$A:$A,Info!$B28,Data!$G:$G,Info!$C28,Data!$I:$I,Info!$D28,Data!$H:$H,"TOT")</f>
        <v>0</v>
      </c>
      <c r="O28" s="61">
        <f>IF(C28="Defensive",SUMIFS(Data!$J:$J,Data!$A:$A,Info!$B28,Data!$I:$I,Info!$D28,Data!$H:$H,"INT"),0)</f>
        <v>0</v>
      </c>
      <c r="P28" s="61">
        <f>IF(Table1[[#This Row],[Role]]="Defensive",SUMIFS(Data!$J:$J,Data!$A:$A,Info!$B28,Data!$I:$I,Info!$D28,Data!$H:$H,$P$1),0)</f>
        <v>0</v>
      </c>
      <c r="Q28" s="65">
        <f>IF(Table1[[#This Row],[Pick]]="","",IF(S28&gt;1,400,IF(G28="","",IF(C28="Passing",(400-Table1[[#This Row],[Passing Yards]]-(30*Table1[[#This Row],[Passing TDs]])-(50*SUM(Table1[[#This Row],[Rushing TDs]:[Other TD''s]]))),IF(C28="Rushing",2*(200-Table1[[#This Row],[Rushing Yards]]-(30*Table1[[#This Row],[Passing TDs]])-50*(Table1[[#This Row],[Rushing TDs]]+Table1[[#This Row],[Receiving TDs]]+Table1[[#This Row],[Other TD''s]])),IF(C28="Receiving",2*(200-Table1[[#This Row],[Receiving Yards]]-(30*Table1[[#This Row],[Passing TDs]])-50*(Table1[[#This Row],[Rushing TDs]]+Table1[[#This Row],[Receiving TDs]]+Table1[[#This Row],[Other TD''s]])),IF(C28="Defensive",(25*(16-Table1[[#This Row],[Tackles]]-(8*(Table1[[#This Row],[Other TD''s]]+Table1[[#This Row],[Interceptions]]+Table1[[#This Row],[Fumbles Recovered]])))))))))))</f>
        <v>400</v>
      </c>
      <c r="R28" s="3" t="str">
        <f t="shared" si="2"/>
        <v>GrantRushingNo Pick</v>
      </c>
      <c r="S28" s="4">
        <f t="shared" si="1"/>
        <v>1</v>
      </c>
      <c r="T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" spans="1:20" x14ac:dyDescent="0.25">
      <c r="A29" t="s">
        <v>62</v>
      </c>
      <c r="B29" s="28" t="s">
        <v>27</v>
      </c>
      <c r="C29" t="s">
        <v>17</v>
      </c>
      <c r="D29" t="str">
        <f>_xlfn.XLOOKUP(Table1[[#This Row],[Player]]&amp;Table1[[#This Row],[Week]]&amp;Table1[[#This Row],[Role]],'Google Form Transform'!$A:$A,'Google Form Transform'!E:E,"")</f>
        <v>No Pick</v>
      </c>
      <c r="E29" t="str">
        <f>_xlfn.XLOOKUP(Table1[[#This Row],[Player]]&amp;Table1[[#This Row],[Week]]&amp;Table1[[#This Row],[Role]],'Google Form Transform'!$A:$A,'Google Form Transform'!F:F,"")</f>
        <v>No Pick</v>
      </c>
      <c r="F29" t="str">
        <f>_xlfn.XLOOKUP(Table1[[#This Row],[Player]]&amp;Table1[[#This Row],[Week]]&amp;Table1[[#This Row],[Role]],'Google Form Transform'!$A:$A,'Google Form Transform'!G:G,"")</f>
        <v>No Pick</v>
      </c>
      <c r="G29" s="59">
        <f>SUMIFS(Table2[Stat],Table2[Stat Category],"passing",Table2[Stat Type],"YDS",Table2[Athlete],Table1[[#This Row],[Pick]],Table2[Week],Table1[[#This Row],[Week]])</f>
        <v>0</v>
      </c>
      <c r="H29" s="59">
        <f>SUMIFS(Table2[Stat],Table2[Stat Category],"rushing",Table2[Stat Type],"YDS",Table2[Athlete],Table1[[#This Row],[Pick]],Table2[Week],Table1[[#This Row],[Week]])</f>
        <v>0</v>
      </c>
      <c r="I29" s="59">
        <f>SUMIFS(Table2[Stat],Table2[Stat Category],"receiving",Table2[Stat Type],"YDS",Table2[Athlete],Table1[[#This Row],[Pick]],Table2[Week],Table1[[#This Row],[Week]])</f>
        <v>0</v>
      </c>
      <c r="J29" s="6">
        <f>IF(AND($C29="Rushing", $H29&lt;=0), 0, IF(AND($C29="Passing", $G$3&lt;=0), 0,IF(AND($C29="Receiving",$I29&lt;=0), 0,SUMIFS(Table2[Stat],Table2[Week],Table1[[#This Row],[Week]],Table2[Athlete],Table1[[#This Row],[Pick]],Table2[Stat Category],"passing",Table2[Stat Type],"TD"))))</f>
        <v>0</v>
      </c>
      <c r="K29" s="6">
        <f>IF(AND($C29="Rushing", $H29&lt;=0), 0, IF(AND($C29="Passing", $G$3&lt;=0), 0,IF(AND($C29="Receiving",$I29&lt;=0),0,SUMIFS(Table2[Stat],Table2[Week],Table1[[#This Row],[Week]],Table2[Athlete],Table1[[#This Row],[Pick]],Table2[Stat Category],"rushing",Table2[Stat Type],"TD"))))</f>
        <v>0</v>
      </c>
      <c r="L29" s="6">
        <f>IF(AND($C29="Rushing", $H29&lt;=0), 0, IF(AND($C29="Passing", $G$3&lt;=0), 0,IF(AND($C29="Receiving",$I29&lt;=0),0,SUMIFS(Table2[Stat],Table2[Week],Table1[[#This Row],[Week]],Table2[Athlete],Table1[[#This Row],[Pick]],Table2[Stat Category],"receiving",Table2[Stat Type],"TD"))))</f>
        <v>0</v>
      </c>
      <c r="M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" s="61">
        <f>SUMIFS(Data!$J:$J,Data!$A:$A,Info!$B29,Data!$G:$G,Info!$C29,Data!$I:$I,Info!$D29,Data!$H:$H,"TOT")</f>
        <v>0</v>
      </c>
      <c r="O29" s="61">
        <f>IF(C29="Defensive",SUMIFS(Data!$J:$J,Data!$A:$A,Info!$B29,Data!$I:$I,Info!$D29,Data!$H:$H,"INT"),0)</f>
        <v>0</v>
      </c>
      <c r="P29" s="61">
        <f>IF(Table1[[#This Row],[Role]]="Defensive",SUMIFS(Data!$J:$J,Data!$A:$A,Info!$B29,Data!$I:$I,Info!$D29,Data!$H:$H,$P$1),0)</f>
        <v>0</v>
      </c>
      <c r="Q29" s="65">
        <f>IF(Table1[[#This Row],[Pick]]="","",IF(S29&gt;1,400,IF(G29="","",IF(C29="Passing",(400-Table1[[#This Row],[Passing Yards]]-(30*Table1[[#This Row],[Passing TDs]])-(50*SUM(Table1[[#This Row],[Rushing TDs]:[Other TD''s]]))),IF(C29="Rushing",2*(200-Table1[[#This Row],[Rushing Yards]]-(30*Table1[[#This Row],[Passing TDs]])-50*(Table1[[#This Row],[Rushing TDs]]+Table1[[#This Row],[Receiving TDs]]+Table1[[#This Row],[Other TD''s]])),IF(C29="Receiving",2*(200-Table1[[#This Row],[Receiving Yards]]-(30*Table1[[#This Row],[Passing TDs]])-50*(Table1[[#This Row],[Rushing TDs]]+Table1[[#This Row],[Receiving TDs]]+Table1[[#This Row],[Other TD''s]])),IF(C29="Defensive",(25*(16-Table1[[#This Row],[Tackles]]-(8*(Table1[[#This Row],[Other TD''s]]+Table1[[#This Row],[Interceptions]]+Table1[[#This Row],[Fumbles Recovered]])))))))))))</f>
        <v>400</v>
      </c>
      <c r="R29" s="3" t="str">
        <f t="shared" si="2"/>
        <v>GrantReceivingNo Pick</v>
      </c>
      <c r="S29" s="4">
        <f t="shared" si="1"/>
        <v>1</v>
      </c>
      <c r="T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" spans="1:20" x14ac:dyDescent="0.25">
      <c r="A30" t="s">
        <v>62</v>
      </c>
      <c r="B30" s="28" t="s">
        <v>27</v>
      </c>
      <c r="C30" t="s">
        <v>20</v>
      </c>
      <c r="D30" t="str">
        <f>_xlfn.XLOOKUP(Table1[[#This Row],[Player]]&amp;Table1[[#This Row],[Week]]&amp;Table1[[#This Row],[Role]],'Google Form Transform'!$A:$A,'Google Form Transform'!E:E,"")</f>
        <v>No Pick</v>
      </c>
      <c r="E30" t="str">
        <f>_xlfn.XLOOKUP(Table1[[#This Row],[Player]]&amp;Table1[[#This Row],[Week]]&amp;Table1[[#This Row],[Role]],'Google Form Transform'!$A:$A,'Google Form Transform'!F:F,"")</f>
        <v>No Pick</v>
      </c>
      <c r="F30" t="str">
        <f>_xlfn.XLOOKUP(Table1[[#This Row],[Player]]&amp;Table1[[#This Row],[Week]]&amp;Table1[[#This Row],[Role]],'Google Form Transform'!$A:$A,'Google Form Transform'!G:G,"")</f>
        <v>No Pick</v>
      </c>
      <c r="G30" s="59">
        <f>SUMIFS(Table2[Stat],Table2[Stat Category],"passing",Table2[Stat Type],"YDS",Table2[Athlete],Table1[[#This Row],[Pick]],Table2[Week],Table1[[#This Row],[Week]])</f>
        <v>0</v>
      </c>
      <c r="H30" s="59">
        <f>SUMIFS(Table2[Stat],Table2[Stat Category],"rushing",Table2[Stat Type],"YDS",Table2[Athlete],Table1[[#This Row],[Pick]],Table2[Week],Table1[[#This Row],[Week]])</f>
        <v>0</v>
      </c>
      <c r="I30" s="59">
        <f>SUMIFS(Table2[Stat],Table2[Stat Category],"receiving",Table2[Stat Type],"YDS",Table2[Athlete],Table1[[#This Row],[Pick]],Table2[Week],Table1[[#This Row],[Week]])</f>
        <v>0</v>
      </c>
      <c r="J30" s="6">
        <f>IF(AND($C30="Rushing", $H30&lt;=0), 0, IF(AND($C30="Passing", $G$3&lt;=0), 0,IF(AND($C30="Receiving",$I30&lt;=0), 0,SUMIFS(Table2[Stat],Table2[Week],Table1[[#This Row],[Week]],Table2[Athlete],Table1[[#This Row],[Pick]],Table2[Stat Category],"passing",Table2[Stat Type],"TD"))))</f>
        <v>0</v>
      </c>
      <c r="K30" s="6">
        <f>IF(AND($C30="Rushing", $H30&lt;=0), 0, IF(AND($C30="Passing", $G$3&lt;=0), 0,IF(AND($C30="Receiving",$I30&lt;=0),0,SUMIFS(Table2[Stat],Table2[Week],Table1[[#This Row],[Week]],Table2[Athlete],Table1[[#This Row],[Pick]],Table2[Stat Category],"rushing",Table2[Stat Type],"TD"))))</f>
        <v>0</v>
      </c>
      <c r="L30" s="6">
        <f>IF(AND($C30="Rushing", $H30&lt;=0), 0, IF(AND($C30="Passing", $G$3&lt;=0), 0,IF(AND($C30="Receiving",$I30&lt;=0),0,SUMIFS(Table2[Stat],Table2[Week],Table1[[#This Row],[Week]],Table2[Athlete],Table1[[#This Row],[Pick]],Table2[Stat Category],"receiving",Table2[Stat Type],"TD"))))</f>
        <v>0</v>
      </c>
      <c r="M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" s="61">
        <f>SUMIFS(Data!$J:$J,Data!$A:$A,Info!$B30,Data!$G:$G,Info!$C30,Data!$I:$I,Info!$D30,Data!$H:$H,"TOT")</f>
        <v>0</v>
      </c>
      <c r="O30" s="61">
        <f>IF(C30="Defensive",SUMIFS(Data!$J:$J,Data!$A:$A,Info!$B30,Data!$I:$I,Info!$D30,Data!$H:$H,"INT"),0)</f>
        <v>0</v>
      </c>
      <c r="P30" s="61">
        <f>IF(Table1[[#This Row],[Role]]="Defensive",SUMIFS(Data!$J:$J,Data!$A:$A,Info!$B30,Data!$I:$I,Info!$D30,Data!$H:$H,$P$1),0)</f>
        <v>0</v>
      </c>
      <c r="Q30" s="65">
        <f>IF(Table1[[#This Row],[Pick]]="","",IF(S30&gt;1,400,IF(G30="","",IF(C30="Passing",(400-Table1[[#This Row],[Passing Yards]]-(30*Table1[[#This Row],[Passing TDs]])-(50*SUM(Table1[[#This Row],[Rushing TDs]:[Other TD''s]]))),IF(C30="Rushing",2*(200-Table1[[#This Row],[Rushing Yards]]-(30*Table1[[#This Row],[Passing TDs]])-50*(Table1[[#This Row],[Rushing TDs]]+Table1[[#This Row],[Receiving TDs]]+Table1[[#This Row],[Other TD''s]])),IF(C30="Receiving",2*(200-Table1[[#This Row],[Receiving Yards]]-(30*Table1[[#This Row],[Passing TDs]])-50*(Table1[[#This Row],[Rushing TDs]]+Table1[[#This Row],[Receiving TDs]]+Table1[[#This Row],[Other TD''s]])),IF(C30="Defensive",(25*(16-Table1[[#This Row],[Tackles]]-(8*(Table1[[#This Row],[Other TD''s]]+Table1[[#This Row],[Interceptions]]+Table1[[#This Row],[Fumbles Recovered]])))))))))))</f>
        <v>400</v>
      </c>
      <c r="R30" s="3" t="str">
        <f t="shared" si="2"/>
        <v>GrantDefensiveNo Pick</v>
      </c>
      <c r="S30" s="4">
        <f t="shared" si="1"/>
        <v>1</v>
      </c>
      <c r="T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" spans="1:20" x14ac:dyDescent="0.25">
      <c r="A31" t="s">
        <v>59</v>
      </c>
      <c r="B31" s="28" t="s">
        <v>27</v>
      </c>
      <c r="C31" t="s">
        <v>16</v>
      </c>
      <c r="D31" t="str">
        <f>_xlfn.XLOOKUP(Table1[[#This Row],[Player]]&amp;Table1[[#This Row],[Week]]&amp;Table1[[#This Row],[Role]],'Google Form Transform'!$A:$A,'Google Form Transform'!E:E,"")</f>
        <v>Blake Shapen</v>
      </c>
      <c r="E31" t="str">
        <f>_xlfn.XLOOKUP(Table1[[#This Row],[Player]]&amp;Table1[[#This Row],[Week]]&amp;Table1[[#This Row],[Role]],'Google Form Transform'!$A:$A,'Google Form Transform'!F:F,"")</f>
        <v>Mississippi State</v>
      </c>
      <c r="F31" t="str">
        <f>_xlfn.XLOOKUP(Table1[[#This Row],[Player]]&amp;Table1[[#This Row],[Week]]&amp;Table1[[#This Row],[Role]],'Google Form Transform'!$A:$A,'Google Form Transform'!G:G,"")</f>
        <v>Southern Miss</v>
      </c>
      <c r="G31" s="59">
        <f>SUMIFS(Table2[Stat],Table2[Stat Category],"passing",Table2[Stat Type],"YDS",Table2[Athlete],Table1[[#This Row],[Pick]],Table2[Week],Table1[[#This Row],[Week]])</f>
        <v>270</v>
      </c>
      <c r="H31" s="59">
        <f>SUMIFS(Table2[Stat],Table2[Stat Category],"rushing",Table2[Stat Type],"YDS",Table2[Athlete],Table1[[#This Row],[Pick]],Table2[Week],Table1[[#This Row],[Week]])</f>
        <v>5</v>
      </c>
      <c r="I31" s="59">
        <f>SUMIFS(Table2[Stat],Table2[Stat Category],"receiving",Table2[Stat Type],"YDS",Table2[Athlete],Table1[[#This Row],[Pick]],Table2[Week],Table1[[#This Row],[Week]])</f>
        <v>0</v>
      </c>
      <c r="J31" s="6">
        <f>IF(AND($C31="Rushing", $H31&lt;=0), 0, IF(AND($C31="Passing", $G$3&lt;=0), 0,IF(AND($C31="Receiving",$I31&lt;=0), 0,SUMIFS(Table2[Stat],Table2[Week],Table1[[#This Row],[Week]],Table2[Athlete],Table1[[#This Row],[Pick]],Table2[Stat Category],"passing",Table2[Stat Type],"TD"))))</f>
        <v>1</v>
      </c>
      <c r="K31" s="6">
        <f>IF(AND($C31="Rushing", $H31&lt;=0), 0, IF(AND($C31="Passing", $G$3&lt;=0), 0,IF(AND($C31="Receiving",$I31&lt;=0),0,SUMIFS(Table2[Stat],Table2[Week],Table1[[#This Row],[Week]],Table2[Athlete],Table1[[#This Row],[Pick]],Table2[Stat Category],"rushing",Table2[Stat Type],"TD"))))</f>
        <v>0</v>
      </c>
      <c r="L31" s="6">
        <f>IF(AND($C31="Rushing", $H31&lt;=0), 0, IF(AND($C31="Passing", $G$3&lt;=0), 0,IF(AND($C31="Receiving",$I31&lt;=0),0,SUMIFS(Table2[Stat],Table2[Week],Table1[[#This Row],[Week]],Table2[Athlete],Table1[[#This Row],[Pick]],Table2[Stat Category],"receiving",Table2[Stat Type],"TD"))))</f>
        <v>0</v>
      </c>
      <c r="M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" s="61">
        <f>SUMIFS(Data!$J:$J,Data!$A:$A,Info!$B31,Data!$G:$G,Info!$C31,Data!$I:$I,Info!$D31,Data!$H:$H,"TOT")</f>
        <v>0</v>
      </c>
      <c r="O31" s="61">
        <f>IF(C31="Defensive",SUMIFS(Data!$J:$J,Data!$A:$A,Info!$B31,Data!$I:$I,Info!$D31,Data!$H:$H,"INT"),0)</f>
        <v>0</v>
      </c>
      <c r="P31" s="61">
        <f>IF(Table1[[#This Row],[Role]]="Defensive",SUMIFS(Data!$J:$J,Data!$A:$A,Info!$B31,Data!$I:$I,Info!$D31,Data!$H:$H,$P$1),0)</f>
        <v>0</v>
      </c>
      <c r="Q31" s="65">
        <f>IF(Table1[[#This Row],[Pick]]="","",IF(S31&gt;1,400,IF(G31="","",IF(C31="Passing",(400-Table1[[#This Row],[Passing Yards]]-(30*Table1[[#This Row],[Passing TDs]])-(50*SUM(Table1[[#This Row],[Rushing TDs]:[Other TD''s]]))),IF(C31="Rushing",2*(200-Table1[[#This Row],[Rushing Yards]]-(30*Table1[[#This Row],[Passing TDs]])-50*(Table1[[#This Row],[Rushing TDs]]+Table1[[#This Row],[Receiving TDs]]+Table1[[#This Row],[Other TD''s]])),IF(C31="Receiving",2*(200-Table1[[#This Row],[Receiving Yards]]-(30*Table1[[#This Row],[Passing TDs]])-50*(Table1[[#This Row],[Rushing TDs]]+Table1[[#This Row],[Receiving TDs]]+Table1[[#This Row],[Other TD''s]])),IF(C31="Defensive",(25*(16-Table1[[#This Row],[Tackles]]-(8*(Table1[[#This Row],[Other TD''s]]+Table1[[#This Row],[Interceptions]]+Table1[[#This Row],[Fumbles Recovered]])))))))))))</f>
        <v>100</v>
      </c>
      <c r="R31" s="3" t="str">
        <f t="shared" si="2"/>
        <v>Mike G.PassingBlake Shapen</v>
      </c>
      <c r="S31" s="4">
        <f t="shared" si="1"/>
        <v>1</v>
      </c>
      <c r="T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270</v>
      </c>
    </row>
    <row r="32" spans="1:20" x14ac:dyDescent="0.25">
      <c r="A32" t="s">
        <v>59</v>
      </c>
      <c r="B32" s="28" t="s">
        <v>27</v>
      </c>
      <c r="C32" t="s">
        <v>6</v>
      </c>
      <c r="D32" t="str">
        <f>_xlfn.XLOOKUP(Table1[[#This Row],[Player]]&amp;Table1[[#This Row],[Week]]&amp;Table1[[#This Row],[Role]],'Google Form Transform'!$A:$A,'Google Form Transform'!E:E,"")</f>
        <v>Devin Mockobee</v>
      </c>
      <c r="E32" t="str">
        <f>_xlfn.XLOOKUP(Table1[[#This Row],[Player]]&amp;Table1[[#This Row],[Week]]&amp;Table1[[#This Row],[Role]],'Google Form Transform'!$A:$A,'Google Form Transform'!F:F,"")</f>
        <v>Purdue</v>
      </c>
      <c r="F32" t="str">
        <f>_xlfn.XLOOKUP(Table1[[#This Row],[Player]]&amp;Table1[[#This Row],[Week]]&amp;Table1[[#This Row],[Role]],'Google Form Transform'!$A:$A,'Google Form Transform'!G:G,"")</f>
        <v>Ball State</v>
      </c>
      <c r="G32" s="59">
        <f>SUMIFS(Table2[Stat],Table2[Stat Category],"passing",Table2[Stat Type],"YDS",Table2[Athlete],Table1[[#This Row],[Pick]],Table2[Week],Table1[[#This Row],[Week]])</f>
        <v>0</v>
      </c>
      <c r="H32" s="59">
        <f>SUMIFS(Table2[Stat],Table2[Stat Category],"rushing",Table2[Stat Type],"YDS",Table2[Athlete],Table1[[#This Row],[Pick]],Table2[Week],Table1[[#This Row],[Week]])</f>
        <v>59</v>
      </c>
      <c r="I32" s="59">
        <f>SUMIFS(Table2[Stat],Table2[Stat Category],"receiving",Table2[Stat Type],"YDS",Table2[Athlete],Table1[[#This Row],[Pick]],Table2[Week],Table1[[#This Row],[Week]])</f>
        <v>45</v>
      </c>
      <c r="J32" s="6">
        <f>IF(AND($C32="Rushing", $H32&lt;=0), 0, IF(AND($C32="Passing", $G$3&lt;=0), 0,IF(AND($C32="Receiving",$I32&lt;=0), 0,SUMIFS(Table2[Stat],Table2[Week],Table1[[#This Row],[Week]],Table2[Athlete],Table1[[#This Row],[Pick]],Table2[Stat Category],"passing",Table2[Stat Type],"TD"))))</f>
        <v>0</v>
      </c>
      <c r="K32" s="6">
        <f>IF(AND($C32="Rushing", $H32&lt;=0), 0, IF(AND($C32="Passing", $G$3&lt;=0), 0,IF(AND($C32="Receiving",$I32&lt;=0),0,SUMIFS(Table2[Stat],Table2[Week],Table1[[#This Row],[Week]],Table2[Athlete],Table1[[#This Row],[Pick]],Table2[Stat Category],"rushing",Table2[Stat Type],"TD"))))</f>
        <v>1</v>
      </c>
      <c r="L32" s="6">
        <f>IF(AND($C32="Rushing", $H32&lt;=0), 0, IF(AND($C32="Passing", $G$3&lt;=0), 0,IF(AND($C32="Receiving",$I32&lt;=0),0,SUMIFS(Table2[Stat],Table2[Week],Table1[[#This Row],[Week]],Table2[Athlete],Table1[[#This Row],[Pick]],Table2[Stat Category],"receiving",Table2[Stat Type],"TD"))))</f>
        <v>0</v>
      </c>
      <c r="M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" s="61">
        <f>SUMIFS(Data!$J:$J,Data!$A:$A,Info!$B32,Data!$G:$G,Info!$C32,Data!$I:$I,Info!$D32,Data!$H:$H,"TOT")</f>
        <v>0</v>
      </c>
      <c r="O32" s="61">
        <f>IF(C32="Defensive",SUMIFS(Data!$J:$J,Data!$A:$A,Info!$B32,Data!$I:$I,Info!$D32,Data!$H:$H,"INT"),0)</f>
        <v>0</v>
      </c>
      <c r="P32" s="61">
        <f>IF(Table1[[#This Row],[Role]]="Defensive",SUMIFS(Data!$J:$J,Data!$A:$A,Info!$B32,Data!$I:$I,Info!$D32,Data!$H:$H,$P$1),0)</f>
        <v>0</v>
      </c>
      <c r="Q32" s="65">
        <f>IF(Table1[[#This Row],[Pick]]="","",IF(S32&gt;1,400,IF(G32="","",IF(C32="Passing",(400-Table1[[#This Row],[Passing Yards]]-(30*Table1[[#This Row],[Passing TDs]])-(50*SUM(Table1[[#This Row],[Rushing TDs]:[Other TD''s]]))),IF(C32="Rushing",2*(200-Table1[[#This Row],[Rushing Yards]]-(30*Table1[[#This Row],[Passing TDs]])-50*(Table1[[#This Row],[Rushing TDs]]+Table1[[#This Row],[Receiving TDs]]+Table1[[#This Row],[Other TD''s]])),IF(C32="Receiving",2*(200-Table1[[#This Row],[Receiving Yards]]-(30*Table1[[#This Row],[Passing TDs]])-50*(Table1[[#This Row],[Rushing TDs]]+Table1[[#This Row],[Receiving TDs]]+Table1[[#This Row],[Other TD''s]])),IF(C32="Defensive",(25*(16-Table1[[#This Row],[Tackles]]-(8*(Table1[[#This Row],[Other TD''s]]+Table1[[#This Row],[Interceptions]]+Table1[[#This Row],[Fumbles Recovered]])))))))))))</f>
        <v>182</v>
      </c>
      <c r="R32" s="3" t="str">
        <f t="shared" si="2"/>
        <v>Mike G.RushingDevin Mockobee</v>
      </c>
      <c r="S32" s="4">
        <f t="shared" si="1"/>
        <v>1</v>
      </c>
      <c r="T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59</v>
      </c>
    </row>
    <row r="33" spans="1:20" x14ac:dyDescent="0.25">
      <c r="A33" t="s">
        <v>59</v>
      </c>
      <c r="B33" s="28" t="s">
        <v>27</v>
      </c>
      <c r="C33" t="s">
        <v>17</v>
      </c>
      <c r="D33" t="str">
        <f>_xlfn.XLOOKUP(Table1[[#This Row],[Player]]&amp;Table1[[#This Row],[Week]]&amp;Table1[[#This Row],[Role]],'Google Form Transform'!$A:$A,'Google Form Transform'!E:E,"")</f>
        <v>Kenny Odom</v>
      </c>
      <c r="E33" t="str">
        <f>_xlfn.XLOOKUP(Table1[[#This Row],[Player]]&amp;Table1[[#This Row],[Week]]&amp;Table1[[#This Row],[Role]],'Google Form Transform'!$A:$A,'Google Form Transform'!F:F,"")</f>
        <v>UTEP</v>
      </c>
      <c r="F33" t="str">
        <f>_xlfn.XLOOKUP(Table1[[#This Row],[Player]]&amp;Table1[[#This Row],[Week]]&amp;Table1[[#This Row],[Role]],'Google Form Transform'!$A:$A,'Google Form Transform'!G:G,"")</f>
        <v>Texas State</v>
      </c>
      <c r="G33" s="59">
        <f>SUMIFS(Table2[Stat],Table2[Stat Category],"passing",Table2[Stat Type],"YDS",Table2[Athlete],Table1[[#This Row],[Pick]],Table2[Week],Table1[[#This Row],[Week]])</f>
        <v>0</v>
      </c>
      <c r="H33" s="59">
        <f>SUMIFS(Table2[Stat],Table2[Stat Category],"rushing",Table2[Stat Type],"YDS",Table2[Athlete],Table1[[#This Row],[Pick]],Table2[Week],Table1[[#This Row],[Week]])</f>
        <v>16</v>
      </c>
      <c r="I33" s="59">
        <f>SUMIFS(Table2[Stat],Table2[Stat Category],"receiving",Table2[Stat Type],"YDS",Table2[Athlete],Table1[[#This Row],[Pick]],Table2[Week],Table1[[#This Row],[Week]])</f>
        <v>97</v>
      </c>
      <c r="J33" s="6">
        <f>IF(AND($C33="Rushing", $H33&lt;=0), 0, IF(AND($C33="Passing", $G$3&lt;=0), 0,IF(AND($C33="Receiving",$I33&lt;=0), 0,SUMIFS(Table2[Stat],Table2[Week],Table1[[#This Row],[Week]],Table2[Athlete],Table1[[#This Row],[Pick]],Table2[Stat Category],"passing",Table2[Stat Type],"TD"))))</f>
        <v>0</v>
      </c>
      <c r="K33" s="6">
        <f>IF(AND($C33="Rushing", $H33&lt;=0), 0, IF(AND($C33="Passing", $G$3&lt;=0), 0,IF(AND($C33="Receiving",$I33&lt;=0),0,SUMIFS(Table2[Stat],Table2[Week],Table1[[#This Row],[Week]],Table2[Athlete],Table1[[#This Row],[Pick]],Table2[Stat Category],"rushing",Table2[Stat Type],"TD"))))</f>
        <v>0</v>
      </c>
      <c r="L33" s="6">
        <f>IF(AND($C33="Rushing", $H33&lt;=0), 0, IF(AND($C33="Passing", $G$3&lt;=0), 0,IF(AND($C33="Receiving",$I33&lt;=0),0,SUMIFS(Table2[Stat],Table2[Week],Table1[[#This Row],[Week]],Table2[Athlete],Table1[[#This Row],[Pick]],Table2[Stat Category],"receiving",Table2[Stat Type],"TD"))))</f>
        <v>1</v>
      </c>
      <c r="M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" s="61">
        <f>SUMIFS(Data!$J:$J,Data!$A:$A,Info!$B33,Data!$G:$G,Info!$C33,Data!$I:$I,Info!$D33,Data!$H:$H,"TOT")</f>
        <v>0</v>
      </c>
      <c r="O33" s="61">
        <f>IF(C33="Defensive",SUMIFS(Data!$J:$J,Data!$A:$A,Info!$B33,Data!$I:$I,Info!$D33,Data!$H:$H,"INT"),0)</f>
        <v>0</v>
      </c>
      <c r="P33" s="61">
        <f>IF(Table1[[#This Row],[Role]]="Defensive",SUMIFS(Data!$J:$J,Data!$A:$A,Info!$B33,Data!$I:$I,Info!$D33,Data!$H:$H,$P$1),0)</f>
        <v>0</v>
      </c>
      <c r="Q33" s="65">
        <f>IF(Table1[[#This Row],[Pick]]="","",IF(S33&gt;1,400,IF(G33="","",IF(C33="Passing",(400-Table1[[#This Row],[Passing Yards]]-(30*Table1[[#This Row],[Passing TDs]])-(50*SUM(Table1[[#This Row],[Rushing TDs]:[Other TD''s]]))),IF(C33="Rushing",2*(200-Table1[[#This Row],[Rushing Yards]]-(30*Table1[[#This Row],[Passing TDs]])-50*(Table1[[#This Row],[Rushing TDs]]+Table1[[#This Row],[Receiving TDs]]+Table1[[#This Row],[Other TD''s]])),IF(C33="Receiving",2*(200-Table1[[#This Row],[Receiving Yards]]-(30*Table1[[#This Row],[Passing TDs]])-50*(Table1[[#This Row],[Rushing TDs]]+Table1[[#This Row],[Receiving TDs]]+Table1[[#This Row],[Other TD''s]])),IF(C33="Defensive",(25*(16-Table1[[#This Row],[Tackles]]-(8*(Table1[[#This Row],[Other TD''s]]+Table1[[#This Row],[Interceptions]]+Table1[[#This Row],[Fumbles Recovered]])))))))))))</f>
        <v>106</v>
      </c>
      <c r="R33" s="3" t="str">
        <f t="shared" si="2"/>
        <v>Mike G.ReceivingKenny Odom</v>
      </c>
      <c r="S33" s="4">
        <f t="shared" si="1"/>
        <v>1</v>
      </c>
      <c r="T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97</v>
      </c>
    </row>
    <row r="34" spans="1:20" x14ac:dyDescent="0.25">
      <c r="A34" t="s">
        <v>59</v>
      </c>
      <c r="B34" s="28" t="s">
        <v>27</v>
      </c>
      <c r="C34" t="s">
        <v>20</v>
      </c>
      <c r="D34" t="str">
        <f>_xlfn.XLOOKUP(Table1[[#This Row],[Player]]&amp;Table1[[#This Row],[Week]]&amp;Table1[[#This Row],[Role]],'Google Form Transform'!$A:$A,'Google Form Transform'!E:E,"")</f>
        <v>Mac Uihlein</v>
      </c>
      <c r="E34" t="str">
        <f>_xlfn.XLOOKUP(Table1[[#This Row],[Player]]&amp;Table1[[#This Row],[Week]]&amp;Table1[[#This Row],[Role]],'Google Form Transform'!$A:$A,'Google Form Transform'!F:F,"")</f>
        <v>Northwestern</v>
      </c>
      <c r="F34" t="str">
        <f>_xlfn.XLOOKUP(Table1[[#This Row],[Player]]&amp;Table1[[#This Row],[Week]]&amp;Table1[[#This Row],[Role]],'Google Form Transform'!$A:$A,'Google Form Transform'!G:G,"")</f>
        <v>Tulane</v>
      </c>
      <c r="G34" s="59">
        <f>SUMIFS(Table2[Stat],Table2[Stat Category],"passing",Table2[Stat Type],"YDS",Table2[Athlete],Table1[[#This Row],[Pick]],Table2[Week],Table1[[#This Row],[Week]])</f>
        <v>0</v>
      </c>
      <c r="H34" s="59">
        <f>SUMIFS(Table2[Stat],Table2[Stat Category],"rushing",Table2[Stat Type],"YDS",Table2[Athlete],Table1[[#This Row],[Pick]],Table2[Week],Table1[[#This Row],[Week]])</f>
        <v>0</v>
      </c>
      <c r="I34" s="59">
        <f>SUMIFS(Table2[Stat],Table2[Stat Category],"receiving",Table2[Stat Type],"YDS",Table2[Athlete],Table1[[#This Row],[Pick]],Table2[Week],Table1[[#This Row],[Week]])</f>
        <v>0</v>
      </c>
      <c r="J34" s="6">
        <f>IF(AND($C34="Rushing", $H34&lt;=0), 0, IF(AND($C34="Passing", $G$3&lt;=0), 0,IF(AND($C34="Receiving",$I34&lt;=0), 0,SUMIFS(Table2[Stat],Table2[Week],Table1[[#This Row],[Week]],Table2[Athlete],Table1[[#This Row],[Pick]],Table2[Stat Category],"passing",Table2[Stat Type],"TD"))))</f>
        <v>0</v>
      </c>
      <c r="K34" s="6">
        <f>IF(AND($C34="Rushing", $H34&lt;=0), 0, IF(AND($C34="Passing", $G$3&lt;=0), 0,IF(AND($C34="Receiving",$I34&lt;=0),0,SUMIFS(Table2[Stat],Table2[Week],Table1[[#This Row],[Week]],Table2[Athlete],Table1[[#This Row],[Pick]],Table2[Stat Category],"rushing",Table2[Stat Type],"TD"))))</f>
        <v>0</v>
      </c>
      <c r="L34" s="6">
        <f>IF(AND($C34="Rushing", $H34&lt;=0), 0, IF(AND($C34="Passing", $G$3&lt;=0), 0,IF(AND($C34="Receiving",$I34&lt;=0),0,SUMIFS(Table2[Stat],Table2[Week],Table1[[#This Row],[Week]],Table2[Athlete],Table1[[#This Row],[Pick]],Table2[Stat Category],"receiving",Table2[Stat Type],"TD"))))</f>
        <v>0</v>
      </c>
      <c r="M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" s="61">
        <f>SUMIFS(Data!$J:$J,Data!$A:$A,Info!$B34,Data!$G:$G,Info!$C34,Data!$I:$I,Info!$D34,Data!$H:$H,"TOT")</f>
        <v>9</v>
      </c>
      <c r="O34" s="61">
        <f>IF(C34="Defensive",SUMIFS(Data!$J:$J,Data!$A:$A,Info!$B34,Data!$I:$I,Info!$D34,Data!$H:$H,"INT"),0)</f>
        <v>0</v>
      </c>
      <c r="P34" s="61">
        <f>IF(Table1[[#This Row],[Role]]="Defensive",SUMIFS(Data!$J:$J,Data!$A:$A,Info!$B34,Data!$I:$I,Info!$D34,Data!$H:$H,$P$1),0)</f>
        <v>0</v>
      </c>
      <c r="Q34" s="65">
        <f>IF(Table1[[#This Row],[Pick]]="","",IF(S34&gt;1,400,IF(G34="","",IF(C34="Passing",(400-Table1[[#This Row],[Passing Yards]]-(30*Table1[[#This Row],[Passing TDs]])-(50*SUM(Table1[[#This Row],[Rushing TDs]:[Other TD''s]]))),IF(C34="Rushing",2*(200-Table1[[#This Row],[Rushing Yards]]-(30*Table1[[#This Row],[Passing TDs]])-50*(Table1[[#This Row],[Rushing TDs]]+Table1[[#This Row],[Receiving TDs]]+Table1[[#This Row],[Other TD''s]])),IF(C34="Receiving",2*(200-Table1[[#This Row],[Receiving Yards]]-(30*Table1[[#This Row],[Passing TDs]])-50*(Table1[[#This Row],[Rushing TDs]]+Table1[[#This Row],[Receiving TDs]]+Table1[[#This Row],[Other TD''s]])),IF(C34="Defensive",(25*(16-Table1[[#This Row],[Tackles]]-(8*(Table1[[#This Row],[Other TD''s]]+Table1[[#This Row],[Interceptions]]+Table1[[#This Row],[Fumbles Recovered]])))))))))))</f>
        <v>175</v>
      </c>
      <c r="R34" s="3" t="str">
        <f t="shared" si="2"/>
        <v>Mike G.DefensiveMac Uihlein</v>
      </c>
      <c r="S34" s="4">
        <f t="shared" si="1"/>
        <v>1</v>
      </c>
      <c r="T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9</v>
      </c>
    </row>
    <row r="35" spans="1:20" x14ac:dyDescent="0.25">
      <c r="A35" t="s">
        <v>68</v>
      </c>
      <c r="B35" s="28" t="s">
        <v>27</v>
      </c>
      <c r="C35" t="s">
        <v>16</v>
      </c>
      <c r="D35" t="str">
        <f>_xlfn.XLOOKUP(Table1[[#This Row],[Player]]&amp;Table1[[#This Row],[Week]]&amp;Table1[[#This Row],[Role]],'Google Form Transform'!$A:$A,'Google Form Transform'!E:E,"")</f>
        <v>Josh Hoover</v>
      </c>
      <c r="E35" t="str">
        <f>_xlfn.XLOOKUP(Table1[[#This Row],[Player]]&amp;Table1[[#This Row],[Week]]&amp;Table1[[#This Row],[Role]],'Google Form Transform'!$A:$A,'Google Form Transform'!F:F,"")</f>
        <v>TCU</v>
      </c>
      <c r="F35" t="str">
        <f>_xlfn.XLOOKUP(Table1[[#This Row],[Player]]&amp;Table1[[#This Row],[Week]]&amp;Table1[[#This Row],[Role]],'Google Form Transform'!$A:$A,'Google Form Transform'!G:G,"")</f>
        <v>North Carolina</v>
      </c>
      <c r="G35" s="59">
        <f>SUMIFS(Table2[Stat],Table2[Stat Category],"passing",Table2[Stat Type],"YDS",Table2[Athlete],Table1[[#This Row],[Pick]],Table2[Week],Table1[[#This Row],[Week]])</f>
        <v>284</v>
      </c>
      <c r="H35" s="59">
        <f>SUMIFS(Table2[Stat],Table2[Stat Category],"rushing",Table2[Stat Type],"YDS",Table2[Athlete],Table1[[#This Row],[Pick]],Table2[Week],Table1[[#This Row],[Week]])</f>
        <v>3</v>
      </c>
      <c r="I35" s="59">
        <f>SUMIFS(Table2[Stat],Table2[Stat Category],"receiving",Table2[Stat Type],"YDS",Table2[Athlete],Table1[[#This Row],[Pick]],Table2[Week],Table1[[#This Row],[Week]])</f>
        <v>0</v>
      </c>
      <c r="J35" s="6">
        <f>IF(AND($C35="Rushing", $H35&lt;=0), 0, IF(AND($C35="Passing", $G$3&lt;=0), 0,IF(AND($C35="Receiving",$I35&lt;=0), 0,SUMIFS(Table2[Stat],Table2[Week],Table1[[#This Row],[Week]],Table2[Athlete],Table1[[#This Row],[Pick]],Table2[Stat Category],"passing",Table2[Stat Type],"TD"))))</f>
        <v>2</v>
      </c>
      <c r="K35" s="6">
        <f>IF(AND($C35="Rushing", $H35&lt;=0), 0, IF(AND($C35="Passing", $G$3&lt;=0), 0,IF(AND($C35="Receiving",$I35&lt;=0),0,SUMIFS(Table2[Stat],Table2[Week],Table1[[#This Row],[Week]],Table2[Athlete],Table1[[#This Row],[Pick]],Table2[Stat Category],"rushing",Table2[Stat Type],"TD"))))</f>
        <v>0</v>
      </c>
      <c r="L35" s="6">
        <f>IF(AND($C35="Rushing", $H35&lt;=0), 0, IF(AND($C35="Passing", $G$3&lt;=0), 0,IF(AND($C35="Receiving",$I35&lt;=0),0,SUMIFS(Table2[Stat],Table2[Week],Table1[[#This Row],[Week]],Table2[Athlete],Table1[[#This Row],[Pick]],Table2[Stat Category],"receiving",Table2[Stat Type],"TD"))))</f>
        <v>0</v>
      </c>
      <c r="M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" s="61">
        <f>SUMIFS(Data!$J:$J,Data!$A:$A,Info!$B35,Data!$G:$G,Info!$C35,Data!$I:$I,Info!$D35,Data!$H:$H,"TOT")</f>
        <v>0</v>
      </c>
      <c r="O35" s="61">
        <f>IF(C35="Defensive",SUMIFS(Data!$J:$J,Data!$A:$A,Info!$B35,Data!$I:$I,Info!$D35,Data!$H:$H,"INT"),0)</f>
        <v>0</v>
      </c>
      <c r="P35" s="61">
        <f>IF(Table1[[#This Row],[Role]]="Defensive",SUMIFS(Data!$J:$J,Data!$A:$A,Info!$B35,Data!$I:$I,Info!$D35,Data!$H:$H,$P$1),0)</f>
        <v>0</v>
      </c>
      <c r="Q35" s="65">
        <f>IF(Table1[[#This Row],[Pick]]="","",IF(S35&gt;1,400,IF(G35="","",IF(C35="Passing",(400-Table1[[#This Row],[Passing Yards]]-(30*Table1[[#This Row],[Passing TDs]])-(50*SUM(Table1[[#This Row],[Rushing TDs]:[Other TD''s]]))),IF(C35="Rushing",2*(200-Table1[[#This Row],[Rushing Yards]]-(30*Table1[[#This Row],[Passing TDs]])-50*(Table1[[#This Row],[Rushing TDs]]+Table1[[#This Row],[Receiving TDs]]+Table1[[#This Row],[Other TD''s]])),IF(C35="Receiving",2*(200-Table1[[#This Row],[Receiving Yards]]-(30*Table1[[#This Row],[Passing TDs]])-50*(Table1[[#This Row],[Rushing TDs]]+Table1[[#This Row],[Receiving TDs]]+Table1[[#This Row],[Other TD''s]])),IF(C35="Defensive",(25*(16-Table1[[#This Row],[Tackles]]-(8*(Table1[[#This Row],[Other TD''s]]+Table1[[#This Row],[Interceptions]]+Table1[[#This Row],[Fumbles Recovered]])))))))))))</f>
        <v>56</v>
      </c>
      <c r="R35" s="3" t="str">
        <f t="shared" si="2"/>
        <v>SamPassingJosh Hoover</v>
      </c>
      <c r="S35" s="4">
        <f t="shared" si="1"/>
        <v>1</v>
      </c>
      <c r="T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284</v>
      </c>
    </row>
    <row r="36" spans="1:20" x14ac:dyDescent="0.25">
      <c r="A36" t="s">
        <v>68</v>
      </c>
      <c r="B36" s="28" t="s">
        <v>27</v>
      </c>
      <c r="C36" t="s">
        <v>6</v>
      </c>
      <c r="D36" t="str">
        <f>_xlfn.XLOOKUP(Table1[[#This Row],[Player]]&amp;Table1[[#This Row],[Week]]&amp;Table1[[#This Row],[Role]],'Google Form Transform'!$A:$A,'Google Form Transform'!E:E,"")</f>
        <v>Anthony Hankerson</v>
      </c>
      <c r="E36" t="str">
        <f>_xlfn.XLOOKUP(Table1[[#This Row],[Player]]&amp;Table1[[#This Row],[Week]]&amp;Table1[[#This Row],[Role]],'Google Form Transform'!$A:$A,'Google Form Transform'!F:F,"")</f>
        <v>Oregon State</v>
      </c>
      <c r="F36" t="str">
        <f>_xlfn.XLOOKUP(Table1[[#This Row],[Player]]&amp;Table1[[#This Row],[Week]]&amp;Table1[[#This Row],[Role]],'Google Form Transform'!$A:$A,'Google Form Transform'!G:G,"")</f>
        <v>California</v>
      </c>
      <c r="G36" s="59">
        <f>SUMIFS(Table2[Stat],Table2[Stat Category],"passing",Table2[Stat Type],"YDS",Table2[Athlete],Table1[[#This Row],[Pick]],Table2[Week],Table1[[#This Row],[Week]])</f>
        <v>0</v>
      </c>
      <c r="H36" s="59">
        <f>SUMIFS(Table2[Stat],Table2[Stat Category],"rushing",Table2[Stat Type],"YDS",Table2[Athlete],Table1[[#This Row],[Pick]],Table2[Week],Table1[[#This Row],[Week]])</f>
        <v>42</v>
      </c>
      <c r="I36" s="59">
        <f>SUMIFS(Table2[Stat],Table2[Stat Category],"receiving",Table2[Stat Type],"YDS",Table2[Athlete],Table1[[#This Row],[Pick]],Table2[Week],Table1[[#This Row],[Week]])</f>
        <v>22</v>
      </c>
      <c r="J36" s="6">
        <f>IF(AND($C36="Rushing", $H36&lt;=0), 0, IF(AND($C36="Passing", $G$3&lt;=0), 0,IF(AND($C36="Receiving",$I36&lt;=0), 0,SUMIFS(Table2[Stat],Table2[Week],Table1[[#This Row],[Week]],Table2[Athlete],Table1[[#This Row],[Pick]],Table2[Stat Category],"passing",Table2[Stat Type],"TD"))))</f>
        <v>0</v>
      </c>
      <c r="K36" s="6">
        <f>IF(AND($C36="Rushing", $H36&lt;=0), 0, IF(AND($C36="Passing", $G$3&lt;=0), 0,IF(AND($C36="Receiving",$I36&lt;=0),0,SUMIFS(Table2[Stat],Table2[Week],Table1[[#This Row],[Week]],Table2[Athlete],Table1[[#This Row],[Pick]],Table2[Stat Category],"rushing",Table2[Stat Type],"TD"))))</f>
        <v>1</v>
      </c>
      <c r="L36" s="6">
        <f>IF(AND($C36="Rushing", $H36&lt;=0), 0, IF(AND($C36="Passing", $G$3&lt;=0), 0,IF(AND($C36="Receiving",$I36&lt;=0),0,SUMIFS(Table2[Stat],Table2[Week],Table1[[#This Row],[Week]],Table2[Athlete],Table1[[#This Row],[Pick]],Table2[Stat Category],"receiving",Table2[Stat Type],"TD"))))</f>
        <v>0</v>
      </c>
      <c r="M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" s="61">
        <f>SUMIFS(Data!$J:$J,Data!$A:$A,Info!$B36,Data!$G:$G,Info!$C36,Data!$I:$I,Info!$D36,Data!$H:$H,"TOT")</f>
        <v>0</v>
      </c>
      <c r="O36" s="61">
        <f>IF(C36="Defensive",SUMIFS(Data!$J:$J,Data!$A:$A,Info!$B36,Data!$I:$I,Info!$D36,Data!$H:$H,"INT"),0)</f>
        <v>0</v>
      </c>
      <c r="P36" s="61">
        <f>IF(Table1[[#This Row],[Role]]="Defensive",SUMIFS(Data!$J:$J,Data!$A:$A,Info!$B36,Data!$I:$I,Info!$D36,Data!$H:$H,$P$1),0)</f>
        <v>0</v>
      </c>
      <c r="Q36" s="65">
        <f>IF(Table1[[#This Row],[Pick]]="","",IF(S36&gt;1,400,IF(G36="","",IF(C36="Passing",(400-Table1[[#This Row],[Passing Yards]]-(30*Table1[[#This Row],[Passing TDs]])-(50*SUM(Table1[[#This Row],[Rushing TDs]:[Other TD''s]]))),IF(C36="Rushing",2*(200-Table1[[#This Row],[Rushing Yards]]-(30*Table1[[#This Row],[Passing TDs]])-50*(Table1[[#This Row],[Rushing TDs]]+Table1[[#This Row],[Receiving TDs]]+Table1[[#This Row],[Other TD''s]])),IF(C36="Receiving",2*(200-Table1[[#This Row],[Receiving Yards]]-(30*Table1[[#This Row],[Passing TDs]])-50*(Table1[[#This Row],[Rushing TDs]]+Table1[[#This Row],[Receiving TDs]]+Table1[[#This Row],[Other TD''s]])),IF(C36="Defensive",(25*(16-Table1[[#This Row],[Tackles]]-(8*(Table1[[#This Row],[Other TD''s]]+Table1[[#This Row],[Interceptions]]+Table1[[#This Row],[Fumbles Recovered]])))))))))))</f>
        <v>216</v>
      </c>
      <c r="R36" s="3" t="str">
        <f t="shared" si="2"/>
        <v>SamRushingAnthony Hankerson</v>
      </c>
      <c r="S36" s="4">
        <f t="shared" si="1"/>
        <v>1</v>
      </c>
      <c r="T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42</v>
      </c>
    </row>
    <row r="37" spans="1:20" x14ac:dyDescent="0.25">
      <c r="A37" t="s">
        <v>68</v>
      </c>
      <c r="B37" s="28" t="s">
        <v>27</v>
      </c>
      <c r="C37" t="s">
        <v>17</v>
      </c>
      <c r="D37" t="str">
        <f>_xlfn.XLOOKUP(Table1[[#This Row],[Player]]&amp;Table1[[#This Row],[Week]]&amp;Table1[[#This Row],[Role]],'Google Form Transform'!$A:$A,'Google Form Transform'!E:E,"")</f>
        <v>Devonte Ross</v>
      </c>
      <c r="E37" t="str">
        <f>_xlfn.XLOOKUP(Table1[[#This Row],[Player]]&amp;Table1[[#This Row],[Week]]&amp;Table1[[#This Row],[Role]],'Google Form Transform'!$A:$A,'Google Form Transform'!F:F,"")</f>
        <v>Penn State</v>
      </c>
      <c r="F37" t="str">
        <f>_xlfn.XLOOKUP(Table1[[#This Row],[Player]]&amp;Table1[[#This Row],[Week]]&amp;Table1[[#This Row],[Role]],'Google Form Transform'!$A:$A,'Google Form Transform'!G:G,"")</f>
        <v>Nevada</v>
      </c>
      <c r="G37" s="59">
        <f>SUMIFS(Table2[Stat],Table2[Stat Category],"passing",Table2[Stat Type],"YDS",Table2[Athlete],Table1[[#This Row],[Pick]],Table2[Week],Table1[[#This Row],[Week]])</f>
        <v>0</v>
      </c>
      <c r="H37" s="59">
        <f>SUMIFS(Table2[Stat],Table2[Stat Category],"rushing",Table2[Stat Type],"YDS",Table2[Athlete],Table1[[#This Row],[Pick]],Table2[Week],Table1[[#This Row],[Week]])</f>
        <v>0</v>
      </c>
      <c r="I37" s="59">
        <f>SUMIFS(Table2[Stat],Table2[Stat Category],"receiving",Table2[Stat Type],"YDS",Table2[Athlete],Table1[[#This Row],[Pick]],Table2[Week],Table1[[#This Row],[Week]])</f>
        <v>4</v>
      </c>
      <c r="J37" s="6">
        <f>IF(AND($C37="Rushing", $H37&lt;=0), 0, IF(AND($C37="Passing", $G$3&lt;=0), 0,IF(AND($C37="Receiving",$I37&lt;=0), 0,SUMIFS(Table2[Stat],Table2[Week],Table1[[#This Row],[Week]],Table2[Athlete],Table1[[#This Row],[Pick]],Table2[Stat Category],"passing",Table2[Stat Type],"TD"))))</f>
        <v>0</v>
      </c>
      <c r="K37" s="6">
        <f>IF(AND($C37="Rushing", $H37&lt;=0), 0, IF(AND($C37="Passing", $G$3&lt;=0), 0,IF(AND($C37="Receiving",$I37&lt;=0),0,SUMIFS(Table2[Stat],Table2[Week],Table1[[#This Row],[Week]],Table2[Athlete],Table1[[#This Row],[Pick]],Table2[Stat Category],"rushing",Table2[Stat Type],"TD"))))</f>
        <v>0</v>
      </c>
      <c r="L37" s="6">
        <f>IF(AND($C37="Rushing", $H37&lt;=0), 0, IF(AND($C37="Passing", $G$3&lt;=0), 0,IF(AND($C37="Receiving",$I37&lt;=0),0,SUMIFS(Table2[Stat],Table2[Week],Table1[[#This Row],[Week]],Table2[Athlete],Table1[[#This Row],[Pick]],Table2[Stat Category],"receiving",Table2[Stat Type],"TD"))))</f>
        <v>0</v>
      </c>
      <c r="M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" s="61">
        <f>SUMIFS(Data!$J:$J,Data!$A:$A,Info!$B37,Data!$G:$G,Info!$C37,Data!$I:$I,Info!$D37,Data!$H:$H,"TOT")</f>
        <v>0</v>
      </c>
      <c r="O37" s="61">
        <f>IF(C37="Defensive",SUMIFS(Data!$J:$J,Data!$A:$A,Info!$B37,Data!$I:$I,Info!$D37,Data!$H:$H,"INT"),0)</f>
        <v>0</v>
      </c>
      <c r="P37" s="61">
        <f>IF(Table1[[#This Row],[Role]]="Defensive",SUMIFS(Data!$J:$J,Data!$A:$A,Info!$B37,Data!$I:$I,Info!$D37,Data!$H:$H,$P$1),0)</f>
        <v>0</v>
      </c>
      <c r="Q37" s="65">
        <f>IF(Table1[[#This Row],[Pick]]="","",IF(S37&gt;1,400,IF(G37="","",IF(C37="Passing",(400-Table1[[#This Row],[Passing Yards]]-(30*Table1[[#This Row],[Passing TDs]])-(50*SUM(Table1[[#This Row],[Rushing TDs]:[Other TD''s]]))),IF(C37="Rushing",2*(200-Table1[[#This Row],[Rushing Yards]]-(30*Table1[[#This Row],[Passing TDs]])-50*(Table1[[#This Row],[Rushing TDs]]+Table1[[#This Row],[Receiving TDs]]+Table1[[#This Row],[Other TD''s]])),IF(C37="Receiving",2*(200-Table1[[#This Row],[Receiving Yards]]-(30*Table1[[#This Row],[Passing TDs]])-50*(Table1[[#This Row],[Rushing TDs]]+Table1[[#This Row],[Receiving TDs]]+Table1[[#This Row],[Other TD''s]])),IF(C37="Defensive",(25*(16-Table1[[#This Row],[Tackles]]-(8*(Table1[[#This Row],[Other TD''s]]+Table1[[#This Row],[Interceptions]]+Table1[[#This Row],[Fumbles Recovered]])))))))))))</f>
        <v>392</v>
      </c>
      <c r="R37" s="3" t="str">
        <f t="shared" si="2"/>
        <v>SamReceivingDevonte Ross</v>
      </c>
      <c r="S37" s="4">
        <f t="shared" si="1"/>
        <v>1</v>
      </c>
      <c r="T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4</v>
      </c>
    </row>
    <row r="38" spans="1:20" x14ac:dyDescent="0.25">
      <c r="A38" t="s">
        <v>68</v>
      </c>
      <c r="B38" s="28" t="s">
        <v>27</v>
      </c>
      <c r="C38" t="s">
        <v>20</v>
      </c>
      <c r="D38" t="str">
        <f>_xlfn.XLOOKUP(Table1[[#This Row],[Player]]&amp;Table1[[#This Row],[Week]]&amp;Table1[[#This Row],[Role]],'Google Form Transform'!$A:$A,'Google Form Transform'!E:E,"")</f>
        <v>Jason Henderson</v>
      </c>
      <c r="E38" t="str">
        <f>_xlfn.XLOOKUP(Table1[[#This Row],[Player]]&amp;Table1[[#This Row],[Week]]&amp;Table1[[#This Row],[Role]],'Google Form Transform'!$A:$A,'Google Form Transform'!F:F,"")</f>
        <v>Old Dominion</v>
      </c>
      <c r="F38" t="str">
        <f>_xlfn.XLOOKUP(Table1[[#This Row],[Player]]&amp;Table1[[#This Row],[Week]]&amp;Table1[[#This Row],[Role]],'Google Form Transform'!$A:$A,'Google Form Transform'!G:G,"")</f>
        <v>Indiana</v>
      </c>
      <c r="G38" s="59">
        <f>SUMIFS(Table2[Stat],Table2[Stat Category],"passing",Table2[Stat Type],"YDS",Table2[Athlete],Table1[[#This Row],[Pick]],Table2[Week],Table1[[#This Row],[Week]])</f>
        <v>0</v>
      </c>
      <c r="H38" s="59">
        <f>SUMIFS(Table2[Stat],Table2[Stat Category],"rushing",Table2[Stat Type],"YDS",Table2[Athlete],Table1[[#This Row],[Pick]],Table2[Week],Table1[[#This Row],[Week]])</f>
        <v>0</v>
      </c>
      <c r="I38" s="59">
        <f>SUMIFS(Table2[Stat],Table2[Stat Category],"receiving",Table2[Stat Type],"YDS",Table2[Athlete],Table1[[#This Row],[Pick]],Table2[Week],Table1[[#This Row],[Week]])</f>
        <v>0</v>
      </c>
      <c r="J38" s="6">
        <f>IF(AND($C38="Rushing", $H38&lt;=0), 0, IF(AND($C38="Passing", $G$3&lt;=0), 0,IF(AND($C38="Receiving",$I38&lt;=0), 0,SUMIFS(Table2[Stat],Table2[Week],Table1[[#This Row],[Week]],Table2[Athlete],Table1[[#This Row],[Pick]],Table2[Stat Category],"passing",Table2[Stat Type],"TD"))))</f>
        <v>0</v>
      </c>
      <c r="K38" s="6">
        <f>IF(AND($C38="Rushing", $H38&lt;=0), 0, IF(AND($C38="Passing", $G$3&lt;=0), 0,IF(AND($C38="Receiving",$I38&lt;=0),0,SUMIFS(Table2[Stat],Table2[Week],Table1[[#This Row],[Week]],Table2[Athlete],Table1[[#This Row],[Pick]],Table2[Stat Category],"rushing",Table2[Stat Type],"TD"))))</f>
        <v>0</v>
      </c>
      <c r="L38" s="6">
        <f>IF(AND($C38="Rushing", $H38&lt;=0), 0, IF(AND($C38="Passing", $G$3&lt;=0), 0,IF(AND($C38="Receiving",$I38&lt;=0),0,SUMIFS(Table2[Stat],Table2[Week],Table1[[#This Row],[Week]],Table2[Athlete],Table1[[#This Row],[Pick]],Table2[Stat Category],"receiving",Table2[Stat Type],"TD"))))</f>
        <v>0</v>
      </c>
      <c r="M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" s="61">
        <f>SUMIFS(Data!$J:$J,Data!$A:$A,Info!$B38,Data!$G:$G,Info!$C38,Data!$I:$I,Info!$D38,Data!$H:$H,"TOT")</f>
        <v>5</v>
      </c>
      <c r="O38" s="61">
        <f>IF(C38="Defensive",SUMIFS(Data!$J:$J,Data!$A:$A,Info!$B38,Data!$I:$I,Info!$D38,Data!$H:$H,"INT"),0)</f>
        <v>0</v>
      </c>
      <c r="P38" s="61">
        <f>IF(Table1[[#This Row],[Role]]="Defensive",SUMIFS(Data!$J:$J,Data!$A:$A,Info!$B38,Data!$I:$I,Info!$D38,Data!$H:$H,$P$1),0)</f>
        <v>0</v>
      </c>
      <c r="Q38" s="65">
        <f>IF(Table1[[#This Row],[Pick]]="","",IF(S38&gt;1,400,IF(G38="","",IF(C38="Passing",(400-Table1[[#This Row],[Passing Yards]]-(30*Table1[[#This Row],[Passing TDs]])-(50*SUM(Table1[[#This Row],[Rushing TDs]:[Other TD''s]]))),IF(C38="Rushing",2*(200-Table1[[#This Row],[Rushing Yards]]-(30*Table1[[#This Row],[Passing TDs]])-50*(Table1[[#This Row],[Rushing TDs]]+Table1[[#This Row],[Receiving TDs]]+Table1[[#This Row],[Other TD''s]])),IF(C38="Receiving",2*(200-Table1[[#This Row],[Receiving Yards]]-(30*Table1[[#This Row],[Passing TDs]])-50*(Table1[[#This Row],[Rushing TDs]]+Table1[[#This Row],[Receiving TDs]]+Table1[[#This Row],[Other TD''s]])),IF(C38="Defensive",(25*(16-Table1[[#This Row],[Tackles]]-(8*(Table1[[#This Row],[Other TD''s]]+Table1[[#This Row],[Interceptions]]+Table1[[#This Row],[Fumbles Recovered]])))))))))))</f>
        <v>275</v>
      </c>
      <c r="R38" s="3" t="str">
        <f t="shared" si="2"/>
        <v>SamDefensiveJason Henderson</v>
      </c>
      <c r="S38" s="4">
        <f t="shared" si="1"/>
        <v>1</v>
      </c>
      <c r="T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5</v>
      </c>
    </row>
    <row r="39" spans="1:20" x14ac:dyDescent="0.25">
      <c r="A39" t="s">
        <v>5</v>
      </c>
      <c r="B39" s="28" t="s">
        <v>27</v>
      </c>
      <c r="C39" t="s">
        <v>16</v>
      </c>
      <c r="D39" t="str">
        <f>_xlfn.XLOOKUP(Table1[[#This Row],[Player]]&amp;Table1[[#This Row],[Week]]&amp;Table1[[#This Row],[Role]],'Google Form Transform'!$A:$A,'Google Form Transform'!E:E,"")</f>
        <v>Malik Washington</v>
      </c>
      <c r="E39" t="str">
        <f>_xlfn.XLOOKUP(Table1[[#This Row],[Player]]&amp;Table1[[#This Row],[Week]]&amp;Table1[[#This Row],[Role]],'Google Form Transform'!$A:$A,'Google Form Transform'!F:F,"")</f>
        <v>Maryland</v>
      </c>
      <c r="F39" t="str">
        <f>_xlfn.XLOOKUP(Table1[[#This Row],[Player]]&amp;Table1[[#This Row],[Week]]&amp;Table1[[#This Row],[Role]],'Google Form Transform'!$A:$A,'Google Form Transform'!G:G,"")</f>
        <v>FAU</v>
      </c>
      <c r="G39" s="59">
        <f>SUMIFS(Table2[Stat],Table2[Stat Category],"passing",Table2[Stat Type],"YDS",Table2[Athlete],Table1[[#This Row],[Pick]],Table2[Week],Table1[[#This Row],[Week]])</f>
        <v>258</v>
      </c>
      <c r="H39" s="59">
        <f>SUMIFS(Table2[Stat],Table2[Stat Category],"rushing",Table2[Stat Type],"YDS",Table2[Athlete],Table1[[#This Row],[Pick]],Table2[Week],Table1[[#This Row],[Week]])</f>
        <v>0</v>
      </c>
      <c r="I39" s="59">
        <f>SUMIFS(Table2[Stat],Table2[Stat Category],"receiving",Table2[Stat Type],"YDS",Table2[Athlete],Table1[[#This Row],[Pick]],Table2[Week],Table1[[#This Row],[Week]])</f>
        <v>0</v>
      </c>
      <c r="J39" s="6">
        <f>IF(AND($C39="Rushing", $H39&lt;=0), 0, IF(AND($C39="Passing", $G$3&lt;=0), 0,IF(AND($C39="Receiving",$I39&lt;=0), 0,SUMIFS(Table2[Stat],Table2[Week],Table1[[#This Row],[Week]],Table2[Athlete],Table1[[#This Row],[Pick]],Table2[Stat Category],"passing",Table2[Stat Type],"TD"))))</f>
        <v>3</v>
      </c>
      <c r="K39" s="6">
        <f>IF(AND($C39="Rushing", $H39&lt;=0), 0, IF(AND($C39="Passing", $G$3&lt;=0), 0,IF(AND($C39="Receiving",$I39&lt;=0),0,SUMIFS(Table2[Stat],Table2[Week],Table1[[#This Row],[Week]],Table2[Athlete],Table1[[#This Row],[Pick]],Table2[Stat Category],"rushing",Table2[Stat Type],"TD"))))</f>
        <v>0</v>
      </c>
      <c r="L39" s="6">
        <f>IF(AND($C39="Rushing", $H39&lt;=0), 0, IF(AND($C39="Passing", $G$3&lt;=0), 0,IF(AND($C39="Receiving",$I39&lt;=0),0,SUMIFS(Table2[Stat],Table2[Week],Table1[[#This Row],[Week]],Table2[Athlete],Table1[[#This Row],[Pick]],Table2[Stat Category],"receiving",Table2[Stat Type],"TD"))))</f>
        <v>0</v>
      </c>
      <c r="M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" s="61">
        <f>SUMIFS(Data!$J:$J,Data!$A:$A,Info!$B39,Data!$G:$G,Info!$C39,Data!$I:$I,Info!$D39,Data!$H:$H,"TOT")</f>
        <v>0</v>
      </c>
      <c r="O39" s="61">
        <f>IF(C39="Defensive",SUMIFS(Data!$J:$J,Data!$A:$A,Info!$B39,Data!$I:$I,Info!$D39,Data!$H:$H,"INT"),0)</f>
        <v>0</v>
      </c>
      <c r="P39" s="61">
        <f>IF(Table1[[#This Row],[Role]]="Defensive",SUMIFS(Data!$J:$J,Data!$A:$A,Info!$B39,Data!$I:$I,Info!$D39,Data!$H:$H,$P$1),0)</f>
        <v>0</v>
      </c>
      <c r="Q39" s="65">
        <f>IF(Table1[[#This Row],[Pick]]="","",IF(S39&gt;1,400,IF(G39="","",IF(C39="Passing",(400-Table1[[#This Row],[Passing Yards]]-(30*Table1[[#This Row],[Passing TDs]])-(50*SUM(Table1[[#This Row],[Rushing TDs]:[Other TD''s]]))),IF(C39="Rushing",2*(200-Table1[[#This Row],[Rushing Yards]]-(30*Table1[[#This Row],[Passing TDs]])-50*(Table1[[#This Row],[Rushing TDs]]+Table1[[#This Row],[Receiving TDs]]+Table1[[#This Row],[Other TD''s]])),IF(C39="Receiving",2*(200-Table1[[#This Row],[Receiving Yards]]-(30*Table1[[#This Row],[Passing TDs]])-50*(Table1[[#This Row],[Rushing TDs]]+Table1[[#This Row],[Receiving TDs]]+Table1[[#This Row],[Other TD''s]])),IF(C39="Defensive",(25*(16-Table1[[#This Row],[Tackles]]-(8*(Table1[[#This Row],[Other TD''s]]+Table1[[#This Row],[Interceptions]]+Table1[[#This Row],[Fumbles Recovered]])))))))))))</f>
        <v>52</v>
      </c>
      <c r="R39" s="3" t="str">
        <f t="shared" si="2"/>
        <v>BrianPassingMalik Washington</v>
      </c>
      <c r="S39" s="4">
        <f t="shared" si="1"/>
        <v>1</v>
      </c>
      <c r="T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258</v>
      </c>
    </row>
    <row r="40" spans="1:20" x14ac:dyDescent="0.25">
      <c r="A40" t="s">
        <v>5</v>
      </c>
      <c r="B40" s="28" t="s">
        <v>27</v>
      </c>
      <c r="C40" t="s">
        <v>6</v>
      </c>
      <c r="D40" t="str">
        <f>_xlfn.XLOOKUP(Table1[[#This Row],[Player]]&amp;Table1[[#This Row],[Week]]&amp;Table1[[#This Row],[Role]],'Google Form Transform'!$A:$A,'Google Form Transform'!E:E,"")</f>
        <v>Davon Booth</v>
      </c>
      <c r="E40" t="str">
        <f>_xlfn.XLOOKUP(Table1[[#This Row],[Player]]&amp;Table1[[#This Row],[Week]]&amp;Table1[[#This Row],[Role]],'Google Form Transform'!$A:$A,'Google Form Transform'!F:F,"")</f>
        <v>Mississippi State</v>
      </c>
      <c r="F40" t="str">
        <f>_xlfn.XLOOKUP(Table1[[#This Row],[Player]]&amp;Table1[[#This Row],[Week]]&amp;Table1[[#This Row],[Role]],'Google Form Transform'!$A:$A,'Google Form Transform'!G:G,"")</f>
        <v>Southern Miss</v>
      </c>
      <c r="G40" s="59">
        <f>SUMIFS(Table2[Stat],Table2[Stat Category],"passing",Table2[Stat Type],"YDS",Table2[Athlete],Table1[[#This Row],[Pick]],Table2[Week],Table1[[#This Row],[Week]])</f>
        <v>0</v>
      </c>
      <c r="H40" s="59">
        <f>SUMIFS(Table2[Stat],Table2[Stat Category],"rushing",Table2[Stat Type],"YDS",Table2[Athlete],Table1[[#This Row],[Pick]],Table2[Week],Table1[[#This Row],[Week]])</f>
        <v>79</v>
      </c>
      <c r="I40" s="59">
        <f>SUMIFS(Table2[Stat],Table2[Stat Category],"receiving",Table2[Stat Type],"YDS",Table2[Athlete],Table1[[#This Row],[Pick]],Table2[Week],Table1[[#This Row],[Week]])</f>
        <v>12</v>
      </c>
      <c r="J40" s="6">
        <f>IF(AND($C40="Rushing", $H40&lt;=0), 0, IF(AND($C40="Passing", $G$3&lt;=0), 0,IF(AND($C40="Receiving",$I40&lt;=0), 0,SUMIFS(Table2[Stat],Table2[Week],Table1[[#This Row],[Week]],Table2[Athlete],Table1[[#This Row],[Pick]],Table2[Stat Category],"passing",Table2[Stat Type],"TD"))))</f>
        <v>0</v>
      </c>
      <c r="K40" s="6">
        <f>IF(AND($C40="Rushing", $H40&lt;=0), 0, IF(AND($C40="Passing", $G$3&lt;=0), 0,IF(AND($C40="Receiving",$I40&lt;=0),0,SUMIFS(Table2[Stat],Table2[Week],Table1[[#This Row],[Week]],Table2[Athlete],Table1[[#This Row],[Pick]],Table2[Stat Category],"rushing",Table2[Stat Type],"TD"))))</f>
        <v>1</v>
      </c>
      <c r="L40" s="6">
        <f>IF(AND($C40="Rushing", $H40&lt;=0), 0, IF(AND($C40="Passing", $G$3&lt;=0), 0,IF(AND($C40="Receiving",$I40&lt;=0),0,SUMIFS(Table2[Stat],Table2[Week],Table1[[#This Row],[Week]],Table2[Athlete],Table1[[#This Row],[Pick]],Table2[Stat Category],"receiving",Table2[Stat Type],"TD"))))</f>
        <v>0</v>
      </c>
      <c r="M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" s="61">
        <f>SUMIFS(Data!$J:$J,Data!$A:$A,Info!$B40,Data!$G:$G,Info!$C40,Data!$I:$I,Info!$D40,Data!$H:$H,"TOT")</f>
        <v>0</v>
      </c>
      <c r="O40" s="61">
        <f>IF(C40="Defensive",SUMIFS(Data!$J:$J,Data!$A:$A,Info!$B40,Data!$I:$I,Info!$D40,Data!$H:$H,"INT"),0)</f>
        <v>0</v>
      </c>
      <c r="P40" s="61">
        <f>IF(Table1[[#This Row],[Role]]="Defensive",SUMIFS(Data!$J:$J,Data!$A:$A,Info!$B40,Data!$I:$I,Info!$D40,Data!$H:$H,$P$1),0)</f>
        <v>0</v>
      </c>
      <c r="Q40" s="65">
        <f>IF(Table1[[#This Row],[Pick]]="","",IF(S40&gt;1,400,IF(G40="","",IF(C40="Passing",(400-Table1[[#This Row],[Passing Yards]]-(30*Table1[[#This Row],[Passing TDs]])-(50*SUM(Table1[[#This Row],[Rushing TDs]:[Other TD''s]]))),IF(C40="Rushing",2*(200-Table1[[#This Row],[Rushing Yards]]-(30*Table1[[#This Row],[Passing TDs]])-50*(Table1[[#This Row],[Rushing TDs]]+Table1[[#This Row],[Receiving TDs]]+Table1[[#This Row],[Other TD''s]])),IF(C40="Receiving",2*(200-Table1[[#This Row],[Receiving Yards]]-(30*Table1[[#This Row],[Passing TDs]])-50*(Table1[[#This Row],[Rushing TDs]]+Table1[[#This Row],[Receiving TDs]]+Table1[[#This Row],[Other TD''s]])),IF(C40="Defensive",(25*(16-Table1[[#This Row],[Tackles]]-(8*(Table1[[#This Row],[Other TD''s]]+Table1[[#This Row],[Interceptions]]+Table1[[#This Row],[Fumbles Recovered]])))))))))))</f>
        <v>142</v>
      </c>
      <c r="R40" s="3" t="str">
        <f t="shared" si="2"/>
        <v>BrianRushingDavon Booth</v>
      </c>
      <c r="S40" s="4">
        <f t="shared" si="1"/>
        <v>1</v>
      </c>
      <c r="T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79</v>
      </c>
    </row>
    <row r="41" spans="1:20" x14ac:dyDescent="0.25">
      <c r="A41" t="s">
        <v>5</v>
      </c>
      <c r="B41" s="28" t="s">
        <v>27</v>
      </c>
      <c r="C41" t="s">
        <v>17</v>
      </c>
      <c r="D41" t="str">
        <f>_xlfn.XLOOKUP(Table1[[#This Row],[Player]]&amp;Table1[[#This Row],[Week]]&amp;Table1[[#This Row],[Role]],'Google Form Transform'!$A:$A,'Google Form Transform'!E:E,"")</f>
        <v>Ryan williams</v>
      </c>
      <c r="E41" t="str">
        <f>_xlfn.XLOOKUP(Table1[[#This Row],[Player]]&amp;Table1[[#This Row],[Week]]&amp;Table1[[#This Row],[Role]],'Google Form Transform'!$A:$A,'Google Form Transform'!F:F,"")</f>
        <v>Alabama</v>
      </c>
      <c r="F41" t="str">
        <f>_xlfn.XLOOKUP(Table1[[#This Row],[Player]]&amp;Table1[[#This Row],[Week]]&amp;Table1[[#This Row],[Role]],'Google Form Transform'!$A:$A,'Google Form Transform'!G:G,"")</f>
        <v>Florida State</v>
      </c>
      <c r="G41" s="59">
        <f>SUMIFS(Table2[Stat],Table2[Stat Category],"passing",Table2[Stat Type],"YDS",Table2[Athlete],Table1[[#This Row],[Pick]],Table2[Week],Table1[[#This Row],[Week]])</f>
        <v>0</v>
      </c>
      <c r="H41" s="59">
        <f>SUMIFS(Table2[Stat],Table2[Stat Category],"rushing",Table2[Stat Type],"YDS",Table2[Athlete],Table1[[#This Row],[Pick]],Table2[Week],Table1[[#This Row],[Week]])</f>
        <v>0</v>
      </c>
      <c r="I41" s="59">
        <f>SUMIFS(Table2[Stat],Table2[Stat Category],"receiving",Table2[Stat Type],"YDS",Table2[Athlete],Table1[[#This Row],[Pick]],Table2[Week],Table1[[#This Row],[Week]])</f>
        <v>30</v>
      </c>
      <c r="J41" s="6">
        <f>IF(AND($C41="Rushing", $H41&lt;=0), 0, IF(AND($C41="Passing", $G$3&lt;=0), 0,IF(AND($C41="Receiving",$I41&lt;=0), 0,SUMIFS(Table2[Stat],Table2[Week],Table1[[#This Row],[Week]],Table2[Athlete],Table1[[#This Row],[Pick]],Table2[Stat Category],"passing",Table2[Stat Type],"TD"))))</f>
        <v>0</v>
      </c>
      <c r="K41" s="6">
        <f>IF(AND($C41="Rushing", $H41&lt;=0), 0, IF(AND($C41="Passing", $G$3&lt;=0), 0,IF(AND($C41="Receiving",$I41&lt;=0),0,SUMIFS(Table2[Stat],Table2[Week],Table1[[#This Row],[Week]],Table2[Athlete],Table1[[#This Row],[Pick]],Table2[Stat Category],"rushing",Table2[Stat Type],"TD"))))</f>
        <v>0</v>
      </c>
      <c r="L41" s="6">
        <f>IF(AND($C41="Rushing", $H41&lt;=0), 0, IF(AND($C41="Passing", $G$3&lt;=0), 0,IF(AND($C41="Receiving",$I41&lt;=0),0,SUMIFS(Table2[Stat],Table2[Week],Table1[[#This Row],[Week]],Table2[Athlete],Table1[[#This Row],[Pick]],Table2[Stat Category],"receiving",Table2[Stat Type],"TD"))))</f>
        <v>0</v>
      </c>
      <c r="M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" s="61">
        <f>SUMIFS(Data!$J:$J,Data!$A:$A,Info!$B41,Data!$G:$G,Info!$C41,Data!$I:$I,Info!$D41,Data!$H:$H,"TOT")</f>
        <v>0</v>
      </c>
      <c r="O41" s="61">
        <f>IF(C41="Defensive",SUMIFS(Data!$J:$J,Data!$A:$A,Info!$B41,Data!$I:$I,Info!$D41,Data!$H:$H,"INT"),0)</f>
        <v>0</v>
      </c>
      <c r="P41" s="61">
        <f>IF(Table1[[#This Row],[Role]]="Defensive",SUMIFS(Data!$J:$J,Data!$A:$A,Info!$B41,Data!$I:$I,Info!$D41,Data!$H:$H,$P$1),0)</f>
        <v>0</v>
      </c>
      <c r="Q41" s="65">
        <f>IF(Table1[[#This Row],[Pick]]="","",IF(S41&gt;1,400,IF(G41="","",IF(C41="Passing",(400-Table1[[#This Row],[Passing Yards]]-(30*Table1[[#This Row],[Passing TDs]])-(50*SUM(Table1[[#This Row],[Rushing TDs]:[Other TD''s]]))),IF(C41="Rushing",2*(200-Table1[[#This Row],[Rushing Yards]]-(30*Table1[[#This Row],[Passing TDs]])-50*(Table1[[#This Row],[Rushing TDs]]+Table1[[#This Row],[Receiving TDs]]+Table1[[#This Row],[Other TD''s]])),IF(C41="Receiving",2*(200-Table1[[#This Row],[Receiving Yards]]-(30*Table1[[#This Row],[Passing TDs]])-50*(Table1[[#This Row],[Rushing TDs]]+Table1[[#This Row],[Receiving TDs]]+Table1[[#This Row],[Other TD''s]])),IF(C41="Defensive",(25*(16-Table1[[#This Row],[Tackles]]-(8*(Table1[[#This Row],[Other TD''s]]+Table1[[#This Row],[Interceptions]]+Table1[[#This Row],[Fumbles Recovered]])))))))))))</f>
        <v>340</v>
      </c>
      <c r="R41" s="3" t="str">
        <f t="shared" si="2"/>
        <v>BrianReceivingRyan williams</v>
      </c>
      <c r="S41" s="4">
        <f t="shared" si="1"/>
        <v>1</v>
      </c>
      <c r="T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30</v>
      </c>
    </row>
    <row r="42" spans="1:20" x14ac:dyDescent="0.25">
      <c r="A42" t="s">
        <v>5</v>
      </c>
      <c r="B42" s="28" t="s">
        <v>27</v>
      </c>
      <c r="C42" t="s">
        <v>20</v>
      </c>
      <c r="D42" t="str">
        <f>_xlfn.XLOOKUP(Table1[[#This Row],[Player]]&amp;Table1[[#This Row],[Week]]&amp;Table1[[#This Row],[Role]],'Google Form Transform'!$A:$A,'Google Form Transform'!E:E,"")</f>
        <v>Whit Weeks</v>
      </c>
      <c r="E42" t="str">
        <f>_xlfn.XLOOKUP(Table1[[#This Row],[Player]]&amp;Table1[[#This Row],[Week]]&amp;Table1[[#This Row],[Role]],'Google Form Transform'!$A:$A,'Google Form Transform'!F:F,"")</f>
        <v>LSU</v>
      </c>
      <c r="F42" t="str">
        <f>_xlfn.XLOOKUP(Table1[[#This Row],[Player]]&amp;Table1[[#This Row],[Week]]&amp;Table1[[#This Row],[Role]],'Google Form Transform'!$A:$A,'Google Form Transform'!G:G,"")</f>
        <v>Clemson</v>
      </c>
      <c r="G42" s="59">
        <f>SUMIFS(Table2[Stat],Table2[Stat Category],"passing",Table2[Stat Type],"YDS",Table2[Athlete],Table1[[#This Row],[Pick]],Table2[Week],Table1[[#This Row],[Week]])</f>
        <v>0</v>
      </c>
      <c r="H42" s="59">
        <f>SUMIFS(Table2[Stat],Table2[Stat Category],"rushing",Table2[Stat Type],"YDS",Table2[Athlete],Table1[[#This Row],[Pick]],Table2[Week],Table1[[#This Row],[Week]])</f>
        <v>0</v>
      </c>
      <c r="I42" s="59">
        <f>SUMIFS(Table2[Stat],Table2[Stat Category],"receiving",Table2[Stat Type],"YDS",Table2[Athlete],Table1[[#This Row],[Pick]],Table2[Week],Table1[[#This Row],[Week]])</f>
        <v>0</v>
      </c>
      <c r="J42" s="6">
        <f>IF(AND($C42="Rushing", $H42&lt;=0), 0, IF(AND($C42="Passing", $G$3&lt;=0), 0,IF(AND($C42="Receiving",$I42&lt;=0), 0,SUMIFS(Table2[Stat],Table2[Week],Table1[[#This Row],[Week]],Table2[Athlete],Table1[[#This Row],[Pick]],Table2[Stat Category],"passing",Table2[Stat Type],"TD"))))</f>
        <v>0</v>
      </c>
      <c r="K42" s="6">
        <f>IF(AND($C42="Rushing", $H42&lt;=0), 0, IF(AND($C42="Passing", $G$3&lt;=0), 0,IF(AND($C42="Receiving",$I42&lt;=0),0,SUMIFS(Table2[Stat],Table2[Week],Table1[[#This Row],[Week]],Table2[Athlete],Table1[[#This Row],[Pick]],Table2[Stat Category],"rushing",Table2[Stat Type],"TD"))))</f>
        <v>0</v>
      </c>
      <c r="L42" s="6">
        <f>IF(AND($C42="Rushing", $H42&lt;=0), 0, IF(AND($C42="Passing", $G$3&lt;=0), 0,IF(AND($C42="Receiving",$I42&lt;=0),0,SUMIFS(Table2[Stat],Table2[Week],Table1[[#This Row],[Week]],Table2[Athlete],Table1[[#This Row],[Pick]],Table2[Stat Category],"receiving",Table2[Stat Type],"TD"))))</f>
        <v>0</v>
      </c>
      <c r="M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" s="61">
        <f>SUMIFS(Data!$J:$J,Data!$A:$A,Info!$B42,Data!$G:$G,Info!$C42,Data!$I:$I,Info!$D42,Data!$H:$H,"TOT")</f>
        <v>2</v>
      </c>
      <c r="O42" s="61">
        <f>IF(C42="Defensive",SUMIFS(Data!$J:$J,Data!$A:$A,Info!$B42,Data!$I:$I,Info!$D42,Data!$H:$H,"INT"),0)</f>
        <v>0</v>
      </c>
      <c r="P42" s="61">
        <f>IF(Table1[[#This Row],[Role]]="Defensive",SUMIFS(Data!$J:$J,Data!$A:$A,Info!$B42,Data!$I:$I,Info!$D42,Data!$H:$H,$P$1),0)</f>
        <v>0</v>
      </c>
      <c r="Q42" s="65">
        <f>IF(Table1[[#This Row],[Pick]]="","",IF(S42&gt;1,400,IF(G42="","",IF(C42="Passing",(400-Table1[[#This Row],[Passing Yards]]-(30*Table1[[#This Row],[Passing TDs]])-(50*SUM(Table1[[#This Row],[Rushing TDs]:[Other TD''s]]))),IF(C42="Rushing",2*(200-Table1[[#This Row],[Rushing Yards]]-(30*Table1[[#This Row],[Passing TDs]])-50*(Table1[[#This Row],[Rushing TDs]]+Table1[[#This Row],[Receiving TDs]]+Table1[[#This Row],[Other TD''s]])),IF(C42="Receiving",2*(200-Table1[[#This Row],[Receiving Yards]]-(30*Table1[[#This Row],[Passing TDs]])-50*(Table1[[#This Row],[Rushing TDs]]+Table1[[#This Row],[Receiving TDs]]+Table1[[#This Row],[Other TD''s]])),IF(C42="Defensive",(25*(16-Table1[[#This Row],[Tackles]]-(8*(Table1[[#This Row],[Other TD''s]]+Table1[[#This Row],[Interceptions]]+Table1[[#This Row],[Fumbles Recovered]])))))))))))</f>
        <v>350</v>
      </c>
      <c r="R42" s="3" t="str">
        <f t="shared" si="2"/>
        <v>BrianDefensiveWhit Weeks</v>
      </c>
      <c r="S42" s="4">
        <f t="shared" si="1"/>
        <v>1</v>
      </c>
      <c r="T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2</v>
      </c>
    </row>
    <row r="43" spans="1:20" x14ac:dyDescent="0.25">
      <c r="A43" t="s">
        <v>18</v>
      </c>
      <c r="B43" s="28" t="s">
        <v>27</v>
      </c>
      <c r="C43" t="s">
        <v>16</v>
      </c>
      <c r="D43" t="str">
        <f>_xlfn.XLOOKUP(Table1[[#This Row],[Player]]&amp;Table1[[#This Row],[Week]]&amp;Table1[[#This Row],[Role]],'Google Form Transform'!$A:$A,'Google Form Transform'!E:E,"")</f>
        <v>Marcel Reed</v>
      </c>
      <c r="E43" t="str">
        <f>_xlfn.XLOOKUP(Table1[[#This Row],[Player]]&amp;Table1[[#This Row],[Week]]&amp;Table1[[#This Row],[Role]],'Google Form Transform'!$A:$A,'Google Form Transform'!F:F,"")</f>
        <v>Texas A&amp;M</v>
      </c>
      <c r="F43" t="str">
        <f>_xlfn.XLOOKUP(Table1[[#This Row],[Player]]&amp;Table1[[#This Row],[Week]]&amp;Table1[[#This Row],[Role]],'Google Form Transform'!$A:$A,'Google Form Transform'!G:G,"")</f>
        <v>UTSA</v>
      </c>
      <c r="G43" s="59">
        <f>SUMIFS(Table2[Stat],Table2[Stat Category],"passing",Table2[Stat Type],"YDS",Table2[Athlete],Table1[[#This Row],[Pick]],Table2[Week],Table1[[#This Row],[Week]])</f>
        <v>289</v>
      </c>
      <c r="H43" s="59">
        <f>SUMIFS(Table2[Stat],Table2[Stat Category],"rushing",Table2[Stat Type],"YDS",Table2[Athlete],Table1[[#This Row],[Pick]],Table2[Week],Table1[[#This Row],[Week]])</f>
        <v>39</v>
      </c>
      <c r="I43" s="59">
        <f>SUMIFS(Table2[Stat],Table2[Stat Category],"receiving",Table2[Stat Type],"YDS",Table2[Athlete],Table1[[#This Row],[Pick]],Table2[Week],Table1[[#This Row],[Week]])</f>
        <v>0</v>
      </c>
      <c r="J43" s="6">
        <f>IF(AND($C43="Rushing", $H43&lt;=0), 0, IF(AND($C43="Passing", $G$3&lt;=0), 0,IF(AND($C43="Receiving",$I43&lt;=0), 0,SUMIFS(Table2[Stat],Table2[Week],Table1[[#This Row],[Week]],Table2[Athlete],Table1[[#This Row],[Pick]],Table2[Stat Category],"passing",Table2[Stat Type],"TD"))))</f>
        <v>4</v>
      </c>
      <c r="K43" s="6">
        <f>IF(AND($C43="Rushing", $H43&lt;=0), 0, IF(AND($C43="Passing", $G$3&lt;=0), 0,IF(AND($C43="Receiving",$I43&lt;=0),0,SUMIFS(Table2[Stat],Table2[Week],Table1[[#This Row],[Week]],Table2[Athlete],Table1[[#This Row],[Pick]],Table2[Stat Category],"rushing",Table2[Stat Type],"TD"))))</f>
        <v>0</v>
      </c>
      <c r="L43" s="6">
        <f>IF(AND($C43="Rushing", $H43&lt;=0), 0, IF(AND($C43="Passing", $G$3&lt;=0), 0,IF(AND($C43="Receiving",$I43&lt;=0),0,SUMIFS(Table2[Stat],Table2[Week],Table1[[#This Row],[Week]],Table2[Athlete],Table1[[#This Row],[Pick]],Table2[Stat Category],"receiving",Table2[Stat Type],"TD"))))</f>
        <v>0</v>
      </c>
      <c r="M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" s="61">
        <f>SUMIFS(Data!$J:$J,Data!$A:$A,Info!$B43,Data!$G:$G,Info!$C43,Data!$I:$I,Info!$D43,Data!$H:$H,"TOT")</f>
        <v>0</v>
      </c>
      <c r="O43" s="61">
        <f>IF(C43="Defensive",SUMIFS(Data!$J:$J,Data!$A:$A,Info!$B43,Data!$I:$I,Info!$D43,Data!$H:$H,"INT"),0)</f>
        <v>0</v>
      </c>
      <c r="P43" s="61">
        <f>IF(Table1[[#This Row],[Role]]="Defensive",SUMIFS(Data!$J:$J,Data!$A:$A,Info!$B43,Data!$I:$I,Info!$D43,Data!$H:$H,$P$1),0)</f>
        <v>0</v>
      </c>
      <c r="Q43" s="65">
        <f>IF(Table1[[#This Row],[Pick]]="","",IF(S43&gt;1,400,IF(G43="","",IF(C43="Passing",(400-Table1[[#This Row],[Passing Yards]]-(30*Table1[[#This Row],[Passing TDs]])-(50*SUM(Table1[[#This Row],[Rushing TDs]:[Other TD''s]]))),IF(C43="Rushing",2*(200-Table1[[#This Row],[Rushing Yards]]-(30*Table1[[#This Row],[Passing TDs]])-50*(Table1[[#This Row],[Rushing TDs]]+Table1[[#This Row],[Receiving TDs]]+Table1[[#This Row],[Other TD''s]])),IF(C43="Receiving",2*(200-Table1[[#This Row],[Receiving Yards]]-(30*Table1[[#This Row],[Passing TDs]])-50*(Table1[[#This Row],[Rushing TDs]]+Table1[[#This Row],[Receiving TDs]]+Table1[[#This Row],[Other TD''s]])),IF(C43="Defensive",(25*(16-Table1[[#This Row],[Tackles]]-(8*(Table1[[#This Row],[Other TD''s]]+Table1[[#This Row],[Interceptions]]+Table1[[#This Row],[Fumbles Recovered]])))))))))))</f>
        <v>-9</v>
      </c>
      <c r="R43" s="3" t="str">
        <f t="shared" si="2"/>
        <v>MoniPassingMarcel Reed</v>
      </c>
      <c r="S43" s="4">
        <f t="shared" si="1"/>
        <v>1</v>
      </c>
      <c r="T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289</v>
      </c>
    </row>
    <row r="44" spans="1:20" x14ac:dyDescent="0.25">
      <c r="A44" t="s">
        <v>18</v>
      </c>
      <c r="B44" s="28" t="s">
        <v>27</v>
      </c>
      <c r="C44" t="s">
        <v>6</v>
      </c>
      <c r="D44" t="str">
        <f>_xlfn.XLOOKUP(Table1[[#This Row],[Player]]&amp;Table1[[#This Row],[Week]]&amp;Table1[[#This Row],[Role]],'Google Form Transform'!$A:$A,'Google Form Transform'!E:E,"")</f>
        <v>Le'Veon Moss</v>
      </c>
      <c r="E44" t="str">
        <f>_xlfn.XLOOKUP(Table1[[#This Row],[Player]]&amp;Table1[[#This Row],[Week]]&amp;Table1[[#This Row],[Role]],'Google Form Transform'!$A:$A,'Google Form Transform'!F:F,"")</f>
        <v>Texas A&amp;M</v>
      </c>
      <c r="F44" t="str">
        <f>_xlfn.XLOOKUP(Table1[[#This Row],[Player]]&amp;Table1[[#This Row],[Week]]&amp;Table1[[#This Row],[Role]],'Google Form Transform'!$A:$A,'Google Form Transform'!G:G,"")</f>
        <v>UTSA</v>
      </c>
      <c r="G44" s="59">
        <f>SUMIFS(Table2[Stat],Table2[Stat Category],"passing",Table2[Stat Type],"YDS",Table2[Athlete],Table1[[#This Row],[Pick]],Table2[Week],Table1[[#This Row],[Week]])</f>
        <v>0</v>
      </c>
      <c r="H44" s="59">
        <f>SUMIFS(Table2[Stat],Table2[Stat Category],"rushing",Table2[Stat Type],"YDS",Table2[Athlete],Table1[[#This Row],[Pick]],Table2[Week],Table1[[#This Row],[Week]])</f>
        <v>19</v>
      </c>
      <c r="I44" s="59">
        <f>SUMIFS(Table2[Stat],Table2[Stat Category],"receiving",Table2[Stat Type],"YDS",Table2[Athlete],Table1[[#This Row],[Pick]],Table2[Week],Table1[[#This Row],[Week]])</f>
        <v>-2</v>
      </c>
      <c r="J44" s="6">
        <f>IF(AND($C44="Rushing", $H44&lt;=0), 0, IF(AND($C44="Passing", $G$3&lt;=0), 0,IF(AND($C44="Receiving",$I44&lt;=0), 0,SUMIFS(Table2[Stat],Table2[Week],Table1[[#This Row],[Week]],Table2[Athlete],Table1[[#This Row],[Pick]],Table2[Stat Category],"passing",Table2[Stat Type],"TD"))))</f>
        <v>0</v>
      </c>
      <c r="K44" s="6">
        <f>IF(AND($C44="Rushing", $H44&lt;=0), 0, IF(AND($C44="Passing", $G$3&lt;=0), 0,IF(AND($C44="Receiving",$I44&lt;=0),0,SUMIFS(Table2[Stat],Table2[Week],Table1[[#This Row],[Week]],Table2[Athlete],Table1[[#This Row],[Pick]],Table2[Stat Category],"rushing",Table2[Stat Type],"TD"))))</f>
        <v>0</v>
      </c>
      <c r="L44" s="6">
        <f>IF(AND($C44="Rushing", $H44&lt;=0), 0, IF(AND($C44="Passing", $G$3&lt;=0), 0,IF(AND($C44="Receiving",$I44&lt;=0),0,SUMIFS(Table2[Stat],Table2[Week],Table1[[#This Row],[Week]],Table2[Athlete],Table1[[#This Row],[Pick]],Table2[Stat Category],"receiving",Table2[Stat Type],"TD"))))</f>
        <v>0</v>
      </c>
      <c r="M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" s="61">
        <f>SUMIFS(Data!$J:$J,Data!$A:$A,Info!$B44,Data!$G:$G,Info!$C44,Data!$I:$I,Info!$D44,Data!$H:$H,"TOT")</f>
        <v>0</v>
      </c>
      <c r="O44" s="61">
        <f>IF(C44="Defensive",SUMIFS(Data!$J:$J,Data!$A:$A,Info!$B44,Data!$I:$I,Info!$D44,Data!$H:$H,"INT"),0)</f>
        <v>0</v>
      </c>
      <c r="P44" s="61">
        <f>IF(Table1[[#This Row],[Role]]="Defensive",SUMIFS(Data!$J:$J,Data!$A:$A,Info!$B44,Data!$I:$I,Info!$D44,Data!$H:$H,$P$1),0)</f>
        <v>0</v>
      </c>
      <c r="Q44" s="65">
        <f>IF(Table1[[#This Row],[Pick]]="","",IF(S44&gt;1,400,IF(G44="","",IF(C44="Passing",(400-Table1[[#This Row],[Passing Yards]]-(30*Table1[[#This Row],[Passing TDs]])-(50*SUM(Table1[[#This Row],[Rushing TDs]:[Other TD''s]]))),IF(C44="Rushing",2*(200-Table1[[#This Row],[Rushing Yards]]-(30*Table1[[#This Row],[Passing TDs]])-50*(Table1[[#This Row],[Rushing TDs]]+Table1[[#This Row],[Receiving TDs]]+Table1[[#This Row],[Other TD''s]])),IF(C44="Receiving",2*(200-Table1[[#This Row],[Receiving Yards]]-(30*Table1[[#This Row],[Passing TDs]])-50*(Table1[[#This Row],[Rushing TDs]]+Table1[[#This Row],[Receiving TDs]]+Table1[[#This Row],[Other TD''s]])),IF(C44="Defensive",(25*(16-Table1[[#This Row],[Tackles]]-(8*(Table1[[#This Row],[Other TD''s]]+Table1[[#This Row],[Interceptions]]+Table1[[#This Row],[Fumbles Recovered]])))))))))))</f>
        <v>362</v>
      </c>
      <c r="R44" s="3" t="str">
        <f t="shared" si="2"/>
        <v>MoniRushingLe'Veon Moss</v>
      </c>
      <c r="S44" s="4">
        <f t="shared" si="1"/>
        <v>1</v>
      </c>
      <c r="T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19</v>
      </c>
    </row>
    <row r="45" spans="1:20" x14ac:dyDescent="0.25">
      <c r="A45" t="s">
        <v>18</v>
      </c>
      <c r="B45" s="28" t="s">
        <v>27</v>
      </c>
      <c r="C45" t="s">
        <v>17</v>
      </c>
      <c r="D45" t="str">
        <f>_xlfn.XLOOKUP(Table1[[#This Row],[Player]]&amp;Table1[[#This Row],[Week]]&amp;Table1[[#This Row],[Role]],'Google Form Transform'!$A:$A,'Google Form Transform'!E:E,"")</f>
        <v>Kevin Concepcion</v>
      </c>
      <c r="E45" t="str">
        <f>_xlfn.XLOOKUP(Table1[[#This Row],[Player]]&amp;Table1[[#This Row],[Week]]&amp;Table1[[#This Row],[Role]],'Google Form Transform'!$A:$A,'Google Form Transform'!F:F,"")</f>
        <v>Texas A&amp;M</v>
      </c>
      <c r="F45" t="str">
        <f>_xlfn.XLOOKUP(Table1[[#This Row],[Player]]&amp;Table1[[#This Row],[Week]]&amp;Table1[[#This Row],[Role]],'Google Form Transform'!$A:$A,'Google Form Transform'!G:G,"")</f>
        <v>UTSA</v>
      </c>
      <c r="G45" s="59">
        <f>SUMIFS(Table2[Stat],Table2[Stat Category],"passing",Table2[Stat Type],"YDS",Table2[Athlete],Table1[[#This Row],[Pick]],Table2[Week],Table1[[#This Row],[Week]])</f>
        <v>0</v>
      </c>
      <c r="H45" s="59">
        <f>SUMIFS(Table2[Stat],Table2[Stat Category],"rushing",Table2[Stat Type],"YDS",Table2[Athlete],Table1[[#This Row],[Pick]],Table2[Week],Table1[[#This Row],[Week]])</f>
        <v>0</v>
      </c>
      <c r="I45" s="59">
        <f>SUMIFS(Table2[Stat],Table2[Stat Category],"receiving",Table2[Stat Type],"YDS",Table2[Athlete],Table1[[#This Row],[Pick]],Table2[Week],Table1[[#This Row],[Week]])</f>
        <v>72</v>
      </c>
      <c r="J45" s="6">
        <f>IF(AND($C45="Rushing", $H45&lt;=0), 0, IF(AND($C45="Passing", $G$3&lt;=0), 0,IF(AND($C45="Receiving",$I45&lt;=0), 0,SUMIFS(Table2[Stat],Table2[Week],Table1[[#This Row],[Week]],Table2[Athlete],Table1[[#This Row],[Pick]],Table2[Stat Category],"passing",Table2[Stat Type],"TD"))))</f>
        <v>0</v>
      </c>
      <c r="K45" s="6">
        <f>IF(AND($C45="Rushing", $H45&lt;=0), 0, IF(AND($C45="Passing", $G$3&lt;=0), 0,IF(AND($C45="Receiving",$I45&lt;=0),0,SUMIFS(Table2[Stat],Table2[Week],Table1[[#This Row],[Week]],Table2[Athlete],Table1[[#This Row],[Pick]],Table2[Stat Category],"rushing",Table2[Stat Type],"TD"))))</f>
        <v>0</v>
      </c>
      <c r="L45" s="6">
        <f>IF(AND($C45="Rushing", $H45&lt;=0), 0, IF(AND($C45="Passing", $G$3&lt;=0), 0,IF(AND($C45="Receiving",$I45&lt;=0),0,SUMIFS(Table2[Stat],Table2[Week],Table1[[#This Row],[Week]],Table2[Athlete],Table1[[#This Row],[Pick]],Table2[Stat Category],"receiving",Table2[Stat Type],"TD"))))</f>
        <v>1</v>
      </c>
      <c r="M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2</v>
      </c>
      <c r="N45" s="61">
        <f>SUMIFS(Data!$J:$J,Data!$A:$A,Info!$B45,Data!$G:$G,Info!$C45,Data!$I:$I,Info!$D45,Data!$H:$H,"TOT")</f>
        <v>0</v>
      </c>
      <c r="O45" s="61">
        <f>IF(C45="Defensive",SUMIFS(Data!$J:$J,Data!$A:$A,Info!$B45,Data!$I:$I,Info!$D45,Data!$H:$H,"INT"),0)</f>
        <v>0</v>
      </c>
      <c r="P45" s="61">
        <f>IF(Table1[[#This Row],[Role]]="Defensive",SUMIFS(Data!$J:$J,Data!$A:$A,Info!$B45,Data!$I:$I,Info!$D45,Data!$H:$H,$P$1),0)</f>
        <v>0</v>
      </c>
      <c r="Q45" s="65">
        <f>IF(Table1[[#This Row],[Pick]]="","",IF(S45&gt;1,400,IF(G45="","",IF(C45="Passing",(400-Table1[[#This Row],[Passing Yards]]-(30*Table1[[#This Row],[Passing TDs]])-(50*SUM(Table1[[#This Row],[Rushing TDs]:[Other TD''s]]))),IF(C45="Rushing",2*(200-Table1[[#This Row],[Rushing Yards]]-(30*Table1[[#This Row],[Passing TDs]])-50*(Table1[[#This Row],[Rushing TDs]]+Table1[[#This Row],[Receiving TDs]]+Table1[[#This Row],[Other TD''s]])),IF(C45="Receiving",2*(200-Table1[[#This Row],[Receiving Yards]]-(30*Table1[[#This Row],[Passing TDs]])-50*(Table1[[#This Row],[Rushing TDs]]+Table1[[#This Row],[Receiving TDs]]+Table1[[#This Row],[Other TD''s]])),IF(C45="Defensive",(25*(16-Table1[[#This Row],[Tackles]]-(8*(Table1[[#This Row],[Other TD''s]]+Table1[[#This Row],[Interceptions]]+Table1[[#This Row],[Fumbles Recovered]])))))))))))</f>
        <v>-44</v>
      </c>
      <c r="R45" s="3" t="str">
        <f t="shared" si="2"/>
        <v>MoniReceivingKevin Concepcion</v>
      </c>
      <c r="S45" s="4">
        <f t="shared" si="1"/>
        <v>1</v>
      </c>
      <c r="T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72</v>
      </c>
    </row>
    <row r="46" spans="1:20" x14ac:dyDescent="0.25">
      <c r="A46" t="s">
        <v>18</v>
      </c>
      <c r="B46" s="28" t="s">
        <v>27</v>
      </c>
      <c r="C46" t="s">
        <v>20</v>
      </c>
      <c r="D46" t="str">
        <f>_xlfn.XLOOKUP(Table1[[#This Row],[Player]]&amp;Table1[[#This Row],[Week]]&amp;Table1[[#This Row],[Role]],'Google Form Transform'!$A:$A,'Google Form Transform'!E:E,"")</f>
        <v>Will Lee III</v>
      </c>
      <c r="E46" t="str">
        <f>_xlfn.XLOOKUP(Table1[[#This Row],[Player]]&amp;Table1[[#This Row],[Week]]&amp;Table1[[#This Row],[Role]],'Google Form Transform'!$A:$A,'Google Form Transform'!F:F,"")</f>
        <v>Texas A&amp;M</v>
      </c>
      <c r="F46" t="str">
        <f>_xlfn.XLOOKUP(Table1[[#This Row],[Player]]&amp;Table1[[#This Row],[Week]]&amp;Table1[[#This Row],[Role]],'Google Form Transform'!$A:$A,'Google Form Transform'!G:G,"")</f>
        <v>UTSA</v>
      </c>
      <c r="G46" s="59">
        <f>SUMIFS(Table2[Stat],Table2[Stat Category],"passing",Table2[Stat Type],"YDS",Table2[Athlete],Table1[[#This Row],[Pick]],Table2[Week],Table1[[#This Row],[Week]])</f>
        <v>0</v>
      </c>
      <c r="H46" s="59">
        <f>SUMIFS(Table2[Stat],Table2[Stat Category],"rushing",Table2[Stat Type],"YDS",Table2[Athlete],Table1[[#This Row],[Pick]],Table2[Week],Table1[[#This Row],[Week]])</f>
        <v>0</v>
      </c>
      <c r="I46" s="59">
        <f>SUMIFS(Table2[Stat],Table2[Stat Category],"receiving",Table2[Stat Type],"YDS",Table2[Athlete],Table1[[#This Row],[Pick]],Table2[Week],Table1[[#This Row],[Week]])</f>
        <v>0</v>
      </c>
      <c r="J46" s="6">
        <f>IF(AND($C46="Rushing", $H46&lt;=0), 0, IF(AND($C46="Passing", $G$3&lt;=0), 0,IF(AND($C46="Receiving",$I46&lt;=0), 0,SUMIFS(Table2[Stat],Table2[Week],Table1[[#This Row],[Week]],Table2[Athlete],Table1[[#This Row],[Pick]],Table2[Stat Category],"passing",Table2[Stat Type],"TD"))))</f>
        <v>0</v>
      </c>
      <c r="K46" s="6">
        <f>IF(AND($C46="Rushing", $H46&lt;=0), 0, IF(AND($C46="Passing", $G$3&lt;=0), 0,IF(AND($C46="Receiving",$I46&lt;=0),0,SUMIFS(Table2[Stat],Table2[Week],Table1[[#This Row],[Week]],Table2[Athlete],Table1[[#This Row],[Pick]],Table2[Stat Category],"rushing",Table2[Stat Type],"TD"))))</f>
        <v>0</v>
      </c>
      <c r="L46" s="6">
        <f>IF(AND($C46="Rushing", $H46&lt;=0), 0, IF(AND($C46="Passing", $G$3&lt;=0), 0,IF(AND($C46="Receiving",$I46&lt;=0),0,SUMIFS(Table2[Stat],Table2[Week],Table1[[#This Row],[Week]],Table2[Athlete],Table1[[#This Row],[Pick]],Table2[Stat Category],"receiving",Table2[Stat Type],"TD"))))</f>
        <v>0</v>
      </c>
      <c r="M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" s="61">
        <f>SUMIFS(Data!$J:$J,Data!$A:$A,Info!$B46,Data!$G:$G,Info!$C46,Data!$I:$I,Info!$D46,Data!$H:$H,"TOT")</f>
        <v>5</v>
      </c>
      <c r="O46" s="61">
        <f>IF(C46="Defensive",SUMIFS(Data!$J:$J,Data!$A:$A,Info!$B46,Data!$I:$I,Info!$D46,Data!$H:$H,"INT"),0)</f>
        <v>0</v>
      </c>
      <c r="P46" s="61">
        <f>IF(Table1[[#This Row],[Role]]="Defensive",SUMIFS(Data!$J:$J,Data!$A:$A,Info!$B46,Data!$I:$I,Info!$D46,Data!$H:$H,$P$1),0)</f>
        <v>0</v>
      </c>
      <c r="Q46" s="65">
        <f>IF(Table1[[#This Row],[Pick]]="","",IF(S46&gt;1,400,IF(G46="","",IF(C46="Passing",(400-Table1[[#This Row],[Passing Yards]]-(30*Table1[[#This Row],[Passing TDs]])-(50*SUM(Table1[[#This Row],[Rushing TDs]:[Other TD''s]]))),IF(C46="Rushing",2*(200-Table1[[#This Row],[Rushing Yards]]-(30*Table1[[#This Row],[Passing TDs]])-50*(Table1[[#This Row],[Rushing TDs]]+Table1[[#This Row],[Receiving TDs]]+Table1[[#This Row],[Other TD''s]])),IF(C46="Receiving",2*(200-Table1[[#This Row],[Receiving Yards]]-(30*Table1[[#This Row],[Passing TDs]])-50*(Table1[[#This Row],[Rushing TDs]]+Table1[[#This Row],[Receiving TDs]]+Table1[[#This Row],[Other TD''s]])),IF(C46="Defensive",(25*(16-Table1[[#This Row],[Tackles]]-(8*(Table1[[#This Row],[Other TD''s]]+Table1[[#This Row],[Interceptions]]+Table1[[#This Row],[Fumbles Recovered]])))))))))))</f>
        <v>275</v>
      </c>
      <c r="R46" s="3" t="str">
        <f t="shared" si="2"/>
        <v>MoniDefensiveWill Lee III</v>
      </c>
      <c r="S46" s="4">
        <f t="shared" si="1"/>
        <v>1</v>
      </c>
      <c r="T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5</v>
      </c>
    </row>
    <row r="47" spans="1:20" x14ac:dyDescent="0.25">
      <c r="A47" t="s">
        <v>19</v>
      </c>
      <c r="B47" s="28" t="s">
        <v>27</v>
      </c>
      <c r="C47" t="s">
        <v>16</v>
      </c>
      <c r="D47" t="str">
        <f>_xlfn.XLOOKUP(Table1[[#This Row],[Player]]&amp;Table1[[#This Row],[Week]]&amp;Table1[[#This Row],[Role]],'Google Form Transform'!$A:$A,'Google Form Transform'!E:E,"")</f>
        <v>Julian Sayin</v>
      </c>
      <c r="E47" t="str">
        <f>_xlfn.XLOOKUP(Table1[[#This Row],[Player]]&amp;Table1[[#This Row],[Week]]&amp;Table1[[#This Row],[Role]],'Google Form Transform'!$A:$A,'Google Form Transform'!F:F,"")</f>
        <v>Ohio State</v>
      </c>
      <c r="F47" t="str">
        <f>_xlfn.XLOOKUP(Table1[[#This Row],[Player]]&amp;Table1[[#This Row],[Week]]&amp;Table1[[#This Row],[Role]],'Google Form Transform'!$A:$A,'Google Form Transform'!G:G,"")</f>
        <v>Texas</v>
      </c>
      <c r="G47" s="59">
        <f>SUMIFS(Table2[Stat],Table2[Stat Category],"passing",Table2[Stat Type],"YDS",Table2[Athlete],Table1[[#This Row],[Pick]],Table2[Week],Table1[[#This Row],[Week]])</f>
        <v>126</v>
      </c>
      <c r="H47" s="59">
        <f>SUMIFS(Table2[Stat],Table2[Stat Category],"rushing",Table2[Stat Type],"YDS",Table2[Athlete],Table1[[#This Row],[Pick]],Table2[Week],Table1[[#This Row],[Week]])</f>
        <v>2</v>
      </c>
      <c r="I47" s="59">
        <f>SUMIFS(Table2[Stat],Table2[Stat Category],"receiving",Table2[Stat Type],"YDS",Table2[Athlete],Table1[[#This Row],[Pick]],Table2[Week],Table1[[#This Row],[Week]])</f>
        <v>0</v>
      </c>
      <c r="J47" s="6">
        <f>IF(AND($C47="Rushing", $H47&lt;=0), 0, IF(AND($C47="Passing", $G$3&lt;=0), 0,IF(AND($C47="Receiving",$I47&lt;=0), 0,SUMIFS(Table2[Stat],Table2[Week],Table1[[#This Row],[Week]],Table2[Athlete],Table1[[#This Row],[Pick]],Table2[Stat Category],"passing",Table2[Stat Type],"TD"))))</f>
        <v>1</v>
      </c>
      <c r="K47" s="6">
        <f>IF(AND($C47="Rushing", $H47&lt;=0), 0, IF(AND($C47="Passing", $G$3&lt;=0), 0,IF(AND($C47="Receiving",$I47&lt;=0),0,SUMIFS(Table2[Stat],Table2[Week],Table1[[#This Row],[Week]],Table2[Athlete],Table1[[#This Row],[Pick]],Table2[Stat Category],"rushing",Table2[Stat Type],"TD"))))</f>
        <v>0</v>
      </c>
      <c r="L47" s="6">
        <f>IF(AND($C47="Rushing", $H47&lt;=0), 0, IF(AND($C47="Passing", $G$3&lt;=0), 0,IF(AND($C47="Receiving",$I47&lt;=0),0,SUMIFS(Table2[Stat],Table2[Week],Table1[[#This Row],[Week]],Table2[Athlete],Table1[[#This Row],[Pick]],Table2[Stat Category],"receiving",Table2[Stat Type],"TD"))))</f>
        <v>0</v>
      </c>
      <c r="M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" s="61">
        <f>SUMIFS(Data!$J:$J,Data!$A:$A,Info!$B47,Data!$G:$G,Info!$C47,Data!$I:$I,Info!$D47,Data!$H:$H,"TOT")</f>
        <v>0</v>
      </c>
      <c r="O47" s="61">
        <f>IF(C47="Defensive",SUMIFS(Data!$J:$J,Data!$A:$A,Info!$B47,Data!$I:$I,Info!$D47,Data!$H:$H,"INT"),0)</f>
        <v>0</v>
      </c>
      <c r="P47" s="61">
        <f>IF(Table1[[#This Row],[Role]]="Defensive",SUMIFS(Data!$J:$J,Data!$A:$A,Info!$B47,Data!$I:$I,Info!$D47,Data!$H:$H,$P$1),0)</f>
        <v>0</v>
      </c>
      <c r="Q47" s="65">
        <f>IF(Table1[[#This Row],[Pick]]="","",IF(S47&gt;1,400,IF(G47="","",IF(C47="Passing",(400-Table1[[#This Row],[Passing Yards]]-(30*Table1[[#This Row],[Passing TDs]])-(50*SUM(Table1[[#This Row],[Rushing TDs]:[Other TD''s]]))),IF(C47="Rushing",2*(200-Table1[[#This Row],[Rushing Yards]]-(30*Table1[[#This Row],[Passing TDs]])-50*(Table1[[#This Row],[Rushing TDs]]+Table1[[#This Row],[Receiving TDs]]+Table1[[#This Row],[Other TD''s]])),IF(C47="Receiving",2*(200-Table1[[#This Row],[Receiving Yards]]-(30*Table1[[#This Row],[Passing TDs]])-50*(Table1[[#This Row],[Rushing TDs]]+Table1[[#This Row],[Receiving TDs]]+Table1[[#This Row],[Other TD''s]])),IF(C47="Defensive",(25*(16-Table1[[#This Row],[Tackles]]-(8*(Table1[[#This Row],[Other TD''s]]+Table1[[#This Row],[Interceptions]]+Table1[[#This Row],[Fumbles Recovered]])))))))))))</f>
        <v>244</v>
      </c>
      <c r="R47" s="3" t="str">
        <f t="shared" si="2"/>
        <v>HolliePassingJulian Sayin</v>
      </c>
      <c r="S47" s="4">
        <f t="shared" si="1"/>
        <v>1</v>
      </c>
      <c r="T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126</v>
      </c>
    </row>
    <row r="48" spans="1:20" x14ac:dyDescent="0.25">
      <c r="A48" t="s">
        <v>19</v>
      </c>
      <c r="B48" s="28" t="s">
        <v>27</v>
      </c>
      <c r="C48" t="s">
        <v>6</v>
      </c>
      <c r="D48" t="str">
        <f>_xlfn.XLOOKUP(Table1[[#This Row],[Player]]&amp;Table1[[#This Row],[Week]]&amp;Table1[[#This Row],[Role]],'Google Form Transform'!$A:$A,'Google Form Transform'!E:E,"")</f>
        <v>Jeremiyah Love</v>
      </c>
      <c r="E48" t="str">
        <f>_xlfn.XLOOKUP(Table1[[#This Row],[Player]]&amp;Table1[[#This Row],[Week]]&amp;Table1[[#This Row],[Role]],'Google Form Transform'!$A:$A,'Google Form Transform'!F:F,"")</f>
        <v>Notre Dame</v>
      </c>
      <c r="F48" t="str">
        <f>_xlfn.XLOOKUP(Table1[[#This Row],[Player]]&amp;Table1[[#This Row],[Week]]&amp;Table1[[#This Row],[Role]],'Google Form Transform'!$A:$A,'Google Form Transform'!G:G,"")</f>
        <v>Miami (FL)</v>
      </c>
      <c r="G48" s="59">
        <f>SUMIFS(Table2[Stat],Table2[Stat Category],"passing",Table2[Stat Type],"YDS",Table2[Athlete],Table1[[#This Row],[Pick]],Table2[Week],Table1[[#This Row],[Week]])</f>
        <v>0</v>
      </c>
      <c r="H48" s="59">
        <f>SUMIFS(Table2[Stat],Table2[Stat Category],"rushing",Table2[Stat Type],"YDS",Table2[Athlete],Table1[[#This Row],[Pick]],Table2[Week],Table1[[#This Row],[Week]])</f>
        <v>33</v>
      </c>
      <c r="I48" s="59">
        <f>SUMIFS(Table2[Stat],Table2[Stat Category],"receiving",Table2[Stat Type],"YDS",Table2[Athlete],Table1[[#This Row],[Pick]],Table2[Week],Table1[[#This Row],[Week]])</f>
        <v>26</v>
      </c>
      <c r="J48" s="6">
        <f>IF(AND($C48="Rushing", $H48&lt;=0), 0, IF(AND($C48="Passing", $G$3&lt;=0), 0,IF(AND($C48="Receiving",$I48&lt;=0), 0,SUMIFS(Table2[Stat],Table2[Week],Table1[[#This Row],[Week]],Table2[Athlete],Table1[[#This Row],[Pick]],Table2[Stat Category],"passing",Table2[Stat Type],"TD"))))</f>
        <v>0</v>
      </c>
      <c r="K48" s="6">
        <f>IF(AND($C48="Rushing", $H48&lt;=0), 0, IF(AND($C48="Passing", $G$3&lt;=0), 0,IF(AND($C48="Receiving",$I48&lt;=0),0,SUMIFS(Table2[Stat],Table2[Week],Table1[[#This Row],[Week]],Table2[Athlete],Table1[[#This Row],[Pick]],Table2[Stat Category],"rushing",Table2[Stat Type],"TD"))))</f>
        <v>0</v>
      </c>
      <c r="L48" s="6">
        <f>IF(AND($C48="Rushing", $H48&lt;=0), 0, IF(AND($C48="Passing", $G$3&lt;=0), 0,IF(AND($C48="Receiving",$I48&lt;=0),0,SUMIFS(Table2[Stat],Table2[Week],Table1[[#This Row],[Week]],Table2[Athlete],Table1[[#This Row],[Pick]],Table2[Stat Category],"receiving",Table2[Stat Type],"TD"))))</f>
        <v>0</v>
      </c>
      <c r="M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" s="61">
        <f>SUMIFS(Data!$J:$J,Data!$A:$A,Info!$B48,Data!$G:$G,Info!$C48,Data!$I:$I,Info!$D48,Data!$H:$H,"TOT")</f>
        <v>0</v>
      </c>
      <c r="O48" s="61">
        <f>IF(C48="Defensive",SUMIFS(Data!$J:$J,Data!$A:$A,Info!$B48,Data!$I:$I,Info!$D48,Data!$H:$H,"INT"),0)</f>
        <v>0</v>
      </c>
      <c r="P48" s="61">
        <f>IF(Table1[[#This Row],[Role]]="Defensive",SUMIFS(Data!$J:$J,Data!$A:$A,Info!$B48,Data!$I:$I,Info!$D48,Data!$H:$H,$P$1),0)</f>
        <v>0</v>
      </c>
      <c r="Q48" s="65">
        <f>IF(Table1[[#This Row],[Pick]]="","",IF(S48&gt;1,400,IF(G48="","",IF(C48="Passing",(400-Table1[[#This Row],[Passing Yards]]-(30*Table1[[#This Row],[Passing TDs]])-(50*SUM(Table1[[#This Row],[Rushing TDs]:[Other TD''s]]))),IF(C48="Rushing",2*(200-Table1[[#This Row],[Rushing Yards]]-(30*Table1[[#This Row],[Passing TDs]])-50*(Table1[[#This Row],[Rushing TDs]]+Table1[[#This Row],[Receiving TDs]]+Table1[[#This Row],[Other TD''s]])),IF(C48="Receiving",2*(200-Table1[[#This Row],[Receiving Yards]]-(30*Table1[[#This Row],[Passing TDs]])-50*(Table1[[#This Row],[Rushing TDs]]+Table1[[#This Row],[Receiving TDs]]+Table1[[#This Row],[Other TD''s]])),IF(C48="Defensive",(25*(16-Table1[[#This Row],[Tackles]]-(8*(Table1[[#This Row],[Other TD''s]]+Table1[[#This Row],[Interceptions]]+Table1[[#This Row],[Fumbles Recovered]])))))))))))</f>
        <v>334</v>
      </c>
      <c r="R48" s="3" t="str">
        <f t="shared" si="2"/>
        <v>HollieRushingJeremiyah Love</v>
      </c>
      <c r="S48" s="4">
        <f t="shared" si="1"/>
        <v>1</v>
      </c>
      <c r="T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33</v>
      </c>
    </row>
    <row r="49" spans="1:20" x14ac:dyDescent="0.25">
      <c r="A49" t="s">
        <v>19</v>
      </c>
      <c r="B49" s="28" t="s">
        <v>27</v>
      </c>
      <c r="C49" t="s">
        <v>17</v>
      </c>
      <c r="D49" t="str">
        <f>_xlfn.XLOOKUP(Table1[[#This Row],[Player]]&amp;Table1[[#This Row],[Week]]&amp;Table1[[#This Row],[Role]],'Google Form Transform'!$A:$A,'Google Form Transform'!E:E,"")</f>
        <v>Antonio Williams</v>
      </c>
      <c r="E49" t="str">
        <f>_xlfn.XLOOKUP(Table1[[#This Row],[Player]]&amp;Table1[[#This Row],[Week]]&amp;Table1[[#This Row],[Role]],'Google Form Transform'!$A:$A,'Google Form Transform'!F:F,"")</f>
        <v>Clemson</v>
      </c>
      <c r="F49" t="str">
        <f>_xlfn.XLOOKUP(Table1[[#This Row],[Player]]&amp;Table1[[#This Row],[Week]]&amp;Table1[[#This Row],[Role]],'Google Form Transform'!$A:$A,'Google Form Transform'!G:G,"")</f>
        <v>LSU</v>
      </c>
      <c r="G49" s="59">
        <f>SUMIFS(Table2[Stat],Table2[Stat Category],"passing",Table2[Stat Type],"YDS",Table2[Athlete],Table1[[#This Row],[Pick]],Table2[Week],Table1[[#This Row],[Week]])</f>
        <v>0</v>
      </c>
      <c r="H49" s="59">
        <f>SUMIFS(Table2[Stat],Table2[Stat Category],"rushing",Table2[Stat Type],"YDS",Table2[Athlete],Table1[[#This Row],[Pick]],Table2[Week],Table1[[#This Row],[Week]])</f>
        <v>0</v>
      </c>
      <c r="I49" s="59">
        <f>SUMIFS(Table2[Stat],Table2[Stat Category],"receiving",Table2[Stat Type],"YDS",Table2[Athlete],Table1[[#This Row],[Pick]],Table2[Week],Table1[[#This Row],[Week]])</f>
        <v>0</v>
      </c>
      <c r="J49" s="6">
        <f>IF(AND($C49="Rushing", $H49&lt;=0), 0, IF(AND($C49="Passing", $G$3&lt;=0), 0,IF(AND($C49="Receiving",$I49&lt;=0), 0,SUMIFS(Table2[Stat],Table2[Week],Table1[[#This Row],[Week]],Table2[Athlete],Table1[[#This Row],[Pick]],Table2[Stat Category],"passing",Table2[Stat Type],"TD"))))</f>
        <v>0</v>
      </c>
      <c r="K49" s="6">
        <f>IF(AND($C49="Rushing", $H49&lt;=0), 0, IF(AND($C49="Passing", $G$3&lt;=0), 0,IF(AND($C49="Receiving",$I49&lt;=0),0,SUMIFS(Table2[Stat],Table2[Week],Table1[[#This Row],[Week]],Table2[Athlete],Table1[[#This Row],[Pick]],Table2[Stat Category],"rushing",Table2[Stat Type],"TD"))))</f>
        <v>0</v>
      </c>
      <c r="L49" s="6">
        <f>IF(AND($C49="Rushing", $H49&lt;=0), 0, IF(AND($C49="Passing", $G$3&lt;=0), 0,IF(AND($C49="Receiving",$I49&lt;=0),0,SUMIFS(Table2[Stat],Table2[Week],Table1[[#This Row],[Week]],Table2[Athlete],Table1[[#This Row],[Pick]],Table2[Stat Category],"receiving",Table2[Stat Type],"TD"))))</f>
        <v>0</v>
      </c>
      <c r="M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" s="61">
        <f>SUMIFS(Data!$J:$J,Data!$A:$A,Info!$B49,Data!$G:$G,Info!$C49,Data!$I:$I,Info!$D49,Data!$H:$H,"TOT")</f>
        <v>0</v>
      </c>
      <c r="O49" s="61">
        <f>IF(C49="Defensive",SUMIFS(Data!$J:$J,Data!$A:$A,Info!$B49,Data!$I:$I,Info!$D49,Data!$H:$H,"INT"),0)</f>
        <v>0</v>
      </c>
      <c r="P49" s="61">
        <f>IF(Table1[[#This Row],[Role]]="Defensive",SUMIFS(Data!$J:$J,Data!$A:$A,Info!$B49,Data!$I:$I,Info!$D49,Data!$H:$H,$P$1),0)</f>
        <v>0</v>
      </c>
      <c r="Q49" s="65">
        <f>IF(Table1[[#This Row],[Pick]]="","",IF(S49&gt;1,400,IF(G49="","",IF(C49="Passing",(400-Table1[[#This Row],[Passing Yards]]-(30*Table1[[#This Row],[Passing TDs]])-(50*SUM(Table1[[#This Row],[Rushing TDs]:[Other TD''s]]))),IF(C49="Rushing",2*(200-Table1[[#This Row],[Rushing Yards]]-(30*Table1[[#This Row],[Passing TDs]])-50*(Table1[[#This Row],[Rushing TDs]]+Table1[[#This Row],[Receiving TDs]]+Table1[[#This Row],[Other TD''s]])),IF(C49="Receiving",2*(200-Table1[[#This Row],[Receiving Yards]]-(30*Table1[[#This Row],[Passing TDs]])-50*(Table1[[#This Row],[Rushing TDs]]+Table1[[#This Row],[Receiving TDs]]+Table1[[#This Row],[Other TD''s]])),IF(C49="Defensive",(25*(16-Table1[[#This Row],[Tackles]]-(8*(Table1[[#This Row],[Other TD''s]]+Table1[[#This Row],[Interceptions]]+Table1[[#This Row],[Fumbles Recovered]])))))))))))</f>
        <v>400</v>
      </c>
      <c r="R49" s="3" t="str">
        <f t="shared" si="2"/>
        <v>HollieReceivingAntonio Williams</v>
      </c>
      <c r="S49" s="4">
        <f t="shared" si="1"/>
        <v>1</v>
      </c>
      <c r="T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" spans="1:20" x14ac:dyDescent="0.25">
      <c r="A50" t="s">
        <v>19</v>
      </c>
      <c r="B50" s="28" t="s">
        <v>27</v>
      </c>
      <c r="C50" t="s">
        <v>20</v>
      </c>
      <c r="D50" t="str">
        <f>_xlfn.XLOOKUP(Table1[[#This Row],[Player]]&amp;Table1[[#This Row],[Week]]&amp;Table1[[#This Row],[Role]],'Google Form Transform'!$A:$A,'Google Form Transform'!E:E,"")</f>
        <v>Nick Andersen</v>
      </c>
      <c r="E50" t="str">
        <f>_xlfn.XLOOKUP(Table1[[#This Row],[Player]]&amp;Table1[[#This Row],[Week]]&amp;Table1[[#This Row],[Role]],'Google Form Transform'!$A:$A,'Google Form Transform'!F:F,"")</f>
        <v>Wake Forest</v>
      </c>
      <c r="F50" t="str">
        <f>_xlfn.XLOOKUP(Table1[[#This Row],[Player]]&amp;Table1[[#This Row],[Week]]&amp;Table1[[#This Row],[Role]],'Google Form Transform'!$A:$A,'Google Form Transform'!G:G,"")</f>
        <v>Kennesaw State</v>
      </c>
      <c r="G50" s="59">
        <f>SUMIFS(Table2[Stat],Table2[Stat Category],"passing",Table2[Stat Type],"YDS",Table2[Athlete],Table1[[#This Row],[Pick]],Table2[Week],Table1[[#This Row],[Week]])</f>
        <v>0</v>
      </c>
      <c r="H50" s="59">
        <f>SUMIFS(Table2[Stat],Table2[Stat Category],"rushing",Table2[Stat Type],"YDS",Table2[Athlete],Table1[[#This Row],[Pick]],Table2[Week],Table1[[#This Row],[Week]])</f>
        <v>0</v>
      </c>
      <c r="I50" s="59">
        <f>SUMIFS(Table2[Stat],Table2[Stat Category],"receiving",Table2[Stat Type],"YDS",Table2[Athlete],Table1[[#This Row],[Pick]],Table2[Week],Table1[[#This Row],[Week]])</f>
        <v>0</v>
      </c>
      <c r="J50" s="6">
        <f>IF(AND($C50="Rushing", $H50&lt;=0), 0, IF(AND($C50="Passing", $G$3&lt;=0), 0,IF(AND($C50="Receiving",$I50&lt;=0), 0,SUMIFS(Table2[Stat],Table2[Week],Table1[[#This Row],[Week]],Table2[Athlete],Table1[[#This Row],[Pick]],Table2[Stat Category],"passing",Table2[Stat Type],"TD"))))</f>
        <v>0</v>
      </c>
      <c r="K50" s="6">
        <f>IF(AND($C50="Rushing", $H50&lt;=0), 0, IF(AND($C50="Passing", $G$3&lt;=0), 0,IF(AND($C50="Receiving",$I50&lt;=0),0,SUMIFS(Table2[Stat],Table2[Week],Table1[[#This Row],[Week]],Table2[Athlete],Table1[[#This Row],[Pick]],Table2[Stat Category],"rushing",Table2[Stat Type],"TD"))))</f>
        <v>0</v>
      </c>
      <c r="L50" s="6">
        <f>IF(AND($C50="Rushing", $H50&lt;=0), 0, IF(AND($C50="Passing", $G$3&lt;=0), 0,IF(AND($C50="Receiving",$I50&lt;=0),0,SUMIFS(Table2[Stat],Table2[Week],Table1[[#This Row],[Week]],Table2[Athlete],Table1[[#This Row],[Pick]],Table2[Stat Category],"receiving",Table2[Stat Type],"TD"))))</f>
        <v>0</v>
      </c>
      <c r="M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" s="61">
        <f>SUMIFS(Data!$J:$J,Data!$A:$A,Info!$B50,Data!$G:$G,Info!$C50,Data!$I:$I,Info!$D50,Data!$H:$H,"TOT")</f>
        <v>9</v>
      </c>
      <c r="O50" s="61">
        <f>IF(C50="Defensive",SUMIFS(Data!$J:$J,Data!$A:$A,Info!$B50,Data!$I:$I,Info!$D50,Data!$H:$H,"INT"),0)</f>
        <v>0</v>
      </c>
      <c r="P50" s="61">
        <f>IF(Table1[[#This Row],[Role]]="Defensive",SUMIFS(Data!$J:$J,Data!$A:$A,Info!$B50,Data!$I:$I,Info!$D50,Data!$H:$H,$P$1),0)</f>
        <v>0</v>
      </c>
      <c r="Q50" s="65">
        <f>IF(Table1[[#This Row],[Pick]]="","",IF(S50&gt;1,400,IF(G50="","",IF(C50="Passing",(400-Table1[[#This Row],[Passing Yards]]-(30*Table1[[#This Row],[Passing TDs]])-(50*SUM(Table1[[#This Row],[Rushing TDs]:[Other TD''s]]))),IF(C50="Rushing",2*(200-Table1[[#This Row],[Rushing Yards]]-(30*Table1[[#This Row],[Passing TDs]])-50*(Table1[[#This Row],[Rushing TDs]]+Table1[[#This Row],[Receiving TDs]]+Table1[[#This Row],[Other TD''s]])),IF(C50="Receiving",2*(200-Table1[[#This Row],[Receiving Yards]]-(30*Table1[[#This Row],[Passing TDs]])-50*(Table1[[#This Row],[Rushing TDs]]+Table1[[#This Row],[Receiving TDs]]+Table1[[#This Row],[Other TD''s]])),IF(C50="Defensive",(25*(16-Table1[[#This Row],[Tackles]]-(8*(Table1[[#This Row],[Other TD''s]]+Table1[[#This Row],[Interceptions]]+Table1[[#This Row],[Fumbles Recovered]])))))))))))</f>
        <v>175</v>
      </c>
      <c r="R50" s="3" t="str">
        <f t="shared" si="2"/>
        <v>HollieDefensiveNick Andersen</v>
      </c>
      <c r="S50" s="4">
        <f t="shared" si="1"/>
        <v>1</v>
      </c>
      <c r="T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9</v>
      </c>
    </row>
    <row r="51" spans="1:20" x14ac:dyDescent="0.25">
      <c r="A51" t="s">
        <v>26</v>
      </c>
      <c r="B51" s="28" t="s">
        <v>27</v>
      </c>
      <c r="C51" t="s">
        <v>16</v>
      </c>
      <c r="D51" t="str">
        <f>_xlfn.XLOOKUP(Table1[[#This Row],[Player]]&amp;Table1[[#This Row],[Week]]&amp;Table1[[#This Row],[Role]],'Google Form Transform'!$A:$A,'Google Form Transform'!E:E,"")</f>
        <v>Caden Veltkamp</v>
      </c>
      <c r="E51" t="str">
        <f>_xlfn.XLOOKUP(Table1[[#This Row],[Player]]&amp;Table1[[#This Row],[Week]]&amp;Table1[[#This Row],[Role]],'Google Form Transform'!$A:$A,'Google Form Transform'!F:F,"")</f>
        <v>FAU</v>
      </c>
      <c r="F51" t="str">
        <f>_xlfn.XLOOKUP(Table1[[#This Row],[Player]]&amp;Table1[[#This Row],[Week]]&amp;Table1[[#This Row],[Role]],'Google Form Transform'!$A:$A,'Google Form Transform'!G:G,"")</f>
        <v>Maryland</v>
      </c>
      <c r="G51" s="59">
        <f>SUMIFS(Table2[Stat],Table2[Stat Category],"passing",Table2[Stat Type],"YDS",Table2[Athlete],Table1[[#This Row],[Pick]],Table2[Week],Table1[[#This Row],[Week]])</f>
        <v>228</v>
      </c>
      <c r="H51" s="59">
        <f>SUMIFS(Table2[Stat],Table2[Stat Category],"rushing",Table2[Stat Type],"YDS",Table2[Athlete],Table1[[#This Row],[Pick]],Table2[Week],Table1[[#This Row],[Week]])</f>
        <v>-13</v>
      </c>
      <c r="I51" s="59">
        <f>SUMIFS(Table2[Stat],Table2[Stat Category],"receiving",Table2[Stat Type],"YDS",Table2[Athlete],Table1[[#This Row],[Pick]],Table2[Week],Table1[[#This Row],[Week]])</f>
        <v>0</v>
      </c>
      <c r="J51" s="6">
        <f>IF(AND($C51="Rushing", $H51&lt;=0), 0, IF(AND($C51="Passing", $G$3&lt;=0), 0,IF(AND($C51="Receiving",$I51&lt;=0), 0,SUMIFS(Table2[Stat],Table2[Week],Table1[[#This Row],[Week]],Table2[Athlete],Table1[[#This Row],[Pick]],Table2[Stat Category],"passing",Table2[Stat Type],"TD"))))</f>
        <v>1</v>
      </c>
      <c r="K51" s="6">
        <f>IF(AND($C51="Rushing", $H51&lt;=0), 0, IF(AND($C51="Passing", $G$3&lt;=0), 0,IF(AND($C51="Receiving",$I51&lt;=0),0,SUMIFS(Table2[Stat],Table2[Week],Table1[[#This Row],[Week]],Table2[Athlete],Table1[[#This Row],[Pick]],Table2[Stat Category],"rushing",Table2[Stat Type],"TD"))))</f>
        <v>0</v>
      </c>
      <c r="L51" s="6">
        <f>IF(AND($C51="Rushing", $H51&lt;=0), 0, IF(AND($C51="Passing", $G$3&lt;=0), 0,IF(AND($C51="Receiving",$I51&lt;=0),0,SUMIFS(Table2[Stat],Table2[Week],Table1[[#This Row],[Week]],Table2[Athlete],Table1[[#This Row],[Pick]],Table2[Stat Category],"receiving",Table2[Stat Type],"TD"))))</f>
        <v>0</v>
      </c>
      <c r="M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" s="61">
        <f>SUMIFS(Data!$J:$J,Data!$A:$A,Info!$B51,Data!$G:$G,Info!$C51,Data!$I:$I,Info!$D51,Data!$H:$H,"TOT")</f>
        <v>0</v>
      </c>
      <c r="O51" s="61">
        <f>IF(C51="Defensive",SUMIFS(Data!$J:$J,Data!$A:$A,Info!$B51,Data!$I:$I,Info!$D51,Data!$H:$H,"INT"),0)</f>
        <v>0</v>
      </c>
      <c r="P51" s="61">
        <f>IF(Table1[[#This Row],[Role]]="Defensive",SUMIFS(Data!$J:$J,Data!$A:$A,Info!$B51,Data!$I:$I,Info!$D51,Data!$H:$H,$P$1),0)</f>
        <v>0</v>
      </c>
      <c r="Q51" s="65">
        <f>IF(Table1[[#This Row],[Pick]]="","",IF(S51&gt;1,400,IF(G51="","",IF(C51="Passing",(400-Table1[[#This Row],[Passing Yards]]-(30*Table1[[#This Row],[Passing TDs]])-(50*SUM(Table1[[#This Row],[Rushing TDs]:[Other TD''s]]))),IF(C51="Rushing",2*(200-Table1[[#This Row],[Rushing Yards]]-(30*Table1[[#This Row],[Passing TDs]])-50*(Table1[[#This Row],[Rushing TDs]]+Table1[[#This Row],[Receiving TDs]]+Table1[[#This Row],[Other TD''s]])),IF(C51="Receiving",2*(200-Table1[[#This Row],[Receiving Yards]]-(30*Table1[[#This Row],[Passing TDs]])-50*(Table1[[#This Row],[Rushing TDs]]+Table1[[#This Row],[Receiving TDs]]+Table1[[#This Row],[Other TD''s]])),IF(C51="Defensive",(25*(16-Table1[[#This Row],[Tackles]]-(8*(Table1[[#This Row],[Other TD''s]]+Table1[[#This Row],[Interceptions]]+Table1[[#This Row],[Fumbles Recovered]])))))))))))</f>
        <v>142</v>
      </c>
      <c r="R51" s="3" t="str">
        <f t="shared" si="2"/>
        <v>IanPassingCaden Veltkamp</v>
      </c>
      <c r="S51" s="4">
        <f t="shared" si="1"/>
        <v>1</v>
      </c>
      <c r="T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228</v>
      </c>
    </row>
    <row r="52" spans="1:20" x14ac:dyDescent="0.25">
      <c r="A52" t="s">
        <v>26</v>
      </c>
      <c r="B52" s="28" t="s">
        <v>27</v>
      </c>
      <c r="C52" t="s">
        <v>6</v>
      </c>
      <c r="D52" t="str">
        <f>_xlfn.XLOOKUP(Table1[[#This Row],[Player]]&amp;Table1[[#This Row],[Week]]&amp;Table1[[#This Row],[Role]],'Google Form Transform'!$A:$A,'Google Form Transform'!E:E,"")</f>
        <v>Nolan Ray</v>
      </c>
      <c r="E52" t="str">
        <f>_xlfn.XLOOKUP(Table1[[#This Row],[Player]]&amp;Table1[[#This Row],[Week]]&amp;Table1[[#This Row],[Role]],'Google Form Transform'!$A:$A,'Google Form Transform'!F:F,"")</f>
        <v>Maryland</v>
      </c>
      <c r="F52" t="str">
        <f>_xlfn.XLOOKUP(Table1[[#This Row],[Player]]&amp;Table1[[#This Row],[Week]]&amp;Table1[[#This Row],[Role]],'Google Form Transform'!$A:$A,'Google Form Transform'!G:G,"")</f>
        <v>FAU</v>
      </c>
      <c r="G52" s="59">
        <f>SUMIFS(Table2[Stat],Table2[Stat Category],"passing",Table2[Stat Type],"YDS",Table2[Athlete],Table1[[#This Row],[Pick]],Table2[Week],Table1[[#This Row],[Week]])</f>
        <v>0</v>
      </c>
      <c r="H52" s="59">
        <f>SUMIFS(Table2[Stat],Table2[Stat Category],"rushing",Table2[Stat Type],"YDS",Table2[Athlete],Table1[[#This Row],[Pick]],Table2[Week],Table1[[#This Row],[Week]])</f>
        <v>25</v>
      </c>
      <c r="I52" s="59">
        <f>SUMIFS(Table2[Stat],Table2[Stat Category],"receiving",Table2[Stat Type],"YDS",Table2[Athlete],Table1[[#This Row],[Pick]],Table2[Week],Table1[[#This Row],[Week]])</f>
        <v>14</v>
      </c>
      <c r="J52" s="6">
        <f>IF(AND($C52="Rushing", $H52&lt;=0), 0, IF(AND($C52="Passing", $G$3&lt;=0), 0,IF(AND($C52="Receiving",$I52&lt;=0), 0,SUMIFS(Table2[Stat],Table2[Week],Table1[[#This Row],[Week]],Table2[Athlete],Table1[[#This Row],[Pick]],Table2[Stat Category],"passing",Table2[Stat Type],"TD"))))</f>
        <v>0</v>
      </c>
      <c r="K52" s="6">
        <f>IF(AND($C52="Rushing", $H52&lt;=0), 0, IF(AND($C52="Passing", $G$3&lt;=0), 0,IF(AND($C52="Receiving",$I52&lt;=0),0,SUMIFS(Table2[Stat],Table2[Week],Table1[[#This Row],[Week]],Table2[Athlete],Table1[[#This Row],[Pick]],Table2[Stat Category],"rushing",Table2[Stat Type],"TD"))))</f>
        <v>0</v>
      </c>
      <c r="L52" s="6">
        <f>IF(AND($C52="Rushing", $H52&lt;=0), 0, IF(AND($C52="Passing", $G$3&lt;=0), 0,IF(AND($C52="Receiving",$I52&lt;=0),0,SUMIFS(Table2[Stat],Table2[Week],Table1[[#This Row],[Week]],Table2[Athlete],Table1[[#This Row],[Pick]],Table2[Stat Category],"receiving",Table2[Stat Type],"TD"))))</f>
        <v>0</v>
      </c>
      <c r="M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" s="61">
        <f>SUMIFS(Data!$J:$J,Data!$A:$A,Info!$B52,Data!$G:$G,Info!$C52,Data!$I:$I,Info!$D52,Data!$H:$H,"TOT")</f>
        <v>0</v>
      </c>
      <c r="O52" s="61">
        <f>IF(C52="Defensive",SUMIFS(Data!$J:$J,Data!$A:$A,Info!$B52,Data!$I:$I,Info!$D52,Data!$H:$H,"INT"),0)</f>
        <v>0</v>
      </c>
      <c r="P52" s="61">
        <f>IF(Table1[[#This Row],[Role]]="Defensive",SUMIFS(Data!$J:$J,Data!$A:$A,Info!$B52,Data!$I:$I,Info!$D52,Data!$H:$H,$P$1),0)</f>
        <v>0</v>
      </c>
      <c r="Q52" s="65">
        <f>IF(Table1[[#This Row],[Pick]]="","",IF(S52&gt;1,400,IF(G52="","",IF(C52="Passing",(400-Table1[[#This Row],[Passing Yards]]-(30*Table1[[#This Row],[Passing TDs]])-(50*SUM(Table1[[#This Row],[Rushing TDs]:[Other TD''s]]))),IF(C52="Rushing",2*(200-Table1[[#This Row],[Rushing Yards]]-(30*Table1[[#This Row],[Passing TDs]])-50*(Table1[[#This Row],[Rushing TDs]]+Table1[[#This Row],[Receiving TDs]]+Table1[[#This Row],[Other TD''s]])),IF(C52="Receiving",2*(200-Table1[[#This Row],[Receiving Yards]]-(30*Table1[[#This Row],[Passing TDs]])-50*(Table1[[#This Row],[Rushing TDs]]+Table1[[#This Row],[Receiving TDs]]+Table1[[#This Row],[Other TD''s]])),IF(C52="Defensive",(25*(16-Table1[[#This Row],[Tackles]]-(8*(Table1[[#This Row],[Other TD''s]]+Table1[[#This Row],[Interceptions]]+Table1[[#This Row],[Fumbles Recovered]])))))))))))</f>
        <v>350</v>
      </c>
      <c r="R52" s="3" t="str">
        <f t="shared" si="2"/>
        <v>IanRushingNolan Ray</v>
      </c>
      <c r="S52" s="4">
        <f t="shared" si="1"/>
        <v>1</v>
      </c>
      <c r="T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25</v>
      </c>
    </row>
    <row r="53" spans="1:20" x14ac:dyDescent="0.25">
      <c r="A53" t="s">
        <v>26</v>
      </c>
      <c r="B53" s="28" t="s">
        <v>27</v>
      </c>
      <c r="C53" t="s">
        <v>17</v>
      </c>
      <c r="D53" t="str">
        <f>_xlfn.XLOOKUP(Table1[[#This Row],[Player]]&amp;Table1[[#This Row],[Week]]&amp;Table1[[#This Row],[Role]],'Google Form Transform'!$A:$A,'Google Form Transform'!E:E,"")</f>
        <v>Easton Messer</v>
      </c>
      <c r="E53" t="str">
        <f>_xlfn.XLOOKUP(Table1[[#This Row],[Player]]&amp;Table1[[#This Row],[Week]]&amp;Table1[[#This Row],[Role]],'Google Form Transform'!$A:$A,'Google Form Transform'!F:F,"")</f>
        <v>FAU</v>
      </c>
      <c r="F53" t="str">
        <f>_xlfn.XLOOKUP(Table1[[#This Row],[Player]]&amp;Table1[[#This Row],[Week]]&amp;Table1[[#This Row],[Role]],'Google Form Transform'!$A:$A,'Google Form Transform'!G:G,"")</f>
        <v>Maryland</v>
      </c>
      <c r="G53" s="59">
        <f>SUMIFS(Table2[Stat],Table2[Stat Category],"passing",Table2[Stat Type],"YDS",Table2[Athlete],Table1[[#This Row],[Pick]],Table2[Week],Table1[[#This Row],[Week]])</f>
        <v>0</v>
      </c>
      <c r="H53" s="59">
        <f>SUMIFS(Table2[Stat],Table2[Stat Category],"rushing",Table2[Stat Type],"YDS",Table2[Athlete],Table1[[#This Row],[Pick]],Table2[Week],Table1[[#This Row],[Week]])</f>
        <v>0</v>
      </c>
      <c r="I53" s="59">
        <f>SUMIFS(Table2[Stat],Table2[Stat Category],"receiving",Table2[Stat Type],"YDS",Table2[Athlete],Table1[[#This Row],[Pick]],Table2[Week],Table1[[#This Row],[Week]])</f>
        <v>87</v>
      </c>
      <c r="J53" s="6">
        <f>IF(AND($C53="Rushing", $H53&lt;=0), 0, IF(AND($C53="Passing", $G$3&lt;=0), 0,IF(AND($C53="Receiving",$I53&lt;=0), 0,SUMIFS(Table2[Stat],Table2[Week],Table1[[#This Row],[Week]],Table2[Athlete],Table1[[#This Row],[Pick]],Table2[Stat Category],"passing",Table2[Stat Type],"TD"))))</f>
        <v>0</v>
      </c>
      <c r="K53" s="6">
        <f>IF(AND($C53="Rushing", $H53&lt;=0), 0, IF(AND($C53="Passing", $G$3&lt;=0), 0,IF(AND($C53="Receiving",$I53&lt;=0),0,SUMIFS(Table2[Stat],Table2[Week],Table1[[#This Row],[Week]],Table2[Athlete],Table1[[#This Row],[Pick]],Table2[Stat Category],"rushing",Table2[Stat Type],"TD"))))</f>
        <v>0</v>
      </c>
      <c r="L53" s="6">
        <f>IF(AND($C53="Rushing", $H53&lt;=0), 0, IF(AND($C53="Passing", $G$3&lt;=0), 0,IF(AND($C53="Receiving",$I53&lt;=0),0,SUMIFS(Table2[Stat],Table2[Week],Table1[[#This Row],[Week]],Table2[Athlete],Table1[[#This Row],[Pick]],Table2[Stat Category],"receiving",Table2[Stat Type],"TD"))))</f>
        <v>0</v>
      </c>
      <c r="M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" s="61">
        <f>SUMIFS(Data!$J:$J,Data!$A:$A,Info!$B53,Data!$G:$G,Info!$C53,Data!$I:$I,Info!$D53,Data!$H:$H,"TOT")</f>
        <v>0</v>
      </c>
      <c r="O53" s="61">
        <f>IF(C53="Defensive",SUMIFS(Data!$J:$J,Data!$A:$A,Info!$B53,Data!$I:$I,Info!$D53,Data!$H:$H,"INT"),0)</f>
        <v>0</v>
      </c>
      <c r="P53" s="61">
        <f>IF(Table1[[#This Row],[Role]]="Defensive",SUMIFS(Data!$J:$J,Data!$A:$A,Info!$B53,Data!$I:$I,Info!$D53,Data!$H:$H,$P$1),0)</f>
        <v>0</v>
      </c>
      <c r="Q53" s="65">
        <f>IF(Table1[[#This Row],[Pick]]="","",IF(S53&gt;1,400,IF(G53="","",IF(C53="Passing",(400-Table1[[#This Row],[Passing Yards]]-(30*Table1[[#This Row],[Passing TDs]])-(50*SUM(Table1[[#This Row],[Rushing TDs]:[Other TD''s]]))),IF(C53="Rushing",2*(200-Table1[[#This Row],[Rushing Yards]]-(30*Table1[[#This Row],[Passing TDs]])-50*(Table1[[#This Row],[Rushing TDs]]+Table1[[#This Row],[Receiving TDs]]+Table1[[#This Row],[Other TD''s]])),IF(C53="Receiving",2*(200-Table1[[#This Row],[Receiving Yards]]-(30*Table1[[#This Row],[Passing TDs]])-50*(Table1[[#This Row],[Rushing TDs]]+Table1[[#This Row],[Receiving TDs]]+Table1[[#This Row],[Other TD''s]])),IF(C53="Defensive",(25*(16-Table1[[#This Row],[Tackles]]-(8*(Table1[[#This Row],[Other TD''s]]+Table1[[#This Row],[Interceptions]]+Table1[[#This Row],[Fumbles Recovered]])))))))))))</f>
        <v>226</v>
      </c>
      <c r="R53" s="3" t="str">
        <f t="shared" si="2"/>
        <v>IanReceivingEaston Messer</v>
      </c>
      <c r="S53" s="4">
        <f t="shared" si="1"/>
        <v>1</v>
      </c>
      <c r="T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87</v>
      </c>
    </row>
    <row r="54" spans="1:20" x14ac:dyDescent="0.25">
      <c r="A54" t="s">
        <v>26</v>
      </c>
      <c r="B54" s="28" t="s">
        <v>27</v>
      </c>
      <c r="C54" t="s">
        <v>20</v>
      </c>
      <c r="D54" t="str">
        <f>_xlfn.XLOOKUP(Table1[[#This Row],[Player]]&amp;Table1[[#This Row],[Week]]&amp;Table1[[#This Row],[Role]],'Google Form Transform'!$A:$A,'Google Form Transform'!E:E,"")</f>
        <v>Daniel Wingate</v>
      </c>
      <c r="E54" t="str">
        <f>_xlfn.XLOOKUP(Table1[[#This Row],[Player]]&amp;Table1[[#This Row],[Week]]&amp;Table1[[#This Row],[Role]],'Google Form Transform'!$A:$A,'Google Form Transform'!F:F,"")</f>
        <v>Maryland</v>
      </c>
      <c r="F54" t="str">
        <f>_xlfn.XLOOKUP(Table1[[#This Row],[Player]]&amp;Table1[[#This Row],[Week]]&amp;Table1[[#This Row],[Role]],'Google Form Transform'!$A:$A,'Google Form Transform'!G:G,"")</f>
        <v>FAU</v>
      </c>
      <c r="G54" s="59">
        <f>SUMIFS(Table2[Stat],Table2[Stat Category],"passing",Table2[Stat Type],"YDS",Table2[Athlete],Table1[[#This Row],[Pick]],Table2[Week],Table1[[#This Row],[Week]])</f>
        <v>0</v>
      </c>
      <c r="H54" s="59">
        <f>SUMIFS(Table2[Stat],Table2[Stat Category],"rushing",Table2[Stat Type],"YDS",Table2[Athlete],Table1[[#This Row],[Pick]],Table2[Week],Table1[[#This Row],[Week]])</f>
        <v>0</v>
      </c>
      <c r="I54" s="59">
        <f>SUMIFS(Table2[Stat],Table2[Stat Category],"receiving",Table2[Stat Type],"YDS",Table2[Athlete],Table1[[#This Row],[Pick]],Table2[Week],Table1[[#This Row],[Week]])</f>
        <v>0</v>
      </c>
      <c r="J54" s="6">
        <f>IF(AND($C54="Rushing", $H54&lt;=0), 0, IF(AND($C54="Passing", $G$3&lt;=0), 0,IF(AND($C54="Receiving",$I54&lt;=0), 0,SUMIFS(Table2[Stat],Table2[Week],Table1[[#This Row],[Week]],Table2[Athlete],Table1[[#This Row],[Pick]],Table2[Stat Category],"passing",Table2[Stat Type],"TD"))))</f>
        <v>0</v>
      </c>
      <c r="K54" s="6">
        <f>IF(AND($C54="Rushing", $H54&lt;=0), 0, IF(AND($C54="Passing", $G$3&lt;=0), 0,IF(AND($C54="Receiving",$I54&lt;=0),0,SUMIFS(Table2[Stat],Table2[Week],Table1[[#This Row],[Week]],Table2[Athlete],Table1[[#This Row],[Pick]],Table2[Stat Category],"rushing",Table2[Stat Type],"TD"))))</f>
        <v>0</v>
      </c>
      <c r="L54" s="6">
        <f>IF(AND($C54="Rushing", $H54&lt;=0), 0, IF(AND($C54="Passing", $G$3&lt;=0), 0,IF(AND($C54="Receiving",$I54&lt;=0),0,SUMIFS(Table2[Stat],Table2[Week],Table1[[#This Row],[Week]],Table2[Athlete],Table1[[#This Row],[Pick]],Table2[Stat Category],"receiving",Table2[Stat Type],"TD"))))</f>
        <v>0</v>
      </c>
      <c r="M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2</v>
      </c>
      <c r="N54" s="61">
        <f>SUMIFS(Data!$J:$J,Data!$A:$A,Info!$B54,Data!$G:$G,Info!$C54,Data!$I:$I,Info!$D54,Data!$H:$H,"TOT")</f>
        <v>10</v>
      </c>
      <c r="O54" s="61">
        <f>IF(C54="Defensive",SUMIFS(Data!$J:$J,Data!$A:$A,Info!$B54,Data!$I:$I,Info!$D54,Data!$H:$H,"INT"),0)</f>
        <v>1</v>
      </c>
      <c r="P54" s="61">
        <f>IF(Table1[[#This Row],[Role]]="Defensive",SUMIFS(Data!$J:$J,Data!$A:$A,Info!$B54,Data!$I:$I,Info!$D54,Data!$H:$H,$P$1),0)</f>
        <v>0</v>
      </c>
      <c r="Q54" s="65">
        <f>IF(Table1[[#This Row],[Pick]]="","",IF(S54&gt;1,400,IF(G54="","",IF(C54="Passing",(400-Table1[[#This Row],[Passing Yards]]-(30*Table1[[#This Row],[Passing TDs]])-(50*SUM(Table1[[#This Row],[Rushing TDs]:[Other TD''s]]))),IF(C54="Rushing",2*(200-Table1[[#This Row],[Rushing Yards]]-(30*Table1[[#This Row],[Passing TDs]])-50*(Table1[[#This Row],[Rushing TDs]]+Table1[[#This Row],[Receiving TDs]]+Table1[[#This Row],[Other TD''s]])),IF(C54="Receiving",2*(200-Table1[[#This Row],[Receiving Yards]]-(30*Table1[[#This Row],[Passing TDs]])-50*(Table1[[#This Row],[Rushing TDs]]+Table1[[#This Row],[Receiving TDs]]+Table1[[#This Row],[Other TD''s]])),IF(C54="Defensive",(25*(16-Table1[[#This Row],[Tackles]]-(8*(Table1[[#This Row],[Other TD''s]]+Table1[[#This Row],[Interceptions]]+Table1[[#This Row],[Fumbles Recovered]])))))))))))</f>
        <v>-450</v>
      </c>
      <c r="R54" s="3" t="str">
        <f t="shared" si="2"/>
        <v>IanDefensiveDaniel Wingate</v>
      </c>
      <c r="S54" s="4">
        <f t="shared" si="1"/>
        <v>1</v>
      </c>
      <c r="T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10</v>
      </c>
    </row>
    <row r="55" spans="1:20" x14ac:dyDescent="0.25">
      <c r="A55" t="s">
        <v>43</v>
      </c>
      <c r="B55" s="28" t="s">
        <v>27</v>
      </c>
      <c r="C55" t="s">
        <v>16</v>
      </c>
      <c r="D55" t="str">
        <f>_xlfn.XLOOKUP(Table1[[#This Row],[Player]]&amp;Table1[[#This Row],[Week]]&amp;Table1[[#This Row],[Role]],'Google Form Transform'!$A:$A,'Google Form Transform'!E:E,"")</f>
        <v>Walker Eget</v>
      </c>
      <c r="E55" t="str">
        <f>_xlfn.XLOOKUP(Table1[[#This Row],[Player]]&amp;Table1[[#This Row],[Week]]&amp;Table1[[#This Row],[Role]],'Google Form Transform'!$A:$A,'Google Form Transform'!F:F,"")</f>
        <v>San Jose State</v>
      </c>
      <c r="F55" t="str">
        <f>_xlfn.XLOOKUP(Table1[[#This Row],[Player]]&amp;Table1[[#This Row],[Week]]&amp;Table1[[#This Row],[Role]],'Google Form Transform'!$A:$A,'Google Form Transform'!G:G,"")</f>
        <v>CMU</v>
      </c>
      <c r="G55" s="59">
        <f>SUMIFS(Table2[Stat],Table2[Stat Category],"passing",Table2[Stat Type],"YDS",Table2[Athlete],Table1[[#This Row],[Pick]],Table2[Week],Table1[[#This Row],[Week]])</f>
        <v>308</v>
      </c>
      <c r="H55" s="59">
        <f>SUMIFS(Table2[Stat],Table2[Stat Category],"rushing",Table2[Stat Type],"YDS",Table2[Athlete],Table1[[#This Row],[Pick]],Table2[Week],Table1[[#This Row],[Week]])</f>
        <v>-7</v>
      </c>
      <c r="I55" s="59">
        <f>SUMIFS(Table2[Stat],Table2[Stat Category],"receiving",Table2[Stat Type],"YDS",Table2[Athlete],Table1[[#This Row],[Pick]],Table2[Week],Table1[[#This Row],[Week]])</f>
        <v>0</v>
      </c>
      <c r="J55" s="6">
        <f>IF(AND($C55="Rushing", $H55&lt;=0), 0, IF(AND($C55="Passing", $G$3&lt;=0), 0,IF(AND($C55="Receiving",$I55&lt;=0), 0,SUMIFS(Table2[Stat],Table2[Week],Table1[[#This Row],[Week]],Table2[Athlete],Table1[[#This Row],[Pick]],Table2[Stat Category],"passing",Table2[Stat Type],"TD"))))</f>
        <v>2</v>
      </c>
      <c r="K55" s="6">
        <f>IF(AND($C55="Rushing", $H55&lt;=0), 0, IF(AND($C55="Passing", $G$3&lt;=0), 0,IF(AND($C55="Receiving",$I55&lt;=0),0,SUMIFS(Table2[Stat],Table2[Week],Table1[[#This Row],[Week]],Table2[Athlete],Table1[[#This Row],[Pick]],Table2[Stat Category],"rushing",Table2[Stat Type],"TD"))))</f>
        <v>0</v>
      </c>
      <c r="L55" s="6">
        <f>IF(AND($C55="Rushing", $H55&lt;=0), 0, IF(AND($C55="Passing", $G$3&lt;=0), 0,IF(AND($C55="Receiving",$I55&lt;=0),0,SUMIFS(Table2[Stat],Table2[Week],Table1[[#This Row],[Week]],Table2[Athlete],Table1[[#This Row],[Pick]],Table2[Stat Category],"receiving",Table2[Stat Type],"TD"))))</f>
        <v>0</v>
      </c>
      <c r="M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" s="61">
        <f>SUMIFS(Data!$J:$J,Data!$A:$A,Info!$B55,Data!$G:$G,Info!$C55,Data!$I:$I,Info!$D55,Data!$H:$H,"TOT")</f>
        <v>0</v>
      </c>
      <c r="O55" s="61">
        <f>IF(C55="Defensive",SUMIFS(Data!$J:$J,Data!$A:$A,Info!$B55,Data!$I:$I,Info!$D55,Data!$H:$H,"INT"),0)</f>
        <v>0</v>
      </c>
      <c r="P55" s="61">
        <f>IF(Table1[[#This Row],[Role]]="Defensive",SUMIFS(Data!$J:$J,Data!$A:$A,Info!$B55,Data!$I:$I,Info!$D55,Data!$H:$H,$P$1),0)</f>
        <v>0</v>
      </c>
      <c r="Q55" s="65">
        <f>IF(Table1[[#This Row],[Pick]]="","",IF(S55&gt;1,400,IF(G55="","",IF(C55="Passing",(400-Table1[[#This Row],[Passing Yards]]-(30*Table1[[#This Row],[Passing TDs]])-(50*SUM(Table1[[#This Row],[Rushing TDs]:[Other TD''s]]))),IF(C55="Rushing",2*(200-Table1[[#This Row],[Rushing Yards]]-(30*Table1[[#This Row],[Passing TDs]])-50*(Table1[[#This Row],[Rushing TDs]]+Table1[[#This Row],[Receiving TDs]]+Table1[[#This Row],[Other TD''s]])),IF(C55="Receiving",2*(200-Table1[[#This Row],[Receiving Yards]]-(30*Table1[[#This Row],[Passing TDs]])-50*(Table1[[#This Row],[Rushing TDs]]+Table1[[#This Row],[Receiving TDs]]+Table1[[#This Row],[Other TD''s]])),IF(C55="Defensive",(25*(16-Table1[[#This Row],[Tackles]]-(8*(Table1[[#This Row],[Other TD''s]]+Table1[[#This Row],[Interceptions]]+Table1[[#This Row],[Fumbles Recovered]])))))))))))</f>
        <v>32</v>
      </c>
      <c r="R55" s="3" t="str">
        <f t="shared" si="2"/>
        <v>ChapaPassingWalker Eget</v>
      </c>
      <c r="S55" s="4">
        <f t="shared" si="1"/>
        <v>1</v>
      </c>
      <c r="T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308</v>
      </c>
    </row>
    <row r="56" spans="1:20" x14ac:dyDescent="0.25">
      <c r="A56" t="s">
        <v>43</v>
      </c>
      <c r="B56" s="28" t="s">
        <v>27</v>
      </c>
      <c r="C56" t="s">
        <v>6</v>
      </c>
      <c r="D56" t="str">
        <f>_xlfn.XLOOKUP(Table1[[#This Row],[Player]]&amp;Table1[[#This Row],[Week]]&amp;Table1[[#This Row],[Role]],'Google Form Transform'!$A:$A,'Google Form Transform'!E:E,"")</f>
        <v>Kaytron Allen</v>
      </c>
      <c r="E56" t="str">
        <f>_xlfn.XLOOKUP(Table1[[#This Row],[Player]]&amp;Table1[[#This Row],[Week]]&amp;Table1[[#This Row],[Role]],'Google Form Transform'!$A:$A,'Google Form Transform'!F:F,"")</f>
        <v>Penn State</v>
      </c>
      <c r="F56" t="str">
        <f>_xlfn.XLOOKUP(Table1[[#This Row],[Player]]&amp;Table1[[#This Row],[Week]]&amp;Table1[[#This Row],[Role]],'Google Form Transform'!$A:$A,'Google Form Transform'!G:G,"")</f>
        <v>Nevada</v>
      </c>
      <c r="G56" s="59">
        <f>SUMIFS(Table2[Stat],Table2[Stat Category],"passing",Table2[Stat Type],"YDS",Table2[Athlete],Table1[[#This Row],[Pick]],Table2[Week],Table1[[#This Row],[Week]])</f>
        <v>0</v>
      </c>
      <c r="H56" s="59">
        <f>SUMIFS(Table2[Stat],Table2[Stat Category],"rushing",Table2[Stat Type],"YDS",Table2[Athlete],Table1[[#This Row],[Pick]],Table2[Week],Table1[[#This Row],[Week]])</f>
        <v>43</v>
      </c>
      <c r="I56" s="59">
        <f>SUMIFS(Table2[Stat],Table2[Stat Category],"receiving",Table2[Stat Type],"YDS",Table2[Athlete],Table1[[#This Row],[Pick]],Table2[Week],Table1[[#This Row],[Week]])</f>
        <v>2</v>
      </c>
      <c r="J56" s="6">
        <f>IF(AND($C56="Rushing", $H56&lt;=0), 0, IF(AND($C56="Passing", $G$3&lt;=0), 0,IF(AND($C56="Receiving",$I56&lt;=0), 0,SUMIFS(Table2[Stat],Table2[Week],Table1[[#This Row],[Week]],Table2[Athlete],Table1[[#This Row],[Pick]],Table2[Stat Category],"passing",Table2[Stat Type],"TD"))))</f>
        <v>0</v>
      </c>
      <c r="K56" s="6">
        <f>IF(AND($C56="Rushing", $H56&lt;=0), 0, IF(AND($C56="Passing", $G$3&lt;=0), 0,IF(AND($C56="Receiving",$I56&lt;=0),0,SUMIFS(Table2[Stat],Table2[Week],Table1[[#This Row],[Week]],Table2[Athlete],Table1[[#This Row],[Pick]],Table2[Stat Category],"rushing",Table2[Stat Type],"TD"))))</f>
        <v>1</v>
      </c>
      <c r="L56" s="6">
        <f>IF(AND($C56="Rushing", $H56&lt;=0), 0, IF(AND($C56="Passing", $G$3&lt;=0), 0,IF(AND($C56="Receiving",$I56&lt;=0),0,SUMIFS(Table2[Stat],Table2[Week],Table1[[#This Row],[Week]],Table2[Athlete],Table1[[#This Row],[Pick]],Table2[Stat Category],"receiving",Table2[Stat Type],"TD"))))</f>
        <v>0</v>
      </c>
      <c r="M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" s="61">
        <f>SUMIFS(Data!$J:$J,Data!$A:$A,Info!$B56,Data!$G:$G,Info!$C56,Data!$I:$I,Info!$D56,Data!$H:$H,"TOT")</f>
        <v>0</v>
      </c>
      <c r="O56" s="61">
        <f>IF(C56="Defensive",SUMIFS(Data!$J:$J,Data!$A:$A,Info!$B56,Data!$I:$I,Info!$D56,Data!$H:$H,"INT"),0)</f>
        <v>0</v>
      </c>
      <c r="P56" s="61">
        <f>IF(Table1[[#This Row],[Role]]="Defensive",SUMIFS(Data!$J:$J,Data!$A:$A,Info!$B56,Data!$I:$I,Info!$D56,Data!$H:$H,$P$1),0)</f>
        <v>0</v>
      </c>
      <c r="Q56" s="65">
        <f>IF(Table1[[#This Row],[Pick]]="","",IF(S56&gt;1,400,IF(G56="","",IF(C56="Passing",(400-Table1[[#This Row],[Passing Yards]]-(30*Table1[[#This Row],[Passing TDs]])-(50*SUM(Table1[[#This Row],[Rushing TDs]:[Other TD''s]]))),IF(C56="Rushing",2*(200-Table1[[#This Row],[Rushing Yards]]-(30*Table1[[#This Row],[Passing TDs]])-50*(Table1[[#This Row],[Rushing TDs]]+Table1[[#This Row],[Receiving TDs]]+Table1[[#This Row],[Other TD''s]])),IF(C56="Receiving",2*(200-Table1[[#This Row],[Receiving Yards]]-(30*Table1[[#This Row],[Passing TDs]])-50*(Table1[[#This Row],[Rushing TDs]]+Table1[[#This Row],[Receiving TDs]]+Table1[[#This Row],[Other TD''s]])),IF(C56="Defensive",(25*(16-Table1[[#This Row],[Tackles]]-(8*(Table1[[#This Row],[Other TD''s]]+Table1[[#This Row],[Interceptions]]+Table1[[#This Row],[Fumbles Recovered]])))))))))))</f>
        <v>214</v>
      </c>
      <c r="R56" s="3" t="str">
        <f t="shared" si="2"/>
        <v>ChapaRushingKaytron Allen</v>
      </c>
      <c r="S56" s="4">
        <f t="shared" si="1"/>
        <v>1</v>
      </c>
      <c r="T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43</v>
      </c>
    </row>
    <row r="57" spans="1:20" x14ac:dyDescent="0.25">
      <c r="A57" t="s">
        <v>43</v>
      </c>
      <c r="B57" s="28" t="s">
        <v>27</v>
      </c>
      <c r="C57" t="s">
        <v>17</v>
      </c>
      <c r="D57" t="str">
        <f>_xlfn.XLOOKUP(Table1[[#This Row],[Player]]&amp;Table1[[#This Row],[Week]]&amp;Table1[[#This Row],[Role]],'Google Form Transform'!$A:$A,'Google Form Transform'!E:E,"")</f>
        <v>Omar Cooper Jr.</v>
      </c>
      <c r="E57" t="str">
        <f>_xlfn.XLOOKUP(Table1[[#This Row],[Player]]&amp;Table1[[#This Row],[Week]]&amp;Table1[[#This Row],[Role]],'Google Form Transform'!$A:$A,'Google Form Transform'!F:F,"")</f>
        <v>Indiana</v>
      </c>
      <c r="F57" t="str">
        <f>_xlfn.XLOOKUP(Table1[[#This Row],[Player]]&amp;Table1[[#This Row],[Week]]&amp;Table1[[#This Row],[Role]],'Google Form Transform'!$A:$A,'Google Form Transform'!G:G,"")</f>
        <v>Old Dominion</v>
      </c>
      <c r="G57" s="59">
        <f>SUMIFS(Table2[Stat],Table2[Stat Category],"passing",Table2[Stat Type],"YDS",Table2[Athlete],Table1[[#This Row],[Pick]],Table2[Week],Table1[[#This Row],[Week]])</f>
        <v>0</v>
      </c>
      <c r="H57" s="59">
        <f>SUMIFS(Table2[Stat],Table2[Stat Category],"rushing",Table2[Stat Type],"YDS",Table2[Athlete],Table1[[#This Row],[Pick]],Table2[Week],Table1[[#This Row],[Week]])</f>
        <v>0</v>
      </c>
      <c r="I57" s="59">
        <f>SUMIFS(Table2[Stat],Table2[Stat Category],"receiving",Table2[Stat Type],"YDS",Table2[Athlete],Table1[[#This Row],[Pick]],Table2[Week],Table1[[#This Row],[Week]])</f>
        <v>52</v>
      </c>
      <c r="J57" s="6">
        <f>IF(AND($C57="Rushing", $H57&lt;=0), 0, IF(AND($C57="Passing", $G$3&lt;=0), 0,IF(AND($C57="Receiving",$I57&lt;=0), 0,SUMIFS(Table2[Stat],Table2[Week],Table1[[#This Row],[Week]],Table2[Athlete],Table1[[#This Row],[Pick]],Table2[Stat Category],"passing",Table2[Stat Type],"TD"))))</f>
        <v>0</v>
      </c>
      <c r="K57" s="6">
        <f>IF(AND($C57="Rushing", $H57&lt;=0), 0, IF(AND($C57="Passing", $G$3&lt;=0), 0,IF(AND($C57="Receiving",$I57&lt;=0),0,SUMIFS(Table2[Stat],Table2[Week],Table1[[#This Row],[Week]],Table2[Athlete],Table1[[#This Row],[Pick]],Table2[Stat Category],"rushing",Table2[Stat Type],"TD"))))</f>
        <v>0</v>
      </c>
      <c r="L57" s="6">
        <f>IF(AND($C57="Rushing", $H57&lt;=0), 0, IF(AND($C57="Passing", $G$3&lt;=0), 0,IF(AND($C57="Receiving",$I57&lt;=0),0,SUMIFS(Table2[Stat],Table2[Week],Table1[[#This Row],[Week]],Table2[Athlete],Table1[[#This Row],[Pick]],Table2[Stat Category],"receiving",Table2[Stat Type],"TD"))))</f>
        <v>0</v>
      </c>
      <c r="M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" s="61">
        <f>SUMIFS(Data!$J:$J,Data!$A:$A,Info!$B57,Data!$G:$G,Info!$C57,Data!$I:$I,Info!$D57,Data!$H:$H,"TOT")</f>
        <v>0</v>
      </c>
      <c r="O57" s="61">
        <f>IF(C57="Defensive",SUMIFS(Data!$J:$J,Data!$A:$A,Info!$B57,Data!$I:$I,Info!$D57,Data!$H:$H,"INT"),0)</f>
        <v>0</v>
      </c>
      <c r="P57" s="61">
        <f>IF(Table1[[#This Row],[Role]]="Defensive",SUMIFS(Data!$J:$J,Data!$A:$A,Info!$B57,Data!$I:$I,Info!$D57,Data!$H:$H,$P$1),0)</f>
        <v>0</v>
      </c>
      <c r="Q57" s="65">
        <f>IF(Table1[[#This Row],[Pick]]="","",IF(S57&gt;1,400,IF(G57="","",IF(C57="Passing",(400-Table1[[#This Row],[Passing Yards]]-(30*Table1[[#This Row],[Passing TDs]])-(50*SUM(Table1[[#This Row],[Rushing TDs]:[Other TD''s]]))),IF(C57="Rushing",2*(200-Table1[[#This Row],[Rushing Yards]]-(30*Table1[[#This Row],[Passing TDs]])-50*(Table1[[#This Row],[Rushing TDs]]+Table1[[#This Row],[Receiving TDs]]+Table1[[#This Row],[Other TD''s]])),IF(C57="Receiving",2*(200-Table1[[#This Row],[Receiving Yards]]-(30*Table1[[#This Row],[Passing TDs]])-50*(Table1[[#This Row],[Rushing TDs]]+Table1[[#This Row],[Receiving TDs]]+Table1[[#This Row],[Other TD''s]])),IF(C57="Defensive",(25*(16-Table1[[#This Row],[Tackles]]-(8*(Table1[[#This Row],[Other TD''s]]+Table1[[#This Row],[Interceptions]]+Table1[[#This Row],[Fumbles Recovered]])))))))))))</f>
        <v>296</v>
      </c>
      <c r="R57" s="3" t="str">
        <f t="shared" si="2"/>
        <v>ChapaReceivingOmar Cooper Jr.</v>
      </c>
      <c r="S57" s="4">
        <f t="shared" si="1"/>
        <v>1</v>
      </c>
      <c r="T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52</v>
      </c>
    </row>
    <row r="58" spans="1:20" x14ac:dyDescent="0.25">
      <c r="A58" t="s">
        <v>43</v>
      </c>
      <c r="B58" s="28" t="s">
        <v>27</v>
      </c>
      <c r="C58" t="s">
        <v>20</v>
      </c>
      <c r="D58" t="str">
        <f>_xlfn.XLOOKUP(Table1[[#This Row],[Player]]&amp;Table1[[#This Row],[Week]]&amp;Table1[[#This Row],[Role]],'Google Form Transform'!$A:$A,'Google Form Transform'!E:E,"")</f>
        <v>Phoenix Jackson</v>
      </c>
      <c r="E58" t="str">
        <f>_xlfn.XLOOKUP(Table1[[#This Row],[Player]]&amp;Table1[[#This Row],[Week]]&amp;Table1[[#This Row],[Role]],'Google Form Transform'!$A:$A,'Google Form Transform'!F:F,"")</f>
        <v>Baylor</v>
      </c>
      <c r="F58" t="str">
        <f>_xlfn.XLOOKUP(Table1[[#This Row],[Player]]&amp;Table1[[#This Row],[Week]]&amp;Table1[[#This Row],[Role]],'Google Form Transform'!$A:$A,'Google Form Transform'!G:G,"")</f>
        <v>Auburn</v>
      </c>
      <c r="G58" s="59">
        <f>SUMIFS(Table2[Stat],Table2[Stat Category],"passing",Table2[Stat Type],"YDS",Table2[Athlete],Table1[[#This Row],[Pick]],Table2[Week],Table1[[#This Row],[Week]])</f>
        <v>0</v>
      </c>
      <c r="H58" s="59">
        <f>SUMIFS(Table2[Stat],Table2[Stat Category],"rushing",Table2[Stat Type],"YDS",Table2[Athlete],Table1[[#This Row],[Pick]],Table2[Week],Table1[[#This Row],[Week]])</f>
        <v>0</v>
      </c>
      <c r="I58" s="59">
        <f>SUMIFS(Table2[Stat],Table2[Stat Category],"receiving",Table2[Stat Type],"YDS",Table2[Athlete],Table1[[#This Row],[Pick]],Table2[Week],Table1[[#This Row],[Week]])</f>
        <v>0</v>
      </c>
      <c r="J58" s="6">
        <f>IF(AND($C58="Rushing", $H58&lt;=0), 0, IF(AND($C58="Passing", $G$3&lt;=0), 0,IF(AND($C58="Receiving",$I58&lt;=0), 0,SUMIFS(Table2[Stat],Table2[Week],Table1[[#This Row],[Week]],Table2[Athlete],Table1[[#This Row],[Pick]],Table2[Stat Category],"passing",Table2[Stat Type],"TD"))))</f>
        <v>0</v>
      </c>
      <c r="K58" s="6">
        <f>IF(AND($C58="Rushing", $H58&lt;=0), 0, IF(AND($C58="Passing", $G$3&lt;=0), 0,IF(AND($C58="Receiving",$I58&lt;=0),0,SUMIFS(Table2[Stat],Table2[Week],Table1[[#This Row],[Week]],Table2[Athlete],Table1[[#This Row],[Pick]],Table2[Stat Category],"rushing",Table2[Stat Type],"TD"))))</f>
        <v>0</v>
      </c>
      <c r="L58" s="6">
        <f>IF(AND($C58="Rushing", $H58&lt;=0), 0, IF(AND($C58="Passing", $G$3&lt;=0), 0,IF(AND($C58="Receiving",$I58&lt;=0),0,SUMIFS(Table2[Stat],Table2[Week],Table1[[#This Row],[Week]],Table2[Athlete],Table1[[#This Row],[Pick]],Table2[Stat Category],"receiving",Table2[Stat Type],"TD"))))</f>
        <v>0</v>
      </c>
      <c r="M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" s="61">
        <f>SUMIFS(Data!$J:$J,Data!$A:$A,Info!$B58,Data!$G:$G,Info!$C58,Data!$I:$I,Info!$D58,Data!$H:$H,"TOT")</f>
        <v>6</v>
      </c>
      <c r="O58" s="61">
        <f>IF(C58="Defensive",SUMIFS(Data!$J:$J,Data!$A:$A,Info!$B58,Data!$I:$I,Info!$D58,Data!$H:$H,"INT"),0)</f>
        <v>0</v>
      </c>
      <c r="P58" s="61">
        <f>IF(Table1[[#This Row],[Role]]="Defensive",SUMIFS(Data!$J:$J,Data!$A:$A,Info!$B58,Data!$I:$I,Info!$D58,Data!$H:$H,$P$1),0)</f>
        <v>0</v>
      </c>
      <c r="Q58" s="65">
        <f>IF(Table1[[#This Row],[Pick]]="","",IF(S58&gt;1,400,IF(G58="","",IF(C58="Passing",(400-Table1[[#This Row],[Passing Yards]]-(30*Table1[[#This Row],[Passing TDs]])-(50*SUM(Table1[[#This Row],[Rushing TDs]:[Other TD''s]]))),IF(C58="Rushing",2*(200-Table1[[#This Row],[Rushing Yards]]-(30*Table1[[#This Row],[Passing TDs]])-50*(Table1[[#This Row],[Rushing TDs]]+Table1[[#This Row],[Receiving TDs]]+Table1[[#This Row],[Other TD''s]])),IF(C58="Receiving",2*(200-Table1[[#This Row],[Receiving Yards]]-(30*Table1[[#This Row],[Passing TDs]])-50*(Table1[[#This Row],[Rushing TDs]]+Table1[[#This Row],[Receiving TDs]]+Table1[[#This Row],[Other TD''s]])),IF(C58="Defensive",(25*(16-Table1[[#This Row],[Tackles]]-(8*(Table1[[#This Row],[Other TD''s]]+Table1[[#This Row],[Interceptions]]+Table1[[#This Row],[Fumbles Recovered]])))))))))))</f>
        <v>250</v>
      </c>
      <c r="R58" s="3" t="str">
        <f t="shared" si="2"/>
        <v>ChapaDefensivePhoenix Jackson</v>
      </c>
      <c r="S58" s="4">
        <f t="shared" si="1"/>
        <v>1</v>
      </c>
      <c r="T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6</v>
      </c>
    </row>
    <row r="59" spans="1:20" x14ac:dyDescent="0.25">
      <c r="A59" t="s">
        <v>7</v>
      </c>
      <c r="B59" s="28" t="s">
        <v>27</v>
      </c>
      <c r="C59" t="s">
        <v>16</v>
      </c>
      <c r="D59" t="str">
        <f>_xlfn.XLOOKUP(Table1[[#This Row],[Player]]&amp;Table1[[#This Row],[Week]]&amp;Table1[[#This Row],[Role]],'Google Form Transform'!$A:$A,'Google Form Transform'!E:E,"")</f>
        <v>Walker Eget</v>
      </c>
      <c r="E59" t="str">
        <f>_xlfn.XLOOKUP(Table1[[#This Row],[Player]]&amp;Table1[[#This Row],[Week]]&amp;Table1[[#This Row],[Role]],'Google Form Transform'!$A:$A,'Google Form Transform'!F:F,"")</f>
        <v>San Jose State</v>
      </c>
      <c r="F59" t="str">
        <f>_xlfn.XLOOKUP(Table1[[#This Row],[Player]]&amp;Table1[[#This Row],[Week]]&amp;Table1[[#This Row],[Role]],'Google Form Transform'!$A:$A,'Google Form Transform'!G:G,"")</f>
        <v>CMU</v>
      </c>
      <c r="G59" s="59">
        <f>SUMIFS(Table2[Stat],Table2[Stat Category],"passing",Table2[Stat Type],"YDS",Table2[Athlete],Table1[[#This Row],[Pick]],Table2[Week],Table1[[#This Row],[Week]])</f>
        <v>308</v>
      </c>
      <c r="H59" s="59">
        <f>SUMIFS(Table2[Stat],Table2[Stat Category],"rushing",Table2[Stat Type],"YDS",Table2[Athlete],Table1[[#This Row],[Pick]],Table2[Week],Table1[[#This Row],[Week]])</f>
        <v>-7</v>
      </c>
      <c r="I59" s="59">
        <f>SUMIFS(Table2[Stat],Table2[Stat Category],"receiving",Table2[Stat Type],"YDS",Table2[Athlete],Table1[[#This Row],[Pick]],Table2[Week],Table1[[#This Row],[Week]])</f>
        <v>0</v>
      </c>
      <c r="J59" s="6">
        <f>IF(AND($C59="Rushing", $H59&lt;=0), 0, IF(AND($C59="Passing", $G$3&lt;=0), 0,IF(AND($C59="Receiving",$I59&lt;=0), 0,SUMIFS(Table2[Stat],Table2[Week],Table1[[#This Row],[Week]],Table2[Athlete],Table1[[#This Row],[Pick]],Table2[Stat Category],"passing",Table2[Stat Type],"TD"))))</f>
        <v>2</v>
      </c>
      <c r="K59" s="6">
        <f>IF(AND($C59="Rushing", $H59&lt;=0), 0, IF(AND($C59="Passing", $G$3&lt;=0), 0,IF(AND($C59="Receiving",$I59&lt;=0),0,SUMIFS(Table2[Stat],Table2[Week],Table1[[#This Row],[Week]],Table2[Athlete],Table1[[#This Row],[Pick]],Table2[Stat Category],"rushing",Table2[Stat Type],"TD"))))</f>
        <v>0</v>
      </c>
      <c r="L59" s="6">
        <f>IF(AND($C59="Rushing", $H59&lt;=0), 0, IF(AND($C59="Passing", $G$3&lt;=0), 0,IF(AND($C59="Receiving",$I59&lt;=0),0,SUMIFS(Table2[Stat],Table2[Week],Table1[[#This Row],[Week]],Table2[Athlete],Table1[[#This Row],[Pick]],Table2[Stat Category],"receiving",Table2[Stat Type],"TD"))))</f>
        <v>0</v>
      </c>
      <c r="M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" s="61">
        <f>SUMIFS(Data!$J:$J,Data!$A:$A,Info!$B59,Data!$G:$G,Info!$C59,Data!$I:$I,Info!$D59,Data!$H:$H,"TOT")</f>
        <v>0</v>
      </c>
      <c r="O59" s="61">
        <f>IF(C59="Defensive",SUMIFS(Data!$J:$J,Data!$A:$A,Info!$B59,Data!$I:$I,Info!$D59,Data!$H:$H,"INT"),0)</f>
        <v>0</v>
      </c>
      <c r="P59" s="61">
        <f>IF(Table1[[#This Row],[Role]]="Defensive",SUMIFS(Data!$J:$J,Data!$A:$A,Info!$B59,Data!$I:$I,Info!$D59,Data!$H:$H,$P$1),0)</f>
        <v>0</v>
      </c>
      <c r="Q59" s="65">
        <f>IF(Table1[[#This Row],[Pick]]="","",IF(S59&gt;1,400,IF(G59="","",IF(C59="Passing",(400-Table1[[#This Row],[Passing Yards]]-(30*Table1[[#This Row],[Passing TDs]])-(50*SUM(Table1[[#This Row],[Rushing TDs]:[Other TD''s]]))),IF(C59="Rushing",2*(200-Table1[[#This Row],[Rushing Yards]]-(30*Table1[[#This Row],[Passing TDs]])-50*(Table1[[#This Row],[Rushing TDs]]+Table1[[#This Row],[Receiving TDs]]+Table1[[#This Row],[Other TD''s]])),IF(C59="Receiving",2*(200-Table1[[#This Row],[Receiving Yards]]-(30*Table1[[#This Row],[Passing TDs]])-50*(Table1[[#This Row],[Rushing TDs]]+Table1[[#This Row],[Receiving TDs]]+Table1[[#This Row],[Other TD''s]])),IF(C59="Defensive",(25*(16-Table1[[#This Row],[Tackles]]-(8*(Table1[[#This Row],[Other TD''s]]+Table1[[#This Row],[Interceptions]]+Table1[[#This Row],[Fumbles Recovered]])))))))))))</f>
        <v>32</v>
      </c>
      <c r="R59" s="3" t="str">
        <f t="shared" si="2"/>
        <v>MarcPassingWalker Eget</v>
      </c>
      <c r="S59" s="4">
        <f t="shared" si="1"/>
        <v>1</v>
      </c>
      <c r="T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308</v>
      </c>
    </row>
    <row r="60" spans="1:20" x14ac:dyDescent="0.25">
      <c r="A60" t="s">
        <v>7</v>
      </c>
      <c r="B60" s="28" t="s">
        <v>27</v>
      </c>
      <c r="C60" t="s">
        <v>6</v>
      </c>
      <c r="D60" t="str">
        <f>_xlfn.XLOOKUP(Table1[[#This Row],[Player]]&amp;Table1[[#This Row],[Week]]&amp;Table1[[#This Row],[Role]],'Google Form Transform'!$A:$A,'Google Form Transform'!E:E,"")</f>
        <v>James Peoples</v>
      </c>
      <c r="E60" t="str">
        <f>_xlfn.XLOOKUP(Table1[[#This Row],[Player]]&amp;Table1[[#This Row],[Week]]&amp;Table1[[#This Row],[Role]],'Google Form Transform'!$A:$A,'Google Form Transform'!F:F,"")</f>
        <v>Ohio State</v>
      </c>
      <c r="F60" t="str">
        <f>_xlfn.XLOOKUP(Table1[[#This Row],[Player]]&amp;Table1[[#This Row],[Week]]&amp;Table1[[#This Row],[Role]],'Google Form Transform'!$A:$A,'Google Form Transform'!G:G,"")</f>
        <v>Texas</v>
      </c>
      <c r="G60" s="59">
        <f>SUMIFS(Table2[Stat],Table2[Stat Category],"passing",Table2[Stat Type],"YDS",Table2[Athlete],Table1[[#This Row],[Pick]],Table2[Week],Table1[[#This Row],[Week]])</f>
        <v>0</v>
      </c>
      <c r="H60" s="59">
        <f>SUMIFS(Table2[Stat],Table2[Stat Category],"rushing",Table2[Stat Type],"YDS",Table2[Athlete],Table1[[#This Row],[Pick]],Table2[Week],Table1[[#This Row],[Week]])</f>
        <v>20</v>
      </c>
      <c r="I60" s="59">
        <f>SUMIFS(Table2[Stat],Table2[Stat Category],"receiving",Table2[Stat Type],"YDS",Table2[Athlete],Table1[[#This Row],[Pick]],Table2[Week],Table1[[#This Row],[Week]])</f>
        <v>0</v>
      </c>
      <c r="J60" s="6">
        <f>IF(AND($C60="Rushing", $H60&lt;=0), 0, IF(AND($C60="Passing", $G$3&lt;=0), 0,IF(AND($C60="Receiving",$I60&lt;=0), 0,SUMIFS(Table2[Stat],Table2[Week],Table1[[#This Row],[Week]],Table2[Athlete],Table1[[#This Row],[Pick]],Table2[Stat Category],"passing",Table2[Stat Type],"TD"))))</f>
        <v>0</v>
      </c>
      <c r="K60" s="6">
        <f>IF(AND($C60="Rushing", $H60&lt;=0), 0, IF(AND($C60="Passing", $G$3&lt;=0), 0,IF(AND($C60="Receiving",$I60&lt;=0),0,SUMIFS(Table2[Stat],Table2[Week],Table1[[#This Row],[Week]],Table2[Athlete],Table1[[#This Row],[Pick]],Table2[Stat Category],"rushing",Table2[Stat Type],"TD"))))</f>
        <v>0</v>
      </c>
      <c r="L60" s="6">
        <f>IF(AND($C60="Rushing", $H60&lt;=0), 0, IF(AND($C60="Passing", $G$3&lt;=0), 0,IF(AND($C60="Receiving",$I60&lt;=0),0,SUMIFS(Table2[Stat],Table2[Week],Table1[[#This Row],[Week]],Table2[Athlete],Table1[[#This Row],[Pick]],Table2[Stat Category],"receiving",Table2[Stat Type],"TD"))))</f>
        <v>0</v>
      </c>
      <c r="M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" s="61">
        <f>SUMIFS(Data!$J:$J,Data!$A:$A,Info!$B60,Data!$G:$G,Info!$C60,Data!$I:$I,Info!$D60,Data!$H:$H,"TOT")</f>
        <v>0</v>
      </c>
      <c r="O60" s="61">
        <f>IF(C60="Defensive",SUMIFS(Data!$J:$J,Data!$A:$A,Info!$B60,Data!$I:$I,Info!$D60,Data!$H:$H,"INT"),0)</f>
        <v>0</v>
      </c>
      <c r="P60" s="61">
        <f>IF(Table1[[#This Row],[Role]]="Defensive",SUMIFS(Data!$J:$J,Data!$A:$A,Info!$B60,Data!$I:$I,Info!$D60,Data!$H:$H,$P$1),0)</f>
        <v>0</v>
      </c>
      <c r="Q60" s="65">
        <f>IF(Table1[[#This Row],[Pick]]="","",IF(S60&gt;1,400,IF(G60="","",IF(C60="Passing",(400-Table1[[#This Row],[Passing Yards]]-(30*Table1[[#This Row],[Passing TDs]])-(50*SUM(Table1[[#This Row],[Rushing TDs]:[Other TD''s]]))),IF(C60="Rushing",2*(200-Table1[[#This Row],[Rushing Yards]]-(30*Table1[[#This Row],[Passing TDs]])-50*(Table1[[#This Row],[Rushing TDs]]+Table1[[#This Row],[Receiving TDs]]+Table1[[#This Row],[Other TD''s]])),IF(C60="Receiving",2*(200-Table1[[#This Row],[Receiving Yards]]-(30*Table1[[#This Row],[Passing TDs]])-50*(Table1[[#This Row],[Rushing TDs]]+Table1[[#This Row],[Receiving TDs]]+Table1[[#This Row],[Other TD''s]])),IF(C60="Defensive",(25*(16-Table1[[#This Row],[Tackles]]-(8*(Table1[[#This Row],[Other TD''s]]+Table1[[#This Row],[Interceptions]]+Table1[[#This Row],[Fumbles Recovered]])))))))))))</f>
        <v>360</v>
      </c>
      <c r="R60" s="3" t="str">
        <f t="shared" si="2"/>
        <v>MarcRushingJames Peoples</v>
      </c>
      <c r="S60" s="4">
        <f t="shared" si="1"/>
        <v>1</v>
      </c>
      <c r="T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20</v>
      </c>
    </row>
    <row r="61" spans="1:20" x14ac:dyDescent="0.25">
      <c r="A61" t="s">
        <v>7</v>
      </c>
      <c r="B61" s="28" t="s">
        <v>27</v>
      </c>
      <c r="C61" t="s">
        <v>17</v>
      </c>
      <c r="D61" t="str">
        <f>_xlfn.XLOOKUP(Table1[[#This Row],[Player]]&amp;Table1[[#This Row],[Week]]&amp;Table1[[#This Row],[Role]],'Google Form Transform'!$A:$A,'Google Form Transform'!E:E,"")</f>
        <v>Eric Rivers</v>
      </c>
      <c r="E61" t="str">
        <f>_xlfn.XLOOKUP(Table1[[#This Row],[Player]]&amp;Table1[[#This Row],[Week]]&amp;Table1[[#This Row],[Role]],'Google Form Transform'!$A:$A,'Google Form Transform'!F:F,"")</f>
        <v>Georgia Tech</v>
      </c>
      <c r="F61" t="str">
        <f>_xlfn.XLOOKUP(Table1[[#This Row],[Player]]&amp;Table1[[#This Row],[Week]]&amp;Table1[[#This Row],[Role]],'Google Form Transform'!$A:$A,'Google Form Transform'!G:G,"")</f>
        <v>Colorado</v>
      </c>
      <c r="G61" s="59">
        <f>SUMIFS(Table2[Stat],Table2[Stat Category],"passing",Table2[Stat Type],"YDS",Table2[Athlete],Table1[[#This Row],[Pick]],Table2[Week],Table1[[#This Row],[Week]])</f>
        <v>0</v>
      </c>
      <c r="H61" s="59">
        <f>SUMIFS(Table2[Stat],Table2[Stat Category],"rushing",Table2[Stat Type],"YDS",Table2[Athlete],Table1[[#This Row],[Pick]],Table2[Week],Table1[[#This Row],[Week]])</f>
        <v>34</v>
      </c>
      <c r="I61" s="59">
        <f>SUMIFS(Table2[Stat],Table2[Stat Category],"receiving",Table2[Stat Type],"YDS",Table2[Athlete],Table1[[#This Row],[Pick]],Table2[Week],Table1[[#This Row],[Week]])</f>
        <v>24</v>
      </c>
      <c r="J61" s="6">
        <f>IF(AND($C61="Rushing", $H61&lt;=0), 0, IF(AND($C61="Passing", $G$3&lt;=0), 0,IF(AND($C61="Receiving",$I61&lt;=0), 0,SUMIFS(Table2[Stat],Table2[Week],Table1[[#This Row],[Week]],Table2[Athlete],Table1[[#This Row],[Pick]],Table2[Stat Category],"passing",Table2[Stat Type],"TD"))))</f>
        <v>0</v>
      </c>
      <c r="K61" s="6">
        <f>IF(AND($C61="Rushing", $H61&lt;=0), 0, IF(AND($C61="Passing", $G$3&lt;=0), 0,IF(AND($C61="Receiving",$I61&lt;=0),0,SUMIFS(Table2[Stat],Table2[Week],Table1[[#This Row],[Week]],Table2[Athlete],Table1[[#This Row],[Pick]],Table2[Stat Category],"rushing",Table2[Stat Type],"TD"))))</f>
        <v>0</v>
      </c>
      <c r="L61" s="6">
        <f>IF(AND($C61="Rushing", $H61&lt;=0), 0, IF(AND($C61="Passing", $G$3&lt;=0), 0,IF(AND($C61="Receiving",$I61&lt;=0),0,SUMIFS(Table2[Stat],Table2[Week],Table1[[#This Row],[Week]],Table2[Athlete],Table1[[#This Row],[Pick]],Table2[Stat Category],"receiving",Table2[Stat Type],"TD"))))</f>
        <v>0</v>
      </c>
      <c r="M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" s="61">
        <f>SUMIFS(Data!$J:$J,Data!$A:$A,Info!$B61,Data!$G:$G,Info!$C61,Data!$I:$I,Info!$D61,Data!$H:$H,"TOT")</f>
        <v>0</v>
      </c>
      <c r="O61" s="61">
        <f>IF(C61="Defensive",SUMIFS(Data!$J:$J,Data!$A:$A,Info!$B61,Data!$I:$I,Info!$D61,Data!$H:$H,"INT"),0)</f>
        <v>0</v>
      </c>
      <c r="P61" s="61">
        <f>IF(Table1[[#This Row],[Role]]="Defensive",SUMIFS(Data!$J:$J,Data!$A:$A,Info!$B61,Data!$I:$I,Info!$D61,Data!$H:$H,$P$1),0)</f>
        <v>0</v>
      </c>
      <c r="Q61" s="65">
        <f>IF(Table1[[#This Row],[Pick]]="","",IF(S61&gt;1,400,IF(G61="","",IF(C61="Passing",(400-Table1[[#This Row],[Passing Yards]]-(30*Table1[[#This Row],[Passing TDs]])-(50*SUM(Table1[[#This Row],[Rushing TDs]:[Other TD''s]]))),IF(C61="Rushing",2*(200-Table1[[#This Row],[Rushing Yards]]-(30*Table1[[#This Row],[Passing TDs]])-50*(Table1[[#This Row],[Rushing TDs]]+Table1[[#This Row],[Receiving TDs]]+Table1[[#This Row],[Other TD''s]])),IF(C61="Receiving",2*(200-Table1[[#This Row],[Receiving Yards]]-(30*Table1[[#This Row],[Passing TDs]])-50*(Table1[[#This Row],[Rushing TDs]]+Table1[[#This Row],[Receiving TDs]]+Table1[[#This Row],[Other TD''s]])),IF(C61="Defensive",(25*(16-Table1[[#This Row],[Tackles]]-(8*(Table1[[#This Row],[Other TD''s]]+Table1[[#This Row],[Interceptions]]+Table1[[#This Row],[Fumbles Recovered]])))))))))))</f>
        <v>352</v>
      </c>
      <c r="R61" s="3" t="str">
        <f t="shared" si="2"/>
        <v>MarcReceivingEric Rivers</v>
      </c>
      <c r="S61" s="4">
        <f t="shared" si="1"/>
        <v>1</v>
      </c>
      <c r="T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24</v>
      </c>
    </row>
    <row r="62" spans="1:20" x14ac:dyDescent="0.25">
      <c r="A62" t="s">
        <v>7</v>
      </c>
      <c r="B62" s="28" t="s">
        <v>27</v>
      </c>
      <c r="C62" t="s">
        <v>20</v>
      </c>
      <c r="D62" t="str">
        <f>_xlfn.XLOOKUP(Table1[[#This Row],[Player]]&amp;Table1[[#This Row],[Week]]&amp;Table1[[#This Row],[Role]],'Google Form Transform'!$A:$A,'Google Form Transform'!E:E,"")</f>
        <v>Colin Simmons</v>
      </c>
      <c r="E62" t="str">
        <f>_xlfn.XLOOKUP(Table1[[#This Row],[Player]]&amp;Table1[[#This Row],[Week]]&amp;Table1[[#This Row],[Role]],'Google Form Transform'!$A:$A,'Google Form Transform'!F:F,"")</f>
        <v>Texas</v>
      </c>
      <c r="F62" t="str">
        <f>_xlfn.XLOOKUP(Table1[[#This Row],[Player]]&amp;Table1[[#This Row],[Week]]&amp;Table1[[#This Row],[Role]],'Google Form Transform'!$A:$A,'Google Form Transform'!G:G,"")</f>
        <v>Ohio State</v>
      </c>
      <c r="G62" s="59">
        <f>SUMIFS(Table2[Stat],Table2[Stat Category],"passing",Table2[Stat Type],"YDS",Table2[Athlete],Table1[[#This Row],[Pick]],Table2[Week],Table1[[#This Row],[Week]])</f>
        <v>0</v>
      </c>
      <c r="H62" s="59">
        <f>SUMIFS(Table2[Stat],Table2[Stat Category],"rushing",Table2[Stat Type],"YDS",Table2[Athlete],Table1[[#This Row],[Pick]],Table2[Week],Table1[[#This Row],[Week]])</f>
        <v>0</v>
      </c>
      <c r="I62" s="59">
        <f>SUMIFS(Table2[Stat],Table2[Stat Category],"receiving",Table2[Stat Type],"YDS",Table2[Athlete],Table1[[#This Row],[Pick]],Table2[Week],Table1[[#This Row],[Week]])</f>
        <v>0</v>
      </c>
      <c r="J62" s="6">
        <f>IF(AND($C62="Rushing", $H62&lt;=0), 0, IF(AND($C62="Passing", $G$3&lt;=0), 0,IF(AND($C62="Receiving",$I62&lt;=0), 0,SUMIFS(Table2[Stat],Table2[Week],Table1[[#This Row],[Week]],Table2[Athlete],Table1[[#This Row],[Pick]],Table2[Stat Category],"passing",Table2[Stat Type],"TD"))))</f>
        <v>0</v>
      </c>
      <c r="K62" s="6">
        <f>IF(AND($C62="Rushing", $H62&lt;=0), 0, IF(AND($C62="Passing", $G$3&lt;=0), 0,IF(AND($C62="Receiving",$I62&lt;=0),0,SUMIFS(Table2[Stat],Table2[Week],Table1[[#This Row],[Week]],Table2[Athlete],Table1[[#This Row],[Pick]],Table2[Stat Category],"rushing",Table2[Stat Type],"TD"))))</f>
        <v>0</v>
      </c>
      <c r="L62" s="6">
        <f>IF(AND($C62="Rushing", $H62&lt;=0), 0, IF(AND($C62="Passing", $G$3&lt;=0), 0,IF(AND($C62="Receiving",$I62&lt;=0),0,SUMIFS(Table2[Stat],Table2[Week],Table1[[#This Row],[Week]],Table2[Athlete],Table1[[#This Row],[Pick]],Table2[Stat Category],"receiving",Table2[Stat Type],"TD"))))</f>
        <v>0</v>
      </c>
      <c r="M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" s="61">
        <f>SUMIFS(Data!$J:$J,Data!$A:$A,Info!$B62,Data!$G:$G,Info!$C62,Data!$I:$I,Info!$D62,Data!$H:$H,"TOT")</f>
        <v>2</v>
      </c>
      <c r="O62" s="61">
        <f>IF(C62="Defensive",SUMIFS(Data!$J:$J,Data!$A:$A,Info!$B62,Data!$I:$I,Info!$D62,Data!$H:$H,"INT"),0)</f>
        <v>0</v>
      </c>
      <c r="P62" s="61">
        <f>IF(Table1[[#This Row],[Role]]="Defensive",SUMIFS(Data!$J:$J,Data!$A:$A,Info!$B62,Data!$I:$I,Info!$D62,Data!$H:$H,$P$1),0)</f>
        <v>0</v>
      </c>
      <c r="Q62" s="65">
        <f>IF(Table1[[#This Row],[Pick]]="","",IF(S62&gt;1,400,IF(G62="","",IF(C62="Passing",(400-Table1[[#This Row],[Passing Yards]]-(30*Table1[[#This Row],[Passing TDs]])-(50*SUM(Table1[[#This Row],[Rushing TDs]:[Other TD''s]]))),IF(C62="Rushing",2*(200-Table1[[#This Row],[Rushing Yards]]-(30*Table1[[#This Row],[Passing TDs]])-50*(Table1[[#This Row],[Rushing TDs]]+Table1[[#This Row],[Receiving TDs]]+Table1[[#This Row],[Other TD''s]])),IF(C62="Receiving",2*(200-Table1[[#This Row],[Receiving Yards]]-(30*Table1[[#This Row],[Passing TDs]])-50*(Table1[[#This Row],[Rushing TDs]]+Table1[[#This Row],[Receiving TDs]]+Table1[[#This Row],[Other TD''s]])),IF(C62="Defensive",(25*(16-Table1[[#This Row],[Tackles]]-(8*(Table1[[#This Row],[Other TD''s]]+Table1[[#This Row],[Interceptions]]+Table1[[#This Row],[Fumbles Recovered]])))))))))))</f>
        <v>350</v>
      </c>
      <c r="R62" s="3" t="str">
        <f t="shared" si="2"/>
        <v>MarcDefensiveColin Simmons</v>
      </c>
      <c r="S62" s="4">
        <f t="shared" si="1"/>
        <v>1</v>
      </c>
      <c r="T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2</v>
      </c>
    </row>
    <row r="63" spans="1:20" hidden="1" x14ac:dyDescent="0.25">
      <c r="A63" t="s">
        <v>2</v>
      </c>
      <c r="B63" s="28" t="s">
        <v>44</v>
      </c>
      <c r="C63" t="s">
        <v>16</v>
      </c>
      <c r="D63" t="str">
        <f>_xlfn.XLOOKUP(Table1[[#This Row],[Player]]&amp;Table1[[#This Row],[Week]]&amp;Table1[[#This Row],[Role]],'Google Form Transform'!$A:$A,'Google Form Transform'!E:E,"")</f>
        <v/>
      </c>
      <c r="E63" t="str">
        <f>_xlfn.XLOOKUP(Table1[[#This Row],[Player]]&amp;Table1[[#This Row],[Week]]&amp;Table1[[#This Row],[Role]],'Google Form Transform'!$A:$A,'Google Form Transform'!F:F,"")</f>
        <v/>
      </c>
      <c r="F63" t="str">
        <f>_xlfn.XLOOKUP(Table1[[#This Row],[Player]]&amp;Table1[[#This Row],[Week]]&amp;Table1[[#This Row],[Role]],'Google Form Transform'!$A:$A,'Google Form Transform'!G:G,"")</f>
        <v/>
      </c>
      <c r="G63" s="59">
        <f>SUMIFS(Table2[Stat],Table2[Stat Category],"passing",Table2[Stat Type],"YDS",Table2[Athlete],Table1[[#This Row],[Pick]],Table2[Week],Table1[[#This Row],[Week]])</f>
        <v>0</v>
      </c>
      <c r="H63" s="59">
        <f>SUMIFS(Table2[Stat],Table2[Stat Category],"rushing",Table2[Stat Type],"YDS",Table2[Athlete],Table1[[#This Row],[Pick]],Table2[Week],Table1[[#This Row],[Week]])</f>
        <v>0</v>
      </c>
      <c r="I63" s="59">
        <f>SUMIFS(Table2[Stat],Table2[Stat Category],"receiving",Table2[Stat Type],"YDS",Table2[Athlete],Table1[[#This Row],[Pick]],Table2[Week],Table1[[#This Row],[Week]])</f>
        <v>0</v>
      </c>
      <c r="J63" s="6">
        <f>IF(AND($C63="Rushing", $H63&lt;=0), 0, IF(AND($C63="Passing", $G$3&lt;=0), 0,IF(AND($C63="Receiving",$I63&lt;=0), 0,SUMIFS(Table2[Stat],Table2[Week],Table1[[#This Row],[Week]],Table2[Athlete],Table1[[#This Row],[Pick]],Table2[Stat Category],"passing",Table2[Stat Type],"TD"))))</f>
        <v>0</v>
      </c>
      <c r="K63" s="6">
        <f>IF(AND($C63="Rushing", $H63&lt;=0), 0, IF(AND($C63="Passing", $G$3&lt;=0), 0,IF(AND($C63="Receiving",$I63&lt;=0),0,SUMIFS(Table2[Stat],Table2[Week],Table1[[#This Row],[Week]],Table2[Athlete],Table1[[#This Row],[Pick]],Table2[Stat Category],"rushing",Table2[Stat Type],"TD"))))</f>
        <v>0</v>
      </c>
      <c r="L63" s="6">
        <f>IF(AND($C63="Rushing", $H63&lt;=0), 0, IF(AND($C63="Passing", $G$3&lt;=0), 0,IF(AND($C63="Receiving",$I63&lt;=0),0,SUMIFS(Table2[Stat],Table2[Week],Table1[[#This Row],[Week]],Table2[Athlete],Table1[[#This Row],[Pick]],Table2[Stat Category],"receiving",Table2[Stat Type],"TD"))))</f>
        <v>0</v>
      </c>
      <c r="M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" s="61">
        <f>SUMIFS(Data!$J:$J,Data!$A:$A,Info!$B63,Data!$G:$G,Info!$C63,Data!$I:$I,Info!$D63,Data!$H:$H,"TOT")</f>
        <v>0</v>
      </c>
      <c r="O63" s="61">
        <f>IF(C63="Defensive",SUMIFS(Data!$J:$J,Data!$A:$A,Info!$B63,Data!$I:$I,Info!$D63,Data!$H:$H,"INT"),0)</f>
        <v>0</v>
      </c>
      <c r="P63" s="61">
        <f>IF(Table1[[#This Row],[Role]]="Defensive",SUMIFS(Data!$J:$J,Data!$A:$A,Info!$B63,Data!$I:$I,Info!$D63,Data!$H:$H,$P$1),0)</f>
        <v>0</v>
      </c>
      <c r="Q63" s="65" t="str">
        <f>IF(Table1[[#This Row],[Pick]]="","",IF(S63&gt;1,400,IF(G63="","",IF(C63="Passing",(400-Table1[[#This Row],[Passing Yards]]-(30*Table1[[#This Row],[Passing TDs]])-(50*SUM(Table1[[#This Row],[Rushing TDs]:[Other TD''s]]))),IF(C63="Rushing",2*(200-Table1[[#This Row],[Rushing Yards]]-(30*Table1[[#This Row],[Passing TDs]])-50*(Table1[[#This Row],[Rushing TDs]]+Table1[[#This Row],[Receiving TDs]]+Table1[[#This Row],[Other TD''s]])),IF(C63="Receiving",2*(200-Table1[[#This Row],[Receiving Yards]]-(30*Table1[[#This Row],[Passing TDs]])-50*(Table1[[#This Row],[Rushing TDs]]+Table1[[#This Row],[Receiving TDs]]+Table1[[#This Row],[Other TD''s]])),IF(C63="Defensive",(25*(16-Table1[[#This Row],[Tackles]]-(8*(Table1[[#This Row],[Other TD''s]]+Table1[[#This Row],[Interceptions]]+Table1[[#This Row],[Fumbles Recovered]])))))))))))</f>
        <v/>
      </c>
      <c r="R63" s="3" t="str">
        <f t="shared" si="2"/>
        <v/>
      </c>
      <c r="S63" s="4">
        <f t="shared" si="1"/>
        <v>1048507</v>
      </c>
      <c r="T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" spans="1:20" hidden="1" x14ac:dyDescent="0.25">
      <c r="A64" t="s">
        <v>2</v>
      </c>
      <c r="B64" s="28" t="s">
        <v>44</v>
      </c>
      <c r="C64" t="s">
        <v>6</v>
      </c>
      <c r="D64" t="str">
        <f>_xlfn.XLOOKUP(Table1[[#This Row],[Player]]&amp;Table1[[#This Row],[Week]]&amp;Table1[[#This Row],[Role]],'Google Form Transform'!$A:$A,'Google Form Transform'!E:E,"")</f>
        <v/>
      </c>
      <c r="E64" t="str">
        <f>_xlfn.XLOOKUP(Table1[[#This Row],[Player]]&amp;Table1[[#This Row],[Week]]&amp;Table1[[#This Row],[Role]],'Google Form Transform'!$A:$A,'Google Form Transform'!F:F,"")</f>
        <v/>
      </c>
      <c r="F64" t="str">
        <f>_xlfn.XLOOKUP(Table1[[#This Row],[Player]]&amp;Table1[[#This Row],[Week]]&amp;Table1[[#This Row],[Role]],'Google Form Transform'!$A:$A,'Google Form Transform'!G:G,"")</f>
        <v/>
      </c>
      <c r="G64" s="59">
        <f>SUMIFS(Table2[Stat],Table2[Stat Category],"passing",Table2[Stat Type],"YDS",Table2[Athlete],Table1[[#This Row],[Pick]],Table2[Week],Table1[[#This Row],[Week]])</f>
        <v>0</v>
      </c>
      <c r="H64" s="59">
        <f>SUMIFS(Table2[Stat],Table2[Stat Category],"rushing",Table2[Stat Type],"YDS",Table2[Athlete],Table1[[#This Row],[Pick]],Table2[Week],Table1[[#This Row],[Week]])</f>
        <v>0</v>
      </c>
      <c r="I64" s="59">
        <f>SUMIFS(Table2[Stat],Table2[Stat Category],"receiving",Table2[Stat Type],"YDS",Table2[Athlete],Table1[[#This Row],[Pick]],Table2[Week],Table1[[#This Row],[Week]])</f>
        <v>0</v>
      </c>
      <c r="J64" s="6">
        <f>IF(AND($C64="Rushing", $H64&lt;=0), 0, IF(AND($C64="Passing", $G$3&lt;=0), 0,IF(AND($C64="Receiving",$I64&lt;=0), 0,SUMIFS(Table2[Stat],Table2[Week],Table1[[#This Row],[Week]],Table2[Athlete],Table1[[#This Row],[Pick]],Table2[Stat Category],"passing",Table2[Stat Type],"TD"))))</f>
        <v>0</v>
      </c>
      <c r="K64" s="6">
        <f>IF(AND($C64="Rushing", $H64&lt;=0), 0, IF(AND($C64="Passing", $G$3&lt;=0), 0,IF(AND($C64="Receiving",$I64&lt;=0),0,SUMIFS(Table2[Stat],Table2[Week],Table1[[#This Row],[Week]],Table2[Athlete],Table1[[#This Row],[Pick]],Table2[Stat Category],"rushing",Table2[Stat Type],"TD"))))</f>
        <v>0</v>
      </c>
      <c r="L64" s="6">
        <f>IF(AND($C64="Rushing", $H64&lt;=0), 0, IF(AND($C64="Passing", $G$3&lt;=0), 0,IF(AND($C64="Receiving",$I64&lt;=0),0,SUMIFS(Table2[Stat],Table2[Week],Table1[[#This Row],[Week]],Table2[Athlete],Table1[[#This Row],[Pick]],Table2[Stat Category],"receiving",Table2[Stat Type],"TD"))))</f>
        <v>0</v>
      </c>
      <c r="M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" s="61">
        <f>SUMIFS(Data!$J:$J,Data!$A:$A,Info!$B64,Data!$G:$G,Info!$C64,Data!$I:$I,Info!$D64,Data!$H:$H,"TOT")</f>
        <v>0</v>
      </c>
      <c r="O64" s="61">
        <f>IF(C64="Defensive",SUMIFS(Data!$J:$J,Data!$A:$A,Info!$B64,Data!$I:$I,Info!$D64,Data!$H:$H,"INT"),0)</f>
        <v>0</v>
      </c>
      <c r="P64" s="61">
        <f>IF(Table1[[#This Row],[Role]]="Defensive",SUMIFS(Data!$J:$J,Data!$A:$A,Info!$B64,Data!$I:$I,Info!$D64,Data!$H:$H,$P$1),0)</f>
        <v>0</v>
      </c>
      <c r="Q64" s="65" t="str">
        <f>IF(Table1[[#This Row],[Pick]]="","",IF(S64&gt;1,400,IF(G64="","",IF(C64="Passing",(400-Table1[[#This Row],[Passing Yards]]-(30*Table1[[#This Row],[Passing TDs]])-(50*SUM(Table1[[#This Row],[Rushing TDs]:[Other TD''s]]))),IF(C64="Rushing",2*(200-Table1[[#This Row],[Rushing Yards]]-(30*Table1[[#This Row],[Passing TDs]])-50*(Table1[[#This Row],[Rushing TDs]]+Table1[[#This Row],[Receiving TDs]]+Table1[[#This Row],[Other TD''s]])),IF(C64="Receiving",2*(200-Table1[[#This Row],[Receiving Yards]]-(30*Table1[[#This Row],[Passing TDs]])-50*(Table1[[#This Row],[Rushing TDs]]+Table1[[#This Row],[Receiving TDs]]+Table1[[#This Row],[Other TD''s]])),IF(C64="Defensive",(25*(16-Table1[[#This Row],[Tackles]]-(8*(Table1[[#This Row],[Other TD''s]]+Table1[[#This Row],[Interceptions]]+Table1[[#This Row],[Fumbles Recovered]])))))))))))</f>
        <v/>
      </c>
      <c r="R64" s="3" t="str">
        <f t="shared" si="2"/>
        <v/>
      </c>
      <c r="S64" s="4">
        <f t="shared" si="1"/>
        <v>1048507</v>
      </c>
      <c r="T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" spans="1:20" hidden="1" x14ac:dyDescent="0.25">
      <c r="A65" t="s">
        <v>2</v>
      </c>
      <c r="B65" s="28" t="s">
        <v>44</v>
      </c>
      <c r="C65" t="s">
        <v>17</v>
      </c>
      <c r="D65" t="str">
        <f>_xlfn.XLOOKUP(Table1[[#This Row],[Player]]&amp;Table1[[#This Row],[Week]]&amp;Table1[[#This Row],[Role]],'Google Form Transform'!$A:$A,'Google Form Transform'!E:E,"")</f>
        <v/>
      </c>
      <c r="E65" t="str">
        <f>_xlfn.XLOOKUP(Table1[[#This Row],[Player]]&amp;Table1[[#This Row],[Week]]&amp;Table1[[#This Row],[Role]],'Google Form Transform'!$A:$A,'Google Form Transform'!F:F,"")</f>
        <v/>
      </c>
      <c r="F65" t="str">
        <f>_xlfn.XLOOKUP(Table1[[#This Row],[Player]]&amp;Table1[[#This Row],[Week]]&amp;Table1[[#This Row],[Role]],'Google Form Transform'!$A:$A,'Google Form Transform'!G:G,"")</f>
        <v/>
      </c>
      <c r="G65" s="59">
        <f>SUMIFS(Table2[Stat],Table2[Stat Category],"passing",Table2[Stat Type],"YDS",Table2[Athlete],Table1[[#This Row],[Pick]],Table2[Week],Table1[[#This Row],[Week]])</f>
        <v>0</v>
      </c>
      <c r="H65" s="59">
        <f>SUMIFS(Table2[Stat],Table2[Stat Category],"rushing",Table2[Stat Type],"YDS",Table2[Athlete],Table1[[#This Row],[Pick]],Table2[Week],Table1[[#This Row],[Week]])</f>
        <v>0</v>
      </c>
      <c r="I65" s="59">
        <f>SUMIFS(Table2[Stat],Table2[Stat Category],"receiving",Table2[Stat Type],"YDS",Table2[Athlete],Table1[[#This Row],[Pick]],Table2[Week],Table1[[#This Row],[Week]])</f>
        <v>0</v>
      </c>
      <c r="J65" s="6">
        <f>IF(AND($C65="Rushing", $H65&lt;=0), 0, IF(AND($C65="Passing", $G$3&lt;=0), 0,IF(AND($C65="Receiving",$I65&lt;=0), 0,SUMIFS(Table2[Stat],Table2[Week],Table1[[#This Row],[Week]],Table2[Athlete],Table1[[#This Row],[Pick]],Table2[Stat Category],"passing",Table2[Stat Type],"TD"))))</f>
        <v>0</v>
      </c>
      <c r="K65" s="6">
        <f>IF(AND($C65="Rushing", $H65&lt;=0), 0, IF(AND($C65="Passing", $G$3&lt;=0), 0,IF(AND($C65="Receiving",$I65&lt;=0),0,SUMIFS(Table2[Stat],Table2[Week],Table1[[#This Row],[Week]],Table2[Athlete],Table1[[#This Row],[Pick]],Table2[Stat Category],"rushing",Table2[Stat Type],"TD"))))</f>
        <v>0</v>
      </c>
      <c r="L65" s="6">
        <f>IF(AND($C65="Rushing", $H65&lt;=0), 0, IF(AND($C65="Passing", $G$3&lt;=0), 0,IF(AND($C65="Receiving",$I65&lt;=0),0,SUMIFS(Table2[Stat],Table2[Week],Table1[[#This Row],[Week]],Table2[Athlete],Table1[[#This Row],[Pick]],Table2[Stat Category],"receiving",Table2[Stat Type],"TD"))))</f>
        <v>0</v>
      </c>
      <c r="M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" s="61">
        <f>SUMIFS(Data!$J:$J,Data!$A:$A,Info!$B65,Data!$G:$G,Info!$C65,Data!$I:$I,Info!$D65,Data!$H:$H,"TOT")</f>
        <v>0</v>
      </c>
      <c r="O65" s="61">
        <f>IF(C65="Defensive",SUMIFS(Data!$J:$J,Data!$A:$A,Info!$B65,Data!$I:$I,Info!$D65,Data!$H:$H,"INT"),0)</f>
        <v>0</v>
      </c>
      <c r="P65" s="61">
        <f>IF(Table1[[#This Row],[Role]]="Defensive",SUMIFS(Data!$J:$J,Data!$A:$A,Info!$B65,Data!$I:$I,Info!$D65,Data!$H:$H,$P$1),0)</f>
        <v>0</v>
      </c>
      <c r="Q65" s="65" t="str">
        <f>IF(Table1[[#This Row],[Pick]]="","",IF(S65&gt;1,400,IF(G65="","",IF(C65="Passing",(400-Table1[[#This Row],[Passing Yards]]-(30*Table1[[#This Row],[Passing TDs]])-(50*SUM(Table1[[#This Row],[Rushing TDs]:[Other TD''s]]))),IF(C65="Rushing",2*(200-Table1[[#This Row],[Rushing Yards]]-(30*Table1[[#This Row],[Passing TDs]])-50*(Table1[[#This Row],[Rushing TDs]]+Table1[[#This Row],[Receiving TDs]]+Table1[[#This Row],[Other TD''s]])),IF(C65="Receiving",2*(200-Table1[[#This Row],[Receiving Yards]]-(30*Table1[[#This Row],[Passing TDs]])-50*(Table1[[#This Row],[Rushing TDs]]+Table1[[#This Row],[Receiving TDs]]+Table1[[#This Row],[Other TD''s]])),IF(C65="Defensive",(25*(16-Table1[[#This Row],[Tackles]]-(8*(Table1[[#This Row],[Other TD''s]]+Table1[[#This Row],[Interceptions]]+Table1[[#This Row],[Fumbles Recovered]])))))))))))</f>
        <v/>
      </c>
      <c r="R65" s="3" t="str">
        <f t="shared" si="2"/>
        <v/>
      </c>
      <c r="S65" s="4">
        <f t="shared" si="1"/>
        <v>1048507</v>
      </c>
      <c r="T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" spans="1:20" hidden="1" x14ac:dyDescent="0.25">
      <c r="A66" t="s">
        <v>2</v>
      </c>
      <c r="B66" s="28" t="s">
        <v>44</v>
      </c>
      <c r="C66" t="s">
        <v>20</v>
      </c>
      <c r="D66" t="str">
        <f>_xlfn.XLOOKUP(Table1[[#This Row],[Player]]&amp;Table1[[#This Row],[Week]]&amp;Table1[[#This Row],[Role]],'Google Form Transform'!$A:$A,'Google Form Transform'!E:E,"")</f>
        <v/>
      </c>
      <c r="E66" t="str">
        <f>_xlfn.XLOOKUP(Table1[[#This Row],[Player]]&amp;Table1[[#This Row],[Week]]&amp;Table1[[#This Row],[Role]],'Google Form Transform'!$A:$A,'Google Form Transform'!F:F,"")</f>
        <v/>
      </c>
      <c r="F66" t="str">
        <f>_xlfn.XLOOKUP(Table1[[#This Row],[Player]]&amp;Table1[[#This Row],[Week]]&amp;Table1[[#This Row],[Role]],'Google Form Transform'!$A:$A,'Google Form Transform'!G:G,"")</f>
        <v/>
      </c>
      <c r="G66" s="59">
        <f>SUMIFS(Table2[Stat],Table2[Stat Category],"passing",Table2[Stat Type],"YDS",Table2[Athlete],Table1[[#This Row],[Pick]],Table2[Week],Table1[[#This Row],[Week]])</f>
        <v>0</v>
      </c>
      <c r="H66" s="59">
        <f>SUMIFS(Table2[Stat],Table2[Stat Category],"rushing",Table2[Stat Type],"YDS",Table2[Athlete],Table1[[#This Row],[Pick]],Table2[Week],Table1[[#This Row],[Week]])</f>
        <v>0</v>
      </c>
      <c r="I66" s="59">
        <f>SUMIFS(Table2[Stat],Table2[Stat Category],"receiving",Table2[Stat Type],"YDS",Table2[Athlete],Table1[[#This Row],[Pick]],Table2[Week],Table1[[#This Row],[Week]])</f>
        <v>0</v>
      </c>
      <c r="J66" s="6">
        <f>IF(AND($C66="Rushing", $H66&lt;=0), 0, IF(AND($C66="Passing", $G$3&lt;=0), 0,IF(AND($C66="Receiving",$I66&lt;=0), 0,SUMIFS(Table2[Stat],Table2[Week],Table1[[#This Row],[Week]],Table2[Athlete],Table1[[#This Row],[Pick]],Table2[Stat Category],"passing",Table2[Stat Type],"TD"))))</f>
        <v>0</v>
      </c>
      <c r="K66" s="6">
        <f>IF(AND($C66="Rushing", $H66&lt;=0), 0, IF(AND($C66="Passing", $G$3&lt;=0), 0,IF(AND($C66="Receiving",$I66&lt;=0),0,SUMIFS(Table2[Stat],Table2[Week],Table1[[#This Row],[Week]],Table2[Athlete],Table1[[#This Row],[Pick]],Table2[Stat Category],"rushing",Table2[Stat Type],"TD"))))</f>
        <v>0</v>
      </c>
      <c r="L66" s="6">
        <f>IF(AND($C66="Rushing", $H66&lt;=0), 0, IF(AND($C66="Passing", $G$3&lt;=0), 0,IF(AND($C66="Receiving",$I66&lt;=0),0,SUMIFS(Table2[Stat],Table2[Week],Table1[[#This Row],[Week]],Table2[Athlete],Table1[[#This Row],[Pick]],Table2[Stat Category],"receiving",Table2[Stat Type],"TD"))))</f>
        <v>0</v>
      </c>
      <c r="M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" s="61">
        <f>SUMIFS(Data!$J:$J,Data!$A:$A,Info!$B66,Data!$G:$G,Info!$C66,Data!$I:$I,Info!$D66,Data!$H:$H,"TOT")</f>
        <v>0</v>
      </c>
      <c r="O66" s="61">
        <f>IF(C66="Defensive",SUMIFS(Data!$J:$J,Data!$A:$A,Info!$B66,Data!$I:$I,Info!$D66,Data!$H:$H,"INT"),0)</f>
        <v>0</v>
      </c>
      <c r="P66" s="61">
        <f>IF(Table1[[#This Row],[Role]]="Defensive",SUMIFS(Data!$J:$J,Data!$A:$A,Info!$B66,Data!$I:$I,Info!$D66,Data!$H:$H,$P$1),0)</f>
        <v>0</v>
      </c>
      <c r="Q66" s="65" t="str">
        <f>IF(Table1[[#This Row],[Pick]]="","",IF(S66&gt;1,400,IF(G66="","",IF(C66="Passing",(400-Table1[[#This Row],[Passing Yards]]-(30*Table1[[#This Row],[Passing TDs]])-(50*SUM(Table1[[#This Row],[Rushing TDs]:[Other TD''s]]))),IF(C66="Rushing",2*(200-Table1[[#This Row],[Rushing Yards]]-(30*Table1[[#This Row],[Passing TDs]])-50*(Table1[[#This Row],[Rushing TDs]]+Table1[[#This Row],[Receiving TDs]]+Table1[[#This Row],[Other TD''s]])),IF(C66="Receiving",2*(200-Table1[[#This Row],[Receiving Yards]]-(30*Table1[[#This Row],[Passing TDs]])-50*(Table1[[#This Row],[Rushing TDs]]+Table1[[#This Row],[Receiving TDs]]+Table1[[#This Row],[Other TD''s]])),IF(C66="Defensive",(25*(16-Table1[[#This Row],[Tackles]]-(8*(Table1[[#This Row],[Other TD''s]]+Table1[[#This Row],[Interceptions]]+Table1[[#This Row],[Fumbles Recovered]])))))))))))</f>
        <v/>
      </c>
      <c r="R66" s="3" t="str">
        <f t="shared" si="2"/>
        <v/>
      </c>
      <c r="S66" s="4">
        <f t="shared" si="1"/>
        <v>1048507</v>
      </c>
      <c r="T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" spans="1:20" hidden="1" x14ac:dyDescent="0.25">
      <c r="A67" t="s">
        <v>4</v>
      </c>
      <c r="B67" s="28" t="s">
        <v>44</v>
      </c>
      <c r="C67" t="s">
        <v>16</v>
      </c>
      <c r="D67" t="str">
        <f>_xlfn.XLOOKUP(Table1[[#This Row],[Player]]&amp;Table1[[#This Row],[Week]]&amp;Table1[[#This Row],[Role]],'Google Form Transform'!$A:$A,'Google Form Transform'!E:E,"")</f>
        <v/>
      </c>
      <c r="E67" t="str">
        <f>_xlfn.XLOOKUP(Table1[[#This Row],[Player]]&amp;Table1[[#This Row],[Week]]&amp;Table1[[#This Row],[Role]],'Google Form Transform'!$A:$A,'Google Form Transform'!F:F,"")</f>
        <v/>
      </c>
      <c r="F67" t="str">
        <f>_xlfn.XLOOKUP(Table1[[#This Row],[Player]]&amp;Table1[[#This Row],[Week]]&amp;Table1[[#This Row],[Role]],'Google Form Transform'!$A:$A,'Google Form Transform'!G:G,"")</f>
        <v/>
      </c>
      <c r="G67" s="59">
        <f>SUMIFS(Table2[Stat],Table2[Stat Category],"passing",Table2[Stat Type],"YDS",Table2[Athlete],Table1[[#This Row],[Pick]],Table2[Week],Table1[[#This Row],[Week]])</f>
        <v>0</v>
      </c>
      <c r="H67" s="59">
        <f>SUMIFS(Table2[Stat],Table2[Stat Category],"rushing",Table2[Stat Type],"YDS",Table2[Athlete],Table1[[#This Row],[Pick]],Table2[Week],Table1[[#This Row],[Week]])</f>
        <v>0</v>
      </c>
      <c r="I67" s="59">
        <f>SUMIFS(Table2[Stat],Table2[Stat Category],"receiving",Table2[Stat Type],"YDS",Table2[Athlete],Table1[[#This Row],[Pick]],Table2[Week],Table1[[#This Row],[Week]])</f>
        <v>0</v>
      </c>
      <c r="J67" s="6">
        <f>IF(AND($C67="Rushing", $H67&lt;=0), 0, IF(AND($C67="Passing", $G$3&lt;=0), 0,IF(AND($C67="Receiving",$I67&lt;=0), 0,SUMIFS(Table2[Stat],Table2[Week],Table1[[#This Row],[Week]],Table2[Athlete],Table1[[#This Row],[Pick]],Table2[Stat Category],"passing",Table2[Stat Type],"TD"))))</f>
        <v>0</v>
      </c>
      <c r="K67" s="6">
        <f>IF(AND($C67="Rushing", $H67&lt;=0), 0, IF(AND($C67="Passing", $G$3&lt;=0), 0,IF(AND($C67="Receiving",$I67&lt;=0),0,SUMIFS(Table2[Stat],Table2[Week],Table1[[#This Row],[Week]],Table2[Athlete],Table1[[#This Row],[Pick]],Table2[Stat Category],"rushing",Table2[Stat Type],"TD"))))</f>
        <v>0</v>
      </c>
      <c r="L67" s="6">
        <f>IF(AND($C67="Rushing", $H67&lt;=0), 0, IF(AND($C67="Passing", $G$3&lt;=0), 0,IF(AND($C67="Receiving",$I67&lt;=0),0,SUMIFS(Table2[Stat],Table2[Week],Table1[[#This Row],[Week]],Table2[Athlete],Table1[[#This Row],[Pick]],Table2[Stat Category],"receiving",Table2[Stat Type],"TD"))))</f>
        <v>0</v>
      </c>
      <c r="M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" s="61">
        <f>SUMIFS(Data!$J:$J,Data!$A:$A,Info!$B67,Data!$G:$G,Info!$C67,Data!$I:$I,Info!$D67,Data!$H:$H,"TOT")</f>
        <v>0</v>
      </c>
      <c r="O67" s="61">
        <f>IF(C67="Defensive",SUMIFS(Data!$J:$J,Data!$A:$A,Info!$B67,Data!$I:$I,Info!$D67,Data!$H:$H,"INT"),0)</f>
        <v>0</v>
      </c>
      <c r="P67" s="61">
        <f>IF(Table1[[#This Row],[Role]]="Defensive",SUMIFS(Data!$J:$J,Data!$A:$A,Info!$B67,Data!$I:$I,Info!$D67,Data!$H:$H,$P$1),0)</f>
        <v>0</v>
      </c>
      <c r="Q67" s="65" t="str">
        <f>IF(Table1[[#This Row],[Pick]]="","",IF(S67&gt;1,400,IF(G67="","",IF(C67="Passing",(400-Table1[[#This Row],[Passing Yards]]-(30*Table1[[#This Row],[Passing TDs]])-(50*SUM(Table1[[#This Row],[Rushing TDs]:[Other TD''s]]))),IF(C67="Rushing",2*(200-Table1[[#This Row],[Rushing Yards]]-(30*Table1[[#This Row],[Passing TDs]])-50*(Table1[[#This Row],[Rushing TDs]]+Table1[[#This Row],[Receiving TDs]]+Table1[[#This Row],[Other TD''s]])),IF(C67="Receiving",2*(200-Table1[[#This Row],[Receiving Yards]]-(30*Table1[[#This Row],[Passing TDs]])-50*(Table1[[#This Row],[Rushing TDs]]+Table1[[#This Row],[Receiving TDs]]+Table1[[#This Row],[Other TD''s]])),IF(C67="Defensive",(25*(16-Table1[[#This Row],[Tackles]]-(8*(Table1[[#This Row],[Other TD''s]]+Table1[[#This Row],[Interceptions]]+Table1[[#This Row],[Fumbles Recovered]])))))))))))</f>
        <v/>
      </c>
      <c r="R67" s="3" t="str">
        <f t="shared" si="2"/>
        <v/>
      </c>
      <c r="S67" s="4">
        <f t="shared" ref="S67:S130" si="3">COUNTIF(R:R,R67)</f>
        <v>1048507</v>
      </c>
      <c r="T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" spans="1:20" hidden="1" x14ac:dyDescent="0.25">
      <c r="A68" t="s">
        <v>4</v>
      </c>
      <c r="B68" s="28" t="s">
        <v>44</v>
      </c>
      <c r="C68" t="s">
        <v>6</v>
      </c>
      <c r="D68" t="str">
        <f>_xlfn.XLOOKUP(Table1[[#This Row],[Player]]&amp;Table1[[#This Row],[Week]]&amp;Table1[[#This Row],[Role]],'Google Form Transform'!$A:$A,'Google Form Transform'!E:E,"")</f>
        <v/>
      </c>
      <c r="E68" t="str">
        <f>_xlfn.XLOOKUP(Table1[[#This Row],[Player]]&amp;Table1[[#This Row],[Week]]&amp;Table1[[#This Row],[Role]],'Google Form Transform'!$A:$A,'Google Form Transform'!F:F,"")</f>
        <v/>
      </c>
      <c r="F68" t="str">
        <f>_xlfn.XLOOKUP(Table1[[#This Row],[Player]]&amp;Table1[[#This Row],[Week]]&amp;Table1[[#This Row],[Role]],'Google Form Transform'!$A:$A,'Google Form Transform'!G:G,"")</f>
        <v/>
      </c>
      <c r="G68" s="59">
        <f>SUMIFS(Table2[Stat],Table2[Stat Category],"passing",Table2[Stat Type],"YDS",Table2[Athlete],Table1[[#This Row],[Pick]],Table2[Week],Table1[[#This Row],[Week]])</f>
        <v>0</v>
      </c>
      <c r="H68" s="59">
        <f>SUMIFS(Table2[Stat],Table2[Stat Category],"rushing",Table2[Stat Type],"YDS",Table2[Athlete],Table1[[#This Row],[Pick]],Table2[Week],Table1[[#This Row],[Week]])</f>
        <v>0</v>
      </c>
      <c r="I68" s="59">
        <f>SUMIFS(Table2[Stat],Table2[Stat Category],"receiving",Table2[Stat Type],"YDS",Table2[Athlete],Table1[[#This Row],[Pick]],Table2[Week],Table1[[#This Row],[Week]])</f>
        <v>0</v>
      </c>
      <c r="J68" s="6">
        <f>IF(AND($C68="Rushing", $H68&lt;=0), 0, IF(AND($C68="Passing", $G$3&lt;=0), 0,IF(AND($C68="Receiving",$I68&lt;=0), 0,SUMIFS(Table2[Stat],Table2[Week],Table1[[#This Row],[Week]],Table2[Athlete],Table1[[#This Row],[Pick]],Table2[Stat Category],"passing",Table2[Stat Type],"TD"))))</f>
        <v>0</v>
      </c>
      <c r="K68" s="6">
        <f>IF(AND($C68="Rushing", $H68&lt;=0), 0, IF(AND($C68="Passing", $G$3&lt;=0), 0,IF(AND($C68="Receiving",$I68&lt;=0),0,SUMIFS(Table2[Stat],Table2[Week],Table1[[#This Row],[Week]],Table2[Athlete],Table1[[#This Row],[Pick]],Table2[Stat Category],"rushing",Table2[Stat Type],"TD"))))</f>
        <v>0</v>
      </c>
      <c r="L68" s="6">
        <f>IF(AND($C68="Rushing", $H68&lt;=0), 0, IF(AND($C68="Passing", $G$3&lt;=0), 0,IF(AND($C68="Receiving",$I68&lt;=0),0,SUMIFS(Table2[Stat],Table2[Week],Table1[[#This Row],[Week]],Table2[Athlete],Table1[[#This Row],[Pick]],Table2[Stat Category],"receiving",Table2[Stat Type],"TD"))))</f>
        <v>0</v>
      </c>
      <c r="M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" s="61">
        <f>SUMIFS(Data!$J:$J,Data!$A:$A,Info!$B68,Data!$G:$G,Info!$C68,Data!$I:$I,Info!$D68,Data!$H:$H,"TOT")</f>
        <v>0</v>
      </c>
      <c r="O68" s="61">
        <f>IF(C68="Defensive",SUMIFS(Data!$J:$J,Data!$A:$A,Info!$B68,Data!$I:$I,Info!$D68,Data!$H:$H,"INT"),0)</f>
        <v>0</v>
      </c>
      <c r="P68" s="61">
        <f>IF(Table1[[#This Row],[Role]]="Defensive",SUMIFS(Data!$J:$J,Data!$A:$A,Info!$B68,Data!$I:$I,Info!$D68,Data!$H:$H,$P$1),0)</f>
        <v>0</v>
      </c>
      <c r="Q68" s="65" t="str">
        <f>IF(Table1[[#This Row],[Pick]]="","",IF(S68&gt;1,400,IF(G68="","",IF(C68="Passing",(400-Table1[[#This Row],[Passing Yards]]-(30*Table1[[#This Row],[Passing TDs]])-(50*SUM(Table1[[#This Row],[Rushing TDs]:[Other TD''s]]))),IF(C68="Rushing",2*(200-Table1[[#This Row],[Rushing Yards]]-(30*Table1[[#This Row],[Passing TDs]])-50*(Table1[[#This Row],[Rushing TDs]]+Table1[[#This Row],[Receiving TDs]]+Table1[[#This Row],[Other TD''s]])),IF(C68="Receiving",2*(200-Table1[[#This Row],[Receiving Yards]]-(30*Table1[[#This Row],[Passing TDs]])-50*(Table1[[#This Row],[Rushing TDs]]+Table1[[#This Row],[Receiving TDs]]+Table1[[#This Row],[Other TD''s]])),IF(C68="Defensive",(25*(16-Table1[[#This Row],[Tackles]]-(8*(Table1[[#This Row],[Other TD''s]]+Table1[[#This Row],[Interceptions]]+Table1[[#This Row],[Fumbles Recovered]])))))))))))</f>
        <v/>
      </c>
      <c r="R68" s="3" t="str">
        <f t="shared" ref="R68:R131" si="4">IF(D68="","",A68&amp;C68&amp;D68)</f>
        <v/>
      </c>
      <c r="S68" s="4">
        <f t="shared" si="3"/>
        <v>1048507</v>
      </c>
      <c r="T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" spans="1:20" hidden="1" x14ac:dyDescent="0.25">
      <c r="A69" t="s">
        <v>4</v>
      </c>
      <c r="B69" s="28" t="s">
        <v>44</v>
      </c>
      <c r="C69" t="s">
        <v>17</v>
      </c>
      <c r="D69" t="str">
        <f>_xlfn.XLOOKUP(Table1[[#This Row],[Player]]&amp;Table1[[#This Row],[Week]]&amp;Table1[[#This Row],[Role]],'Google Form Transform'!$A:$A,'Google Form Transform'!E:E,"")</f>
        <v/>
      </c>
      <c r="E69" t="str">
        <f>_xlfn.XLOOKUP(Table1[[#This Row],[Player]]&amp;Table1[[#This Row],[Week]]&amp;Table1[[#This Row],[Role]],'Google Form Transform'!$A:$A,'Google Form Transform'!F:F,"")</f>
        <v/>
      </c>
      <c r="F69" t="str">
        <f>_xlfn.XLOOKUP(Table1[[#This Row],[Player]]&amp;Table1[[#This Row],[Week]]&amp;Table1[[#This Row],[Role]],'Google Form Transform'!$A:$A,'Google Form Transform'!G:G,"")</f>
        <v/>
      </c>
      <c r="G69" s="59">
        <f>SUMIFS(Table2[Stat],Table2[Stat Category],"passing",Table2[Stat Type],"YDS",Table2[Athlete],Table1[[#This Row],[Pick]],Table2[Week],Table1[[#This Row],[Week]])</f>
        <v>0</v>
      </c>
      <c r="H69" s="59">
        <f>SUMIFS(Table2[Stat],Table2[Stat Category],"rushing",Table2[Stat Type],"YDS",Table2[Athlete],Table1[[#This Row],[Pick]],Table2[Week],Table1[[#This Row],[Week]])</f>
        <v>0</v>
      </c>
      <c r="I69" s="59">
        <f>SUMIFS(Table2[Stat],Table2[Stat Category],"receiving",Table2[Stat Type],"YDS",Table2[Athlete],Table1[[#This Row],[Pick]],Table2[Week],Table1[[#This Row],[Week]])</f>
        <v>0</v>
      </c>
      <c r="J69" s="6">
        <f>IF(AND($C69="Rushing", $H69&lt;=0), 0, IF(AND($C69="Passing", $G$3&lt;=0), 0,IF(AND($C69="Receiving",$I69&lt;=0), 0,SUMIFS(Table2[Stat],Table2[Week],Table1[[#This Row],[Week]],Table2[Athlete],Table1[[#This Row],[Pick]],Table2[Stat Category],"passing",Table2[Stat Type],"TD"))))</f>
        <v>0</v>
      </c>
      <c r="K69" s="6">
        <f>IF(AND($C69="Rushing", $H69&lt;=0), 0, IF(AND($C69="Passing", $G$3&lt;=0), 0,IF(AND($C69="Receiving",$I69&lt;=0),0,SUMIFS(Table2[Stat],Table2[Week],Table1[[#This Row],[Week]],Table2[Athlete],Table1[[#This Row],[Pick]],Table2[Stat Category],"rushing",Table2[Stat Type],"TD"))))</f>
        <v>0</v>
      </c>
      <c r="L69" s="6">
        <f>IF(AND($C69="Rushing", $H69&lt;=0), 0, IF(AND($C69="Passing", $G$3&lt;=0), 0,IF(AND($C69="Receiving",$I69&lt;=0),0,SUMIFS(Table2[Stat],Table2[Week],Table1[[#This Row],[Week]],Table2[Athlete],Table1[[#This Row],[Pick]],Table2[Stat Category],"receiving",Table2[Stat Type],"TD"))))</f>
        <v>0</v>
      </c>
      <c r="M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" s="61">
        <f>SUMIFS(Data!$J:$J,Data!$A:$A,Info!$B69,Data!$G:$G,Info!$C69,Data!$I:$I,Info!$D69,Data!$H:$H,"TOT")</f>
        <v>0</v>
      </c>
      <c r="O69" s="61">
        <f>IF(C69="Defensive",SUMIFS(Data!$J:$J,Data!$A:$A,Info!$B69,Data!$I:$I,Info!$D69,Data!$H:$H,"INT"),0)</f>
        <v>0</v>
      </c>
      <c r="P69" s="61">
        <f>IF(Table1[[#This Row],[Role]]="Defensive",SUMIFS(Data!$J:$J,Data!$A:$A,Info!$B69,Data!$I:$I,Info!$D69,Data!$H:$H,$P$1),0)</f>
        <v>0</v>
      </c>
      <c r="Q69" s="65" t="str">
        <f>IF(Table1[[#This Row],[Pick]]="","",IF(S69&gt;1,400,IF(G69="","",IF(C69="Passing",(400-Table1[[#This Row],[Passing Yards]]-(30*Table1[[#This Row],[Passing TDs]])-(50*SUM(Table1[[#This Row],[Rushing TDs]:[Other TD''s]]))),IF(C69="Rushing",2*(200-Table1[[#This Row],[Rushing Yards]]-(30*Table1[[#This Row],[Passing TDs]])-50*(Table1[[#This Row],[Rushing TDs]]+Table1[[#This Row],[Receiving TDs]]+Table1[[#This Row],[Other TD''s]])),IF(C69="Receiving",2*(200-Table1[[#This Row],[Receiving Yards]]-(30*Table1[[#This Row],[Passing TDs]])-50*(Table1[[#This Row],[Rushing TDs]]+Table1[[#This Row],[Receiving TDs]]+Table1[[#This Row],[Other TD''s]])),IF(C69="Defensive",(25*(16-Table1[[#This Row],[Tackles]]-(8*(Table1[[#This Row],[Other TD''s]]+Table1[[#This Row],[Interceptions]]+Table1[[#This Row],[Fumbles Recovered]])))))))))))</f>
        <v/>
      </c>
      <c r="R69" s="3" t="str">
        <f t="shared" si="4"/>
        <v/>
      </c>
      <c r="S69" s="4">
        <f t="shared" si="3"/>
        <v>1048507</v>
      </c>
      <c r="T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" spans="1:20" hidden="1" x14ac:dyDescent="0.25">
      <c r="A70" t="s">
        <v>4</v>
      </c>
      <c r="B70" s="28" t="s">
        <v>44</v>
      </c>
      <c r="C70" t="s">
        <v>20</v>
      </c>
      <c r="D70" t="str">
        <f>_xlfn.XLOOKUP(Table1[[#This Row],[Player]]&amp;Table1[[#This Row],[Week]]&amp;Table1[[#This Row],[Role]],'Google Form Transform'!$A:$A,'Google Form Transform'!E:E,"")</f>
        <v/>
      </c>
      <c r="E70" t="str">
        <f>_xlfn.XLOOKUP(Table1[[#This Row],[Player]]&amp;Table1[[#This Row],[Week]]&amp;Table1[[#This Row],[Role]],'Google Form Transform'!$A:$A,'Google Form Transform'!F:F,"")</f>
        <v/>
      </c>
      <c r="F70" t="str">
        <f>_xlfn.XLOOKUP(Table1[[#This Row],[Player]]&amp;Table1[[#This Row],[Week]]&amp;Table1[[#This Row],[Role]],'Google Form Transform'!$A:$A,'Google Form Transform'!G:G,"")</f>
        <v/>
      </c>
      <c r="G70" s="59">
        <f>SUMIFS(Table2[Stat],Table2[Stat Category],"passing",Table2[Stat Type],"YDS",Table2[Athlete],Table1[[#This Row],[Pick]],Table2[Week],Table1[[#This Row],[Week]])</f>
        <v>0</v>
      </c>
      <c r="H70" s="59">
        <f>SUMIFS(Table2[Stat],Table2[Stat Category],"rushing",Table2[Stat Type],"YDS",Table2[Athlete],Table1[[#This Row],[Pick]],Table2[Week],Table1[[#This Row],[Week]])</f>
        <v>0</v>
      </c>
      <c r="I70" s="59">
        <f>SUMIFS(Table2[Stat],Table2[Stat Category],"receiving",Table2[Stat Type],"YDS",Table2[Athlete],Table1[[#This Row],[Pick]],Table2[Week],Table1[[#This Row],[Week]])</f>
        <v>0</v>
      </c>
      <c r="J70" s="6">
        <f>IF(AND($C70="Rushing", $H70&lt;=0), 0, IF(AND($C70="Passing", $G$3&lt;=0), 0,IF(AND($C70="Receiving",$I70&lt;=0), 0,SUMIFS(Table2[Stat],Table2[Week],Table1[[#This Row],[Week]],Table2[Athlete],Table1[[#This Row],[Pick]],Table2[Stat Category],"passing",Table2[Stat Type],"TD"))))</f>
        <v>0</v>
      </c>
      <c r="K70" s="6">
        <f>IF(AND($C70="Rushing", $H70&lt;=0), 0, IF(AND($C70="Passing", $G$3&lt;=0), 0,IF(AND($C70="Receiving",$I70&lt;=0),0,SUMIFS(Table2[Stat],Table2[Week],Table1[[#This Row],[Week]],Table2[Athlete],Table1[[#This Row],[Pick]],Table2[Stat Category],"rushing",Table2[Stat Type],"TD"))))</f>
        <v>0</v>
      </c>
      <c r="L70" s="6">
        <f>IF(AND($C70="Rushing", $H70&lt;=0), 0, IF(AND($C70="Passing", $G$3&lt;=0), 0,IF(AND($C70="Receiving",$I70&lt;=0),0,SUMIFS(Table2[Stat],Table2[Week],Table1[[#This Row],[Week]],Table2[Athlete],Table1[[#This Row],[Pick]],Table2[Stat Category],"receiving",Table2[Stat Type],"TD"))))</f>
        <v>0</v>
      </c>
      <c r="M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" s="61">
        <f>SUMIFS(Data!$J:$J,Data!$A:$A,Info!$B70,Data!$G:$G,Info!$C70,Data!$I:$I,Info!$D70,Data!$H:$H,"TOT")</f>
        <v>0</v>
      </c>
      <c r="O70" s="61">
        <f>IF(C70="Defensive",SUMIFS(Data!$J:$J,Data!$A:$A,Info!$B70,Data!$I:$I,Info!$D70,Data!$H:$H,"INT"),0)</f>
        <v>0</v>
      </c>
      <c r="P70" s="61">
        <f>IF(Table1[[#This Row],[Role]]="Defensive",SUMIFS(Data!$J:$J,Data!$A:$A,Info!$B70,Data!$I:$I,Info!$D70,Data!$H:$H,$P$1),0)</f>
        <v>0</v>
      </c>
      <c r="Q70" s="65" t="str">
        <f>IF(Table1[[#This Row],[Pick]]="","",IF(S70&gt;1,400,IF(G70="","",IF(C70="Passing",(400-Table1[[#This Row],[Passing Yards]]-(30*Table1[[#This Row],[Passing TDs]])-(50*SUM(Table1[[#This Row],[Rushing TDs]:[Other TD''s]]))),IF(C70="Rushing",2*(200-Table1[[#This Row],[Rushing Yards]]-(30*Table1[[#This Row],[Passing TDs]])-50*(Table1[[#This Row],[Rushing TDs]]+Table1[[#This Row],[Receiving TDs]]+Table1[[#This Row],[Other TD''s]])),IF(C70="Receiving",2*(200-Table1[[#This Row],[Receiving Yards]]-(30*Table1[[#This Row],[Passing TDs]])-50*(Table1[[#This Row],[Rushing TDs]]+Table1[[#This Row],[Receiving TDs]]+Table1[[#This Row],[Other TD''s]])),IF(C70="Defensive",(25*(16-Table1[[#This Row],[Tackles]]-(8*(Table1[[#This Row],[Other TD''s]]+Table1[[#This Row],[Interceptions]]+Table1[[#This Row],[Fumbles Recovered]])))))))))))</f>
        <v/>
      </c>
      <c r="R70" s="3" t="str">
        <f t="shared" si="4"/>
        <v/>
      </c>
      <c r="S70" s="4">
        <f t="shared" si="3"/>
        <v>1048507</v>
      </c>
      <c r="T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" spans="1:20" hidden="1" x14ac:dyDescent="0.25">
      <c r="A71" t="s">
        <v>79</v>
      </c>
      <c r="B71" s="28" t="s">
        <v>44</v>
      </c>
      <c r="C71" t="s">
        <v>16</v>
      </c>
      <c r="D71" t="str">
        <f>_xlfn.XLOOKUP(Table1[[#This Row],[Player]]&amp;Table1[[#This Row],[Week]]&amp;Table1[[#This Row],[Role]],'Google Form Transform'!$A:$A,'Google Form Transform'!E:E,"")</f>
        <v/>
      </c>
      <c r="E71" t="str">
        <f>_xlfn.XLOOKUP(Table1[[#This Row],[Player]]&amp;Table1[[#This Row],[Week]]&amp;Table1[[#This Row],[Role]],'Google Form Transform'!$A:$A,'Google Form Transform'!F:F,"")</f>
        <v/>
      </c>
      <c r="F71" t="str">
        <f>_xlfn.XLOOKUP(Table1[[#This Row],[Player]]&amp;Table1[[#This Row],[Week]]&amp;Table1[[#This Row],[Role]],'Google Form Transform'!$A:$A,'Google Form Transform'!G:G,"")</f>
        <v/>
      </c>
      <c r="G71" s="59">
        <f>SUMIFS(Table2[Stat],Table2[Stat Category],"passing",Table2[Stat Type],"YDS",Table2[Athlete],Table1[[#This Row],[Pick]],Table2[Week],Table1[[#This Row],[Week]])</f>
        <v>0</v>
      </c>
      <c r="H71" s="59">
        <f>SUMIFS(Table2[Stat],Table2[Stat Category],"rushing",Table2[Stat Type],"YDS",Table2[Athlete],Table1[[#This Row],[Pick]],Table2[Week],Table1[[#This Row],[Week]])</f>
        <v>0</v>
      </c>
      <c r="I71" s="59">
        <f>SUMIFS(Table2[Stat],Table2[Stat Category],"receiving",Table2[Stat Type],"YDS",Table2[Athlete],Table1[[#This Row],[Pick]],Table2[Week],Table1[[#This Row],[Week]])</f>
        <v>0</v>
      </c>
      <c r="J71" s="6">
        <f>IF(AND($C71="Rushing", $H71&lt;=0), 0, IF(AND($C71="Passing", $G$3&lt;=0), 0,IF(AND($C71="Receiving",$I71&lt;=0), 0,SUMIFS(Table2[Stat],Table2[Week],Table1[[#This Row],[Week]],Table2[Athlete],Table1[[#This Row],[Pick]],Table2[Stat Category],"passing",Table2[Stat Type],"TD"))))</f>
        <v>0</v>
      </c>
      <c r="K71" s="6">
        <f>IF(AND($C71="Rushing", $H71&lt;=0), 0, IF(AND($C71="Passing", $G$3&lt;=0), 0,IF(AND($C71="Receiving",$I71&lt;=0),0,SUMIFS(Table2[Stat],Table2[Week],Table1[[#This Row],[Week]],Table2[Athlete],Table1[[#This Row],[Pick]],Table2[Stat Category],"rushing",Table2[Stat Type],"TD"))))</f>
        <v>0</v>
      </c>
      <c r="L71" s="6">
        <f>IF(AND($C71="Rushing", $H71&lt;=0), 0, IF(AND($C71="Passing", $G$3&lt;=0), 0,IF(AND($C71="Receiving",$I71&lt;=0),0,SUMIFS(Table2[Stat],Table2[Week],Table1[[#This Row],[Week]],Table2[Athlete],Table1[[#This Row],[Pick]],Table2[Stat Category],"receiving",Table2[Stat Type],"TD"))))</f>
        <v>0</v>
      </c>
      <c r="M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" s="61">
        <f>SUMIFS(Data!$J:$J,Data!$A:$A,Info!$B71,Data!$G:$G,Info!$C71,Data!$I:$I,Info!$D71,Data!$H:$H,"TOT")</f>
        <v>0</v>
      </c>
      <c r="O71" s="61">
        <f>IF(C71="Defensive",SUMIFS(Data!$J:$J,Data!$A:$A,Info!$B71,Data!$I:$I,Info!$D71,Data!$H:$H,"INT"),0)</f>
        <v>0</v>
      </c>
      <c r="P71" s="61">
        <f>IF(Table1[[#This Row],[Role]]="Defensive",SUMIFS(Data!$J:$J,Data!$A:$A,Info!$B71,Data!$I:$I,Info!$D71,Data!$H:$H,$P$1),0)</f>
        <v>0</v>
      </c>
      <c r="Q71" s="65" t="str">
        <f>IF(Table1[[#This Row],[Pick]]="","",IF(S71&gt;1,400,IF(G71="","",IF(C71="Passing",(400-Table1[[#This Row],[Passing Yards]]-(30*Table1[[#This Row],[Passing TDs]])-(50*SUM(Table1[[#This Row],[Rushing TDs]:[Other TD''s]]))),IF(C71="Rushing",2*(200-Table1[[#This Row],[Rushing Yards]]-(30*Table1[[#This Row],[Passing TDs]])-50*(Table1[[#This Row],[Rushing TDs]]+Table1[[#This Row],[Receiving TDs]]+Table1[[#This Row],[Other TD''s]])),IF(C71="Receiving",2*(200-Table1[[#This Row],[Receiving Yards]]-(30*Table1[[#This Row],[Passing TDs]])-50*(Table1[[#This Row],[Rushing TDs]]+Table1[[#This Row],[Receiving TDs]]+Table1[[#This Row],[Other TD''s]])),IF(C71="Defensive",(25*(16-Table1[[#This Row],[Tackles]]-(8*(Table1[[#This Row],[Other TD''s]]+Table1[[#This Row],[Interceptions]]+Table1[[#This Row],[Fumbles Recovered]])))))))))))</f>
        <v/>
      </c>
      <c r="R71" s="3" t="str">
        <f t="shared" si="4"/>
        <v/>
      </c>
      <c r="S71" s="4">
        <f t="shared" si="3"/>
        <v>1048507</v>
      </c>
      <c r="T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" spans="1:20" hidden="1" x14ac:dyDescent="0.25">
      <c r="A72" t="s">
        <v>79</v>
      </c>
      <c r="B72" s="28" t="s">
        <v>44</v>
      </c>
      <c r="C72" t="s">
        <v>6</v>
      </c>
      <c r="D72" t="str">
        <f>_xlfn.XLOOKUP(Table1[[#This Row],[Player]]&amp;Table1[[#This Row],[Week]]&amp;Table1[[#This Row],[Role]],'Google Form Transform'!$A:$A,'Google Form Transform'!E:E,"")</f>
        <v/>
      </c>
      <c r="E72" t="str">
        <f>_xlfn.XLOOKUP(Table1[[#This Row],[Player]]&amp;Table1[[#This Row],[Week]]&amp;Table1[[#This Row],[Role]],'Google Form Transform'!$A:$A,'Google Form Transform'!F:F,"")</f>
        <v/>
      </c>
      <c r="F72" t="str">
        <f>_xlfn.XLOOKUP(Table1[[#This Row],[Player]]&amp;Table1[[#This Row],[Week]]&amp;Table1[[#This Row],[Role]],'Google Form Transform'!$A:$A,'Google Form Transform'!G:G,"")</f>
        <v/>
      </c>
      <c r="G72" s="59">
        <f>SUMIFS(Table2[Stat],Table2[Stat Category],"passing",Table2[Stat Type],"YDS",Table2[Athlete],Table1[[#This Row],[Pick]],Table2[Week],Table1[[#This Row],[Week]])</f>
        <v>0</v>
      </c>
      <c r="H72" s="59">
        <f>SUMIFS(Table2[Stat],Table2[Stat Category],"rushing",Table2[Stat Type],"YDS",Table2[Athlete],Table1[[#This Row],[Pick]],Table2[Week],Table1[[#This Row],[Week]])</f>
        <v>0</v>
      </c>
      <c r="I72" s="59">
        <f>SUMIFS(Table2[Stat],Table2[Stat Category],"receiving",Table2[Stat Type],"YDS",Table2[Athlete],Table1[[#This Row],[Pick]],Table2[Week],Table1[[#This Row],[Week]])</f>
        <v>0</v>
      </c>
      <c r="J72" s="6">
        <f>IF(AND($C72="Rushing", $H72&lt;=0), 0, IF(AND($C72="Passing", $G$3&lt;=0), 0,IF(AND($C72="Receiving",$I72&lt;=0), 0,SUMIFS(Table2[Stat],Table2[Week],Table1[[#This Row],[Week]],Table2[Athlete],Table1[[#This Row],[Pick]],Table2[Stat Category],"passing",Table2[Stat Type],"TD"))))</f>
        <v>0</v>
      </c>
      <c r="K72" s="6">
        <f>IF(AND($C72="Rushing", $H72&lt;=0), 0, IF(AND($C72="Passing", $G$3&lt;=0), 0,IF(AND($C72="Receiving",$I72&lt;=0),0,SUMIFS(Table2[Stat],Table2[Week],Table1[[#This Row],[Week]],Table2[Athlete],Table1[[#This Row],[Pick]],Table2[Stat Category],"rushing",Table2[Stat Type],"TD"))))</f>
        <v>0</v>
      </c>
      <c r="L72" s="6">
        <f>IF(AND($C72="Rushing", $H72&lt;=0), 0, IF(AND($C72="Passing", $G$3&lt;=0), 0,IF(AND($C72="Receiving",$I72&lt;=0),0,SUMIFS(Table2[Stat],Table2[Week],Table1[[#This Row],[Week]],Table2[Athlete],Table1[[#This Row],[Pick]],Table2[Stat Category],"receiving",Table2[Stat Type],"TD"))))</f>
        <v>0</v>
      </c>
      <c r="M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" s="61">
        <f>SUMIFS(Data!$J:$J,Data!$A:$A,Info!$B72,Data!$G:$G,Info!$C72,Data!$I:$I,Info!$D72,Data!$H:$H,"TOT")</f>
        <v>0</v>
      </c>
      <c r="O72" s="61">
        <f>IF(C72="Defensive",SUMIFS(Data!$J:$J,Data!$A:$A,Info!$B72,Data!$I:$I,Info!$D72,Data!$H:$H,"INT"),0)</f>
        <v>0</v>
      </c>
      <c r="P72" s="61">
        <f>IF(Table1[[#This Row],[Role]]="Defensive",SUMIFS(Data!$J:$J,Data!$A:$A,Info!$B72,Data!$I:$I,Info!$D72,Data!$H:$H,$P$1),0)</f>
        <v>0</v>
      </c>
      <c r="Q72" s="65" t="str">
        <f>IF(Table1[[#This Row],[Pick]]="","",IF(S72&gt;1,400,IF(G72="","",IF(C72="Passing",(400-Table1[[#This Row],[Passing Yards]]-(30*Table1[[#This Row],[Passing TDs]])-(50*SUM(Table1[[#This Row],[Rushing TDs]:[Other TD''s]]))),IF(C72="Rushing",2*(200-Table1[[#This Row],[Rushing Yards]]-(30*Table1[[#This Row],[Passing TDs]])-50*(Table1[[#This Row],[Rushing TDs]]+Table1[[#This Row],[Receiving TDs]]+Table1[[#This Row],[Other TD''s]])),IF(C72="Receiving",2*(200-Table1[[#This Row],[Receiving Yards]]-(30*Table1[[#This Row],[Passing TDs]])-50*(Table1[[#This Row],[Rushing TDs]]+Table1[[#This Row],[Receiving TDs]]+Table1[[#This Row],[Other TD''s]])),IF(C72="Defensive",(25*(16-Table1[[#This Row],[Tackles]]-(8*(Table1[[#This Row],[Other TD''s]]+Table1[[#This Row],[Interceptions]]+Table1[[#This Row],[Fumbles Recovered]])))))))))))</f>
        <v/>
      </c>
      <c r="R72" s="3" t="str">
        <f t="shared" si="4"/>
        <v/>
      </c>
      <c r="S72" s="4">
        <f t="shared" si="3"/>
        <v>1048507</v>
      </c>
      <c r="T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" spans="1:20" hidden="1" x14ac:dyDescent="0.25">
      <c r="A73" t="s">
        <v>79</v>
      </c>
      <c r="B73" s="28" t="s">
        <v>44</v>
      </c>
      <c r="C73" t="s">
        <v>17</v>
      </c>
      <c r="D73" t="str">
        <f>_xlfn.XLOOKUP(Table1[[#This Row],[Player]]&amp;Table1[[#This Row],[Week]]&amp;Table1[[#This Row],[Role]],'Google Form Transform'!$A:$A,'Google Form Transform'!E:E,"")</f>
        <v/>
      </c>
      <c r="E73" t="str">
        <f>_xlfn.XLOOKUP(Table1[[#This Row],[Player]]&amp;Table1[[#This Row],[Week]]&amp;Table1[[#This Row],[Role]],'Google Form Transform'!$A:$A,'Google Form Transform'!F:F,"")</f>
        <v/>
      </c>
      <c r="F73" t="str">
        <f>_xlfn.XLOOKUP(Table1[[#This Row],[Player]]&amp;Table1[[#This Row],[Week]]&amp;Table1[[#This Row],[Role]],'Google Form Transform'!$A:$A,'Google Form Transform'!G:G,"")</f>
        <v/>
      </c>
      <c r="G73" s="59">
        <f>SUMIFS(Table2[Stat],Table2[Stat Category],"passing",Table2[Stat Type],"YDS",Table2[Athlete],Table1[[#This Row],[Pick]],Table2[Week],Table1[[#This Row],[Week]])</f>
        <v>0</v>
      </c>
      <c r="H73" s="59">
        <f>SUMIFS(Table2[Stat],Table2[Stat Category],"rushing",Table2[Stat Type],"YDS",Table2[Athlete],Table1[[#This Row],[Pick]],Table2[Week],Table1[[#This Row],[Week]])</f>
        <v>0</v>
      </c>
      <c r="I73" s="59">
        <f>SUMIFS(Table2[Stat],Table2[Stat Category],"receiving",Table2[Stat Type],"YDS",Table2[Athlete],Table1[[#This Row],[Pick]],Table2[Week],Table1[[#This Row],[Week]])</f>
        <v>0</v>
      </c>
      <c r="J73" s="6">
        <f>IF(AND($C73="Rushing", $H73&lt;=0), 0, IF(AND($C73="Passing", $G$3&lt;=0), 0,IF(AND($C73="Receiving",$I73&lt;=0), 0,SUMIFS(Table2[Stat],Table2[Week],Table1[[#This Row],[Week]],Table2[Athlete],Table1[[#This Row],[Pick]],Table2[Stat Category],"passing",Table2[Stat Type],"TD"))))</f>
        <v>0</v>
      </c>
      <c r="K73" s="6">
        <f>IF(AND($C73="Rushing", $H73&lt;=0), 0, IF(AND($C73="Passing", $G$3&lt;=0), 0,IF(AND($C73="Receiving",$I73&lt;=0),0,SUMIFS(Table2[Stat],Table2[Week],Table1[[#This Row],[Week]],Table2[Athlete],Table1[[#This Row],[Pick]],Table2[Stat Category],"rushing",Table2[Stat Type],"TD"))))</f>
        <v>0</v>
      </c>
      <c r="L73" s="6">
        <f>IF(AND($C73="Rushing", $H73&lt;=0), 0, IF(AND($C73="Passing", $G$3&lt;=0), 0,IF(AND($C73="Receiving",$I73&lt;=0),0,SUMIFS(Table2[Stat],Table2[Week],Table1[[#This Row],[Week]],Table2[Athlete],Table1[[#This Row],[Pick]],Table2[Stat Category],"receiving",Table2[Stat Type],"TD"))))</f>
        <v>0</v>
      </c>
      <c r="M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" s="61">
        <f>SUMIFS(Data!$J:$J,Data!$A:$A,Info!$B73,Data!$G:$G,Info!$C73,Data!$I:$I,Info!$D73,Data!$H:$H,"TOT")</f>
        <v>0</v>
      </c>
      <c r="O73" s="61">
        <f>IF(C73="Defensive",SUMIFS(Data!$J:$J,Data!$A:$A,Info!$B73,Data!$I:$I,Info!$D73,Data!$H:$H,"INT"),0)</f>
        <v>0</v>
      </c>
      <c r="P73" s="61">
        <f>IF(Table1[[#This Row],[Role]]="Defensive",SUMIFS(Data!$J:$J,Data!$A:$A,Info!$B73,Data!$I:$I,Info!$D73,Data!$H:$H,$P$1),0)</f>
        <v>0</v>
      </c>
      <c r="Q73" s="65" t="str">
        <f>IF(Table1[[#This Row],[Pick]]="","",IF(S73&gt;1,400,IF(G73="","",IF(C73="Passing",(400-Table1[[#This Row],[Passing Yards]]-(30*Table1[[#This Row],[Passing TDs]])-(50*SUM(Table1[[#This Row],[Rushing TDs]:[Other TD''s]]))),IF(C73="Rushing",2*(200-Table1[[#This Row],[Rushing Yards]]-(30*Table1[[#This Row],[Passing TDs]])-50*(Table1[[#This Row],[Rushing TDs]]+Table1[[#This Row],[Receiving TDs]]+Table1[[#This Row],[Other TD''s]])),IF(C73="Receiving",2*(200-Table1[[#This Row],[Receiving Yards]]-(30*Table1[[#This Row],[Passing TDs]])-50*(Table1[[#This Row],[Rushing TDs]]+Table1[[#This Row],[Receiving TDs]]+Table1[[#This Row],[Other TD''s]])),IF(C73="Defensive",(25*(16-Table1[[#This Row],[Tackles]]-(8*(Table1[[#This Row],[Other TD''s]]+Table1[[#This Row],[Interceptions]]+Table1[[#This Row],[Fumbles Recovered]])))))))))))</f>
        <v/>
      </c>
      <c r="R73" s="3" t="str">
        <f t="shared" si="4"/>
        <v/>
      </c>
      <c r="S73" s="4">
        <f t="shared" si="3"/>
        <v>1048507</v>
      </c>
      <c r="T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" spans="1:20" hidden="1" x14ac:dyDescent="0.25">
      <c r="A74" t="s">
        <v>79</v>
      </c>
      <c r="B74" s="28" t="s">
        <v>44</v>
      </c>
      <c r="C74" t="s">
        <v>20</v>
      </c>
      <c r="D74" t="str">
        <f>_xlfn.XLOOKUP(Table1[[#This Row],[Player]]&amp;Table1[[#This Row],[Week]]&amp;Table1[[#This Row],[Role]],'Google Form Transform'!$A:$A,'Google Form Transform'!E:E,"")</f>
        <v/>
      </c>
      <c r="E74" t="str">
        <f>_xlfn.XLOOKUP(Table1[[#This Row],[Player]]&amp;Table1[[#This Row],[Week]]&amp;Table1[[#This Row],[Role]],'Google Form Transform'!$A:$A,'Google Form Transform'!F:F,"")</f>
        <v/>
      </c>
      <c r="F74" t="str">
        <f>_xlfn.XLOOKUP(Table1[[#This Row],[Player]]&amp;Table1[[#This Row],[Week]]&amp;Table1[[#This Row],[Role]],'Google Form Transform'!$A:$A,'Google Form Transform'!G:G,"")</f>
        <v/>
      </c>
      <c r="G74" s="59">
        <f>SUMIFS(Table2[Stat],Table2[Stat Category],"passing",Table2[Stat Type],"YDS",Table2[Athlete],Table1[[#This Row],[Pick]],Table2[Week],Table1[[#This Row],[Week]])</f>
        <v>0</v>
      </c>
      <c r="H74" s="59">
        <f>SUMIFS(Table2[Stat],Table2[Stat Category],"rushing",Table2[Stat Type],"YDS",Table2[Athlete],Table1[[#This Row],[Pick]],Table2[Week],Table1[[#This Row],[Week]])</f>
        <v>0</v>
      </c>
      <c r="I74" s="59">
        <f>SUMIFS(Table2[Stat],Table2[Stat Category],"receiving",Table2[Stat Type],"YDS",Table2[Athlete],Table1[[#This Row],[Pick]],Table2[Week],Table1[[#This Row],[Week]])</f>
        <v>0</v>
      </c>
      <c r="J74" s="6">
        <f>IF(AND($C74="Rushing", $H74&lt;=0), 0, IF(AND($C74="Passing", $G$3&lt;=0), 0,IF(AND($C74="Receiving",$I74&lt;=0), 0,SUMIFS(Table2[Stat],Table2[Week],Table1[[#This Row],[Week]],Table2[Athlete],Table1[[#This Row],[Pick]],Table2[Stat Category],"passing",Table2[Stat Type],"TD"))))</f>
        <v>0</v>
      </c>
      <c r="K74" s="6">
        <f>IF(AND($C74="Rushing", $H74&lt;=0), 0, IF(AND($C74="Passing", $G$3&lt;=0), 0,IF(AND($C74="Receiving",$I74&lt;=0),0,SUMIFS(Table2[Stat],Table2[Week],Table1[[#This Row],[Week]],Table2[Athlete],Table1[[#This Row],[Pick]],Table2[Stat Category],"rushing",Table2[Stat Type],"TD"))))</f>
        <v>0</v>
      </c>
      <c r="L74" s="6">
        <f>IF(AND($C74="Rushing", $H74&lt;=0), 0, IF(AND($C74="Passing", $G$3&lt;=0), 0,IF(AND($C74="Receiving",$I74&lt;=0),0,SUMIFS(Table2[Stat],Table2[Week],Table1[[#This Row],[Week]],Table2[Athlete],Table1[[#This Row],[Pick]],Table2[Stat Category],"receiving",Table2[Stat Type],"TD"))))</f>
        <v>0</v>
      </c>
      <c r="M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" s="61">
        <f>SUMIFS(Data!$J:$J,Data!$A:$A,Info!$B74,Data!$G:$G,Info!$C74,Data!$I:$I,Info!$D74,Data!$H:$H,"TOT")</f>
        <v>0</v>
      </c>
      <c r="O74" s="61">
        <f>IF(C74="Defensive",SUMIFS(Data!$J:$J,Data!$A:$A,Info!$B74,Data!$I:$I,Info!$D74,Data!$H:$H,"INT"),0)</f>
        <v>0</v>
      </c>
      <c r="P74" s="61">
        <f>IF(Table1[[#This Row],[Role]]="Defensive",SUMIFS(Data!$J:$J,Data!$A:$A,Info!$B74,Data!$I:$I,Info!$D74,Data!$H:$H,$P$1),0)</f>
        <v>0</v>
      </c>
      <c r="Q74" s="65" t="str">
        <f>IF(Table1[[#This Row],[Pick]]="","",IF(S74&gt;1,400,IF(G74="","",IF(C74="Passing",(400-Table1[[#This Row],[Passing Yards]]-(30*Table1[[#This Row],[Passing TDs]])-(50*SUM(Table1[[#This Row],[Rushing TDs]:[Other TD''s]]))),IF(C74="Rushing",2*(200-Table1[[#This Row],[Rushing Yards]]-(30*Table1[[#This Row],[Passing TDs]])-50*(Table1[[#This Row],[Rushing TDs]]+Table1[[#This Row],[Receiving TDs]]+Table1[[#This Row],[Other TD''s]])),IF(C74="Receiving",2*(200-Table1[[#This Row],[Receiving Yards]]-(30*Table1[[#This Row],[Passing TDs]])-50*(Table1[[#This Row],[Rushing TDs]]+Table1[[#This Row],[Receiving TDs]]+Table1[[#This Row],[Other TD''s]])),IF(C74="Defensive",(25*(16-Table1[[#This Row],[Tackles]]-(8*(Table1[[#This Row],[Other TD''s]]+Table1[[#This Row],[Interceptions]]+Table1[[#This Row],[Fumbles Recovered]])))))))))))</f>
        <v/>
      </c>
      <c r="R74" s="3" t="str">
        <f t="shared" si="4"/>
        <v/>
      </c>
      <c r="S74" s="4">
        <f t="shared" si="3"/>
        <v>1048507</v>
      </c>
      <c r="T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" spans="1:20" hidden="1" x14ac:dyDescent="0.25">
      <c r="A75" t="s">
        <v>58</v>
      </c>
      <c r="B75" s="28" t="s">
        <v>44</v>
      </c>
      <c r="C75" t="s">
        <v>16</v>
      </c>
      <c r="D75" t="str">
        <f>_xlfn.XLOOKUP(Table1[[#This Row],[Player]]&amp;Table1[[#This Row],[Week]]&amp;Table1[[#This Row],[Role]],'Google Form Transform'!$A:$A,'Google Form Transform'!E:E,"")</f>
        <v/>
      </c>
      <c r="E75" t="str">
        <f>_xlfn.XLOOKUP(Table1[[#This Row],[Player]]&amp;Table1[[#This Row],[Week]]&amp;Table1[[#This Row],[Role]],'Google Form Transform'!$A:$A,'Google Form Transform'!F:F,"")</f>
        <v/>
      </c>
      <c r="F75" t="str">
        <f>_xlfn.XLOOKUP(Table1[[#This Row],[Player]]&amp;Table1[[#This Row],[Week]]&amp;Table1[[#This Row],[Role]],'Google Form Transform'!$A:$A,'Google Form Transform'!G:G,"")</f>
        <v/>
      </c>
      <c r="G75" s="59">
        <f>SUMIFS(Table2[Stat],Table2[Stat Category],"passing",Table2[Stat Type],"YDS",Table2[Athlete],Table1[[#This Row],[Pick]],Table2[Week],Table1[[#This Row],[Week]])</f>
        <v>0</v>
      </c>
      <c r="H75" s="59">
        <f>SUMIFS(Table2[Stat],Table2[Stat Category],"rushing",Table2[Stat Type],"YDS",Table2[Athlete],Table1[[#This Row],[Pick]],Table2[Week],Table1[[#This Row],[Week]])</f>
        <v>0</v>
      </c>
      <c r="I75" s="59">
        <f>SUMIFS(Table2[Stat],Table2[Stat Category],"receiving",Table2[Stat Type],"YDS",Table2[Athlete],Table1[[#This Row],[Pick]],Table2[Week],Table1[[#This Row],[Week]])</f>
        <v>0</v>
      </c>
      <c r="J75" s="6">
        <f>IF(AND($C75="Rushing", $H75&lt;=0), 0, IF(AND($C75="Passing", $G$3&lt;=0), 0,IF(AND($C75="Receiving",$I75&lt;=0), 0,SUMIFS(Table2[Stat],Table2[Week],Table1[[#This Row],[Week]],Table2[Athlete],Table1[[#This Row],[Pick]],Table2[Stat Category],"passing",Table2[Stat Type],"TD"))))</f>
        <v>0</v>
      </c>
      <c r="K75" s="6">
        <f>IF(AND($C75="Rushing", $H75&lt;=0), 0, IF(AND($C75="Passing", $G$3&lt;=0), 0,IF(AND($C75="Receiving",$I75&lt;=0),0,SUMIFS(Table2[Stat],Table2[Week],Table1[[#This Row],[Week]],Table2[Athlete],Table1[[#This Row],[Pick]],Table2[Stat Category],"rushing",Table2[Stat Type],"TD"))))</f>
        <v>0</v>
      </c>
      <c r="L75" s="6">
        <f>IF(AND($C75="Rushing", $H75&lt;=0), 0, IF(AND($C75="Passing", $G$3&lt;=0), 0,IF(AND($C75="Receiving",$I75&lt;=0),0,SUMIFS(Table2[Stat],Table2[Week],Table1[[#This Row],[Week]],Table2[Athlete],Table1[[#This Row],[Pick]],Table2[Stat Category],"receiving",Table2[Stat Type],"TD"))))</f>
        <v>0</v>
      </c>
      <c r="M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" s="61">
        <f>SUMIFS(Data!$J:$J,Data!$A:$A,Info!$B75,Data!$G:$G,Info!$C75,Data!$I:$I,Info!$D75,Data!$H:$H,"TOT")</f>
        <v>0</v>
      </c>
      <c r="O75" s="61">
        <f>IF(C75="Defensive",SUMIFS(Data!$J:$J,Data!$A:$A,Info!$B75,Data!$I:$I,Info!$D75,Data!$H:$H,"INT"),0)</f>
        <v>0</v>
      </c>
      <c r="P75" s="61">
        <f>IF(Table1[[#This Row],[Role]]="Defensive",SUMIFS(Data!$J:$J,Data!$A:$A,Info!$B75,Data!$I:$I,Info!$D75,Data!$H:$H,$P$1),0)</f>
        <v>0</v>
      </c>
      <c r="Q75" s="65" t="str">
        <f>IF(Table1[[#This Row],[Pick]]="","",IF(S75&gt;1,400,IF(G75="","",IF(C75="Passing",(400-Table1[[#This Row],[Passing Yards]]-(30*Table1[[#This Row],[Passing TDs]])-(50*SUM(Table1[[#This Row],[Rushing TDs]:[Other TD''s]]))),IF(C75="Rushing",2*(200-Table1[[#This Row],[Rushing Yards]]-(30*Table1[[#This Row],[Passing TDs]])-50*(Table1[[#This Row],[Rushing TDs]]+Table1[[#This Row],[Receiving TDs]]+Table1[[#This Row],[Other TD''s]])),IF(C75="Receiving",2*(200-Table1[[#This Row],[Receiving Yards]]-(30*Table1[[#This Row],[Passing TDs]])-50*(Table1[[#This Row],[Rushing TDs]]+Table1[[#This Row],[Receiving TDs]]+Table1[[#This Row],[Other TD''s]])),IF(C75="Defensive",(25*(16-Table1[[#This Row],[Tackles]]-(8*(Table1[[#This Row],[Other TD''s]]+Table1[[#This Row],[Interceptions]]+Table1[[#This Row],[Fumbles Recovered]])))))))))))</f>
        <v/>
      </c>
      <c r="R75" s="3" t="str">
        <f t="shared" si="4"/>
        <v/>
      </c>
      <c r="S75" s="4">
        <f t="shared" si="3"/>
        <v>1048507</v>
      </c>
      <c r="T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" spans="1:20" hidden="1" x14ac:dyDescent="0.25">
      <c r="A76" t="s">
        <v>58</v>
      </c>
      <c r="B76" s="28" t="s">
        <v>44</v>
      </c>
      <c r="C76" t="s">
        <v>6</v>
      </c>
      <c r="D76" t="str">
        <f>_xlfn.XLOOKUP(Table1[[#This Row],[Player]]&amp;Table1[[#This Row],[Week]]&amp;Table1[[#This Row],[Role]],'Google Form Transform'!$A:$A,'Google Form Transform'!E:E,"")</f>
        <v/>
      </c>
      <c r="E76" t="str">
        <f>_xlfn.XLOOKUP(Table1[[#This Row],[Player]]&amp;Table1[[#This Row],[Week]]&amp;Table1[[#This Row],[Role]],'Google Form Transform'!$A:$A,'Google Form Transform'!F:F,"")</f>
        <v/>
      </c>
      <c r="F76" t="str">
        <f>_xlfn.XLOOKUP(Table1[[#This Row],[Player]]&amp;Table1[[#This Row],[Week]]&amp;Table1[[#This Row],[Role]],'Google Form Transform'!$A:$A,'Google Form Transform'!G:G,"")</f>
        <v/>
      </c>
      <c r="G76" s="59">
        <f>SUMIFS(Table2[Stat],Table2[Stat Category],"passing",Table2[Stat Type],"YDS",Table2[Athlete],Table1[[#This Row],[Pick]],Table2[Week],Table1[[#This Row],[Week]])</f>
        <v>0</v>
      </c>
      <c r="H76" s="59">
        <f>SUMIFS(Table2[Stat],Table2[Stat Category],"rushing",Table2[Stat Type],"YDS",Table2[Athlete],Table1[[#This Row],[Pick]],Table2[Week],Table1[[#This Row],[Week]])</f>
        <v>0</v>
      </c>
      <c r="I76" s="59">
        <f>SUMIFS(Table2[Stat],Table2[Stat Category],"receiving",Table2[Stat Type],"YDS",Table2[Athlete],Table1[[#This Row],[Pick]],Table2[Week],Table1[[#This Row],[Week]])</f>
        <v>0</v>
      </c>
      <c r="J76" s="6">
        <f>IF(AND($C76="Rushing", $H76&lt;=0), 0, IF(AND($C76="Passing", $G$3&lt;=0), 0,IF(AND($C76="Receiving",$I76&lt;=0), 0,SUMIFS(Table2[Stat],Table2[Week],Table1[[#This Row],[Week]],Table2[Athlete],Table1[[#This Row],[Pick]],Table2[Stat Category],"passing",Table2[Stat Type],"TD"))))</f>
        <v>0</v>
      </c>
      <c r="K76" s="6">
        <f>IF(AND($C76="Rushing", $H76&lt;=0), 0, IF(AND($C76="Passing", $G$3&lt;=0), 0,IF(AND($C76="Receiving",$I76&lt;=0),0,SUMIFS(Table2[Stat],Table2[Week],Table1[[#This Row],[Week]],Table2[Athlete],Table1[[#This Row],[Pick]],Table2[Stat Category],"rushing",Table2[Stat Type],"TD"))))</f>
        <v>0</v>
      </c>
      <c r="L76" s="6">
        <f>IF(AND($C76="Rushing", $H76&lt;=0), 0, IF(AND($C76="Passing", $G$3&lt;=0), 0,IF(AND($C76="Receiving",$I76&lt;=0),0,SUMIFS(Table2[Stat],Table2[Week],Table1[[#This Row],[Week]],Table2[Athlete],Table1[[#This Row],[Pick]],Table2[Stat Category],"receiving",Table2[Stat Type],"TD"))))</f>
        <v>0</v>
      </c>
      <c r="M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" s="61">
        <f>SUMIFS(Data!$J:$J,Data!$A:$A,Info!$B76,Data!$G:$G,Info!$C76,Data!$I:$I,Info!$D76,Data!$H:$H,"TOT")</f>
        <v>0</v>
      </c>
      <c r="O76" s="61">
        <f>IF(C76="Defensive",SUMIFS(Data!$J:$J,Data!$A:$A,Info!$B76,Data!$I:$I,Info!$D76,Data!$H:$H,"INT"),0)</f>
        <v>0</v>
      </c>
      <c r="P76" s="61">
        <f>IF(Table1[[#This Row],[Role]]="Defensive",SUMIFS(Data!$J:$J,Data!$A:$A,Info!$B76,Data!$I:$I,Info!$D76,Data!$H:$H,$P$1),0)</f>
        <v>0</v>
      </c>
      <c r="Q76" s="65" t="str">
        <f>IF(Table1[[#This Row],[Pick]]="","",IF(S76&gt;1,400,IF(G76="","",IF(C76="Passing",(400-Table1[[#This Row],[Passing Yards]]-(30*Table1[[#This Row],[Passing TDs]])-(50*SUM(Table1[[#This Row],[Rushing TDs]:[Other TD''s]]))),IF(C76="Rushing",2*(200-Table1[[#This Row],[Rushing Yards]]-(30*Table1[[#This Row],[Passing TDs]])-50*(Table1[[#This Row],[Rushing TDs]]+Table1[[#This Row],[Receiving TDs]]+Table1[[#This Row],[Other TD''s]])),IF(C76="Receiving",2*(200-Table1[[#This Row],[Receiving Yards]]-(30*Table1[[#This Row],[Passing TDs]])-50*(Table1[[#This Row],[Rushing TDs]]+Table1[[#This Row],[Receiving TDs]]+Table1[[#This Row],[Other TD''s]])),IF(C76="Defensive",(25*(16-Table1[[#This Row],[Tackles]]-(8*(Table1[[#This Row],[Other TD''s]]+Table1[[#This Row],[Interceptions]]+Table1[[#This Row],[Fumbles Recovered]])))))))))))</f>
        <v/>
      </c>
      <c r="R76" s="3" t="str">
        <f t="shared" si="4"/>
        <v/>
      </c>
      <c r="S76" s="4">
        <f t="shared" si="3"/>
        <v>1048507</v>
      </c>
      <c r="T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" spans="1:20" hidden="1" x14ac:dyDescent="0.25">
      <c r="A77" t="s">
        <v>58</v>
      </c>
      <c r="B77" s="28" t="s">
        <v>44</v>
      </c>
      <c r="C77" t="s">
        <v>17</v>
      </c>
      <c r="D77" t="str">
        <f>_xlfn.XLOOKUP(Table1[[#This Row],[Player]]&amp;Table1[[#This Row],[Week]]&amp;Table1[[#This Row],[Role]],'Google Form Transform'!$A:$A,'Google Form Transform'!E:E,"")</f>
        <v/>
      </c>
      <c r="E77" t="str">
        <f>_xlfn.XLOOKUP(Table1[[#This Row],[Player]]&amp;Table1[[#This Row],[Week]]&amp;Table1[[#This Row],[Role]],'Google Form Transform'!$A:$A,'Google Form Transform'!F:F,"")</f>
        <v/>
      </c>
      <c r="F77" t="str">
        <f>_xlfn.XLOOKUP(Table1[[#This Row],[Player]]&amp;Table1[[#This Row],[Week]]&amp;Table1[[#This Row],[Role]],'Google Form Transform'!$A:$A,'Google Form Transform'!G:G,"")</f>
        <v/>
      </c>
      <c r="G77" s="59">
        <f>SUMIFS(Table2[Stat],Table2[Stat Category],"passing",Table2[Stat Type],"YDS",Table2[Athlete],Table1[[#This Row],[Pick]],Table2[Week],Table1[[#This Row],[Week]])</f>
        <v>0</v>
      </c>
      <c r="H77" s="59">
        <f>SUMIFS(Table2[Stat],Table2[Stat Category],"rushing",Table2[Stat Type],"YDS",Table2[Athlete],Table1[[#This Row],[Pick]],Table2[Week],Table1[[#This Row],[Week]])</f>
        <v>0</v>
      </c>
      <c r="I77" s="59">
        <f>SUMIFS(Table2[Stat],Table2[Stat Category],"receiving",Table2[Stat Type],"YDS",Table2[Athlete],Table1[[#This Row],[Pick]],Table2[Week],Table1[[#This Row],[Week]])</f>
        <v>0</v>
      </c>
      <c r="J77" s="6">
        <f>IF(AND($C77="Rushing", $H77&lt;=0), 0, IF(AND($C77="Passing", $G$3&lt;=0), 0,IF(AND($C77="Receiving",$I77&lt;=0), 0,SUMIFS(Table2[Stat],Table2[Week],Table1[[#This Row],[Week]],Table2[Athlete],Table1[[#This Row],[Pick]],Table2[Stat Category],"passing",Table2[Stat Type],"TD"))))</f>
        <v>0</v>
      </c>
      <c r="K77" s="6">
        <f>IF(AND($C77="Rushing", $H77&lt;=0), 0, IF(AND($C77="Passing", $G$3&lt;=0), 0,IF(AND($C77="Receiving",$I77&lt;=0),0,SUMIFS(Table2[Stat],Table2[Week],Table1[[#This Row],[Week]],Table2[Athlete],Table1[[#This Row],[Pick]],Table2[Stat Category],"rushing",Table2[Stat Type],"TD"))))</f>
        <v>0</v>
      </c>
      <c r="L77" s="6">
        <f>IF(AND($C77="Rushing", $H77&lt;=0), 0, IF(AND($C77="Passing", $G$3&lt;=0), 0,IF(AND($C77="Receiving",$I77&lt;=0),0,SUMIFS(Table2[Stat],Table2[Week],Table1[[#This Row],[Week]],Table2[Athlete],Table1[[#This Row],[Pick]],Table2[Stat Category],"receiving",Table2[Stat Type],"TD"))))</f>
        <v>0</v>
      </c>
      <c r="M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" s="61">
        <f>SUMIFS(Data!$J:$J,Data!$A:$A,Info!$B77,Data!$G:$G,Info!$C77,Data!$I:$I,Info!$D77,Data!$H:$H,"TOT")</f>
        <v>0</v>
      </c>
      <c r="O77" s="61">
        <f>IF(C77="Defensive",SUMIFS(Data!$J:$J,Data!$A:$A,Info!$B77,Data!$I:$I,Info!$D77,Data!$H:$H,"INT"),0)</f>
        <v>0</v>
      </c>
      <c r="P77" s="61">
        <f>IF(Table1[[#This Row],[Role]]="Defensive",SUMIFS(Data!$J:$J,Data!$A:$A,Info!$B77,Data!$I:$I,Info!$D77,Data!$H:$H,$P$1),0)</f>
        <v>0</v>
      </c>
      <c r="Q77" s="65" t="str">
        <f>IF(Table1[[#This Row],[Pick]]="","",IF(S77&gt;1,400,IF(G77="","",IF(C77="Passing",(400-Table1[[#This Row],[Passing Yards]]-(30*Table1[[#This Row],[Passing TDs]])-(50*SUM(Table1[[#This Row],[Rushing TDs]:[Other TD''s]]))),IF(C77="Rushing",2*(200-Table1[[#This Row],[Rushing Yards]]-(30*Table1[[#This Row],[Passing TDs]])-50*(Table1[[#This Row],[Rushing TDs]]+Table1[[#This Row],[Receiving TDs]]+Table1[[#This Row],[Other TD''s]])),IF(C77="Receiving",2*(200-Table1[[#This Row],[Receiving Yards]]-(30*Table1[[#This Row],[Passing TDs]])-50*(Table1[[#This Row],[Rushing TDs]]+Table1[[#This Row],[Receiving TDs]]+Table1[[#This Row],[Other TD''s]])),IF(C77="Defensive",(25*(16-Table1[[#This Row],[Tackles]]-(8*(Table1[[#This Row],[Other TD''s]]+Table1[[#This Row],[Interceptions]]+Table1[[#This Row],[Fumbles Recovered]])))))))))))</f>
        <v/>
      </c>
      <c r="R77" s="3" t="str">
        <f t="shared" si="4"/>
        <v/>
      </c>
      <c r="S77" s="4">
        <f t="shared" si="3"/>
        <v>1048507</v>
      </c>
      <c r="T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" spans="1:20" hidden="1" x14ac:dyDescent="0.25">
      <c r="A78" t="s">
        <v>58</v>
      </c>
      <c r="B78" s="28" t="s">
        <v>44</v>
      </c>
      <c r="C78" t="s">
        <v>20</v>
      </c>
      <c r="D78" t="str">
        <f>_xlfn.XLOOKUP(Table1[[#This Row],[Player]]&amp;Table1[[#This Row],[Week]]&amp;Table1[[#This Row],[Role]],'Google Form Transform'!$A:$A,'Google Form Transform'!E:E,"")</f>
        <v/>
      </c>
      <c r="E78" t="str">
        <f>_xlfn.XLOOKUP(Table1[[#This Row],[Player]]&amp;Table1[[#This Row],[Week]]&amp;Table1[[#This Row],[Role]],'Google Form Transform'!$A:$A,'Google Form Transform'!F:F,"")</f>
        <v/>
      </c>
      <c r="F78" t="str">
        <f>_xlfn.XLOOKUP(Table1[[#This Row],[Player]]&amp;Table1[[#This Row],[Week]]&amp;Table1[[#This Row],[Role]],'Google Form Transform'!$A:$A,'Google Form Transform'!G:G,"")</f>
        <v/>
      </c>
      <c r="G78" s="59">
        <f>SUMIFS(Table2[Stat],Table2[Stat Category],"passing",Table2[Stat Type],"YDS",Table2[Athlete],Table1[[#This Row],[Pick]],Table2[Week],Table1[[#This Row],[Week]])</f>
        <v>0</v>
      </c>
      <c r="H78" s="59">
        <f>SUMIFS(Table2[Stat],Table2[Stat Category],"rushing",Table2[Stat Type],"YDS",Table2[Athlete],Table1[[#This Row],[Pick]],Table2[Week],Table1[[#This Row],[Week]])</f>
        <v>0</v>
      </c>
      <c r="I78" s="59">
        <f>SUMIFS(Table2[Stat],Table2[Stat Category],"receiving",Table2[Stat Type],"YDS",Table2[Athlete],Table1[[#This Row],[Pick]],Table2[Week],Table1[[#This Row],[Week]])</f>
        <v>0</v>
      </c>
      <c r="J78" s="6">
        <f>IF(AND($C78="Rushing", $H78&lt;=0), 0, IF(AND($C78="Passing", $G$3&lt;=0), 0,IF(AND($C78="Receiving",$I78&lt;=0), 0,SUMIFS(Table2[Stat],Table2[Week],Table1[[#This Row],[Week]],Table2[Athlete],Table1[[#This Row],[Pick]],Table2[Stat Category],"passing",Table2[Stat Type],"TD"))))</f>
        <v>0</v>
      </c>
      <c r="K78" s="6">
        <f>IF(AND($C78="Rushing", $H78&lt;=0), 0, IF(AND($C78="Passing", $G$3&lt;=0), 0,IF(AND($C78="Receiving",$I78&lt;=0),0,SUMIFS(Table2[Stat],Table2[Week],Table1[[#This Row],[Week]],Table2[Athlete],Table1[[#This Row],[Pick]],Table2[Stat Category],"rushing",Table2[Stat Type],"TD"))))</f>
        <v>0</v>
      </c>
      <c r="L78" s="6">
        <f>IF(AND($C78="Rushing", $H78&lt;=0), 0, IF(AND($C78="Passing", $G$3&lt;=0), 0,IF(AND($C78="Receiving",$I78&lt;=0),0,SUMIFS(Table2[Stat],Table2[Week],Table1[[#This Row],[Week]],Table2[Athlete],Table1[[#This Row],[Pick]],Table2[Stat Category],"receiving",Table2[Stat Type],"TD"))))</f>
        <v>0</v>
      </c>
      <c r="M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" s="61">
        <f>SUMIFS(Data!$J:$J,Data!$A:$A,Info!$B78,Data!$G:$G,Info!$C78,Data!$I:$I,Info!$D78,Data!$H:$H,"TOT")</f>
        <v>0</v>
      </c>
      <c r="O78" s="61">
        <f>IF(C78="Defensive",SUMIFS(Data!$J:$J,Data!$A:$A,Info!$B78,Data!$I:$I,Info!$D78,Data!$H:$H,"INT"),0)</f>
        <v>0</v>
      </c>
      <c r="P78" s="61">
        <f>IF(Table1[[#This Row],[Role]]="Defensive",SUMIFS(Data!$J:$J,Data!$A:$A,Info!$B78,Data!$I:$I,Info!$D78,Data!$H:$H,$P$1),0)</f>
        <v>0</v>
      </c>
      <c r="Q78" s="65" t="str">
        <f>IF(Table1[[#This Row],[Pick]]="","",IF(S78&gt;1,400,IF(G78="","",IF(C78="Passing",(400-Table1[[#This Row],[Passing Yards]]-(30*Table1[[#This Row],[Passing TDs]])-(50*SUM(Table1[[#This Row],[Rushing TDs]:[Other TD''s]]))),IF(C78="Rushing",2*(200-Table1[[#This Row],[Rushing Yards]]-(30*Table1[[#This Row],[Passing TDs]])-50*(Table1[[#This Row],[Rushing TDs]]+Table1[[#This Row],[Receiving TDs]]+Table1[[#This Row],[Other TD''s]])),IF(C78="Receiving",2*(200-Table1[[#This Row],[Receiving Yards]]-(30*Table1[[#This Row],[Passing TDs]])-50*(Table1[[#This Row],[Rushing TDs]]+Table1[[#This Row],[Receiving TDs]]+Table1[[#This Row],[Other TD''s]])),IF(C78="Defensive",(25*(16-Table1[[#This Row],[Tackles]]-(8*(Table1[[#This Row],[Other TD''s]]+Table1[[#This Row],[Interceptions]]+Table1[[#This Row],[Fumbles Recovered]])))))))))))</f>
        <v/>
      </c>
      <c r="R78" s="3" t="str">
        <f t="shared" si="4"/>
        <v/>
      </c>
      <c r="S78" s="4">
        <f t="shared" si="3"/>
        <v>1048507</v>
      </c>
      <c r="T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" spans="1:20" hidden="1" x14ac:dyDescent="0.25">
      <c r="A79" t="s">
        <v>61</v>
      </c>
      <c r="B79" s="28" t="s">
        <v>44</v>
      </c>
      <c r="C79" t="s">
        <v>16</v>
      </c>
      <c r="D79" t="str">
        <f>_xlfn.XLOOKUP(Table1[[#This Row],[Player]]&amp;Table1[[#This Row],[Week]]&amp;Table1[[#This Row],[Role]],'Google Form Transform'!$A:$A,'Google Form Transform'!E:E,"")</f>
        <v/>
      </c>
      <c r="E79" t="str">
        <f>_xlfn.XLOOKUP(Table1[[#This Row],[Player]]&amp;Table1[[#This Row],[Week]]&amp;Table1[[#This Row],[Role]],'Google Form Transform'!$A:$A,'Google Form Transform'!F:F,"")</f>
        <v/>
      </c>
      <c r="F79" t="str">
        <f>_xlfn.XLOOKUP(Table1[[#This Row],[Player]]&amp;Table1[[#This Row],[Week]]&amp;Table1[[#This Row],[Role]],'Google Form Transform'!$A:$A,'Google Form Transform'!G:G,"")</f>
        <v/>
      </c>
      <c r="G79" s="59">
        <f>SUMIFS(Table2[Stat],Table2[Stat Category],"passing",Table2[Stat Type],"YDS",Table2[Athlete],Table1[[#This Row],[Pick]],Table2[Week],Table1[[#This Row],[Week]])</f>
        <v>0</v>
      </c>
      <c r="H79" s="59">
        <f>SUMIFS(Table2[Stat],Table2[Stat Category],"rushing",Table2[Stat Type],"YDS",Table2[Athlete],Table1[[#This Row],[Pick]],Table2[Week],Table1[[#This Row],[Week]])</f>
        <v>0</v>
      </c>
      <c r="I79" s="59">
        <f>SUMIFS(Table2[Stat],Table2[Stat Category],"receiving",Table2[Stat Type],"YDS",Table2[Athlete],Table1[[#This Row],[Pick]],Table2[Week],Table1[[#This Row],[Week]])</f>
        <v>0</v>
      </c>
      <c r="J79" s="6">
        <f>IF(AND($C79="Rushing", $H79&lt;=0), 0, IF(AND($C79="Passing", $G$3&lt;=0), 0,IF(AND($C79="Receiving",$I79&lt;=0), 0,SUMIFS(Table2[Stat],Table2[Week],Table1[[#This Row],[Week]],Table2[Athlete],Table1[[#This Row],[Pick]],Table2[Stat Category],"passing",Table2[Stat Type],"TD"))))</f>
        <v>0</v>
      </c>
      <c r="K79" s="6">
        <f>IF(AND($C79="Rushing", $H79&lt;=0), 0, IF(AND($C79="Passing", $G$3&lt;=0), 0,IF(AND($C79="Receiving",$I79&lt;=0),0,SUMIFS(Table2[Stat],Table2[Week],Table1[[#This Row],[Week]],Table2[Athlete],Table1[[#This Row],[Pick]],Table2[Stat Category],"rushing",Table2[Stat Type],"TD"))))</f>
        <v>0</v>
      </c>
      <c r="L79" s="6">
        <f>IF(AND($C79="Rushing", $H79&lt;=0), 0, IF(AND($C79="Passing", $G$3&lt;=0), 0,IF(AND($C79="Receiving",$I79&lt;=0),0,SUMIFS(Table2[Stat],Table2[Week],Table1[[#This Row],[Week]],Table2[Athlete],Table1[[#This Row],[Pick]],Table2[Stat Category],"receiving",Table2[Stat Type],"TD"))))</f>
        <v>0</v>
      </c>
      <c r="M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" s="61">
        <f>SUMIFS(Data!$J:$J,Data!$A:$A,Info!$B79,Data!$G:$G,Info!$C79,Data!$I:$I,Info!$D79,Data!$H:$H,"TOT")</f>
        <v>0</v>
      </c>
      <c r="O79" s="61">
        <f>IF(C79="Defensive",SUMIFS(Data!$J:$J,Data!$A:$A,Info!$B79,Data!$I:$I,Info!$D79,Data!$H:$H,"INT"),0)</f>
        <v>0</v>
      </c>
      <c r="P79" s="61">
        <f>IF(Table1[[#This Row],[Role]]="Defensive",SUMIFS(Data!$J:$J,Data!$A:$A,Info!$B79,Data!$I:$I,Info!$D79,Data!$H:$H,$P$1),0)</f>
        <v>0</v>
      </c>
      <c r="Q79" s="65" t="str">
        <f>IF(Table1[[#This Row],[Pick]]="","",IF(S79&gt;1,400,IF(G79="","",IF(C79="Passing",(400-Table1[[#This Row],[Passing Yards]]-(30*Table1[[#This Row],[Passing TDs]])-(50*SUM(Table1[[#This Row],[Rushing TDs]:[Other TD''s]]))),IF(C79="Rushing",2*(200-Table1[[#This Row],[Rushing Yards]]-(30*Table1[[#This Row],[Passing TDs]])-50*(Table1[[#This Row],[Rushing TDs]]+Table1[[#This Row],[Receiving TDs]]+Table1[[#This Row],[Other TD''s]])),IF(C79="Receiving",2*(200-Table1[[#This Row],[Receiving Yards]]-(30*Table1[[#This Row],[Passing TDs]])-50*(Table1[[#This Row],[Rushing TDs]]+Table1[[#This Row],[Receiving TDs]]+Table1[[#This Row],[Other TD''s]])),IF(C79="Defensive",(25*(16-Table1[[#This Row],[Tackles]]-(8*(Table1[[#This Row],[Other TD''s]]+Table1[[#This Row],[Interceptions]]+Table1[[#This Row],[Fumbles Recovered]])))))))))))</f>
        <v/>
      </c>
      <c r="R79" s="3" t="str">
        <f t="shared" si="4"/>
        <v/>
      </c>
      <c r="S79" s="4">
        <f t="shared" si="3"/>
        <v>1048507</v>
      </c>
      <c r="T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" spans="1:20" hidden="1" x14ac:dyDescent="0.25">
      <c r="A80" t="s">
        <v>61</v>
      </c>
      <c r="B80" s="28" t="s">
        <v>44</v>
      </c>
      <c r="C80" t="s">
        <v>6</v>
      </c>
      <c r="D80" t="str">
        <f>_xlfn.XLOOKUP(Table1[[#This Row],[Player]]&amp;Table1[[#This Row],[Week]]&amp;Table1[[#This Row],[Role]],'Google Form Transform'!$A:$A,'Google Form Transform'!E:E,"")</f>
        <v/>
      </c>
      <c r="E80" t="str">
        <f>_xlfn.XLOOKUP(Table1[[#This Row],[Player]]&amp;Table1[[#This Row],[Week]]&amp;Table1[[#This Row],[Role]],'Google Form Transform'!$A:$A,'Google Form Transform'!F:F,"")</f>
        <v/>
      </c>
      <c r="F80" t="str">
        <f>_xlfn.XLOOKUP(Table1[[#This Row],[Player]]&amp;Table1[[#This Row],[Week]]&amp;Table1[[#This Row],[Role]],'Google Form Transform'!$A:$A,'Google Form Transform'!G:G,"")</f>
        <v/>
      </c>
      <c r="G80" s="59">
        <f>SUMIFS(Table2[Stat],Table2[Stat Category],"passing",Table2[Stat Type],"YDS",Table2[Athlete],Table1[[#This Row],[Pick]],Table2[Week],Table1[[#This Row],[Week]])</f>
        <v>0</v>
      </c>
      <c r="H80" s="59">
        <f>SUMIFS(Table2[Stat],Table2[Stat Category],"rushing",Table2[Stat Type],"YDS",Table2[Athlete],Table1[[#This Row],[Pick]],Table2[Week],Table1[[#This Row],[Week]])</f>
        <v>0</v>
      </c>
      <c r="I80" s="59">
        <f>SUMIFS(Table2[Stat],Table2[Stat Category],"receiving",Table2[Stat Type],"YDS",Table2[Athlete],Table1[[#This Row],[Pick]],Table2[Week],Table1[[#This Row],[Week]])</f>
        <v>0</v>
      </c>
      <c r="J80" s="6">
        <f>IF(AND($C80="Rushing", $H80&lt;=0), 0, IF(AND($C80="Passing", $G$3&lt;=0), 0,IF(AND($C80="Receiving",$I80&lt;=0), 0,SUMIFS(Table2[Stat],Table2[Week],Table1[[#This Row],[Week]],Table2[Athlete],Table1[[#This Row],[Pick]],Table2[Stat Category],"passing",Table2[Stat Type],"TD"))))</f>
        <v>0</v>
      </c>
      <c r="K80" s="6">
        <f>IF(AND($C80="Rushing", $H80&lt;=0), 0, IF(AND($C80="Passing", $G$3&lt;=0), 0,IF(AND($C80="Receiving",$I80&lt;=0),0,SUMIFS(Table2[Stat],Table2[Week],Table1[[#This Row],[Week]],Table2[Athlete],Table1[[#This Row],[Pick]],Table2[Stat Category],"rushing",Table2[Stat Type],"TD"))))</f>
        <v>0</v>
      </c>
      <c r="L80" s="6">
        <f>IF(AND($C80="Rushing", $H80&lt;=0), 0, IF(AND($C80="Passing", $G$3&lt;=0), 0,IF(AND($C80="Receiving",$I80&lt;=0),0,SUMIFS(Table2[Stat],Table2[Week],Table1[[#This Row],[Week]],Table2[Athlete],Table1[[#This Row],[Pick]],Table2[Stat Category],"receiving",Table2[Stat Type],"TD"))))</f>
        <v>0</v>
      </c>
      <c r="M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" s="61">
        <f>SUMIFS(Data!$J:$J,Data!$A:$A,Info!$B80,Data!$G:$G,Info!$C80,Data!$I:$I,Info!$D80,Data!$H:$H,"TOT")</f>
        <v>0</v>
      </c>
      <c r="O80" s="61">
        <f>IF(C80="Defensive",SUMIFS(Data!$J:$J,Data!$A:$A,Info!$B80,Data!$I:$I,Info!$D80,Data!$H:$H,"INT"),0)</f>
        <v>0</v>
      </c>
      <c r="P80" s="61">
        <f>IF(Table1[[#This Row],[Role]]="Defensive",SUMIFS(Data!$J:$J,Data!$A:$A,Info!$B80,Data!$I:$I,Info!$D80,Data!$H:$H,$P$1),0)</f>
        <v>0</v>
      </c>
      <c r="Q80" s="65" t="str">
        <f>IF(Table1[[#This Row],[Pick]]="","",IF(S80&gt;1,400,IF(G80="","",IF(C80="Passing",(400-Table1[[#This Row],[Passing Yards]]-(30*Table1[[#This Row],[Passing TDs]])-(50*SUM(Table1[[#This Row],[Rushing TDs]:[Other TD''s]]))),IF(C80="Rushing",2*(200-Table1[[#This Row],[Rushing Yards]]-(30*Table1[[#This Row],[Passing TDs]])-50*(Table1[[#This Row],[Rushing TDs]]+Table1[[#This Row],[Receiving TDs]]+Table1[[#This Row],[Other TD''s]])),IF(C80="Receiving",2*(200-Table1[[#This Row],[Receiving Yards]]-(30*Table1[[#This Row],[Passing TDs]])-50*(Table1[[#This Row],[Rushing TDs]]+Table1[[#This Row],[Receiving TDs]]+Table1[[#This Row],[Other TD''s]])),IF(C80="Defensive",(25*(16-Table1[[#This Row],[Tackles]]-(8*(Table1[[#This Row],[Other TD''s]]+Table1[[#This Row],[Interceptions]]+Table1[[#This Row],[Fumbles Recovered]])))))))))))</f>
        <v/>
      </c>
      <c r="R80" s="3" t="str">
        <f t="shared" si="4"/>
        <v/>
      </c>
      <c r="S80" s="4">
        <f t="shared" si="3"/>
        <v>1048507</v>
      </c>
      <c r="T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" spans="1:20" hidden="1" x14ac:dyDescent="0.25">
      <c r="A81" t="s">
        <v>61</v>
      </c>
      <c r="B81" s="28" t="s">
        <v>44</v>
      </c>
      <c r="C81" t="s">
        <v>17</v>
      </c>
      <c r="D81" t="str">
        <f>_xlfn.XLOOKUP(Table1[[#This Row],[Player]]&amp;Table1[[#This Row],[Week]]&amp;Table1[[#This Row],[Role]],'Google Form Transform'!$A:$A,'Google Form Transform'!E:E,"")</f>
        <v/>
      </c>
      <c r="E81" t="str">
        <f>_xlfn.XLOOKUP(Table1[[#This Row],[Player]]&amp;Table1[[#This Row],[Week]]&amp;Table1[[#This Row],[Role]],'Google Form Transform'!$A:$A,'Google Form Transform'!F:F,"")</f>
        <v/>
      </c>
      <c r="F81" t="str">
        <f>_xlfn.XLOOKUP(Table1[[#This Row],[Player]]&amp;Table1[[#This Row],[Week]]&amp;Table1[[#This Row],[Role]],'Google Form Transform'!$A:$A,'Google Form Transform'!G:G,"")</f>
        <v/>
      </c>
      <c r="G81" s="59">
        <f>SUMIFS(Table2[Stat],Table2[Stat Category],"passing",Table2[Stat Type],"YDS",Table2[Athlete],Table1[[#This Row],[Pick]],Table2[Week],Table1[[#This Row],[Week]])</f>
        <v>0</v>
      </c>
      <c r="H81" s="59">
        <f>SUMIFS(Table2[Stat],Table2[Stat Category],"rushing",Table2[Stat Type],"YDS",Table2[Athlete],Table1[[#This Row],[Pick]],Table2[Week],Table1[[#This Row],[Week]])</f>
        <v>0</v>
      </c>
      <c r="I81" s="59">
        <f>SUMIFS(Table2[Stat],Table2[Stat Category],"receiving",Table2[Stat Type],"YDS",Table2[Athlete],Table1[[#This Row],[Pick]],Table2[Week],Table1[[#This Row],[Week]])</f>
        <v>0</v>
      </c>
      <c r="J81" s="6">
        <f>IF(AND($C81="Rushing", $H81&lt;=0), 0, IF(AND($C81="Passing", $G$3&lt;=0), 0,IF(AND($C81="Receiving",$I81&lt;=0), 0,SUMIFS(Table2[Stat],Table2[Week],Table1[[#This Row],[Week]],Table2[Athlete],Table1[[#This Row],[Pick]],Table2[Stat Category],"passing",Table2[Stat Type],"TD"))))</f>
        <v>0</v>
      </c>
      <c r="K81" s="6">
        <f>IF(AND($C81="Rushing", $H81&lt;=0), 0, IF(AND($C81="Passing", $G$3&lt;=0), 0,IF(AND($C81="Receiving",$I81&lt;=0),0,SUMIFS(Table2[Stat],Table2[Week],Table1[[#This Row],[Week]],Table2[Athlete],Table1[[#This Row],[Pick]],Table2[Stat Category],"rushing",Table2[Stat Type],"TD"))))</f>
        <v>0</v>
      </c>
      <c r="L81" s="6">
        <f>IF(AND($C81="Rushing", $H81&lt;=0), 0, IF(AND($C81="Passing", $G$3&lt;=0), 0,IF(AND($C81="Receiving",$I81&lt;=0),0,SUMIFS(Table2[Stat],Table2[Week],Table1[[#This Row],[Week]],Table2[Athlete],Table1[[#This Row],[Pick]],Table2[Stat Category],"receiving",Table2[Stat Type],"TD"))))</f>
        <v>0</v>
      </c>
      <c r="M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" s="61">
        <f>SUMIFS(Data!$J:$J,Data!$A:$A,Info!$B81,Data!$G:$G,Info!$C81,Data!$I:$I,Info!$D81,Data!$H:$H,"TOT")</f>
        <v>0</v>
      </c>
      <c r="O81" s="61">
        <f>IF(C81="Defensive",SUMIFS(Data!$J:$J,Data!$A:$A,Info!$B81,Data!$I:$I,Info!$D81,Data!$H:$H,"INT"),0)</f>
        <v>0</v>
      </c>
      <c r="P81" s="61">
        <f>IF(Table1[[#This Row],[Role]]="Defensive",SUMIFS(Data!$J:$J,Data!$A:$A,Info!$B81,Data!$I:$I,Info!$D81,Data!$H:$H,$P$1),0)</f>
        <v>0</v>
      </c>
      <c r="Q81" s="65" t="str">
        <f>IF(Table1[[#This Row],[Pick]]="","",IF(S81&gt;1,400,IF(G81="","",IF(C81="Passing",(400-Table1[[#This Row],[Passing Yards]]-(30*Table1[[#This Row],[Passing TDs]])-(50*SUM(Table1[[#This Row],[Rushing TDs]:[Other TD''s]]))),IF(C81="Rushing",2*(200-Table1[[#This Row],[Rushing Yards]]-(30*Table1[[#This Row],[Passing TDs]])-50*(Table1[[#This Row],[Rushing TDs]]+Table1[[#This Row],[Receiving TDs]]+Table1[[#This Row],[Other TD''s]])),IF(C81="Receiving",2*(200-Table1[[#This Row],[Receiving Yards]]-(30*Table1[[#This Row],[Passing TDs]])-50*(Table1[[#This Row],[Rushing TDs]]+Table1[[#This Row],[Receiving TDs]]+Table1[[#This Row],[Other TD''s]])),IF(C81="Defensive",(25*(16-Table1[[#This Row],[Tackles]]-(8*(Table1[[#This Row],[Other TD''s]]+Table1[[#This Row],[Interceptions]]+Table1[[#This Row],[Fumbles Recovered]])))))))))))</f>
        <v/>
      </c>
      <c r="R81" s="3" t="str">
        <f t="shared" si="4"/>
        <v/>
      </c>
      <c r="S81" s="4">
        <f t="shared" si="3"/>
        <v>1048507</v>
      </c>
      <c r="T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" spans="1:20" hidden="1" x14ac:dyDescent="0.25">
      <c r="A82" t="s">
        <v>61</v>
      </c>
      <c r="B82" s="28" t="s">
        <v>44</v>
      </c>
      <c r="C82" t="s">
        <v>20</v>
      </c>
      <c r="D82" t="str">
        <f>_xlfn.XLOOKUP(Table1[[#This Row],[Player]]&amp;Table1[[#This Row],[Week]]&amp;Table1[[#This Row],[Role]],'Google Form Transform'!$A:$A,'Google Form Transform'!E:E,"")</f>
        <v/>
      </c>
      <c r="E82" t="str">
        <f>_xlfn.XLOOKUP(Table1[[#This Row],[Player]]&amp;Table1[[#This Row],[Week]]&amp;Table1[[#This Row],[Role]],'Google Form Transform'!$A:$A,'Google Form Transform'!F:F,"")</f>
        <v/>
      </c>
      <c r="F82" t="str">
        <f>_xlfn.XLOOKUP(Table1[[#This Row],[Player]]&amp;Table1[[#This Row],[Week]]&amp;Table1[[#This Row],[Role]],'Google Form Transform'!$A:$A,'Google Form Transform'!G:G,"")</f>
        <v/>
      </c>
      <c r="G82" s="59">
        <f>SUMIFS(Table2[Stat],Table2[Stat Category],"passing",Table2[Stat Type],"YDS",Table2[Athlete],Table1[[#This Row],[Pick]],Table2[Week],Table1[[#This Row],[Week]])</f>
        <v>0</v>
      </c>
      <c r="H82" s="59">
        <f>SUMIFS(Table2[Stat],Table2[Stat Category],"rushing",Table2[Stat Type],"YDS",Table2[Athlete],Table1[[#This Row],[Pick]],Table2[Week],Table1[[#This Row],[Week]])</f>
        <v>0</v>
      </c>
      <c r="I82" s="59">
        <f>SUMIFS(Table2[Stat],Table2[Stat Category],"receiving",Table2[Stat Type],"YDS",Table2[Athlete],Table1[[#This Row],[Pick]],Table2[Week],Table1[[#This Row],[Week]])</f>
        <v>0</v>
      </c>
      <c r="J82" s="6">
        <f>IF(AND($C82="Rushing", $H82&lt;=0), 0, IF(AND($C82="Passing", $G$3&lt;=0), 0,IF(AND($C82="Receiving",$I82&lt;=0), 0,SUMIFS(Table2[Stat],Table2[Week],Table1[[#This Row],[Week]],Table2[Athlete],Table1[[#This Row],[Pick]],Table2[Stat Category],"passing",Table2[Stat Type],"TD"))))</f>
        <v>0</v>
      </c>
      <c r="K82" s="6">
        <f>IF(AND($C82="Rushing", $H82&lt;=0), 0, IF(AND($C82="Passing", $G$3&lt;=0), 0,IF(AND($C82="Receiving",$I82&lt;=0),0,SUMIFS(Table2[Stat],Table2[Week],Table1[[#This Row],[Week]],Table2[Athlete],Table1[[#This Row],[Pick]],Table2[Stat Category],"rushing",Table2[Stat Type],"TD"))))</f>
        <v>0</v>
      </c>
      <c r="L82" s="6">
        <f>IF(AND($C82="Rushing", $H82&lt;=0), 0, IF(AND($C82="Passing", $G$3&lt;=0), 0,IF(AND($C82="Receiving",$I82&lt;=0),0,SUMIFS(Table2[Stat],Table2[Week],Table1[[#This Row],[Week]],Table2[Athlete],Table1[[#This Row],[Pick]],Table2[Stat Category],"receiving",Table2[Stat Type],"TD"))))</f>
        <v>0</v>
      </c>
      <c r="M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" s="61">
        <f>SUMIFS(Data!$J:$J,Data!$A:$A,Info!$B82,Data!$G:$G,Info!$C82,Data!$I:$I,Info!$D82,Data!$H:$H,"TOT")</f>
        <v>0</v>
      </c>
      <c r="O82" s="61">
        <f>IF(C82="Defensive",SUMIFS(Data!$J:$J,Data!$A:$A,Info!$B82,Data!$I:$I,Info!$D82,Data!$H:$H,"INT"),0)</f>
        <v>0</v>
      </c>
      <c r="P82" s="61">
        <f>IF(Table1[[#This Row],[Role]]="Defensive",SUMIFS(Data!$J:$J,Data!$A:$A,Info!$B82,Data!$I:$I,Info!$D82,Data!$H:$H,$P$1),0)</f>
        <v>0</v>
      </c>
      <c r="Q82" s="65" t="str">
        <f>IF(Table1[[#This Row],[Pick]]="","",IF(S82&gt;1,400,IF(G82="","",IF(C82="Passing",(400-Table1[[#This Row],[Passing Yards]]-(30*Table1[[#This Row],[Passing TDs]])-(50*SUM(Table1[[#This Row],[Rushing TDs]:[Other TD''s]]))),IF(C82="Rushing",2*(200-Table1[[#This Row],[Rushing Yards]]-(30*Table1[[#This Row],[Passing TDs]])-50*(Table1[[#This Row],[Rushing TDs]]+Table1[[#This Row],[Receiving TDs]]+Table1[[#This Row],[Other TD''s]])),IF(C82="Receiving",2*(200-Table1[[#This Row],[Receiving Yards]]-(30*Table1[[#This Row],[Passing TDs]])-50*(Table1[[#This Row],[Rushing TDs]]+Table1[[#This Row],[Receiving TDs]]+Table1[[#This Row],[Other TD''s]])),IF(C82="Defensive",(25*(16-Table1[[#This Row],[Tackles]]-(8*(Table1[[#This Row],[Other TD''s]]+Table1[[#This Row],[Interceptions]]+Table1[[#This Row],[Fumbles Recovered]])))))))))))</f>
        <v/>
      </c>
      <c r="R82" s="3" t="str">
        <f t="shared" si="4"/>
        <v/>
      </c>
      <c r="S82" s="4">
        <f t="shared" si="3"/>
        <v>1048507</v>
      </c>
      <c r="T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" spans="1:20" hidden="1" x14ac:dyDescent="0.25">
      <c r="A83" t="s">
        <v>60</v>
      </c>
      <c r="B83" s="28" t="s">
        <v>44</v>
      </c>
      <c r="C83" t="s">
        <v>16</v>
      </c>
      <c r="D83" t="str">
        <f>_xlfn.XLOOKUP(Table1[[#This Row],[Player]]&amp;Table1[[#This Row],[Week]]&amp;Table1[[#This Row],[Role]],'Google Form Transform'!$A:$A,'Google Form Transform'!E:E,"")</f>
        <v/>
      </c>
      <c r="E83" t="str">
        <f>_xlfn.XLOOKUP(Table1[[#This Row],[Player]]&amp;Table1[[#This Row],[Week]]&amp;Table1[[#This Row],[Role]],'Google Form Transform'!$A:$A,'Google Form Transform'!F:F,"")</f>
        <v/>
      </c>
      <c r="F83" t="str">
        <f>_xlfn.XLOOKUP(Table1[[#This Row],[Player]]&amp;Table1[[#This Row],[Week]]&amp;Table1[[#This Row],[Role]],'Google Form Transform'!$A:$A,'Google Form Transform'!G:G,"")</f>
        <v/>
      </c>
      <c r="G83" s="59">
        <f>SUMIFS(Table2[Stat],Table2[Stat Category],"passing",Table2[Stat Type],"YDS",Table2[Athlete],Table1[[#This Row],[Pick]],Table2[Week],Table1[[#This Row],[Week]])</f>
        <v>0</v>
      </c>
      <c r="H83" s="59">
        <f>SUMIFS(Table2[Stat],Table2[Stat Category],"rushing",Table2[Stat Type],"YDS",Table2[Athlete],Table1[[#This Row],[Pick]],Table2[Week],Table1[[#This Row],[Week]])</f>
        <v>0</v>
      </c>
      <c r="I83" s="59">
        <f>SUMIFS(Table2[Stat],Table2[Stat Category],"receiving",Table2[Stat Type],"YDS",Table2[Athlete],Table1[[#This Row],[Pick]],Table2[Week],Table1[[#This Row],[Week]])</f>
        <v>0</v>
      </c>
      <c r="J83" s="6">
        <f>IF(AND($C83="Rushing", $H83&lt;=0), 0, IF(AND($C83="Passing", $G$3&lt;=0), 0,IF(AND($C83="Receiving",$I83&lt;=0), 0,SUMIFS(Table2[Stat],Table2[Week],Table1[[#This Row],[Week]],Table2[Athlete],Table1[[#This Row],[Pick]],Table2[Stat Category],"passing",Table2[Stat Type],"TD"))))</f>
        <v>0</v>
      </c>
      <c r="K83" s="6">
        <f>IF(AND($C83="Rushing", $H83&lt;=0), 0, IF(AND($C83="Passing", $G$3&lt;=0), 0,IF(AND($C83="Receiving",$I83&lt;=0),0,SUMIFS(Table2[Stat],Table2[Week],Table1[[#This Row],[Week]],Table2[Athlete],Table1[[#This Row],[Pick]],Table2[Stat Category],"rushing",Table2[Stat Type],"TD"))))</f>
        <v>0</v>
      </c>
      <c r="L83" s="6">
        <f>IF(AND($C83="Rushing", $H83&lt;=0), 0, IF(AND($C83="Passing", $G$3&lt;=0), 0,IF(AND($C83="Receiving",$I83&lt;=0),0,SUMIFS(Table2[Stat],Table2[Week],Table1[[#This Row],[Week]],Table2[Athlete],Table1[[#This Row],[Pick]],Table2[Stat Category],"receiving",Table2[Stat Type],"TD"))))</f>
        <v>0</v>
      </c>
      <c r="M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" s="61">
        <f>SUMIFS(Data!$J:$J,Data!$A:$A,Info!$B83,Data!$G:$G,Info!$C83,Data!$I:$I,Info!$D83,Data!$H:$H,"TOT")</f>
        <v>0</v>
      </c>
      <c r="O83" s="61">
        <f>IF(C83="Defensive",SUMIFS(Data!$J:$J,Data!$A:$A,Info!$B83,Data!$I:$I,Info!$D83,Data!$H:$H,"INT"),0)</f>
        <v>0</v>
      </c>
      <c r="P83" s="61">
        <f>IF(Table1[[#This Row],[Role]]="Defensive",SUMIFS(Data!$J:$J,Data!$A:$A,Info!$B83,Data!$I:$I,Info!$D83,Data!$H:$H,$P$1),0)</f>
        <v>0</v>
      </c>
      <c r="Q83" s="65" t="str">
        <f>IF(Table1[[#This Row],[Pick]]="","",IF(S83&gt;1,400,IF(G83="","",IF(C83="Passing",(400-Table1[[#This Row],[Passing Yards]]-(30*Table1[[#This Row],[Passing TDs]])-(50*SUM(Table1[[#This Row],[Rushing TDs]:[Other TD''s]]))),IF(C83="Rushing",2*(200-Table1[[#This Row],[Rushing Yards]]-(30*Table1[[#This Row],[Passing TDs]])-50*(Table1[[#This Row],[Rushing TDs]]+Table1[[#This Row],[Receiving TDs]]+Table1[[#This Row],[Other TD''s]])),IF(C83="Receiving",2*(200-Table1[[#This Row],[Receiving Yards]]-(30*Table1[[#This Row],[Passing TDs]])-50*(Table1[[#This Row],[Rushing TDs]]+Table1[[#This Row],[Receiving TDs]]+Table1[[#This Row],[Other TD''s]])),IF(C83="Defensive",(25*(16-Table1[[#This Row],[Tackles]]-(8*(Table1[[#This Row],[Other TD''s]]+Table1[[#This Row],[Interceptions]]+Table1[[#This Row],[Fumbles Recovered]])))))))))))</f>
        <v/>
      </c>
      <c r="R83" s="3" t="str">
        <f t="shared" si="4"/>
        <v/>
      </c>
      <c r="S83" s="4">
        <f t="shared" si="3"/>
        <v>1048507</v>
      </c>
      <c r="T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" spans="1:20" hidden="1" x14ac:dyDescent="0.25">
      <c r="A84" t="s">
        <v>60</v>
      </c>
      <c r="B84" s="28" t="s">
        <v>44</v>
      </c>
      <c r="C84" t="s">
        <v>6</v>
      </c>
      <c r="D84" t="str">
        <f>_xlfn.XLOOKUP(Table1[[#This Row],[Player]]&amp;Table1[[#This Row],[Week]]&amp;Table1[[#This Row],[Role]],'Google Form Transform'!$A:$A,'Google Form Transform'!E:E,"")</f>
        <v/>
      </c>
      <c r="E84" t="str">
        <f>_xlfn.XLOOKUP(Table1[[#This Row],[Player]]&amp;Table1[[#This Row],[Week]]&amp;Table1[[#This Row],[Role]],'Google Form Transform'!$A:$A,'Google Form Transform'!F:F,"")</f>
        <v/>
      </c>
      <c r="F84" t="str">
        <f>_xlfn.XLOOKUP(Table1[[#This Row],[Player]]&amp;Table1[[#This Row],[Week]]&amp;Table1[[#This Row],[Role]],'Google Form Transform'!$A:$A,'Google Form Transform'!G:G,"")</f>
        <v/>
      </c>
      <c r="G84" s="59">
        <f>SUMIFS(Table2[Stat],Table2[Stat Category],"passing",Table2[Stat Type],"YDS",Table2[Athlete],Table1[[#This Row],[Pick]],Table2[Week],Table1[[#This Row],[Week]])</f>
        <v>0</v>
      </c>
      <c r="H84" s="59">
        <f>SUMIFS(Table2[Stat],Table2[Stat Category],"rushing",Table2[Stat Type],"YDS",Table2[Athlete],Table1[[#This Row],[Pick]],Table2[Week],Table1[[#This Row],[Week]])</f>
        <v>0</v>
      </c>
      <c r="I84" s="59">
        <f>SUMIFS(Table2[Stat],Table2[Stat Category],"receiving",Table2[Stat Type],"YDS",Table2[Athlete],Table1[[#This Row],[Pick]],Table2[Week],Table1[[#This Row],[Week]])</f>
        <v>0</v>
      </c>
      <c r="J84" s="6">
        <f>IF(AND($C84="Rushing", $H84&lt;=0), 0, IF(AND($C84="Passing", $G$3&lt;=0), 0,IF(AND($C84="Receiving",$I84&lt;=0), 0,SUMIFS(Table2[Stat],Table2[Week],Table1[[#This Row],[Week]],Table2[Athlete],Table1[[#This Row],[Pick]],Table2[Stat Category],"passing",Table2[Stat Type],"TD"))))</f>
        <v>0</v>
      </c>
      <c r="K84" s="6">
        <f>IF(AND($C84="Rushing", $H84&lt;=0), 0, IF(AND($C84="Passing", $G$3&lt;=0), 0,IF(AND($C84="Receiving",$I84&lt;=0),0,SUMIFS(Table2[Stat],Table2[Week],Table1[[#This Row],[Week]],Table2[Athlete],Table1[[#This Row],[Pick]],Table2[Stat Category],"rushing",Table2[Stat Type],"TD"))))</f>
        <v>0</v>
      </c>
      <c r="L84" s="6">
        <f>IF(AND($C84="Rushing", $H84&lt;=0), 0, IF(AND($C84="Passing", $G$3&lt;=0), 0,IF(AND($C84="Receiving",$I84&lt;=0),0,SUMIFS(Table2[Stat],Table2[Week],Table1[[#This Row],[Week]],Table2[Athlete],Table1[[#This Row],[Pick]],Table2[Stat Category],"receiving",Table2[Stat Type],"TD"))))</f>
        <v>0</v>
      </c>
      <c r="M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" s="61">
        <f>SUMIFS(Data!$J:$J,Data!$A:$A,Info!$B84,Data!$G:$G,Info!$C84,Data!$I:$I,Info!$D84,Data!$H:$H,"TOT")</f>
        <v>0</v>
      </c>
      <c r="O84" s="61">
        <f>IF(C84="Defensive",SUMIFS(Data!$J:$J,Data!$A:$A,Info!$B84,Data!$I:$I,Info!$D84,Data!$H:$H,"INT"),0)</f>
        <v>0</v>
      </c>
      <c r="P84" s="61">
        <f>IF(Table1[[#This Row],[Role]]="Defensive",SUMIFS(Data!$J:$J,Data!$A:$A,Info!$B84,Data!$I:$I,Info!$D84,Data!$H:$H,$P$1),0)</f>
        <v>0</v>
      </c>
      <c r="Q84" s="65" t="str">
        <f>IF(Table1[[#This Row],[Pick]]="","",IF(S84&gt;1,400,IF(G84="","",IF(C84="Passing",(400-Table1[[#This Row],[Passing Yards]]-(30*Table1[[#This Row],[Passing TDs]])-(50*SUM(Table1[[#This Row],[Rushing TDs]:[Other TD''s]]))),IF(C84="Rushing",2*(200-Table1[[#This Row],[Rushing Yards]]-(30*Table1[[#This Row],[Passing TDs]])-50*(Table1[[#This Row],[Rushing TDs]]+Table1[[#This Row],[Receiving TDs]]+Table1[[#This Row],[Other TD''s]])),IF(C84="Receiving",2*(200-Table1[[#This Row],[Receiving Yards]]-(30*Table1[[#This Row],[Passing TDs]])-50*(Table1[[#This Row],[Rushing TDs]]+Table1[[#This Row],[Receiving TDs]]+Table1[[#This Row],[Other TD''s]])),IF(C84="Defensive",(25*(16-Table1[[#This Row],[Tackles]]-(8*(Table1[[#This Row],[Other TD''s]]+Table1[[#This Row],[Interceptions]]+Table1[[#This Row],[Fumbles Recovered]])))))))))))</f>
        <v/>
      </c>
      <c r="R84" s="3" t="str">
        <f t="shared" si="4"/>
        <v/>
      </c>
      <c r="S84" s="4">
        <f t="shared" si="3"/>
        <v>1048507</v>
      </c>
      <c r="T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" spans="1:20" hidden="1" x14ac:dyDescent="0.25">
      <c r="A85" t="s">
        <v>60</v>
      </c>
      <c r="B85" s="28" t="s">
        <v>44</v>
      </c>
      <c r="C85" t="s">
        <v>17</v>
      </c>
      <c r="D85" t="str">
        <f>_xlfn.XLOOKUP(Table1[[#This Row],[Player]]&amp;Table1[[#This Row],[Week]]&amp;Table1[[#This Row],[Role]],'Google Form Transform'!$A:$A,'Google Form Transform'!E:E,"")</f>
        <v/>
      </c>
      <c r="E85" t="str">
        <f>_xlfn.XLOOKUP(Table1[[#This Row],[Player]]&amp;Table1[[#This Row],[Week]]&amp;Table1[[#This Row],[Role]],'Google Form Transform'!$A:$A,'Google Form Transform'!F:F,"")</f>
        <v/>
      </c>
      <c r="F85" t="str">
        <f>_xlfn.XLOOKUP(Table1[[#This Row],[Player]]&amp;Table1[[#This Row],[Week]]&amp;Table1[[#This Row],[Role]],'Google Form Transform'!$A:$A,'Google Form Transform'!G:G,"")</f>
        <v/>
      </c>
      <c r="G85" s="59">
        <f>SUMIFS(Table2[Stat],Table2[Stat Category],"passing",Table2[Stat Type],"YDS",Table2[Athlete],Table1[[#This Row],[Pick]],Table2[Week],Table1[[#This Row],[Week]])</f>
        <v>0</v>
      </c>
      <c r="H85" s="59">
        <f>SUMIFS(Table2[Stat],Table2[Stat Category],"rushing",Table2[Stat Type],"YDS",Table2[Athlete],Table1[[#This Row],[Pick]],Table2[Week],Table1[[#This Row],[Week]])</f>
        <v>0</v>
      </c>
      <c r="I85" s="59">
        <f>SUMIFS(Table2[Stat],Table2[Stat Category],"receiving",Table2[Stat Type],"YDS",Table2[Athlete],Table1[[#This Row],[Pick]],Table2[Week],Table1[[#This Row],[Week]])</f>
        <v>0</v>
      </c>
      <c r="J85" s="6">
        <f>IF(AND($C85="Rushing", $H85&lt;=0), 0, IF(AND($C85="Passing", $G$3&lt;=0), 0,IF(AND($C85="Receiving",$I85&lt;=0), 0,SUMIFS(Table2[Stat],Table2[Week],Table1[[#This Row],[Week]],Table2[Athlete],Table1[[#This Row],[Pick]],Table2[Stat Category],"passing",Table2[Stat Type],"TD"))))</f>
        <v>0</v>
      </c>
      <c r="K85" s="6">
        <f>IF(AND($C85="Rushing", $H85&lt;=0), 0, IF(AND($C85="Passing", $G$3&lt;=0), 0,IF(AND($C85="Receiving",$I85&lt;=0),0,SUMIFS(Table2[Stat],Table2[Week],Table1[[#This Row],[Week]],Table2[Athlete],Table1[[#This Row],[Pick]],Table2[Stat Category],"rushing",Table2[Stat Type],"TD"))))</f>
        <v>0</v>
      </c>
      <c r="L85" s="6">
        <f>IF(AND($C85="Rushing", $H85&lt;=0), 0, IF(AND($C85="Passing", $G$3&lt;=0), 0,IF(AND($C85="Receiving",$I85&lt;=0),0,SUMIFS(Table2[Stat],Table2[Week],Table1[[#This Row],[Week]],Table2[Athlete],Table1[[#This Row],[Pick]],Table2[Stat Category],"receiving",Table2[Stat Type],"TD"))))</f>
        <v>0</v>
      </c>
      <c r="M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" s="61">
        <f>SUMIFS(Data!$J:$J,Data!$A:$A,Info!$B85,Data!$G:$G,Info!$C85,Data!$I:$I,Info!$D85,Data!$H:$H,"TOT")</f>
        <v>0</v>
      </c>
      <c r="O85" s="61">
        <f>IF(C85="Defensive",SUMIFS(Data!$J:$J,Data!$A:$A,Info!$B85,Data!$I:$I,Info!$D85,Data!$H:$H,"INT"),0)</f>
        <v>0</v>
      </c>
      <c r="P85" s="61">
        <f>IF(Table1[[#This Row],[Role]]="Defensive",SUMIFS(Data!$J:$J,Data!$A:$A,Info!$B85,Data!$I:$I,Info!$D85,Data!$H:$H,$P$1),0)</f>
        <v>0</v>
      </c>
      <c r="Q85" s="65" t="str">
        <f>IF(Table1[[#This Row],[Pick]]="","",IF(S85&gt;1,400,IF(G85="","",IF(C85="Passing",(400-Table1[[#This Row],[Passing Yards]]-(30*Table1[[#This Row],[Passing TDs]])-(50*SUM(Table1[[#This Row],[Rushing TDs]:[Other TD''s]]))),IF(C85="Rushing",2*(200-Table1[[#This Row],[Rushing Yards]]-(30*Table1[[#This Row],[Passing TDs]])-50*(Table1[[#This Row],[Rushing TDs]]+Table1[[#This Row],[Receiving TDs]]+Table1[[#This Row],[Other TD''s]])),IF(C85="Receiving",2*(200-Table1[[#This Row],[Receiving Yards]]-(30*Table1[[#This Row],[Passing TDs]])-50*(Table1[[#This Row],[Rushing TDs]]+Table1[[#This Row],[Receiving TDs]]+Table1[[#This Row],[Other TD''s]])),IF(C85="Defensive",(25*(16-Table1[[#This Row],[Tackles]]-(8*(Table1[[#This Row],[Other TD''s]]+Table1[[#This Row],[Interceptions]]+Table1[[#This Row],[Fumbles Recovered]])))))))))))</f>
        <v/>
      </c>
      <c r="R85" s="3" t="str">
        <f t="shared" si="4"/>
        <v/>
      </c>
      <c r="S85" s="4">
        <f t="shared" si="3"/>
        <v>1048507</v>
      </c>
      <c r="T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" spans="1:20" hidden="1" x14ac:dyDescent="0.25">
      <c r="A86" t="s">
        <v>60</v>
      </c>
      <c r="B86" s="28" t="s">
        <v>44</v>
      </c>
      <c r="C86" t="s">
        <v>20</v>
      </c>
      <c r="D86" t="str">
        <f>_xlfn.XLOOKUP(Table1[[#This Row],[Player]]&amp;Table1[[#This Row],[Week]]&amp;Table1[[#This Row],[Role]],'Google Form Transform'!$A:$A,'Google Form Transform'!E:E,"")</f>
        <v/>
      </c>
      <c r="E86" t="str">
        <f>_xlfn.XLOOKUP(Table1[[#This Row],[Player]]&amp;Table1[[#This Row],[Week]]&amp;Table1[[#This Row],[Role]],'Google Form Transform'!$A:$A,'Google Form Transform'!F:F,"")</f>
        <v/>
      </c>
      <c r="F86" t="str">
        <f>_xlfn.XLOOKUP(Table1[[#This Row],[Player]]&amp;Table1[[#This Row],[Week]]&amp;Table1[[#This Row],[Role]],'Google Form Transform'!$A:$A,'Google Form Transform'!G:G,"")</f>
        <v/>
      </c>
      <c r="G86" s="59">
        <f>SUMIFS(Table2[Stat],Table2[Stat Category],"passing",Table2[Stat Type],"YDS",Table2[Athlete],Table1[[#This Row],[Pick]],Table2[Week],Table1[[#This Row],[Week]])</f>
        <v>0</v>
      </c>
      <c r="H86" s="59">
        <f>SUMIFS(Table2[Stat],Table2[Stat Category],"rushing",Table2[Stat Type],"YDS",Table2[Athlete],Table1[[#This Row],[Pick]],Table2[Week],Table1[[#This Row],[Week]])</f>
        <v>0</v>
      </c>
      <c r="I86" s="59">
        <f>SUMIFS(Table2[Stat],Table2[Stat Category],"receiving",Table2[Stat Type],"YDS",Table2[Athlete],Table1[[#This Row],[Pick]],Table2[Week],Table1[[#This Row],[Week]])</f>
        <v>0</v>
      </c>
      <c r="J86" s="6">
        <f>IF(AND($C86="Rushing", $H86&lt;=0), 0, IF(AND($C86="Passing", $G$3&lt;=0), 0,IF(AND($C86="Receiving",$I86&lt;=0), 0,SUMIFS(Table2[Stat],Table2[Week],Table1[[#This Row],[Week]],Table2[Athlete],Table1[[#This Row],[Pick]],Table2[Stat Category],"passing",Table2[Stat Type],"TD"))))</f>
        <v>0</v>
      </c>
      <c r="K86" s="6">
        <f>IF(AND($C86="Rushing", $H86&lt;=0), 0, IF(AND($C86="Passing", $G$3&lt;=0), 0,IF(AND($C86="Receiving",$I86&lt;=0),0,SUMIFS(Table2[Stat],Table2[Week],Table1[[#This Row],[Week]],Table2[Athlete],Table1[[#This Row],[Pick]],Table2[Stat Category],"rushing",Table2[Stat Type],"TD"))))</f>
        <v>0</v>
      </c>
      <c r="L86" s="6">
        <f>IF(AND($C86="Rushing", $H86&lt;=0), 0, IF(AND($C86="Passing", $G$3&lt;=0), 0,IF(AND($C86="Receiving",$I86&lt;=0),0,SUMIFS(Table2[Stat],Table2[Week],Table1[[#This Row],[Week]],Table2[Athlete],Table1[[#This Row],[Pick]],Table2[Stat Category],"receiving",Table2[Stat Type],"TD"))))</f>
        <v>0</v>
      </c>
      <c r="M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" s="61">
        <f>SUMIFS(Data!$J:$J,Data!$A:$A,Info!$B86,Data!$G:$G,Info!$C86,Data!$I:$I,Info!$D86,Data!$H:$H,"TOT")</f>
        <v>0</v>
      </c>
      <c r="O86" s="61">
        <f>IF(C86="Defensive",SUMIFS(Data!$J:$J,Data!$A:$A,Info!$B86,Data!$I:$I,Info!$D86,Data!$H:$H,"INT"),0)</f>
        <v>0</v>
      </c>
      <c r="P86" s="61">
        <f>IF(Table1[[#This Row],[Role]]="Defensive",SUMIFS(Data!$J:$J,Data!$A:$A,Info!$B86,Data!$I:$I,Info!$D86,Data!$H:$H,$P$1),0)</f>
        <v>0</v>
      </c>
      <c r="Q86" s="65" t="str">
        <f>IF(Table1[[#This Row],[Pick]]="","",IF(S86&gt;1,400,IF(G86="","",IF(C86="Passing",(400-Table1[[#This Row],[Passing Yards]]-(30*Table1[[#This Row],[Passing TDs]])-(50*SUM(Table1[[#This Row],[Rushing TDs]:[Other TD''s]]))),IF(C86="Rushing",2*(200-Table1[[#This Row],[Rushing Yards]]-(30*Table1[[#This Row],[Passing TDs]])-50*(Table1[[#This Row],[Rushing TDs]]+Table1[[#This Row],[Receiving TDs]]+Table1[[#This Row],[Other TD''s]])),IF(C86="Receiving",2*(200-Table1[[#This Row],[Receiving Yards]]-(30*Table1[[#This Row],[Passing TDs]])-50*(Table1[[#This Row],[Rushing TDs]]+Table1[[#This Row],[Receiving TDs]]+Table1[[#This Row],[Other TD''s]])),IF(C86="Defensive",(25*(16-Table1[[#This Row],[Tackles]]-(8*(Table1[[#This Row],[Other TD''s]]+Table1[[#This Row],[Interceptions]]+Table1[[#This Row],[Fumbles Recovered]])))))))))))</f>
        <v/>
      </c>
      <c r="R86" s="3" t="str">
        <f t="shared" si="4"/>
        <v/>
      </c>
      <c r="S86" s="4">
        <f t="shared" si="3"/>
        <v>1048507</v>
      </c>
      <c r="T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" spans="1:20" hidden="1" x14ac:dyDescent="0.25">
      <c r="A87" t="s">
        <v>62</v>
      </c>
      <c r="B87" s="28" t="s">
        <v>44</v>
      </c>
      <c r="C87" t="s">
        <v>16</v>
      </c>
      <c r="D87" t="str">
        <f>_xlfn.XLOOKUP(Table1[[#This Row],[Player]]&amp;Table1[[#This Row],[Week]]&amp;Table1[[#This Row],[Role]],'Google Form Transform'!$A:$A,'Google Form Transform'!E:E,"")</f>
        <v/>
      </c>
      <c r="E87" t="str">
        <f>_xlfn.XLOOKUP(Table1[[#This Row],[Player]]&amp;Table1[[#This Row],[Week]]&amp;Table1[[#This Row],[Role]],'Google Form Transform'!$A:$A,'Google Form Transform'!F:F,"")</f>
        <v/>
      </c>
      <c r="F87" t="str">
        <f>_xlfn.XLOOKUP(Table1[[#This Row],[Player]]&amp;Table1[[#This Row],[Week]]&amp;Table1[[#This Row],[Role]],'Google Form Transform'!$A:$A,'Google Form Transform'!G:G,"")</f>
        <v/>
      </c>
      <c r="G87" s="59">
        <f>SUMIFS(Table2[Stat],Table2[Stat Category],"passing",Table2[Stat Type],"YDS",Table2[Athlete],Table1[[#This Row],[Pick]],Table2[Week],Table1[[#This Row],[Week]])</f>
        <v>0</v>
      </c>
      <c r="H87" s="59">
        <f>SUMIFS(Table2[Stat],Table2[Stat Category],"rushing",Table2[Stat Type],"YDS",Table2[Athlete],Table1[[#This Row],[Pick]],Table2[Week],Table1[[#This Row],[Week]])</f>
        <v>0</v>
      </c>
      <c r="I87" s="59">
        <f>SUMIFS(Table2[Stat],Table2[Stat Category],"receiving",Table2[Stat Type],"YDS",Table2[Athlete],Table1[[#This Row],[Pick]],Table2[Week],Table1[[#This Row],[Week]])</f>
        <v>0</v>
      </c>
      <c r="J87" s="6">
        <f>IF(AND($C87="Rushing", $H87&lt;=0), 0, IF(AND($C87="Passing", $G$3&lt;=0), 0,IF(AND($C87="Receiving",$I87&lt;=0), 0,SUMIFS(Table2[Stat],Table2[Week],Table1[[#This Row],[Week]],Table2[Athlete],Table1[[#This Row],[Pick]],Table2[Stat Category],"passing",Table2[Stat Type],"TD"))))</f>
        <v>0</v>
      </c>
      <c r="K87" s="6">
        <f>IF(AND($C87="Rushing", $H87&lt;=0), 0, IF(AND($C87="Passing", $G$3&lt;=0), 0,IF(AND($C87="Receiving",$I87&lt;=0),0,SUMIFS(Table2[Stat],Table2[Week],Table1[[#This Row],[Week]],Table2[Athlete],Table1[[#This Row],[Pick]],Table2[Stat Category],"rushing",Table2[Stat Type],"TD"))))</f>
        <v>0</v>
      </c>
      <c r="L87" s="6">
        <f>IF(AND($C87="Rushing", $H87&lt;=0), 0, IF(AND($C87="Passing", $G$3&lt;=0), 0,IF(AND($C87="Receiving",$I87&lt;=0),0,SUMIFS(Table2[Stat],Table2[Week],Table1[[#This Row],[Week]],Table2[Athlete],Table1[[#This Row],[Pick]],Table2[Stat Category],"receiving",Table2[Stat Type],"TD"))))</f>
        <v>0</v>
      </c>
      <c r="M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" s="61">
        <f>SUMIFS(Data!$J:$J,Data!$A:$A,Info!$B87,Data!$G:$G,Info!$C87,Data!$I:$I,Info!$D87,Data!$H:$H,"TOT")</f>
        <v>0</v>
      </c>
      <c r="O87" s="61">
        <f>IF(C87="Defensive",SUMIFS(Data!$J:$J,Data!$A:$A,Info!$B87,Data!$I:$I,Info!$D87,Data!$H:$H,"INT"),0)</f>
        <v>0</v>
      </c>
      <c r="P87" s="61">
        <f>IF(Table1[[#This Row],[Role]]="Defensive",SUMIFS(Data!$J:$J,Data!$A:$A,Info!$B87,Data!$I:$I,Info!$D87,Data!$H:$H,$P$1),0)</f>
        <v>0</v>
      </c>
      <c r="Q87" s="65" t="str">
        <f>IF(Table1[[#This Row],[Pick]]="","",IF(S87&gt;1,400,IF(G87="","",IF(C87="Passing",(400-Table1[[#This Row],[Passing Yards]]-(30*Table1[[#This Row],[Passing TDs]])-(50*SUM(Table1[[#This Row],[Rushing TDs]:[Other TD''s]]))),IF(C87="Rushing",2*(200-Table1[[#This Row],[Rushing Yards]]-(30*Table1[[#This Row],[Passing TDs]])-50*(Table1[[#This Row],[Rushing TDs]]+Table1[[#This Row],[Receiving TDs]]+Table1[[#This Row],[Other TD''s]])),IF(C87="Receiving",2*(200-Table1[[#This Row],[Receiving Yards]]-(30*Table1[[#This Row],[Passing TDs]])-50*(Table1[[#This Row],[Rushing TDs]]+Table1[[#This Row],[Receiving TDs]]+Table1[[#This Row],[Other TD''s]])),IF(C87="Defensive",(25*(16-Table1[[#This Row],[Tackles]]-(8*(Table1[[#This Row],[Other TD''s]]+Table1[[#This Row],[Interceptions]]+Table1[[#This Row],[Fumbles Recovered]])))))))))))</f>
        <v/>
      </c>
      <c r="R87" s="3" t="str">
        <f t="shared" si="4"/>
        <v/>
      </c>
      <c r="S87" s="4">
        <f t="shared" si="3"/>
        <v>1048507</v>
      </c>
      <c r="T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" spans="1:20" hidden="1" x14ac:dyDescent="0.25">
      <c r="A88" t="s">
        <v>62</v>
      </c>
      <c r="B88" s="28" t="s">
        <v>44</v>
      </c>
      <c r="C88" t="s">
        <v>6</v>
      </c>
      <c r="D88" t="str">
        <f>_xlfn.XLOOKUP(Table1[[#This Row],[Player]]&amp;Table1[[#This Row],[Week]]&amp;Table1[[#This Row],[Role]],'Google Form Transform'!$A:$A,'Google Form Transform'!E:E,"")</f>
        <v/>
      </c>
      <c r="E88" t="str">
        <f>_xlfn.XLOOKUP(Table1[[#This Row],[Player]]&amp;Table1[[#This Row],[Week]]&amp;Table1[[#This Row],[Role]],'Google Form Transform'!$A:$A,'Google Form Transform'!F:F,"")</f>
        <v/>
      </c>
      <c r="F88" t="str">
        <f>_xlfn.XLOOKUP(Table1[[#This Row],[Player]]&amp;Table1[[#This Row],[Week]]&amp;Table1[[#This Row],[Role]],'Google Form Transform'!$A:$A,'Google Form Transform'!G:G,"")</f>
        <v/>
      </c>
      <c r="G88" s="59">
        <f>SUMIFS(Table2[Stat],Table2[Stat Category],"passing",Table2[Stat Type],"YDS",Table2[Athlete],Table1[[#This Row],[Pick]],Table2[Week],Table1[[#This Row],[Week]])</f>
        <v>0</v>
      </c>
      <c r="H88" s="59">
        <f>SUMIFS(Table2[Stat],Table2[Stat Category],"rushing",Table2[Stat Type],"YDS",Table2[Athlete],Table1[[#This Row],[Pick]],Table2[Week],Table1[[#This Row],[Week]])</f>
        <v>0</v>
      </c>
      <c r="I88" s="59">
        <f>SUMIFS(Table2[Stat],Table2[Stat Category],"receiving",Table2[Stat Type],"YDS",Table2[Athlete],Table1[[#This Row],[Pick]],Table2[Week],Table1[[#This Row],[Week]])</f>
        <v>0</v>
      </c>
      <c r="J88" s="6">
        <f>IF(AND($C88="Rushing", $H88&lt;=0), 0, IF(AND($C88="Passing", $G$3&lt;=0), 0,IF(AND($C88="Receiving",$I88&lt;=0), 0,SUMIFS(Table2[Stat],Table2[Week],Table1[[#This Row],[Week]],Table2[Athlete],Table1[[#This Row],[Pick]],Table2[Stat Category],"passing",Table2[Stat Type],"TD"))))</f>
        <v>0</v>
      </c>
      <c r="K88" s="6">
        <f>IF(AND($C88="Rushing", $H88&lt;=0), 0, IF(AND($C88="Passing", $G$3&lt;=0), 0,IF(AND($C88="Receiving",$I88&lt;=0),0,SUMIFS(Table2[Stat],Table2[Week],Table1[[#This Row],[Week]],Table2[Athlete],Table1[[#This Row],[Pick]],Table2[Stat Category],"rushing",Table2[Stat Type],"TD"))))</f>
        <v>0</v>
      </c>
      <c r="L88" s="6">
        <f>IF(AND($C88="Rushing", $H88&lt;=0), 0, IF(AND($C88="Passing", $G$3&lt;=0), 0,IF(AND($C88="Receiving",$I88&lt;=0),0,SUMIFS(Table2[Stat],Table2[Week],Table1[[#This Row],[Week]],Table2[Athlete],Table1[[#This Row],[Pick]],Table2[Stat Category],"receiving",Table2[Stat Type],"TD"))))</f>
        <v>0</v>
      </c>
      <c r="M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" s="61">
        <f>SUMIFS(Data!$J:$J,Data!$A:$A,Info!$B88,Data!$G:$G,Info!$C88,Data!$I:$I,Info!$D88,Data!$H:$H,"TOT")</f>
        <v>0</v>
      </c>
      <c r="O88" s="61">
        <f>IF(C88="Defensive",SUMIFS(Data!$J:$J,Data!$A:$A,Info!$B88,Data!$I:$I,Info!$D88,Data!$H:$H,"INT"),0)</f>
        <v>0</v>
      </c>
      <c r="P88" s="61">
        <f>IF(Table1[[#This Row],[Role]]="Defensive",SUMIFS(Data!$J:$J,Data!$A:$A,Info!$B88,Data!$I:$I,Info!$D88,Data!$H:$H,$P$1),0)</f>
        <v>0</v>
      </c>
      <c r="Q88" s="65" t="str">
        <f>IF(Table1[[#This Row],[Pick]]="","",IF(S88&gt;1,400,IF(G88="","",IF(C88="Passing",(400-Table1[[#This Row],[Passing Yards]]-(30*Table1[[#This Row],[Passing TDs]])-(50*SUM(Table1[[#This Row],[Rushing TDs]:[Other TD''s]]))),IF(C88="Rushing",2*(200-Table1[[#This Row],[Rushing Yards]]-(30*Table1[[#This Row],[Passing TDs]])-50*(Table1[[#This Row],[Rushing TDs]]+Table1[[#This Row],[Receiving TDs]]+Table1[[#This Row],[Other TD''s]])),IF(C88="Receiving",2*(200-Table1[[#This Row],[Receiving Yards]]-(30*Table1[[#This Row],[Passing TDs]])-50*(Table1[[#This Row],[Rushing TDs]]+Table1[[#This Row],[Receiving TDs]]+Table1[[#This Row],[Other TD''s]])),IF(C88="Defensive",(25*(16-Table1[[#This Row],[Tackles]]-(8*(Table1[[#This Row],[Other TD''s]]+Table1[[#This Row],[Interceptions]]+Table1[[#This Row],[Fumbles Recovered]])))))))))))</f>
        <v/>
      </c>
      <c r="R88" s="3" t="str">
        <f t="shared" si="4"/>
        <v/>
      </c>
      <c r="S88" s="4">
        <f t="shared" si="3"/>
        <v>1048507</v>
      </c>
      <c r="T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" spans="1:20" hidden="1" x14ac:dyDescent="0.25">
      <c r="A89" t="s">
        <v>62</v>
      </c>
      <c r="B89" s="28" t="s">
        <v>44</v>
      </c>
      <c r="C89" t="s">
        <v>17</v>
      </c>
      <c r="D89" t="str">
        <f>_xlfn.XLOOKUP(Table1[[#This Row],[Player]]&amp;Table1[[#This Row],[Week]]&amp;Table1[[#This Row],[Role]],'Google Form Transform'!$A:$A,'Google Form Transform'!E:E,"")</f>
        <v/>
      </c>
      <c r="E89" t="str">
        <f>_xlfn.XLOOKUP(Table1[[#This Row],[Player]]&amp;Table1[[#This Row],[Week]]&amp;Table1[[#This Row],[Role]],'Google Form Transform'!$A:$A,'Google Form Transform'!F:F,"")</f>
        <v/>
      </c>
      <c r="F89" t="str">
        <f>_xlfn.XLOOKUP(Table1[[#This Row],[Player]]&amp;Table1[[#This Row],[Week]]&amp;Table1[[#This Row],[Role]],'Google Form Transform'!$A:$A,'Google Form Transform'!G:G,"")</f>
        <v/>
      </c>
      <c r="G89" s="59">
        <f>SUMIFS(Table2[Stat],Table2[Stat Category],"passing",Table2[Stat Type],"YDS",Table2[Athlete],Table1[[#This Row],[Pick]],Table2[Week],Table1[[#This Row],[Week]])</f>
        <v>0</v>
      </c>
      <c r="H89" s="59">
        <f>SUMIFS(Table2[Stat],Table2[Stat Category],"rushing",Table2[Stat Type],"YDS",Table2[Athlete],Table1[[#This Row],[Pick]],Table2[Week],Table1[[#This Row],[Week]])</f>
        <v>0</v>
      </c>
      <c r="I89" s="59">
        <f>SUMIFS(Table2[Stat],Table2[Stat Category],"receiving",Table2[Stat Type],"YDS",Table2[Athlete],Table1[[#This Row],[Pick]],Table2[Week],Table1[[#This Row],[Week]])</f>
        <v>0</v>
      </c>
      <c r="J89" s="6">
        <f>IF(AND($C89="Rushing", $H89&lt;=0), 0, IF(AND($C89="Passing", $G$3&lt;=0), 0,IF(AND($C89="Receiving",$I89&lt;=0), 0,SUMIFS(Table2[Stat],Table2[Week],Table1[[#This Row],[Week]],Table2[Athlete],Table1[[#This Row],[Pick]],Table2[Stat Category],"passing",Table2[Stat Type],"TD"))))</f>
        <v>0</v>
      </c>
      <c r="K89" s="6">
        <f>IF(AND($C89="Rushing", $H89&lt;=0), 0, IF(AND($C89="Passing", $G$3&lt;=0), 0,IF(AND($C89="Receiving",$I89&lt;=0),0,SUMIFS(Table2[Stat],Table2[Week],Table1[[#This Row],[Week]],Table2[Athlete],Table1[[#This Row],[Pick]],Table2[Stat Category],"rushing",Table2[Stat Type],"TD"))))</f>
        <v>0</v>
      </c>
      <c r="L89" s="6">
        <f>IF(AND($C89="Rushing", $H89&lt;=0), 0, IF(AND($C89="Passing", $G$3&lt;=0), 0,IF(AND($C89="Receiving",$I89&lt;=0),0,SUMIFS(Table2[Stat],Table2[Week],Table1[[#This Row],[Week]],Table2[Athlete],Table1[[#This Row],[Pick]],Table2[Stat Category],"receiving",Table2[Stat Type],"TD"))))</f>
        <v>0</v>
      </c>
      <c r="M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" s="61">
        <f>SUMIFS(Data!$J:$J,Data!$A:$A,Info!$B89,Data!$G:$G,Info!$C89,Data!$I:$I,Info!$D89,Data!$H:$H,"TOT")</f>
        <v>0</v>
      </c>
      <c r="O89" s="61">
        <f>IF(C89="Defensive",SUMIFS(Data!$J:$J,Data!$A:$A,Info!$B89,Data!$I:$I,Info!$D89,Data!$H:$H,"INT"),0)</f>
        <v>0</v>
      </c>
      <c r="P89" s="61">
        <f>IF(Table1[[#This Row],[Role]]="Defensive",SUMIFS(Data!$J:$J,Data!$A:$A,Info!$B89,Data!$I:$I,Info!$D89,Data!$H:$H,$P$1),0)</f>
        <v>0</v>
      </c>
      <c r="Q89" s="65" t="str">
        <f>IF(Table1[[#This Row],[Pick]]="","",IF(S89&gt;1,400,IF(G89="","",IF(C89="Passing",(400-Table1[[#This Row],[Passing Yards]]-(30*Table1[[#This Row],[Passing TDs]])-(50*SUM(Table1[[#This Row],[Rushing TDs]:[Other TD''s]]))),IF(C89="Rushing",2*(200-Table1[[#This Row],[Rushing Yards]]-(30*Table1[[#This Row],[Passing TDs]])-50*(Table1[[#This Row],[Rushing TDs]]+Table1[[#This Row],[Receiving TDs]]+Table1[[#This Row],[Other TD''s]])),IF(C89="Receiving",2*(200-Table1[[#This Row],[Receiving Yards]]-(30*Table1[[#This Row],[Passing TDs]])-50*(Table1[[#This Row],[Rushing TDs]]+Table1[[#This Row],[Receiving TDs]]+Table1[[#This Row],[Other TD''s]])),IF(C89="Defensive",(25*(16-Table1[[#This Row],[Tackles]]-(8*(Table1[[#This Row],[Other TD''s]]+Table1[[#This Row],[Interceptions]]+Table1[[#This Row],[Fumbles Recovered]])))))))))))</f>
        <v/>
      </c>
      <c r="R89" s="3" t="str">
        <f t="shared" si="4"/>
        <v/>
      </c>
      <c r="S89" s="4">
        <f t="shared" si="3"/>
        <v>1048507</v>
      </c>
      <c r="T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" spans="1:20" hidden="1" x14ac:dyDescent="0.25">
      <c r="A90" t="s">
        <v>62</v>
      </c>
      <c r="B90" s="28" t="s">
        <v>44</v>
      </c>
      <c r="C90" t="s">
        <v>20</v>
      </c>
      <c r="D90" t="str">
        <f>_xlfn.XLOOKUP(Table1[[#This Row],[Player]]&amp;Table1[[#This Row],[Week]]&amp;Table1[[#This Row],[Role]],'Google Form Transform'!$A:$A,'Google Form Transform'!E:E,"")</f>
        <v/>
      </c>
      <c r="E90" t="str">
        <f>_xlfn.XLOOKUP(Table1[[#This Row],[Player]]&amp;Table1[[#This Row],[Week]]&amp;Table1[[#This Row],[Role]],'Google Form Transform'!$A:$A,'Google Form Transform'!F:F,"")</f>
        <v/>
      </c>
      <c r="F90" t="str">
        <f>_xlfn.XLOOKUP(Table1[[#This Row],[Player]]&amp;Table1[[#This Row],[Week]]&amp;Table1[[#This Row],[Role]],'Google Form Transform'!$A:$A,'Google Form Transform'!G:G,"")</f>
        <v/>
      </c>
      <c r="G90" s="59">
        <f>SUMIFS(Table2[Stat],Table2[Stat Category],"passing",Table2[Stat Type],"YDS",Table2[Athlete],Table1[[#This Row],[Pick]],Table2[Week],Table1[[#This Row],[Week]])</f>
        <v>0</v>
      </c>
      <c r="H90" s="59">
        <f>SUMIFS(Table2[Stat],Table2[Stat Category],"rushing",Table2[Stat Type],"YDS",Table2[Athlete],Table1[[#This Row],[Pick]],Table2[Week],Table1[[#This Row],[Week]])</f>
        <v>0</v>
      </c>
      <c r="I90" s="59">
        <f>SUMIFS(Table2[Stat],Table2[Stat Category],"receiving",Table2[Stat Type],"YDS",Table2[Athlete],Table1[[#This Row],[Pick]],Table2[Week],Table1[[#This Row],[Week]])</f>
        <v>0</v>
      </c>
      <c r="J90" s="6">
        <f>IF(AND($C90="Rushing", $H90&lt;=0), 0, IF(AND($C90="Passing", $G$3&lt;=0), 0,IF(AND($C90="Receiving",$I90&lt;=0), 0,SUMIFS(Table2[Stat],Table2[Week],Table1[[#This Row],[Week]],Table2[Athlete],Table1[[#This Row],[Pick]],Table2[Stat Category],"passing",Table2[Stat Type],"TD"))))</f>
        <v>0</v>
      </c>
      <c r="K90" s="6">
        <f>IF(AND($C90="Rushing", $H90&lt;=0), 0, IF(AND($C90="Passing", $G$3&lt;=0), 0,IF(AND($C90="Receiving",$I90&lt;=0),0,SUMIFS(Table2[Stat],Table2[Week],Table1[[#This Row],[Week]],Table2[Athlete],Table1[[#This Row],[Pick]],Table2[Stat Category],"rushing",Table2[Stat Type],"TD"))))</f>
        <v>0</v>
      </c>
      <c r="L90" s="6">
        <f>IF(AND($C90="Rushing", $H90&lt;=0), 0, IF(AND($C90="Passing", $G$3&lt;=0), 0,IF(AND($C90="Receiving",$I90&lt;=0),0,SUMIFS(Table2[Stat],Table2[Week],Table1[[#This Row],[Week]],Table2[Athlete],Table1[[#This Row],[Pick]],Table2[Stat Category],"receiving",Table2[Stat Type],"TD"))))</f>
        <v>0</v>
      </c>
      <c r="M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" s="61">
        <f>SUMIFS(Data!$J:$J,Data!$A:$A,Info!$B90,Data!$G:$G,Info!$C90,Data!$I:$I,Info!$D90,Data!$H:$H,"TOT")</f>
        <v>0</v>
      </c>
      <c r="O90" s="61">
        <f>IF(C90="Defensive",SUMIFS(Data!$J:$J,Data!$A:$A,Info!$B90,Data!$I:$I,Info!$D90,Data!$H:$H,"INT"),0)</f>
        <v>0</v>
      </c>
      <c r="P90" s="61">
        <f>IF(Table1[[#This Row],[Role]]="Defensive",SUMIFS(Data!$J:$J,Data!$A:$A,Info!$B90,Data!$I:$I,Info!$D90,Data!$H:$H,$P$1),0)</f>
        <v>0</v>
      </c>
      <c r="Q90" s="65" t="str">
        <f>IF(Table1[[#This Row],[Pick]]="","",IF(S90&gt;1,400,IF(G90="","",IF(C90="Passing",(400-Table1[[#This Row],[Passing Yards]]-(30*Table1[[#This Row],[Passing TDs]])-(50*SUM(Table1[[#This Row],[Rushing TDs]:[Other TD''s]]))),IF(C90="Rushing",2*(200-Table1[[#This Row],[Rushing Yards]]-(30*Table1[[#This Row],[Passing TDs]])-50*(Table1[[#This Row],[Rushing TDs]]+Table1[[#This Row],[Receiving TDs]]+Table1[[#This Row],[Other TD''s]])),IF(C90="Receiving",2*(200-Table1[[#This Row],[Receiving Yards]]-(30*Table1[[#This Row],[Passing TDs]])-50*(Table1[[#This Row],[Rushing TDs]]+Table1[[#This Row],[Receiving TDs]]+Table1[[#This Row],[Other TD''s]])),IF(C90="Defensive",(25*(16-Table1[[#This Row],[Tackles]]-(8*(Table1[[#This Row],[Other TD''s]]+Table1[[#This Row],[Interceptions]]+Table1[[#This Row],[Fumbles Recovered]])))))))))))</f>
        <v/>
      </c>
      <c r="R90" s="3" t="str">
        <f t="shared" si="4"/>
        <v/>
      </c>
      <c r="S90" s="4">
        <f t="shared" si="3"/>
        <v>1048507</v>
      </c>
      <c r="T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" spans="1:20" hidden="1" x14ac:dyDescent="0.25">
      <c r="A91" t="s">
        <v>59</v>
      </c>
      <c r="B91" s="28" t="s">
        <v>44</v>
      </c>
      <c r="C91" t="s">
        <v>16</v>
      </c>
      <c r="D91" t="str">
        <f>_xlfn.XLOOKUP(Table1[[#This Row],[Player]]&amp;Table1[[#This Row],[Week]]&amp;Table1[[#This Row],[Role]],'Google Form Transform'!$A:$A,'Google Form Transform'!E:E,"")</f>
        <v/>
      </c>
      <c r="E91" t="str">
        <f>_xlfn.XLOOKUP(Table1[[#This Row],[Player]]&amp;Table1[[#This Row],[Week]]&amp;Table1[[#This Row],[Role]],'Google Form Transform'!$A:$A,'Google Form Transform'!F:F,"")</f>
        <v/>
      </c>
      <c r="F91" t="str">
        <f>_xlfn.XLOOKUP(Table1[[#This Row],[Player]]&amp;Table1[[#This Row],[Week]]&amp;Table1[[#This Row],[Role]],'Google Form Transform'!$A:$A,'Google Form Transform'!G:G,"")</f>
        <v/>
      </c>
      <c r="G91" s="59">
        <f>SUMIFS(Table2[Stat],Table2[Stat Category],"passing",Table2[Stat Type],"YDS",Table2[Athlete],Table1[[#This Row],[Pick]],Table2[Week],Table1[[#This Row],[Week]])</f>
        <v>0</v>
      </c>
      <c r="H91" s="59">
        <f>SUMIFS(Table2[Stat],Table2[Stat Category],"rushing",Table2[Stat Type],"YDS",Table2[Athlete],Table1[[#This Row],[Pick]],Table2[Week],Table1[[#This Row],[Week]])</f>
        <v>0</v>
      </c>
      <c r="I91" s="59">
        <f>SUMIFS(Table2[Stat],Table2[Stat Category],"receiving",Table2[Stat Type],"YDS",Table2[Athlete],Table1[[#This Row],[Pick]],Table2[Week],Table1[[#This Row],[Week]])</f>
        <v>0</v>
      </c>
      <c r="J91" s="6">
        <f>IF(AND($C91="Rushing", $H91&lt;=0), 0, IF(AND($C91="Passing", $G$3&lt;=0), 0,IF(AND($C91="Receiving",$I91&lt;=0), 0,SUMIFS(Table2[Stat],Table2[Week],Table1[[#This Row],[Week]],Table2[Athlete],Table1[[#This Row],[Pick]],Table2[Stat Category],"passing",Table2[Stat Type],"TD"))))</f>
        <v>0</v>
      </c>
      <c r="K91" s="6">
        <f>IF(AND($C91="Rushing", $H91&lt;=0), 0, IF(AND($C91="Passing", $G$3&lt;=0), 0,IF(AND($C91="Receiving",$I91&lt;=0),0,SUMIFS(Table2[Stat],Table2[Week],Table1[[#This Row],[Week]],Table2[Athlete],Table1[[#This Row],[Pick]],Table2[Stat Category],"rushing",Table2[Stat Type],"TD"))))</f>
        <v>0</v>
      </c>
      <c r="L91" s="6">
        <f>IF(AND($C91="Rushing", $H91&lt;=0), 0, IF(AND($C91="Passing", $G$3&lt;=0), 0,IF(AND($C91="Receiving",$I91&lt;=0),0,SUMIFS(Table2[Stat],Table2[Week],Table1[[#This Row],[Week]],Table2[Athlete],Table1[[#This Row],[Pick]],Table2[Stat Category],"receiving",Table2[Stat Type],"TD"))))</f>
        <v>0</v>
      </c>
      <c r="M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" s="61">
        <f>SUMIFS(Data!$J:$J,Data!$A:$A,Info!$B91,Data!$G:$G,Info!$C91,Data!$I:$I,Info!$D91,Data!$H:$H,"TOT")</f>
        <v>0</v>
      </c>
      <c r="O91" s="61">
        <f>IF(C91="Defensive",SUMIFS(Data!$J:$J,Data!$A:$A,Info!$B91,Data!$I:$I,Info!$D91,Data!$H:$H,"INT"),0)</f>
        <v>0</v>
      </c>
      <c r="P91" s="61">
        <f>IF(Table1[[#This Row],[Role]]="Defensive",SUMIFS(Data!$J:$J,Data!$A:$A,Info!$B91,Data!$I:$I,Info!$D91,Data!$H:$H,$P$1),0)</f>
        <v>0</v>
      </c>
      <c r="Q91" s="65" t="str">
        <f>IF(Table1[[#This Row],[Pick]]="","",IF(S91&gt;1,400,IF(G91="","",IF(C91="Passing",(400-Table1[[#This Row],[Passing Yards]]-(30*Table1[[#This Row],[Passing TDs]])-(50*SUM(Table1[[#This Row],[Rushing TDs]:[Other TD''s]]))),IF(C91="Rushing",2*(200-Table1[[#This Row],[Rushing Yards]]-(30*Table1[[#This Row],[Passing TDs]])-50*(Table1[[#This Row],[Rushing TDs]]+Table1[[#This Row],[Receiving TDs]]+Table1[[#This Row],[Other TD''s]])),IF(C91="Receiving",2*(200-Table1[[#This Row],[Receiving Yards]]-(30*Table1[[#This Row],[Passing TDs]])-50*(Table1[[#This Row],[Rushing TDs]]+Table1[[#This Row],[Receiving TDs]]+Table1[[#This Row],[Other TD''s]])),IF(C91="Defensive",(25*(16-Table1[[#This Row],[Tackles]]-(8*(Table1[[#This Row],[Other TD''s]]+Table1[[#This Row],[Interceptions]]+Table1[[#This Row],[Fumbles Recovered]])))))))))))</f>
        <v/>
      </c>
      <c r="R91" s="3" t="str">
        <f t="shared" si="4"/>
        <v/>
      </c>
      <c r="S91" s="4">
        <f t="shared" si="3"/>
        <v>1048507</v>
      </c>
      <c r="T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" spans="1:20" hidden="1" x14ac:dyDescent="0.25">
      <c r="A92" t="s">
        <v>59</v>
      </c>
      <c r="B92" s="28" t="s">
        <v>44</v>
      </c>
      <c r="C92" t="s">
        <v>6</v>
      </c>
      <c r="D92" t="str">
        <f>_xlfn.XLOOKUP(Table1[[#This Row],[Player]]&amp;Table1[[#This Row],[Week]]&amp;Table1[[#This Row],[Role]],'Google Form Transform'!$A:$A,'Google Form Transform'!E:E,"")</f>
        <v/>
      </c>
      <c r="E92" t="str">
        <f>_xlfn.XLOOKUP(Table1[[#This Row],[Player]]&amp;Table1[[#This Row],[Week]]&amp;Table1[[#This Row],[Role]],'Google Form Transform'!$A:$A,'Google Form Transform'!F:F,"")</f>
        <v/>
      </c>
      <c r="F92" t="str">
        <f>_xlfn.XLOOKUP(Table1[[#This Row],[Player]]&amp;Table1[[#This Row],[Week]]&amp;Table1[[#This Row],[Role]],'Google Form Transform'!$A:$A,'Google Form Transform'!G:G,"")</f>
        <v/>
      </c>
      <c r="G92" s="59">
        <f>SUMIFS(Table2[Stat],Table2[Stat Category],"passing",Table2[Stat Type],"YDS",Table2[Athlete],Table1[[#This Row],[Pick]],Table2[Week],Table1[[#This Row],[Week]])</f>
        <v>0</v>
      </c>
      <c r="H92" s="59">
        <f>SUMIFS(Table2[Stat],Table2[Stat Category],"rushing",Table2[Stat Type],"YDS",Table2[Athlete],Table1[[#This Row],[Pick]],Table2[Week],Table1[[#This Row],[Week]])</f>
        <v>0</v>
      </c>
      <c r="I92" s="59">
        <f>SUMIFS(Table2[Stat],Table2[Stat Category],"receiving",Table2[Stat Type],"YDS",Table2[Athlete],Table1[[#This Row],[Pick]],Table2[Week],Table1[[#This Row],[Week]])</f>
        <v>0</v>
      </c>
      <c r="J92" s="6">
        <f>IF(AND($C92="Rushing", $H92&lt;=0), 0, IF(AND($C92="Passing", $G$3&lt;=0), 0,IF(AND($C92="Receiving",$I92&lt;=0), 0,SUMIFS(Table2[Stat],Table2[Week],Table1[[#This Row],[Week]],Table2[Athlete],Table1[[#This Row],[Pick]],Table2[Stat Category],"passing",Table2[Stat Type],"TD"))))</f>
        <v>0</v>
      </c>
      <c r="K92" s="6">
        <f>IF(AND($C92="Rushing", $H92&lt;=0), 0, IF(AND($C92="Passing", $G$3&lt;=0), 0,IF(AND($C92="Receiving",$I92&lt;=0),0,SUMIFS(Table2[Stat],Table2[Week],Table1[[#This Row],[Week]],Table2[Athlete],Table1[[#This Row],[Pick]],Table2[Stat Category],"rushing",Table2[Stat Type],"TD"))))</f>
        <v>0</v>
      </c>
      <c r="L92" s="6">
        <f>IF(AND($C92="Rushing", $H92&lt;=0), 0, IF(AND($C92="Passing", $G$3&lt;=0), 0,IF(AND($C92="Receiving",$I92&lt;=0),0,SUMIFS(Table2[Stat],Table2[Week],Table1[[#This Row],[Week]],Table2[Athlete],Table1[[#This Row],[Pick]],Table2[Stat Category],"receiving",Table2[Stat Type],"TD"))))</f>
        <v>0</v>
      </c>
      <c r="M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" s="61">
        <f>SUMIFS(Data!$J:$J,Data!$A:$A,Info!$B92,Data!$G:$G,Info!$C92,Data!$I:$I,Info!$D92,Data!$H:$H,"TOT")</f>
        <v>0</v>
      </c>
      <c r="O92" s="61">
        <f>IF(C92="Defensive",SUMIFS(Data!$J:$J,Data!$A:$A,Info!$B92,Data!$I:$I,Info!$D92,Data!$H:$H,"INT"),0)</f>
        <v>0</v>
      </c>
      <c r="P92" s="61">
        <f>IF(Table1[[#This Row],[Role]]="Defensive",SUMIFS(Data!$J:$J,Data!$A:$A,Info!$B92,Data!$I:$I,Info!$D92,Data!$H:$H,$P$1),0)</f>
        <v>0</v>
      </c>
      <c r="Q92" s="65" t="str">
        <f>IF(Table1[[#This Row],[Pick]]="","",IF(S92&gt;1,400,IF(G92="","",IF(C92="Passing",(400-Table1[[#This Row],[Passing Yards]]-(30*Table1[[#This Row],[Passing TDs]])-(50*SUM(Table1[[#This Row],[Rushing TDs]:[Other TD''s]]))),IF(C92="Rushing",2*(200-Table1[[#This Row],[Rushing Yards]]-(30*Table1[[#This Row],[Passing TDs]])-50*(Table1[[#This Row],[Rushing TDs]]+Table1[[#This Row],[Receiving TDs]]+Table1[[#This Row],[Other TD''s]])),IF(C92="Receiving",2*(200-Table1[[#This Row],[Receiving Yards]]-(30*Table1[[#This Row],[Passing TDs]])-50*(Table1[[#This Row],[Rushing TDs]]+Table1[[#This Row],[Receiving TDs]]+Table1[[#This Row],[Other TD''s]])),IF(C92="Defensive",(25*(16-Table1[[#This Row],[Tackles]]-(8*(Table1[[#This Row],[Other TD''s]]+Table1[[#This Row],[Interceptions]]+Table1[[#This Row],[Fumbles Recovered]])))))))))))</f>
        <v/>
      </c>
      <c r="R92" s="3" t="str">
        <f t="shared" si="4"/>
        <v/>
      </c>
      <c r="S92" s="4">
        <f t="shared" si="3"/>
        <v>1048507</v>
      </c>
      <c r="T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" spans="1:20" hidden="1" x14ac:dyDescent="0.25">
      <c r="A93" t="s">
        <v>59</v>
      </c>
      <c r="B93" s="28" t="s">
        <v>44</v>
      </c>
      <c r="C93" t="s">
        <v>17</v>
      </c>
      <c r="D93" t="str">
        <f>_xlfn.XLOOKUP(Table1[[#This Row],[Player]]&amp;Table1[[#This Row],[Week]]&amp;Table1[[#This Row],[Role]],'Google Form Transform'!$A:$A,'Google Form Transform'!E:E,"")</f>
        <v/>
      </c>
      <c r="E93" t="str">
        <f>_xlfn.XLOOKUP(Table1[[#This Row],[Player]]&amp;Table1[[#This Row],[Week]]&amp;Table1[[#This Row],[Role]],'Google Form Transform'!$A:$A,'Google Form Transform'!F:F,"")</f>
        <v/>
      </c>
      <c r="F93" t="str">
        <f>_xlfn.XLOOKUP(Table1[[#This Row],[Player]]&amp;Table1[[#This Row],[Week]]&amp;Table1[[#This Row],[Role]],'Google Form Transform'!$A:$A,'Google Form Transform'!G:G,"")</f>
        <v/>
      </c>
      <c r="G93" s="59">
        <f>SUMIFS(Table2[Stat],Table2[Stat Category],"passing",Table2[Stat Type],"YDS",Table2[Athlete],Table1[[#This Row],[Pick]],Table2[Week],Table1[[#This Row],[Week]])</f>
        <v>0</v>
      </c>
      <c r="H93" s="59">
        <f>SUMIFS(Table2[Stat],Table2[Stat Category],"rushing",Table2[Stat Type],"YDS",Table2[Athlete],Table1[[#This Row],[Pick]],Table2[Week],Table1[[#This Row],[Week]])</f>
        <v>0</v>
      </c>
      <c r="I93" s="59">
        <f>SUMIFS(Table2[Stat],Table2[Stat Category],"receiving",Table2[Stat Type],"YDS",Table2[Athlete],Table1[[#This Row],[Pick]],Table2[Week],Table1[[#This Row],[Week]])</f>
        <v>0</v>
      </c>
      <c r="J93" s="6">
        <f>IF(AND($C93="Rushing", $H93&lt;=0), 0, IF(AND($C93="Passing", $G$3&lt;=0), 0,IF(AND($C93="Receiving",$I93&lt;=0), 0,SUMIFS(Table2[Stat],Table2[Week],Table1[[#This Row],[Week]],Table2[Athlete],Table1[[#This Row],[Pick]],Table2[Stat Category],"passing",Table2[Stat Type],"TD"))))</f>
        <v>0</v>
      </c>
      <c r="K93" s="6">
        <f>IF(AND($C93="Rushing", $H93&lt;=0), 0, IF(AND($C93="Passing", $G$3&lt;=0), 0,IF(AND($C93="Receiving",$I93&lt;=0),0,SUMIFS(Table2[Stat],Table2[Week],Table1[[#This Row],[Week]],Table2[Athlete],Table1[[#This Row],[Pick]],Table2[Stat Category],"rushing",Table2[Stat Type],"TD"))))</f>
        <v>0</v>
      </c>
      <c r="L93" s="6">
        <f>IF(AND($C93="Rushing", $H93&lt;=0), 0, IF(AND($C93="Passing", $G$3&lt;=0), 0,IF(AND($C93="Receiving",$I93&lt;=0),0,SUMIFS(Table2[Stat],Table2[Week],Table1[[#This Row],[Week]],Table2[Athlete],Table1[[#This Row],[Pick]],Table2[Stat Category],"receiving",Table2[Stat Type],"TD"))))</f>
        <v>0</v>
      </c>
      <c r="M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" s="61">
        <f>SUMIFS(Data!$J:$J,Data!$A:$A,Info!$B93,Data!$G:$G,Info!$C93,Data!$I:$I,Info!$D93,Data!$H:$H,"TOT")</f>
        <v>0</v>
      </c>
      <c r="O93" s="61">
        <f>IF(C93="Defensive",SUMIFS(Data!$J:$J,Data!$A:$A,Info!$B93,Data!$I:$I,Info!$D93,Data!$H:$H,"INT"),0)</f>
        <v>0</v>
      </c>
      <c r="P93" s="61">
        <f>IF(Table1[[#This Row],[Role]]="Defensive",SUMIFS(Data!$J:$J,Data!$A:$A,Info!$B93,Data!$I:$I,Info!$D93,Data!$H:$H,$P$1),0)</f>
        <v>0</v>
      </c>
      <c r="Q93" s="65" t="str">
        <f>IF(Table1[[#This Row],[Pick]]="","",IF(S93&gt;1,400,IF(G93="","",IF(C93="Passing",(400-Table1[[#This Row],[Passing Yards]]-(30*Table1[[#This Row],[Passing TDs]])-(50*SUM(Table1[[#This Row],[Rushing TDs]:[Other TD''s]]))),IF(C93="Rushing",2*(200-Table1[[#This Row],[Rushing Yards]]-(30*Table1[[#This Row],[Passing TDs]])-50*(Table1[[#This Row],[Rushing TDs]]+Table1[[#This Row],[Receiving TDs]]+Table1[[#This Row],[Other TD''s]])),IF(C93="Receiving",2*(200-Table1[[#This Row],[Receiving Yards]]-(30*Table1[[#This Row],[Passing TDs]])-50*(Table1[[#This Row],[Rushing TDs]]+Table1[[#This Row],[Receiving TDs]]+Table1[[#This Row],[Other TD''s]])),IF(C93="Defensive",(25*(16-Table1[[#This Row],[Tackles]]-(8*(Table1[[#This Row],[Other TD''s]]+Table1[[#This Row],[Interceptions]]+Table1[[#This Row],[Fumbles Recovered]])))))))))))</f>
        <v/>
      </c>
      <c r="R93" s="3" t="str">
        <f t="shared" si="4"/>
        <v/>
      </c>
      <c r="S93" s="4">
        <f t="shared" si="3"/>
        <v>1048507</v>
      </c>
      <c r="T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" spans="1:20" hidden="1" x14ac:dyDescent="0.25">
      <c r="A94" t="s">
        <v>59</v>
      </c>
      <c r="B94" s="28" t="s">
        <v>44</v>
      </c>
      <c r="C94" t="s">
        <v>20</v>
      </c>
      <c r="D94" t="str">
        <f>_xlfn.XLOOKUP(Table1[[#This Row],[Player]]&amp;Table1[[#This Row],[Week]]&amp;Table1[[#This Row],[Role]],'Google Form Transform'!$A:$A,'Google Form Transform'!E:E,"")</f>
        <v/>
      </c>
      <c r="E94" t="str">
        <f>_xlfn.XLOOKUP(Table1[[#This Row],[Player]]&amp;Table1[[#This Row],[Week]]&amp;Table1[[#This Row],[Role]],'Google Form Transform'!$A:$A,'Google Form Transform'!F:F,"")</f>
        <v/>
      </c>
      <c r="F94" t="str">
        <f>_xlfn.XLOOKUP(Table1[[#This Row],[Player]]&amp;Table1[[#This Row],[Week]]&amp;Table1[[#This Row],[Role]],'Google Form Transform'!$A:$A,'Google Form Transform'!G:G,"")</f>
        <v/>
      </c>
      <c r="G94" s="59">
        <f>SUMIFS(Table2[Stat],Table2[Stat Category],"passing",Table2[Stat Type],"YDS",Table2[Athlete],Table1[[#This Row],[Pick]],Table2[Week],Table1[[#This Row],[Week]])</f>
        <v>0</v>
      </c>
      <c r="H94" s="59">
        <f>SUMIFS(Table2[Stat],Table2[Stat Category],"rushing",Table2[Stat Type],"YDS",Table2[Athlete],Table1[[#This Row],[Pick]],Table2[Week],Table1[[#This Row],[Week]])</f>
        <v>0</v>
      </c>
      <c r="I94" s="59">
        <f>SUMIFS(Table2[Stat],Table2[Stat Category],"receiving",Table2[Stat Type],"YDS",Table2[Athlete],Table1[[#This Row],[Pick]],Table2[Week],Table1[[#This Row],[Week]])</f>
        <v>0</v>
      </c>
      <c r="J94" s="6">
        <f>IF(AND($C94="Rushing", $H94&lt;=0), 0, IF(AND($C94="Passing", $G$3&lt;=0), 0,IF(AND($C94="Receiving",$I94&lt;=0), 0,SUMIFS(Table2[Stat],Table2[Week],Table1[[#This Row],[Week]],Table2[Athlete],Table1[[#This Row],[Pick]],Table2[Stat Category],"passing",Table2[Stat Type],"TD"))))</f>
        <v>0</v>
      </c>
      <c r="K94" s="6">
        <f>IF(AND($C94="Rushing", $H94&lt;=0), 0, IF(AND($C94="Passing", $G$3&lt;=0), 0,IF(AND($C94="Receiving",$I94&lt;=0),0,SUMIFS(Table2[Stat],Table2[Week],Table1[[#This Row],[Week]],Table2[Athlete],Table1[[#This Row],[Pick]],Table2[Stat Category],"rushing",Table2[Stat Type],"TD"))))</f>
        <v>0</v>
      </c>
      <c r="L94" s="6">
        <f>IF(AND($C94="Rushing", $H94&lt;=0), 0, IF(AND($C94="Passing", $G$3&lt;=0), 0,IF(AND($C94="Receiving",$I94&lt;=0),0,SUMIFS(Table2[Stat],Table2[Week],Table1[[#This Row],[Week]],Table2[Athlete],Table1[[#This Row],[Pick]],Table2[Stat Category],"receiving",Table2[Stat Type],"TD"))))</f>
        <v>0</v>
      </c>
      <c r="M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" s="61">
        <f>SUMIFS(Data!$J:$J,Data!$A:$A,Info!$B94,Data!$G:$G,Info!$C94,Data!$I:$I,Info!$D94,Data!$H:$H,"TOT")</f>
        <v>0</v>
      </c>
      <c r="O94" s="61">
        <f>IF(C94="Defensive",SUMIFS(Data!$J:$J,Data!$A:$A,Info!$B94,Data!$I:$I,Info!$D94,Data!$H:$H,"INT"),0)</f>
        <v>0</v>
      </c>
      <c r="P94" s="61">
        <f>IF(Table1[[#This Row],[Role]]="Defensive",SUMIFS(Data!$J:$J,Data!$A:$A,Info!$B94,Data!$I:$I,Info!$D94,Data!$H:$H,$P$1),0)</f>
        <v>0</v>
      </c>
      <c r="Q94" s="65" t="str">
        <f>IF(Table1[[#This Row],[Pick]]="","",IF(S94&gt;1,400,IF(G94="","",IF(C94="Passing",(400-Table1[[#This Row],[Passing Yards]]-(30*Table1[[#This Row],[Passing TDs]])-(50*SUM(Table1[[#This Row],[Rushing TDs]:[Other TD''s]]))),IF(C94="Rushing",2*(200-Table1[[#This Row],[Rushing Yards]]-(30*Table1[[#This Row],[Passing TDs]])-50*(Table1[[#This Row],[Rushing TDs]]+Table1[[#This Row],[Receiving TDs]]+Table1[[#This Row],[Other TD''s]])),IF(C94="Receiving",2*(200-Table1[[#This Row],[Receiving Yards]]-(30*Table1[[#This Row],[Passing TDs]])-50*(Table1[[#This Row],[Rushing TDs]]+Table1[[#This Row],[Receiving TDs]]+Table1[[#This Row],[Other TD''s]])),IF(C94="Defensive",(25*(16-Table1[[#This Row],[Tackles]]-(8*(Table1[[#This Row],[Other TD''s]]+Table1[[#This Row],[Interceptions]]+Table1[[#This Row],[Fumbles Recovered]])))))))))))</f>
        <v/>
      </c>
      <c r="R94" s="3" t="str">
        <f t="shared" si="4"/>
        <v/>
      </c>
      <c r="S94" s="4">
        <f t="shared" si="3"/>
        <v>1048507</v>
      </c>
      <c r="T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" spans="1:20" hidden="1" x14ac:dyDescent="0.25">
      <c r="A95" t="s">
        <v>68</v>
      </c>
      <c r="B95" s="28" t="s">
        <v>44</v>
      </c>
      <c r="C95" t="s">
        <v>16</v>
      </c>
      <c r="D95" t="str">
        <f>_xlfn.XLOOKUP(Table1[[#This Row],[Player]]&amp;Table1[[#This Row],[Week]]&amp;Table1[[#This Row],[Role]],'Google Form Transform'!$A:$A,'Google Form Transform'!E:E,"")</f>
        <v/>
      </c>
      <c r="E95" t="str">
        <f>_xlfn.XLOOKUP(Table1[[#This Row],[Player]]&amp;Table1[[#This Row],[Week]]&amp;Table1[[#This Row],[Role]],'Google Form Transform'!$A:$A,'Google Form Transform'!F:F,"")</f>
        <v/>
      </c>
      <c r="F95" t="str">
        <f>_xlfn.XLOOKUP(Table1[[#This Row],[Player]]&amp;Table1[[#This Row],[Week]]&amp;Table1[[#This Row],[Role]],'Google Form Transform'!$A:$A,'Google Form Transform'!G:G,"")</f>
        <v/>
      </c>
      <c r="G95" s="59">
        <f>SUMIFS(Table2[Stat],Table2[Stat Category],"passing",Table2[Stat Type],"YDS",Table2[Athlete],Table1[[#This Row],[Pick]],Table2[Week],Table1[[#This Row],[Week]])</f>
        <v>0</v>
      </c>
      <c r="H95" s="59">
        <f>SUMIFS(Table2[Stat],Table2[Stat Category],"rushing",Table2[Stat Type],"YDS",Table2[Athlete],Table1[[#This Row],[Pick]],Table2[Week],Table1[[#This Row],[Week]])</f>
        <v>0</v>
      </c>
      <c r="I95" s="59">
        <f>SUMIFS(Table2[Stat],Table2[Stat Category],"receiving",Table2[Stat Type],"YDS",Table2[Athlete],Table1[[#This Row],[Pick]],Table2[Week],Table1[[#This Row],[Week]])</f>
        <v>0</v>
      </c>
      <c r="J95" s="6">
        <f>IF(AND($C95="Rushing", $H95&lt;=0), 0, IF(AND($C95="Passing", $G$3&lt;=0), 0,IF(AND($C95="Receiving",$I95&lt;=0), 0,SUMIFS(Table2[Stat],Table2[Week],Table1[[#This Row],[Week]],Table2[Athlete],Table1[[#This Row],[Pick]],Table2[Stat Category],"passing",Table2[Stat Type],"TD"))))</f>
        <v>0</v>
      </c>
      <c r="K95" s="6">
        <f>IF(AND($C95="Rushing", $H95&lt;=0), 0, IF(AND($C95="Passing", $G$3&lt;=0), 0,IF(AND($C95="Receiving",$I95&lt;=0),0,SUMIFS(Table2[Stat],Table2[Week],Table1[[#This Row],[Week]],Table2[Athlete],Table1[[#This Row],[Pick]],Table2[Stat Category],"rushing",Table2[Stat Type],"TD"))))</f>
        <v>0</v>
      </c>
      <c r="L95" s="6">
        <f>IF(AND($C95="Rushing", $H95&lt;=0), 0, IF(AND($C95="Passing", $G$3&lt;=0), 0,IF(AND($C95="Receiving",$I95&lt;=0),0,SUMIFS(Table2[Stat],Table2[Week],Table1[[#This Row],[Week]],Table2[Athlete],Table1[[#This Row],[Pick]],Table2[Stat Category],"receiving",Table2[Stat Type],"TD"))))</f>
        <v>0</v>
      </c>
      <c r="M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" s="61">
        <f>SUMIFS(Data!$J:$J,Data!$A:$A,Info!$B95,Data!$G:$G,Info!$C95,Data!$I:$I,Info!$D95,Data!$H:$H,"TOT")</f>
        <v>0</v>
      </c>
      <c r="O95" s="61">
        <f>IF(C95="Defensive",SUMIFS(Data!$J:$J,Data!$A:$A,Info!$B95,Data!$I:$I,Info!$D95,Data!$H:$H,"INT"),0)</f>
        <v>0</v>
      </c>
      <c r="P95" s="61">
        <f>IF(Table1[[#This Row],[Role]]="Defensive",SUMIFS(Data!$J:$J,Data!$A:$A,Info!$B95,Data!$I:$I,Info!$D95,Data!$H:$H,$P$1),0)</f>
        <v>0</v>
      </c>
      <c r="Q95" s="65" t="str">
        <f>IF(Table1[[#This Row],[Pick]]="","",IF(S95&gt;1,400,IF(G95="","",IF(C95="Passing",(400-Table1[[#This Row],[Passing Yards]]-(30*Table1[[#This Row],[Passing TDs]])-(50*SUM(Table1[[#This Row],[Rushing TDs]:[Other TD''s]]))),IF(C95="Rushing",2*(200-Table1[[#This Row],[Rushing Yards]]-(30*Table1[[#This Row],[Passing TDs]])-50*(Table1[[#This Row],[Rushing TDs]]+Table1[[#This Row],[Receiving TDs]]+Table1[[#This Row],[Other TD''s]])),IF(C95="Receiving",2*(200-Table1[[#This Row],[Receiving Yards]]-(30*Table1[[#This Row],[Passing TDs]])-50*(Table1[[#This Row],[Rushing TDs]]+Table1[[#This Row],[Receiving TDs]]+Table1[[#This Row],[Other TD''s]])),IF(C95="Defensive",(25*(16-Table1[[#This Row],[Tackles]]-(8*(Table1[[#This Row],[Other TD''s]]+Table1[[#This Row],[Interceptions]]+Table1[[#This Row],[Fumbles Recovered]])))))))))))</f>
        <v/>
      </c>
      <c r="R95" s="3" t="str">
        <f t="shared" si="4"/>
        <v/>
      </c>
      <c r="S95" s="4">
        <f t="shared" si="3"/>
        <v>1048507</v>
      </c>
      <c r="T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" spans="1:20" hidden="1" x14ac:dyDescent="0.25">
      <c r="A96" t="s">
        <v>68</v>
      </c>
      <c r="B96" s="28" t="s">
        <v>44</v>
      </c>
      <c r="C96" t="s">
        <v>6</v>
      </c>
      <c r="D96" t="str">
        <f>_xlfn.XLOOKUP(Table1[[#This Row],[Player]]&amp;Table1[[#This Row],[Week]]&amp;Table1[[#This Row],[Role]],'Google Form Transform'!$A:$A,'Google Form Transform'!E:E,"")</f>
        <v/>
      </c>
      <c r="E96" t="str">
        <f>_xlfn.XLOOKUP(Table1[[#This Row],[Player]]&amp;Table1[[#This Row],[Week]]&amp;Table1[[#This Row],[Role]],'Google Form Transform'!$A:$A,'Google Form Transform'!F:F,"")</f>
        <v/>
      </c>
      <c r="F96" t="str">
        <f>_xlfn.XLOOKUP(Table1[[#This Row],[Player]]&amp;Table1[[#This Row],[Week]]&amp;Table1[[#This Row],[Role]],'Google Form Transform'!$A:$A,'Google Form Transform'!G:G,"")</f>
        <v/>
      </c>
      <c r="G96" s="59">
        <f>SUMIFS(Table2[Stat],Table2[Stat Category],"passing",Table2[Stat Type],"YDS",Table2[Athlete],Table1[[#This Row],[Pick]],Table2[Week],Table1[[#This Row],[Week]])</f>
        <v>0</v>
      </c>
      <c r="H96" s="59">
        <f>SUMIFS(Table2[Stat],Table2[Stat Category],"rushing",Table2[Stat Type],"YDS",Table2[Athlete],Table1[[#This Row],[Pick]],Table2[Week],Table1[[#This Row],[Week]])</f>
        <v>0</v>
      </c>
      <c r="I96" s="59">
        <f>SUMIFS(Table2[Stat],Table2[Stat Category],"receiving",Table2[Stat Type],"YDS",Table2[Athlete],Table1[[#This Row],[Pick]],Table2[Week],Table1[[#This Row],[Week]])</f>
        <v>0</v>
      </c>
      <c r="J96" s="6">
        <f>IF(AND($C96="Rushing", $H96&lt;=0), 0, IF(AND($C96="Passing", $G$3&lt;=0), 0,IF(AND($C96="Receiving",$I96&lt;=0), 0,SUMIFS(Table2[Stat],Table2[Week],Table1[[#This Row],[Week]],Table2[Athlete],Table1[[#This Row],[Pick]],Table2[Stat Category],"passing",Table2[Stat Type],"TD"))))</f>
        <v>0</v>
      </c>
      <c r="K96" s="6">
        <f>IF(AND($C96="Rushing", $H96&lt;=0), 0, IF(AND($C96="Passing", $G$3&lt;=0), 0,IF(AND($C96="Receiving",$I96&lt;=0),0,SUMIFS(Table2[Stat],Table2[Week],Table1[[#This Row],[Week]],Table2[Athlete],Table1[[#This Row],[Pick]],Table2[Stat Category],"rushing",Table2[Stat Type],"TD"))))</f>
        <v>0</v>
      </c>
      <c r="L96" s="6">
        <f>IF(AND($C96="Rushing", $H96&lt;=0), 0, IF(AND($C96="Passing", $G$3&lt;=0), 0,IF(AND($C96="Receiving",$I96&lt;=0),0,SUMIFS(Table2[Stat],Table2[Week],Table1[[#This Row],[Week]],Table2[Athlete],Table1[[#This Row],[Pick]],Table2[Stat Category],"receiving",Table2[Stat Type],"TD"))))</f>
        <v>0</v>
      </c>
      <c r="M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" s="61">
        <f>SUMIFS(Data!$J:$J,Data!$A:$A,Info!$B96,Data!$G:$G,Info!$C96,Data!$I:$I,Info!$D96,Data!$H:$H,"TOT")</f>
        <v>0</v>
      </c>
      <c r="O96" s="61">
        <f>IF(C96="Defensive",SUMIFS(Data!$J:$J,Data!$A:$A,Info!$B96,Data!$I:$I,Info!$D96,Data!$H:$H,"INT"),0)</f>
        <v>0</v>
      </c>
      <c r="P96" s="61">
        <f>IF(Table1[[#This Row],[Role]]="Defensive",SUMIFS(Data!$J:$J,Data!$A:$A,Info!$B96,Data!$I:$I,Info!$D96,Data!$H:$H,$P$1),0)</f>
        <v>0</v>
      </c>
      <c r="Q96" s="65" t="str">
        <f>IF(Table1[[#This Row],[Pick]]="","",IF(S96&gt;1,400,IF(G96="","",IF(C96="Passing",(400-Table1[[#This Row],[Passing Yards]]-(30*Table1[[#This Row],[Passing TDs]])-(50*SUM(Table1[[#This Row],[Rushing TDs]:[Other TD''s]]))),IF(C96="Rushing",2*(200-Table1[[#This Row],[Rushing Yards]]-(30*Table1[[#This Row],[Passing TDs]])-50*(Table1[[#This Row],[Rushing TDs]]+Table1[[#This Row],[Receiving TDs]]+Table1[[#This Row],[Other TD''s]])),IF(C96="Receiving",2*(200-Table1[[#This Row],[Receiving Yards]]-(30*Table1[[#This Row],[Passing TDs]])-50*(Table1[[#This Row],[Rushing TDs]]+Table1[[#This Row],[Receiving TDs]]+Table1[[#This Row],[Other TD''s]])),IF(C96="Defensive",(25*(16-Table1[[#This Row],[Tackles]]-(8*(Table1[[#This Row],[Other TD''s]]+Table1[[#This Row],[Interceptions]]+Table1[[#This Row],[Fumbles Recovered]])))))))))))</f>
        <v/>
      </c>
      <c r="R96" s="3" t="str">
        <f t="shared" si="4"/>
        <v/>
      </c>
      <c r="S96" s="4">
        <f t="shared" si="3"/>
        <v>1048507</v>
      </c>
      <c r="T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" spans="1:20" hidden="1" x14ac:dyDescent="0.25">
      <c r="A97" t="s">
        <v>68</v>
      </c>
      <c r="B97" s="28" t="s">
        <v>44</v>
      </c>
      <c r="C97" t="s">
        <v>17</v>
      </c>
      <c r="D97" t="str">
        <f>_xlfn.XLOOKUP(Table1[[#This Row],[Player]]&amp;Table1[[#This Row],[Week]]&amp;Table1[[#This Row],[Role]],'Google Form Transform'!$A:$A,'Google Form Transform'!E:E,"")</f>
        <v/>
      </c>
      <c r="E97" t="str">
        <f>_xlfn.XLOOKUP(Table1[[#This Row],[Player]]&amp;Table1[[#This Row],[Week]]&amp;Table1[[#This Row],[Role]],'Google Form Transform'!$A:$A,'Google Form Transform'!F:F,"")</f>
        <v/>
      </c>
      <c r="F97" t="str">
        <f>_xlfn.XLOOKUP(Table1[[#This Row],[Player]]&amp;Table1[[#This Row],[Week]]&amp;Table1[[#This Row],[Role]],'Google Form Transform'!$A:$A,'Google Form Transform'!G:G,"")</f>
        <v/>
      </c>
      <c r="G97" s="59">
        <f>SUMIFS(Table2[Stat],Table2[Stat Category],"passing",Table2[Stat Type],"YDS",Table2[Athlete],Table1[[#This Row],[Pick]],Table2[Week],Table1[[#This Row],[Week]])</f>
        <v>0</v>
      </c>
      <c r="H97" s="59">
        <f>SUMIFS(Table2[Stat],Table2[Stat Category],"rushing",Table2[Stat Type],"YDS",Table2[Athlete],Table1[[#This Row],[Pick]],Table2[Week],Table1[[#This Row],[Week]])</f>
        <v>0</v>
      </c>
      <c r="I97" s="59">
        <f>SUMIFS(Table2[Stat],Table2[Stat Category],"receiving",Table2[Stat Type],"YDS",Table2[Athlete],Table1[[#This Row],[Pick]],Table2[Week],Table1[[#This Row],[Week]])</f>
        <v>0</v>
      </c>
      <c r="J97" s="6">
        <f>IF(AND($C97="Rushing", $H97&lt;=0), 0, IF(AND($C97="Passing", $G$3&lt;=0), 0,IF(AND($C97="Receiving",$I97&lt;=0), 0,SUMIFS(Table2[Stat],Table2[Week],Table1[[#This Row],[Week]],Table2[Athlete],Table1[[#This Row],[Pick]],Table2[Stat Category],"passing",Table2[Stat Type],"TD"))))</f>
        <v>0</v>
      </c>
      <c r="K97" s="6">
        <f>IF(AND($C97="Rushing", $H97&lt;=0), 0, IF(AND($C97="Passing", $G$3&lt;=0), 0,IF(AND($C97="Receiving",$I97&lt;=0),0,SUMIFS(Table2[Stat],Table2[Week],Table1[[#This Row],[Week]],Table2[Athlete],Table1[[#This Row],[Pick]],Table2[Stat Category],"rushing",Table2[Stat Type],"TD"))))</f>
        <v>0</v>
      </c>
      <c r="L97" s="6">
        <f>IF(AND($C97="Rushing", $H97&lt;=0), 0, IF(AND($C97="Passing", $G$3&lt;=0), 0,IF(AND($C97="Receiving",$I97&lt;=0),0,SUMIFS(Table2[Stat],Table2[Week],Table1[[#This Row],[Week]],Table2[Athlete],Table1[[#This Row],[Pick]],Table2[Stat Category],"receiving",Table2[Stat Type],"TD"))))</f>
        <v>0</v>
      </c>
      <c r="M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" s="61">
        <f>SUMIFS(Data!$J:$J,Data!$A:$A,Info!$B97,Data!$G:$G,Info!$C97,Data!$I:$I,Info!$D97,Data!$H:$H,"TOT")</f>
        <v>0</v>
      </c>
      <c r="O97" s="61">
        <f>IF(C97="Defensive",SUMIFS(Data!$J:$J,Data!$A:$A,Info!$B97,Data!$I:$I,Info!$D97,Data!$H:$H,"INT"),0)</f>
        <v>0</v>
      </c>
      <c r="P97" s="61">
        <f>IF(Table1[[#This Row],[Role]]="Defensive",SUMIFS(Data!$J:$J,Data!$A:$A,Info!$B97,Data!$I:$I,Info!$D97,Data!$H:$H,$P$1),0)</f>
        <v>0</v>
      </c>
      <c r="Q97" s="65" t="str">
        <f>IF(Table1[[#This Row],[Pick]]="","",IF(S97&gt;1,400,IF(G97="","",IF(C97="Passing",(400-Table1[[#This Row],[Passing Yards]]-(30*Table1[[#This Row],[Passing TDs]])-(50*SUM(Table1[[#This Row],[Rushing TDs]:[Other TD''s]]))),IF(C97="Rushing",2*(200-Table1[[#This Row],[Rushing Yards]]-(30*Table1[[#This Row],[Passing TDs]])-50*(Table1[[#This Row],[Rushing TDs]]+Table1[[#This Row],[Receiving TDs]]+Table1[[#This Row],[Other TD''s]])),IF(C97="Receiving",2*(200-Table1[[#This Row],[Receiving Yards]]-(30*Table1[[#This Row],[Passing TDs]])-50*(Table1[[#This Row],[Rushing TDs]]+Table1[[#This Row],[Receiving TDs]]+Table1[[#This Row],[Other TD''s]])),IF(C97="Defensive",(25*(16-Table1[[#This Row],[Tackles]]-(8*(Table1[[#This Row],[Other TD''s]]+Table1[[#This Row],[Interceptions]]+Table1[[#This Row],[Fumbles Recovered]])))))))))))</f>
        <v/>
      </c>
      <c r="R97" s="3" t="str">
        <f t="shared" si="4"/>
        <v/>
      </c>
      <c r="S97" s="4">
        <f t="shared" si="3"/>
        <v>1048507</v>
      </c>
      <c r="T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" spans="1:20" hidden="1" x14ac:dyDescent="0.25">
      <c r="A98" t="s">
        <v>68</v>
      </c>
      <c r="B98" s="28" t="s">
        <v>44</v>
      </c>
      <c r="C98" t="s">
        <v>20</v>
      </c>
      <c r="D98" t="str">
        <f>_xlfn.XLOOKUP(Table1[[#This Row],[Player]]&amp;Table1[[#This Row],[Week]]&amp;Table1[[#This Row],[Role]],'Google Form Transform'!$A:$A,'Google Form Transform'!E:E,"")</f>
        <v/>
      </c>
      <c r="E98" t="str">
        <f>_xlfn.XLOOKUP(Table1[[#This Row],[Player]]&amp;Table1[[#This Row],[Week]]&amp;Table1[[#This Row],[Role]],'Google Form Transform'!$A:$A,'Google Form Transform'!F:F,"")</f>
        <v/>
      </c>
      <c r="F98" t="str">
        <f>_xlfn.XLOOKUP(Table1[[#This Row],[Player]]&amp;Table1[[#This Row],[Week]]&amp;Table1[[#This Row],[Role]],'Google Form Transform'!$A:$A,'Google Form Transform'!G:G,"")</f>
        <v/>
      </c>
      <c r="G98" s="59">
        <f>SUMIFS(Table2[Stat],Table2[Stat Category],"passing",Table2[Stat Type],"YDS",Table2[Athlete],Table1[[#This Row],[Pick]],Table2[Week],Table1[[#This Row],[Week]])</f>
        <v>0</v>
      </c>
      <c r="H98" s="59">
        <f>SUMIFS(Table2[Stat],Table2[Stat Category],"rushing",Table2[Stat Type],"YDS",Table2[Athlete],Table1[[#This Row],[Pick]],Table2[Week],Table1[[#This Row],[Week]])</f>
        <v>0</v>
      </c>
      <c r="I98" s="59">
        <f>SUMIFS(Table2[Stat],Table2[Stat Category],"receiving",Table2[Stat Type],"YDS",Table2[Athlete],Table1[[#This Row],[Pick]],Table2[Week],Table1[[#This Row],[Week]])</f>
        <v>0</v>
      </c>
      <c r="J98" s="6">
        <f>IF(AND($C98="Rushing", $H98&lt;=0), 0, IF(AND($C98="Passing", $G$3&lt;=0), 0,IF(AND($C98="Receiving",$I98&lt;=0), 0,SUMIFS(Table2[Stat],Table2[Week],Table1[[#This Row],[Week]],Table2[Athlete],Table1[[#This Row],[Pick]],Table2[Stat Category],"passing",Table2[Stat Type],"TD"))))</f>
        <v>0</v>
      </c>
      <c r="K98" s="6">
        <f>IF(AND($C98="Rushing", $H98&lt;=0), 0, IF(AND($C98="Passing", $G$3&lt;=0), 0,IF(AND($C98="Receiving",$I98&lt;=0),0,SUMIFS(Table2[Stat],Table2[Week],Table1[[#This Row],[Week]],Table2[Athlete],Table1[[#This Row],[Pick]],Table2[Stat Category],"rushing",Table2[Stat Type],"TD"))))</f>
        <v>0</v>
      </c>
      <c r="L98" s="6">
        <f>IF(AND($C98="Rushing", $H98&lt;=0), 0, IF(AND($C98="Passing", $G$3&lt;=0), 0,IF(AND($C98="Receiving",$I98&lt;=0),0,SUMIFS(Table2[Stat],Table2[Week],Table1[[#This Row],[Week]],Table2[Athlete],Table1[[#This Row],[Pick]],Table2[Stat Category],"receiving",Table2[Stat Type],"TD"))))</f>
        <v>0</v>
      </c>
      <c r="M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" s="61">
        <f>SUMIFS(Data!$J:$J,Data!$A:$A,Info!$B98,Data!$G:$G,Info!$C98,Data!$I:$I,Info!$D98,Data!$H:$H,"TOT")</f>
        <v>0</v>
      </c>
      <c r="O98" s="61">
        <f>IF(C98="Defensive",SUMIFS(Data!$J:$J,Data!$A:$A,Info!$B98,Data!$I:$I,Info!$D98,Data!$H:$H,"INT"),0)</f>
        <v>0</v>
      </c>
      <c r="P98" s="61">
        <f>IF(Table1[[#This Row],[Role]]="Defensive",SUMIFS(Data!$J:$J,Data!$A:$A,Info!$B98,Data!$I:$I,Info!$D98,Data!$H:$H,$P$1),0)</f>
        <v>0</v>
      </c>
      <c r="Q98" s="65" t="str">
        <f>IF(Table1[[#This Row],[Pick]]="","",IF(S98&gt;1,400,IF(G98="","",IF(C98="Passing",(400-Table1[[#This Row],[Passing Yards]]-(30*Table1[[#This Row],[Passing TDs]])-(50*SUM(Table1[[#This Row],[Rushing TDs]:[Other TD''s]]))),IF(C98="Rushing",2*(200-Table1[[#This Row],[Rushing Yards]]-(30*Table1[[#This Row],[Passing TDs]])-50*(Table1[[#This Row],[Rushing TDs]]+Table1[[#This Row],[Receiving TDs]]+Table1[[#This Row],[Other TD''s]])),IF(C98="Receiving",2*(200-Table1[[#This Row],[Receiving Yards]]-(30*Table1[[#This Row],[Passing TDs]])-50*(Table1[[#This Row],[Rushing TDs]]+Table1[[#This Row],[Receiving TDs]]+Table1[[#This Row],[Other TD''s]])),IF(C98="Defensive",(25*(16-Table1[[#This Row],[Tackles]]-(8*(Table1[[#This Row],[Other TD''s]]+Table1[[#This Row],[Interceptions]]+Table1[[#This Row],[Fumbles Recovered]])))))))))))</f>
        <v/>
      </c>
      <c r="R98" s="3" t="str">
        <f t="shared" si="4"/>
        <v/>
      </c>
      <c r="S98" s="4">
        <f t="shared" si="3"/>
        <v>1048507</v>
      </c>
      <c r="T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" spans="1:20" hidden="1" x14ac:dyDescent="0.25">
      <c r="A99" t="s">
        <v>5</v>
      </c>
      <c r="B99" s="28" t="s">
        <v>44</v>
      </c>
      <c r="C99" t="s">
        <v>16</v>
      </c>
      <c r="D99" t="str">
        <f>_xlfn.XLOOKUP(Table1[[#This Row],[Player]]&amp;Table1[[#This Row],[Week]]&amp;Table1[[#This Row],[Role]],'Google Form Transform'!$A:$A,'Google Form Transform'!E:E,"")</f>
        <v/>
      </c>
      <c r="E99" t="str">
        <f>_xlfn.XLOOKUP(Table1[[#This Row],[Player]]&amp;Table1[[#This Row],[Week]]&amp;Table1[[#This Row],[Role]],'Google Form Transform'!$A:$A,'Google Form Transform'!F:F,"")</f>
        <v/>
      </c>
      <c r="F99" t="str">
        <f>_xlfn.XLOOKUP(Table1[[#This Row],[Player]]&amp;Table1[[#This Row],[Week]]&amp;Table1[[#This Row],[Role]],'Google Form Transform'!$A:$A,'Google Form Transform'!G:G,"")</f>
        <v/>
      </c>
      <c r="G99" s="59">
        <f>SUMIFS(Table2[Stat],Table2[Stat Category],"passing",Table2[Stat Type],"YDS",Table2[Athlete],Table1[[#This Row],[Pick]],Table2[Week],Table1[[#This Row],[Week]])</f>
        <v>0</v>
      </c>
      <c r="H99" s="59">
        <f>SUMIFS(Table2[Stat],Table2[Stat Category],"rushing",Table2[Stat Type],"YDS",Table2[Athlete],Table1[[#This Row],[Pick]],Table2[Week],Table1[[#This Row],[Week]])</f>
        <v>0</v>
      </c>
      <c r="I99" s="59">
        <f>SUMIFS(Table2[Stat],Table2[Stat Category],"receiving",Table2[Stat Type],"YDS",Table2[Athlete],Table1[[#This Row],[Pick]],Table2[Week],Table1[[#This Row],[Week]])</f>
        <v>0</v>
      </c>
      <c r="J99" s="6">
        <f>IF(AND($C99="Rushing", $H99&lt;=0), 0, IF(AND($C99="Passing", $G$3&lt;=0), 0,IF(AND($C99="Receiving",$I99&lt;=0), 0,SUMIFS(Table2[Stat],Table2[Week],Table1[[#This Row],[Week]],Table2[Athlete],Table1[[#This Row],[Pick]],Table2[Stat Category],"passing",Table2[Stat Type],"TD"))))</f>
        <v>0</v>
      </c>
      <c r="K99" s="6">
        <f>IF(AND($C99="Rushing", $H99&lt;=0), 0, IF(AND($C99="Passing", $G$3&lt;=0), 0,IF(AND($C99="Receiving",$I99&lt;=0),0,SUMIFS(Table2[Stat],Table2[Week],Table1[[#This Row],[Week]],Table2[Athlete],Table1[[#This Row],[Pick]],Table2[Stat Category],"rushing",Table2[Stat Type],"TD"))))</f>
        <v>0</v>
      </c>
      <c r="L99" s="6">
        <f>IF(AND($C99="Rushing", $H99&lt;=0), 0, IF(AND($C99="Passing", $G$3&lt;=0), 0,IF(AND($C99="Receiving",$I99&lt;=0),0,SUMIFS(Table2[Stat],Table2[Week],Table1[[#This Row],[Week]],Table2[Athlete],Table1[[#This Row],[Pick]],Table2[Stat Category],"receiving",Table2[Stat Type],"TD"))))</f>
        <v>0</v>
      </c>
      <c r="M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" s="61">
        <f>SUMIFS(Data!$J:$J,Data!$A:$A,Info!$B99,Data!$G:$G,Info!$C99,Data!$I:$I,Info!$D99,Data!$H:$H,"TOT")</f>
        <v>0</v>
      </c>
      <c r="O99" s="61">
        <f>IF(C99="Defensive",SUMIFS(Data!$J:$J,Data!$A:$A,Info!$B99,Data!$I:$I,Info!$D99,Data!$H:$H,"INT"),0)</f>
        <v>0</v>
      </c>
      <c r="P99" s="61">
        <f>IF(Table1[[#This Row],[Role]]="Defensive",SUMIFS(Data!$J:$J,Data!$A:$A,Info!$B99,Data!$I:$I,Info!$D99,Data!$H:$H,$P$1),0)</f>
        <v>0</v>
      </c>
      <c r="Q99" s="65" t="str">
        <f>IF(Table1[[#This Row],[Pick]]="","",IF(S99&gt;1,400,IF(G99="","",IF(C99="Passing",(400-Table1[[#This Row],[Passing Yards]]-(30*Table1[[#This Row],[Passing TDs]])-(50*SUM(Table1[[#This Row],[Rushing TDs]:[Other TD''s]]))),IF(C99="Rushing",2*(200-Table1[[#This Row],[Rushing Yards]]-(30*Table1[[#This Row],[Passing TDs]])-50*(Table1[[#This Row],[Rushing TDs]]+Table1[[#This Row],[Receiving TDs]]+Table1[[#This Row],[Other TD''s]])),IF(C99="Receiving",2*(200-Table1[[#This Row],[Receiving Yards]]-(30*Table1[[#This Row],[Passing TDs]])-50*(Table1[[#This Row],[Rushing TDs]]+Table1[[#This Row],[Receiving TDs]]+Table1[[#This Row],[Other TD''s]])),IF(C99="Defensive",(25*(16-Table1[[#This Row],[Tackles]]-(8*(Table1[[#This Row],[Other TD''s]]+Table1[[#This Row],[Interceptions]]+Table1[[#This Row],[Fumbles Recovered]])))))))))))</f>
        <v/>
      </c>
      <c r="R99" s="3" t="str">
        <f t="shared" si="4"/>
        <v/>
      </c>
      <c r="S99" s="4">
        <f t="shared" si="3"/>
        <v>1048507</v>
      </c>
      <c r="T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" spans="1:20" hidden="1" x14ac:dyDescent="0.25">
      <c r="A100" t="s">
        <v>5</v>
      </c>
      <c r="B100" s="28" t="s">
        <v>44</v>
      </c>
      <c r="C100" t="s">
        <v>6</v>
      </c>
      <c r="D100" t="str">
        <f>_xlfn.XLOOKUP(Table1[[#This Row],[Player]]&amp;Table1[[#This Row],[Week]]&amp;Table1[[#This Row],[Role]],'Google Form Transform'!$A:$A,'Google Form Transform'!E:E,"")</f>
        <v/>
      </c>
      <c r="E100" t="str">
        <f>_xlfn.XLOOKUP(Table1[[#This Row],[Player]]&amp;Table1[[#This Row],[Week]]&amp;Table1[[#This Row],[Role]],'Google Form Transform'!$A:$A,'Google Form Transform'!F:F,"")</f>
        <v/>
      </c>
      <c r="F100" t="str">
        <f>_xlfn.XLOOKUP(Table1[[#This Row],[Player]]&amp;Table1[[#This Row],[Week]]&amp;Table1[[#This Row],[Role]],'Google Form Transform'!$A:$A,'Google Form Transform'!G:G,"")</f>
        <v/>
      </c>
      <c r="G100" s="59">
        <f>SUMIFS(Table2[Stat],Table2[Stat Category],"passing",Table2[Stat Type],"YDS",Table2[Athlete],Table1[[#This Row],[Pick]],Table2[Week],Table1[[#This Row],[Week]])</f>
        <v>0</v>
      </c>
      <c r="H100" s="59">
        <f>SUMIFS(Table2[Stat],Table2[Stat Category],"rushing",Table2[Stat Type],"YDS",Table2[Athlete],Table1[[#This Row],[Pick]],Table2[Week],Table1[[#This Row],[Week]])</f>
        <v>0</v>
      </c>
      <c r="I100" s="59">
        <f>SUMIFS(Table2[Stat],Table2[Stat Category],"receiving",Table2[Stat Type],"YDS",Table2[Athlete],Table1[[#This Row],[Pick]],Table2[Week],Table1[[#This Row],[Week]])</f>
        <v>0</v>
      </c>
      <c r="J100" s="6">
        <f>IF(AND($C100="Rushing", $H100&lt;=0), 0, IF(AND($C100="Passing", $G$3&lt;=0), 0,IF(AND($C100="Receiving",$I100&lt;=0), 0,SUMIFS(Table2[Stat],Table2[Week],Table1[[#This Row],[Week]],Table2[Athlete],Table1[[#This Row],[Pick]],Table2[Stat Category],"passing",Table2[Stat Type],"TD"))))</f>
        <v>0</v>
      </c>
      <c r="K100" s="6">
        <f>IF(AND($C100="Rushing", $H100&lt;=0), 0, IF(AND($C100="Passing", $G$3&lt;=0), 0,IF(AND($C100="Receiving",$I100&lt;=0),0,SUMIFS(Table2[Stat],Table2[Week],Table1[[#This Row],[Week]],Table2[Athlete],Table1[[#This Row],[Pick]],Table2[Stat Category],"rushing",Table2[Stat Type],"TD"))))</f>
        <v>0</v>
      </c>
      <c r="L100" s="6">
        <f>IF(AND($C100="Rushing", $H100&lt;=0), 0, IF(AND($C100="Passing", $G$3&lt;=0), 0,IF(AND($C100="Receiving",$I100&lt;=0),0,SUMIFS(Table2[Stat],Table2[Week],Table1[[#This Row],[Week]],Table2[Athlete],Table1[[#This Row],[Pick]],Table2[Stat Category],"receiving",Table2[Stat Type],"TD"))))</f>
        <v>0</v>
      </c>
      <c r="M1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" s="61">
        <f>SUMIFS(Data!$J:$J,Data!$A:$A,Info!$B100,Data!$G:$G,Info!$C100,Data!$I:$I,Info!$D100,Data!$H:$H,"TOT")</f>
        <v>0</v>
      </c>
      <c r="O100" s="61">
        <f>IF(C100="Defensive",SUMIFS(Data!$J:$J,Data!$A:$A,Info!$B100,Data!$I:$I,Info!$D100,Data!$H:$H,"INT"),0)</f>
        <v>0</v>
      </c>
      <c r="P100" s="61">
        <f>IF(Table1[[#This Row],[Role]]="Defensive",SUMIFS(Data!$J:$J,Data!$A:$A,Info!$B100,Data!$I:$I,Info!$D100,Data!$H:$H,$P$1),0)</f>
        <v>0</v>
      </c>
      <c r="Q100" s="65" t="str">
        <f>IF(Table1[[#This Row],[Pick]]="","",IF(S100&gt;1,400,IF(G100="","",IF(C100="Passing",(400-Table1[[#This Row],[Passing Yards]]-(30*Table1[[#This Row],[Passing TDs]])-(50*SUM(Table1[[#This Row],[Rushing TDs]:[Other TD''s]]))),IF(C100="Rushing",2*(200-Table1[[#This Row],[Rushing Yards]]-(30*Table1[[#This Row],[Passing TDs]])-50*(Table1[[#This Row],[Rushing TDs]]+Table1[[#This Row],[Receiving TDs]]+Table1[[#This Row],[Other TD''s]])),IF(C100="Receiving",2*(200-Table1[[#This Row],[Receiving Yards]]-(30*Table1[[#This Row],[Passing TDs]])-50*(Table1[[#This Row],[Rushing TDs]]+Table1[[#This Row],[Receiving TDs]]+Table1[[#This Row],[Other TD''s]])),IF(C100="Defensive",(25*(16-Table1[[#This Row],[Tackles]]-(8*(Table1[[#This Row],[Other TD''s]]+Table1[[#This Row],[Interceptions]]+Table1[[#This Row],[Fumbles Recovered]])))))))))))</f>
        <v/>
      </c>
      <c r="R100" s="3" t="str">
        <f t="shared" si="4"/>
        <v/>
      </c>
      <c r="S100" s="4">
        <f t="shared" si="3"/>
        <v>1048507</v>
      </c>
      <c r="T1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" spans="1:20" hidden="1" x14ac:dyDescent="0.25">
      <c r="A101" t="s">
        <v>5</v>
      </c>
      <c r="B101" s="28" t="s">
        <v>44</v>
      </c>
      <c r="C101" t="s">
        <v>17</v>
      </c>
      <c r="D101" t="str">
        <f>_xlfn.XLOOKUP(Table1[[#This Row],[Player]]&amp;Table1[[#This Row],[Week]]&amp;Table1[[#This Row],[Role]],'Google Form Transform'!$A:$A,'Google Form Transform'!E:E,"")</f>
        <v/>
      </c>
      <c r="E101" t="str">
        <f>_xlfn.XLOOKUP(Table1[[#This Row],[Player]]&amp;Table1[[#This Row],[Week]]&amp;Table1[[#This Row],[Role]],'Google Form Transform'!$A:$A,'Google Form Transform'!F:F,"")</f>
        <v/>
      </c>
      <c r="F101" t="str">
        <f>_xlfn.XLOOKUP(Table1[[#This Row],[Player]]&amp;Table1[[#This Row],[Week]]&amp;Table1[[#This Row],[Role]],'Google Form Transform'!$A:$A,'Google Form Transform'!G:G,"")</f>
        <v/>
      </c>
      <c r="G101" s="59">
        <f>SUMIFS(Table2[Stat],Table2[Stat Category],"passing",Table2[Stat Type],"YDS",Table2[Athlete],Table1[[#This Row],[Pick]],Table2[Week],Table1[[#This Row],[Week]])</f>
        <v>0</v>
      </c>
      <c r="H101" s="59">
        <f>SUMIFS(Table2[Stat],Table2[Stat Category],"rushing",Table2[Stat Type],"YDS",Table2[Athlete],Table1[[#This Row],[Pick]],Table2[Week],Table1[[#This Row],[Week]])</f>
        <v>0</v>
      </c>
      <c r="I101" s="59">
        <f>SUMIFS(Table2[Stat],Table2[Stat Category],"receiving",Table2[Stat Type],"YDS",Table2[Athlete],Table1[[#This Row],[Pick]],Table2[Week],Table1[[#This Row],[Week]])</f>
        <v>0</v>
      </c>
      <c r="J101" s="6">
        <f>IF(AND($C101="Rushing", $H101&lt;=0), 0, IF(AND($C101="Passing", $G$3&lt;=0), 0,IF(AND($C101="Receiving",$I101&lt;=0), 0,SUMIFS(Table2[Stat],Table2[Week],Table1[[#This Row],[Week]],Table2[Athlete],Table1[[#This Row],[Pick]],Table2[Stat Category],"passing",Table2[Stat Type],"TD"))))</f>
        <v>0</v>
      </c>
      <c r="K101" s="6">
        <f>IF(AND($C101="Rushing", $H101&lt;=0), 0, IF(AND($C101="Passing", $G$3&lt;=0), 0,IF(AND($C101="Receiving",$I101&lt;=0),0,SUMIFS(Table2[Stat],Table2[Week],Table1[[#This Row],[Week]],Table2[Athlete],Table1[[#This Row],[Pick]],Table2[Stat Category],"rushing",Table2[Stat Type],"TD"))))</f>
        <v>0</v>
      </c>
      <c r="L101" s="6">
        <f>IF(AND($C101="Rushing", $H101&lt;=0), 0, IF(AND($C101="Passing", $G$3&lt;=0), 0,IF(AND($C101="Receiving",$I101&lt;=0),0,SUMIFS(Table2[Stat],Table2[Week],Table1[[#This Row],[Week]],Table2[Athlete],Table1[[#This Row],[Pick]],Table2[Stat Category],"receiving",Table2[Stat Type],"TD"))))</f>
        <v>0</v>
      </c>
      <c r="M1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" s="61">
        <f>SUMIFS(Data!$J:$J,Data!$A:$A,Info!$B101,Data!$G:$G,Info!$C101,Data!$I:$I,Info!$D101,Data!$H:$H,"TOT")</f>
        <v>0</v>
      </c>
      <c r="O101" s="61">
        <f>IF(C101="Defensive",SUMIFS(Data!$J:$J,Data!$A:$A,Info!$B101,Data!$I:$I,Info!$D101,Data!$H:$H,"INT"),0)</f>
        <v>0</v>
      </c>
      <c r="P101" s="61">
        <f>IF(Table1[[#This Row],[Role]]="Defensive",SUMIFS(Data!$J:$J,Data!$A:$A,Info!$B101,Data!$I:$I,Info!$D101,Data!$H:$H,$P$1),0)</f>
        <v>0</v>
      </c>
      <c r="Q101" s="65" t="str">
        <f>IF(Table1[[#This Row],[Pick]]="","",IF(S101&gt;1,400,IF(G101="","",IF(C101="Passing",(400-Table1[[#This Row],[Passing Yards]]-(30*Table1[[#This Row],[Passing TDs]])-(50*SUM(Table1[[#This Row],[Rushing TDs]:[Other TD''s]]))),IF(C101="Rushing",2*(200-Table1[[#This Row],[Rushing Yards]]-(30*Table1[[#This Row],[Passing TDs]])-50*(Table1[[#This Row],[Rushing TDs]]+Table1[[#This Row],[Receiving TDs]]+Table1[[#This Row],[Other TD''s]])),IF(C101="Receiving",2*(200-Table1[[#This Row],[Receiving Yards]]-(30*Table1[[#This Row],[Passing TDs]])-50*(Table1[[#This Row],[Rushing TDs]]+Table1[[#This Row],[Receiving TDs]]+Table1[[#This Row],[Other TD''s]])),IF(C101="Defensive",(25*(16-Table1[[#This Row],[Tackles]]-(8*(Table1[[#This Row],[Other TD''s]]+Table1[[#This Row],[Interceptions]]+Table1[[#This Row],[Fumbles Recovered]])))))))))))</f>
        <v/>
      </c>
      <c r="R101" s="3" t="str">
        <f t="shared" si="4"/>
        <v/>
      </c>
      <c r="S101" s="4">
        <f t="shared" si="3"/>
        <v>1048507</v>
      </c>
      <c r="T1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2" spans="1:20" hidden="1" x14ac:dyDescent="0.25">
      <c r="A102" t="s">
        <v>5</v>
      </c>
      <c r="B102" s="28" t="s">
        <v>44</v>
      </c>
      <c r="C102" t="s">
        <v>20</v>
      </c>
      <c r="D102" t="str">
        <f>_xlfn.XLOOKUP(Table1[[#This Row],[Player]]&amp;Table1[[#This Row],[Week]]&amp;Table1[[#This Row],[Role]],'Google Form Transform'!$A:$A,'Google Form Transform'!E:E,"")</f>
        <v/>
      </c>
      <c r="E102" t="str">
        <f>_xlfn.XLOOKUP(Table1[[#This Row],[Player]]&amp;Table1[[#This Row],[Week]]&amp;Table1[[#This Row],[Role]],'Google Form Transform'!$A:$A,'Google Form Transform'!F:F,"")</f>
        <v/>
      </c>
      <c r="F102" t="str">
        <f>_xlfn.XLOOKUP(Table1[[#This Row],[Player]]&amp;Table1[[#This Row],[Week]]&amp;Table1[[#This Row],[Role]],'Google Form Transform'!$A:$A,'Google Form Transform'!G:G,"")</f>
        <v/>
      </c>
      <c r="G102" s="59">
        <f>SUMIFS(Table2[Stat],Table2[Stat Category],"passing",Table2[Stat Type],"YDS",Table2[Athlete],Table1[[#This Row],[Pick]],Table2[Week],Table1[[#This Row],[Week]])</f>
        <v>0</v>
      </c>
      <c r="H102" s="59">
        <f>SUMIFS(Table2[Stat],Table2[Stat Category],"rushing",Table2[Stat Type],"YDS",Table2[Athlete],Table1[[#This Row],[Pick]],Table2[Week],Table1[[#This Row],[Week]])</f>
        <v>0</v>
      </c>
      <c r="I102" s="59">
        <f>SUMIFS(Table2[Stat],Table2[Stat Category],"receiving",Table2[Stat Type],"YDS",Table2[Athlete],Table1[[#This Row],[Pick]],Table2[Week],Table1[[#This Row],[Week]])</f>
        <v>0</v>
      </c>
      <c r="J102" s="6">
        <f>IF(AND($C102="Rushing", $H102&lt;=0), 0, IF(AND($C102="Passing", $G$3&lt;=0), 0,IF(AND($C102="Receiving",$I102&lt;=0), 0,SUMIFS(Table2[Stat],Table2[Week],Table1[[#This Row],[Week]],Table2[Athlete],Table1[[#This Row],[Pick]],Table2[Stat Category],"passing",Table2[Stat Type],"TD"))))</f>
        <v>0</v>
      </c>
      <c r="K102" s="6">
        <f>IF(AND($C102="Rushing", $H102&lt;=0), 0, IF(AND($C102="Passing", $G$3&lt;=0), 0,IF(AND($C102="Receiving",$I102&lt;=0),0,SUMIFS(Table2[Stat],Table2[Week],Table1[[#This Row],[Week]],Table2[Athlete],Table1[[#This Row],[Pick]],Table2[Stat Category],"rushing",Table2[Stat Type],"TD"))))</f>
        <v>0</v>
      </c>
      <c r="L102" s="6">
        <f>IF(AND($C102="Rushing", $H102&lt;=0), 0, IF(AND($C102="Passing", $G$3&lt;=0), 0,IF(AND($C102="Receiving",$I102&lt;=0),0,SUMIFS(Table2[Stat],Table2[Week],Table1[[#This Row],[Week]],Table2[Athlete],Table1[[#This Row],[Pick]],Table2[Stat Category],"receiving",Table2[Stat Type],"TD"))))</f>
        <v>0</v>
      </c>
      <c r="M1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" s="61">
        <f>SUMIFS(Data!$J:$J,Data!$A:$A,Info!$B102,Data!$G:$G,Info!$C102,Data!$I:$I,Info!$D102,Data!$H:$H,"TOT")</f>
        <v>0</v>
      </c>
      <c r="O102" s="61">
        <f>IF(C102="Defensive",SUMIFS(Data!$J:$J,Data!$A:$A,Info!$B102,Data!$I:$I,Info!$D102,Data!$H:$H,"INT"),0)</f>
        <v>0</v>
      </c>
      <c r="P102" s="61">
        <f>IF(Table1[[#This Row],[Role]]="Defensive",SUMIFS(Data!$J:$J,Data!$A:$A,Info!$B102,Data!$I:$I,Info!$D102,Data!$H:$H,$P$1),0)</f>
        <v>0</v>
      </c>
      <c r="Q102" s="65" t="str">
        <f>IF(Table1[[#This Row],[Pick]]="","",IF(S102&gt;1,400,IF(G102="","",IF(C102="Passing",(400-Table1[[#This Row],[Passing Yards]]-(30*Table1[[#This Row],[Passing TDs]])-(50*SUM(Table1[[#This Row],[Rushing TDs]:[Other TD''s]]))),IF(C102="Rushing",2*(200-Table1[[#This Row],[Rushing Yards]]-(30*Table1[[#This Row],[Passing TDs]])-50*(Table1[[#This Row],[Rushing TDs]]+Table1[[#This Row],[Receiving TDs]]+Table1[[#This Row],[Other TD''s]])),IF(C102="Receiving",2*(200-Table1[[#This Row],[Receiving Yards]]-(30*Table1[[#This Row],[Passing TDs]])-50*(Table1[[#This Row],[Rushing TDs]]+Table1[[#This Row],[Receiving TDs]]+Table1[[#This Row],[Other TD''s]])),IF(C102="Defensive",(25*(16-Table1[[#This Row],[Tackles]]-(8*(Table1[[#This Row],[Other TD''s]]+Table1[[#This Row],[Interceptions]]+Table1[[#This Row],[Fumbles Recovered]])))))))))))</f>
        <v/>
      </c>
      <c r="R102" s="3" t="str">
        <f t="shared" si="4"/>
        <v/>
      </c>
      <c r="S102" s="4">
        <f t="shared" si="3"/>
        <v>1048507</v>
      </c>
      <c r="T1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" spans="1:20" hidden="1" x14ac:dyDescent="0.25">
      <c r="A103" t="s">
        <v>18</v>
      </c>
      <c r="B103" s="28" t="s">
        <v>44</v>
      </c>
      <c r="C103" t="s">
        <v>16</v>
      </c>
      <c r="D103" t="str">
        <f>_xlfn.XLOOKUP(Table1[[#This Row],[Player]]&amp;Table1[[#This Row],[Week]]&amp;Table1[[#This Row],[Role]],'Google Form Transform'!$A:$A,'Google Form Transform'!E:E,"")</f>
        <v/>
      </c>
      <c r="E103" t="str">
        <f>_xlfn.XLOOKUP(Table1[[#This Row],[Player]]&amp;Table1[[#This Row],[Week]]&amp;Table1[[#This Row],[Role]],'Google Form Transform'!$A:$A,'Google Form Transform'!F:F,"")</f>
        <v/>
      </c>
      <c r="F103" t="str">
        <f>_xlfn.XLOOKUP(Table1[[#This Row],[Player]]&amp;Table1[[#This Row],[Week]]&amp;Table1[[#This Row],[Role]],'Google Form Transform'!$A:$A,'Google Form Transform'!G:G,"")</f>
        <v/>
      </c>
      <c r="G103" s="59">
        <f>SUMIFS(Table2[Stat],Table2[Stat Category],"passing",Table2[Stat Type],"YDS",Table2[Athlete],Table1[[#This Row],[Pick]],Table2[Week],Table1[[#This Row],[Week]])</f>
        <v>0</v>
      </c>
      <c r="H103" s="59">
        <f>SUMIFS(Table2[Stat],Table2[Stat Category],"rushing",Table2[Stat Type],"YDS",Table2[Athlete],Table1[[#This Row],[Pick]],Table2[Week],Table1[[#This Row],[Week]])</f>
        <v>0</v>
      </c>
      <c r="I103" s="59">
        <f>SUMIFS(Table2[Stat],Table2[Stat Category],"receiving",Table2[Stat Type],"YDS",Table2[Athlete],Table1[[#This Row],[Pick]],Table2[Week],Table1[[#This Row],[Week]])</f>
        <v>0</v>
      </c>
      <c r="J103" s="6">
        <f>IF(AND($C103="Rushing", $H103&lt;=0), 0, IF(AND($C103="Passing", $G$3&lt;=0), 0,IF(AND($C103="Receiving",$I103&lt;=0), 0,SUMIFS(Table2[Stat],Table2[Week],Table1[[#This Row],[Week]],Table2[Athlete],Table1[[#This Row],[Pick]],Table2[Stat Category],"passing",Table2[Stat Type],"TD"))))</f>
        <v>0</v>
      </c>
      <c r="K103" s="6">
        <f>IF(AND($C103="Rushing", $H103&lt;=0), 0, IF(AND($C103="Passing", $G$3&lt;=0), 0,IF(AND($C103="Receiving",$I103&lt;=0),0,SUMIFS(Table2[Stat],Table2[Week],Table1[[#This Row],[Week]],Table2[Athlete],Table1[[#This Row],[Pick]],Table2[Stat Category],"rushing",Table2[Stat Type],"TD"))))</f>
        <v>0</v>
      </c>
      <c r="L103" s="6">
        <f>IF(AND($C103="Rushing", $H103&lt;=0), 0, IF(AND($C103="Passing", $G$3&lt;=0), 0,IF(AND($C103="Receiving",$I103&lt;=0),0,SUMIFS(Table2[Stat],Table2[Week],Table1[[#This Row],[Week]],Table2[Athlete],Table1[[#This Row],[Pick]],Table2[Stat Category],"receiving",Table2[Stat Type],"TD"))))</f>
        <v>0</v>
      </c>
      <c r="M1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" s="61">
        <f>SUMIFS(Data!$J:$J,Data!$A:$A,Info!$B103,Data!$G:$G,Info!$C103,Data!$I:$I,Info!$D103,Data!$H:$H,"TOT")</f>
        <v>0</v>
      </c>
      <c r="O103" s="61">
        <f>IF(C103="Defensive",SUMIFS(Data!$J:$J,Data!$A:$A,Info!$B103,Data!$I:$I,Info!$D103,Data!$H:$H,"INT"),0)</f>
        <v>0</v>
      </c>
      <c r="P103" s="61">
        <f>IF(Table1[[#This Row],[Role]]="Defensive",SUMIFS(Data!$J:$J,Data!$A:$A,Info!$B103,Data!$I:$I,Info!$D103,Data!$H:$H,$P$1),0)</f>
        <v>0</v>
      </c>
      <c r="Q103" s="65" t="str">
        <f>IF(Table1[[#This Row],[Pick]]="","",IF(S103&gt;1,400,IF(G103="","",IF(C103="Passing",(400-Table1[[#This Row],[Passing Yards]]-(30*Table1[[#This Row],[Passing TDs]])-(50*SUM(Table1[[#This Row],[Rushing TDs]:[Other TD''s]]))),IF(C103="Rushing",2*(200-Table1[[#This Row],[Rushing Yards]]-(30*Table1[[#This Row],[Passing TDs]])-50*(Table1[[#This Row],[Rushing TDs]]+Table1[[#This Row],[Receiving TDs]]+Table1[[#This Row],[Other TD''s]])),IF(C103="Receiving",2*(200-Table1[[#This Row],[Receiving Yards]]-(30*Table1[[#This Row],[Passing TDs]])-50*(Table1[[#This Row],[Rushing TDs]]+Table1[[#This Row],[Receiving TDs]]+Table1[[#This Row],[Other TD''s]])),IF(C103="Defensive",(25*(16-Table1[[#This Row],[Tackles]]-(8*(Table1[[#This Row],[Other TD''s]]+Table1[[#This Row],[Interceptions]]+Table1[[#This Row],[Fumbles Recovered]])))))))))))</f>
        <v/>
      </c>
      <c r="R103" s="3" t="str">
        <f t="shared" si="4"/>
        <v/>
      </c>
      <c r="S103" s="4">
        <f t="shared" si="3"/>
        <v>1048507</v>
      </c>
      <c r="T1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" spans="1:20" hidden="1" x14ac:dyDescent="0.25">
      <c r="A104" t="s">
        <v>18</v>
      </c>
      <c r="B104" s="28" t="s">
        <v>44</v>
      </c>
      <c r="C104" t="s">
        <v>6</v>
      </c>
      <c r="D104" t="str">
        <f>_xlfn.XLOOKUP(Table1[[#This Row],[Player]]&amp;Table1[[#This Row],[Week]]&amp;Table1[[#This Row],[Role]],'Google Form Transform'!$A:$A,'Google Form Transform'!E:E,"")</f>
        <v/>
      </c>
      <c r="E104" t="str">
        <f>_xlfn.XLOOKUP(Table1[[#This Row],[Player]]&amp;Table1[[#This Row],[Week]]&amp;Table1[[#This Row],[Role]],'Google Form Transform'!$A:$A,'Google Form Transform'!F:F,"")</f>
        <v/>
      </c>
      <c r="F104" t="str">
        <f>_xlfn.XLOOKUP(Table1[[#This Row],[Player]]&amp;Table1[[#This Row],[Week]]&amp;Table1[[#This Row],[Role]],'Google Form Transform'!$A:$A,'Google Form Transform'!G:G,"")</f>
        <v/>
      </c>
      <c r="G104" s="59">
        <f>SUMIFS(Table2[Stat],Table2[Stat Category],"passing",Table2[Stat Type],"YDS",Table2[Athlete],Table1[[#This Row],[Pick]],Table2[Week],Table1[[#This Row],[Week]])</f>
        <v>0</v>
      </c>
      <c r="H104" s="59">
        <f>SUMIFS(Table2[Stat],Table2[Stat Category],"rushing",Table2[Stat Type],"YDS",Table2[Athlete],Table1[[#This Row],[Pick]],Table2[Week],Table1[[#This Row],[Week]])</f>
        <v>0</v>
      </c>
      <c r="I104" s="59">
        <f>SUMIFS(Table2[Stat],Table2[Stat Category],"receiving",Table2[Stat Type],"YDS",Table2[Athlete],Table1[[#This Row],[Pick]],Table2[Week],Table1[[#This Row],[Week]])</f>
        <v>0</v>
      </c>
      <c r="J104" s="6">
        <f>IF(AND($C104="Rushing", $H104&lt;=0), 0, IF(AND($C104="Passing", $G$3&lt;=0), 0,IF(AND($C104="Receiving",$I104&lt;=0), 0,SUMIFS(Table2[Stat],Table2[Week],Table1[[#This Row],[Week]],Table2[Athlete],Table1[[#This Row],[Pick]],Table2[Stat Category],"passing",Table2[Stat Type],"TD"))))</f>
        <v>0</v>
      </c>
      <c r="K104" s="6">
        <f>IF(AND($C104="Rushing", $H104&lt;=0), 0, IF(AND($C104="Passing", $G$3&lt;=0), 0,IF(AND($C104="Receiving",$I104&lt;=0),0,SUMIFS(Table2[Stat],Table2[Week],Table1[[#This Row],[Week]],Table2[Athlete],Table1[[#This Row],[Pick]],Table2[Stat Category],"rushing",Table2[Stat Type],"TD"))))</f>
        <v>0</v>
      </c>
      <c r="L104" s="6">
        <f>IF(AND($C104="Rushing", $H104&lt;=0), 0, IF(AND($C104="Passing", $G$3&lt;=0), 0,IF(AND($C104="Receiving",$I104&lt;=0),0,SUMIFS(Table2[Stat],Table2[Week],Table1[[#This Row],[Week]],Table2[Athlete],Table1[[#This Row],[Pick]],Table2[Stat Category],"receiving",Table2[Stat Type],"TD"))))</f>
        <v>0</v>
      </c>
      <c r="M1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" s="61">
        <f>SUMIFS(Data!$J:$J,Data!$A:$A,Info!$B104,Data!$G:$G,Info!$C104,Data!$I:$I,Info!$D104,Data!$H:$H,"TOT")</f>
        <v>0</v>
      </c>
      <c r="O104" s="61">
        <f>IF(C104="Defensive",SUMIFS(Data!$J:$J,Data!$A:$A,Info!$B104,Data!$I:$I,Info!$D104,Data!$H:$H,"INT"),0)</f>
        <v>0</v>
      </c>
      <c r="P104" s="61">
        <f>IF(Table1[[#This Row],[Role]]="Defensive",SUMIFS(Data!$J:$J,Data!$A:$A,Info!$B104,Data!$I:$I,Info!$D104,Data!$H:$H,$P$1),0)</f>
        <v>0</v>
      </c>
      <c r="Q104" s="65" t="str">
        <f>IF(Table1[[#This Row],[Pick]]="","",IF(S104&gt;1,400,IF(G104="","",IF(C104="Passing",(400-Table1[[#This Row],[Passing Yards]]-(30*Table1[[#This Row],[Passing TDs]])-(50*SUM(Table1[[#This Row],[Rushing TDs]:[Other TD''s]]))),IF(C104="Rushing",2*(200-Table1[[#This Row],[Rushing Yards]]-(30*Table1[[#This Row],[Passing TDs]])-50*(Table1[[#This Row],[Rushing TDs]]+Table1[[#This Row],[Receiving TDs]]+Table1[[#This Row],[Other TD''s]])),IF(C104="Receiving",2*(200-Table1[[#This Row],[Receiving Yards]]-(30*Table1[[#This Row],[Passing TDs]])-50*(Table1[[#This Row],[Rushing TDs]]+Table1[[#This Row],[Receiving TDs]]+Table1[[#This Row],[Other TD''s]])),IF(C104="Defensive",(25*(16-Table1[[#This Row],[Tackles]]-(8*(Table1[[#This Row],[Other TD''s]]+Table1[[#This Row],[Interceptions]]+Table1[[#This Row],[Fumbles Recovered]])))))))))))</f>
        <v/>
      </c>
      <c r="R104" s="3" t="str">
        <f t="shared" si="4"/>
        <v/>
      </c>
      <c r="S104" s="4">
        <f t="shared" si="3"/>
        <v>1048507</v>
      </c>
      <c r="T1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" spans="1:20" hidden="1" x14ac:dyDescent="0.25">
      <c r="A105" t="s">
        <v>18</v>
      </c>
      <c r="B105" s="28" t="s">
        <v>44</v>
      </c>
      <c r="C105" t="s">
        <v>17</v>
      </c>
      <c r="D105" t="str">
        <f>_xlfn.XLOOKUP(Table1[[#This Row],[Player]]&amp;Table1[[#This Row],[Week]]&amp;Table1[[#This Row],[Role]],'Google Form Transform'!$A:$A,'Google Form Transform'!E:E,"")</f>
        <v/>
      </c>
      <c r="E105" t="str">
        <f>_xlfn.XLOOKUP(Table1[[#This Row],[Player]]&amp;Table1[[#This Row],[Week]]&amp;Table1[[#This Row],[Role]],'Google Form Transform'!$A:$A,'Google Form Transform'!F:F,"")</f>
        <v/>
      </c>
      <c r="F105" t="str">
        <f>_xlfn.XLOOKUP(Table1[[#This Row],[Player]]&amp;Table1[[#This Row],[Week]]&amp;Table1[[#This Row],[Role]],'Google Form Transform'!$A:$A,'Google Form Transform'!G:G,"")</f>
        <v/>
      </c>
      <c r="G105" s="59">
        <f>SUMIFS(Table2[Stat],Table2[Stat Category],"passing",Table2[Stat Type],"YDS",Table2[Athlete],Table1[[#This Row],[Pick]],Table2[Week],Table1[[#This Row],[Week]])</f>
        <v>0</v>
      </c>
      <c r="H105" s="59">
        <f>SUMIFS(Table2[Stat],Table2[Stat Category],"rushing",Table2[Stat Type],"YDS",Table2[Athlete],Table1[[#This Row],[Pick]],Table2[Week],Table1[[#This Row],[Week]])</f>
        <v>0</v>
      </c>
      <c r="I105" s="59">
        <f>SUMIFS(Table2[Stat],Table2[Stat Category],"receiving",Table2[Stat Type],"YDS",Table2[Athlete],Table1[[#This Row],[Pick]],Table2[Week],Table1[[#This Row],[Week]])</f>
        <v>0</v>
      </c>
      <c r="J105" s="6">
        <f>IF(AND($C105="Rushing", $H105&lt;=0), 0, IF(AND($C105="Passing", $G$3&lt;=0), 0,IF(AND($C105="Receiving",$I105&lt;=0), 0,SUMIFS(Table2[Stat],Table2[Week],Table1[[#This Row],[Week]],Table2[Athlete],Table1[[#This Row],[Pick]],Table2[Stat Category],"passing",Table2[Stat Type],"TD"))))</f>
        <v>0</v>
      </c>
      <c r="K105" s="6">
        <f>IF(AND($C105="Rushing", $H105&lt;=0), 0, IF(AND($C105="Passing", $G$3&lt;=0), 0,IF(AND($C105="Receiving",$I105&lt;=0),0,SUMIFS(Table2[Stat],Table2[Week],Table1[[#This Row],[Week]],Table2[Athlete],Table1[[#This Row],[Pick]],Table2[Stat Category],"rushing",Table2[Stat Type],"TD"))))</f>
        <v>0</v>
      </c>
      <c r="L105" s="6">
        <f>IF(AND($C105="Rushing", $H105&lt;=0), 0, IF(AND($C105="Passing", $G$3&lt;=0), 0,IF(AND($C105="Receiving",$I105&lt;=0),0,SUMIFS(Table2[Stat],Table2[Week],Table1[[#This Row],[Week]],Table2[Athlete],Table1[[#This Row],[Pick]],Table2[Stat Category],"receiving",Table2[Stat Type],"TD"))))</f>
        <v>0</v>
      </c>
      <c r="M1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" s="61">
        <f>SUMIFS(Data!$J:$J,Data!$A:$A,Info!$B105,Data!$G:$G,Info!$C105,Data!$I:$I,Info!$D105,Data!$H:$H,"TOT")</f>
        <v>0</v>
      </c>
      <c r="O105" s="61">
        <f>IF(C105="Defensive",SUMIFS(Data!$J:$J,Data!$A:$A,Info!$B105,Data!$I:$I,Info!$D105,Data!$H:$H,"INT"),0)</f>
        <v>0</v>
      </c>
      <c r="P105" s="61">
        <f>IF(Table1[[#This Row],[Role]]="Defensive",SUMIFS(Data!$J:$J,Data!$A:$A,Info!$B105,Data!$I:$I,Info!$D105,Data!$H:$H,$P$1),0)</f>
        <v>0</v>
      </c>
      <c r="Q105" s="65" t="str">
        <f>IF(Table1[[#This Row],[Pick]]="","",IF(S105&gt;1,400,IF(G105="","",IF(C105="Passing",(400-Table1[[#This Row],[Passing Yards]]-(30*Table1[[#This Row],[Passing TDs]])-(50*SUM(Table1[[#This Row],[Rushing TDs]:[Other TD''s]]))),IF(C105="Rushing",2*(200-Table1[[#This Row],[Rushing Yards]]-(30*Table1[[#This Row],[Passing TDs]])-50*(Table1[[#This Row],[Rushing TDs]]+Table1[[#This Row],[Receiving TDs]]+Table1[[#This Row],[Other TD''s]])),IF(C105="Receiving",2*(200-Table1[[#This Row],[Receiving Yards]]-(30*Table1[[#This Row],[Passing TDs]])-50*(Table1[[#This Row],[Rushing TDs]]+Table1[[#This Row],[Receiving TDs]]+Table1[[#This Row],[Other TD''s]])),IF(C105="Defensive",(25*(16-Table1[[#This Row],[Tackles]]-(8*(Table1[[#This Row],[Other TD''s]]+Table1[[#This Row],[Interceptions]]+Table1[[#This Row],[Fumbles Recovered]])))))))))))</f>
        <v/>
      </c>
      <c r="R105" s="3" t="str">
        <f t="shared" si="4"/>
        <v/>
      </c>
      <c r="S105" s="4">
        <f t="shared" si="3"/>
        <v>1048507</v>
      </c>
      <c r="T1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" spans="1:20" hidden="1" x14ac:dyDescent="0.25">
      <c r="A106" t="s">
        <v>18</v>
      </c>
      <c r="B106" s="28" t="s">
        <v>44</v>
      </c>
      <c r="C106" t="s">
        <v>20</v>
      </c>
      <c r="D106" t="str">
        <f>_xlfn.XLOOKUP(Table1[[#This Row],[Player]]&amp;Table1[[#This Row],[Week]]&amp;Table1[[#This Row],[Role]],'Google Form Transform'!$A:$A,'Google Form Transform'!E:E,"")</f>
        <v/>
      </c>
      <c r="E106" t="str">
        <f>_xlfn.XLOOKUP(Table1[[#This Row],[Player]]&amp;Table1[[#This Row],[Week]]&amp;Table1[[#This Row],[Role]],'Google Form Transform'!$A:$A,'Google Form Transform'!F:F,"")</f>
        <v/>
      </c>
      <c r="F106" t="str">
        <f>_xlfn.XLOOKUP(Table1[[#This Row],[Player]]&amp;Table1[[#This Row],[Week]]&amp;Table1[[#This Row],[Role]],'Google Form Transform'!$A:$A,'Google Form Transform'!G:G,"")</f>
        <v/>
      </c>
      <c r="G106" s="59">
        <f>SUMIFS(Table2[Stat],Table2[Stat Category],"passing",Table2[Stat Type],"YDS",Table2[Athlete],Table1[[#This Row],[Pick]],Table2[Week],Table1[[#This Row],[Week]])</f>
        <v>0</v>
      </c>
      <c r="H106" s="59">
        <f>SUMIFS(Table2[Stat],Table2[Stat Category],"rushing",Table2[Stat Type],"YDS",Table2[Athlete],Table1[[#This Row],[Pick]],Table2[Week],Table1[[#This Row],[Week]])</f>
        <v>0</v>
      </c>
      <c r="I106" s="59">
        <f>SUMIFS(Table2[Stat],Table2[Stat Category],"receiving",Table2[Stat Type],"YDS",Table2[Athlete],Table1[[#This Row],[Pick]],Table2[Week],Table1[[#This Row],[Week]])</f>
        <v>0</v>
      </c>
      <c r="J106" s="6">
        <f>IF(AND($C106="Rushing", $H106&lt;=0), 0, IF(AND($C106="Passing", $G$3&lt;=0), 0,IF(AND($C106="Receiving",$I106&lt;=0), 0,SUMIFS(Table2[Stat],Table2[Week],Table1[[#This Row],[Week]],Table2[Athlete],Table1[[#This Row],[Pick]],Table2[Stat Category],"passing",Table2[Stat Type],"TD"))))</f>
        <v>0</v>
      </c>
      <c r="K106" s="6">
        <f>IF(AND($C106="Rushing", $H106&lt;=0), 0, IF(AND($C106="Passing", $G$3&lt;=0), 0,IF(AND($C106="Receiving",$I106&lt;=0),0,SUMIFS(Table2[Stat],Table2[Week],Table1[[#This Row],[Week]],Table2[Athlete],Table1[[#This Row],[Pick]],Table2[Stat Category],"rushing",Table2[Stat Type],"TD"))))</f>
        <v>0</v>
      </c>
      <c r="L106" s="6">
        <f>IF(AND($C106="Rushing", $H106&lt;=0), 0, IF(AND($C106="Passing", $G$3&lt;=0), 0,IF(AND($C106="Receiving",$I106&lt;=0),0,SUMIFS(Table2[Stat],Table2[Week],Table1[[#This Row],[Week]],Table2[Athlete],Table1[[#This Row],[Pick]],Table2[Stat Category],"receiving",Table2[Stat Type],"TD"))))</f>
        <v>0</v>
      </c>
      <c r="M1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" s="61">
        <f>SUMIFS(Data!$J:$J,Data!$A:$A,Info!$B106,Data!$G:$G,Info!$C106,Data!$I:$I,Info!$D106,Data!$H:$H,"TOT")</f>
        <v>0</v>
      </c>
      <c r="O106" s="61">
        <f>IF(C106="Defensive",SUMIFS(Data!$J:$J,Data!$A:$A,Info!$B106,Data!$I:$I,Info!$D106,Data!$H:$H,"INT"),0)</f>
        <v>0</v>
      </c>
      <c r="P106" s="61">
        <f>IF(Table1[[#This Row],[Role]]="Defensive",SUMIFS(Data!$J:$J,Data!$A:$A,Info!$B106,Data!$I:$I,Info!$D106,Data!$H:$H,$P$1),0)</f>
        <v>0</v>
      </c>
      <c r="Q106" s="65" t="str">
        <f>IF(Table1[[#This Row],[Pick]]="","",IF(S106&gt;1,400,IF(G106="","",IF(C106="Passing",(400-Table1[[#This Row],[Passing Yards]]-(30*Table1[[#This Row],[Passing TDs]])-(50*SUM(Table1[[#This Row],[Rushing TDs]:[Other TD''s]]))),IF(C106="Rushing",2*(200-Table1[[#This Row],[Rushing Yards]]-(30*Table1[[#This Row],[Passing TDs]])-50*(Table1[[#This Row],[Rushing TDs]]+Table1[[#This Row],[Receiving TDs]]+Table1[[#This Row],[Other TD''s]])),IF(C106="Receiving",2*(200-Table1[[#This Row],[Receiving Yards]]-(30*Table1[[#This Row],[Passing TDs]])-50*(Table1[[#This Row],[Rushing TDs]]+Table1[[#This Row],[Receiving TDs]]+Table1[[#This Row],[Other TD''s]])),IF(C106="Defensive",(25*(16-Table1[[#This Row],[Tackles]]-(8*(Table1[[#This Row],[Other TD''s]]+Table1[[#This Row],[Interceptions]]+Table1[[#This Row],[Fumbles Recovered]])))))))))))</f>
        <v/>
      </c>
      <c r="R106" s="3" t="str">
        <f t="shared" si="4"/>
        <v/>
      </c>
      <c r="S106" s="4">
        <f t="shared" si="3"/>
        <v>1048507</v>
      </c>
      <c r="T1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" spans="1:20" hidden="1" x14ac:dyDescent="0.25">
      <c r="A107" t="s">
        <v>19</v>
      </c>
      <c r="B107" s="28" t="s">
        <v>44</v>
      </c>
      <c r="C107" t="s">
        <v>16</v>
      </c>
      <c r="D107" t="str">
        <f>_xlfn.XLOOKUP(Table1[[#This Row],[Player]]&amp;Table1[[#This Row],[Week]]&amp;Table1[[#This Row],[Role]],'Google Form Transform'!$A:$A,'Google Form Transform'!E:E,"")</f>
        <v/>
      </c>
      <c r="E107" t="str">
        <f>_xlfn.XLOOKUP(Table1[[#This Row],[Player]]&amp;Table1[[#This Row],[Week]]&amp;Table1[[#This Row],[Role]],'Google Form Transform'!$A:$A,'Google Form Transform'!F:F,"")</f>
        <v/>
      </c>
      <c r="F107" t="str">
        <f>_xlfn.XLOOKUP(Table1[[#This Row],[Player]]&amp;Table1[[#This Row],[Week]]&amp;Table1[[#This Row],[Role]],'Google Form Transform'!$A:$A,'Google Form Transform'!G:G,"")</f>
        <v/>
      </c>
      <c r="G107" s="59">
        <f>SUMIFS(Table2[Stat],Table2[Stat Category],"passing",Table2[Stat Type],"YDS",Table2[Athlete],Table1[[#This Row],[Pick]],Table2[Week],Table1[[#This Row],[Week]])</f>
        <v>0</v>
      </c>
      <c r="H107" s="59">
        <f>SUMIFS(Table2[Stat],Table2[Stat Category],"rushing",Table2[Stat Type],"YDS",Table2[Athlete],Table1[[#This Row],[Pick]],Table2[Week],Table1[[#This Row],[Week]])</f>
        <v>0</v>
      </c>
      <c r="I107" s="59">
        <f>SUMIFS(Table2[Stat],Table2[Stat Category],"receiving",Table2[Stat Type],"YDS",Table2[Athlete],Table1[[#This Row],[Pick]],Table2[Week],Table1[[#This Row],[Week]])</f>
        <v>0</v>
      </c>
      <c r="J107" s="6">
        <f>IF(AND($C107="Rushing", $H107&lt;=0), 0, IF(AND($C107="Passing", $G$3&lt;=0), 0,IF(AND($C107="Receiving",$I107&lt;=0), 0,SUMIFS(Table2[Stat],Table2[Week],Table1[[#This Row],[Week]],Table2[Athlete],Table1[[#This Row],[Pick]],Table2[Stat Category],"passing",Table2[Stat Type],"TD"))))</f>
        <v>0</v>
      </c>
      <c r="K107" s="6">
        <f>IF(AND($C107="Rushing", $H107&lt;=0), 0, IF(AND($C107="Passing", $G$3&lt;=0), 0,IF(AND($C107="Receiving",$I107&lt;=0),0,SUMIFS(Table2[Stat],Table2[Week],Table1[[#This Row],[Week]],Table2[Athlete],Table1[[#This Row],[Pick]],Table2[Stat Category],"rushing",Table2[Stat Type],"TD"))))</f>
        <v>0</v>
      </c>
      <c r="L107" s="6">
        <f>IF(AND($C107="Rushing", $H107&lt;=0), 0, IF(AND($C107="Passing", $G$3&lt;=0), 0,IF(AND($C107="Receiving",$I107&lt;=0),0,SUMIFS(Table2[Stat],Table2[Week],Table1[[#This Row],[Week]],Table2[Athlete],Table1[[#This Row],[Pick]],Table2[Stat Category],"receiving",Table2[Stat Type],"TD"))))</f>
        <v>0</v>
      </c>
      <c r="M1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" s="61">
        <f>SUMIFS(Data!$J:$J,Data!$A:$A,Info!$B107,Data!$G:$G,Info!$C107,Data!$I:$I,Info!$D107,Data!$H:$H,"TOT")</f>
        <v>0</v>
      </c>
      <c r="O107" s="61">
        <f>IF(C107="Defensive",SUMIFS(Data!$J:$J,Data!$A:$A,Info!$B107,Data!$I:$I,Info!$D107,Data!$H:$H,"INT"),0)</f>
        <v>0</v>
      </c>
      <c r="P107" s="61">
        <f>IF(Table1[[#This Row],[Role]]="Defensive",SUMIFS(Data!$J:$J,Data!$A:$A,Info!$B107,Data!$I:$I,Info!$D107,Data!$H:$H,$P$1),0)</f>
        <v>0</v>
      </c>
      <c r="Q107" s="65" t="str">
        <f>IF(Table1[[#This Row],[Pick]]="","",IF(S107&gt;1,400,IF(G107="","",IF(C107="Passing",(400-Table1[[#This Row],[Passing Yards]]-(30*Table1[[#This Row],[Passing TDs]])-(50*SUM(Table1[[#This Row],[Rushing TDs]:[Other TD''s]]))),IF(C107="Rushing",2*(200-Table1[[#This Row],[Rushing Yards]]-(30*Table1[[#This Row],[Passing TDs]])-50*(Table1[[#This Row],[Rushing TDs]]+Table1[[#This Row],[Receiving TDs]]+Table1[[#This Row],[Other TD''s]])),IF(C107="Receiving",2*(200-Table1[[#This Row],[Receiving Yards]]-(30*Table1[[#This Row],[Passing TDs]])-50*(Table1[[#This Row],[Rushing TDs]]+Table1[[#This Row],[Receiving TDs]]+Table1[[#This Row],[Other TD''s]])),IF(C107="Defensive",(25*(16-Table1[[#This Row],[Tackles]]-(8*(Table1[[#This Row],[Other TD''s]]+Table1[[#This Row],[Interceptions]]+Table1[[#This Row],[Fumbles Recovered]])))))))))))</f>
        <v/>
      </c>
      <c r="R107" s="3" t="str">
        <f t="shared" si="4"/>
        <v/>
      </c>
      <c r="S107" s="4">
        <f t="shared" si="3"/>
        <v>1048507</v>
      </c>
      <c r="T1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" spans="1:20" hidden="1" x14ac:dyDescent="0.25">
      <c r="A108" t="s">
        <v>19</v>
      </c>
      <c r="B108" s="28" t="s">
        <v>44</v>
      </c>
      <c r="C108" t="s">
        <v>6</v>
      </c>
      <c r="D108" t="str">
        <f>_xlfn.XLOOKUP(Table1[[#This Row],[Player]]&amp;Table1[[#This Row],[Week]]&amp;Table1[[#This Row],[Role]],'Google Form Transform'!$A:$A,'Google Form Transform'!E:E,"")</f>
        <v/>
      </c>
      <c r="E108" t="str">
        <f>_xlfn.XLOOKUP(Table1[[#This Row],[Player]]&amp;Table1[[#This Row],[Week]]&amp;Table1[[#This Row],[Role]],'Google Form Transform'!$A:$A,'Google Form Transform'!F:F,"")</f>
        <v/>
      </c>
      <c r="F108" t="str">
        <f>_xlfn.XLOOKUP(Table1[[#This Row],[Player]]&amp;Table1[[#This Row],[Week]]&amp;Table1[[#This Row],[Role]],'Google Form Transform'!$A:$A,'Google Form Transform'!G:G,"")</f>
        <v/>
      </c>
      <c r="G108" s="59">
        <f>SUMIFS(Table2[Stat],Table2[Stat Category],"passing",Table2[Stat Type],"YDS",Table2[Athlete],Table1[[#This Row],[Pick]],Table2[Week],Table1[[#This Row],[Week]])</f>
        <v>0</v>
      </c>
      <c r="H108" s="59">
        <f>SUMIFS(Table2[Stat],Table2[Stat Category],"rushing",Table2[Stat Type],"YDS",Table2[Athlete],Table1[[#This Row],[Pick]],Table2[Week],Table1[[#This Row],[Week]])</f>
        <v>0</v>
      </c>
      <c r="I108" s="59">
        <f>SUMIFS(Table2[Stat],Table2[Stat Category],"receiving",Table2[Stat Type],"YDS",Table2[Athlete],Table1[[#This Row],[Pick]],Table2[Week],Table1[[#This Row],[Week]])</f>
        <v>0</v>
      </c>
      <c r="J108" s="6">
        <f>IF(AND($C108="Rushing", $H108&lt;=0), 0, IF(AND($C108="Passing", $G$3&lt;=0), 0,IF(AND($C108="Receiving",$I108&lt;=0), 0,SUMIFS(Table2[Stat],Table2[Week],Table1[[#This Row],[Week]],Table2[Athlete],Table1[[#This Row],[Pick]],Table2[Stat Category],"passing",Table2[Stat Type],"TD"))))</f>
        <v>0</v>
      </c>
      <c r="K108" s="6">
        <f>IF(AND($C108="Rushing", $H108&lt;=0), 0, IF(AND($C108="Passing", $G$3&lt;=0), 0,IF(AND($C108="Receiving",$I108&lt;=0),0,SUMIFS(Table2[Stat],Table2[Week],Table1[[#This Row],[Week]],Table2[Athlete],Table1[[#This Row],[Pick]],Table2[Stat Category],"rushing",Table2[Stat Type],"TD"))))</f>
        <v>0</v>
      </c>
      <c r="L108" s="6">
        <f>IF(AND($C108="Rushing", $H108&lt;=0), 0, IF(AND($C108="Passing", $G$3&lt;=0), 0,IF(AND($C108="Receiving",$I108&lt;=0),0,SUMIFS(Table2[Stat],Table2[Week],Table1[[#This Row],[Week]],Table2[Athlete],Table1[[#This Row],[Pick]],Table2[Stat Category],"receiving",Table2[Stat Type],"TD"))))</f>
        <v>0</v>
      </c>
      <c r="M1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" s="61">
        <f>SUMIFS(Data!$J:$J,Data!$A:$A,Info!$B108,Data!$G:$G,Info!$C108,Data!$I:$I,Info!$D108,Data!$H:$H,"TOT")</f>
        <v>0</v>
      </c>
      <c r="O108" s="61">
        <f>IF(C108="Defensive",SUMIFS(Data!$J:$J,Data!$A:$A,Info!$B108,Data!$I:$I,Info!$D108,Data!$H:$H,"INT"),0)</f>
        <v>0</v>
      </c>
      <c r="P108" s="61">
        <f>IF(Table1[[#This Row],[Role]]="Defensive",SUMIFS(Data!$J:$J,Data!$A:$A,Info!$B108,Data!$I:$I,Info!$D108,Data!$H:$H,$P$1),0)</f>
        <v>0</v>
      </c>
      <c r="Q108" s="65" t="str">
        <f>IF(Table1[[#This Row],[Pick]]="","",IF(S108&gt;1,400,IF(G108="","",IF(C108="Passing",(400-Table1[[#This Row],[Passing Yards]]-(30*Table1[[#This Row],[Passing TDs]])-(50*SUM(Table1[[#This Row],[Rushing TDs]:[Other TD''s]]))),IF(C108="Rushing",2*(200-Table1[[#This Row],[Rushing Yards]]-(30*Table1[[#This Row],[Passing TDs]])-50*(Table1[[#This Row],[Rushing TDs]]+Table1[[#This Row],[Receiving TDs]]+Table1[[#This Row],[Other TD''s]])),IF(C108="Receiving",2*(200-Table1[[#This Row],[Receiving Yards]]-(30*Table1[[#This Row],[Passing TDs]])-50*(Table1[[#This Row],[Rushing TDs]]+Table1[[#This Row],[Receiving TDs]]+Table1[[#This Row],[Other TD''s]])),IF(C108="Defensive",(25*(16-Table1[[#This Row],[Tackles]]-(8*(Table1[[#This Row],[Other TD''s]]+Table1[[#This Row],[Interceptions]]+Table1[[#This Row],[Fumbles Recovered]])))))))))))</f>
        <v/>
      </c>
      <c r="R108" s="3" t="str">
        <f t="shared" si="4"/>
        <v/>
      </c>
      <c r="S108" s="4">
        <f t="shared" si="3"/>
        <v>1048507</v>
      </c>
      <c r="T1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9" spans="1:20" hidden="1" x14ac:dyDescent="0.25">
      <c r="A109" t="s">
        <v>19</v>
      </c>
      <c r="B109" s="28" t="s">
        <v>44</v>
      </c>
      <c r="C109" t="s">
        <v>17</v>
      </c>
      <c r="D109" t="str">
        <f>_xlfn.XLOOKUP(Table1[[#This Row],[Player]]&amp;Table1[[#This Row],[Week]]&amp;Table1[[#This Row],[Role]],'Google Form Transform'!$A:$A,'Google Form Transform'!E:E,"")</f>
        <v/>
      </c>
      <c r="E109" t="str">
        <f>_xlfn.XLOOKUP(Table1[[#This Row],[Player]]&amp;Table1[[#This Row],[Week]]&amp;Table1[[#This Row],[Role]],'Google Form Transform'!$A:$A,'Google Form Transform'!F:F,"")</f>
        <v/>
      </c>
      <c r="F109" t="str">
        <f>_xlfn.XLOOKUP(Table1[[#This Row],[Player]]&amp;Table1[[#This Row],[Week]]&amp;Table1[[#This Row],[Role]],'Google Form Transform'!$A:$A,'Google Form Transform'!G:G,"")</f>
        <v/>
      </c>
      <c r="G109" s="59">
        <f>SUMIFS(Table2[Stat],Table2[Stat Category],"passing",Table2[Stat Type],"YDS",Table2[Athlete],Table1[[#This Row],[Pick]],Table2[Week],Table1[[#This Row],[Week]])</f>
        <v>0</v>
      </c>
      <c r="H109" s="59">
        <f>SUMIFS(Table2[Stat],Table2[Stat Category],"rushing",Table2[Stat Type],"YDS",Table2[Athlete],Table1[[#This Row],[Pick]],Table2[Week],Table1[[#This Row],[Week]])</f>
        <v>0</v>
      </c>
      <c r="I109" s="59">
        <f>SUMIFS(Table2[Stat],Table2[Stat Category],"receiving",Table2[Stat Type],"YDS",Table2[Athlete],Table1[[#This Row],[Pick]],Table2[Week],Table1[[#This Row],[Week]])</f>
        <v>0</v>
      </c>
      <c r="J109" s="6">
        <f>IF(AND($C109="Rushing", $H109&lt;=0), 0, IF(AND($C109="Passing", $G$3&lt;=0), 0,IF(AND($C109="Receiving",$I109&lt;=0), 0,SUMIFS(Table2[Stat],Table2[Week],Table1[[#This Row],[Week]],Table2[Athlete],Table1[[#This Row],[Pick]],Table2[Stat Category],"passing",Table2[Stat Type],"TD"))))</f>
        <v>0</v>
      </c>
      <c r="K109" s="6">
        <f>IF(AND($C109="Rushing", $H109&lt;=0), 0, IF(AND($C109="Passing", $G$3&lt;=0), 0,IF(AND($C109="Receiving",$I109&lt;=0),0,SUMIFS(Table2[Stat],Table2[Week],Table1[[#This Row],[Week]],Table2[Athlete],Table1[[#This Row],[Pick]],Table2[Stat Category],"rushing",Table2[Stat Type],"TD"))))</f>
        <v>0</v>
      </c>
      <c r="L109" s="6">
        <f>IF(AND($C109="Rushing", $H109&lt;=0), 0, IF(AND($C109="Passing", $G$3&lt;=0), 0,IF(AND($C109="Receiving",$I109&lt;=0),0,SUMIFS(Table2[Stat],Table2[Week],Table1[[#This Row],[Week]],Table2[Athlete],Table1[[#This Row],[Pick]],Table2[Stat Category],"receiving",Table2[Stat Type],"TD"))))</f>
        <v>0</v>
      </c>
      <c r="M1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" s="61">
        <f>SUMIFS(Data!$J:$J,Data!$A:$A,Info!$B109,Data!$G:$G,Info!$C109,Data!$I:$I,Info!$D109,Data!$H:$H,"TOT")</f>
        <v>0</v>
      </c>
      <c r="O109" s="61">
        <f>IF(C109="Defensive",SUMIFS(Data!$J:$J,Data!$A:$A,Info!$B109,Data!$I:$I,Info!$D109,Data!$H:$H,"INT"),0)</f>
        <v>0</v>
      </c>
      <c r="P109" s="61">
        <f>IF(Table1[[#This Row],[Role]]="Defensive",SUMIFS(Data!$J:$J,Data!$A:$A,Info!$B109,Data!$I:$I,Info!$D109,Data!$H:$H,$P$1),0)</f>
        <v>0</v>
      </c>
      <c r="Q109" s="65" t="str">
        <f>IF(Table1[[#This Row],[Pick]]="","",IF(S109&gt;1,400,IF(G109="","",IF(C109="Passing",(400-Table1[[#This Row],[Passing Yards]]-(30*Table1[[#This Row],[Passing TDs]])-(50*SUM(Table1[[#This Row],[Rushing TDs]:[Other TD''s]]))),IF(C109="Rushing",2*(200-Table1[[#This Row],[Rushing Yards]]-(30*Table1[[#This Row],[Passing TDs]])-50*(Table1[[#This Row],[Rushing TDs]]+Table1[[#This Row],[Receiving TDs]]+Table1[[#This Row],[Other TD''s]])),IF(C109="Receiving",2*(200-Table1[[#This Row],[Receiving Yards]]-(30*Table1[[#This Row],[Passing TDs]])-50*(Table1[[#This Row],[Rushing TDs]]+Table1[[#This Row],[Receiving TDs]]+Table1[[#This Row],[Other TD''s]])),IF(C109="Defensive",(25*(16-Table1[[#This Row],[Tackles]]-(8*(Table1[[#This Row],[Other TD''s]]+Table1[[#This Row],[Interceptions]]+Table1[[#This Row],[Fumbles Recovered]])))))))))))</f>
        <v/>
      </c>
      <c r="R109" s="3" t="str">
        <f t="shared" si="4"/>
        <v/>
      </c>
      <c r="S109" s="4">
        <f t="shared" si="3"/>
        <v>1048507</v>
      </c>
      <c r="T1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" spans="1:20" hidden="1" x14ac:dyDescent="0.25">
      <c r="A110" t="s">
        <v>19</v>
      </c>
      <c r="B110" s="28" t="s">
        <v>44</v>
      </c>
      <c r="C110" t="s">
        <v>20</v>
      </c>
      <c r="D110" t="str">
        <f>_xlfn.XLOOKUP(Table1[[#This Row],[Player]]&amp;Table1[[#This Row],[Week]]&amp;Table1[[#This Row],[Role]],'Google Form Transform'!$A:$A,'Google Form Transform'!E:E,"")</f>
        <v/>
      </c>
      <c r="E110" t="str">
        <f>_xlfn.XLOOKUP(Table1[[#This Row],[Player]]&amp;Table1[[#This Row],[Week]]&amp;Table1[[#This Row],[Role]],'Google Form Transform'!$A:$A,'Google Form Transform'!F:F,"")</f>
        <v/>
      </c>
      <c r="F110" t="str">
        <f>_xlfn.XLOOKUP(Table1[[#This Row],[Player]]&amp;Table1[[#This Row],[Week]]&amp;Table1[[#This Row],[Role]],'Google Form Transform'!$A:$A,'Google Form Transform'!G:G,"")</f>
        <v/>
      </c>
      <c r="G110" s="59">
        <f>SUMIFS(Table2[Stat],Table2[Stat Category],"passing",Table2[Stat Type],"YDS",Table2[Athlete],Table1[[#This Row],[Pick]],Table2[Week],Table1[[#This Row],[Week]])</f>
        <v>0</v>
      </c>
      <c r="H110" s="59">
        <f>SUMIFS(Table2[Stat],Table2[Stat Category],"rushing",Table2[Stat Type],"YDS",Table2[Athlete],Table1[[#This Row],[Pick]],Table2[Week],Table1[[#This Row],[Week]])</f>
        <v>0</v>
      </c>
      <c r="I110" s="59">
        <f>SUMIFS(Table2[Stat],Table2[Stat Category],"receiving",Table2[Stat Type],"YDS",Table2[Athlete],Table1[[#This Row],[Pick]],Table2[Week],Table1[[#This Row],[Week]])</f>
        <v>0</v>
      </c>
      <c r="J110" s="6">
        <f>IF(AND($C110="Rushing", $H110&lt;=0), 0, IF(AND($C110="Passing", $G$3&lt;=0), 0,IF(AND($C110="Receiving",$I110&lt;=0), 0,SUMIFS(Table2[Stat],Table2[Week],Table1[[#This Row],[Week]],Table2[Athlete],Table1[[#This Row],[Pick]],Table2[Stat Category],"passing",Table2[Stat Type],"TD"))))</f>
        <v>0</v>
      </c>
      <c r="K110" s="6">
        <f>IF(AND($C110="Rushing", $H110&lt;=0), 0, IF(AND($C110="Passing", $G$3&lt;=0), 0,IF(AND($C110="Receiving",$I110&lt;=0),0,SUMIFS(Table2[Stat],Table2[Week],Table1[[#This Row],[Week]],Table2[Athlete],Table1[[#This Row],[Pick]],Table2[Stat Category],"rushing",Table2[Stat Type],"TD"))))</f>
        <v>0</v>
      </c>
      <c r="L110" s="6">
        <f>IF(AND($C110="Rushing", $H110&lt;=0), 0, IF(AND($C110="Passing", $G$3&lt;=0), 0,IF(AND($C110="Receiving",$I110&lt;=0),0,SUMIFS(Table2[Stat],Table2[Week],Table1[[#This Row],[Week]],Table2[Athlete],Table1[[#This Row],[Pick]],Table2[Stat Category],"receiving",Table2[Stat Type],"TD"))))</f>
        <v>0</v>
      </c>
      <c r="M1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" s="61">
        <f>SUMIFS(Data!$J:$J,Data!$A:$A,Info!$B110,Data!$G:$G,Info!$C110,Data!$I:$I,Info!$D110,Data!$H:$H,"TOT")</f>
        <v>0</v>
      </c>
      <c r="O110" s="61">
        <f>IF(C110="Defensive",SUMIFS(Data!$J:$J,Data!$A:$A,Info!$B110,Data!$I:$I,Info!$D110,Data!$H:$H,"INT"),0)</f>
        <v>0</v>
      </c>
      <c r="P110" s="61">
        <f>IF(Table1[[#This Row],[Role]]="Defensive",SUMIFS(Data!$J:$J,Data!$A:$A,Info!$B110,Data!$I:$I,Info!$D110,Data!$H:$H,$P$1),0)</f>
        <v>0</v>
      </c>
      <c r="Q110" s="65" t="str">
        <f>IF(Table1[[#This Row],[Pick]]="","",IF(S110&gt;1,400,IF(G110="","",IF(C110="Passing",(400-Table1[[#This Row],[Passing Yards]]-(30*Table1[[#This Row],[Passing TDs]])-(50*SUM(Table1[[#This Row],[Rushing TDs]:[Other TD''s]]))),IF(C110="Rushing",2*(200-Table1[[#This Row],[Rushing Yards]]-(30*Table1[[#This Row],[Passing TDs]])-50*(Table1[[#This Row],[Rushing TDs]]+Table1[[#This Row],[Receiving TDs]]+Table1[[#This Row],[Other TD''s]])),IF(C110="Receiving",2*(200-Table1[[#This Row],[Receiving Yards]]-(30*Table1[[#This Row],[Passing TDs]])-50*(Table1[[#This Row],[Rushing TDs]]+Table1[[#This Row],[Receiving TDs]]+Table1[[#This Row],[Other TD''s]])),IF(C110="Defensive",(25*(16-Table1[[#This Row],[Tackles]]-(8*(Table1[[#This Row],[Other TD''s]]+Table1[[#This Row],[Interceptions]]+Table1[[#This Row],[Fumbles Recovered]])))))))))))</f>
        <v/>
      </c>
      <c r="R110" s="3" t="str">
        <f t="shared" si="4"/>
        <v/>
      </c>
      <c r="S110" s="4">
        <f t="shared" si="3"/>
        <v>1048507</v>
      </c>
      <c r="T1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" spans="1:20" hidden="1" x14ac:dyDescent="0.25">
      <c r="A111" t="s">
        <v>26</v>
      </c>
      <c r="B111" s="28" t="s">
        <v>44</v>
      </c>
      <c r="C111" t="s">
        <v>16</v>
      </c>
      <c r="D111" t="str">
        <f>_xlfn.XLOOKUP(Table1[[#This Row],[Player]]&amp;Table1[[#This Row],[Week]]&amp;Table1[[#This Row],[Role]],'Google Form Transform'!$A:$A,'Google Form Transform'!E:E,"")</f>
        <v/>
      </c>
      <c r="E111" t="str">
        <f>_xlfn.XLOOKUP(Table1[[#This Row],[Player]]&amp;Table1[[#This Row],[Week]]&amp;Table1[[#This Row],[Role]],'Google Form Transform'!$A:$A,'Google Form Transform'!F:F,"")</f>
        <v/>
      </c>
      <c r="F111" t="str">
        <f>_xlfn.XLOOKUP(Table1[[#This Row],[Player]]&amp;Table1[[#This Row],[Week]]&amp;Table1[[#This Row],[Role]],'Google Form Transform'!$A:$A,'Google Form Transform'!G:G,"")</f>
        <v/>
      </c>
      <c r="G111" s="59">
        <f>SUMIFS(Table2[Stat],Table2[Stat Category],"passing",Table2[Stat Type],"YDS",Table2[Athlete],Table1[[#This Row],[Pick]],Table2[Week],Table1[[#This Row],[Week]])</f>
        <v>0</v>
      </c>
      <c r="H111" s="59">
        <f>SUMIFS(Table2[Stat],Table2[Stat Category],"rushing",Table2[Stat Type],"YDS",Table2[Athlete],Table1[[#This Row],[Pick]],Table2[Week],Table1[[#This Row],[Week]])</f>
        <v>0</v>
      </c>
      <c r="I111" s="59">
        <f>SUMIFS(Table2[Stat],Table2[Stat Category],"receiving",Table2[Stat Type],"YDS",Table2[Athlete],Table1[[#This Row],[Pick]],Table2[Week],Table1[[#This Row],[Week]])</f>
        <v>0</v>
      </c>
      <c r="J111" s="6">
        <f>IF(AND($C111="Rushing", $H111&lt;=0), 0, IF(AND($C111="Passing", $G$3&lt;=0), 0,IF(AND($C111="Receiving",$I111&lt;=0), 0,SUMIFS(Table2[Stat],Table2[Week],Table1[[#This Row],[Week]],Table2[Athlete],Table1[[#This Row],[Pick]],Table2[Stat Category],"passing",Table2[Stat Type],"TD"))))</f>
        <v>0</v>
      </c>
      <c r="K111" s="6">
        <f>IF(AND($C111="Rushing", $H111&lt;=0), 0, IF(AND($C111="Passing", $G$3&lt;=0), 0,IF(AND($C111="Receiving",$I111&lt;=0),0,SUMIFS(Table2[Stat],Table2[Week],Table1[[#This Row],[Week]],Table2[Athlete],Table1[[#This Row],[Pick]],Table2[Stat Category],"rushing",Table2[Stat Type],"TD"))))</f>
        <v>0</v>
      </c>
      <c r="L111" s="6">
        <f>IF(AND($C111="Rushing", $H111&lt;=0), 0, IF(AND($C111="Passing", $G$3&lt;=0), 0,IF(AND($C111="Receiving",$I111&lt;=0),0,SUMIFS(Table2[Stat],Table2[Week],Table1[[#This Row],[Week]],Table2[Athlete],Table1[[#This Row],[Pick]],Table2[Stat Category],"receiving",Table2[Stat Type],"TD"))))</f>
        <v>0</v>
      </c>
      <c r="M1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" s="61">
        <f>SUMIFS(Data!$J:$J,Data!$A:$A,Info!$B111,Data!$G:$G,Info!$C111,Data!$I:$I,Info!$D111,Data!$H:$H,"TOT")</f>
        <v>0</v>
      </c>
      <c r="O111" s="61">
        <f>IF(C111="Defensive",SUMIFS(Data!$J:$J,Data!$A:$A,Info!$B111,Data!$I:$I,Info!$D111,Data!$H:$H,"INT"),0)</f>
        <v>0</v>
      </c>
      <c r="P111" s="61">
        <f>IF(Table1[[#This Row],[Role]]="Defensive",SUMIFS(Data!$J:$J,Data!$A:$A,Info!$B111,Data!$I:$I,Info!$D111,Data!$H:$H,$P$1),0)</f>
        <v>0</v>
      </c>
      <c r="Q111" s="65" t="str">
        <f>IF(Table1[[#This Row],[Pick]]="","",IF(S111&gt;1,400,IF(G111="","",IF(C111="Passing",(400-Table1[[#This Row],[Passing Yards]]-(30*Table1[[#This Row],[Passing TDs]])-(50*SUM(Table1[[#This Row],[Rushing TDs]:[Other TD''s]]))),IF(C111="Rushing",2*(200-Table1[[#This Row],[Rushing Yards]]-(30*Table1[[#This Row],[Passing TDs]])-50*(Table1[[#This Row],[Rushing TDs]]+Table1[[#This Row],[Receiving TDs]]+Table1[[#This Row],[Other TD''s]])),IF(C111="Receiving",2*(200-Table1[[#This Row],[Receiving Yards]]-(30*Table1[[#This Row],[Passing TDs]])-50*(Table1[[#This Row],[Rushing TDs]]+Table1[[#This Row],[Receiving TDs]]+Table1[[#This Row],[Other TD''s]])),IF(C111="Defensive",(25*(16-Table1[[#This Row],[Tackles]]-(8*(Table1[[#This Row],[Other TD''s]]+Table1[[#This Row],[Interceptions]]+Table1[[#This Row],[Fumbles Recovered]])))))))))))</f>
        <v/>
      </c>
      <c r="R111" s="3" t="str">
        <f t="shared" si="4"/>
        <v/>
      </c>
      <c r="S111" s="4">
        <f t="shared" si="3"/>
        <v>1048507</v>
      </c>
      <c r="T1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" spans="1:20" hidden="1" x14ac:dyDescent="0.25">
      <c r="A112" t="s">
        <v>26</v>
      </c>
      <c r="B112" s="28" t="s">
        <v>44</v>
      </c>
      <c r="C112" t="s">
        <v>6</v>
      </c>
      <c r="D112" t="str">
        <f>_xlfn.XLOOKUP(Table1[[#This Row],[Player]]&amp;Table1[[#This Row],[Week]]&amp;Table1[[#This Row],[Role]],'Google Form Transform'!$A:$A,'Google Form Transform'!E:E,"")</f>
        <v/>
      </c>
      <c r="E112" t="str">
        <f>_xlfn.XLOOKUP(Table1[[#This Row],[Player]]&amp;Table1[[#This Row],[Week]]&amp;Table1[[#This Row],[Role]],'Google Form Transform'!$A:$A,'Google Form Transform'!F:F,"")</f>
        <v/>
      </c>
      <c r="F112" t="str">
        <f>_xlfn.XLOOKUP(Table1[[#This Row],[Player]]&amp;Table1[[#This Row],[Week]]&amp;Table1[[#This Row],[Role]],'Google Form Transform'!$A:$A,'Google Form Transform'!G:G,"")</f>
        <v/>
      </c>
      <c r="G112" s="59">
        <f>SUMIFS(Table2[Stat],Table2[Stat Category],"passing",Table2[Stat Type],"YDS",Table2[Athlete],Table1[[#This Row],[Pick]],Table2[Week],Table1[[#This Row],[Week]])</f>
        <v>0</v>
      </c>
      <c r="H112" s="59">
        <f>SUMIFS(Table2[Stat],Table2[Stat Category],"rushing",Table2[Stat Type],"YDS",Table2[Athlete],Table1[[#This Row],[Pick]],Table2[Week],Table1[[#This Row],[Week]])</f>
        <v>0</v>
      </c>
      <c r="I112" s="59">
        <f>SUMIFS(Table2[Stat],Table2[Stat Category],"receiving",Table2[Stat Type],"YDS",Table2[Athlete],Table1[[#This Row],[Pick]],Table2[Week],Table1[[#This Row],[Week]])</f>
        <v>0</v>
      </c>
      <c r="J112" s="6">
        <f>IF(AND($C112="Rushing", $H112&lt;=0), 0, IF(AND($C112="Passing", $G$3&lt;=0), 0,IF(AND($C112="Receiving",$I112&lt;=0), 0,SUMIFS(Table2[Stat],Table2[Week],Table1[[#This Row],[Week]],Table2[Athlete],Table1[[#This Row],[Pick]],Table2[Stat Category],"passing",Table2[Stat Type],"TD"))))</f>
        <v>0</v>
      </c>
      <c r="K112" s="6">
        <f>IF(AND($C112="Rushing", $H112&lt;=0), 0, IF(AND($C112="Passing", $G$3&lt;=0), 0,IF(AND($C112="Receiving",$I112&lt;=0),0,SUMIFS(Table2[Stat],Table2[Week],Table1[[#This Row],[Week]],Table2[Athlete],Table1[[#This Row],[Pick]],Table2[Stat Category],"rushing",Table2[Stat Type],"TD"))))</f>
        <v>0</v>
      </c>
      <c r="L112" s="6">
        <f>IF(AND($C112="Rushing", $H112&lt;=0), 0, IF(AND($C112="Passing", $G$3&lt;=0), 0,IF(AND($C112="Receiving",$I112&lt;=0),0,SUMIFS(Table2[Stat],Table2[Week],Table1[[#This Row],[Week]],Table2[Athlete],Table1[[#This Row],[Pick]],Table2[Stat Category],"receiving",Table2[Stat Type],"TD"))))</f>
        <v>0</v>
      </c>
      <c r="M1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" s="61">
        <f>SUMIFS(Data!$J:$J,Data!$A:$A,Info!$B112,Data!$G:$G,Info!$C112,Data!$I:$I,Info!$D112,Data!$H:$H,"TOT")</f>
        <v>0</v>
      </c>
      <c r="O112" s="61">
        <f>IF(C112="Defensive",SUMIFS(Data!$J:$J,Data!$A:$A,Info!$B112,Data!$I:$I,Info!$D112,Data!$H:$H,"INT"),0)</f>
        <v>0</v>
      </c>
      <c r="P112" s="61">
        <f>IF(Table1[[#This Row],[Role]]="Defensive",SUMIFS(Data!$J:$J,Data!$A:$A,Info!$B112,Data!$I:$I,Info!$D112,Data!$H:$H,$P$1),0)</f>
        <v>0</v>
      </c>
      <c r="Q112" s="65" t="str">
        <f>IF(Table1[[#This Row],[Pick]]="","",IF(S112&gt;1,400,IF(G112="","",IF(C112="Passing",(400-Table1[[#This Row],[Passing Yards]]-(30*Table1[[#This Row],[Passing TDs]])-(50*SUM(Table1[[#This Row],[Rushing TDs]:[Other TD''s]]))),IF(C112="Rushing",2*(200-Table1[[#This Row],[Rushing Yards]]-(30*Table1[[#This Row],[Passing TDs]])-50*(Table1[[#This Row],[Rushing TDs]]+Table1[[#This Row],[Receiving TDs]]+Table1[[#This Row],[Other TD''s]])),IF(C112="Receiving",2*(200-Table1[[#This Row],[Receiving Yards]]-(30*Table1[[#This Row],[Passing TDs]])-50*(Table1[[#This Row],[Rushing TDs]]+Table1[[#This Row],[Receiving TDs]]+Table1[[#This Row],[Other TD''s]])),IF(C112="Defensive",(25*(16-Table1[[#This Row],[Tackles]]-(8*(Table1[[#This Row],[Other TD''s]]+Table1[[#This Row],[Interceptions]]+Table1[[#This Row],[Fumbles Recovered]])))))))))))</f>
        <v/>
      </c>
      <c r="R112" s="3" t="str">
        <f t="shared" si="4"/>
        <v/>
      </c>
      <c r="S112" s="4">
        <f t="shared" si="3"/>
        <v>1048507</v>
      </c>
      <c r="T1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" spans="1:20" hidden="1" x14ac:dyDescent="0.25">
      <c r="A113" t="s">
        <v>26</v>
      </c>
      <c r="B113" s="28" t="s">
        <v>44</v>
      </c>
      <c r="C113" t="s">
        <v>17</v>
      </c>
      <c r="D113" t="str">
        <f>_xlfn.XLOOKUP(Table1[[#This Row],[Player]]&amp;Table1[[#This Row],[Week]]&amp;Table1[[#This Row],[Role]],'Google Form Transform'!$A:$A,'Google Form Transform'!E:E,"")</f>
        <v/>
      </c>
      <c r="E113" t="str">
        <f>_xlfn.XLOOKUP(Table1[[#This Row],[Player]]&amp;Table1[[#This Row],[Week]]&amp;Table1[[#This Row],[Role]],'Google Form Transform'!$A:$A,'Google Form Transform'!F:F,"")</f>
        <v/>
      </c>
      <c r="F113" t="str">
        <f>_xlfn.XLOOKUP(Table1[[#This Row],[Player]]&amp;Table1[[#This Row],[Week]]&amp;Table1[[#This Row],[Role]],'Google Form Transform'!$A:$A,'Google Form Transform'!G:G,"")</f>
        <v/>
      </c>
      <c r="G113" s="59">
        <f>SUMIFS(Table2[Stat],Table2[Stat Category],"passing",Table2[Stat Type],"YDS",Table2[Athlete],Table1[[#This Row],[Pick]],Table2[Week],Table1[[#This Row],[Week]])</f>
        <v>0</v>
      </c>
      <c r="H113" s="59">
        <f>SUMIFS(Table2[Stat],Table2[Stat Category],"rushing",Table2[Stat Type],"YDS",Table2[Athlete],Table1[[#This Row],[Pick]],Table2[Week],Table1[[#This Row],[Week]])</f>
        <v>0</v>
      </c>
      <c r="I113" s="59">
        <f>SUMIFS(Table2[Stat],Table2[Stat Category],"receiving",Table2[Stat Type],"YDS",Table2[Athlete],Table1[[#This Row],[Pick]],Table2[Week],Table1[[#This Row],[Week]])</f>
        <v>0</v>
      </c>
      <c r="J113" s="6">
        <f>IF(AND($C113="Rushing", $H113&lt;=0), 0, IF(AND($C113="Passing", $G$3&lt;=0), 0,IF(AND($C113="Receiving",$I113&lt;=0), 0,SUMIFS(Table2[Stat],Table2[Week],Table1[[#This Row],[Week]],Table2[Athlete],Table1[[#This Row],[Pick]],Table2[Stat Category],"passing",Table2[Stat Type],"TD"))))</f>
        <v>0</v>
      </c>
      <c r="K113" s="6">
        <f>IF(AND($C113="Rushing", $H113&lt;=0), 0, IF(AND($C113="Passing", $G$3&lt;=0), 0,IF(AND($C113="Receiving",$I113&lt;=0),0,SUMIFS(Table2[Stat],Table2[Week],Table1[[#This Row],[Week]],Table2[Athlete],Table1[[#This Row],[Pick]],Table2[Stat Category],"rushing",Table2[Stat Type],"TD"))))</f>
        <v>0</v>
      </c>
      <c r="L113" s="6">
        <f>IF(AND($C113="Rushing", $H113&lt;=0), 0, IF(AND($C113="Passing", $G$3&lt;=0), 0,IF(AND($C113="Receiving",$I113&lt;=0),0,SUMIFS(Table2[Stat],Table2[Week],Table1[[#This Row],[Week]],Table2[Athlete],Table1[[#This Row],[Pick]],Table2[Stat Category],"receiving",Table2[Stat Type],"TD"))))</f>
        <v>0</v>
      </c>
      <c r="M1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" s="61">
        <f>SUMIFS(Data!$J:$J,Data!$A:$A,Info!$B113,Data!$G:$G,Info!$C113,Data!$I:$I,Info!$D113,Data!$H:$H,"TOT")</f>
        <v>0</v>
      </c>
      <c r="O113" s="61">
        <f>IF(C113="Defensive",SUMIFS(Data!$J:$J,Data!$A:$A,Info!$B113,Data!$I:$I,Info!$D113,Data!$H:$H,"INT"),0)</f>
        <v>0</v>
      </c>
      <c r="P113" s="61">
        <f>IF(Table1[[#This Row],[Role]]="Defensive",SUMIFS(Data!$J:$J,Data!$A:$A,Info!$B113,Data!$I:$I,Info!$D113,Data!$H:$H,$P$1),0)</f>
        <v>0</v>
      </c>
      <c r="Q113" s="65" t="str">
        <f>IF(Table1[[#This Row],[Pick]]="","",IF(S113&gt;1,400,IF(G113="","",IF(C113="Passing",(400-Table1[[#This Row],[Passing Yards]]-(30*Table1[[#This Row],[Passing TDs]])-(50*SUM(Table1[[#This Row],[Rushing TDs]:[Other TD''s]]))),IF(C113="Rushing",2*(200-Table1[[#This Row],[Rushing Yards]]-(30*Table1[[#This Row],[Passing TDs]])-50*(Table1[[#This Row],[Rushing TDs]]+Table1[[#This Row],[Receiving TDs]]+Table1[[#This Row],[Other TD''s]])),IF(C113="Receiving",2*(200-Table1[[#This Row],[Receiving Yards]]-(30*Table1[[#This Row],[Passing TDs]])-50*(Table1[[#This Row],[Rushing TDs]]+Table1[[#This Row],[Receiving TDs]]+Table1[[#This Row],[Other TD''s]])),IF(C113="Defensive",(25*(16-Table1[[#This Row],[Tackles]]-(8*(Table1[[#This Row],[Other TD''s]]+Table1[[#This Row],[Interceptions]]+Table1[[#This Row],[Fumbles Recovered]])))))))))))</f>
        <v/>
      </c>
      <c r="R113" s="3" t="str">
        <f t="shared" si="4"/>
        <v/>
      </c>
      <c r="S113" s="4">
        <f t="shared" si="3"/>
        <v>1048507</v>
      </c>
      <c r="T1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" spans="1:20" hidden="1" x14ac:dyDescent="0.25">
      <c r="A114" t="s">
        <v>26</v>
      </c>
      <c r="B114" s="28" t="s">
        <v>44</v>
      </c>
      <c r="C114" t="s">
        <v>20</v>
      </c>
      <c r="D114" t="str">
        <f>_xlfn.XLOOKUP(Table1[[#This Row],[Player]]&amp;Table1[[#This Row],[Week]]&amp;Table1[[#This Row],[Role]],'Google Form Transform'!$A:$A,'Google Form Transform'!E:E,"")</f>
        <v/>
      </c>
      <c r="E114" t="str">
        <f>_xlfn.XLOOKUP(Table1[[#This Row],[Player]]&amp;Table1[[#This Row],[Week]]&amp;Table1[[#This Row],[Role]],'Google Form Transform'!$A:$A,'Google Form Transform'!F:F,"")</f>
        <v/>
      </c>
      <c r="F114" t="str">
        <f>_xlfn.XLOOKUP(Table1[[#This Row],[Player]]&amp;Table1[[#This Row],[Week]]&amp;Table1[[#This Row],[Role]],'Google Form Transform'!$A:$A,'Google Form Transform'!G:G,"")</f>
        <v/>
      </c>
      <c r="G114" s="59">
        <f>SUMIFS(Table2[Stat],Table2[Stat Category],"passing",Table2[Stat Type],"YDS",Table2[Athlete],Table1[[#This Row],[Pick]],Table2[Week],Table1[[#This Row],[Week]])</f>
        <v>0</v>
      </c>
      <c r="H114" s="59">
        <f>SUMIFS(Table2[Stat],Table2[Stat Category],"rushing",Table2[Stat Type],"YDS",Table2[Athlete],Table1[[#This Row],[Pick]],Table2[Week],Table1[[#This Row],[Week]])</f>
        <v>0</v>
      </c>
      <c r="I114" s="59">
        <f>SUMIFS(Table2[Stat],Table2[Stat Category],"receiving",Table2[Stat Type],"YDS",Table2[Athlete],Table1[[#This Row],[Pick]],Table2[Week],Table1[[#This Row],[Week]])</f>
        <v>0</v>
      </c>
      <c r="J114" s="6">
        <f>IF(AND($C114="Rushing", $H114&lt;=0), 0, IF(AND($C114="Passing", $G$3&lt;=0), 0,IF(AND($C114="Receiving",$I114&lt;=0), 0,SUMIFS(Table2[Stat],Table2[Week],Table1[[#This Row],[Week]],Table2[Athlete],Table1[[#This Row],[Pick]],Table2[Stat Category],"passing",Table2[Stat Type],"TD"))))</f>
        <v>0</v>
      </c>
      <c r="K114" s="6">
        <f>IF(AND($C114="Rushing", $H114&lt;=0), 0, IF(AND($C114="Passing", $G$3&lt;=0), 0,IF(AND($C114="Receiving",$I114&lt;=0),0,SUMIFS(Table2[Stat],Table2[Week],Table1[[#This Row],[Week]],Table2[Athlete],Table1[[#This Row],[Pick]],Table2[Stat Category],"rushing",Table2[Stat Type],"TD"))))</f>
        <v>0</v>
      </c>
      <c r="L114" s="6">
        <f>IF(AND($C114="Rushing", $H114&lt;=0), 0, IF(AND($C114="Passing", $G$3&lt;=0), 0,IF(AND($C114="Receiving",$I114&lt;=0),0,SUMIFS(Table2[Stat],Table2[Week],Table1[[#This Row],[Week]],Table2[Athlete],Table1[[#This Row],[Pick]],Table2[Stat Category],"receiving",Table2[Stat Type],"TD"))))</f>
        <v>0</v>
      </c>
      <c r="M1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" s="61">
        <f>SUMIFS(Data!$J:$J,Data!$A:$A,Info!$B114,Data!$G:$G,Info!$C114,Data!$I:$I,Info!$D114,Data!$H:$H,"TOT")</f>
        <v>0</v>
      </c>
      <c r="O114" s="61">
        <f>IF(C114="Defensive",SUMIFS(Data!$J:$J,Data!$A:$A,Info!$B114,Data!$I:$I,Info!$D114,Data!$H:$H,"INT"),0)</f>
        <v>0</v>
      </c>
      <c r="P114" s="61">
        <f>IF(Table1[[#This Row],[Role]]="Defensive",SUMIFS(Data!$J:$J,Data!$A:$A,Info!$B114,Data!$I:$I,Info!$D114,Data!$H:$H,$P$1),0)</f>
        <v>0</v>
      </c>
      <c r="Q114" s="65" t="str">
        <f>IF(Table1[[#This Row],[Pick]]="","",IF(S114&gt;1,400,IF(G114="","",IF(C114="Passing",(400-Table1[[#This Row],[Passing Yards]]-(30*Table1[[#This Row],[Passing TDs]])-(50*SUM(Table1[[#This Row],[Rushing TDs]:[Other TD''s]]))),IF(C114="Rushing",2*(200-Table1[[#This Row],[Rushing Yards]]-(30*Table1[[#This Row],[Passing TDs]])-50*(Table1[[#This Row],[Rushing TDs]]+Table1[[#This Row],[Receiving TDs]]+Table1[[#This Row],[Other TD''s]])),IF(C114="Receiving",2*(200-Table1[[#This Row],[Receiving Yards]]-(30*Table1[[#This Row],[Passing TDs]])-50*(Table1[[#This Row],[Rushing TDs]]+Table1[[#This Row],[Receiving TDs]]+Table1[[#This Row],[Other TD''s]])),IF(C114="Defensive",(25*(16-Table1[[#This Row],[Tackles]]-(8*(Table1[[#This Row],[Other TD''s]]+Table1[[#This Row],[Interceptions]]+Table1[[#This Row],[Fumbles Recovered]])))))))))))</f>
        <v/>
      </c>
      <c r="R114" s="3" t="str">
        <f t="shared" si="4"/>
        <v/>
      </c>
      <c r="S114" s="4">
        <f t="shared" si="3"/>
        <v>1048507</v>
      </c>
      <c r="T1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5" spans="1:20" hidden="1" x14ac:dyDescent="0.25">
      <c r="A115" t="s">
        <v>43</v>
      </c>
      <c r="B115" s="28" t="s">
        <v>44</v>
      </c>
      <c r="C115" t="s">
        <v>16</v>
      </c>
      <c r="D115" t="str">
        <f>_xlfn.XLOOKUP(Table1[[#This Row],[Player]]&amp;Table1[[#This Row],[Week]]&amp;Table1[[#This Row],[Role]],'Google Form Transform'!$A:$A,'Google Form Transform'!E:E,"")</f>
        <v/>
      </c>
      <c r="E115" t="str">
        <f>_xlfn.XLOOKUP(Table1[[#This Row],[Player]]&amp;Table1[[#This Row],[Week]]&amp;Table1[[#This Row],[Role]],'Google Form Transform'!$A:$A,'Google Form Transform'!F:F,"")</f>
        <v/>
      </c>
      <c r="F115" t="str">
        <f>_xlfn.XLOOKUP(Table1[[#This Row],[Player]]&amp;Table1[[#This Row],[Week]]&amp;Table1[[#This Row],[Role]],'Google Form Transform'!$A:$A,'Google Form Transform'!G:G,"")</f>
        <v/>
      </c>
      <c r="G115" s="59">
        <f>SUMIFS(Table2[Stat],Table2[Stat Category],"passing",Table2[Stat Type],"YDS",Table2[Athlete],Table1[[#This Row],[Pick]],Table2[Week],Table1[[#This Row],[Week]])</f>
        <v>0</v>
      </c>
      <c r="H115" s="59">
        <f>SUMIFS(Table2[Stat],Table2[Stat Category],"rushing",Table2[Stat Type],"YDS",Table2[Athlete],Table1[[#This Row],[Pick]],Table2[Week],Table1[[#This Row],[Week]])</f>
        <v>0</v>
      </c>
      <c r="I115" s="59">
        <f>SUMIFS(Table2[Stat],Table2[Stat Category],"receiving",Table2[Stat Type],"YDS",Table2[Athlete],Table1[[#This Row],[Pick]],Table2[Week],Table1[[#This Row],[Week]])</f>
        <v>0</v>
      </c>
      <c r="J115" s="6">
        <f>IF(AND($C115="Rushing", $H115&lt;=0), 0, IF(AND($C115="Passing", $G$3&lt;=0), 0,IF(AND($C115="Receiving",$I115&lt;=0), 0,SUMIFS(Table2[Stat],Table2[Week],Table1[[#This Row],[Week]],Table2[Athlete],Table1[[#This Row],[Pick]],Table2[Stat Category],"passing",Table2[Stat Type],"TD"))))</f>
        <v>0</v>
      </c>
      <c r="K115" s="6">
        <f>IF(AND($C115="Rushing", $H115&lt;=0), 0, IF(AND($C115="Passing", $G$3&lt;=0), 0,IF(AND($C115="Receiving",$I115&lt;=0),0,SUMIFS(Table2[Stat],Table2[Week],Table1[[#This Row],[Week]],Table2[Athlete],Table1[[#This Row],[Pick]],Table2[Stat Category],"rushing",Table2[Stat Type],"TD"))))</f>
        <v>0</v>
      </c>
      <c r="L115" s="6">
        <f>IF(AND($C115="Rushing", $H115&lt;=0), 0, IF(AND($C115="Passing", $G$3&lt;=0), 0,IF(AND($C115="Receiving",$I115&lt;=0),0,SUMIFS(Table2[Stat],Table2[Week],Table1[[#This Row],[Week]],Table2[Athlete],Table1[[#This Row],[Pick]],Table2[Stat Category],"receiving",Table2[Stat Type],"TD"))))</f>
        <v>0</v>
      </c>
      <c r="M1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5" s="61">
        <f>SUMIFS(Data!$J:$J,Data!$A:$A,Info!$B115,Data!$G:$G,Info!$C115,Data!$I:$I,Info!$D115,Data!$H:$H,"TOT")</f>
        <v>0</v>
      </c>
      <c r="O115" s="61">
        <f>IF(C115="Defensive",SUMIFS(Data!$J:$J,Data!$A:$A,Info!$B115,Data!$I:$I,Info!$D115,Data!$H:$H,"INT"),0)</f>
        <v>0</v>
      </c>
      <c r="P115" s="61">
        <f>IF(Table1[[#This Row],[Role]]="Defensive",SUMIFS(Data!$J:$J,Data!$A:$A,Info!$B115,Data!$I:$I,Info!$D115,Data!$H:$H,$P$1),0)</f>
        <v>0</v>
      </c>
      <c r="Q115" s="65" t="str">
        <f>IF(Table1[[#This Row],[Pick]]="","",IF(S115&gt;1,400,IF(G115="","",IF(C115="Passing",(400-Table1[[#This Row],[Passing Yards]]-(30*Table1[[#This Row],[Passing TDs]])-(50*SUM(Table1[[#This Row],[Rushing TDs]:[Other TD''s]]))),IF(C115="Rushing",2*(200-Table1[[#This Row],[Rushing Yards]]-(30*Table1[[#This Row],[Passing TDs]])-50*(Table1[[#This Row],[Rushing TDs]]+Table1[[#This Row],[Receiving TDs]]+Table1[[#This Row],[Other TD''s]])),IF(C115="Receiving",2*(200-Table1[[#This Row],[Receiving Yards]]-(30*Table1[[#This Row],[Passing TDs]])-50*(Table1[[#This Row],[Rushing TDs]]+Table1[[#This Row],[Receiving TDs]]+Table1[[#This Row],[Other TD''s]])),IF(C115="Defensive",(25*(16-Table1[[#This Row],[Tackles]]-(8*(Table1[[#This Row],[Other TD''s]]+Table1[[#This Row],[Interceptions]]+Table1[[#This Row],[Fumbles Recovered]])))))))))))</f>
        <v/>
      </c>
      <c r="R115" s="3" t="str">
        <f t="shared" si="4"/>
        <v/>
      </c>
      <c r="S115" s="4">
        <f t="shared" si="3"/>
        <v>1048507</v>
      </c>
      <c r="T1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6" spans="1:20" hidden="1" x14ac:dyDescent="0.25">
      <c r="A116" t="s">
        <v>43</v>
      </c>
      <c r="B116" s="28" t="s">
        <v>44</v>
      </c>
      <c r="C116" t="s">
        <v>6</v>
      </c>
      <c r="D116" t="str">
        <f>_xlfn.XLOOKUP(Table1[[#This Row],[Player]]&amp;Table1[[#This Row],[Week]]&amp;Table1[[#This Row],[Role]],'Google Form Transform'!$A:$A,'Google Form Transform'!E:E,"")</f>
        <v/>
      </c>
      <c r="E116" t="str">
        <f>_xlfn.XLOOKUP(Table1[[#This Row],[Player]]&amp;Table1[[#This Row],[Week]]&amp;Table1[[#This Row],[Role]],'Google Form Transform'!$A:$A,'Google Form Transform'!F:F,"")</f>
        <v/>
      </c>
      <c r="F116" t="str">
        <f>_xlfn.XLOOKUP(Table1[[#This Row],[Player]]&amp;Table1[[#This Row],[Week]]&amp;Table1[[#This Row],[Role]],'Google Form Transform'!$A:$A,'Google Form Transform'!G:G,"")</f>
        <v/>
      </c>
      <c r="G116" s="59">
        <f>SUMIFS(Table2[Stat],Table2[Stat Category],"passing",Table2[Stat Type],"YDS",Table2[Athlete],Table1[[#This Row],[Pick]],Table2[Week],Table1[[#This Row],[Week]])</f>
        <v>0</v>
      </c>
      <c r="H116" s="59">
        <f>SUMIFS(Table2[Stat],Table2[Stat Category],"rushing",Table2[Stat Type],"YDS",Table2[Athlete],Table1[[#This Row],[Pick]],Table2[Week],Table1[[#This Row],[Week]])</f>
        <v>0</v>
      </c>
      <c r="I116" s="59">
        <f>SUMIFS(Table2[Stat],Table2[Stat Category],"receiving",Table2[Stat Type],"YDS",Table2[Athlete],Table1[[#This Row],[Pick]],Table2[Week],Table1[[#This Row],[Week]])</f>
        <v>0</v>
      </c>
      <c r="J116" s="6">
        <f>IF(AND($C116="Rushing", $H116&lt;=0), 0, IF(AND($C116="Passing", $G$3&lt;=0), 0,IF(AND($C116="Receiving",$I116&lt;=0), 0,SUMIFS(Table2[Stat],Table2[Week],Table1[[#This Row],[Week]],Table2[Athlete],Table1[[#This Row],[Pick]],Table2[Stat Category],"passing",Table2[Stat Type],"TD"))))</f>
        <v>0</v>
      </c>
      <c r="K116" s="6">
        <f>IF(AND($C116="Rushing", $H116&lt;=0), 0, IF(AND($C116="Passing", $G$3&lt;=0), 0,IF(AND($C116="Receiving",$I116&lt;=0),0,SUMIFS(Table2[Stat],Table2[Week],Table1[[#This Row],[Week]],Table2[Athlete],Table1[[#This Row],[Pick]],Table2[Stat Category],"rushing",Table2[Stat Type],"TD"))))</f>
        <v>0</v>
      </c>
      <c r="L116" s="6">
        <f>IF(AND($C116="Rushing", $H116&lt;=0), 0, IF(AND($C116="Passing", $G$3&lt;=0), 0,IF(AND($C116="Receiving",$I116&lt;=0),0,SUMIFS(Table2[Stat],Table2[Week],Table1[[#This Row],[Week]],Table2[Athlete],Table1[[#This Row],[Pick]],Table2[Stat Category],"receiving",Table2[Stat Type],"TD"))))</f>
        <v>0</v>
      </c>
      <c r="M1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6" s="61">
        <f>SUMIFS(Data!$J:$J,Data!$A:$A,Info!$B116,Data!$G:$G,Info!$C116,Data!$I:$I,Info!$D116,Data!$H:$H,"TOT")</f>
        <v>0</v>
      </c>
      <c r="O116" s="61">
        <f>IF(C116="Defensive",SUMIFS(Data!$J:$J,Data!$A:$A,Info!$B116,Data!$I:$I,Info!$D116,Data!$H:$H,"INT"),0)</f>
        <v>0</v>
      </c>
      <c r="P116" s="61">
        <f>IF(Table1[[#This Row],[Role]]="Defensive",SUMIFS(Data!$J:$J,Data!$A:$A,Info!$B116,Data!$I:$I,Info!$D116,Data!$H:$H,$P$1),0)</f>
        <v>0</v>
      </c>
      <c r="Q116" s="65" t="str">
        <f>IF(Table1[[#This Row],[Pick]]="","",IF(S116&gt;1,400,IF(G116="","",IF(C116="Passing",(400-Table1[[#This Row],[Passing Yards]]-(30*Table1[[#This Row],[Passing TDs]])-(50*SUM(Table1[[#This Row],[Rushing TDs]:[Other TD''s]]))),IF(C116="Rushing",2*(200-Table1[[#This Row],[Rushing Yards]]-(30*Table1[[#This Row],[Passing TDs]])-50*(Table1[[#This Row],[Rushing TDs]]+Table1[[#This Row],[Receiving TDs]]+Table1[[#This Row],[Other TD''s]])),IF(C116="Receiving",2*(200-Table1[[#This Row],[Receiving Yards]]-(30*Table1[[#This Row],[Passing TDs]])-50*(Table1[[#This Row],[Rushing TDs]]+Table1[[#This Row],[Receiving TDs]]+Table1[[#This Row],[Other TD''s]])),IF(C116="Defensive",(25*(16-Table1[[#This Row],[Tackles]]-(8*(Table1[[#This Row],[Other TD''s]]+Table1[[#This Row],[Interceptions]]+Table1[[#This Row],[Fumbles Recovered]])))))))))))</f>
        <v/>
      </c>
      <c r="R116" s="3" t="str">
        <f t="shared" si="4"/>
        <v/>
      </c>
      <c r="S116" s="4">
        <f t="shared" si="3"/>
        <v>1048507</v>
      </c>
      <c r="T1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7" spans="1:20" hidden="1" x14ac:dyDescent="0.25">
      <c r="A117" t="s">
        <v>43</v>
      </c>
      <c r="B117" s="28" t="s">
        <v>44</v>
      </c>
      <c r="C117" t="s">
        <v>17</v>
      </c>
      <c r="D117" t="str">
        <f>_xlfn.XLOOKUP(Table1[[#This Row],[Player]]&amp;Table1[[#This Row],[Week]]&amp;Table1[[#This Row],[Role]],'Google Form Transform'!$A:$A,'Google Form Transform'!E:E,"")</f>
        <v/>
      </c>
      <c r="E117" t="str">
        <f>_xlfn.XLOOKUP(Table1[[#This Row],[Player]]&amp;Table1[[#This Row],[Week]]&amp;Table1[[#This Row],[Role]],'Google Form Transform'!$A:$A,'Google Form Transform'!F:F,"")</f>
        <v/>
      </c>
      <c r="F117" t="str">
        <f>_xlfn.XLOOKUP(Table1[[#This Row],[Player]]&amp;Table1[[#This Row],[Week]]&amp;Table1[[#This Row],[Role]],'Google Form Transform'!$A:$A,'Google Form Transform'!G:G,"")</f>
        <v/>
      </c>
      <c r="G117" s="59">
        <f>SUMIFS(Table2[Stat],Table2[Stat Category],"passing",Table2[Stat Type],"YDS",Table2[Athlete],Table1[[#This Row],[Pick]],Table2[Week],Table1[[#This Row],[Week]])</f>
        <v>0</v>
      </c>
      <c r="H117" s="59">
        <f>SUMIFS(Table2[Stat],Table2[Stat Category],"rushing",Table2[Stat Type],"YDS",Table2[Athlete],Table1[[#This Row],[Pick]],Table2[Week],Table1[[#This Row],[Week]])</f>
        <v>0</v>
      </c>
      <c r="I117" s="59">
        <f>SUMIFS(Table2[Stat],Table2[Stat Category],"receiving",Table2[Stat Type],"YDS",Table2[Athlete],Table1[[#This Row],[Pick]],Table2[Week],Table1[[#This Row],[Week]])</f>
        <v>0</v>
      </c>
      <c r="J117" s="6">
        <f>IF(AND($C117="Rushing", $H117&lt;=0), 0, IF(AND($C117="Passing", $G$3&lt;=0), 0,IF(AND($C117="Receiving",$I117&lt;=0), 0,SUMIFS(Table2[Stat],Table2[Week],Table1[[#This Row],[Week]],Table2[Athlete],Table1[[#This Row],[Pick]],Table2[Stat Category],"passing",Table2[Stat Type],"TD"))))</f>
        <v>0</v>
      </c>
      <c r="K117" s="6">
        <f>IF(AND($C117="Rushing", $H117&lt;=0), 0, IF(AND($C117="Passing", $G$3&lt;=0), 0,IF(AND($C117="Receiving",$I117&lt;=0),0,SUMIFS(Table2[Stat],Table2[Week],Table1[[#This Row],[Week]],Table2[Athlete],Table1[[#This Row],[Pick]],Table2[Stat Category],"rushing",Table2[Stat Type],"TD"))))</f>
        <v>0</v>
      </c>
      <c r="L117" s="6">
        <f>IF(AND($C117="Rushing", $H117&lt;=0), 0, IF(AND($C117="Passing", $G$3&lt;=0), 0,IF(AND($C117="Receiving",$I117&lt;=0),0,SUMIFS(Table2[Stat],Table2[Week],Table1[[#This Row],[Week]],Table2[Athlete],Table1[[#This Row],[Pick]],Table2[Stat Category],"receiving",Table2[Stat Type],"TD"))))</f>
        <v>0</v>
      </c>
      <c r="M1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7" s="61">
        <f>SUMIFS(Data!$J:$J,Data!$A:$A,Info!$B117,Data!$G:$G,Info!$C117,Data!$I:$I,Info!$D117,Data!$H:$H,"TOT")</f>
        <v>0</v>
      </c>
      <c r="O117" s="61">
        <f>IF(C117="Defensive",SUMIFS(Data!$J:$J,Data!$A:$A,Info!$B117,Data!$I:$I,Info!$D117,Data!$H:$H,"INT"),0)</f>
        <v>0</v>
      </c>
      <c r="P117" s="61">
        <f>IF(Table1[[#This Row],[Role]]="Defensive",SUMIFS(Data!$J:$J,Data!$A:$A,Info!$B117,Data!$I:$I,Info!$D117,Data!$H:$H,$P$1),0)</f>
        <v>0</v>
      </c>
      <c r="Q117" s="65" t="str">
        <f>IF(Table1[[#This Row],[Pick]]="","",IF(S117&gt;1,400,IF(G117="","",IF(C117="Passing",(400-Table1[[#This Row],[Passing Yards]]-(30*Table1[[#This Row],[Passing TDs]])-(50*SUM(Table1[[#This Row],[Rushing TDs]:[Other TD''s]]))),IF(C117="Rushing",2*(200-Table1[[#This Row],[Rushing Yards]]-(30*Table1[[#This Row],[Passing TDs]])-50*(Table1[[#This Row],[Rushing TDs]]+Table1[[#This Row],[Receiving TDs]]+Table1[[#This Row],[Other TD''s]])),IF(C117="Receiving",2*(200-Table1[[#This Row],[Receiving Yards]]-(30*Table1[[#This Row],[Passing TDs]])-50*(Table1[[#This Row],[Rushing TDs]]+Table1[[#This Row],[Receiving TDs]]+Table1[[#This Row],[Other TD''s]])),IF(C117="Defensive",(25*(16-Table1[[#This Row],[Tackles]]-(8*(Table1[[#This Row],[Other TD''s]]+Table1[[#This Row],[Interceptions]]+Table1[[#This Row],[Fumbles Recovered]])))))))))))</f>
        <v/>
      </c>
      <c r="R117" s="3" t="str">
        <f t="shared" si="4"/>
        <v/>
      </c>
      <c r="S117" s="4">
        <f t="shared" si="3"/>
        <v>1048507</v>
      </c>
      <c r="T1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8" spans="1:20" hidden="1" x14ac:dyDescent="0.25">
      <c r="A118" t="s">
        <v>43</v>
      </c>
      <c r="B118" s="28" t="s">
        <v>44</v>
      </c>
      <c r="C118" t="s">
        <v>20</v>
      </c>
      <c r="D118" t="str">
        <f>_xlfn.XLOOKUP(Table1[[#This Row],[Player]]&amp;Table1[[#This Row],[Week]]&amp;Table1[[#This Row],[Role]],'Google Form Transform'!$A:$A,'Google Form Transform'!E:E,"")</f>
        <v/>
      </c>
      <c r="E118" t="str">
        <f>_xlfn.XLOOKUP(Table1[[#This Row],[Player]]&amp;Table1[[#This Row],[Week]]&amp;Table1[[#This Row],[Role]],'Google Form Transform'!$A:$A,'Google Form Transform'!F:F,"")</f>
        <v/>
      </c>
      <c r="F118" t="str">
        <f>_xlfn.XLOOKUP(Table1[[#This Row],[Player]]&amp;Table1[[#This Row],[Week]]&amp;Table1[[#This Row],[Role]],'Google Form Transform'!$A:$A,'Google Form Transform'!G:G,"")</f>
        <v/>
      </c>
      <c r="G118" s="59">
        <f>SUMIFS(Table2[Stat],Table2[Stat Category],"passing",Table2[Stat Type],"YDS",Table2[Athlete],Table1[[#This Row],[Pick]],Table2[Week],Table1[[#This Row],[Week]])</f>
        <v>0</v>
      </c>
      <c r="H118" s="59">
        <f>SUMIFS(Table2[Stat],Table2[Stat Category],"rushing",Table2[Stat Type],"YDS",Table2[Athlete],Table1[[#This Row],[Pick]],Table2[Week],Table1[[#This Row],[Week]])</f>
        <v>0</v>
      </c>
      <c r="I118" s="59">
        <f>SUMIFS(Table2[Stat],Table2[Stat Category],"receiving",Table2[Stat Type],"YDS",Table2[Athlete],Table1[[#This Row],[Pick]],Table2[Week],Table1[[#This Row],[Week]])</f>
        <v>0</v>
      </c>
      <c r="J118" s="6">
        <f>IF(AND($C118="Rushing", $H118&lt;=0), 0, IF(AND($C118="Passing", $G$3&lt;=0), 0,IF(AND($C118="Receiving",$I118&lt;=0), 0,SUMIFS(Table2[Stat],Table2[Week],Table1[[#This Row],[Week]],Table2[Athlete],Table1[[#This Row],[Pick]],Table2[Stat Category],"passing",Table2[Stat Type],"TD"))))</f>
        <v>0</v>
      </c>
      <c r="K118" s="6">
        <f>IF(AND($C118="Rushing", $H118&lt;=0), 0, IF(AND($C118="Passing", $G$3&lt;=0), 0,IF(AND($C118="Receiving",$I118&lt;=0),0,SUMIFS(Table2[Stat],Table2[Week],Table1[[#This Row],[Week]],Table2[Athlete],Table1[[#This Row],[Pick]],Table2[Stat Category],"rushing",Table2[Stat Type],"TD"))))</f>
        <v>0</v>
      </c>
      <c r="L118" s="6">
        <f>IF(AND($C118="Rushing", $H118&lt;=0), 0, IF(AND($C118="Passing", $G$3&lt;=0), 0,IF(AND($C118="Receiving",$I118&lt;=0),0,SUMIFS(Table2[Stat],Table2[Week],Table1[[#This Row],[Week]],Table2[Athlete],Table1[[#This Row],[Pick]],Table2[Stat Category],"receiving",Table2[Stat Type],"TD"))))</f>
        <v>0</v>
      </c>
      <c r="M1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8" s="61">
        <f>SUMIFS(Data!$J:$J,Data!$A:$A,Info!$B118,Data!$G:$G,Info!$C118,Data!$I:$I,Info!$D118,Data!$H:$H,"TOT")</f>
        <v>0</v>
      </c>
      <c r="O118" s="61">
        <f>IF(C118="Defensive",SUMIFS(Data!$J:$J,Data!$A:$A,Info!$B118,Data!$I:$I,Info!$D118,Data!$H:$H,"INT"),0)</f>
        <v>0</v>
      </c>
      <c r="P118" s="61">
        <f>IF(Table1[[#This Row],[Role]]="Defensive",SUMIFS(Data!$J:$J,Data!$A:$A,Info!$B118,Data!$I:$I,Info!$D118,Data!$H:$H,$P$1),0)</f>
        <v>0</v>
      </c>
      <c r="Q118" s="65" t="str">
        <f>IF(Table1[[#This Row],[Pick]]="","",IF(S118&gt;1,400,IF(G118="","",IF(C118="Passing",(400-Table1[[#This Row],[Passing Yards]]-(30*Table1[[#This Row],[Passing TDs]])-(50*SUM(Table1[[#This Row],[Rushing TDs]:[Other TD''s]]))),IF(C118="Rushing",2*(200-Table1[[#This Row],[Rushing Yards]]-(30*Table1[[#This Row],[Passing TDs]])-50*(Table1[[#This Row],[Rushing TDs]]+Table1[[#This Row],[Receiving TDs]]+Table1[[#This Row],[Other TD''s]])),IF(C118="Receiving",2*(200-Table1[[#This Row],[Receiving Yards]]-(30*Table1[[#This Row],[Passing TDs]])-50*(Table1[[#This Row],[Rushing TDs]]+Table1[[#This Row],[Receiving TDs]]+Table1[[#This Row],[Other TD''s]])),IF(C118="Defensive",(25*(16-Table1[[#This Row],[Tackles]]-(8*(Table1[[#This Row],[Other TD''s]]+Table1[[#This Row],[Interceptions]]+Table1[[#This Row],[Fumbles Recovered]])))))))))))</f>
        <v/>
      </c>
      <c r="R118" s="3" t="str">
        <f t="shared" si="4"/>
        <v/>
      </c>
      <c r="S118" s="4">
        <f t="shared" si="3"/>
        <v>1048507</v>
      </c>
      <c r="T1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9" spans="1:20" hidden="1" x14ac:dyDescent="0.25">
      <c r="A119" t="s">
        <v>7</v>
      </c>
      <c r="B119" s="28" t="s">
        <v>44</v>
      </c>
      <c r="C119" t="s">
        <v>16</v>
      </c>
      <c r="D119" t="str">
        <f>_xlfn.XLOOKUP(Table1[[#This Row],[Player]]&amp;Table1[[#This Row],[Week]]&amp;Table1[[#This Row],[Role]],'Google Form Transform'!$A:$A,'Google Form Transform'!E:E,"")</f>
        <v/>
      </c>
      <c r="E119" t="str">
        <f>_xlfn.XLOOKUP(Table1[[#This Row],[Player]]&amp;Table1[[#This Row],[Week]]&amp;Table1[[#This Row],[Role]],'Google Form Transform'!$A:$A,'Google Form Transform'!F:F,"")</f>
        <v/>
      </c>
      <c r="F119" t="str">
        <f>_xlfn.XLOOKUP(Table1[[#This Row],[Player]]&amp;Table1[[#This Row],[Week]]&amp;Table1[[#This Row],[Role]],'Google Form Transform'!$A:$A,'Google Form Transform'!G:G,"")</f>
        <v/>
      </c>
      <c r="G119" s="59">
        <f>SUMIFS(Table2[Stat],Table2[Stat Category],"passing",Table2[Stat Type],"YDS",Table2[Athlete],Table1[[#This Row],[Pick]],Table2[Week],Table1[[#This Row],[Week]])</f>
        <v>0</v>
      </c>
      <c r="H119" s="59">
        <f>SUMIFS(Table2[Stat],Table2[Stat Category],"rushing",Table2[Stat Type],"YDS",Table2[Athlete],Table1[[#This Row],[Pick]],Table2[Week],Table1[[#This Row],[Week]])</f>
        <v>0</v>
      </c>
      <c r="I119" s="59">
        <f>SUMIFS(Table2[Stat],Table2[Stat Category],"receiving",Table2[Stat Type],"YDS",Table2[Athlete],Table1[[#This Row],[Pick]],Table2[Week],Table1[[#This Row],[Week]])</f>
        <v>0</v>
      </c>
      <c r="J119" s="6">
        <f>IF(AND($C119="Rushing", $H119&lt;=0), 0, IF(AND($C119="Passing", $G$3&lt;=0), 0,IF(AND($C119="Receiving",$I119&lt;=0), 0,SUMIFS(Table2[Stat],Table2[Week],Table1[[#This Row],[Week]],Table2[Athlete],Table1[[#This Row],[Pick]],Table2[Stat Category],"passing",Table2[Stat Type],"TD"))))</f>
        <v>0</v>
      </c>
      <c r="K119" s="6">
        <f>IF(AND($C119="Rushing", $H119&lt;=0), 0, IF(AND($C119="Passing", $G$3&lt;=0), 0,IF(AND($C119="Receiving",$I119&lt;=0),0,SUMIFS(Table2[Stat],Table2[Week],Table1[[#This Row],[Week]],Table2[Athlete],Table1[[#This Row],[Pick]],Table2[Stat Category],"rushing",Table2[Stat Type],"TD"))))</f>
        <v>0</v>
      </c>
      <c r="L119" s="6">
        <f>IF(AND($C119="Rushing", $H119&lt;=0), 0, IF(AND($C119="Passing", $G$3&lt;=0), 0,IF(AND($C119="Receiving",$I119&lt;=0),0,SUMIFS(Table2[Stat],Table2[Week],Table1[[#This Row],[Week]],Table2[Athlete],Table1[[#This Row],[Pick]],Table2[Stat Category],"receiving",Table2[Stat Type],"TD"))))</f>
        <v>0</v>
      </c>
      <c r="M1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9" s="61">
        <f>SUMIFS(Data!$J:$J,Data!$A:$A,Info!$B119,Data!$G:$G,Info!$C119,Data!$I:$I,Info!$D119,Data!$H:$H,"TOT")</f>
        <v>0</v>
      </c>
      <c r="O119" s="61">
        <f>IF(C119="Defensive",SUMIFS(Data!$J:$J,Data!$A:$A,Info!$B119,Data!$I:$I,Info!$D119,Data!$H:$H,"INT"),0)</f>
        <v>0</v>
      </c>
      <c r="P119" s="61">
        <f>IF(Table1[[#This Row],[Role]]="Defensive",SUMIFS(Data!$J:$J,Data!$A:$A,Info!$B119,Data!$I:$I,Info!$D119,Data!$H:$H,$P$1),0)</f>
        <v>0</v>
      </c>
      <c r="Q119" s="65" t="str">
        <f>IF(Table1[[#This Row],[Pick]]="","",IF(S119&gt;1,400,IF(G119="","",IF(C119="Passing",(400-Table1[[#This Row],[Passing Yards]]-(30*Table1[[#This Row],[Passing TDs]])-(50*SUM(Table1[[#This Row],[Rushing TDs]:[Other TD''s]]))),IF(C119="Rushing",2*(200-Table1[[#This Row],[Rushing Yards]]-(30*Table1[[#This Row],[Passing TDs]])-50*(Table1[[#This Row],[Rushing TDs]]+Table1[[#This Row],[Receiving TDs]]+Table1[[#This Row],[Other TD''s]])),IF(C119="Receiving",2*(200-Table1[[#This Row],[Receiving Yards]]-(30*Table1[[#This Row],[Passing TDs]])-50*(Table1[[#This Row],[Rushing TDs]]+Table1[[#This Row],[Receiving TDs]]+Table1[[#This Row],[Other TD''s]])),IF(C119="Defensive",(25*(16-Table1[[#This Row],[Tackles]]-(8*(Table1[[#This Row],[Other TD''s]]+Table1[[#This Row],[Interceptions]]+Table1[[#This Row],[Fumbles Recovered]])))))))))))</f>
        <v/>
      </c>
      <c r="R119" s="3" t="str">
        <f t="shared" si="4"/>
        <v/>
      </c>
      <c r="S119" s="4">
        <f t="shared" si="3"/>
        <v>1048507</v>
      </c>
      <c r="T1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20" spans="1:20" hidden="1" x14ac:dyDescent="0.25">
      <c r="A120" t="s">
        <v>7</v>
      </c>
      <c r="B120" s="28" t="s">
        <v>44</v>
      </c>
      <c r="C120" t="s">
        <v>6</v>
      </c>
      <c r="D120" t="str">
        <f>_xlfn.XLOOKUP(Table1[[#This Row],[Player]]&amp;Table1[[#This Row],[Week]]&amp;Table1[[#This Row],[Role]],'Google Form Transform'!$A:$A,'Google Form Transform'!E:E,"")</f>
        <v/>
      </c>
      <c r="E120" t="str">
        <f>_xlfn.XLOOKUP(Table1[[#This Row],[Player]]&amp;Table1[[#This Row],[Week]]&amp;Table1[[#This Row],[Role]],'Google Form Transform'!$A:$A,'Google Form Transform'!F:F,"")</f>
        <v/>
      </c>
      <c r="F120" t="str">
        <f>_xlfn.XLOOKUP(Table1[[#This Row],[Player]]&amp;Table1[[#This Row],[Week]]&amp;Table1[[#This Row],[Role]],'Google Form Transform'!$A:$A,'Google Form Transform'!G:G,"")</f>
        <v/>
      </c>
      <c r="G120" s="59">
        <f>SUMIFS(Table2[Stat],Table2[Stat Category],"passing",Table2[Stat Type],"YDS",Table2[Athlete],Table1[[#This Row],[Pick]],Table2[Week],Table1[[#This Row],[Week]])</f>
        <v>0</v>
      </c>
      <c r="H120" s="59">
        <f>SUMIFS(Table2[Stat],Table2[Stat Category],"rushing",Table2[Stat Type],"YDS",Table2[Athlete],Table1[[#This Row],[Pick]],Table2[Week],Table1[[#This Row],[Week]])</f>
        <v>0</v>
      </c>
      <c r="I120" s="59">
        <f>SUMIFS(Table2[Stat],Table2[Stat Category],"receiving",Table2[Stat Type],"YDS",Table2[Athlete],Table1[[#This Row],[Pick]],Table2[Week],Table1[[#This Row],[Week]])</f>
        <v>0</v>
      </c>
      <c r="J120" s="6">
        <f>IF(AND($C120="Rushing", $H120&lt;=0), 0, IF(AND($C120="Passing", $G$3&lt;=0), 0,IF(AND($C120="Receiving",$I120&lt;=0), 0,SUMIFS(Table2[Stat],Table2[Week],Table1[[#This Row],[Week]],Table2[Athlete],Table1[[#This Row],[Pick]],Table2[Stat Category],"passing",Table2[Stat Type],"TD"))))</f>
        <v>0</v>
      </c>
      <c r="K120" s="6">
        <f>IF(AND($C120="Rushing", $H120&lt;=0), 0, IF(AND($C120="Passing", $G$3&lt;=0), 0,IF(AND($C120="Receiving",$I120&lt;=0),0,SUMIFS(Table2[Stat],Table2[Week],Table1[[#This Row],[Week]],Table2[Athlete],Table1[[#This Row],[Pick]],Table2[Stat Category],"rushing",Table2[Stat Type],"TD"))))</f>
        <v>0</v>
      </c>
      <c r="L120" s="6">
        <f>IF(AND($C120="Rushing", $H120&lt;=0), 0, IF(AND($C120="Passing", $G$3&lt;=0), 0,IF(AND($C120="Receiving",$I120&lt;=0),0,SUMIFS(Table2[Stat],Table2[Week],Table1[[#This Row],[Week]],Table2[Athlete],Table1[[#This Row],[Pick]],Table2[Stat Category],"receiving",Table2[Stat Type],"TD"))))</f>
        <v>0</v>
      </c>
      <c r="M1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0" s="61">
        <f>SUMIFS(Data!$J:$J,Data!$A:$A,Info!$B120,Data!$G:$G,Info!$C120,Data!$I:$I,Info!$D120,Data!$H:$H,"TOT")</f>
        <v>0</v>
      </c>
      <c r="O120" s="61">
        <f>IF(C120="Defensive",SUMIFS(Data!$J:$J,Data!$A:$A,Info!$B120,Data!$I:$I,Info!$D120,Data!$H:$H,"INT"),0)</f>
        <v>0</v>
      </c>
      <c r="P120" s="61">
        <f>IF(Table1[[#This Row],[Role]]="Defensive",SUMIFS(Data!$J:$J,Data!$A:$A,Info!$B120,Data!$I:$I,Info!$D120,Data!$H:$H,$P$1),0)</f>
        <v>0</v>
      </c>
      <c r="Q120" s="65" t="str">
        <f>IF(Table1[[#This Row],[Pick]]="","",IF(S120&gt;1,400,IF(G120="","",IF(C120="Passing",(400-Table1[[#This Row],[Passing Yards]]-(30*Table1[[#This Row],[Passing TDs]])-(50*SUM(Table1[[#This Row],[Rushing TDs]:[Other TD''s]]))),IF(C120="Rushing",2*(200-Table1[[#This Row],[Rushing Yards]]-(30*Table1[[#This Row],[Passing TDs]])-50*(Table1[[#This Row],[Rushing TDs]]+Table1[[#This Row],[Receiving TDs]]+Table1[[#This Row],[Other TD''s]])),IF(C120="Receiving",2*(200-Table1[[#This Row],[Receiving Yards]]-(30*Table1[[#This Row],[Passing TDs]])-50*(Table1[[#This Row],[Rushing TDs]]+Table1[[#This Row],[Receiving TDs]]+Table1[[#This Row],[Other TD''s]])),IF(C120="Defensive",(25*(16-Table1[[#This Row],[Tackles]]-(8*(Table1[[#This Row],[Other TD''s]]+Table1[[#This Row],[Interceptions]]+Table1[[#This Row],[Fumbles Recovered]])))))))))))</f>
        <v/>
      </c>
      <c r="R120" s="3" t="str">
        <f t="shared" si="4"/>
        <v/>
      </c>
      <c r="S120" s="4">
        <f t="shared" si="3"/>
        <v>1048507</v>
      </c>
      <c r="T1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21" spans="1:20" hidden="1" x14ac:dyDescent="0.25">
      <c r="A121" t="s">
        <v>7</v>
      </c>
      <c r="B121" s="28" t="s">
        <v>44</v>
      </c>
      <c r="C121" t="s">
        <v>17</v>
      </c>
      <c r="D121" t="str">
        <f>_xlfn.XLOOKUP(Table1[[#This Row],[Player]]&amp;Table1[[#This Row],[Week]]&amp;Table1[[#This Row],[Role]],'Google Form Transform'!$A:$A,'Google Form Transform'!E:E,"")</f>
        <v/>
      </c>
      <c r="E121" t="str">
        <f>_xlfn.XLOOKUP(Table1[[#This Row],[Player]]&amp;Table1[[#This Row],[Week]]&amp;Table1[[#This Row],[Role]],'Google Form Transform'!$A:$A,'Google Form Transform'!F:F,"")</f>
        <v/>
      </c>
      <c r="F121" t="str">
        <f>_xlfn.XLOOKUP(Table1[[#This Row],[Player]]&amp;Table1[[#This Row],[Week]]&amp;Table1[[#This Row],[Role]],'Google Form Transform'!$A:$A,'Google Form Transform'!G:G,"")</f>
        <v/>
      </c>
      <c r="G121" s="59">
        <f>SUMIFS(Table2[Stat],Table2[Stat Category],"passing",Table2[Stat Type],"YDS",Table2[Athlete],Table1[[#This Row],[Pick]],Table2[Week],Table1[[#This Row],[Week]])</f>
        <v>0</v>
      </c>
      <c r="H121" s="59">
        <f>SUMIFS(Table2[Stat],Table2[Stat Category],"rushing",Table2[Stat Type],"YDS",Table2[Athlete],Table1[[#This Row],[Pick]],Table2[Week],Table1[[#This Row],[Week]])</f>
        <v>0</v>
      </c>
      <c r="I121" s="59">
        <f>SUMIFS(Table2[Stat],Table2[Stat Category],"receiving",Table2[Stat Type],"YDS",Table2[Athlete],Table1[[#This Row],[Pick]],Table2[Week],Table1[[#This Row],[Week]])</f>
        <v>0</v>
      </c>
      <c r="J121" s="6">
        <f>IF(AND($C121="Rushing", $H121&lt;=0), 0, IF(AND($C121="Passing", $G$3&lt;=0), 0,IF(AND($C121="Receiving",$I121&lt;=0), 0,SUMIFS(Table2[Stat],Table2[Week],Table1[[#This Row],[Week]],Table2[Athlete],Table1[[#This Row],[Pick]],Table2[Stat Category],"passing",Table2[Stat Type],"TD"))))</f>
        <v>0</v>
      </c>
      <c r="K121" s="6">
        <f>IF(AND($C121="Rushing", $H121&lt;=0), 0, IF(AND($C121="Passing", $G$3&lt;=0), 0,IF(AND($C121="Receiving",$I121&lt;=0),0,SUMIFS(Table2[Stat],Table2[Week],Table1[[#This Row],[Week]],Table2[Athlete],Table1[[#This Row],[Pick]],Table2[Stat Category],"rushing",Table2[Stat Type],"TD"))))</f>
        <v>0</v>
      </c>
      <c r="L121" s="6">
        <f>IF(AND($C121="Rushing", $H121&lt;=0), 0, IF(AND($C121="Passing", $G$3&lt;=0), 0,IF(AND($C121="Receiving",$I121&lt;=0),0,SUMIFS(Table2[Stat],Table2[Week],Table1[[#This Row],[Week]],Table2[Athlete],Table1[[#This Row],[Pick]],Table2[Stat Category],"receiving",Table2[Stat Type],"TD"))))</f>
        <v>0</v>
      </c>
      <c r="M1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1" s="61">
        <f>SUMIFS(Data!$J:$J,Data!$A:$A,Info!$B121,Data!$G:$G,Info!$C121,Data!$I:$I,Info!$D121,Data!$H:$H,"TOT")</f>
        <v>0</v>
      </c>
      <c r="O121" s="61">
        <f>IF(C121="Defensive",SUMIFS(Data!$J:$J,Data!$A:$A,Info!$B121,Data!$I:$I,Info!$D121,Data!$H:$H,"INT"),0)</f>
        <v>0</v>
      </c>
      <c r="P121" s="61">
        <f>IF(Table1[[#This Row],[Role]]="Defensive",SUMIFS(Data!$J:$J,Data!$A:$A,Info!$B121,Data!$I:$I,Info!$D121,Data!$H:$H,$P$1),0)</f>
        <v>0</v>
      </c>
      <c r="Q121" s="65" t="str">
        <f>IF(Table1[[#This Row],[Pick]]="","",IF(S121&gt;1,400,IF(G121="","",IF(C121="Passing",(400-Table1[[#This Row],[Passing Yards]]-(30*Table1[[#This Row],[Passing TDs]])-(50*SUM(Table1[[#This Row],[Rushing TDs]:[Other TD''s]]))),IF(C121="Rushing",2*(200-Table1[[#This Row],[Rushing Yards]]-(30*Table1[[#This Row],[Passing TDs]])-50*(Table1[[#This Row],[Rushing TDs]]+Table1[[#This Row],[Receiving TDs]]+Table1[[#This Row],[Other TD''s]])),IF(C121="Receiving",2*(200-Table1[[#This Row],[Receiving Yards]]-(30*Table1[[#This Row],[Passing TDs]])-50*(Table1[[#This Row],[Rushing TDs]]+Table1[[#This Row],[Receiving TDs]]+Table1[[#This Row],[Other TD''s]])),IF(C121="Defensive",(25*(16-Table1[[#This Row],[Tackles]]-(8*(Table1[[#This Row],[Other TD''s]]+Table1[[#This Row],[Interceptions]]+Table1[[#This Row],[Fumbles Recovered]])))))))))))</f>
        <v/>
      </c>
      <c r="R121" s="3" t="str">
        <f t="shared" si="4"/>
        <v/>
      </c>
      <c r="S121" s="4">
        <f t="shared" si="3"/>
        <v>1048507</v>
      </c>
      <c r="T1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22" spans="1:20" hidden="1" x14ac:dyDescent="0.25">
      <c r="A122" t="s">
        <v>7</v>
      </c>
      <c r="B122" s="28" t="s">
        <v>44</v>
      </c>
      <c r="C122" t="s">
        <v>20</v>
      </c>
      <c r="D122" t="str">
        <f>_xlfn.XLOOKUP(Table1[[#This Row],[Player]]&amp;Table1[[#This Row],[Week]]&amp;Table1[[#This Row],[Role]],'Google Form Transform'!$A:$A,'Google Form Transform'!E:E,"")</f>
        <v/>
      </c>
      <c r="E122" t="str">
        <f>_xlfn.XLOOKUP(Table1[[#This Row],[Player]]&amp;Table1[[#This Row],[Week]]&amp;Table1[[#This Row],[Role]],'Google Form Transform'!$A:$A,'Google Form Transform'!F:F,"")</f>
        <v/>
      </c>
      <c r="F122" t="str">
        <f>_xlfn.XLOOKUP(Table1[[#This Row],[Player]]&amp;Table1[[#This Row],[Week]]&amp;Table1[[#This Row],[Role]],'Google Form Transform'!$A:$A,'Google Form Transform'!G:G,"")</f>
        <v/>
      </c>
      <c r="G122" s="59">
        <f>SUMIFS(Table2[Stat],Table2[Stat Category],"passing",Table2[Stat Type],"YDS",Table2[Athlete],Table1[[#This Row],[Pick]],Table2[Week],Table1[[#This Row],[Week]])</f>
        <v>0</v>
      </c>
      <c r="H122" s="59">
        <f>SUMIFS(Table2[Stat],Table2[Stat Category],"rushing",Table2[Stat Type],"YDS",Table2[Athlete],Table1[[#This Row],[Pick]],Table2[Week],Table1[[#This Row],[Week]])</f>
        <v>0</v>
      </c>
      <c r="I122" s="59">
        <f>SUMIFS(Table2[Stat],Table2[Stat Category],"receiving",Table2[Stat Type],"YDS",Table2[Athlete],Table1[[#This Row],[Pick]],Table2[Week],Table1[[#This Row],[Week]])</f>
        <v>0</v>
      </c>
      <c r="J122" s="6">
        <f>IF(AND($C122="Rushing", $H122&lt;=0), 0, IF(AND($C122="Passing", $G$3&lt;=0), 0,IF(AND($C122="Receiving",$I122&lt;=0), 0,SUMIFS(Table2[Stat],Table2[Week],Table1[[#This Row],[Week]],Table2[Athlete],Table1[[#This Row],[Pick]],Table2[Stat Category],"passing",Table2[Stat Type],"TD"))))</f>
        <v>0</v>
      </c>
      <c r="K122" s="6">
        <f>IF(AND($C122="Rushing", $H122&lt;=0), 0, IF(AND($C122="Passing", $G$3&lt;=0), 0,IF(AND($C122="Receiving",$I122&lt;=0),0,SUMIFS(Table2[Stat],Table2[Week],Table1[[#This Row],[Week]],Table2[Athlete],Table1[[#This Row],[Pick]],Table2[Stat Category],"rushing",Table2[Stat Type],"TD"))))</f>
        <v>0</v>
      </c>
      <c r="L122" s="6">
        <f>IF(AND($C122="Rushing", $H122&lt;=0), 0, IF(AND($C122="Passing", $G$3&lt;=0), 0,IF(AND($C122="Receiving",$I122&lt;=0),0,SUMIFS(Table2[Stat],Table2[Week],Table1[[#This Row],[Week]],Table2[Athlete],Table1[[#This Row],[Pick]],Table2[Stat Category],"receiving",Table2[Stat Type],"TD"))))</f>
        <v>0</v>
      </c>
      <c r="M1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2" s="61">
        <f>SUMIFS(Data!$J:$J,Data!$A:$A,Info!$B122,Data!$G:$G,Info!$C122,Data!$I:$I,Info!$D122,Data!$H:$H,"TOT")</f>
        <v>0</v>
      </c>
      <c r="O122" s="61">
        <f>IF(C122="Defensive",SUMIFS(Data!$J:$J,Data!$A:$A,Info!$B122,Data!$I:$I,Info!$D122,Data!$H:$H,"INT"),0)</f>
        <v>0</v>
      </c>
      <c r="P122" s="61">
        <f>IF(Table1[[#This Row],[Role]]="Defensive",SUMIFS(Data!$J:$J,Data!$A:$A,Info!$B122,Data!$I:$I,Info!$D122,Data!$H:$H,$P$1),0)</f>
        <v>0</v>
      </c>
      <c r="Q122" s="65" t="str">
        <f>IF(Table1[[#This Row],[Pick]]="","",IF(S122&gt;1,400,IF(G122="","",IF(C122="Passing",(400-Table1[[#This Row],[Passing Yards]]-(30*Table1[[#This Row],[Passing TDs]])-(50*SUM(Table1[[#This Row],[Rushing TDs]:[Other TD''s]]))),IF(C122="Rushing",2*(200-Table1[[#This Row],[Rushing Yards]]-(30*Table1[[#This Row],[Passing TDs]])-50*(Table1[[#This Row],[Rushing TDs]]+Table1[[#This Row],[Receiving TDs]]+Table1[[#This Row],[Other TD''s]])),IF(C122="Receiving",2*(200-Table1[[#This Row],[Receiving Yards]]-(30*Table1[[#This Row],[Passing TDs]])-50*(Table1[[#This Row],[Rushing TDs]]+Table1[[#This Row],[Receiving TDs]]+Table1[[#This Row],[Other TD''s]])),IF(C122="Defensive",(25*(16-Table1[[#This Row],[Tackles]]-(8*(Table1[[#This Row],[Other TD''s]]+Table1[[#This Row],[Interceptions]]+Table1[[#This Row],[Fumbles Recovered]])))))))))))</f>
        <v/>
      </c>
      <c r="R122" s="3" t="str">
        <f t="shared" si="4"/>
        <v/>
      </c>
      <c r="S122" s="4">
        <f t="shared" si="3"/>
        <v>1048507</v>
      </c>
      <c r="T1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23" spans="1:20" hidden="1" x14ac:dyDescent="0.25">
      <c r="A123" t="s">
        <v>2</v>
      </c>
      <c r="B123" s="28" t="s">
        <v>45</v>
      </c>
      <c r="C123" t="s">
        <v>16</v>
      </c>
      <c r="D123" t="str">
        <f>_xlfn.XLOOKUP(Table1[[#This Row],[Player]]&amp;Table1[[#This Row],[Week]]&amp;Table1[[#This Row],[Role]],'Google Form Transform'!$A:$A,'Google Form Transform'!E:E,"")</f>
        <v/>
      </c>
      <c r="E123" t="str">
        <f>_xlfn.XLOOKUP(Table1[[#This Row],[Player]]&amp;Table1[[#This Row],[Week]]&amp;Table1[[#This Row],[Role]],'Google Form Transform'!$A:$A,'Google Form Transform'!F:F,"")</f>
        <v/>
      </c>
      <c r="F123" t="str">
        <f>_xlfn.XLOOKUP(Table1[[#This Row],[Player]]&amp;Table1[[#This Row],[Week]]&amp;Table1[[#This Row],[Role]],'Google Form Transform'!$A:$A,'Google Form Transform'!G:G,"")</f>
        <v/>
      </c>
      <c r="G123" s="59">
        <f>SUMIFS(Table2[Stat],Table2[Stat Category],"passing",Table2[Stat Type],"YDS",Table2[Athlete],Table1[[#This Row],[Pick]],Table2[Week],Table1[[#This Row],[Week]])</f>
        <v>0</v>
      </c>
      <c r="H123" s="59">
        <f>SUMIFS(Table2[Stat],Table2[Stat Category],"rushing",Table2[Stat Type],"YDS",Table2[Athlete],Table1[[#This Row],[Pick]],Table2[Week],Table1[[#This Row],[Week]])</f>
        <v>0</v>
      </c>
      <c r="I123" s="59">
        <f>SUMIFS(Table2[Stat],Table2[Stat Category],"receiving",Table2[Stat Type],"YDS",Table2[Athlete],Table1[[#This Row],[Pick]],Table2[Week],Table1[[#This Row],[Week]])</f>
        <v>0</v>
      </c>
      <c r="J123" s="6">
        <f>IF(AND($C123="Rushing", $H123&lt;=0), 0, IF(AND($C123="Passing", $G$3&lt;=0), 0,IF(AND($C123="Receiving",$I123&lt;=0), 0,SUMIFS(Table2[Stat],Table2[Week],Table1[[#This Row],[Week]],Table2[Athlete],Table1[[#This Row],[Pick]],Table2[Stat Category],"passing",Table2[Stat Type],"TD"))))</f>
        <v>0</v>
      </c>
      <c r="K123" s="6">
        <f>IF(AND($C123="Rushing", $H123&lt;=0), 0, IF(AND($C123="Passing", $G$3&lt;=0), 0,IF(AND($C123="Receiving",$I123&lt;=0),0,SUMIFS(Table2[Stat],Table2[Week],Table1[[#This Row],[Week]],Table2[Athlete],Table1[[#This Row],[Pick]],Table2[Stat Category],"rushing",Table2[Stat Type],"TD"))))</f>
        <v>0</v>
      </c>
      <c r="L123" s="6">
        <f>IF(AND($C123="Rushing", $H123&lt;=0), 0, IF(AND($C123="Passing", $G$3&lt;=0), 0,IF(AND($C123="Receiving",$I123&lt;=0),0,SUMIFS(Table2[Stat],Table2[Week],Table1[[#This Row],[Week]],Table2[Athlete],Table1[[#This Row],[Pick]],Table2[Stat Category],"receiving",Table2[Stat Type],"TD"))))</f>
        <v>0</v>
      </c>
      <c r="M1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3" s="61">
        <f>SUMIFS(Data!$J:$J,Data!$A:$A,Info!$B123,Data!$G:$G,Info!$C123,Data!$I:$I,Info!$D123,Data!$H:$H,"TOT")</f>
        <v>0</v>
      </c>
      <c r="O123" s="61">
        <f>IF(C123="Defensive",SUMIFS(Data!$J:$J,Data!$A:$A,Info!$B123,Data!$I:$I,Info!$D123,Data!$H:$H,"INT"),0)</f>
        <v>0</v>
      </c>
      <c r="P123" s="61">
        <f>IF(Table1[[#This Row],[Role]]="Defensive",SUMIFS(Data!$J:$J,Data!$A:$A,Info!$B123,Data!$I:$I,Info!$D123,Data!$H:$H,$P$1),0)</f>
        <v>0</v>
      </c>
      <c r="Q123" s="65" t="str">
        <f>IF(Table1[[#This Row],[Pick]]="","",IF(S123&gt;1,400,IF(G123="","",IF(C123="Passing",(400-Table1[[#This Row],[Passing Yards]]-(30*Table1[[#This Row],[Passing TDs]])-(50*SUM(Table1[[#This Row],[Rushing TDs]:[Other TD''s]]))),IF(C123="Rushing",2*(200-Table1[[#This Row],[Rushing Yards]]-(30*Table1[[#This Row],[Passing TDs]])-50*(Table1[[#This Row],[Rushing TDs]]+Table1[[#This Row],[Receiving TDs]]+Table1[[#This Row],[Other TD''s]])),IF(C123="Receiving",2*(200-Table1[[#This Row],[Receiving Yards]]-(30*Table1[[#This Row],[Passing TDs]])-50*(Table1[[#This Row],[Rushing TDs]]+Table1[[#This Row],[Receiving TDs]]+Table1[[#This Row],[Other TD''s]])),IF(C123="Defensive",(25*(16-Table1[[#This Row],[Tackles]]-(8*(Table1[[#This Row],[Other TD''s]]+Table1[[#This Row],[Interceptions]]+Table1[[#This Row],[Fumbles Recovered]])))))))))))</f>
        <v/>
      </c>
      <c r="R123" s="3" t="str">
        <f t="shared" si="4"/>
        <v/>
      </c>
      <c r="S123" s="4">
        <f t="shared" si="3"/>
        <v>1048507</v>
      </c>
      <c r="T1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24" spans="1:20" hidden="1" x14ac:dyDescent="0.25">
      <c r="A124" t="s">
        <v>2</v>
      </c>
      <c r="B124" s="28" t="s">
        <v>45</v>
      </c>
      <c r="C124" t="s">
        <v>6</v>
      </c>
      <c r="D124" t="str">
        <f>_xlfn.XLOOKUP(Table1[[#This Row],[Player]]&amp;Table1[[#This Row],[Week]]&amp;Table1[[#This Row],[Role]],'Google Form Transform'!$A:$A,'Google Form Transform'!E:E,"")</f>
        <v/>
      </c>
      <c r="E124" t="str">
        <f>_xlfn.XLOOKUP(Table1[[#This Row],[Player]]&amp;Table1[[#This Row],[Week]]&amp;Table1[[#This Row],[Role]],'Google Form Transform'!$A:$A,'Google Form Transform'!F:F,"")</f>
        <v/>
      </c>
      <c r="F124" t="str">
        <f>_xlfn.XLOOKUP(Table1[[#This Row],[Player]]&amp;Table1[[#This Row],[Week]]&amp;Table1[[#This Row],[Role]],'Google Form Transform'!$A:$A,'Google Form Transform'!G:G,"")</f>
        <v/>
      </c>
      <c r="G124" s="59">
        <f>SUMIFS(Table2[Stat],Table2[Stat Category],"passing",Table2[Stat Type],"YDS",Table2[Athlete],Table1[[#This Row],[Pick]],Table2[Week],Table1[[#This Row],[Week]])</f>
        <v>0</v>
      </c>
      <c r="H124" s="59">
        <f>SUMIFS(Table2[Stat],Table2[Stat Category],"rushing",Table2[Stat Type],"YDS",Table2[Athlete],Table1[[#This Row],[Pick]],Table2[Week],Table1[[#This Row],[Week]])</f>
        <v>0</v>
      </c>
      <c r="I124" s="59">
        <f>SUMIFS(Table2[Stat],Table2[Stat Category],"receiving",Table2[Stat Type],"YDS",Table2[Athlete],Table1[[#This Row],[Pick]],Table2[Week],Table1[[#This Row],[Week]])</f>
        <v>0</v>
      </c>
      <c r="J124" s="6">
        <f>IF(AND($C124="Rushing", $H124&lt;=0), 0, IF(AND($C124="Passing", $G$3&lt;=0), 0,IF(AND($C124="Receiving",$I124&lt;=0), 0,SUMIFS(Table2[Stat],Table2[Week],Table1[[#This Row],[Week]],Table2[Athlete],Table1[[#This Row],[Pick]],Table2[Stat Category],"passing",Table2[Stat Type],"TD"))))</f>
        <v>0</v>
      </c>
      <c r="K124" s="6">
        <f>IF(AND($C124="Rushing", $H124&lt;=0), 0, IF(AND($C124="Passing", $G$3&lt;=0), 0,IF(AND($C124="Receiving",$I124&lt;=0),0,SUMIFS(Table2[Stat],Table2[Week],Table1[[#This Row],[Week]],Table2[Athlete],Table1[[#This Row],[Pick]],Table2[Stat Category],"rushing",Table2[Stat Type],"TD"))))</f>
        <v>0</v>
      </c>
      <c r="L124" s="6">
        <f>IF(AND($C124="Rushing", $H124&lt;=0), 0, IF(AND($C124="Passing", $G$3&lt;=0), 0,IF(AND($C124="Receiving",$I124&lt;=0),0,SUMIFS(Table2[Stat],Table2[Week],Table1[[#This Row],[Week]],Table2[Athlete],Table1[[#This Row],[Pick]],Table2[Stat Category],"receiving",Table2[Stat Type],"TD"))))</f>
        <v>0</v>
      </c>
      <c r="M1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4" s="61">
        <f>SUMIFS(Data!$J:$J,Data!$A:$A,Info!$B124,Data!$G:$G,Info!$C124,Data!$I:$I,Info!$D124,Data!$H:$H,"TOT")</f>
        <v>0</v>
      </c>
      <c r="O124" s="61">
        <f>IF(C124="Defensive",SUMIFS(Data!$J:$J,Data!$A:$A,Info!$B124,Data!$I:$I,Info!$D124,Data!$H:$H,"INT"),0)</f>
        <v>0</v>
      </c>
      <c r="P124" s="61">
        <f>IF(Table1[[#This Row],[Role]]="Defensive",SUMIFS(Data!$J:$J,Data!$A:$A,Info!$B124,Data!$I:$I,Info!$D124,Data!$H:$H,$P$1),0)</f>
        <v>0</v>
      </c>
      <c r="Q124" s="65" t="str">
        <f>IF(Table1[[#This Row],[Pick]]="","",IF(S124&gt;1,400,IF(G124="","",IF(C124="Passing",(400-Table1[[#This Row],[Passing Yards]]-(30*Table1[[#This Row],[Passing TDs]])-(50*SUM(Table1[[#This Row],[Rushing TDs]:[Other TD''s]]))),IF(C124="Rushing",2*(200-Table1[[#This Row],[Rushing Yards]]-(30*Table1[[#This Row],[Passing TDs]])-50*(Table1[[#This Row],[Rushing TDs]]+Table1[[#This Row],[Receiving TDs]]+Table1[[#This Row],[Other TD''s]])),IF(C124="Receiving",2*(200-Table1[[#This Row],[Receiving Yards]]-(30*Table1[[#This Row],[Passing TDs]])-50*(Table1[[#This Row],[Rushing TDs]]+Table1[[#This Row],[Receiving TDs]]+Table1[[#This Row],[Other TD''s]])),IF(C124="Defensive",(25*(16-Table1[[#This Row],[Tackles]]-(8*(Table1[[#This Row],[Other TD''s]]+Table1[[#This Row],[Interceptions]]+Table1[[#This Row],[Fumbles Recovered]])))))))))))</f>
        <v/>
      </c>
      <c r="R124" s="3" t="str">
        <f t="shared" si="4"/>
        <v/>
      </c>
      <c r="S124" s="4">
        <f t="shared" si="3"/>
        <v>1048507</v>
      </c>
      <c r="T1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25" spans="1:20" hidden="1" x14ac:dyDescent="0.25">
      <c r="A125" t="s">
        <v>2</v>
      </c>
      <c r="B125" s="28" t="s">
        <v>45</v>
      </c>
      <c r="C125" t="s">
        <v>17</v>
      </c>
      <c r="D125" t="str">
        <f>_xlfn.XLOOKUP(Table1[[#This Row],[Player]]&amp;Table1[[#This Row],[Week]]&amp;Table1[[#This Row],[Role]],'Google Form Transform'!$A:$A,'Google Form Transform'!E:E,"")</f>
        <v/>
      </c>
      <c r="E125" t="str">
        <f>_xlfn.XLOOKUP(Table1[[#This Row],[Player]]&amp;Table1[[#This Row],[Week]]&amp;Table1[[#This Row],[Role]],'Google Form Transform'!$A:$A,'Google Form Transform'!F:F,"")</f>
        <v/>
      </c>
      <c r="F125" t="str">
        <f>_xlfn.XLOOKUP(Table1[[#This Row],[Player]]&amp;Table1[[#This Row],[Week]]&amp;Table1[[#This Row],[Role]],'Google Form Transform'!$A:$A,'Google Form Transform'!G:G,"")</f>
        <v/>
      </c>
      <c r="G125" s="59">
        <f>SUMIFS(Table2[Stat],Table2[Stat Category],"passing",Table2[Stat Type],"YDS",Table2[Athlete],Table1[[#This Row],[Pick]],Table2[Week],Table1[[#This Row],[Week]])</f>
        <v>0</v>
      </c>
      <c r="H125" s="59">
        <f>SUMIFS(Table2[Stat],Table2[Stat Category],"rushing",Table2[Stat Type],"YDS",Table2[Athlete],Table1[[#This Row],[Pick]],Table2[Week],Table1[[#This Row],[Week]])</f>
        <v>0</v>
      </c>
      <c r="I125" s="59">
        <f>SUMIFS(Table2[Stat],Table2[Stat Category],"receiving",Table2[Stat Type],"YDS",Table2[Athlete],Table1[[#This Row],[Pick]],Table2[Week],Table1[[#This Row],[Week]])</f>
        <v>0</v>
      </c>
      <c r="J125" s="6">
        <f>IF(AND($C125="Rushing", $H125&lt;=0), 0, IF(AND($C125="Passing", $G$3&lt;=0), 0,IF(AND($C125="Receiving",$I125&lt;=0), 0,SUMIFS(Table2[Stat],Table2[Week],Table1[[#This Row],[Week]],Table2[Athlete],Table1[[#This Row],[Pick]],Table2[Stat Category],"passing",Table2[Stat Type],"TD"))))</f>
        <v>0</v>
      </c>
      <c r="K125" s="6">
        <f>IF(AND($C125="Rushing", $H125&lt;=0), 0, IF(AND($C125="Passing", $G$3&lt;=0), 0,IF(AND($C125="Receiving",$I125&lt;=0),0,SUMIFS(Table2[Stat],Table2[Week],Table1[[#This Row],[Week]],Table2[Athlete],Table1[[#This Row],[Pick]],Table2[Stat Category],"rushing",Table2[Stat Type],"TD"))))</f>
        <v>0</v>
      </c>
      <c r="L125" s="6">
        <f>IF(AND($C125="Rushing", $H125&lt;=0), 0, IF(AND($C125="Passing", $G$3&lt;=0), 0,IF(AND($C125="Receiving",$I125&lt;=0),0,SUMIFS(Table2[Stat],Table2[Week],Table1[[#This Row],[Week]],Table2[Athlete],Table1[[#This Row],[Pick]],Table2[Stat Category],"receiving",Table2[Stat Type],"TD"))))</f>
        <v>0</v>
      </c>
      <c r="M1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5" s="61">
        <f>SUMIFS(Data!$J:$J,Data!$A:$A,Info!$B125,Data!$G:$G,Info!$C125,Data!$I:$I,Info!$D125,Data!$H:$H,"TOT")</f>
        <v>0</v>
      </c>
      <c r="O125" s="61">
        <f>IF(C125="Defensive",SUMIFS(Data!$J:$J,Data!$A:$A,Info!$B125,Data!$I:$I,Info!$D125,Data!$H:$H,"INT"),0)</f>
        <v>0</v>
      </c>
      <c r="P125" s="61">
        <f>IF(Table1[[#This Row],[Role]]="Defensive",SUMIFS(Data!$J:$J,Data!$A:$A,Info!$B125,Data!$I:$I,Info!$D125,Data!$H:$H,$P$1),0)</f>
        <v>0</v>
      </c>
      <c r="Q125" s="65" t="str">
        <f>IF(Table1[[#This Row],[Pick]]="","",IF(S125&gt;1,400,IF(G125="","",IF(C125="Passing",(400-Table1[[#This Row],[Passing Yards]]-(30*Table1[[#This Row],[Passing TDs]])-(50*SUM(Table1[[#This Row],[Rushing TDs]:[Other TD''s]]))),IF(C125="Rushing",2*(200-Table1[[#This Row],[Rushing Yards]]-(30*Table1[[#This Row],[Passing TDs]])-50*(Table1[[#This Row],[Rushing TDs]]+Table1[[#This Row],[Receiving TDs]]+Table1[[#This Row],[Other TD''s]])),IF(C125="Receiving",2*(200-Table1[[#This Row],[Receiving Yards]]-(30*Table1[[#This Row],[Passing TDs]])-50*(Table1[[#This Row],[Rushing TDs]]+Table1[[#This Row],[Receiving TDs]]+Table1[[#This Row],[Other TD''s]])),IF(C125="Defensive",(25*(16-Table1[[#This Row],[Tackles]]-(8*(Table1[[#This Row],[Other TD''s]]+Table1[[#This Row],[Interceptions]]+Table1[[#This Row],[Fumbles Recovered]])))))))))))</f>
        <v/>
      </c>
      <c r="R125" s="3" t="str">
        <f t="shared" si="4"/>
        <v/>
      </c>
      <c r="S125" s="4">
        <f t="shared" si="3"/>
        <v>1048507</v>
      </c>
      <c r="T1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26" spans="1:20" hidden="1" x14ac:dyDescent="0.25">
      <c r="A126" t="s">
        <v>2</v>
      </c>
      <c r="B126" s="28" t="s">
        <v>45</v>
      </c>
      <c r="C126" t="s">
        <v>20</v>
      </c>
      <c r="D126" t="str">
        <f>_xlfn.XLOOKUP(Table1[[#This Row],[Player]]&amp;Table1[[#This Row],[Week]]&amp;Table1[[#This Row],[Role]],'Google Form Transform'!$A:$A,'Google Form Transform'!E:E,"")</f>
        <v/>
      </c>
      <c r="E126" t="str">
        <f>_xlfn.XLOOKUP(Table1[[#This Row],[Player]]&amp;Table1[[#This Row],[Week]]&amp;Table1[[#This Row],[Role]],'Google Form Transform'!$A:$A,'Google Form Transform'!F:F,"")</f>
        <v/>
      </c>
      <c r="F126" t="str">
        <f>_xlfn.XLOOKUP(Table1[[#This Row],[Player]]&amp;Table1[[#This Row],[Week]]&amp;Table1[[#This Row],[Role]],'Google Form Transform'!$A:$A,'Google Form Transform'!G:G,"")</f>
        <v/>
      </c>
      <c r="G126" s="59">
        <f>SUMIFS(Table2[Stat],Table2[Stat Category],"passing",Table2[Stat Type],"YDS",Table2[Athlete],Table1[[#This Row],[Pick]],Table2[Week],Table1[[#This Row],[Week]])</f>
        <v>0</v>
      </c>
      <c r="H126" s="59">
        <f>SUMIFS(Table2[Stat],Table2[Stat Category],"rushing",Table2[Stat Type],"YDS",Table2[Athlete],Table1[[#This Row],[Pick]],Table2[Week],Table1[[#This Row],[Week]])</f>
        <v>0</v>
      </c>
      <c r="I126" s="59">
        <f>SUMIFS(Table2[Stat],Table2[Stat Category],"receiving",Table2[Stat Type],"YDS",Table2[Athlete],Table1[[#This Row],[Pick]],Table2[Week],Table1[[#This Row],[Week]])</f>
        <v>0</v>
      </c>
      <c r="J126" s="6">
        <f>IF(AND($C126="Rushing", $H126&lt;=0), 0, IF(AND($C126="Passing", $G$3&lt;=0), 0,IF(AND($C126="Receiving",$I126&lt;=0), 0,SUMIFS(Table2[Stat],Table2[Week],Table1[[#This Row],[Week]],Table2[Athlete],Table1[[#This Row],[Pick]],Table2[Stat Category],"passing",Table2[Stat Type],"TD"))))</f>
        <v>0</v>
      </c>
      <c r="K126" s="6">
        <f>IF(AND($C126="Rushing", $H126&lt;=0), 0, IF(AND($C126="Passing", $G$3&lt;=0), 0,IF(AND($C126="Receiving",$I126&lt;=0),0,SUMIFS(Table2[Stat],Table2[Week],Table1[[#This Row],[Week]],Table2[Athlete],Table1[[#This Row],[Pick]],Table2[Stat Category],"rushing",Table2[Stat Type],"TD"))))</f>
        <v>0</v>
      </c>
      <c r="L126" s="6">
        <f>IF(AND($C126="Rushing", $H126&lt;=0), 0, IF(AND($C126="Passing", $G$3&lt;=0), 0,IF(AND($C126="Receiving",$I126&lt;=0),0,SUMIFS(Table2[Stat],Table2[Week],Table1[[#This Row],[Week]],Table2[Athlete],Table1[[#This Row],[Pick]],Table2[Stat Category],"receiving",Table2[Stat Type],"TD"))))</f>
        <v>0</v>
      </c>
      <c r="M1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6" s="61">
        <f>SUMIFS(Data!$J:$J,Data!$A:$A,Info!$B126,Data!$G:$G,Info!$C126,Data!$I:$I,Info!$D126,Data!$H:$H,"TOT")</f>
        <v>0</v>
      </c>
      <c r="O126" s="61">
        <f>IF(C126="Defensive",SUMIFS(Data!$J:$J,Data!$A:$A,Info!$B126,Data!$I:$I,Info!$D126,Data!$H:$H,"INT"),0)</f>
        <v>0</v>
      </c>
      <c r="P126" s="61">
        <f>IF(Table1[[#This Row],[Role]]="Defensive",SUMIFS(Data!$J:$J,Data!$A:$A,Info!$B126,Data!$I:$I,Info!$D126,Data!$H:$H,$P$1),0)</f>
        <v>0</v>
      </c>
      <c r="Q126" s="65" t="str">
        <f>IF(Table1[[#This Row],[Pick]]="","",IF(S126&gt;1,400,IF(G126="","",IF(C126="Passing",(400-Table1[[#This Row],[Passing Yards]]-(30*Table1[[#This Row],[Passing TDs]])-(50*SUM(Table1[[#This Row],[Rushing TDs]:[Other TD''s]]))),IF(C126="Rushing",2*(200-Table1[[#This Row],[Rushing Yards]]-(30*Table1[[#This Row],[Passing TDs]])-50*(Table1[[#This Row],[Rushing TDs]]+Table1[[#This Row],[Receiving TDs]]+Table1[[#This Row],[Other TD''s]])),IF(C126="Receiving",2*(200-Table1[[#This Row],[Receiving Yards]]-(30*Table1[[#This Row],[Passing TDs]])-50*(Table1[[#This Row],[Rushing TDs]]+Table1[[#This Row],[Receiving TDs]]+Table1[[#This Row],[Other TD''s]])),IF(C126="Defensive",(25*(16-Table1[[#This Row],[Tackles]]-(8*(Table1[[#This Row],[Other TD''s]]+Table1[[#This Row],[Interceptions]]+Table1[[#This Row],[Fumbles Recovered]])))))))))))</f>
        <v/>
      </c>
      <c r="R126" s="3" t="str">
        <f t="shared" si="4"/>
        <v/>
      </c>
      <c r="S126" s="4">
        <f t="shared" si="3"/>
        <v>1048507</v>
      </c>
      <c r="T1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27" spans="1:20" hidden="1" x14ac:dyDescent="0.25">
      <c r="A127" t="s">
        <v>4</v>
      </c>
      <c r="B127" s="28" t="s">
        <v>45</v>
      </c>
      <c r="C127" t="s">
        <v>16</v>
      </c>
      <c r="D127" t="str">
        <f>_xlfn.XLOOKUP(Table1[[#This Row],[Player]]&amp;Table1[[#This Row],[Week]]&amp;Table1[[#This Row],[Role]],'Google Form Transform'!$A:$A,'Google Form Transform'!E:E,"")</f>
        <v/>
      </c>
      <c r="E127" t="str">
        <f>_xlfn.XLOOKUP(Table1[[#This Row],[Player]]&amp;Table1[[#This Row],[Week]]&amp;Table1[[#This Row],[Role]],'Google Form Transform'!$A:$A,'Google Form Transform'!F:F,"")</f>
        <v/>
      </c>
      <c r="F127" t="str">
        <f>_xlfn.XLOOKUP(Table1[[#This Row],[Player]]&amp;Table1[[#This Row],[Week]]&amp;Table1[[#This Row],[Role]],'Google Form Transform'!$A:$A,'Google Form Transform'!G:G,"")</f>
        <v/>
      </c>
      <c r="G127" s="59">
        <f>SUMIFS(Table2[Stat],Table2[Stat Category],"passing",Table2[Stat Type],"YDS",Table2[Athlete],Table1[[#This Row],[Pick]],Table2[Week],Table1[[#This Row],[Week]])</f>
        <v>0</v>
      </c>
      <c r="H127" s="59">
        <f>SUMIFS(Table2[Stat],Table2[Stat Category],"rushing",Table2[Stat Type],"YDS",Table2[Athlete],Table1[[#This Row],[Pick]],Table2[Week],Table1[[#This Row],[Week]])</f>
        <v>0</v>
      </c>
      <c r="I127" s="59">
        <f>SUMIFS(Table2[Stat],Table2[Stat Category],"receiving",Table2[Stat Type],"YDS",Table2[Athlete],Table1[[#This Row],[Pick]],Table2[Week],Table1[[#This Row],[Week]])</f>
        <v>0</v>
      </c>
      <c r="J127" s="6">
        <f>IF(AND($C127="Rushing", $H127&lt;=0), 0, IF(AND($C127="Passing", $G$3&lt;=0), 0,IF(AND($C127="Receiving",$I127&lt;=0), 0,SUMIFS(Table2[Stat],Table2[Week],Table1[[#This Row],[Week]],Table2[Athlete],Table1[[#This Row],[Pick]],Table2[Stat Category],"passing",Table2[Stat Type],"TD"))))</f>
        <v>0</v>
      </c>
      <c r="K127" s="6">
        <f>IF(AND($C127="Rushing", $H127&lt;=0), 0, IF(AND($C127="Passing", $G$3&lt;=0), 0,IF(AND($C127="Receiving",$I127&lt;=0),0,SUMIFS(Table2[Stat],Table2[Week],Table1[[#This Row],[Week]],Table2[Athlete],Table1[[#This Row],[Pick]],Table2[Stat Category],"rushing",Table2[Stat Type],"TD"))))</f>
        <v>0</v>
      </c>
      <c r="L127" s="6">
        <f>IF(AND($C127="Rushing", $H127&lt;=0), 0, IF(AND($C127="Passing", $G$3&lt;=0), 0,IF(AND($C127="Receiving",$I127&lt;=0),0,SUMIFS(Table2[Stat],Table2[Week],Table1[[#This Row],[Week]],Table2[Athlete],Table1[[#This Row],[Pick]],Table2[Stat Category],"receiving",Table2[Stat Type],"TD"))))</f>
        <v>0</v>
      </c>
      <c r="M1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7" s="61">
        <f>SUMIFS(Data!$J:$J,Data!$A:$A,Info!$B127,Data!$G:$G,Info!$C127,Data!$I:$I,Info!$D127,Data!$H:$H,"TOT")</f>
        <v>0</v>
      </c>
      <c r="O127" s="61">
        <f>IF(C127="Defensive",SUMIFS(Data!$J:$J,Data!$A:$A,Info!$B127,Data!$I:$I,Info!$D127,Data!$H:$H,"INT"),0)</f>
        <v>0</v>
      </c>
      <c r="P127" s="61">
        <f>IF(Table1[[#This Row],[Role]]="Defensive",SUMIFS(Data!$J:$J,Data!$A:$A,Info!$B127,Data!$I:$I,Info!$D127,Data!$H:$H,$P$1),0)</f>
        <v>0</v>
      </c>
      <c r="Q127" s="65" t="str">
        <f>IF(Table1[[#This Row],[Pick]]="","",IF(S127&gt;1,400,IF(G127="","",IF(C127="Passing",(400-Table1[[#This Row],[Passing Yards]]-(30*Table1[[#This Row],[Passing TDs]])-(50*SUM(Table1[[#This Row],[Rushing TDs]:[Other TD''s]]))),IF(C127="Rushing",2*(200-Table1[[#This Row],[Rushing Yards]]-(30*Table1[[#This Row],[Passing TDs]])-50*(Table1[[#This Row],[Rushing TDs]]+Table1[[#This Row],[Receiving TDs]]+Table1[[#This Row],[Other TD''s]])),IF(C127="Receiving",2*(200-Table1[[#This Row],[Receiving Yards]]-(30*Table1[[#This Row],[Passing TDs]])-50*(Table1[[#This Row],[Rushing TDs]]+Table1[[#This Row],[Receiving TDs]]+Table1[[#This Row],[Other TD''s]])),IF(C127="Defensive",(25*(16-Table1[[#This Row],[Tackles]]-(8*(Table1[[#This Row],[Other TD''s]]+Table1[[#This Row],[Interceptions]]+Table1[[#This Row],[Fumbles Recovered]])))))))))))</f>
        <v/>
      </c>
      <c r="R127" s="3" t="str">
        <f t="shared" si="4"/>
        <v/>
      </c>
      <c r="S127" s="4">
        <f t="shared" si="3"/>
        <v>1048507</v>
      </c>
      <c r="T1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28" spans="1:20" hidden="1" x14ac:dyDescent="0.25">
      <c r="A128" t="s">
        <v>4</v>
      </c>
      <c r="B128" s="28" t="s">
        <v>45</v>
      </c>
      <c r="C128" t="s">
        <v>6</v>
      </c>
      <c r="D128" t="str">
        <f>_xlfn.XLOOKUP(Table1[[#This Row],[Player]]&amp;Table1[[#This Row],[Week]]&amp;Table1[[#This Row],[Role]],'Google Form Transform'!$A:$A,'Google Form Transform'!E:E,"")</f>
        <v/>
      </c>
      <c r="E128" t="str">
        <f>_xlfn.XLOOKUP(Table1[[#This Row],[Player]]&amp;Table1[[#This Row],[Week]]&amp;Table1[[#This Row],[Role]],'Google Form Transform'!$A:$A,'Google Form Transform'!F:F,"")</f>
        <v/>
      </c>
      <c r="F128" t="str">
        <f>_xlfn.XLOOKUP(Table1[[#This Row],[Player]]&amp;Table1[[#This Row],[Week]]&amp;Table1[[#This Row],[Role]],'Google Form Transform'!$A:$A,'Google Form Transform'!G:G,"")</f>
        <v/>
      </c>
      <c r="G128" s="59">
        <f>SUMIFS(Table2[Stat],Table2[Stat Category],"passing",Table2[Stat Type],"YDS",Table2[Athlete],Table1[[#This Row],[Pick]],Table2[Week],Table1[[#This Row],[Week]])</f>
        <v>0</v>
      </c>
      <c r="H128" s="59">
        <f>SUMIFS(Table2[Stat],Table2[Stat Category],"rushing",Table2[Stat Type],"YDS",Table2[Athlete],Table1[[#This Row],[Pick]],Table2[Week],Table1[[#This Row],[Week]])</f>
        <v>0</v>
      </c>
      <c r="I128" s="59">
        <f>SUMIFS(Table2[Stat],Table2[Stat Category],"receiving",Table2[Stat Type],"YDS",Table2[Athlete],Table1[[#This Row],[Pick]],Table2[Week],Table1[[#This Row],[Week]])</f>
        <v>0</v>
      </c>
      <c r="J128" s="6">
        <f>IF(AND($C128="Rushing", $H128&lt;=0), 0, IF(AND($C128="Passing", $G$3&lt;=0), 0,IF(AND($C128="Receiving",$I128&lt;=0), 0,SUMIFS(Table2[Stat],Table2[Week],Table1[[#This Row],[Week]],Table2[Athlete],Table1[[#This Row],[Pick]],Table2[Stat Category],"passing",Table2[Stat Type],"TD"))))</f>
        <v>0</v>
      </c>
      <c r="K128" s="6">
        <f>IF(AND($C128="Rushing", $H128&lt;=0), 0, IF(AND($C128="Passing", $G$3&lt;=0), 0,IF(AND($C128="Receiving",$I128&lt;=0),0,SUMIFS(Table2[Stat],Table2[Week],Table1[[#This Row],[Week]],Table2[Athlete],Table1[[#This Row],[Pick]],Table2[Stat Category],"rushing",Table2[Stat Type],"TD"))))</f>
        <v>0</v>
      </c>
      <c r="L128" s="6">
        <f>IF(AND($C128="Rushing", $H128&lt;=0), 0, IF(AND($C128="Passing", $G$3&lt;=0), 0,IF(AND($C128="Receiving",$I128&lt;=0),0,SUMIFS(Table2[Stat],Table2[Week],Table1[[#This Row],[Week]],Table2[Athlete],Table1[[#This Row],[Pick]],Table2[Stat Category],"receiving",Table2[Stat Type],"TD"))))</f>
        <v>0</v>
      </c>
      <c r="M1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8" s="61">
        <f>SUMIFS(Data!$J:$J,Data!$A:$A,Info!$B128,Data!$G:$G,Info!$C128,Data!$I:$I,Info!$D128,Data!$H:$H,"TOT")</f>
        <v>0</v>
      </c>
      <c r="O128" s="61">
        <f>IF(C128="Defensive",SUMIFS(Data!$J:$J,Data!$A:$A,Info!$B128,Data!$I:$I,Info!$D128,Data!$H:$H,"INT"),0)</f>
        <v>0</v>
      </c>
      <c r="P128" s="61">
        <f>IF(Table1[[#This Row],[Role]]="Defensive",SUMIFS(Data!$J:$J,Data!$A:$A,Info!$B128,Data!$I:$I,Info!$D128,Data!$H:$H,$P$1),0)</f>
        <v>0</v>
      </c>
      <c r="Q128" s="65" t="str">
        <f>IF(Table1[[#This Row],[Pick]]="","",IF(S128&gt;1,400,IF(G128="","",IF(C128="Passing",(400-Table1[[#This Row],[Passing Yards]]-(30*Table1[[#This Row],[Passing TDs]])-(50*SUM(Table1[[#This Row],[Rushing TDs]:[Other TD''s]]))),IF(C128="Rushing",2*(200-Table1[[#This Row],[Rushing Yards]]-(30*Table1[[#This Row],[Passing TDs]])-50*(Table1[[#This Row],[Rushing TDs]]+Table1[[#This Row],[Receiving TDs]]+Table1[[#This Row],[Other TD''s]])),IF(C128="Receiving",2*(200-Table1[[#This Row],[Receiving Yards]]-(30*Table1[[#This Row],[Passing TDs]])-50*(Table1[[#This Row],[Rushing TDs]]+Table1[[#This Row],[Receiving TDs]]+Table1[[#This Row],[Other TD''s]])),IF(C128="Defensive",(25*(16-Table1[[#This Row],[Tackles]]-(8*(Table1[[#This Row],[Other TD''s]]+Table1[[#This Row],[Interceptions]]+Table1[[#This Row],[Fumbles Recovered]])))))))))))</f>
        <v/>
      </c>
      <c r="R128" s="3" t="str">
        <f t="shared" si="4"/>
        <v/>
      </c>
      <c r="S128" s="4">
        <f t="shared" si="3"/>
        <v>1048507</v>
      </c>
      <c r="T1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29" spans="1:20" hidden="1" x14ac:dyDescent="0.25">
      <c r="A129" t="s">
        <v>4</v>
      </c>
      <c r="B129" s="28" t="s">
        <v>45</v>
      </c>
      <c r="C129" t="s">
        <v>17</v>
      </c>
      <c r="D129" t="str">
        <f>_xlfn.XLOOKUP(Table1[[#This Row],[Player]]&amp;Table1[[#This Row],[Week]]&amp;Table1[[#This Row],[Role]],'Google Form Transform'!$A:$A,'Google Form Transform'!E:E,"")</f>
        <v/>
      </c>
      <c r="E129" t="str">
        <f>_xlfn.XLOOKUP(Table1[[#This Row],[Player]]&amp;Table1[[#This Row],[Week]]&amp;Table1[[#This Row],[Role]],'Google Form Transform'!$A:$A,'Google Form Transform'!F:F,"")</f>
        <v/>
      </c>
      <c r="F129" t="str">
        <f>_xlfn.XLOOKUP(Table1[[#This Row],[Player]]&amp;Table1[[#This Row],[Week]]&amp;Table1[[#This Row],[Role]],'Google Form Transform'!$A:$A,'Google Form Transform'!G:G,"")</f>
        <v/>
      </c>
      <c r="G129" s="59">
        <f>SUMIFS(Table2[Stat],Table2[Stat Category],"passing",Table2[Stat Type],"YDS",Table2[Athlete],Table1[[#This Row],[Pick]],Table2[Week],Table1[[#This Row],[Week]])</f>
        <v>0</v>
      </c>
      <c r="H129" s="59">
        <f>SUMIFS(Table2[Stat],Table2[Stat Category],"rushing",Table2[Stat Type],"YDS",Table2[Athlete],Table1[[#This Row],[Pick]],Table2[Week],Table1[[#This Row],[Week]])</f>
        <v>0</v>
      </c>
      <c r="I129" s="59">
        <f>SUMIFS(Table2[Stat],Table2[Stat Category],"receiving",Table2[Stat Type],"YDS",Table2[Athlete],Table1[[#This Row],[Pick]],Table2[Week],Table1[[#This Row],[Week]])</f>
        <v>0</v>
      </c>
      <c r="J129" s="6">
        <f>IF(AND($C129="Rushing", $H129&lt;=0), 0, IF(AND($C129="Passing", $G$3&lt;=0), 0,IF(AND($C129="Receiving",$I129&lt;=0), 0,SUMIFS(Table2[Stat],Table2[Week],Table1[[#This Row],[Week]],Table2[Athlete],Table1[[#This Row],[Pick]],Table2[Stat Category],"passing",Table2[Stat Type],"TD"))))</f>
        <v>0</v>
      </c>
      <c r="K129" s="6">
        <f>IF(AND($C129="Rushing", $H129&lt;=0), 0, IF(AND($C129="Passing", $G$3&lt;=0), 0,IF(AND($C129="Receiving",$I129&lt;=0),0,SUMIFS(Table2[Stat],Table2[Week],Table1[[#This Row],[Week]],Table2[Athlete],Table1[[#This Row],[Pick]],Table2[Stat Category],"rushing",Table2[Stat Type],"TD"))))</f>
        <v>0</v>
      </c>
      <c r="L129" s="6">
        <f>IF(AND($C129="Rushing", $H129&lt;=0), 0, IF(AND($C129="Passing", $G$3&lt;=0), 0,IF(AND($C129="Receiving",$I129&lt;=0),0,SUMIFS(Table2[Stat],Table2[Week],Table1[[#This Row],[Week]],Table2[Athlete],Table1[[#This Row],[Pick]],Table2[Stat Category],"receiving",Table2[Stat Type],"TD"))))</f>
        <v>0</v>
      </c>
      <c r="M1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9" s="61">
        <f>SUMIFS(Data!$J:$J,Data!$A:$A,Info!$B129,Data!$G:$G,Info!$C129,Data!$I:$I,Info!$D129,Data!$H:$H,"TOT")</f>
        <v>0</v>
      </c>
      <c r="O129" s="61">
        <f>IF(C129="Defensive",SUMIFS(Data!$J:$J,Data!$A:$A,Info!$B129,Data!$I:$I,Info!$D129,Data!$H:$H,"INT"),0)</f>
        <v>0</v>
      </c>
      <c r="P129" s="61">
        <f>IF(Table1[[#This Row],[Role]]="Defensive",SUMIFS(Data!$J:$J,Data!$A:$A,Info!$B129,Data!$I:$I,Info!$D129,Data!$H:$H,$P$1),0)</f>
        <v>0</v>
      </c>
      <c r="Q129" s="65" t="str">
        <f>IF(Table1[[#This Row],[Pick]]="","",IF(S129&gt;1,400,IF(G129="","",IF(C129="Passing",(400-Table1[[#This Row],[Passing Yards]]-(30*Table1[[#This Row],[Passing TDs]])-(50*SUM(Table1[[#This Row],[Rushing TDs]:[Other TD''s]]))),IF(C129="Rushing",2*(200-Table1[[#This Row],[Rushing Yards]]-(30*Table1[[#This Row],[Passing TDs]])-50*(Table1[[#This Row],[Rushing TDs]]+Table1[[#This Row],[Receiving TDs]]+Table1[[#This Row],[Other TD''s]])),IF(C129="Receiving",2*(200-Table1[[#This Row],[Receiving Yards]]-(30*Table1[[#This Row],[Passing TDs]])-50*(Table1[[#This Row],[Rushing TDs]]+Table1[[#This Row],[Receiving TDs]]+Table1[[#This Row],[Other TD''s]])),IF(C129="Defensive",(25*(16-Table1[[#This Row],[Tackles]]-(8*(Table1[[#This Row],[Other TD''s]]+Table1[[#This Row],[Interceptions]]+Table1[[#This Row],[Fumbles Recovered]])))))))))))</f>
        <v/>
      </c>
      <c r="R129" s="3" t="str">
        <f t="shared" si="4"/>
        <v/>
      </c>
      <c r="S129" s="4">
        <f t="shared" si="3"/>
        <v>1048507</v>
      </c>
      <c r="T1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30" spans="1:20" hidden="1" x14ac:dyDescent="0.25">
      <c r="A130" t="s">
        <v>4</v>
      </c>
      <c r="B130" s="28" t="s">
        <v>45</v>
      </c>
      <c r="C130" t="s">
        <v>20</v>
      </c>
      <c r="D130" t="str">
        <f>_xlfn.XLOOKUP(Table1[[#This Row],[Player]]&amp;Table1[[#This Row],[Week]]&amp;Table1[[#This Row],[Role]],'Google Form Transform'!$A:$A,'Google Form Transform'!E:E,"")</f>
        <v/>
      </c>
      <c r="E130" t="str">
        <f>_xlfn.XLOOKUP(Table1[[#This Row],[Player]]&amp;Table1[[#This Row],[Week]]&amp;Table1[[#This Row],[Role]],'Google Form Transform'!$A:$A,'Google Form Transform'!F:F,"")</f>
        <v/>
      </c>
      <c r="F130" t="str">
        <f>_xlfn.XLOOKUP(Table1[[#This Row],[Player]]&amp;Table1[[#This Row],[Week]]&amp;Table1[[#This Row],[Role]],'Google Form Transform'!$A:$A,'Google Form Transform'!G:G,"")</f>
        <v/>
      </c>
      <c r="G130" s="59">
        <f>SUMIFS(Table2[Stat],Table2[Stat Category],"passing",Table2[Stat Type],"YDS",Table2[Athlete],Table1[[#This Row],[Pick]],Table2[Week],Table1[[#This Row],[Week]])</f>
        <v>0</v>
      </c>
      <c r="H130" s="59">
        <f>SUMIFS(Table2[Stat],Table2[Stat Category],"rushing",Table2[Stat Type],"YDS",Table2[Athlete],Table1[[#This Row],[Pick]],Table2[Week],Table1[[#This Row],[Week]])</f>
        <v>0</v>
      </c>
      <c r="I130" s="59">
        <f>SUMIFS(Table2[Stat],Table2[Stat Category],"receiving",Table2[Stat Type],"YDS",Table2[Athlete],Table1[[#This Row],[Pick]],Table2[Week],Table1[[#This Row],[Week]])</f>
        <v>0</v>
      </c>
      <c r="J130" s="6">
        <f>IF(AND($C130="Rushing", $H130&lt;=0), 0, IF(AND($C130="Passing", $G$3&lt;=0), 0,IF(AND($C130="Receiving",$I130&lt;=0), 0,SUMIFS(Table2[Stat],Table2[Week],Table1[[#This Row],[Week]],Table2[Athlete],Table1[[#This Row],[Pick]],Table2[Stat Category],"passing",Table2[Stat Type],"TD"))))</f>
        <v>0</v>
      </c>
      <c r="K130" s="6">
        <f>IF(AND($C130="Rushing", $H130&lt;=0), 0, IF(AND($C130="Passing", $G$3&lt;=0), 0,IF(AND($C130="Receiving",$I130&lt;=0),0,SUMIFS(Table2[Stat],Table2[Week],Table1[[#This Row],[Week]],Table2[Athlete],Table1[[#This Row],[Pick]],Table2[Stat Category],"rushing",Table2[Stat Type],"TD"))))</f>
        <v>0</v>
      </c>
      <c r="L130" s="6">
        <f>IF(AND($C130="Rushing", $H130&lt;=0), 0, IF(AND($C130="Passing", $G$3&lt;=0), 0,IF(AND($C130="Receiving",$I130&lt;=0),0,SUMIFS(Table2[Stat],Table2[Week],Table1[[#This Row],[Week]],Table2[Athlete],Table1[[#This Row],[Pick]],Table2[Stat Category],"receiving",Table2[Stat Type],"TD"))))</f>
        <v>0</v>
      </c>
      <c r="M1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0" s="61">
        <f>SUMIFS(Data!$J:$J,Data!$A:$A,Info!$B130,Data!$G:$G,Info!$C130,Data!$I:$I,Info!$D130,Data!$H:$H,"TOT")</f>
        <v>0</v>
      </c>
      <c r="O130" s="61">
        <f>IF(C130="Defensive",SUMIFS(Data!$J:$J,Data!$A:$A,Info!$B130,Data!$I:$I,Info!$D130,Data!$H:$H,"INT"),0)</f>
        <v>0</v>
      </c>
      <c r="P130" s="61">
        <f>IF(Table1[[#This Row],[Role]]="Defensive",SUMIFS(Data!$J:$J,Data!$A:$A,Info!$B130,Data!$I:$I,Info!$D130,Data!$H:$H,$P$1),0)</f>
        <v>0</v>
      </c>
      <c r="Q130" s="65" t="str">
        <f>IF(Table1[[#This Row],[Pick]]="","",IF(S130&gt;1,400,IF(G130="","",IF(C130="Passing",(400-Table1[[#This Row],[Passing Yards]]-(30*Table1[[#This Row],[Passing TDs]])-(50*SUM(Table1[[#This Row],[Rushing TDs]:[Other TD''s]]))),IF(C130="Rushing",2*(200-Table1[[#This Row],[Rushing Yards]]-(30*Table1[[#This Row],[Passing TDs]])-50*(Table1[[#This Row],[Rushing TDs]]+Table1[[#This Row],[Receiving TDs]]+Table1[[#This Row],[Other TD''s]])),IF(C130="Receiving",2*(200-Table1[[#This Row],[Receiving Yards]]-(30*Table1[[#This Row],[Passing TDs]])-50*(Table1[[#This Row],[Rushing TDs]]+Table1[[#This Row],[Receiving TDs]]+Table1[[#This Row],[Other TD''s]])),IF(C130="Defensive",(25*(16-Table1[[#This Row],[Tackles]]-(8*(Table1[[#This Row],[Other TD''s]]+Table1[[#This Row],[Interceptions]]+Table1[[#This Row],[Fumbles Recovered]])))))))))))</f>
        <v/>
      </c>
      <c r="R130" s="3" t="str">
        <f t="shared" si="4"/>
        <v/>
      </c>
      <c r="S130" s="4">
        <f t="shared" si="3"/>
        <v>1048507</v>
      </c>
      <c r="T1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31" spans="1:20" hidden="1" x14ac:dyDescent="0.25">
      <c r="A131" t="s">
        <v>79</v>
      </c>
      <c r="B131" s="28" t="s">
        <v>45</v>
      </c>
      <c r="C131" t="s">
        <v>16</v>
      </c>
      <c r="D131" t="str">
        <f>_xlfn.XLOOKUP(Table1[[#This Row],[Player]]&amp;Table1[[#This Row],[Week]]&amp;Table1[[#This Row],[Role]],'Google Form Transform'!$A:$A,'Google Form Transform'!E:E,"")</f>
        <v/>
      </c>
      <c r="E131" t="str">
        <f>_xlfn.XLOOKUP(Table1[[#This Row],[Player]]&amp;Table1[[#This Row],[Week]]&amp;Table1[[#This Row],[Role]],'Google Form Transform'!$A:$A,'Google Form Transform'!F:F,"")</f>
        <v/>
      </c>
      <c r="F131" t="str">
        <f>_xlfn.XLOOKUP(Table1[[#This Row],[Player]]&amp;Table1[[#This Row],[Week]]&amp;Table1[[#This Row],[Role]],'Google Form Transform'!$A:$A,'Google Form Transform'!G:G,"")</f>
        <v/>
      </c>
      <c r="G131" s="59">
        <f>SUMIFS(Table2[Stat],Table2[Stat Category],"passing",Table2[Stat Type],"YDS",Table2[Athlete],Table1[[#This Row],[Pick]],Table2[Week],Table1[[#This Row],[Week]])</f>
        <v>0</v>
      </c>
      <c r="H131" s="59">
        <f>SUMIFS(Table2[Stat],Table2[Stat Category],"rushing",Table2[Stat Type],"YDS",Table2[Athlete],Table1[[#This Row],[Pick]],Table2[Week],Table1[[#This Row],[Week]])</f>
        <v>0</v>
      </c>
      <c r="I131" s="59">
        <f>SUMIFS(Table2[Stat],Table2[Stat Category],"receiving",Table2[Stat Type],"YDS",Table2[Athlete],Table1[[#This Row],[Pick]],Table2[Week],Table1[[#This Row],[Week]])</f>
        <v>0</v>
      </c>
      <c r="J131" s="6">
        <f>IF(AND($C131="Rushing", $H131&lt;=0), 0, IF(AND($C131="Passing", $G$3&lt;=0), 0,IF(AND($C131="Receiving",$I131&lt;=0), 0,SUMIFS(Table2[Stat],Table2[Week],Table1[[#This Row],[Week]],Table2[Athlete],Table1[[#This Row],[Pick]],Table2[Stat Category],"passing",Table2[Stat Type],"TD"))))</f>
        <v>0</v>
      </c>
      <c r="K131" s="6">
        <f>IF(AND($C131="Rushing", $H131&lt;=0), 0, IF(AND($C131="Passing", $G$3&lt;=0), 0,IF(AND($C131="Receiving",$I131&lt;=0),0,SUMIFS(Table2[Stat],Table2[Week],Table1[[#This Row],[Week]],Table2[Athlete],Table1[[#This Row],[Pick]],Table2[Stat Category],"rushing",Table2[Stat Type],"TD"))))</f>
        <v>0</v>
      </c>
      <c r="L131" s="6">
        <f>IF(AND($C131="Rushing", $H131&lt;=0), 0, IF(AND($C131="Passing", $G$3&lt;=0), 0,IF(AND($C131="Receiving",$I131&lt;=0),0,SUMIFS(Table2[Stat],Table2[Week],Table1[[#This Row],[Week]],Table2[Athlete],Table1[[#This Row],[Pick]],Table2[Stat Category],"receiving",Table2[Stat Type],"TD"))))</f>
        <v>0</v>
      </c>
      <c r="M1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1" s="61">
        <f>SUMIFS(Data!$J:$J,Data!$A:$A,Info!$B131,Data!$G:$G,Info!$C131,Data!$I:$I,Info!$D131,Data!$H:$H,"TOT")</f>
        <v>0</v>
      </c>
      <c r="O131" s="61">
        <f>IF(C131="Defensive",SUMIFS(Data!$J:$J,Data!$A:$A,Info!$B131,Data!$I:$I,Info!$D131,Data!$H:$H,"INT"),0)</f>
        <v>0</v>
      </c>
      <c r="P131" s="61">
        <f>IF(Table1[[#This Row],[Role]]="Defensive",SUMIFS(Data!$J:$J,Data!$A:$A,Info!$B131,Data!$I:$I,Info!$D131,Data!$H:$H,$P$1),0)</f>
        <v>0</v>
      </c>
      <c r="Q131" s="65" t="str">
        <f>IF(Table1[[#This Row],[Pick]]="","",IF(S131&gt;1,400,IF(G131="","",IF(C131="Passing",(400-Table1[[#This Row],[Passing Yards]]-(30*Table1[[#This Row],[Passing TDs]])-(50*SUM(Table1[[#This Row],[Rushing TDs]:[Other TD''s]]))),IF(C131="Rushing",2*(200-Table1[[#This Row],[Rushing Yards]]-(30*Table1[[#This Row],[Passing TDs]])-50*(Table1[[#This Row],[Rushing TDs]]+Table1[[#This Row],[Receiving TDs]]+Table1[[#This Row],[Other TD''s]])),IF(C131="Receiving",2*(200-Table1[[#This Row],[Receiving Yards]]-(30*Table1[[#This Row],[Passing TDs]])-50*(Table1[[#This Row],[Rushing TDs]]+Table1[[#This Row],[Receiving TDs]]+Table1[[#This Row],[Other TD''s]])),IF(C131="Defensive",(25*(16-Table1[[#This Row],[Tackles]]-(8*(Table1[[#This Row],[Other TD''s]]+Table1[[#This Row],[Interceptions]]+Table1[[#This Row],[Fumbles Recovered]])))))))))))</f>
        <v/>
      </c>
      <c r="R131" s="3" t="str">
        <f t="shared" si="4"/>
        <v/>
      </c>
      <c r="S131" s="4">
        <f t="shared" ref="S131:S194" si="5">COUNTIF(R:R,R131)</f>
        <v>1048507</v>
      </c>
      <c r="T1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32" spans="1:20" hidden="1" x14ac:dyDescent="0.25">
      <c r="A132" t="s">
        <v>79</v>
      </c>
      <c r="B132" s="28" t="s">
        <v>45</v>
      </c>
      <c r="C132" t="s">
        <v>6</v>
      </c>
      <c r="D132" t="str">
        <f>_xlfn.XLOOKUP(Table1[[#This Row],[Player]]&amp;Table1[[#This Row],[Week]]&amp;Table1[[#This Row],[Role]],'Google Form Transform'!$A:$A,'Google Form Transform'!E:E,"")</f>
        <v/>
      </c>
      <c r="E132" t="str">
        <f>_xlfn.XLOOKUP(Table1[[#This Row],[Player]]&amp;Table1[[#This Row],[Week]]&amp;Table1[[#This Row],[Role]],'Google Form Transform'!$A:$A,'Google Form Transform'!F:F,"")</f>
        <v/>
      </c>
      <c r="F132" t="str">
        <f>_xlfn.XLOOKUP(Table1[[#This Row],[Player]]&amp;Table1[[#This Row],[Week]]&amp;Table1[[#This Row],[Role]],'Google Form Transform'!$A:$A,'Google Form Transform'!G:G,"")</f>
        <v/>
      </c>
      <c r="G132" s="59">
        <f>SUMIFS(Table2[Stat],Table2[Stat Category],"passing",Table2[Stat Type],"YDS",Table2[Athlete],Table1[[#This Row],[Pick]],Table2[Week],Table1[[#This Row],[Week]])</f>
        <v>0</v>
      </c>
      <c r="H132" s="59">
        <f>SUMIFS(Table2[Stat],Table2[Stat Category],"rushing",Table2[Stat Type],"YDS",Table2[Athlete],Table1[[#This Row],[Pick]],Table2[Week],Table1[[#This Row],[Week]])</f>
        <v>0</v>
      </c>
      <c r="I132" s="59">
        <f>SUMIFS(Table2[Stat],Table2[Stat Category],"receiving",Table2[Stat Type],"YDS",Table2[Athlete],Table1[[#This Row],[Pick]],Table2[Week],Table1[[#This Row],[Week]])</f>
        <v>0</v>
      </c>
      <c r="J132" s="6">
        <f>IF(AND($C132="Rushing", $H132&lt;=0), 0, IF(AND($C132="Passing", $G$3&lt;=0), 0,IF(AND($C132="Receiving",$I132&lt;=0), 0,SUMIFS(Table2[Stat],Table2[Week],Table1[[#This Row],[Week]],Table2[Athlete],Table1[[#This Row],[Pick]],Table2[Stat Category],"passing",Table2[Stat Type],"TD"))))</f>
        <v>0</v>
      </c>
      <c r="K132" s="6">
        <f>IF(AND($C132="Rushing", $H132&lt;=0), 0, IF(AND($C132="Passing", $G$3&lt;=0), 0,IF(AND($C132="Receiving",$I132&lt;=0),0,SUMIFS(Table2[Stat],Table2[Week],Table1[[#This Row],[Week]],Table2[Athlete],Table1[[#This Row],[Pick]],Table2[Stat Category],"rushing",Table2[Stat Type],"TD"))))</f>
        <v>0</v>
      </c>
      <c r="L132" s="6">
        <f>IF(AND($C132="Rushing", $H132&lt;=0), 0, IF(AND($C132="Passing", $G$3&lt;=0), 0,IF(AND($C132="Receiving",$I132&lt;=0),0,SUMIFS(Table2[Stat],Table2[Week],Table1[[#This Row],[Week]],Table2[Athlete],Table1[[#This Row],[Pick]],Table2[Stat Category],"receiving",Table2[Stat Type],"TD"))))</f>
        <v>0</v>
      </c>
      <c r="M1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2" s="61">
        <f>SUMIFS(Data!$J:$J,Data!$A:$A,Info!$B132,Data!$G:$G,Info!$C132,Data!$I:$I,Info!$D132,Data!$H:$H,"TOT")</f>
        <v>0</v>
      </c>
      <c r="O132" s="61">
        <f>IF(C132="Defensive",SUMIFS(Data!$J:$J,Data!$A:$A,Info!$B132,Data!$I:$I,Info!$D132,Data!$H:$H,"INT"),0)</f>
        <v>0</v>
      </c>
      <c r="P132" s="61">
        <f>IF(Table1[[#This Row],[Role]]="Defensive",SUMIFS(Data!$J:$J,Data!$A:$A,Info!$B132,Data!$I:$I,Info!$D132,Data!$H:$H,$P$1),0)</f>
        <v>0</v>
      </c>
      <c r="Q132" s="65" t="str">
        <f>IF(Table1[[#This Row],[Pick]]="","",IF(S132&gt;1,400,IF(G132="","",IF(C132="Passing",(400-Table1[[#This Row],[Passing Yards]]-(30*Table1[[#This Row],[Passing TDs]])-(50*SUM(Table1[[#This Row],[Rushing TDs]:[Other TD''s]]))),IF(C132="Rushing",2*(200-Table1[[#This Row],[Rushing Yards]]-(30*Table1[[#This Row],[Passing TDs]])-50*(Table1[[#This Row],[Rushing TDs]]+Table1[[#This Row],[Receiving TDs]]+Table1[[#This Row],[Other TD''s]])),IF(C132="Receiving",2*(200-Table1[[#This Row],[Receiving Yards]]-(30*Table1[[#This Row],[Passing TDs]])-50*(Table1[[#This Row],[Rushing TDs]]+Table1[[#This Row],[Receiving TDs]]+Table1[[#This Row],[Other TD''s]])),IF(C132="Defensive",(25*(16-Table1[[#This Row],[Tackles]]-(8*(Table1[[#This Row],[Other TD''s]]+Table1[[#This Row],[Interceptions]]+Table1[[#This Row],[Fumbles Recovered]])))))))))))</f>
        <v/>
      </c>
      <c r="R132" s="3" t="str">
        <f t="shared" ref="R132:R195" si="6">IF(D132="","",A132&amp;C132&amp;D132)</f>
        <v/>
      </c>
      <c r="S132" s="4">
        <f t="shared" si="5"/>
        <v>1048507</v>
      </c>
      <c r="T1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33" spans="1:20" hidden="1" x14ac:dyDescent="0.25">
      <c r="A133" t="s">
        <v>79</v>
      </c>
      <c r="B133" s="28" t="s">
        <v>45</v>
      </c>
      <c r="C133" t="s">
        <v>17</v>
      </c>
      <c r="D133" t="str">
        <f>_xlfn.XLOOKUP(Table1[[#This Row],[Player]]&amp;Table1[[#This Row],[Week]]&amp;Table1[[#This Row],[Role]],'Google Form Transform'!$A:$A,'Google Form Transform'!E:E,"")</f>
        <v/>
      </c>
      <c r="E133" t="str">
        <f>_xlfn.XLOOKUP(Table1[[#This Row],[Player]]&amp;Table1[[#This Row],[Week]]&amp;Table1[[#This Row],[Role]],'Google Form Transform'!$A:$A,'Google Form Transform'!F:F,"")</f>
        <v/>
      </c>
      <c r="F133" t="str">
        <f>_xlfn.XLOOKUP(Table1[[#This Row],[Player]]&amp;Table1[[#This Row],[Week]]&amp;Table1[[#This Row],[Role]],'Google Form Transform'!$A:$A,'Google Form Transform'!G:G,"")</f>
        <v/>
      </c>
      <c r="G133" s="59">
        <f>SUMIFS(Table2[Stat],Table2[Stat Category],"passing",Table2[Stat Type],"YDS",Table2[Athlete],Table1[[#This Row],[Pick]],Table2[Week],Table1[[#This Row],[Week]])</f>
        <v>0</v>
      </c>
      <c r="H133" s="59">
        <f>SUMIFS(Table2[Stat],Table2[Stat Category],"rushing",Table2[Stat Type],"YDS",Table2[Athlete],Table1[[#This Row],[Pick]],Table2[Week],Table1[[#This Row],[Week]])</f>
        <v>0</v>
      </c>
      <c r="I133" s="59">
        <f>SUMIFS(Table2[Stat],Table2[Stat Category],"receiving",Table2[Stat Type],"YDS",Table2[Athlete],Table1[[#This Row],[Pick]],Table2[Week],Table1[[#This Row],[Week]])</f>
        <v>0</v>
      </c>
      <c r="J133" s="6">
        <f>IF(AND($C133="Rushing", $H133&lt;=0), 0, IF(AND($C133="Passing", $G$3&lt;=0), 0,IF(AND($C133="Receiving",$I133&lt;=0), 0,SUMIFS(Table2[Stat],Table2[Week],Table1[[#This Row],[Week]],Table2[Athlete],Table1[[#This Row],[Pick]],Table2[Stat Category],"passing",Table2[Stat Type],"TD"))))</f>
        <v>0</v>
      </c>
      <c r="K133" s="6">
        <f>IF(AND($C133="Rushing", $H133&lt;=0), 0, IF(AND($C133="Passing", $G$3&lt;=0), 0,IF(AND($C133="Receiving",$I133&lt;=0),0,SUMIFS(Table2[Stat],Table2[Week],Table1[[#This Row],[Week]],Table2[Athlete],Table1[[#This Row],[Pick]],Table2[Stat Category],"rushing",Table2[Stat Type],"TD"))))</f>
        <v>0</v>
      </c>
      <c r="L133" s="6">
        <f>IF(AND($C133="Rushing", $H133&lt;=0), 0, IF(AND($C133="Passing", $G$3&lt;=0), 0,IF(AND($C133="Receiving",$I133&lt;=0),0,SUMIFS(Table2[Stat],Table2[Week],Table1[[#This Row],[Week]],Table2[Athlete],Table1[[#This Row],[Pick]],Table2[Stat Category],"receiving",Table2[Stat Type],"TD"))))</f>
        <v>0</v>
      </c>
      <c r="M1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3" s="61">
        <f>SUMIFS(Data!$J:$J,Data!$A:$A,Info!$B133,Data!$G:$G,Info!$C133,Data!$I:$I,Info!$D133,Data!$H:$H,"TOT")</f>
        <v>0</v>
      </c>
      <c r="O133" s="61">
        <f>IF(C133="Defensive",SUMIFS(Data!$J:$J,Data!$A:$A,Info!$B133,Data!$I:$I,Info!$D133,Data!$H:$H,"INT"),0)</f>
        <v>0</v>
      </c>
      <c r="P133" s="61">
        <f>IF(Table1[[#This Row],[Role]]="Defensive",SUMIFS(Data!$J:$J,Data!$A:$A,Info!$B133,Data!$I:$I,Info!$D133,Data!$H:$H,$P$1),0)</f>
        <v>0</v>
      </c>
      <c r="Q133" s="65" t="str">
        <f>IF(Table1[[#This Row],[Pick]]="","",IF(S133&gt;1,400,IF(G133="","",IF(C133="Passing",(400-Table1[[#This Row],[Passing Yards]]-(30*Table1[[#This Row],[Passing TDs]])-(50*SUM(Table1[[#This Row],[Rushing TDs]:[Other TD''s]]))),IF(C133="Rushing",2*(200-Table1[[#This Row],[Rushing Yards]]-(30*Table1[[#This Row],[Passing TDs]])-50*(Table1[[#This Row],[Rushing TDs]]+Table1[[#This Row],[Receiving TDs]]+Table1[[#This Row],[Other TD''s]])),IF(C133="Receiving",2*(200-Table1[[#This Row],[Receiving Yards]]-(30*Table1[[#This Row],[Passing TDs]])-50*(Table1[[#This Row],[Rushing TDs]]+Table1[[#This Row],[Receiving TDs]]+Table1[[#This Row],[Other TD''s]])),IF(C133="Defensive",(25*(16-Table1[[#This Row],[Tackles]]-(8*(Table1[[#This Row],[Other TD''s]]+Table1[[#This Row],[Interceptions]]+Table1[[#This Row],[Fumbles Recovered]])))))))))))</f>
        <v/>
      </c>
      <c r="R133" s="3" t="str">
        <f t="shared" si="6"/>
        <v/>
      </c>
      <c r="S133" s="4">
        <f t="shared" si="5"/>
        <v>1048507</v>
      </c>
      <c r="T1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34" spans="1:20" hidden="1" x14ac:dyDescent="0.25">
      <c r="A134" t="s">
        <v>79</v>
      </c>
      <c r="B134" s="28" t="s">
        <v>45</v>
      </c>
      <c r="C134" t="s">
        <v>20</v>
      </c>
      <c r="D134" t="str">
        <f>_xlfn.XLOOKUP(Table1[[#This Row],[Player]]&amp;Table1[[#This Row],[Week]]&amp;Table1[[#This Row],[Role]],'Google Form Transform'!$A:$A,'Google Form Transform'!E:E,"")</f>
        <v/>
      </c>
      <c r="E134" t="str">
        <f>_xlfn.XLOOKUP(Table1[[#This Row],[Player]]&amp;Table1[[#This Row],[Week]]&amp;Table1[[#This Row],[Role]],'Google Form Transform'!$A:$A,'Google Form Transform'!F:F,"")</f>
        <v/>
      </c>
      <c r="F134" t="str">
        <f>_xlfn.XLOOKUP(Table1[[#This Row],[Player]]&amp;Table1[[#This Row],[Week]]&amp;Table1[[#This Row],[Role]],'Google Form Transform'!$A:$A,'Google Form Transform'!G:G,"")</f>
        <v/>
      </c>
      <c r="G134" s="59">
        <f>SUMIFS(Table2[Stat],Table2[Stat Category],"passing",Table2[Stat Type],"YDS",Table2[Athlete],Table1[[#This Row],[Pick]],Table2[Week],Table1[[#This Row],[Week]])</f>
        <v>0</v>
      </c>
      <c r="H134" s="59">
        <f>SUMIFS(Table2[Stat],Table2[Stat Category],"rushing",Table2[Stat Type],"YDS",Table2[Athlete],Table1[[#This Row],[Pick]],Table2[Week],Table1[[#This Row],[Week]])</f>
        <v>0</v>
      </c>
      <c r="I134" s="59">
        <f>SUMIFS(Table2[Stat],Table2[Stat Category],"receiving",Table2[Stat Type],"YDS",Table2[Athlete],Table1[[#This Row],[Pick]],Table2[Week],Table1[[#This Row],[Week]])</f>
        <v>0</v>
      </c>
      <c r="J134" s="6">
        <f>IF(AND($C134="Rushing", $H134&lt;=0), 0, IF(AND($C134="Passing", $G$3&lt;=0), 0,IF(AND($C134="Receiving",$I134&lt;=0), 0,SUMIFS(Table2[Stat],Table2[Week],Table1[[#This Row],[Week]],Table2[Athlete],Table1[[#This Row],[Pick]],Table2[Stat Category],"passing",Table2[Stat Type],"TD"))))</f>
        <v>0</v>
      </c>
      <c r="K134" s="6">
        <f>IF(AND($C134="Rushing", $H134&lt;=0), 0, IF(AND($C134="Passing", $G$3&lt;=0), 0,IF(AND($C134="Receiving",$I134&lt;=0),0,SUMIFS(Table2[Stat],Table2[Week],Table1[[#This Row],[Week]],Table2[Athlete],Table1[[#This Row],[Pick]],Table2[Stat Category],"rushing",Table2[Stat Type],"TD"))))</f>
        <v>0</v>
      </c>
      <c r="L134" s="6">
        <f>IF(AND($C134="Rushing", $H134&lt;=0), 0, IF(AND($C134="Passing", $G$3&lt;=0), 0,IF(AND($C134="Receiving",$I134&lt;=0),0,SUMIFS(Table2[Stat],Table2[Week],Table1[[#This Row],[Week]],Table2[Athlete],Table1[[#This Row],[Pick]],Table2[Stat Category],"receiving",Table2[Stat Type],"TD"))))</f>
        <v>0</v>
      </c>
      <c r="M1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4" s="61">
        <f>SUMIFS(Data!$J:$J,Data!$A:$A,Info!$B134,Data!$G:$G,Info!$C134,Data!$I:$I,Info!$D134,Data!$H:$H,"TOT")</f>
        <v>0</v>
      </c>
      <c r="O134" s="61">
        <f>IF(C134="Defensive",SUMIFS(Data!$J:$J,Data!$A:$A,Info!$B134,Data!$I:$I,Info!$D134,Data!$H:$H,"INT"),0)</f>
        <v>0</v>
      </c>
      <c r="P134" s="61">
        <f>IF(Table1[[#This Row],[Role]]="Defensive",SUMIFS(Data!$J:$J,Data!$A:$A,Info!$B134,Data!$I:$I,Info!$D134,Data!$H:$H,$P$1),0)</f>
        <v>0</v>
      </c>
      <c r="Q134" s="65" t="str">
        <f>IF(Table1[[#This Row],[Pick]]="","",IF(S134&gt;1,400,IF(G134="","",IF(C134="Passing",(400-Table1[[#This Row],[Passing Yards]]-(30*Table1[[#This Row],[Passing TDs]])-(50*SUM(Table1[[#This Row],[Rushing TDs]:[Other TD''s]]))),IF(C134="Rushing",2*(200-Table1[[#This Row],[Rushing Yards]]-(30*Table1[[#This Row],[Passing TDs]])-50*(Table1[[#This Row],[Rushing TDs]]+Table1[[#This Row],[Receiving TDs]]+Table1[[#This Row],[Other TD''s]])),IF(C134="Receiving",2*(200-Table1[[#This Row],[Receiving Yards]]-(30*Table1[[#This Row],[Passing TDs]])-50*(Table1[[#This Row],[Rushing TDs]]+Table1[[#This Row],[Receiving TDs]]+Table1[[#This Row],[Other TD''s]])),IF(C134="Defensive",(25*(16-Table1[[#This Row],[Tackles]]-(8*(Table1[[#This Row],[Other TD''s]]+Table1[[#This Row],[Interceptions]]+Table1[[#This Row],[Fumbles Recovered]])))))))))))</f>
        <v/>
      </c>
      <c r="R134" s="3" t="str">
        <f t="shared" si="6"/>
        <v/>
      </c>
      <c r="S134" s="4">
        <f t="shared" si="5"/>
        <v>1048507</v>
      </c>
      <c r="T1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35" spans="1:20" hidden="1" x14ac:dyDescent="0.25">
      <c r="A135" t="s">
        <v>58</v>
      </c>
      <c r="B135" s="28" t="s">
        <v>45</v>
      </c>
      <c r="C135" t="s">
        <v>16</v>
      </c>
      <c r="D135" t="str">
        <f>_xlfn.XLOOKUP(Table1[[#This Row],[Player]]&amp;Table1[[#This Row],[Week]]&amp;Table1[[#This Row],[Role]],'Google Form Transform'!$A:$A,'Google Form Transform'!E:E,"")</f>
        <v/>
      </c>
      <c r="E135" t="str">
        <f>_xlfn.XLOOKUP(Table1[[#This Row],[Player]]&amp;Table1[[#This Row],[Week]]&amp;Table1[[#This Row],[Role]],'Google Form Transform'!$A:$A,'Google Form Transform'!F:F,"")</f>
        <v/>
      </c>
      <c r="F135" t="str">
        <f>_xlfn.XLOOKUP(Table1[[#This Row],[Player]]&amp;Table1[[#This Row],[Week]]&amp;Table1[[#This Row],[Role]],'Google Form Transform'!$A:$A,'Google Form Transform'!G:G,"")</f>
        <v/>
      </c>
      <c r="G135" s="59">
        <f>SUMIFS(Table2[Stat],Table2[Stat Category],"passing",Table2[Stat Type],"YDS",Table2[Athlete],Table1[[#This Row],[Pick]],Table2[Week],Table1[[#This Row],[Week]])</f>
        <v>0</v>
      </c>
      <c r="H135" s="59">
        <f>SUMIFS(Table2[Stat],Table2[Stat Category],"rushing",Table2[Stat Type],"YDS",Table2[Athlete],Table1[[#This Row],[Pick]],Table2[Week],Table1[[#This Row],[Week]])</f>
        <v>0</v>
      </c>
      <c r="I135" s="59">
        <f>SUMIFS(Table2[Stat],Table2[Stat Category],"receiving",Table2[Stat Type],"YDS",Table2[Athlete],Table1[[#This Row],[Pick]],Table2[Week],Table1[[#This Row],[Week]])</f>
        <v>0</v>
      </c>
      <c r="J135" s="6">
        <f>IF(AND($C135="Rushing", $H135&lt;=0), 0, IF(AND($C135="Passing", $G$3&lt;=0), 0,IF(AND($C135="Receiving",$I135&lt;=0), 0,SUMIFS(Table2[Stat],Table2[Week],Table1[[#This Row],[Week]],Table2[Athlete],Table1[[#This Row],[Pick]],Table2[Stat Category],"passing",Table2[Stat Type],"TD"))))</f>
        <v>0</v>
      </c>
      <c r="K135" s="6">
        <f>IF(AND($C135="Rushing", $H135&lt;=0), 0, IF(AND($C135="Passing", $G$3&lt;=0), 0,IF(AND($C135="Receiving",$I135&lt;=0),0,SUMIFS(Table2[Stat],Table2[Week],Table1[[#This Row],[Week]],Table2[Athlete],Table1[[#This Row],[Pick]],Table2[Stat Category],"rushing",Table2[Stat Type],"TD"))))</f>
        <v>0</v>
      </c>
      <c r="L135" s="6">
        <f>IF(AND($C135="Rushing", $H135&lt;=0), 0, IF(AND($C135="Passing", $G$3&lt;=0), 0,IF(AND($C135="Receiving",$I135&lt;=0),0,SUMIFS(Table2[Stat],Table2[Week],Table1[[#This Row],[Week]],Table2[Athlete],Table1[[#This Row],[Pick]],Table2[Stat Category],"receiving",Table2[Stat Type],"TD"))))</f>
        <v>0</v>
      </c>
      <c r="M1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5" s="61">
        <f>SUMIFS(Data!$J:$J,Data!$A:$A,Info!$B135,Data!$G:$G,Info!$C135,Data!$I:$I,Info!$D135,Data!$H:$H,"TOT")</f>
        <v>0</v>
      </c>
      <c r="O135" s="61">
        <f>IF(C135="Defensive",SUMIFS(Data!$J:$J,Data!$A:$A,Info!$B135,Data!$I:$I,Info!$D135,Data!$H:$H,"INT"),0)</f>
        <v>0</v>
      </c>
      <c r="P135" s="61">
        <f>IF(Table1[[#This Row],[Role]]="Defensive",SUMIFS(Data!$J:$J,Data!$A:$A,Info!$B135,Data!$I:$I,Info!$D135,Data!$H:$H,$P$1),0)</f>
        <v>0</v>
      </c>
      <c r="Q135" s="65" t="str">
        <f>IF(Table1[[#This Row],[Pick]]="","",IF(S135&gt;1,400,IF(G135="","",IF(C135="Passing",(400-Table1[[#This Row],[Passing Yards]]-(30*Table1[[#This Row],[Passing TDs]])-(50*SUM(Table1[[#This Row],[Rushing TDs]:[Other TD''s]]))),IF(C135="Rushing",2*(200-Table1[[#This Row],[Rushing Yards]]-(30*Table1[[#This Row],[Passing TDs]])-50*(Table1[[#This Row],[Rushing TDs]]+Table1[[#This Row],[Receiving TDs]]+Table1[[#This Row],[Other TD''s]])),IF(C135="Receiving",2*(200-Table1[[#This Row],[Receiving Yards]]-(30*Table1[[#This Row],[Passing TDs]])-50*(Table1[[#This Row],[Rushing TDs]]+Table1[[#This Row],[Receiving TDs]]+Table1[[#This Row],[Other TD''s]])),IF(C135="Defensive",(25*(16-Table1[[#This Row],[Tackles]]-(8*(Table1[[#This Row],[Other TD''s]]+Table1[[#This Row],[Interceptions]]+Table1[[#This Row],[Fumbles Recovered]])))))))))))</f>
        <v/>
      </c>
      <c r="R135" s="3" t="str">
        <f t="shared" si="6"/>
        <v/>
      </c>
      <c r="S135" s="4">
        <f t="shared" si="5"/>
        <v>1048507</v>
      </c>
      <c r="T1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36" spans="1:20" hidden="1" x14ac:dyDescent="0.25">
      <c r="A136" t="s">
        <v>58</v>
      </c>
      <c r="B136" s="28" t="s">
        <v>45</v>
      </c>
      <c r="C136" t="s">
        <v>6</v>
      </c>
      <c r="D136" t="str">
        <f>_xlfn.XLOOKUP(Table1[[#This Row],[Player]]&amp;Table1[[#This Row],[Week]]&amp;Table1[[#This Row],[Role]],'Google Form Transform'!$A:$A,'Google Form Transform'!E:E,"")</f>
        <v/>
      </c>
      <c r="E136" t="str">
        <f>_xlfn.XLOOKUP(Table1[[#This Row],[Player]]&amp;Table1[[#This Row],[Week]]&amp;Table1[[#This Row],[Role]],'Google Form Transform'!$A:$A,'Google Form Transform'!F:F,"")</f>
        <v/>
      </c>
      <c r="F136" t="str">
        <f>_xlfn.XLOOKUP(Table1[[#This Row],[Player]]&amp;Table1[[#This Row],[Week]]&amp;Table1[[#This Row],[Role]],'Google Form Transform'!$A:$A,'Google Form Transform'!G:G,"")</f>
        <v/>
      </c>
      <c r="G136" s="59">
        <f>SUMIFS(Table2[Stat],Table2[Stat Category],"passing",Table2[Stat Type],"YDS",Table2[Athlete],Table1[[#This Row],[Pick]],Table2[Week],Table1[[#This Row],[Week]])</f>
        <v>0</v>
      </c>
      <c r="H136" s="59">
        <f>SUMIFS(Table2[Stat],Table2[Stat Category],"rushing",Table2[Stat Type],"YDS",Table2[Athlete],Table1[[#This Row],[Pick]],Table2[Week],Table1[[#This Row],[Week]])</f>
        <v>0</v>
      </c>
      <c r="I136" s="59">
        <f>SUMIFS(Table2[Stat],Table2[Stat Category],"receiving",Table2[Stat Type],"YDS",Table2[Athlete],Table1[[#This Row],[Pick]],Table2[Week],Table1[[#This Row],[Week]])</f>
        <v>0</v>
      </c>
      <c r="J136" s="6">
        <f>IF(AND($C136="Rushing", $H136&lt;=0), 0, IF(AND($C136="Passing", $G$3&lt;=0), 0,IF(AND($C136="Receiving",$I136&lt;=0), 0,SUMIFS(Table2[Stat],Table2[Week],Table1[[#This Row],[Week]],Table2[Athlete],Table1[[#This Row],[Pick]],Table2[Stat Category],"passing",Table2[Stat Type],"TD"))))</f>
        <v>0</v>
      </c>
      <c r="K136" s="6">
        <f>IF(AND($C136="Rushing", $H136&lt;=0), 0, IF(AND($C136="Passing", $G$3&lt;=0), 0,IF(AND($C136="Receiving",$I136&lt;=0),0,SUMIFS(Table2[Stat],Table2[Week],Table1[[#This Row],[Week]],Table2[Athlete],Table1[[#This Row],[Pick]],Table2[Stat Category],"rushing",Table2[Stat Type],"TD"))))</f>
        <v>0</v>
      </c>
      <c r="L136" s="6">
        <f>IF(AND($C136="Rushing", $H136&lt;=0), 0, IF(AND($C136="Passing", $G$3&lt;=0), 0,IF(AND($C136="Receiving",$I136&lt;=0),0,SUMIFS(Table2[Stat],Table2[Week],Table1[[#This Row],[Week]],Table2[Athlete],Table1[[#This Row],[Pick]],Table2[Stat Category],"receiving",Table2[Stat Type],"TD"))))</f>
        <v>0</v>
      </c>
      <c r="M1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6" s="61">
        <f>SUMIFS(Data!$J:$J,Data!$A:$A,Info!$B136,Data!$G:$G,Info!$C136,Data!$I:$I,Info!$D136,Data!$H:$H,"TOT")</f>
        <v>0</v>
      </c>
      <c r="O136" s="61">
        <f>IF(C136="Defensive",SUMIFS(Data!$J:$J,Data!$A:$A,Info!$B136,Data!$I:$I,Info!$D136,Data!$H:$H,"INT"),0)</f>
        <v>0</v>
      </c>
      <c r="P136" s="61">
        <f>IF(Table1[[#This Row],[Role]]="Defensive",SUMIFS(Data!$J:$J,Data!$A:$A,Info!$B136,Data!$I:$I,Info!$D136,Data!$H:$H,$P$1),0)</f>
        <v>0</v>
      </c>
      <c r="Q136" s="65" t="str">
        <f>IF(Table1[[#This Row],[Pick]]="","",IF(S136&gt;1,400,IF(G136="","",IF(C136="Passing",(400-Table1[[#This Row],[Passing Yards]]-(30*Table1[[#This Row],[Passing TDs]])-(50*SUM(Table1[[#This Row],[Rushing TDs]:[Other TD''s]]))),IF(C136="Rushing",2*(200-Table1[[#This Row],[Rushing Yards]]-(30*Table1[[#This Row],[Passing TDs]])-50*(Table1[[#This Row],[Rushing TDs]]+Table1[[#This Row],[Receiving TDs]]+Table1[[#This Row],[Other TD''s]])),IF(C136="Receiving",2*(200-Table1[[#This Row],[Receiving Yards]]-(30*Table1[[#This Row],[Passing TDs]])-50*(Table1[[#This Row],[Rushing TDs]]+Table1[[#This Row],[Receiving TDs]]+Table1[[#This Row],[Other TD''s]])),IF(C136="Defensive",(25*(16-Table1[[#This Row],[Tackles]]-(8*(Table1[[#This Row],[Other TD''s]]+Table1[[#This Row],[Interceptions]]+Table1[[#This Row],[Fumbles Recovered]])))))))))))</f>
        <v/>
      </c>
      <c r="R136" s="3" t="str">
        <f t="shared" si="6"/>
        <v/>
      </c>
      <c r="S136" s="4">
        <f t="shared" si="5"/>
        <v>1048507</v>
      </c>
      <c r="T1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37" spans="1:20" hidden="1" x14ac:dyDescent="0.25">
      <c r="A137" t="s">
        <v>58</v>
      </c>
      <c r="B137" s="28" t="s">
        <v>45</v>
      </c>
      <c r="C137" t="s">
        <v>17</v>
      </c>
      <c r="D137" t="str">
        <f>_xlfn.XLOOKUP(Table1[[#This Row],[Player]]&amp;Table1[[#This Row],[Week]]&amp;Table1[[#This Row],[Role]],'Google Form Transform'!$A:$A,'Google Form Transform'!E:E,"")</f>
        <v/>
      </c>
      <c r="E137" t="str">
        <f>_xlfn.XLOOKUP(Table1[[#This Row],[Player]]&amp;Table1[[#This Row],[Week]]&amp;Table1[[#This Row],[Role]],'Google Form Transform'!$A:$A,'Google Form Transform'!F:F,"")</f>
        <v/>
      </c>
      <c r="F137" t="str">
        <f>_xlfn.XLOOKUP(Table1[[#This Row],[Player]]&amp;Table1[[#This Row],[Week]]&amp;Table1[[#This Row],[Role]],'Google Form Transform'!$A:$A,'Google Form Transform'!G:G,"")</f>
        <v/>
      </c>
      <c r="G137" s="59">
        <f>SUMIFS(Table2[Stat],Table2[Stat Category],"passing",Table2[Stat Type],"YDS",Table2[Athlete],Table1[[#This Row],[Pick]],Table2[Week],Table1[[#This Row],[Week]])</f>
        <v>0</v>
      </c>
      <c r="H137" s="59">
        <f>SUMIFS(Table2[Stat],Table2[Stat Category],"rushing",Table2[Stat Type],"YDS",Table2[Athlete],Table1[[#This Row],[Pick]],Table2[Week],Table1[[#This Row],[Week]])</f>
        <v>0</v>
      </c>
      <c r="I137" s="59">
        <f>SUMIFS(Table2[Stat],Table2[Stat Category],"receiving",Table2[Stat Type],"YDS",Table2[Athlete],Table1[[#This Row],[Pick]],Table2[Week],Table1[[#This Row],[Week]])</f>
        <v>0</v>
      </c>
      <c r="J137" s="6">
        <f>IF(AND($C137="Rushing", $H137&lt;=0), 0, IF(AND($C137="Passing", $G$3&lt;=0), 0,IF(AND($C137="Receiving",$I137&lt;=0), 0,SUMIFS(Table2[Stat],Table2[Week],Table1[[#This Row],[Week]],Table2[Athlete],Table1[[#This Row],[Pick]],Table2[Stat Category],"passing",Table2[Stat Type],"TD"))))</f>
        <v>0</v>
      </c>
      <c r="K137" s="6">
        <f>IF(AND($C137="Rushing", $H137&lt;=0), 0, IF(AND($C137="Passing", $G$3&lt;=0), 0,IF(AND($C137="Receiving",$I137&lt;=0),0,SUMIFS(Table2[Stat],Table2[Week],Table1[[#This Row],[Week]],Table2[Athlete],Table1[[#This Row],[Pick]],Table2[Stat Category],"rushing",Table2[Stat Type],"TD"))))</f>
        <v>0</v>
      </c>
      <c r="L137" s="6">
        <f>IF(AND($C137="Rushing", $H137&lt;=0), 0, IF(AND($C137="Passing", $G$3&lt;=0), 0,IF(AND($C137="Receiving",$I137&lt;=0),0,SUMIFS(Table2[Stat],Table2[Week],Table1[[#This Row],[Week]],Table2[Athlete],Table1[[#This Row],[Pick]],Table2[Stat Category],"receiving",Table2[Stat Type],"TD"))))</f>
        <v>0</v>
      </c>
      <c r="M1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7" s="61">
        <f>SUMIFS(Data!$J:$J,Data!$A:$A,Info!$B137,Data!$G:$G,Info!$C137,Data!$I:$I,Info!$D137,Data!$H:$H,"TOT")</f>
        <v>0</v>
      </c>
      <c r="O137" s="61">
        <f>IF(C137="Defensive",SUMIFS(Data!$J:$J,Data!$A:$A,Info!$B137,Data!$I:$I,Info!$D137,Data!$H:$H,"INT"),0)</f>
        <v>0</v>
      </c>
      <c r="P137" s="61">
        <f>IF(Table1[[#This Row],[Role]]="Defensive",SUMIFS(Data!$J:$J,Data!$A:$A,Info!$B137,Data!$I:$I,Info!$D137,Data!$H:$H,$P$1),0)</f>
        <v>0</v>
      </c>
      <c r="Q137" s="65" t="str">
        <f>IF(Table1[[#This Row],[Pick]]="","",IF(S137&gt;1,400,IF(G137="","",IF(C137="Passing",(400-Table1[[#This Row],[Passing Yards]]-(30*Table1[[#This Row],[Passing TDs]])-(50*SUM(Table1[[#This Row],[Rushing TDs]:[Other TD''s]]))),IF(C137="Rushing",2*(200-Table1[[#This Row],[Rushing Yards]]-(30*Table1[[#This Row],[Passing TDs]])-50*(Table1[[#This Row],[Rushing TDs]]+Table1[[#This Row],[Receiving TDs]]+Table1[[#This Row],[Other TD''s]])),IF(C137="Receiving",2*(200-Table1[[#This Row],[Receiving Yards]]-(30*Table1[[#This Row],[Passing TDs]])-50*(Table1[[#This Row],[Rushing TDs]]+Table1[[#This Row],[Receiving TDs]]+Table1[[#This Row],[Other TD''s]])),IF(C137="Defensive",(25*(16-Table1[[#This Row],[Tackles]]-(8*(Table1[[#This Row],[Other TD''s]]+Table1[[#This Row],[Interceptions]]+Table1[[#This Row],[Fumbles Recovered]])))))))))))</f>
        <v/>
      </c>
      <c r="R137" s="3" t="str">
        <f t="shared" si="6"/>
        <v/>
      </c>
      <c r="S137" s="4">
        <f t="shared" si="5"/>
        <v>1048507</v>
      </c>
      <c r="T1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38" spans="1:20" hidden="1" x14ac:dyDescent="0.25">
      <c r="A138" t="s">
        <v>58</v>
      </c>
      <c r="B138" s="28" t="s">
        <v>45</v>
      </c>
      <c r="C138" t="s">
        <v>20</v>
      </c>
      <c r="D138" t="str">
        <f>_xlfn.XLOOKUP(Table1[[#This Row],[Player]]&amp;Table1[[#This Row],[Week]]&amp;Table1[[#This Row],[Role]],'Google Form Transform'!$A:$A,'Google Form Transform'!E:E,"")</f>
        <v/>
      </c>
      <c r="E138" t="str">
        <f>_xlfn.XLOOKUP(Table1[[#This Row],[Player]]&amp;Table1[[#This Row],[Week]]&amp;Table1[[#This Row],[Role]],'Google Form Transform'!$A:$A,'Google Form Transform'!F:F,"")</f>
        <v/>
      </c>
      <c r="F138" t="str">
        <f>_xlfn.XLOOKUP(Table1[[#This Row],[Player]]&amp;Table1[[#This Row],[Week]]&amp;Table1[[#This Row],[Role]],'Google Form Transform'!$A:$A,'Google Form Transform'!G:G,"")</f>
        <v/>
      </c>
      <c r="G138" s="59">
        <f>SUMIFS(Table2[Stat],Table2[Stat Category],"passing",Table2[Stat Type],"YDS",Table2[Athlete],Table1[[#This Row],[Pick]],Table2[Week],Table1[[#This Row],[Week]])</f>
        <v>0</v>
      </c>
      <c r="H138" s="59">
        <f>SUMIFS(Table2[Stat],Table2[Stat Category],"rushing",Table2[Stat Type],"YDS",Table2[Athlete],Table1[[#This Row],[Pick]],Table2[Week],Table1[[#This Row],[Week]])</f>
        <v>0</v>
      </c>
      <c r="I138" s="59">
        <f>SUMIFS(Table2[Stat],Table2[Stat Category],"receiving",Table2[Stat Type],"YDS",Table2[Athlete],Table1[[#This Row],[Pick]],Table2[Week],Table1[[#This Row],[Week]])</f>
        <v>0</v>
      </c>
      <c r="J138" s="6">
        <f>IF(AND($C138="Rushing", $H138&lt;=0), 0, IF(AND($C138="Passing", $G$3&lt;=0), 0,IF(AND($C138="Receiving",$I138&lt;=0), 0,SUMIFS(Table2[Stat],Table2[Week],Table1[[#This Row],[Week]],Table2[Athlete],Table1[[#This Row],[Pick]],Table2[Stat Category],"passing",Table2[Stat Type],"TD"))))</f>
        <v>0</v>
      </c>
      <c r="K138" s="6">
        <f>IF(AND($C138="Rushing", $H138&lt;=0), 0, IF(AND($C138="Passing", $G$3&lt;=0), 0,IF(AND($C138="Receiving",$I138&lt;=0),0,SUMIFS(Table2[Stat],Table2[Week],Table1[[#This Row],[Week]],Table2[Athlete],Table1[[#This Row],[Pick]],Table2[Stat Category],"rushing",Table2[Stat Type],"TD"))))</f>
        <v>0</v>
      </c>
      <c r="L138" s="6">
        <f>IF(AND($C138="Rushing", $H138&lt;=0), 0, IF(AND($C138="Passing", $G$3&lt;=0), 0,IF(AND($C138="Receiving",$I138&lt;=0),0,SUMIFS(Table2[Stat],Table2[Week],Table1[[#This Row],[Week]],Table2[Athlete],Table1[[#This Row],[Pick]],Table2[Stat Category],"receiving",Table2[Stat Type],"TD"))))</f>
        <v>0</v>
      </c>
      <c r="M1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8" s="61">
        <f>SUMIFS(Data!$J:$J,Data!$A:$A,Info!$B138,Data!$G:$G,Info!$C138,Data!$I:$I,Info!$D138,Data!$H:$H,"TOT")</f>
        <v>0</v>
      </c>
      <c r="O138" s="61">
        <f>IF(C138="Defensive",SUMIFS(Data!$J:$J,Data!$A:$A,Info!$B138,Data!$I:$I,Info!$D138,Data!$H:$H,"INT"),0)</f>
        <v>0</v>
      </c>
      <c r="P138" s="61">
        <f>IF(Table1[[#This Row],[Role]]="Defensive",SUMIFS(Data!$J:$J,Data!$A:$A,Info!$B138,Data!$I:$I,Info!$D138,Data!$H:$H,$P$1),0)</f>
        <v>0</v>
      </c>
      <c r="Q138" s="65" t="str">
        <f>IF(Table1[[#This Row],[Pick]]="","",IF(S138&gt;1,400,IF(G138="","",IF(C138="Passing",(400-Table1[[#This Row],[Passing Yards]]-(30*Table1[[#This Row],[Passing TDs]])-(50*SUM(Table1[[#This Row],[Rushing TDs]:[Other TD''s]]))),IF(C138="Rushing",2*(200-Table1[[#This Row],[Rushing Yards]]-(30*Table1[[#This Row],[Passing TDs]])-50*(Table1[[#This Row],[Rushing TDs]]+Table1[[#This Row],[Receiving TDs]]+Table1[[#This Row],[Other TD''s]])),IF(C138="Receiving",2*(200-Table1[[#This Row],[Receiving Yards]]-(30*Table1[[#This Row],[Passing TDs]])-50*(Table1[[#This Row],[Rushing TDs]]+Table1[[#This Row],[Receiving TDs]]+Table1[[#This Row],[Other TD''s]])),IF(C138="Defensive",(25*(16-Table1[[#This Row],[Tackles]]-(8*(Table1[[#This Row],[Other TD''s]]+Table1[[#This Row],[Interceptions]]+Table1[[#This Row],[Fumbles Recovered]])))))))))))</f>
        <v/>
      </c>
      <c r="R138" s="3" t="str">
        <f t="shared" si="6"/>
        <v/>
      </c>
      <c r="S138" s="4">
        <f t="shared" si="5"/>
        <v>1048507</v>
      </c>
      <c r="T1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39" spans="1:20" hidden="1" x14ac:dyDescent="0.25">
      <c r="A139" t="s">
        <v>61</v>
      </c>
      <c r="B139" s="28" t="s">
        <v>45</v>
      </c>
      <c r="C139" t="s">
        <v>16</v>
      </c>
      <c r="D139" t="str">
        <f>_xlfn.XLOOKUP(Table1[[#This Row],[Player]]&amp;Table1[[#This Row],[Week]]&amp;Table1[[#This Row],[Role]],'Google Form Transform'!$A:$A,'Google Form Transform'!E:E,"")</f>
        <v/>
      </c>
      <c r="E139" t="str">
        <f>_xlfn.XLOOKUP(Table1[[#This Row],[Player]]&amp;Table1[[#This Row],[Week]]&amp;Table1[[#This Row],[Role]],'Google Form Transform'!$A:$A,'Google Form Transform'!F:F,"")</f>
        <v/>
      </c>
      <c r="F139" t="str">
        <f>_xlfn.XLOOKUP(Table1[[#This Row],[Player]]&amp;Table1[[#This Row],[Week]]&amp;Table1[[#This Row],[Role]],'Google Form Transform'!$A:$A,'Google Form Transform'!G:G,"")</f>
        <v/>
      </c>
      <c r="G139" s="59">
        <f>SUMIFS(Table2[Stat],Table2[Stat Category],"passing",Table2[Stat Type],"YDS",Table2[Athlete],Table1[[#This Row],[Pick]],Table2[Week],Table1[[#This Row],[Week]])</f>
        <v>0</v>
      </c>
      <c r="H139" s="59">
        <f>SUMIFS(Table2[Stat],Table2[Stat Category],"rushing",Table2[Stat Type],"YDS",Table2[Athlete],Table1[[#This Row],[Pick]],Table2[Week],Table1[[#This Row],[Week]])</f>
        <v>0</v>
      </c>
      <c r="I139" s="59">
        <f>SUMIFS(Table2[Stat],Table2[Stat Category],"receiving",Table2[Stat Type],"YDS",Table2[Athlete],Table1[[#This Row],[Pick]],Table2[Week],Table1[[#This Row],[Week]])</f>
        <v>0</v>
      </c>
      <c r="J139" s="6">
        <f>IF(AND($C139="Rushing", $H139&lt;=0), 0, IF(AND($C139="Passing", $G$3&lt;=0), 0,IF(AND($C139="Receiving",$I139&lt;=0), 0,SUMIFS(Table2[Stat],Table2[Week],Table1[[#This Row],[Week]],Table2[Athlete],Table1[[#This Row],[Pick]],Table2[Stat Category],"passing",Table2[Stat Type],"TD"))))</f>
        <v>0</v>
      </c>
      <c r="K139" s="6">
        <f>IF(AND($C139="Rushing", $H139&lt;=0), 0, IF(AND($C139="Passing", $G$3&lt;=0), 0,IF(AND($C139="Receiving",$I139&lt;=0),0,SUMIFS(Table2[Stat],Table2[Week],Table1[[#This Row],[Week]],Table2[Athlete],Table1[[#This Row],[Pick]],Table2[Stat Category],"rushing",Table2[Stat Type],"TD"))))</f>
        <v>0</v>
      </c>
      <c r="L139" s="6">
        <f>IF(AND($C139="Rushing", $H139&lt;=0), 0, IF(AND($C139="Passing", $G$3&lt;=0), 0,IF(AND($C139="Receiving",$I139&lt;=0),0,SUMIFS(Table2[Stat],Table2[Week],Table1[[#This Row],[Week]],Table2[Athlete],Table1[[#This Row],[Pick]],Table2[Stat Category],"receiving",Table2[Stat Type],"TD"))))</f>
        <v>0</v>
      </c>
      <c r="M1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9" s="61">
        <f>SUMIFS(Data!$J:$J,Data!$A:$A,Info!$B139,Data!$G:$G,Info!$C139,Data!$I:$I,Info!$D139,Data!$H:$H,"TOT")</f>
        <v>0</v>
      </c>
      <c r="O139" s="61">
        <f>IF(C139="Defensive",SUMIFS(Data!$J:$J,Data!$A:$A,Info!$B139,Data!$I:$I,Info!$D139,Data!$H:$H,"INT"),0)</f>
        <v>0</v>
      </c>
      <c r="P139" s="61">
        <f>IF(Table1[[#This Row],[Role]]="Defensive",SUMIFS(Data!$J:$J,Data!$A:$A,Info!$B139,Data!$I:$I,Info!$D139,Data!$H:$H,$P$1),0)</f>
        <v>0</v>
      </c>
      <c r="Q139" s="65" t="str">
        <f>IF(Table1[[#This Row],[Pick]]="","",IF(S139&gt;1,400,IF(G139="","",IF(C139="Passing",(400-Table1[[#This Row],[Passing Yards]]-(30*Table1[[#This Row],[Passing TDs]])-(50*SUM(Table1[[#This Row],[Rushing TDs]:[Other TD''s]]))),IF(C139="Rushing",2*(200-Table1[[#This Row],[Rushing Yards]]-(30*Table1[[#This Row],[Passing TDs]])-50*(Table1[[#This Row],[Rushing TDs]]+Table1[[#This Row],[Receiving TDs]]+Table1[[#This Row],[Other TD''s]])),IF(C139="Receiving",2*(200-Table1[[#This Row],[Receiving Yards]]-(30*Table1[[#This Row],[Passing TDs]])-50*(Table1[[#This Row],[Rushing TDs]]+Table1[[#This Row],[Receiving TDs]]+Table1[[#This Row],[Other TD''s]])),IF(C139="Defensive",(25*(16-Table1[[#This Row],[Tackles]]-(8*(Table1[[#This Row],[Other TD''s]]+Table1[[#This Row],[Interceptions]]+Table1[[#This Row],[Fumbles Recovered]])))))))))))</f>
        <v/>
      </c>
      <c r="R139" s="3" t="str">
        <f t="shared" si="6"/>
        <v/>
      </c>
      <c r="S139" s="4">
        <f t="shared" si="5"/>
        <v>1048507</v>
      </c>
      <c r="T1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40" spans="1:20" hidden="1" x14ac:dyDescent="0.25">
      <c r="A140" t="s">
        <v>61</v>
      </c>
      <c r="B140" s="28" t="s">
        <v>45</v>
      </c>
      <c r="C140" t="s">
        <v>6</v>
      </c>
      <c r="D140" t="str">
        <f>_xlfn.XLOOKUP(Table1[[#This Row],[Player]]&amp;Table1[[#This Row],[Week]]&amp;Table1[[#This Row],[Role]],'Google Form Transform'!$A:$A,'Google Form Transform'!E:E,"")</f>
        <v/>
      </c>
      <c r="E140" t="str">
        <f>_xlfn.XLOOKUP(Table1[[#This Row],[Player]]&amp;Table1[[#This Row],[Week]]&amp;Table1[[#This Row],[Role]],'Google Form Transform'!$A:$A,'Google Form Transform'!F:F,"")</f>
        <v/>
      </c>
      <c r="F140" t="str">
        <f>_xlfn.XLOOKUP(Table1[[#This Row],[Player]]&amp;Table1[[#This Row],[Week]]&amp;Table1[[#This Row],[Role]],'Google Form Transform'!$A:$A,'Google Form Transform'!G:G,"")</f>
        <v/>
      </c>
      <c r="G140" s="59">
        <f>SUMIFS(Table2[Stat],Table2[Stat Category],"passing",Table2[Stat Type],"YDS",Table2[Athlete],Table1[[#This Row],[Pick]],Table2[Week],Table1[[#This Row],[Week]])</f>
        <v>0</v>
      </c>
      <c r="H140" s="59">
        <f>SUMIFS(Table2[Stat],Table2[Stat Category],"rushing",Table2[Stat Type],"YDS",Table2[Athlete],Table1[[#This Row],[Pick]],Table2[Week],Table1[[#This Row],[Week]])</f>
        <v>0</v>
      </c>
      <c r="I140" s="59">
        <f>SUMIFS(Table2[Stat],Table2[Stat Category],"receiving",Table2[Stat Type],"YDS",Table2[Athlete],Table1[[#This Row],[Pick]],Table2[Week],Table1[[#This Row],[Week]])</f>
        <v>0</v>
      </c>
      <c r="J140" s="6">
        <f>IF(AND($C140="Rushing", $H140&lt;=0), 0, IF(AND($C140="Passing", $G$3&lt;=0), 0,IF(AND($C140="Receiving",$I140&lt;=0), 0,SUMIFS(Table2[Stat],Table2[Week],Table1[[#This Row],[Week]],Table2[Athlete],Table1[[#This Row],[Pick]],Table2[Stat Category],"passing",Table2[Stat Type],"TD"))))</f>
        <v>0</v>
      </c>
      <c r="K140" s="6">
        <f>IF(AND($C140="Rushing", $H140&lt;=0), 0, IF(AND($C140="Passing", $G$3&lt;=0), 0,IF(AND($C140="Receiving",$I140&lt;=0),0,SUMIFS(Table2[Stat],Table2[Week],Table1[[#This Row],[Week]],Table2[Athlete],Table1[[#This Row],[Pick]],Table2[Stat Category],"rushing",Table2[Stat Type],"TD"))))</f>
        <v>0</v>
      </c>
      <c r="L140" s="6">
        <f>IF(AND($C140="Rushing", $H140&lt;=0), 0, IF(AND($C140="Passing", $G$3&lt;=0), 0,IF(AND($C140="Receiving",$I140&lt;=0),0,SUMIFS(Table2[Stat],Table2[Week],Table1[[#This Row],[Week]],Table2[Athlete],Table1[[#This Row],[Pick]],Table2[Stat Category],"receiving",Table2[Stat Type],"TD"))))</f>
        <v>0</v>
      </c>
      <c r="M1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0" s="61">
        <f>SUMIFS(Data!$J:$J,Data!$A:$A,Info!$B140,Data!$G:$G,Info!$C140,Data!$I:$I,Info!$D140,Data!$H:$H,"TOT")</f>
        <v>0</v>
      </c>
      <c r="O140" s="61">
        <f>IF(C140="Defensive",SUMIFS(Data!$J:$J,Data!$A:$A,Info!$B140,Data!$I:$I,Info!$D140,Data!$H:$H,"INT"),0)</f>
        <v>0</v>
      </c>
      <c r="P140" s="61">
        <f>IF(Table1[[#This Row],[Role]]="Defensive",SUMIFS(Data!$J:$J,Data!$A:$A,Info!$B140,Data!$I:$I,Info!$D140,Data!$H:$H,$P$1),0)</f>
        <v>0</v>
      </c>
      <c r="Q140" s="65" t="str">
        <f>IF(Table1[[#This Row],[Pick]]="","",IF(S140&gt;1,400,IF(G140="","",IF(C140="Passing",(400-Table1[[#This Row],[Passing Yards]]-(30*Table1[[#This Row],[Passing TDs]])-(50*SUM(Table1[[#This Row],[Rushing TDs]:[Other TD''s]]))),IF(C140="Rushing",2*(200-Table1[[#This Row],[Rushing Yards]]-(30*Table1[[#This Row],[Passing TDs]])-50*(Table1[[#This Row],[Rushing TDs]]+Table1[[#This Row],[Receiving TDs]]+Table1[[#This Row],[Other TD''s]])),IF(C140="Receiving",2*(200-Table1[[#This Row],[Receiving Yards]]-(30*Table1[[#This Row],[Passing TDs]])-50*(Table1[[#This Row],[Rushing TDs]]+Table1[[#This Row],[Receiving TDs]]+Table1[[#This Row],[Other TD''s]])),IF(C140="Defensive",(25*(16-Table1[[#This Row],[Tackles]]-(8*(Table1[[#This Row],[Other TD''s]]+Table1[[#This Row],[Interceptions]]+Table1[[#This Row],[Fumbles Recovered]])))))))))))</f>
        <v/>
      </c>
      <c r="R140" s="3" t="str">
        <f t="shared" si="6"/>
        <v/>
      </c>
      <c r="S140" s="4">
        <f t="shared" si="5"/>
        <v>1048507</v>
      </c>
      <c r="T1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41" spans="1:20" hidden="1" x14ac:dyDescent="0.25">
      <c r="A141" t="s">
        <v>61</v>
      </c>
      <c r="B141" s="28" t="s">
        <v>45</v>
      </c>
      <c r="C141" t="s">
        <v>17</v>
      </c>
      <c r="D141" t="str">
        <f>_xlfn.XLOOKUP(Table1[[#This Row],[Player]]&amp;Table1[[#This Row],[Week]]&amp;Table1[[#This Row],[Role]],'Google Form Transform'!$A:$A,'Google Form Transform'!E:E,"")</f>
        <v/>
      </c>
      <c r="E141" t="str">
        <f>_xlfn.XLOOKUP(Table1[[#This Row],[Player]]&amp;Table1[[#This Row],[Week]]&amp;Table1[[#This Row],[Role]],'Google Form Transform'!$A:$A,'Google Form Transform'!F:F,"")</f>
        <v/>
      </c>
      <c r="F141" t="str">
        <f>_xlfn.XLOOKUP(Table1[[#This Row],[Player]]&amp;Table1[[#This Row],[Week]]&amp;Table1[[#This Row],[Role]],'Google Form Transform'!$A:$A,'Google Form Transform'!G:G,"")</f>
        <v/>
      </c>
      <c r="G141" s="59">
        <f>SUMIFS(Table2[Stat],Table2[Stat Category],"passing",Table2[Stat Type],"YDS",Table2[Athlete],Table1[[#This Row],[Pick]],Table2[Week],Table1[[#This Row],[Week]])</f>
        <v>0</v>
      </c>
      <c r="H141" s="59">
        <f>SUMIFS(Table2[Stat],Table2[Stat Category],"rushing",Table2[Stat Type],"YDS",Table2[Athlete],Table1[[#This Row],[Pick]],Table2[Week],Table1[[#This Row],[Week]])</f>
        <v>0</v>
      </c>
      <c r="I141" s="59">
        <f>SUMIFS(Table2[Stat],Table2[Stat Category],"receiving",Table2[Stat Type],"YDS",Table2[Athlete],Table1[[#This Row],[Pick]],Table2[Week],Table1[[#This Row],[Week]])</f>
        <v>0</v>
      </c>
      <c r="J141" s="6">
        <f>IF(AND($C141="Rushing", $H141&lt;=0), 0, IF(AND($C141="Passing", $G$3&lt;=0), 0,IF(AND($C141="Receiving",$I141&lt;=0), 0,SUMIFS(Table2[Stat],Table2[Week],Table1[[#This Row],[Week]],Table2[Athlete],Table1[[#This Row],[Pick]],Table2[Stat Category],"passing",Table2[Stat Type],"TD"))))</f>
        <v>0</v>
      </c>
      <c r="K141" s="6">
        <f>IF(AND($C141="Rushing", $H141&lt;=0), 0, IF(AND($C141="Passing", $G$3&lt;=0), 0,IF(AND($C141="Receiving",$I141&lt;=0),0,SUMIFS(Table2[Stat],Table2[Week],Table1[[#This Row],[Week]],Table2[Athlete],Table1[[#This Row],[Pick]],Table2[Stat Category],"rushing",Table2[Stat Type],"TD"))))</f>
        <v>0</v>
      </c>
      <c r="L141" s="6">
        <f>IF(AND($C141="Rushing", $H141&lt;=0), 0, IF(AND($C141="Passing", $G$3&lt;=0), 0,IF(AND($C141="Receiving",$I141&lt;=0),0,SUMIFS(Table2[Stat],Table2[Week],Table1[[#This Row],[Week]],Table2[Athlete],Table1[[#This Row],[Pick]],Table2[Stat Category],"receiving",Table2[Stat Type],"TD"))))</f>
        <v>0</v>
      </c>
      <c r="M1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1" s="61">
        <f>SUMIFS(Data!$J:$J,Data!$A:$A,Info!$B141,Data!$G:$G,Info!$C141,Data!$I:$I,Info!$D141,Data!$H:$H,"TOT")</f>
        <v>0</v>
      </c>
      <c r="O141" s="61">
        <f>IF(C141="Defensive",SUMIFS(Data!$J:$J,Data!$A:$A,Info!$B141,Data!$I:$I,Info!$D141,Data!$H:$H,"INT"),0)</f>
        <v>0</v>
      </c>
      <c r="P141" s="61">
        <f>IF(Table1[[#This Row],[Role]]="Defensive",SUMIFS(Data!$J:$J,Data!$A:$A,Info!$B141,Data!$I:$I,Info!$D141,Data!$H:$H,$P$1),0)</f>
        <v>0</v>
      </c>
      <c r="Q141" s="65" t="str">
        <f>IF(Table1[[#This Row],[Pick]]="","",IF(S141&gt;1,400,IF(G141="","",IF(C141="Passing",(400-Table1[[#This Row],[Passing Yards]]-(30*Table1[[#This Row],[Passing TDs]])-(50*SUM(Table1[[#This Row],[Rushing TDs]:[Other TD''s]]))),IF(C141="Rushing",2*(200-Table1[[#This Row],[Rushing Yards]]-(30*Table1[[#This Row],[Passing TDs]])-50*(Table1[[#This Row],[Rushing TDs]]+Table1[[#This Row],[Receiving TDs]]+Table1[[#This Row],[Other TD''s]])),IF(C141="Receiving",2*(200-Table1[[#This Row],[Receiving Yards]]-(30*Table1[[#This Row],[Passing TDs]])-50*(Table1[[#This Row],[Rushing TDs]]+Table1[[#This Row],[Receiving TDs]]+Table1[[#This Row],[Other TD''s]])),IF(C141="Defensive",(25*(16-Table1[[#This Row],[Tackles]]-(8*(Table1[[#This Row],[Other TD''s]]+Table1[[#This Row],[Interceptions]]+Table1[[#This Row],[Fumbles Recovered]])))))))))))</f>
        <v/>
      </c>
      <c r="R141" s="3" t="str">
        <f t="shared" si="6"/>
        <v/>
      </c>
      <c r="S141" s="4">
        <f t="shared" si="5"/>
        <v>1048507</v>
      </c>
      <c r="T1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42" spans="1:20" hidden="1" x14ac:dyDescent="0.25">
      <c r="A142" t="s">
        <v>61</v>
      </c>
      <c r="B142" s="28" t="s">
        <v>45</v>
      </c>
      <c r="C142" t="s">
        <v>20</v>
      </c>
      <c r="D142" t="str">
        <f>_xlfn.XLOOKUP(Table1[[#This Row],[Player]]&amp;Table1[[#This Row],[Week]]&amp;Table1[[#This Row],[Role]],'Google Form Transform'!$A:$A,'Google Form Transform'!E:E,"")</f>
        <v/>
      </c>
      <c r="E142" t="str">
        <f>_xlfn.XLOOKUP(Table1[[#This Row],[Player]]&amp;Table1[[#This Row],[Week]]&amp;Table1[[#This Row],[Role]],'Google Form Transform'!$A:$A,'Google Form Transform'!F:F,"")</f>
        <v/>
      </c>
      <c r="F142" t="str">
        <f>_xlfn.XLOOKUP(Table1[[#This Row],[Player]]&amp;Table1[[#This Row],[Week]]&amp;Table1[[#This Row],[Role]],'Google Form Transform'!$A:$A,'Google Form Transform'!G:G,"")</f>
        <v/>
      </c>
      <c r="G142" s="59">
        <f>SUMIFS(Table2[Stat],Table2[Stat Category],"passing",Table2[Stat Type],"YDS",Table2[Athlete],Table1[[#This Row],[Pick]],Table2[Week],Table1[[#This Row],[Week]])</f>
        <v>0</v>
      </c>
      <c r="H142" s="59">
        <f>SUMIFS(Table2[Stat],Table2[Stat Category],"rushing",Table2[Stat Type],"YDS",Table2[Athlete],Table1[[#This Row],[Pick]],Table2[Week],Table1[[#This Row],[Week]])</f>
        <v>0</v>
      </c>
      <c r="I142" s="59">
        <f>SUMIFS(Table2[Stat],Table2[Stat Category],"receiving",Table2[Stat Type],"YDS",Table2[Athlete],Table1[[#This Row],[Pick]],Table2[Week],Table1[[#This Row],[Week]])</f>
        <v>0</v>
      </c>
      <c r="J142" s="6">
        <f>IF(AND($C142="Rushing", $H142&lt;=0), 0, IF(AND($C142="Passing", $G$3&lt;=0), 0,IF(AND($C142="Receiving",$I142&lt;=0), 0,SUMIFS(Table2[Stat],Table2[Week],Table1[[#This Row],[Week]],Table2[Athlete],Table1[[#This Row],[Pick]],Table2[Stat Category],"passing",Table2[Stat Type],"TD"))))</f>
        <v>0</v>
      </c>
      <c r="K142" s="6">
        <f>IF(AND($C142="Rushing", $H142&lt;=0), 0, IF(AND($C142="Passing", $G$3&lt;=0), 0,IF(AND($C142="Receiving",$I142&lt;=0),0,SUMIFS(Table2[Stat],Table2[Week],Table1[[#This Row],[Week]],Table2[Athlete],Table1[[#This Row],[Pick]],Table2[Stat Category],"rushing",Table2[Stat Type],"TD"))))</f>
        <v>0</v>
      </c>
      <c r="L142" s="6">
        <f>IF(AND($C142="Rushing", $H142&lt;=0), 0, IF(AND($C142="Passing", $G$3&lt;=0), 0,IF(AND($C142="Receiving",$I142&lt;=0),0,SUMIFS(Table2[Stat],Table2[Week],Table1[[#This Row],[Week]],Table2[Athlete],Table1[[#This Row],[Pick]],Table2[Stat Category],"receiving",Table2[Stat Type],"TD"))))</f>
        <v>0</v>
      </c>
      <c r="M1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2" s="61">
        <f>SUMIFS(Data!$J:$J,Data!$A:$A,Info!$B142,Data!$G:$G,Info!$C142,Data!$I:$I,Info!$D142,Data!$H:$H,"TOT")</f>
        <v>0</v>
      </c>
      <c r="O142" s="61">
        <f>IF(C142="Defensive",SUMIFS(Data!$J:$J,Data!$A:$A,Info!$B142,Data!$I:$I,Info!$D142,Data!$H:$H,"INT"),0)</f>
        <v>0</v>
      </c>
      <c r="P142" s="61">
        <f>IF(Table1[[#This Row],[Role]]="Defensive",SUMIFS(Data!$J:$J,Data!$A:$A,Info!$B142,Data!$I:$I,Info!$D142,Data!$H:$H,$P$1),0)</f>
        <v>0</v>
      </c>
      <c r="Q142" s="65" t="str">
        <f>IF(Table1[[#This Row],[Pick]]="","",IF(S142&gt;1,400,IF(G142="","",IF(C142="Passing",(400-Table1[[#This Row],[Passing Yards]]-(30*Table1[[#This Row],[Passing TDs]])-(50*SUM(Table1[[#This Row],[Rushing TDs]:[Other TD''s]]))),IF(C142="Rushing",2*(200-Table1[[#This Row],[Rushing Yards]]-(30*Table1[[#This Row],[Passing TDs]])-50*(Table1[[#This Row],[Rushing TDs]]+Table1[[#This Row],[Receiving TDs]]+Table1[[#This Row],[Other TD''s]])),IF(C142="Receiving",2*(200-Table1[[#This Row],[Receiving Yards]]-(30*Table1[[#This Row],[Passing TDs]])-50*(Table1[[#This Row],[Rushing TDs]]+Table1[[#This Row],[Receiving TDs]]+Table1[[#This Row],[Other TD''s]])),IF(C142="Defensive",(25*(16-Table1[[#This Row],[Tackles]]-(8*(Table1[[#This Row],[Other TD''s]]+Table1[[#This Row],[Interceptions]]+Table1[[#This Row],[Fumbles Recovered]])))))))))))</f>
        <v/>
      </c>
      <c r="R142" s="3" t="str">
        <f t="shared" si="6"/>
        <v/>
      </c>
      <c r="S142" s="4">
        <f t="shared" si="5"/>
        <v>1048507</v>
      </c>
      <c r="T1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43" spans="1:20" hidden="1" x14ac:dyDescent="0.25">
      <c r="A143" t="s">
        <v>60</v>
      </c>
      <c r="B143" s="28" t="s">
        <v>45</v>
      </c>
      <c r="C143" t="s">
        <v>16</v>
      </c>
      <c r="D143" t="str">
        <f>_xlfn.XLOOKUP(Table1[[#This Row],[Player]]&amp;Table1[[#This Row],[Week]]&amp;Table1[[#This Row],[Role]],'Google Form Transform'!$A:$A,'Google Form Transform'!E:E,"")</f>
        <v/>
      </c>
      <c r="E143" t="str">
        <f>_xlfn.XLOOKUP(Table1[[#This Row],[Player]]&amp;Table1[[#This Row],[Week]]&amp;Table1[[#This Row],[Role]],'Google Form Transform'!$A:$A,'Google Form Transform'!F:F,"")</f>
        <v/>
      </c>
      <c r="F143" t="str">
        <f>_xlfn.XLOOKUP(Table1[[#This Row],[Player]]&amp;Table1[[#This Row],[Week]]&amp;Table1[[#This Row],[Role]],'Google Form Transform'!$A:$A,'Google Form Transform'!G:G,"")</f>
        <v/>
      </c>
      <c r="G143" s="59">
        <f>SUMIFS(Table2[Stat],Table2[Stat Category],"passing",Table2[Stat Type],"YDS",Table2[Athlete],Table1[[#This Row],[Pick]],Table2[Week],Table1[[#This Row],[Week]])</f>
        <v>0</v>
      </c>
      <c r="H143" s="59">
        <f>SUMIFS(Table2[Stat],Table2[Stat Category],"rushing",Table2[Stat Type],"YDS",Table2[Athlete],Table1[[#This Row],[Pick]],Table2[Week],Table1[[#This Row],[Week]])</f>
        <v>0</v>
      </c>
      <c r="I143" s="59">
        <f>SUMIFS(Table2[Stat],Table2[Stat Category],"receiving",Table2[Stat Type],"YDS",Table2[Athlete],Table1[[#This Row],[Pick]],Table2[Week],Table1[[#This Row],[Week]])</f>
        <v>0</v>
      </c>
      <c r="J143" s="6">
        <f>IF(AND($C143="Rushing", $H143&lt;=0), 0, IF(AND($C143="Passing", $G$3&lt;=0), 0,IF(AND($C143="Receiving",$I143&lt;=0), 0,SUMIFS(Table2[Stat],Table2[Week],Table1[[#This Row],[Week]],Table2[Athlete],Table1[[#This Row],[Pick]],Table2[Stat Category],"passing",Table2[Stat Type],"TD"))))</f>
        <v>0</v>
      </c>
      <c r="K143" s="6">
        <f>IF(AND($C143="Rushing", $H143&lt;=0), 0, IF(AND($C143="Passing", $G$3&lt;=0), 0,IF(AND($C143="Receiving",$I143&lt;=0),0,SUMIFS(Table2[Stat],Table2[Week],Table1[[#This Row],[Week]],Table2[Athlete],Table1[[#This Row],[Pick]],Table2[Stat Category],"rushing",Table2[Stat Type],"TD"))))</f>
        <v>0</v>
      </c>
      <c r="L143" s="6">
        <f>IF(AND($C143="Rushing", $H143&lt;=0), 0, IF(AND($C143="Passing", $G$3&lt;=0), 0,IF(AND($C143="Receiving",$I143&lt;=0),0,SUMIFS(Table2[Stat],Table2[Week],Table1[[#This Row],[Week]],Table2[Athlete],Table1[[#This Row],[Pick]],Table2[Stat Category],"receiving",Table2[Stat Type],"TD"))))</f>
        <v>0</v>
      </c>
      <c r="M1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3" s="61">
        <f>SUMIFS(Data!$J:$J,Data!$A:$A,Info!$B143,Data!$G:$G,Info!$C143,Data!$I:$I,Info!$D143,Data!$H:$H,"TOT")</f>
        <v>0</v>
      </c>
      <c r="O143" s="61">
        <f>IF(C143="Defensive",SUMIFS(Data!$J:$J,Data!$A:$A,Info!$B143,Data!$I:$I,Info!$D143,Data!$H:$H,"INT"),0)</f>
        <v>0</v>
      </c>
      <c r="P143" s="61">
        <f>IF(Table1[[#This Row],[Role]]="Defensive",SUMIFS(Data!$J:$J,Data!$A:$A,Info!$B143,Data!$I:$I,Info!$D143,Data!$H:$H,$P$1),0)</f>
        <v>0</v>
      </c>
      <c r="Q143" s="65" t="str">
        <f>IF(Table1[[#This Row],[Pick]]="","",IF(S143&gt;1,400,IF(G143="","",IF(C143="Passing",(400-Table1[[#This Row],[Passing Yards]]-(30*Table1[[#This Row],[Passing TDs]])-(50*SUM(Table1[[#This Row],[Rushing TDs]:[Other TD''s]]))),IF(C143="Rushing",2*(200-Table1[[#This Row],[Rushing Yards]]-(30*Table1[[#This Row],[Passing TDs]])-50*(Table1[[#This Row],[Rushing TDs]]+Table1[[#This Row],[Receiving TDs]]+Table1[[#This Row],[Other TD''s]])),IF(C143="Receiving",2*(200-Table1[[#This Row],[Receiving Yards]]-(30*Table1[[#This Row],[Passing TDs]])-50*(Table1[[#This Row],[Rushing TDs]]+Table1[[#This Row],[Receiving TDs]]+Table1[[#This Row],[Other TD''s]])),IF(C143="Defensive",(25*(16-Table1[[#This Row],[Tackles]]-(8*(Table1[[#This Row],[Other TD''s]]+Table1[[#This Row],[Interceptions]]+Table1[[#This Row],[Fumbles Recovered]])))))))))))</f>
        <v/>
      </c>
      <c r="R143" s="3" t="str">
        <f t="shared" si="6"/>
        <v/>
      </c>
      <c r="S143" s="4">
        <f t="shared" si="5"/>
        <v>1048507</v>
      </c>
      <c r="T1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44" spans="1:20" hidden="1" x14ac:dyDescent="0.25">
      <c r="A144" t="s">
        <v>60</v>
      </c>
      <c r="B144" s="28" t="s">
        <v>45</v>
      </c>
      <c r="C144" t="s">
        <v>6</v>
      </c>
      <c r="D144" t="str">
        <f>_xlfn.XLOOKUP(Table1[[#This Row],[Player]]&amp;Table1[[#This Row],[Week]]&amp;Table1[[#This Row],[Role]],'Google Form Transform'!$A:$A,'Google Form Transform'!E:E,"")</f>
        <v/>
      </c>
      <c r="E144" t="str">
        <f>_xlfn.XLOOKUP(Table1[[#This Row],[Player]]&amp;Table1[[#This Row],[Week]]&amp;Table1[[#This Row],[Role]],'Google Form Transform'!$A:$A,'Google Form Transform'!F:F,"")</f>
        <v/>
      </c>
      <c r="F144" t="str">
        <f>_xlfn.XLOOKUP(Table1[[#This Row],[Player]]&amp;Table1[[#This Row],[Week]]&amp;Table1[[#This Row],[Role]],'Google Form Transform'!$A:$A,'Google Form Transform'!G:G,"")</f>
        <v/>
      </c>
      <c r="G144" s="59">
        <f>SUMIFS(Table2[Stat],Table2[Stat Category],"passing",Table2[Stat Type],"YDS",Table2[Athlete],Table1[[#This Row],[Pick]],Table2[Week],Table1[[#This Row],[Week]])</f>
        <v>0</v>
      </c>
      <c r="H144" s="59">
        <f>SUMIFS(Table2[Stat],Table2[Stat Category],"rushing",Table2[Stat Type],"YDS",Table2[Athlete],Table1[[#This Row],[Pick]],Table2[Week],Table1[[#This Row],[Week]])</f>
        <v>0</v>
      </c>
      <c r="I144" s="59">
        <f>SUMIFS(Table2[Stat],Table2[Stat Category],"receiving",Table2[Stat Type],"YDS",Table2[Athlete],Table1[[#This Row],[Pick]],Table2[Week],Table1[[#This Row],[Week]])</f>
        <v>0</v>
      </c>
      <c r="J144" s="6">
        <f>IF(AND($C144="Rushing", $H144&lt;=0), 0, IF(AND($C144="Passing", $G$3&lt;=0), 0,IF(AND($C144="Receiving",$I144&lt;=0), 0,SUMIFS(Table2[Stat],Table2[Week],Table1[[#This Row],[Week]],Table2[Athlete],Table1[[#This Row],[Pick]],Table2[Stat Category],"passing",Table2[Stat Type],"TD"))))</f>
        <v>0</v>
      </c>
      <c r="K144" s="6">
        <f>IF(AND($C144="Rushing", $H144&lt;=0), 0, IF(AND($C144="Passing", $G$3&lt;=0), 0,IF(AND($C144="Receiving",$I144&lt;=0),0,SUMIFS(Table2[Stat],Table2[Week],Table1[[#This Row],[Week]],Table2[Athlete],Table1[[#This Row],[Pick]],Table2[Stat Category],"rushing",Table2[Stat Type],"TD"))))</f>
        <v>0</v>
      </c>
      <c r="L144" s="6">
        <f>IF(AND($C144="Rushing", $H144&lt;=0), 0, IF(AND($C144="Passing", $G$3&lt;=0), 0,IF(AND($C144="Receiving",$I144&lt;=0),0,SUMIFS(Table2[Stat],Table2[Week],Table1[[#This Row],[Week]],Table2[Athlete],Table1[[#This Row],[Pick]],Table2[Stat Category],"receiving",Table2[Stat Type],"TD"))))</f>
        <v>0</v>
      </c>
      <c r="M1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4" s="61">
        <f>SUMIFS(Data!$J:$J,Data!$A:$A,Info!$B144,Data!$G:$G,Info!$C144,Data!$I:$I,Info!$D144,Data!$H:$H,"TOT")</f>
        <v>0</v>
      </c>
      <c r="O144" s="61">
        <f>IF(C144="Defensive",SUMIFS(Data!$J:$J,Data!$A:$A,Info!$B144,Data!$I:$I,Info!$D144,Data!$H:$H,"INT"),0)</f>
        <v>0</v>
      </c>
      <c r="P144" s="61">
        <f>IF(Table1[[#This Row],[Role]]="Defensive",SUMIFS(Data!$J:$J,Data!$A:$A,Info!$B144,Data!$I:$I,Info!$D144,Data!$H:$H,$P$1),0)</f>
        <v>0</v>
      </c>
      <c r="Q144" s="65" t="str">
        <f>IF(Table1[[#This Row],[Pick]]="","",IF(S144&gt;1,400,IF(G144="","",IF(C144="Passing",(400-Table1[[#This Row],[Passing Yards]]-(30*Table1[[#This Row],[Passing TDs]])-(50*SUM(Table1[[#This Row],[Rushing TDs]:[Other TD''s]]))),IF(C144="Rushing",2*(200-Table1[[#This Row],[Rushing Yards]]-(30*Table1[[#This Row],[Passing TDs]])-50*(Table1[[#This Row],[Rushing TDs]]+Table1[[#This Row],[Receiving TDs]]+Table1[[#This Row],[Other TD''s]])),IF(C144="Receiving",2*(200-Table1[[#This Row],[Receiving Yards]]-(30*Table1[[#This Row],[Passing TDs]])-50*(Table1[[#This Row],[Rushing TDs]]+Table1[[#This Row],[Receiving TDs]]+Table1[[#This Row],[Other TD''s]])),IF(C144="Defensive",(25*(16-Table1[[#This Row],[Tackles]]-(8*(Table1[[#This Row],[Other TD''s]]+Table1[[#This Row],[Interceptions]]+Table1[[#This Row],[Fumbles Recovered]])))))))))))</f>
        <v/>
      </c>
      <c r="R144" s="3" t="str">
        <f t="shared" si="6"/>
        <v/>
      </c>
      <c r="S144" s="4">
        <f t="shared" si="5"/>
        <v>1048507</v>
      </c>
      <c r="T1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45" spans="1:20" hidden="1" x14ac:dyDescent="0.25">
      <c r="A145" t="s">
        <v>60</v>
      </c>
      <c r="B145" s="28" t="s">
        <v>45</v>
      </c>
      <c r="C145" t="s">
        <v>17</v>
      </c>
      <c r="D145" t="str">
        <f>_xlfn.XLOOKUP(Table1[[#This Row],[Player]]&amp;Table1[[#This Row],[Week]]&amp;Table1[[#This Row],[Role]],'Google Form Transform'!$A:$A,'Google Form Transform'!E:E,"")</f>
        <v/>
      </c>
      <c r="E145" t="str">
        <f>_xlfn.XLOOKUP(Table1[[#This Row],[Player]]&amp;Table1[[#This Row],[Week]]&amp;Table1[[#This Row],[Role]],'Google Form Transform'!$A:$A,'Google Form Transform'!F:F,"")</f>
        <v/>
      </c>
      <c r="F145" t="str">
        <f>_xlfn.XLOOKUP(Table1[[#This Row],[Player]]&amp;Table1[[#This Row],[Week]]&amp;Table1[[#This Row],[Role]],'Google Form Transform'!$A:$A,'Google Form Transform'!G:G,"")</f>
        <v/>
      </c>
      <c r="G145" s="59">
        <f>SUMIFS(Table2[Stat],Table2[Stat Category],"passing",Table2[Stat Type],"YDS",Table2[Athlete],Table1[[#This Row],[Pick]],Table2[Week],Table1[[#This Row],[Week]])</f>
        <v>0</v>
      </c>
      <c r="H145" s="59">
        <f>SUMIFS(Table2[Stat],Table2[Stat Category],"rushing",Table2[Stat Type],"YDS",Table2[Athlete],Table1[[#This Row],[Pick]],Table2[Week],Table1[[#This Row],[Week]])</f>
        <v>0</v>
      </c>
      <c r="I145" s="59">
        <f>SUMIFS(Table2[Stat],Table2[Stat Category],"receiving",Table2[Stat Type],"YDS",Table2[Athlete],Table1[[#This Row],[Pick]],Table2[Week],Table1[[#This Row],[Week]])</f>
        <v>0</v>
      </c>
      <c r="J145" s="6">
        <f>IF(AND($C145="Rushing", $H145&lt;=0), 0, IF(AND($C145="Passing", $G$3&lt;=0), 0,IF(AND($C145="Receiving",$I145&lt;=0), 0,SUMIFS(Table2[Stat],Table2[Week],Table1[[#This Row],[Week]],Table2[Athlete],Table1[[#This Row],[Pick]],Table2[Stat Category],"passing",Table2[Stat Type],"TD"))))</f>
        <v>0</v>
      </c>
      <c r="K145" s="6">
        <f>IF(AND($C145="Rushing", $H145&lt;=0), 0, IF(AND($C145="Passing", $G$3&lt;=0), 0,IF(AND($C145="Receiving",$I145&lt;=0),0,SUMIFS(Table2[Stat],Table2[Week],Table1[[#This Row],[Week]],Table2[Athlete],Table1[[#This Row],[Pick]],Table2[Stat Category],"rushing",Table2[Stat Type],"TD"))))</f>
        <v>0</v>
      </c>
      <c r="L145" s="6">
        <f>IF(AND($C145="Rushing", $H145&lt;=0), 0, IF(AND($C145="Passing", $G$3&lt;=0), 0,IF(AND($C145="Receiving",$I145&lt;=0),0,SUMIFS(Table2[Stat],Table2[Week],Table1[[#This Row],[Week]],Table2[Athlete],Table1[[#This Row],[Pick]],Table2[Stat Category],"receiving",Table2[Stat Type],"TD"))))</f>
        <v>0</v>
      </c>
      <c r="M1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5" s="61">
        <f>SUMIFS(Data!$J:$J,Data!$A:$A,Info!$B145,Data!$G:$G,Info!$C145,Data!$I:$I,Info!$D145,Data!$H:$H,"TOT")</f>
        <v>0</v>
      </c>
      <c r="O145" s="61">
        <f>IF(C145="Defensive",SUMIFS(Data!$J:$J,Data!$A:$A,Info!$B145,Data!$I:$I,Info!$D145,Data!$H:$H,"INT"),0)</f>
        <v>0</v>
      </c>
      <c r="P145" s="61">
        <f>IF(Table1[[#This Row],[Role]]="Defensive",SUMIFS(Data!$J:$J,Data!$A:$A,Info!$B145,Data!$I:$I,Info!$D145,Data!$H:$H,$P$1),0)</f>
        <v>0</v>
      </c>
      <c r="Q145" s="65" t="str">
        <f>IF(Table1[[#This Row],[Pick]]="","",IF(S145&gt;1,400,IF(G145="","",IF(C145="Passing",(400-Table1[[#This Row],[Passing Yards]]-(30*Table1[[#This Row],[Passing TDs]])-(50*SUM(Table1[[#This Row],[Rushing TDs]:[Other TD''s]]))),IF(C145="Rushing",2*(200-Table1[[#This Row],[Rushing Yards]]-(30*Table1[[#This Row],[Passing TDs]])-50*(Table1[[#This Row],[Rushing TDs]]+Table1[[#This Row],[Receiving TDs]]+Table1[[#This Row],[Other TD''s]])),IF(C145="Receiving",2*(200-Table1[[#This Row],[Receiving Yards]]-(30*Table1[[#This Row],[Passing TDs]])-50*(Table1[[#This Row],[Rushing TDs]]+Table1[[#This Row],[Receiving TDs]]+Table1[[#This Row],[Other TD''s]])),IF(C145="Defensive",(25*(16-Table1[[#This Row],[Tackles]]-(8*(Table1[[#This Row],[Other TD''s]]+Table1[[#This Row],[Interceptions]]+Table1[[#This Row],[Fumbles Recovered]])))))))))))</f>
        <v/>
      </c>
      <c r="R145" s="3" t="str">
        <f t="shared" si="6"/>
        <v/>
      </c>
      <c r="S145" s="4">
        <f t="shared" si="5"/>
        <v>1048507</v>
      </c>
      <c r="T1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46" spans="1:20" hidden="1" x14ac:dyDescent="0.25">
      <c r="A146" t="s">
        <v>60</v>
      </c>
      <c r="B146" s="28" t="s">
        <v>45</v>
      </c>
      <c r="C146" t="s">
        <v>20</v>
      </c>
      <c r="D146" t="str">
        <f>_xlfn.XLOOKUP(Table1[[#This Row],[Player]]&amp;Table1[[#This Row],[Week]]&amp;Table1[[#This Row],[Role]],'Google Form Transform'!$A:$A,'Google Form Transform'!E:E,"")</f>
        <v/>
      </c>
      <c r="E146" t="str">
        <f>_xlfn.XLOOKUP(Table1[[#This Row],[Player]]&amp;Table1[[#This Row],[Week]]&amp;Table1[[#This Row],[Role]],'Google Form Transform'!$A:$A,'Google Form Transform'!F:F,"")</f>
        <v/>
      </c>
      <c r="F146" t="str">
        <f>_xlfn.XLOOKUP(Table1[[#This Row],[Player]]&amp;Table1[[#This Row],[Week]]&amp;Table1[[#This Row],[Role]],'Google Form Transform'!$A:$A,'Google Form Transform'!G:G,"")</f>
        <v/>
      </c>
      <c r="G146" s="59">
        <f>SUMIFS(Table2[Stat],Table2[Stat Category],"passing",Table2[Stat Type],"YDS",Table2[Athlete],Table1[[#This Row],[Pick]],Table2[Week],Table1[[#This Row],[Week]])</f>
        <v>0</v>
      </c>
      <c r="H146" s="59">
        <f>SUMIFS(Table2[Stat],Table2[Stat Category],"rushing",Table2[Stat Type],"YDS",Table2[Athlete],Table1[[#This Row],[Pick]],Table2[Week],Table1[[#This Row],[Week]])</f>
        <v>0</v>
      </c>
      <c r="I146" s="59">
        <f>SUMIFS(Table2[Stat],Table2[Stat Category],"receiving",Table2[Stat Type],"YDS",Table2[Athlete],Table1[[#This Row],[Pick]],Table2[Week],Table1[[#This Row],[Week]])</f>
        <v>0</v>
      </c>
      <c r="J146" s="6">
        <f>IF(AND($C146="Rushing", $H146&lt;=0), 0, IF(AND($C146="Passing", $G$3&lt;=0), 0,IF(AND($C146="Receiving",$I146&lt;=0), 0,SUMIFS(Table2[Stat],Table2[Week],Table1[[#This Row],[Week]],Table2[Athlete],Table1[[#This Row],[Pick]],Table2[Stat Category],"passing",Table2[Stat Type],"TD"))))</f>
        <v>0</v>
      </c>
      <c r="K146" s="6">
        <f>IF(AND($C146="Rushing", $H146&lt;=0), 0, IF(AND($C146="Passing", $G$3&lt;=0), 0,IF(AND($C146="Receiving",$I146&lt;=0),0,SUMIFS(Table2[Stat],Table2[Week],Table1[[#This Row],[Week]],Table2[Athlete],Table1[[#This Row],[Pick]],Table2[Stat Category],"rushing",Table2[Stat Type],"TD"))))</f>
        <v>0</v>
      </c>
      <c r="L146" s="6">
        <f>IF(AND($C146="Rushing", $H146&lt;=0), 0, IF(AND($C146="Passing", $G$3&lt;=0), 0,IF(AND($C146="Receiving",$I146&lt;=0),0,SUMIFS(Table2[Stat],Table2[Week],Table1[[#This Row],[Week]],Table2[Athlete],Table1[[#This Row],[Pick]],Table2[Stat Category],"receiving",Table2[Stat Type],"TD"))))</f>
        <v>0</v>
      </c>
      <c r="M1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6" s="61">
        <f>SUMIFS(Data!$J:$J,Data!$A:$A,Info!$B146,Data!$G:$G,Info!$C146,Data!$I:$I,Info!$D146,Data!$H:$H,"TOT")</f>
        <v>0</v>
      </c>
      <c r="O146" s="61">
        <f>IF(C146="Defensive",SUMIFS(Data!$J:$J,Data!$A:$A,Info!$B146,Data!$I:$I,Info!$D146,Data!$H:$H,"INT"),0)</f>
        <v>0</v>
      </c>
      <c r="P146" s="61">
        <f>IF(Table1[[#This Row],[Role]]="Defensive",SUMIFS(Data!$J:$J,Data!$A:$A,Info!$B146,Data!$I:$I,Info!$D146,Data!$H:$H,$P$1),0)</f>
        <v>0</v>
      </c>
      <c r="Q146" s="65" t="str">
        <f>IF(Table1[[#This Row],[Pick]]="","",IF(S146&gt;1,400,IF(G146="","",IF(C146="Passing",(400-Table1[[#This Row],[Passing Yards]]-(30*Table1[[#This Row],[Passing TDs]])-(50*SUM(Table1[[#This Row],[Rushing TDs]:[Other TD''s]]))),IF(C146="Rushing",2*(200-Table1[[#This Row],[Rushing Yards]]-(30*Table1[[#This Row],[Passing TDs]])-50*(Table1[[#This Row],[Rushing TDs]]+Table1[[#This Row],[Receiving TDs]]+Table1[[#This Row],[Other TD''s]])),IF(C146="Receiving",2*(200-Table1[[#This Row],[Receiving Yards]]-(30*Table1[[#This Row],[Passing TDs]])-50*(Table1[[#This Row],[Rushing TDs]]+Table1[[#This Row],[Receiving TDs]]+Table1[[#This Row],[Other TD''s]])),IF(C146="Defensive",(25*(16-Table1[[#This Row],[Tackles]]-(8*(Table1[[#This Row],[Other TD''s]]+Table1[[#This Row],[Interceptions]]+Table1[[#This Row],[Fumbles Recovered]])))))))))))</f>
        <v/>
      </c>
      <c r="R146" s="3" t="str">
        <f t="shared" si="6"/>
        <v/>
      </c>
      <c r="S146" s="4">
        <f t="shared" si="5"/>
        <v>1048507</v>
      </c>
      <c r="T1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47" spans="1:20" hidden="1" x14ac:dyDescent="0.25">
      <c r="A147" t="s">
        <v>62</v>
      </c>
      <c r="B147" s="28" t="s">
        <v>45</v>
      </c>
      <c r="C147" t="s">
        <v>16</v>
      </c>
      <c r="D147" t="str">
        <f>_xlfn.XLOOKUP(Table1[[#This Row],[Player]]&amp;Table1[[#This Row],[Week]]&amp;Table1[[#This Row],[Role]],'Google Form Transform'!$A:$A,'Google Form Transform'!E:E,"")</f>
        <v/>
      </c>
      <c r="E147" t="str">
        <f>_xlfn.XLOOKUP(Table1[[#This Row],[Player]]&amp;Table1[[#This Row],[Week]]&amp;Table1[[#This Row],[Role]],'Google Form Transform'!$A:$A,'Google Form Transform'!F:F,"")</f>
        <v/>
      </c>
      <c r="F147" t="str">
        <f>_xlfn.XLOOKUP(Table1[[#This Row],[Player]]&amp;Table1[[#This Row],[Week]]&amp;Table1[[#This Row],[Role]],'Google Form Transform'!$A:$A,'Google Form Transform'!G:G,"")</f>
        <v/>
      </c>
      <c r="G147" s="59">
        <f>SUMIFS(Table2[Stat],Table2[Stat Category],"passing",Table2[Stat Type],"YDS",Table2[Athlete],Table1[[#This Row],[Pick]],Table2[Week],Table1[[#This Row],[Week]])</f>
        <v>0</v>
      </c>
      <c r="H147" s="59">
        <f>SUMIFS(Table2[Stat],Table2[Stat Category],"rushing",Table2[Stat Type],"YDS",Table2[Athlete],Table1[[#This Row],[Pick]],Table2[Week],Table1[[#This Row],[Week]])</f>
        <v>0</v>
      </c>
      <c r="I147" s="59">
        <f>SUMIFS(Table2[Stat],Table2[Stat Category],"receiving",Table2[Stat Type],"YDS",Table2[Athlete],Table1[[#This Row],[Pick]],Table2[Week],Table1[[#This Row],[Week]])</f>
        <v>0</v>
      </c>
      <c r="J147" s="6">
        <f>IF(AND($C147="Rushing", $H147&lt;=0), 0, IF(AND($C147="Passing", $G$3&lt;=0), 0,IF(AND($C147="Receiving",$I147&lt;=0), 0,SUMIFS(Table2[Stat],Table2[Week],Table1[[#This Row],[Week]],Table2[Athlete],Table1[[#This Row],[Pick]],Table2[Stat Category],"passing",Table2[Stat Type],"TD"))))</f>
        <v>0</v>
      </c>
      <c r="K147" s="6">
        <f>IF(AND($C147="Rushing", $H147&lt;=0), 0, IF(AND($C147="Passing", $G$3&lt;=0), 0,IF(AND($C147="Receiving",$I147&lt;=0),0,SUMIFS(Table2[Stat],Table2[Week],Table1[[#This Row],[Week]],Table2[Athlete],Table1[[#This Row],[Pick]],Table2[Stat Category],"rushing",Table2[Stat Type],"TD"))))</f>
        <v>0</v>
      </c>
      <c r="L147" s="6">
        <f>IF(AND($C147="Rushing", $H147&lt;=0), 0, IF(AND($C147="Passing", $G$3&lt;=0), 0,IF(AND($C147="Receiving",$I147&lt;=0),0,SUMIFS(Table2[Stat],Table2[Week],Table1[[#This Row],[Week]],Table2[Athlete],Table1[[#This Row],[Pick]],Table2[Stat Category],"receiving",Table2[Stat Type],"TD"))))</f>
        <v>0</v>
      </c>
      <c r="M1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7" s="61">
        <f>SUMIFS(Data!$J:$J,Data!$A:$A,Info!$B147,Data!$G:$G,Info!$C147,Data!$I:$I,Info!$D147,Data!$H:$H,"TOT")</f>
        <v>0</v>
      </c>
      <c r="O147" s="61">
        <f>IF(C147="Defensive",SUMIFS(Data!$J:$J,Data!$A:$A,Info!$B147,Data!$I:$I,Info!$D147,Data!$H:$H,"INT"),0)</f>
        <v>0</v>
      </c>
      <c r="P147" s="61">
        <f>IF(Table1[[#This Row],[Role]]="Defensive",SUMIFS(Data!$J:$J,Data!$A:$A,Info!$B147,Data!$I:$I,Info!$D147,Data!$H:$H,$P$1),0)</f>
        <v>0</v>
      </c>
      <c r="Q147" s="65" t="str">
        <f>IF(Table1[[#This Row],[Pick]]="","",IF(S147&gt;1,400,IF(G147="","",IF(C147="Passing",(400-Table1[[#This Row],[Passing Yards]]-(30*Table1[[#This Row],[Passing TDs]])-(50*SUM(Table1[[#This Row],[Rushing TDs]:[Other TD''s]]))),IF(C147="Rushing",2*(200-Table1[[#This Row],[Rushing Yards]]-(30*Table1[[#This Row],[Passing TDs]])-50*(Table1[[#This Row],[Rushing TDs]]+Table1[[#This Row],[Receiving TDs]]+Table1[[#This Row],[Other TD''s]])),IF(C147="Receiving",2*(200-Table1[[#This Row],[Receiving Yards]]-(30*Table1[[#This Row],[Passing TDs]])-50*(Table1[[#This Row],[Rushing TDs]]+Table1[[#This Row],[Receiving TDs]]+Table1[[#This Row],[Other TD''s]])),IF(C147="Defensive",(25*(16-Table1[[#This Row],[Tackles]]-(8*(Table1[[#This Row],[Other TD''s]]+Table1[[#This Row],[Interceptions]]+Table1[[#This Row],[Fumbles Recovered]])))))))))))</f>
        <v/>
      </c>
      <c r="R147" s="3" t="str">
        <f t="shared" si="6"/>
        <v/>
      </c>
      <c r="S147" s="4">
        <f t="shared" si="5"/>
        <v>1048507</v>
      </c>
      <c r="T1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48" spans="1:20" hidden="1" x14ac:dyDescent="0.25">
      <c r="A148" t="s">
        <v>62</v>
      </c>
      <c r="B148" s="28" t="s">
        <v>45</v>
      </c>
      <c r="C148" t="s">
        <v>6</v>
      </c>
      <c r="D148" t="str">
        <f>_xlfn.XLOOKUP(Table1[[#This Row],[Player]]&amp;Table1[[#This Row],[Week]]&amp;Table1[[#This Row],[Role]],'Google Form Transform'!$A:$A,'Google Form Transform'!E:E,"")</f>
        <v/>
      </c>
      <c r="E148" t="str">
        <f>_xlfn.XLOOKUP(Table1[[#This Row],[Player]]&amp;Table1[[#This Row],[Week]]&amp;Table1[[#This Row],[Role]],'Google Form Transform'!$A:$A,'Google Form Transform'!F:F,"")</f>
        <v/>
      </c>
      <c r="F148" t="str">
        <f>_xlfn.XLOOKUP(Table1[[#This Row],[Player]]&amp;Table1[[#This Row],[Week]]&amp;Table1[[#This Row],[Role]],'Google Form Transform'!$A:$A,'Google Form Transform'!G:G,"")</f>
        <v/>
      </c>
      <c r="G148" s="59">
        <f>SUMIFS(Table2[Stat],Table2[Stat Category],"passing",Table2[Stat Type],"YDS",Table2[Athlete],Table1[[#This Row],[Pick]],Table2[Week],Table1[[#This Row],[Week]])</f>
        <v>0</v>
      </c>
      <c r="H148" s="59">
        <f>SUMIFS(Table2[Stat],Table2[Stat Category],"rushing",Table2[Stat Type],"YDS",Table2[Athlete],Table1[[#This Row],[Pick]],Table2[Week],Table1[[#This Row],[Week]])</f>
        <v>0</v>
      </c>
      <c r="I148" s="59">
        <f>SUMIFS(Table2[Stat],Table2[Stat Category],"receiving",Table2[Stat Type],"YDS",Table2[Athlete],Table1[[#This Row],[Pick]],Table2[Week],Table1[[#This Row],[Week]])</f>
        <v>0</v>
      </c>
      <c r="J148" s="6">
        <f>IF(AND($C148="Rushing", $H148&lt;=0), 0, IF(AND($C148="Passing", $G$3&lt;=0), 0,IF(AND($C148="Receiving",$I148&lt;=0), 0,SUMIFS(Table2[Stat],Table2[Week],Table1[[#This Row],[Week]],Table2[Athlete],Table1[[#This Row],[Pick]],Table2[Stat Category],"passing",Table2[Stat Type],"TD"))))</f>
        <v>0</v>
      </c>
      <c r="K148" s="6">
        <f>IF(AND($C148="Rushing", $H148&lt;=0), 0, IF(AND($C148="Passing", $G$3&lt;=0), 0,IF(AND($C148="Receiving",$I148&lt;=0),0,SUMIFS(Table2[Stat],Table2[Week],Table1[[#This Row],[Week]],Table2[Athlete],Table1[[#This Row],[Pick]],Table2[Stat Category],"rushing",Table2[Stat Type],"TD"))))</f>
        <v>0</v>
      </c>
      <c r="L148" s="6">
        <f>IF(AND($C148="Rushing", $H148&lt;=0), 0, IF(AND($C148="Passing", $G$3&lt;=0), 0,IF(AND($C148="Receiving",$I148&lt;=0),0,SUMIFS(Table2[Stat],Table2[Week],Table1[[#This Row],[Week]],Table2[Athlete],Table1[[#This Row],[Pick]],Table2[Stat Category],"receiving",Table2[Stat Type],"TD"))))</f>
        <v>0</v>
      </c>
      <c r="M1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8" s="61">
        <f>SUMIFS(Data!$J:$J,Data!$A:$A,Info!$B148,Data!$G:$G,Info!$C148,Data!$I:$I,Info!$D148,Data!$H:$H,"TOT")</f>
        <v>0</v>
      </c>
      <c r="O148" s="61">
        <f>IF(C148="Defensive",SUMIFS(Data!$J:$J,Data!$A:$A,Info!$B148,Data!$I:$I,Info!$D148,Data!$H:$H,"INT"),0)</f>
        <v>0</v>
      </c>
      <c r="P148" s="61">
        <f>IF(Table1[[#This Row],[Role]]="Defensive",SUMIFS(Data!$J:$J,Data!$A:$A,Info!$B148,Data!$I:$I,Info!$D148,Data!$H:$H,$P$1),0)</f>
        <v>0</v>
      </c>
      <c r="Q148" s="65" t="str">
        <f>IF(Table1[[#This Row],[Pick]]="","",IF(S148&gt;1,400,IF(G148="","",IF(C148="Passing",(400-Table1[[#This Row],[Passing Yards]]-(30*Table1[[#This Row],[Passing TDs]])-(50*SUM(Table1[[#This Row],[Rushing TDs]:[Other TD''s]]))),IF(C148="Rushing",2*(200-Table1[[#This Row],[Rushing Yards]]-(30*Table1[[#This Row],[Passing TDs]])-50*(Table1[[#This Row],[Rushing TDs]]+Table1[[#This Row],[Receiving TDs]]+Table1[[#This Row],[Other TD''s]])),IF(C148="Receiving",2*(200-Table1[[#This Row],[Receiving Yards]]-(30*Table1[[#This Row],[Passing TDs]])-50*(Table1[[#This Row],[Rushing TDs]]+Table1[[#This Row],[Receiving TDs]]+Table1[[#This Row],[Other TD''s]])),IF(C148="Defensive",(25*(16-Table1[[#This Row],[Tackles]]-(8*(Table1[[#This Row],[Other TD''s]]+Table1[[#This Row],[Interceptions]]+Table1[[#This Row],[Fumbles Recovered]])))))))))))</f>
        <v/>
      </c>
      <c r="R148" s="3" t="str">
        <f t="shared" si="6"/>
        <v/>
      </c>
      <c r="S148" s="4">
        <f t="shared" si="5"/>
        <v>1048507</v>
      </c>
      <c r="T1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49" spans="1:20" hidden="1" x14ac:dyDescent="0.25">
      <c r="A149" t="s">
        <v>62</v>
      </c>
      <c r="B149" s="28" t="s">
        <v>45</v>
      </c>
      <c r="C149" t="s">
        <v>17</v>
      </c>
      <c r="D149" t="str">
        <f>_xlfn.XLOOKUP(Table1[[#This Row],[Player]]&amp;Table1[[#This Row],[Week]]&amp;Table1[[#This Row],[Role]],'Google Form Transform'!$A:$A,'Google Form Transform'!E:E,"")</f>
        <v/>
      </c>
      <c r="E149" t="str">
        <f>_xlfn.XLOOKUP(Table1[[#This Row],[Player]]&amp;Table1[[#This Row],[Week]]&amp;Table1[[#This Row],[Role]],'Google Form Transform'!$A:$A,'Google Form Transform'!F:F,"")</f>
        <v/>
      </c>
      <c r="F149" t="str">
        <f>_xlfn.XLOOKUP(Table1[[#This Row],[Player]]&amp;Table1[[#This Row],[Week]]&amp;Table1[[#This Row],[Role]],'Google Form Transform'!$A:$A,'Google Form Transform'!G:G,"")</f>
        <v/>
      </c>
      <c r="G149" s="59">
        <f>SUMIFS(Table2[Stat],Table2[Stat Category],"passing",Table2[Stat Type],"YDS",Table2[Athlete],Table1[[#This Row],[Pick]],Table2[Week],Table1[[#This Row],[Week]])</f>
        <v>0</v>
      </c>
      <c r="H149" s="59">
        <f>SUMIFS(Table2[Stat],Table2[Stat Category],"rushing",Table2[Stat Type],"YDS",Table2[Athlete],Table1[[#This Row],[Pick]],Table2[Week],Table1[[#This Row],[Week]])</f>
        <v>0</v>
      </c>
      <c r="I149" s="59">
        <f>SUMIFS(Table2[Stat],Table2[Stat Category],"receiving",Table2[Stat Type],"YDS",Table2[Athlete],Table1[[#This Row],[Pick]],Table2[Week],Table1[[#This Row],[Week]])</f>
        <v>0</v>
      </c>
      <c r="J149" s="6">
        <f>IF(AND($C149="Rushing", $H149&lt;=0), 0, IF(AND($C149="Passing", $G$3&lt;=0), 0,IF(AND($C149="Receiving",$I149&lt;=0), 0,SUMIFS(Table2[Stat],Table2[Week],Table1[[#This Row],[Week]],Table2[Athlete],Table1[[#This Row],[Pick]],Table2[Stat Category],"passing",Table2[Stat Type],"TD"))))</f>
        <v>0</v>
      </c>
      <c r="K149" s="6">
        <f>IF(AND($C149="Rushing", $H149&lt;=0), 0, IF(AND($C149="Passing", $G$3&lt;=0), 0,IF(AND($C149="Receiving",$I149&lt;=0),0,SUMIFS(Table2[Stat],Table2[Week],Table1[[#This Row],[Week]],Table2[Athlete],Table1[[#This Row],[Pick]],Table2[Stat Category],"rushing",Table2[Stat Type],"TD"))))</f>
        <v>0</v>
      </c>
      <c r="L149" s="6">
        <f>IF(AND($C149="Rushing", $H149&lt;=0), 0, IF(AND($C149="Passing", $G$3&lt;=0), 0,IF(AND($C149="Receiving",$I149&lt;=0),0,SUMIFS(Table2[Stat],Table2[Week],Table1[[#This Row],[Week]],Table2[Athlete],Table1[[#This Row],[Pick]],Table2[Stat Category],"receiving",Table2[Stat Type],"TD"))))</f>
        <v>0</v>
      </c>
      <c r="M1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9" s="61">
        <f>SUMIFS(Data!$J:$J,Data!$A:$A,Info!$B149,Data!$G:$G,Info!$C149,Data!$I:$I,Info!$D149,Data!$H:$H,"TOT")</f>
        <v>0</v>
      </c>
      <c r="O149" s="61">
        <f>IF(C149="Defensive",SUMIFS(Data!$J:$J,Data!$A:$A,Info!$B149,Data!$I:$I,Info!$D149,Data!$H:$H,"INT"),0)</f>
        <v>0</v>
      </c>
      <c r="P149" s="61">
        <f>IF(Table1[[#This Row],[Role]]="Defensive",SUMIFS(Data!$J:$J,Data!$A:$A,Info!$B149,Data!$I:$I,Info!$D149,Data!$H:$H,$P$1),0)</f>
        <v>0</v>
      </c>
      <c r="Q149" s="65" t="str">
        <f>IF(Table1[[#This Row],[Pick]]="","",IF(S149&gt;1,400,IF(G149="","",IF(C149="Passing",(400-Table1[[#This Row],[Passing Yards]]-(30*Table1[[#This Row],[Passing TDs]])-(50*SUM(Table1[[#This Row],[Rushing TDs]:[Other TD''s]]))),IF(C149="Rushing",2*(200-Table1[[#This Row],[Rushing Yards]]-(30*Table1[[#This Row],[Passing TDs]])-50*(Table1[[#This Row],[Rushing TDs]]+Table1[[#This Row],[Receiving TDs]]+Table1[[#This Row],[Other TD''s]])),IF(C149="Receiving",2*(200-Table1[[#This Row],[Receiving Yards]]-(30*Table1[[#This Row],[Passing TDs]])-50*(Table1[[#This Row],[Rushing TDs]]+Table1[[#This Row],[Receiving TDs]]+Table1[[#This Row],[Other TD''s]])),IF(C149="Defensive",(25*(16-Table1[[#This Row],[Tackles]]-(8*(Table1[[#This Row],[Other TD''s]]+Table1[[#This Row],[Interceptions]]+Table1[[#This Row],[Fumbles Recovered]])))))))))))</f>
        <v/>
      </c>
      <c r="R149" s="3" t="str">
        <f t="shared" si="6"/>
        <v/>
      </c>
      <c r="S149" s="4">
        <f t="shared" si="5"/>
        <v>1048507</v>
      </c>
      <c r="T1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50" spans="1:20" hidden="1" x14ac:dyDescent="0.25">
      <c r="A150" t="s">
        <v>62</v>
      </c>
      <c r="B150" s="28" t="s">
        <v>45</v>
      </c>
      <c r="C150" t="s">
        <v>20</v>
      </c>
      <c r="D150" t="str">
        <f>_xlfn.XLOOKUP(Table1[[#This Row],[Player]]&amp;Table1[[#This Row],[Week]]&amp;Table1[[#This Row],[Role]],'Google Form Transform'!$A:$A,'Google Form Transform'!E:E,"")</f>
        <v/>
      </c>
      <c r="E150" t="str">
        <f>_xlfn.XLOOKUP(Table1[[#This Row],[Player]]&amp;Table1[[#This Row],[Week]]&amp;Table1[[#This Row],[Role]],'Google Form Transform'!$A:$A,'Google Form Transform'!F:F,"")</f>
        <v/>
      </c>
      <c r="F150" t="str">
        <f>_xlfn.XLOOKUP(Table1[[#This Row],[Player]]&amp;Table1[[#This Row],[Week]]&amp;Table1[[#This Row],[Role]],'Google Form Transform'!$A:$A,'Google Form Transform'!G:G,"")</f>
        <v/>
      </c>
      <c r="G150" s="59">
        <f>SUMIFS(Table2[Stat],Table2[Stat Category],"passing",Table2[Stat Type],"YDS",Table2[Athlete],Table1[[#This Row],[Pick]],Table2[Week],Table1[[#This Row],[Week]])</f>
        <v>0</v>
      </c>
      <c r="H150" s="59">
        <f>SUMIFS(Table2[Stat],Table2[Stat Category],"rushing",Table2[Stat Type],"YDS",Table2[Athlete],Table1[[#This Row],[Pick]],Table2[Week],Table1[[#This Row],[Week]])</f>
        <v>0</v>
      </c>
      <c r="I150" s="59">
        <f>SUMIFS(Table2[Stat],Table2[Stat Category],"receiving",Table2[Stat Type],"YDS",Table2[Athlete],Table1[[#This Row],[Pick]],Table2[Week],Table1[[#This Row],[Week]])</f>
        <v>0</v>
      </c>
      <c r="J150" s="6">
        <f>IF(AND($C150="Rushing", $H150&lt;=0), 0, IF(AND($C150="Passing", $G$3&lt;=0), 0,IF(AND($C150="Receiving",$I150&lt;=0), 0,SUMIFS(Table2[Stat],Table2[Week],Table1[[#This Row],[Week]],Table2[Athlete],Table1[[#This Row],[Pick]],Table2[Stat Category],"passing",Table2[Stat Type],"TD"))))</f>
        <v>0</v>
      </c>
      <c r="K150" s="6">
        <f>IF(AND($C150="Rushing", $H150&lt;=0), 0, IF(AND($C150="Passing", $G$3&lt;=0), 0,IF(AND($C150="Receiving",$I150&lt;=0),0,SUMIFS(Table2[Stat],Table2[Week],Table1[[#This Row],[Week]],Table2[Athlete],Table1[[#This Row],[Pick]],Table2[Stat Category],"rushing",Table2[Stat Type],"TD"))))</f>
        <v>0</v>
      </c>
      <c r="L150" s="6">
        <f>IF(AND($C150="Rushing", $H150&lt;=0), 0, IF(AND($C150="Passing", $G$3&lt;=0), 0,IF(AND($C150="Receiving",$I150&lt;=0),0,SUMIFS(Table2[Stat],Table2[Week],Table1[[#This Row],[Week]],Table2[Athlete],Table1[[#This Row],[Pick]],Table2[Stat Category],"receiving",Table2[Stat Type],"TD"))))</f>
        <v>0</v>
      </c>
      <c r="M1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0" s="61">
        <f>SUMIFS(Data!$J:$J,Data!$A:$A,Info!$B150,Data!$G:$G,Info!$C150,Data!$I:$I,Info!$D150,Data!$H:$H,"TOT")</f>
        <v>0</v>
      </c>
      <c r="O150" s="61">
        <f>IF(C150="Defensive",SUMIFS(Data!$J:$J,Data!$A:$A,Info!$B150,Data!$I:$I,Info!$D150,Data!$H:$H,"INT"),0)</f>
        <v>0</v>
      </c>
      <c r="P150" s="61">
        <f>IF(Table1[[#This Row],[Role]]="Defensive",SUMIFS(Data!$J:$J,Data!$A:$A,Info!$B150,Data!$I:$I,Info!$D150,Data!$H:$H,$P$1),0)</f>
        <v>0</v>
      </c>
      <c r="Q150" s="65" t="str">
        <f>IF(Table1[[#This Row],[Pick]]="","",IF(S150&gt;1,400,IF(G150="","",IF(C150="Passing",(400-Table1[[#This Row],[Passing Yards]]-(30*Table1[[#This Row],[Passing TDs]])-(50*SUM(Table1[[#This Row],[Rushing TDs]:[Other TD''s]]))),IF(C150="Rushing",2*(200-Table1[[#This Row],[Rushing Yards]]-(30*Table1[[#This Row],[Passing TDs]])-50*(Table1[[#This Row],[Rushing TDs]]+Table1[[#This Row],[Receiving TDs]]+Table1[[#This Row],[Other TD''s]])),IF(C150="Receiving",2*(200-Table1[[#This Row],[Receiving Yards]]-(30*Table1[[#This Row],[Passing TDs]])-50*(Table1[[#This Row],[Rushing TDs]]+Table1[[#This Row],[Receiving TDs]]+Table1[[#This Row],[Other TD''s]])),IF(C150="Defensive",(25*(16-Table1[[#This Row],[Tackles]]-(8*(Table1[[#This Row],[Other TD''s]]+Table1[[#This Row],[Interceptions]]+Table1[[#This Row],[Fumbles Recovered]])))))))))))</f>
        <v/>
      </c>
      <c r="R150" s="3" t="str">
        <f t="shared" si="6"/>
        <v/>
      </c>
      <c r="S150" s="4">
        <f t="shared" si="5"/>
        <v>1048507</v>
      </c>
      <c r="T1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51" spans="1:20" hidden="1" x14ac:dyDescent="0.25">
      <c r="A151" t="s">
        <v>59</v>
      </c>
      <c r="B151" s="28" t="s">
        <v>45</v>
      </c>
      <c r="C151" t="s">
        <v>16</v>
      </c>
      <c r="D151" t="str">
        <f>_xlfn.XLOOKUP(Table1[[#This Row],[Player]]&amp;Table1[[#This Row],[Week]]&amp;Table1[[#This Row],[Role]],'Google Form Transform'!$A:$A,'Google Form Transform'!E:E,"")</f>
        <v/>
      </c>
      <c r="E151" t="str">
        <f>_xlfn.XLOOKUP(Table1[[#This Row],[Player]]&amp;Table1[[#This Row],[Week]]&amp;Table1[[#This Row],[Role]],'Google Form Transform'!$A:$A,'Google Form Transform'!F:F,"")</f>
        <v/>
      </c>
      <c r="F151" t="str">
        <f>_xlfn.XLOOKUP(Table1[[#This Row],[Player]]&amp;Table1[[#This Row],[Week]]&amp;Table1[[#This Row],[Role]],'Google Form Transform'!$A:$A,'Google Form Transform'!G:G,"")</f>
        <v/>
      </c>
      <c r="G151" s="59">
        <f>SUMIFS(Table2[Stat],Table2[Stat Category],"passing",Table2[Stat Type],"YDS",Table2[Athlete],Table1[[#This Row],[Pick]],Table2[Week],Table1[[#This Row],[Week]])</f>
        <v>0</v>
      </c>
      <c r="H151" s="59">
        <f>SUMIFS(Table2[Stat],Table2[Stat Category],"rushing",Table2[Stat Type],"YDS",Table2[Athlete],Table1[[#This Row],[Pick]],Table2[Week],Table1[[#This Row],[Week]])</f>
        <v>0</v>
      </c>
      <c r="I151" s="59">
        <f>SUMIFS(Table2[Stat],Table2[Stat Category],"receiving",Table2[Stat Type],"YDS",Table2[Athlete],Table1[[#This Row],[Pick]],Table2[Week],Table1[[#This Row],[Week]])</f>
        <v>0</v>
      </c>
      <c r="J151" s="6">
        <f>IF(AND($C151="Rushing", $H151&lt;=0), 0, IF(AND($C151="Passing", $G$3&lt;=0), 0,IF(AND($C151="Receiving",$I151&lt;=0), 0,SUMIFS(Table2[Stat],Table2[Week],Table1[[#This Row],[Week]],Table2[Athlete],Table1[[#This Row],[Pick]],Table2[Stat Category],"passing",Table2[Stat Type],"TD"))))</f>
        <v>0</v>
      </c>
      <c r="K151" s="6">
        <f>IF(AND($C151="Rushing", $H151&lt;=0), 0, IF(AND($C151="Passing", $G$3&lt;=0), 0,IF(AND($C151="Receiving",$I151&lt;=0),0,SUMIFS(Table2[Stat],Table2[Week],Table1[[#This Row],[Week]],Table2[Athlete],Table1[[#This Row],[Pick]],Table2[Stat Category],"rushing",Table2[Stat Type],"TD"))))</f>
        <v>0</v>
      </c>
      <c r="L151" s="6">
        <f>IF(AND($C151="Rushing", $H151&lt;=0), 0, IF(AND($C151="Passing", $G$3&lt;=0), 0,IF(AND($C151="Receiving",$I151&lt;=0),0,SUMIFS(Table2[Stat],Table2[Week],Table1[[#This Row],[Week]],Table2[Athlete],Table1[[#This Row],[Pick]],Table2[Stat Category],"receiving",Table2[Stat Type],"TD"))))</f>
        <v>0</v>
      </c>
      <c r="M1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1" s="61">
        <f>SUMIFS(Data!$J:$J,Data!$A:$A,Info!$B151,Data!$G:$G,Info!$C151,Data!$I:$I,Info!$D151,Data!$H:$H,"TOT")</f>
        <v>0</v>
      </c>
      <c r="O151" s="61">
        <f>IF(C151="Defensive",SUMIFS(Data!$J:$J,Data!$A:$A,Info!$B151,Data!$I:$I,Info!$D151,Data!$H:$H,"INT"),0)</f>
        <v>0</v>
      </c>
      <c r="P151" s="61">
        <f>IF(Table1[[#This Row],[Role]]="Defensive",SUMIFS(Data!$J:$J,Data!$A:$A,Info!$B151,Data!$I:$I,Info!$D151,Data!$H:$H,$P$1),0)</f>
        <v>0</v>
      </c>
      <c r="Q151" s="65" t="str">
        <f>IF(Table1[[#This Row],[Pick]]="","",IF(S151&gt;1,400,IF(G151="","",IF(C151="Passing",(400-Table1[[#This Row],[Passing Yards]]-(30*Table1[[#This Row],[Passing TDs]])-(50*SUM(Table1[[#This Row],[Rushing TDs]:[Other TD''s]]))),IF(C151="Rushing",2*(200-Table1[[#This Row],[Rushing Yards]]-(30*Table1[[#This Row],[Passing TDs]])-50*(Table1[[#This Row],[Rushing TDs]]+Table1[[#This Row],[Receiving TDs]]+Table1[[#This Row],[Other TD''s]])),IF(C151="Receiving",2*(200-Table1[[#This Row],[Receiving Yards]]-(30*Table1[[#This Row],[Passing TDs]])-50*(Table1[[#This Row],[Rushing TDs]]+Table1[[#This Row],[Receiving TDs]]+Table1[[#This Row],[Other TD''s]])),IF(C151="Defensive",(25*(16-Table1[[#This Row],[Tackles]]-(8*(Table1[[#This Row],[Other TD''s]]+Table1[[#This Row],[Interceptions]]+Table1[[#This Row],[Fumbles Recovered]])))))))))))</f>
        <v/>
      </c>
      <c r="R151" s="3" t="str">
        <f t="shared" si="6"/>
        <v/>
      </c>
      <c r="S151" s="4">
        <f t="shared" si="5"/>
        <v>1048507</v>
      </c>
      <c r="T1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52" spans="1:20" hidden="1" x14ac:dyDescent="0.25">
      <c r="A152" t="s">
        <v>59</v>
      </c>
      <c r="B152" s="28" t="s">
        <v>45</v>
      </c>
      <c r="C152" t="s">
        <v>6</v>
      </c>
      <c r="D152" t="str">
        <f>_xlfn.XLOOKUP(Table1[[#This Row],[Player]]&amp;Table1[[#This Row],[Week]]&amp;Table1[[#This Row],[Role]],'Google Form Transform'!$A:$A,'Google Form Transform'!E:E,"")</f>
        <v/>
      </c>
      <c r="E152" t="str">
        <f>_xlfn.XLOOKUP(Table1[[#This Row],[Player]]&amp;Table1[[#This Row],[Week]]&amp;Table1[[#This Row],[Role]],'Google Form Transform'!$A:$A,'Google Form Transform'!F:F,"")</f>
        <v/>
      </c>
      <c r="F152" t="str">
        <f>_xlfn.XLOOKUP(Table1[[#This Row],[Player]]&amp;Table1[[#This Row],[Week]]&amp;Table1[[#This Row],[Role]],'Google Form Transform'!$A:$A,'Google Form Transform'!G:G,"")</f>
        <v/>
      </c>
      <c r="G152" s="59">
        <f>SUMIFS(Table2[Stat],Table2[Stat Category],"passing",Table2[Stat Type],"YDS",Table2[Athlete],Table1[[#This Row],[Pick]],Table2[Week],Table1[[#This Row],[Week]])</f>
        <v>0</v>
      </c>
      <c r="H152" s="59">
        <f>SUMIFS(Table2[Stat],Table2[Stat Category],"rushing",Table2[Stat Type],"YDS",Table2[Athlete],Table1[[#This Row],[Pick]],Table2[Week],Table1[[#This Row],[Week]])</f>
        <v>0</v>
      </c>
      <c r="I152" s="59">
        <f>SUMIFS(Table2[Stat],Table2[Stat Category],"receiving",Table2[Stat Type],"YDS",Table2[Athlete],Table1[[#This Row],[Pick]],Table2[Week],Table1[[#This Row],[Week]])</f>
        <v>0</v>
      </c>
      <c r="J152" s="6">
        <f>IF(AND($C152="Rushing", $H152&lt;=0), 0, IF(AND($C152="Passing", $G$3&lt;=0), 0,IF(AND($C152="Receiving",$I152&lt;=0), 0,SUMIFS(Table2[Stat],Table2[Week],Table1[[#This Row],[Week]],Table2[Athlete],Table1[[#This Row],[Pick]],Table2[Stat Category],"passing",Table2[Stat Type],"TD"))))</f>
        <v>0</v>
      </c>
      <c r="K152" s="6">
        <f>IF(AND($C152="Rushing", $H152&lt;=0), 0, IF(AND($C152="Passing", $G$3&lt;=0), 0,IF(AND($C152="Receiving",$I152&lt;=0),0,SUMIFS(Table2[Stat],Table2[Week],Table1[[#This Row],[Week]],Table2[Athlete],Table1[[#This Row],[Pick]],Table2[Stat Category],"rushing",Table2[Stat Type],"TD"))))</f>
        <v>0</v>
      </c>
      <c r="L152" s="6">
        <f>IF(AND($C152="Rushing", $H152&lt;=0), 0, IF(AND($C152="Passing", $G$3&lt;=0), 0,IF(AND($C152="Receiving",$I152&lt;=0),0,SUMIFS(Table2[Stat],Table2[Week],Table1[[#This Row],[Week]],Table2[Athlete],Table1[[#This Row],[Pick]],Table2[Stat Category],"receiving",Table2[Stat Type],"TD"))))</f>
        <v>0</v>
      </c>
      <c r="M1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2" s="61">
        <f>SUMIFS(Data!$J:$J,Data!$A:$A,Info!$B152,Data!$G:$G,Info!$C152,Data!$I:$I,Info!$D152,Data!$H:$H,"TOT")</f>
        <v>0</v>
      </c>
      <c r="O152" s="61">
        <f>IF(C152="Defensive",SUMIFS(Data!$J:$J,Data!$A:$A,Info!$B152,Data!$I:$I,Info!$D152,Data!$H:$H,"INT"),0)</f>
        <v>0</v>
      </c>
      <c r="P152" s="61">
        <f>IF(Table1[[#This Row],[Role]]="Defensive",SUMIFS(Data!$J:$J,Data!$A:$A,Info!$B152,Data!$I:$I,Info!$D152,Data!$H:$H,$P$1),0)</f>
        <v>0</v>
      </c>
      <c r="Q152" s="65" t="str">
        <f>IF(Table1[[#This Row],[Pick]]="","",IF(S152&gt;1,400,IF(G152="","",IF(C152="Passing",(400-Table1[[#This Row],[Passing Yards]]-(30*Table1[[#This Row],[Passing TDs]])-(50*SUM(Table1[[#This Row],[Rushing TDs]:[Other TD''s]]))),IF(C152="Rushing",2*(200-Table1[[#This Row],[Rushing Yards]]-(30*Table1[[#This Row],[Passing TDs]])-50*(Table1[[#This Row],[Rushing TDs]]+Table1[[#This Row],[Receiving TDs]]+Table1[[#This Row],[Other TD''s]])),IF(C152="Receiving",2*(200-Table1[[#This Row],[Receiving Yards]]-(30*Table1[[#This Row],[Passing TDs]])-50*(Table1[[#This Row],[Rushing TDs]]+Table1[[#This Row],[Receiving TDs]]+Table1[[#This Row],[Other TD''s]])),IF(C152="Defensive",(25*(16-Table1[[#This Row],[Tackles]]-(8*(Table1[[#This Row],[Other TD''s]]+Table1[[#This Row],[Interceptions]]+Table1[[#This Row],[Fumbles Recovered]])))))))))))</f>
        <v/>
      </c>
      <c r="R152" s="3" t="str">
        <f t="shared" si="6"/>
        <v/>
      </c>
      <c r="S152" s="4">
        <f t="shared" si="5"/>
        <v>1048507</v>
      </c>
      <c r="T1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53" spans="1:20" hidden="1" x14ac:dyDescent="0.25">
      <c r="A153" t="s">
        <v>59</v>
      </c>
      <c r="B153" s="28" t="s">
        <v>45</v>
      </c>
      <c r="C153" t="s">
        <v>17</v>
      </c>
      <c r="D153" t="str">
        <f>_xlfn.XLOOKUP(Table1[[#This Row],[Player]]&amp;Table1[[#This Row],[Week]]&amp;Table1[[#This Row],[Role]],'Google Form Transform'!$A:$A,'Google Form Transform'!E:E,"")</f>
        <v/>
      </c>
      <c r="E153" t="str">
        <f>_xlfn.XLOOKUP(Table1[[#This Row],[Player]]&amp;Table1[[#This Row],[Week]]&amp;Table1[[#This Row],[Role]],'Google Form Transform'!$A:$A,'Google Form Transform'!F:F,"")</f>
        <v/>
      </c>
      <c r="F153" t="str">
        <f>_xlfn.XLOOKUP(Table1[[#This Row],[Player]]&amp;Table1[[#This Row],[Week]]&amp;Table1[[#This Row],[Role]],'Google Form Transform'!$A:$A,'Google Form Transform'!G:G,"")</f>
        <v/>
      </c>
      <c r="G153" s="59">
        <f>SUMIFS(Table2[Stat],Table2[Stat Category],"passing",Table2[Stat Type],"YDS",Table2[Athlete],Table1[[#This Row],[Pick]],Table2[Week],Table1[[#This Row],[Week]])</f>
        <v>0</v>
      </c>
      <c r="H153" s="59">
        <f>SUMIFS(Table2[Stat],Table2[Stat Category],"rushing",Table2[Stat Type],"YDS",Table2[Athlete],Table1[[#This Row],[Pick]],Table2[Week],Table1[[#This Row],[Week]])</f>
        <v>0</v>
      </c>
      <c r="I153" s="59">
        <f>SUMIFS(Table2[Stat],Table2[Stat Category],"receiving",Table2[Stat Type],"YDS",Table2[Athlete],Table1[[#This Row],[Pick]],Table2[Week],Table1[[#This Row],[Week]])</f>
        <v>0</v>
      </c>
      <c r="J153" s="6">
        <f>IF(AND($C153="Rushing", $H153&lt;=0), 0, IF(AND($C153="Passing", $G$3&lt;=0), 0,IF(AND($C153="Receiving",$I153&lt;=0), 0,SUMIFS(Table2[Stat],Table2[Week],Table1[[#This Row],[Week]],Table2[Athlete],Table1[[#This Row],[Pick]],Table2[Stat Category],"passing",Table2[Stat Type],"TD"))))</f>
        <v>0</v>
      </c>
      <c r="K153" s="6">
        <f>IF(AND($C153="Rushing", $H153&lt;=0), 0, IF(AND($C153="Passing", $G$3&lt;=0), 0,IF(AND($C153="Receiving",$I153&lt;=0),0,SUMIFS(Table2[Stat],Table2[Week],Table1[[#This Row],[Week]],Table2[Athlete],Table1[[#This Row],[Pick]],Table2[Stat Category],"rushing",Table2[Stat Type],"TD"))))</f>
        <v>0</v>
      </c>
      <c r="L153" s="6">
        <f>IF(AND($C153="Rushing", $H153&lt;=0), 0, IF(AND($C153="Passing", $G$3&lt;=0), 0,IF(AND($C153="Receiving",$I153&lt;=0),0,SUMIFS(Table2[Stat],Table2[Week],Table1[[#This Row],[Week]],Table2[Athlete],Table1[[#This Row],[Pick]],Table2[Stat Category],"receiving",Table2[Stat Type],"TD"))))</f>
        <v>0</v>
      </c>
      <c r="M1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3" s="61">
        <f>SUMIFS(Data!$J:$J,Data!$A:$A,Info!$B153,Data!$G:$G,Info!$C153,Data!$I:$I,Info!$D153,Data!$H:$H,"TOT")</f>
        <v>0</v>
      </c>
      <c r="O153" s="61">
        <f>IF(C153="Defensive",SUMIFS(Data!$J:$J,Data!$A:$A,Info!$B153,Data!$I:$I,Info!$D153,Data!$H:$H,"INT"),0)</f>
        <v>0</v>
      </c>
      <c r="P153" s="61">
        <f>IF(Table1[[#This Row],[Role]]="Defensive",SUMIFS(Data!$J:$J,Data!$A:$A,Info!$B153,Data!$I:$I,Info!$D153,Data!$H:$H,$P$1),0)</f>
        <v>0</v>
      </c>
      <c r="Q153" s="65" t="str">
        <f>IF(Table1[[#This Row],[Pick]]="","",IF(S153&gt;1,400,IF(G153="","",IF(C153="Passing",(400-Table1[[#This Row],[Passing Yards]]-(30*Table1[[#This Row],[Passing TDs]])-(50*SUM(Table1[[#This Row],[Rushing TDs]:[Other TD''s]]))),IF(C153="Rushing",2*(200-Table1[[#This Row],[Rushing Yards]]-(30*Table1[[#This Row],[Passing TDs]])-50*(Table1[[#This Row],[Rushing TDs]]+Table1[[#This Row],[Receiving TDs]]+Table1[[#This Row],[Other TD''s]])),IF(C153="Receiving",2*(200-Table1[[#This Row],[Receiving Yards]]-(30*Table1[[#This Row],[Passing TDs]])-50*(Table1[[#This Row],[Rushing TDs]]+Table1[[#This Row],[Receiving TDs]]+Table1[[#This Row],[Other TD''s]])),IF(C153="Defensive",(25*(16-Table1[[#This Row],[Tackles]]-(8*(Table1[[#This Row],[Other TD''s]]+Table1[[#This Row],[Interceptions]]+Table1[[#This Row],[Fumbles Recovered]])))))))))))</f>
        <v/>
      </c>
      <c r="R153" s="3" t="str">
        <f t="shared" si="6"/>
        <v/>
      </c>
      <c r="S153" s="4">
        <f t="shared" si="5"/>
        <v>1048507</v>
      </c>
      <c r="T1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54" spans="1:20" hidden="1" x14ac:dyDescent="0.25">
      <c r="A154" t="s">
        <v>59</v>
      </c>
      <c r="B154" s="28" t="s">
        <v>45</v>
      </c>
      <c r="C154" t="s">
        <v>20</v>
      </c>
      <c r="D154" t="str">
        <f>_xlfn.XLOOKUP(Table1[[#This Row],[Player]]&amp;Table1[[#This Row],[Week]]&amp;Table1[[#This Row],[Role]],'Google Form Transform'!$A:$A,'Google Form Transform'!E:E,"")</f>
        <v/>
      </c>
      <c r="E154" t="str">
        <f>_xlfn.XLOOKUP(Table1[[#This Row],[Player]]&amp;Table1[[#This Row],[Week]]&amp;Table1[[#This Row],[Role]],'Google Form Transform'!$A:$A,'Google Form Transform'!F:F,"")</f>
        <v/>
      </c>
      <c r="F154" t="str">
        <f>_xlfn.XLOOKUP(Table1[[#This Row],[Player]]&amp;Table1[[#This Row],[Week]]&amp;Table1[[#This Row],[Role]],'Google Form Transform'!$A:$A,'Google Form Transform'!G:G,"")</f>
        <v/>
      </c>
      <c r="G154" s="59">
        <f>SUMIFS(Table2[Stat],Table2[Stat Category],"passing",Table2[Stat Type],"YDS",Table2[Athlete],Table1[[#This Row],[Pick]],Table2[Week],Table1[[#This Row],[Week]])</f>
        <v>0</v>
      </c>
      <c r="H154" s="59">
        <f>SUMIFS(Table2[Stat],Table2[Stat Category],"rushing",Table2[Stat Type],"YDS",Table2[Athlete],Table1[[#This Row],[Pick]],Table2[Week],Table1[[#This Row],[Week]])</f>
        <v>0</v>
      </c>
      <c r="I154" s="59">
        <f>SUMIFS(Table2[Stat],Table2[Stat Category],"receiving",Table2[Stat Type],"YDS",Table2[Athlete],Table1[[#This Row],[Pick]],Table2[Week],Table1[[#This Row],[Week]])</f>
        <v>0</v>
      </c>
      <c r="J154" s="6">
        <f>IF(AND($C154="Rushing", $H154&lt;=0), 0, IF(AND($C154="Passing", $G$3&lt;=0), 0,IF(AND($C154="Receiving",$I154&lt;=0), 0,SUMIFS(Table2[Stat],Table2[Week],Table1[[#This Row],[Week]],Table2[Athlete],Table1[[#This Row],[Pick]],Table2[Stat Category],"passing",Table2[Stat Type],"TD"))))</f>
        <v>0</v>
      </c>
      <c r="K154" s="6">
        <f>IF(AND($C154="Rushing", $H154&lt;=0), 0, IF(AND($C154="Passing", $G$3&lt;=0), 0,IF(AND($C154="Receiving",$I154&lt;=0),0,SUMIFS(Table2[Stat],Table2[Week],Table1[[#This Row],[Week]],Table2[Athlete],Table1[[#This Row],[Pick]],Table2[Stat Category],"rushing",Table2[Stat Type],"TD"))))</f>
        <v>0</v>
      </c>
      <c r="L154" s="6">
        <f>IF(AND($C154="Rushing", $H154&lt;=0), 0, IF(AND($C154="Passing", $G$3&lt;=0), 0,IF(AND($C154="Receiving",$I154&lt;=0),0,SUMIFS(Table2[Stat],Table2[Week],Table1[[#This Row],[Week]],Table2[Athlete],Table1[[#This Row],[Pick]],Table2[Stat Category],"receiving",Table2[Stat Type],"TD"))))</f>
        <v>0</v>
      </c>
      <c r="M1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4" s="61">
        <f>SUMIFS(Data!$J:$J,Data!$A:$A,Info!$B154,Data!$G:$G,Info!$C154,Data!$I:$I,Info!$D154,Data!$H:$H,"TOT")</f>
        <v>0</v>
      </c>
      <c r="O154" s="61">
        <f>IF(C154="Defensive",SUMIFS(Data!$J:$J,Data!$A:$A,Info!$B154,Data!$I:$I,Info!$D154,Data!$H:$H,"INT"),0)</f>
        <v>0</v>
      </c>
      <c r="P154" s="61">
        <f>IF(Table1[[#This Row],[Role]]="Defensive",SUMIFS(Data!$J:$J,Data!$A:$A,Info!$B154,Data!$I:$I,Info!$D154,Data!$H:$H,$P$1),0)</f>
        <v>0</v>
      </c>
      <c r="Q154" s="65" t="str">
        <f>IF(Table1[[#This Row],[Pick]]="","",IF(S154&gt;1,400,IF(G154="","",IF(C154="Passing",(400-Table1[[#This Row],[Passing Yards]]-(30*Table1[[#This Row],[Passing TDs]])-(50*SUM(Table1[[#This Row],[Rushing TDs]:[Other TD''s]]))),IF(C154="Rushing",2*(200-Table1[[#This Row],[Rushing Yards]]-(30*Table1[[#This Row],[Passing TDs]])-50*(Table1[[#This Row],[Rushing TDs]]+Table1[[#This Row],[Receiving TDs]]+Table1[[#This Row],[Other TD''s]])),IF(C154="Receiving",2*(200-Table1[[#This Row],[Receiving Yards]]-(30*Table1[[#This Row],[Passing TDs]])-50*(Table1[[#This Row],[Rushing TDs]]+Table1[[#This Row],[Receiving TDs]]+Table1[[#This Row],[Other TD''s]])),IF(C154="Defensive",(25*(16-Table1[[#This Row],[Tackles]]-(8*(Table1[[#This Row],[Other TD''s]]+Table1[[#This Row],[Interceptions]]+Table1[[#This Row],[Fumbles Recovered]])))))))))))</f>
        <v/>
      </c>
      <c r="R154" s="3" t="str">
        <f t="shared" si="6"/>
        <v/>
      </c>
      <c r="S154" s="4">
        <f t="shared" si="5"/>
        <v>1048507</v>
      </c>
      <c r="T1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55" spans="1:20" hidden="1" x14ac:dyDescent="0.25">
      <c r="A155" t="s">
        <v>68</v>
      </c>
      <c r="B155" s="28" t="s">
        <v>45</v>
      </c>
      <c r="C155" t="s">
        <v>16</v>
      </c>
      <c r="D155" t="str">
        <f>_xlfn.XLOOKUP(Table1[[#This Row],[Player]]&amp;Table1[[#This Row],[Week]]&amp;Table1[[#This Row],[Role]],'Google Form Transform'!$A:$A,'Google Form Transform'!E:E,"")</f>
        <v/>
      </c>
      <c r="E155" t="str">
        <f>_xlfn.XLOOKUP(Table1[[#This Row],[Player]]&amp;Table1[[#This Row],[Week]]&amp;Table1[[#This Row],[Role]],'Google Form Transform'!$A:$A,'Google Form Transform'!F:F,"")</f>
        <v/>
      </c>
      <c r="F155" t="str">
        <f>_xlfn.XLOOKUP(Table1[[#This Row],[Player]]&amp;Table1[[#This Row],[Week]]&amp;Table1[[#This Row],[Role]],'Google Form Transform'!$A:$A,'Google Form Transform'!G:G,"")</f>
        <v/>
      </c>
      <c r="G155" s="59">
        <f>SUMIFS(Table2[Stat],Table2[Stat Category],"passing",Table2[Stat Type],"YDS",Table2[Athlete],Table1[[#This Row],[Pick]],Table2[Week],Table1[[#This Row],[Week]])</f>
        <v>0</v>
      </c>
      <c r="H155" s="59">
        <f>SUMIFS(Table2[Stat],Table2[Stat Category],"rushing",Table2[Stat Type],"YDS",Table2[Athlete],Table1[[#This Row],[Pick]],Table2[Week],Table1[[#This Row],[Week]])</f>
        <v>0</v>
      </c>
      <c r="I155" s="59">
        <f>SUMIFS(Table2[Stat],Table2[Stat Category],"receiving",Table2[Stat Type],"YDS",Table2[Athlete],Table1[[#This Row],[Pick]],Table2[Week],Table1[[#This Row],[Week]])</f>
        <v>0</v>
      </c>
      <c r="J155" s="6">
        <f>IF(AND($C155="Rushing", $H155&lt;=0), 0, IF(AND($C155="Passing", $G$3&lt;=0), 0,IF(AND($C155="Receiving",$I155&lt;=0), 0,SUMIFS(Table2[Stat],Table2[Week],Table1[[#This Row],[Week]],Table2[Athlete],Table1[[#This Row],[Pick]],Table2[Stat Category],"passing",Table2[Stat Type],"TD"))))</f>
        <v>0</v>
      </c>
      <c r="K155" s="6">
        <f>IF(AND($C155="Rushing", $H155&lt;=0), 0, IF(AND($C155="Passing", $G$3&lt;=0), 0,IF(AND($C155="Receiving",$I155&lt;=0),0,SUMIFS(Table2[Stat],Table2[Week],Table1[[#This Row],[Week]],Table2[Athlete],Table1[[#This Row],[Pick]],Table2[Stat Category],"rushing",Table2[Stat Type],"TD"))))</f>
        <v>0</v>
      </c>
      <c r="L155" s="6">
        <f>IF(AND($C155="Rushing", $H155&lt;=0), 0, IF(AND($C155="Passing", $G$3&lt;=0), 0,IF(AND($C155="Receiving",$I155&lt;=0),0,SUMIFS(Table2[Stat],Table2[Week],Table1[[#This Row],[Week]],Table2[Athlete],Table1[[#This Row],[Pick]],Table2[Stat Category],"receiving",Table2[Stat Type],"TD"))))</f>
        <v>0</v>
      </c>
      <c r="M1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5" s="61">
        <f>SUMIFS(Data!$J:$J,Data!$A:$A,Info!$B155,Data!$G:$G,Info!$C155,Data!$I:$I,Info!$D155,Data!$H:$H,"TOT")</f>
        <v>0</v>
      </c>
      <c r="O155" s="61">
        <f>IF(C155="Defensive",SUMIFS(Data!$J:$J,Data!$A:$A,Info!$B155,Data!$I:$I,Info!$D155,Data!$H:$H,"INT"),0)</f>
        <v>0</v>
      </c>
      <c r="P155" s="61">
        <f>IF(Table1[[#This Row],[Role]]="Defensive",SUMIFS(Data!$J:$J,Data!$A:$A,Info!$B155,Data!$I:$I,Info!$D155,Data!$H:$H,$P$1),0)</f>
        <v>0</v>
      </c>
      <c r="Q155" s="65" t="str">
        <f>IF(Table1[[#This Row],[Pick]]="","",IF(S155&gt;1,400,IF(G155="","",IF(C155="Passing",(400-Table1[[#This Row],[Passing Yards]]-(30*Table1[[#This Row],[Passing TDs]])-(50*SUM(Table1[[#This Row],[Rushing TDs]:[Other TD''s]]))),IF(C155="Rushing",2*(200-Table1[[#This Row],[Rushing Yards]]-(30*Table1[[#This Row],[Passing TDs]])-50*(Table1[[#This Row],[Rushing TDs]]+Table1[[#This Row],[Receiving TDs]]+Table1[[#This Row],[Other TD''s]])),IF(C155="Receiving",2*(200-Table1[[#This Row],[Receiving Yards]]-(30*Table1[[#This Row],[Passing TDs]])-50*(Table1[[#This Row],[Rushing TDs]]+Table1[[#This Row],[Receiving TDs]]+Table1[[#This Row],[Other TD''s]])),IF(C155="Defensive",(25*(16-Table1[[#This Row],[Tackles]]-(8*(Table1[[#This Row],[Other TD''s]]+Table1[[#This Row],[Interceptions]]+Table1[[#This Row],[Fumbles Recovered]])))))))))))</f>
        <v/>
      </c>
      <c r="R155" s="3" t="str">
        <f t="shared" si="6"/>
        <v/>
      </c>
      <c r="S155" s="4">
        <f t="shared" si="5"/>
        <v>1048507</v>
      </c>
      <c r="T1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56" spans="1:20" hidden="1" x14ac:dyDescent="0.25">
      <c r="A156" t="s">
        <v>68</v>
      </c>
      <c r="B156" s="28" t="s">
        <v>45</v>
      </c>
      <c r="C156" t="s">
        <v>6</v>
      </c>
      <c r="D156" t="str">
        <f>_xlfn.XLOOKUP(Table1[[#This Row],[Player]]&amp;Table1[[#This Row],[Week]]&amp;Table1[[#This Row],[Role]],'Google Form Transform'!$A:$A,'Google Form Transform'!E:E,"")</f>
        <v/>
      </c>
      <c r="E156" t="str">
        <f>_xlfn.XLOOKUP(Table1[[#This Row],[Player]]&amp;Table1[[#This Row],[Week]]&amp;Table1[[#This Row],[Role]],'Google Form Transform'!$A:$A,'Google Form Transform'!F:F,"")</f>
        <v/>
      </c>
      <c r="F156" t="str">
        <f>_xlfn.XLOOKUP(Table1[[#This Row],[Player]]&amp;Table1[[#This Row],[Week]]&amp;Table1[[#This Row],[Role]],'Google Form Transform'!$A:$A,'Google Form Transform'!G:G,"")</f>
        <v/>
      </c>
      <c r="G156" s="59">
        <f>SUMIFS(Table2[Stat],Table2[Stat Category],"passing",Table2[Stat Type],"YDS",Table2[Athlete],Table1[[#This Row],[Pick]],Table2[Week],Table1[[#This Row],[Week]])</f>
        <v>0</v>
      </c>
      <c r="H156" s="59">
        <f>SUMIFS(Table2[Stat],Table2[Stat Category],"rushing",Table2[Stat Type],"YDS",Table2[Athlete],Table1[[#This Row],[Pick]],Table2[Week],Table1[[#This Row],[Week]])</f>
        <v>0</v>
      </c>
      <c r="I156" s="59">
        <f>SUMIFS(Table2[Stat],Table2[Stat Category],"receiving",Table2[Stat Type],"YDS",Table2[Athlete],Table1[[#This Row],[Pick]],Table2[Week],Table1[[#This Row],[Week]])</f>
        <v>0</v>
      </c>
      <c r="J156" s="6">
        <f>IF(AND($C156="Rushing", $H156&lt;=0), 0, IF(AND($C156="Passing", $G$3&lt;=0), 0,IF(AND($C156="Receiving",$I156&lt;=0), 0,SUMIFS(Table2[Stat],Table2[Week],Table1[[#This Row],[Week]],Table2[Athlete],Table1[[#This Row],[Pick]],Table2[Stat Category],"passing",Table2[Stat Type],"TD"))))</f>
        <v>0</v>
      </c>
      <c r="K156" s="6">
        <f>IF(AND($C156="Rushing", $H156&lt;=0), 0, IF(AND($C156="Passing", $G$3&lt;=0), 0,IF(AND($C156="Receiving",$I156&lt;=0),0,SUMIFS(Table2[Stat],Table2[Week],Table1[[#This Row],[Week]],Table2[Athlete],Table1[[#This Row],[Pick]],Table2[Stat Category],"rushing",Table2[Stat Type],"TD"))))</f>
        <v>0</v>
      </c>
      <c r="L156" s="6">
        <f>IF(AND($C156="Rushing", $H156&lt;=0), 0, IF(AND($C156="Passing", $G$3&lt;=0), 0,IF(AND($C156="Receiving",$I156&lt;=0),0,SUMIFS(Table2[Stat],Table2[Week],Table1[[#This Row],[Week]],Table2[Athlete],Table1[[#This Row],[Pick]],Table2[Stat Category],"receiving",Table2[Stat Type],"TD"))))</f>
        <v>0</v>
      </c>
      <c r="M1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6" s="61">
        <f>SUMIFS(Data!$J:$J,Data!$A:$A,Info!$B156,Data!$G:$G,Info!$C156,Data!$I:$I,Info!$D156,Data!$H:$H,"TOT")</f>
        <v>0</v>
      </c>
      <c r="O156" s="61">
        <f>IF(C156="Defensive",SUMIFS(Data!$J:$J,Data!$A:$A,Info!$B156,Data!$I:$I,Info!$D156,Data!$H:$H,"INT"),0)</f>
        <v>0</v>
      </c>
      <c r="P156" s="61">
        <f>IF(Table1[[#This Row],[Role]]="Defensive",SUMIFS(Data!$J:$J,Data!$A:$A,Info!$B156,Data!$I:$I,Info!$D156,Data!$H:$H,$P$1),0)</f>
        <v>0</v>
      </c>
      <c r="Q156" s="65" t="str">
        <f>IF(Table1[[#This Row],[Pick]]="","",IF(S156&gt;1,400,IF(G156="","",IF(C156="Passing",(400-Table1[[#This Row],[Passing Yards]]-(30*Table1[[#This Row],[Passing TDs]])-(50*SUM(Table1[[#This Row],[Rushing TDs]:[Other TD''s]]))),IF(C156="Rushing",2*(200-Table1[[#This Row],[Rushing Yards]]-(30*Table1[[#This Row],[Passing TDs]])-50*(Table1[[#This Row],[Rushing TDs]]+Table1[[#This Row],[Receiving TDs]]+Table1[[#This Row],[Other TD''s]])),IF(C156="Receiving",2*(200-Table1[[#This Row],[Receiving Yards]]-(30*Table1[[#This Row],[Passing TDs]])-50*(Table1[[#This Row],[Rushing TDs]]+Table1[[#This Row],[Receiving TDs]]+Table1[[#This Row],[Other TD''s]])),IF(C156="Defensive",(25*(16-Table1[[#This Row],[Tackles]]-(8*(Table1[[#This Row],[Other TD''s]]+Table1[[#This Row],[Interceptions]]+Table1[[#This Row],[Fumbles Recovered]])))))))))))</f>
        <v/>
      </c>
      <c r="R156" s="3" t="str">
        <f t="shared" si="6"/>
        <v/>
      </c>
      <c r="S156" s="4">
        <f t="shared" si="5"/>
        <v>1048507</v>
      </c>
      <c r="T1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57" spans="1:20" hidden="1" x14ac:dyDescent="0.25">
      <c r="A157" t="s">
        <v>68</v>
      </c>
      <c r="B157" s="28" t="s">
        <v>45</v>
      </c>
      <c r="C157" t="s">
        <v>17</v>
      </c>
      <c r="D157" t="str">
        <f>_xlfn.XLOOKUP(Table1[[#This Row],[Player]]&amp;Table1[[#This Row],[Week]]&amp;Table1[[#This Row],[Role]],'Google Form Transform'!$A:$A,'Google Form Transform'!E:E,"")</f>
        <v/>
      </c>
      <c r="E157" t="str">
        <f>_xlfn.XLOOKUP(Table1[[#This Row],[Player]]&amp;Table1[[#This Row],[Week]]&amp;Table1[[#This Row],[Role]],'Google Form Transform'!$A:$A,'Google Form Transform'!F:F,"")</f>
        <v/>
      </c>
      <c r="F157" t="str">
        <f>_xlfn.XLOOKUP(Table1[[#This Row],[Player]]&amp;Table1[[#This Row],[Week]]&amp;Table1[[#This Row],[Role]],'Google Form Transform'!$A:$A,'Google Form Transform'!G:G,"")</f>
        <v/>
      </c>
      <c r="G157" s="59">
        <f>SUMIFS(Table2[Stat],Table2[Stat Category],"passing",Table2[Stat Type],"YDS",Table2[Athlete],Table1[[#This Row],[Pick]],Table2[Week],Table1[[#This Row],[Week]])</f>
        <v>0</v>
      </c>
      <c r="H157" s="59">
        <f>SUMIFS(Table2[Stat],Table2[Stat Category],"rushing",Table2[Stat Type],"YDS",Table2[Athlete],Table1[[#This Row],[Pick]],Table2[Week],Table1[[#This Row],[Week]])</f>
        <v>0</v>
      </c>
      <c r="I157" s="59">
        <f>SUMIFS(Table2[Stat],Table2[Stat Category],"receiving",Table2[Stat Type],"YDS",Table2[Athlete],Table1[[#This Row],[Pick]],Table2[Week],Table1[[#This Row],[Week]])</f>
        <v>0</v>
      </c>
      <c r="J157" s="6">
        <f>IF(AND($C157="Rushing", $H157&lt;=0), 0, IF(AND($C157="Passing", $G$3&lt;=0), 0,IF(AND($C157="Receiving",$I157&lt;=0), 0,SUMIFS(Table2[Stat],Table2[Week],Table1[[#This Row],[Week]],Table2[Athlete],Table1[[#This Row],[Pick]],Table2[Stat Category],"passing",Table2[Stat Type],"TD"))))</f>
        <v>0</v>
      </c>
      <c r="K157" s="6">
        <f>IF(AND($C157="Rushing", $H157&lt;=0), 0, IF(AND($C157="Passing", $G$3&lt;=0), 0,IF(AND($C157="Receiving",$I157&lt;=0),0,SUMIFS(Table2[Stat],Table2[Week],Table1[[#This Row],[Week]],Table2[Athlete],Table1[[#This Row],[Pick]],Table2[Stat Category],"rushing",Table2[Stat Type],"TD"))))</f>
        <v>0</v>
      </c>
      <c r="L157" s="6">
        <f>IF(AND($C157="Rushing", $H157&lt;=0), 0, IF(AND($C157="Passing", $G$3&lt;=0), 0,IF(AND($C157="Receiving",$I157&lt;=0),0,SUMIFS(Table2[Stat],Table2[Week],Table1[[#This Row],[Week]],Table2[Athlete],Table1[[#This Row],[Pick]],Table2[Stat Category],"receiving",Table2[Stat Type],"TD"))))</f>
        <v>0</v>
      </c>
      <c r="M1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7" s="61">
        <f>SUMIFS(Data!$J:$J,Data!$A:$A,Info!$B157,Data!$G:$G,Info!$C157,Data!$I:$I,Info!$D157,Data!$H:$H,"TOT")</f>
        <v>0</v>
      </c>
      <c r="O157" s="61">
        <f>IF(C157="Defensive",SUMIFS(Data!$J:$J,Data!$A:$A,Info!$B157,Data!$I:$I,Info!$D157,Data!$H:$H,"INT"),0)</f>
        <v>0</v>
      </c>
      <c r="P157" s="61">
        <f>IF(Table1[[#This Row],[Role]]="Defensive",SUMIFS(Data!$J:$J,Data!$A:$A,Info!$B157,Data!$I:$I,Info!$D157,Data!$H:$H,$P$1),0)</f>
        <v>0</v>
      </c>
      <c r="Q157" s="65" t="str">
        <f>IF(Table1[[#This Row],[Pick]]="","",IF(S157&gt;1,400,IF(G157="","",IF(C157="Passing",(400-Table1[[#This Row],[Passing Yards]]-(30*Table1[[#This Row],[Passing TDs]])-(50*SUM(Table1[[#This Row],[Rushing TDs]:[Other TD''s]]))),IF(C157="Rushing",2*(200-Table1[[#This Row],[Rushing Yards]]-(30*Table1[[#This Row],[Passing TDs]])-50*(Table1[[#This Row],[Rushing TDs]]+Table1[[#This Row],[Receiving TDs]]+Table1[[#This Row],[Other TD''s]])),IF(C157="Receiving",2*(200-Table1[[#This Row],[Receiving Yards]]-(30*Table1[[#This Row],[Passing TDs]])-50*(Table1[[#This Row],[Rushing TDs]]+Table1[[#This Row],[Receiving TDs]]+Table1[[#This Row],[Other TD''s]])),IF(C157="Defensive",(25*(16-Table1[[#This Row],[Tackles]]-(8*(Table1[[#This Row],[Other TD''s]]+Table1[[#This Row],[Interceptions]]+Table1[[#This Row],[Fumbles Recovered]])))))))))))</f>
        <v/>
      </c>
      <c r="R157" s="3" t="str">
        <f t="shared" si="6"/>
        <v/>
      </c>
      <c r="S157" s="4">
        <f t="shared" si="5"/>
        <v>1048507</v>
      </c>
      <c r="T1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58" spans="1:20" hidden="1" x14ac:dyDescent="0.25">
      <c r="A158" t="s">
        <v>68</v>
      </c>
      <c r="B158" s="28" t="s">
        <v>45</v>
      </c>
      <c r="C158" t="s">
        <v>20</v>
      </c>
      <c r="D158" t="str">
        <f>_xlfn.XLOOKUP(Table1[[#This Row],[Player]]&amp;Table1[[#This Row],[Week]]&amp;Table1[[#This Row],[Role]],'Google Form Transform'!$A:$A,'Google Form Transform'!E:E,"")</f>
        <v/>
      </c>
      <c r="E158" t="str">
        <f>_xlfn.XLOOKUP(Table1[[#This Row],[Player]]&amp;Table1[[#This Row],[Week]]&amp;Table1[[#This Row],[Role]],'Google Form Transform'!$A:$A,'Google Form Transform'!F:F,"")</f>
        <v/>
      </c>
      <c r="F158" t="str">
        <f>_xlfn.XLOOKUP(Table1[[#This Row],[Player]]&amp;Table1[[#This Row],[Week]]&amp;Table1[[#This Row],[Role]],'Google Form Transform'!$A:$A,'Google Form Transform'!G:G,"")</f>
        <v/>
      </c>
      <c r="G158" s="59">
        <f>SUMIFS(Table2[Stat],Table2[Stat Category],"passing",Table2[Stat Type],"YDS",Table2[Athlete],Table1[[#This Row],[Pick]],Table2[Week],Table1[[#This Row],[Week]])</f>
        <v>0</v>
      </c>
      <c r="H158" s="59">
        <f>SUMIFS(Table2[Stat],Table2[Stat Category],"rushing",Table2[Stat Type],"YDS",Table2[Athlete],Table1[[#This Row],[Pick]],Table2[Week],Table1[[#This Row],[Week]])</f>
        <v>0</v>
      </c>
      <c r="I158" s="59">
        <f>SUMIFS(Table2[Stat],Table2[Stat Category],"receiving",Table2[Stat Type],"YDS",Table2[Athlete],Table1[[#This Row],[Pick]],Table2[Week],Table1[[#This Row],[Week]])</f>
        <v>0</v>
      </c>
      <c r="J158" s="6">
        <f>IF(AND($C158="Rushing", $H158&lt;=0), 0, IF(AND($C158="Passing", $G$3&lt;=0), 0,IF(AND($C158="Receiving",$I158&lt;=0), 0,SUMIFS(Table2[Stat],Table2[Week],Table1[[#This Row],[Week]],Table2[Athlete],Table1[[#This Row],[Pick]],Table2[Stat Category],"passing",Table2[Stat Type],"TD"))))</f>
        <v>0</v>
      </c>
      <c r="K158" s="6">
        <f>IF(AND($C158="Rushing", $H158&lt;=0), 0, IF(AND($C158="Passing", $G$3&lt;=0), 0,IF(AND($C158="Receiving",$I158&lt;=0),0,SUMIFS(Table2[Stat],Table2[Week],Table1[[#This Row],[Week]],Table2[Athlete],Table1[[#This Row],[Pick]],Table2[Stat Category],"rushing",Table2[Stat Type],"TD"))))</f>
        <v>0</v>
      </c>
      <c r="L158" s="6">
        <f>IF(AND($C158="Rushing", $H158&lt;=0), 0, IF(AND($C158="Passing", $G$3&lt;=0), 0,IF(AND($C158="Receiving",$I158&lt;=0),0,SUMIFS(Table2[Stat],Table2[Week],Table1[[#This Row],[Week]],Table2[Athlete],Table1[[#This Row],[Pick]],Table2[Stat Category],"receiving",Table2[Stat Type],"TD"))))</f>
        <v>0</v>
      </c>
      <c r="M1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8" s="61">
        <f>SUMIFS(Data!$J:$J,Data!$A:$A,Info!$B158,Data!$G:$G,Info!$C158,Data!$I:$I,Info!$D158,Data!$H:$H,"TOT")</f>
        <v>0</v>
      </c>
      <c r="O158" s="61">
        <f>IF(C158="Defensive",SUMIFS(Data!$J:$J,Data!$A:$A,Info!$B158,Data!$I:$I,Info!$D158,Data!$H:$H,"INT"),0)</f>
        <v>0</v>
      </c>
      <c r="P158" s="61">
        <f>IF(Table1[[#This Row],[Role]]="Defensive",SUMIFS(Data!$J:$J,Data!$A:$A,Info!$B158,Data!$I:$I,Info!$D158,Data!$H:$H,$P$1),0)</f>
        <v>0</v>
      </c>
      <c r="Q158" s="65" t="str">
        <f>IF(Table1[[#This Row],[Pick]]="","",IF(S158&gt;1,400,IF(G158="","",IF(C158="Passing",(400-Table1[[#This Row],[Passing Yards]]-(30*Table1[[#This Row],[Passing TDs]])-(50*SUM(Table1[[#This Row],[Rushing TDs]:[Other TD''s]]))),IF(C158="Rushing",2*(200-Table1[[#This Row],[Rushing Yards]]-(30*Table1[[#This Row],[Passing TDs]])-50*(Table1[[#This Row],[Rushing TDs]]+Table1[[#This Row],[Receiving TDs]]+Table1[[#This Row],[Other TD''s]])),IF(C158="Receiving",2*(200-Table1[[#This Row],[Receiving Yards]]-(30*Table1[[#This Row],[Passing TDs]])-50*(Table1[[#This Row],[Rushing TDs]]+Table1[[#This Row],[Receiving TDs]]+Table1[[#This Row],[Other TD''s]])),IF(C158="Defensive",(25*(16-Table1[[#This Row],[Tackles]]-(8*(Table1[[#This Row],[Other TD''s]]+Table1[[#This Row],[Interceptions]]+Table1[[#This Row],[Fumbles Recovered]])))))))))))</f>
        <v/>
      </c>
      <c r="R158" s="3" t="str">
        <f t="shared" si="6"/>
        <v/>
      </c>
      <c r="S158" s="4">
        <f t="shared" si="5"/>
        <v>1048507</v>
      </c>
      <c r="T1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59" spans="1:20" hidden="1" x14ac:dyDescent="0.25">
      <c r="A159" t="s">
        <v>5</v>
      </c>
      <c r="B159" s="28" t="s">
        <v>45</v>
      </c>
      <c r="C159" t="s">
        <v>16</v>
      </c>
      <c r="D159" t="str">
        <f>_xlfn.XLOOKUP(Table1[[#This Row],[Player]]&amp;Table1[[#This Row],[Week]]&amp;Table1[[#This Row],[Role]],'Google Form Transform'!$A:$A,'Google Form Transform'!E:E,"")</f>
        <v/>
      </c>
      <c r="E159" t="str">
        <f>_xlfn.XLOOKUP(Table1[[#This Row],[Player]]&amp;Table1[[#This Row],[Week]]&amp;Table1[[#This Row],[Role]],'Google Form Transform'!$A:$A,'Google Form Transform'!F:F,"")</f>
        <v/>
      </c>
      <c r="F159" t="str">
        <f>_xlfn.XLOOKUP(Table1[[#This Row],[Player]]&amp;Table1[[#This Row],[Week]]&amp;Table1[[#This Row],[Role]],'Google Form Transform'!$A:$A,'Google Form Transform'!G:G,"")</f>
        <v/>
      </c>
      <c r="G159" s="59">
        <f>SUMIFS(Table2[Stat],Table2[Stat Category],"passing",Table2[Stat Type],"YDS",Table2[Athlete],Table1[[#This Row],[Pick]],Table2[Week],Table1[[#This Row],[Week]])</f>
        <v>0</v>
      </c>
      <c r="H159" s="59">
        <f>SUMIFS(Table2[Stat],Table2[Stat Category],"rushing",Table2[Stat Type],"YDS",Table2[Athlete],Table1[[#This Row],[Pick]],Table2[Week],Table1[[#This Row],[Week]])</f>
        <v>0</v>
      </c>
      <c r="I159" s="59">
        <f>SUMIFS(Table2[Stat],Table2[Stat Category],"receiving",Table2[Stat Type],"YDS",Table2[Athlete],Table1[[#This Row],[Pick]],Table2[Week],Table1[[#This Row],[Week]])</f>
        <v>0</v>
      </c>
      <c r="J159" s="6">
        <f>IF(AND($C159="Rushing", $H159&lt;=0), 0, IF(AND($C159="Passing", $G$3&lt;=0), 0,IF(AND($C159="Receiving",$I159&lt;=0), 0,SUMIFS(Table2[Stat],Table2[Week],Table1[[#This Row],[Week]],Table2[Athlete],Table1[[#This Row],[Pick]],Table2[Stat Category],"passing",Table2[Stat Type],"TD"))))</f>
        <v>0</v>
      </c>
      <c r="K159" s="6">
        <f>IF(AND($C159="Rushing", $H159&lt;=0), 0, IF(AND($C159="Passing", $G$3&lt;=0), 0,IF(AND($C159="Receiving",$I159&lt;=0),0,SUMIFS(Table2[Stat],Table2[Week],Table1[[#This Row],[Week]],Table2[Athlete],Table1[[#This Row],[Pick]],Table2[Stat Category],"rushing",Table2[Stat Type],"TD"))))</f>
        <v>0</v>
      </c>
      <c r="L159" s="6">
        <f>IF(AND($C159="Rushing", $H159&lt;=0), 0, IF(AND($C159="Passing", $G$3&lt;=0), 0,IF(AND($C159="Receiving",$I159&lt;=0),0,SUMIFS(Table2[Stat],Table2[Week],Table1[[#This Row],[Week]],Table2[Athlete],Table1[[#This Row],[Pick]],Table2[Stat Category],"receiving",Table2[Stat Type],"TD"))))</f>
        <v>0</v>
      </c>
      <c r="M1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9" s="61">
        <f>SUMIFS(Data!$J:$J,Data!$A:$A,Info!$B159,Data!$G:$G,Info!$C159,Data!$I:$I,Info!$D159,Data!$H:$H,"TOT")</f>
        <v>0</v>
      </c>
      <c r="O159" s="61">
        <f>IF(C159="Defensive",SUMIFS(Data!$J:$J,Data!$A:$A,Info!$B159,Data!$I:$I,Info!$D159,Data!$H:$H,"INT"),0)</f>
        <v>0</v>
      </c>
      <c r="P159" s="61">
        <f>IF(Table1[[#This Row],[Role]]="Defensive",SUMIFS(Data!$J:$J,Data!$A:$A,Info!$B159,Data!$I:$I,Info!$D159,Data!$H:$H,$P$1),0)</f>
        <v>0</v>
      </c>
      <c r="Q159" s="65" t="str">
        <f>IF(Table1[[#This Row],[Pick]]="","",IF(S159&gt;1,400,IF(G159="","",IF(C159="Passing",(400-Table1[[#This Row],[Passing Yards]]-(30*Table1[[#This Row],[Passing TDs]])-(50*SUM(Table1[[#This Row],[Rushing TDs]:[Other TD''s]]))),IF(C159="Rushing",2*(200-Table1[[#This Row],[Rushing Yards]]-(30*Table1[[#This Row],[Passing TDs]])-50*(Table1[[#This Row],[Rushing TDs]]+Table1[[#This Row],[Receiving TDs]]+Table1[[#This Row],[Other TD''s]])),IF(C159="Receiving",2*(200-Table1[[#This Row],[Receiving Yards]]-(30*Table1[[#This Row],[Passing TDs]])-50*(Table1[[#This Row],[Rushing TDs]]+Table1[[#This Row],[Receiving TDs]]+Table1[[#This Row],[Other TD''s]])),IF(C159="Defensive",(25*(16-Table1[[#This Row],[Tackles]]-(8*(Table1[[#This Row],[Other TD''s]]+Table1[[#This Row],[Interceptions]]+Table1[[#This Row],[Fumbles Recovered]])))))))))))</f>
        <v/>
      </c>
      <c r="R159" s="3" t="str">
        <f t="shared" si="6"/>
        <v/>
      </c>
      <c r="S159" s="4">
        <f t="shared" si="5"/>
        <v>1048507</v>
      </c>
      <c r="T1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60" spans="1:20" hidden="1" x14ac:dyDescent="0.25">
      <c r="A160" t="s">
        <v>5</v>
      </c>
      <c r="B160" s="28" t="s">
        <v>45</v>
      </c>
      <c r="C160" t="s">
        <v>6</v>
      </c>
      <c r="D160" t="str">
        <f>_xlfn.XLOOKUP(Table1[[#This Row],[Player]]&amp;Table1[[#This Row],[Week]]&amp;Table1[[#This Row],[Role]],'Google Form Transform'!$A:$A,'Google Form Transform'!E:E,"")</f>
        <v/>
      </c>
      <c r="E160" t="str">
        <f>_xlfn.XLOOKUP(Table1[[#This Row],[Player]]&amp;Table1[[#This Row],[Week]]&amp;Table1[[#This Row],[Role]],'Google Form Transform'!$A:$A,'Google Form Transform'!F:F,"")</f>
        <v/>
      </c>
      <c r="F160" t="str">
        <f>_xlfn.XLOOKUP(Table1[[#This Row],[Player]]&amp;Table1[[#This Row],[Week]]&amp;Table1[[#This Row],[Role]],'Google Form Transform'!$A:$A,'Google Form Transform'!G:G,"")</f>
        <v/>
      </c>
      <c r="G160" s="59">
        <f>SUMIFS(Table2[Stat],Table2[Stat Category],"passing",Table2[Stat Type],"YDS",Table2[Athlete],Table1[[#This Row],[Pick]],Table2[Week],Table1[[#This Row],[Week]])</f>
        <v>0</v>
      </c>
      <c r="H160" s="59">
        <f>SUMIFS(Table2[Stat],Table2[Stat Category],"rushing",Table2[Stat Type],"YDS",Table2[Athlete],Table1[[#This Row],[Pick]],Table2[Week],Table1[[#This Row],[Week]])</f>
        <v>0</v>
      </c>
      <c r="I160" s="59">
        <f>SUMIFS(Table2[Stat],Table2[Stat Category],"receiving",Table2[Stat Type],"YDS",Table2[Athlete],Table1[[#This Row],[Pick]],Table2[Week],Table1[[#This Row],[Week]])</f>
        <v>0</v>
      </c>
      <c r="J160" s="6">
        <f>IF(AND($C160="Rushing", $H160&lt;=0), 0, IF(AND($C160="Passing", $G$3&lt;=0), 0,IF(AND($C160="Receiving",$I160&lt;=0), 0,SUMIFS(Table2[Stat],Table2[Week],Table1[[#This Row],[Week]],Table2[Athlete],Table1[[#This Row],[Pick]],Table2[Stat Category],"passing",Table2[Stat Type],"TD"))))</f>
        <v>0</v>
      </c>
      <c r="K160" s="6">
        <f>IF(AND($C160="Rushing", $H160&lt;=0), 0, IF(AND($C160="Passing", $G$3&lt;=0), 0,IF(AND($C160="Receiving",$I160&lt;=0),0,SUMIFS(Table2[Stat],Table2[Week],Table1[[#This Row],[Week]],Table2[Athlete],Table1[[#This Row],[Pick]],Table2[Stat Category],"rushing",Table2[Stat Type],"TD"))))</f>
        <v>0</v>
      </c>
      <c r="L160" s="6">
        <f>IF(AND($C160="Rushing", $H160&lt;=0), 0, IF(AND($C160="Passing", $G$3&lt;=0), 0,IF(AND($C160="Receiving",$I160&lt;=0),0,SUMIFS(Table2[Stat],Table2[Week],Table1[[#This Row],[Week]],Table2[Athlete],Table1[[#This Row],[Pick]],Table2[Stat Category],"receiving",Table2[Stat Type],"TD"))))</f>
        <v>0</v>
      </c>
      <c r="M1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0" s="61">
        <f>SUMIFS(Data!$J:$J,Data!$A:$A,Info!$B160,Data!$G:$G,Info!$C160,Data!$I:$I,Info!$D160,Data!$H:$H,"TOT")</f>
        <v>0</v>
      </c>
      <c r="O160" s="61">
        <f>IF(C160="Defensive",SUMIFS(Data!$J:$J,Data!$A:$A,Info!$B160,Data!$I:$I,Info!$D160,Data!$H:$H,"INT"),0)</f>
        <v>0</v>
      </c>
      <c r="P160" s="61">
        <f>IF(Table1[[#This Row],[Role]]="Defensive",SUMIFS(Data!$J:$J,Data!$A:$A,Info!$B160,Data!$I:$I,Info!$D160,Data!$H:$H,$P$1),0)</f>
        <v>0</v>
      </c>
      <c r="Q160" s="65" t="str">
        <f>IF(Table1[[#This Row],[Pick]]="","",IF(S160&gt;1,400,IF(G160="","",IF(C160="Passing",(400-Table1[[#This Row],[Passing Yards]]-(30*Table1[[#This Row],[Passing TDs]])-(50*SUM(Table1[[#This Row],[Rushing TDs]:[Other TD''s]]))),IF(C160="Rushing",2*(200-Table1[[#This Row],[Rushing Yards]]-(30*Table1[[#This Row],[Passing TDs]])-50*(Table1[[#This Row],[Rushing TDs]]+Table1[[#This Row],[Receiving TDs]]+Table1[[#This Row],[Other TD''s]])),IF(C160="Receiving",2*(200-Table1[[#This Row],[Receiving Yards]]-(30*Table1[[#This Row],[Passing TDs]])-50*(Table1[[#This Row],[Rushing TDs]]+Table1[[#This Row],[Receiving TDs]]+Table1[[#This Row],[Other TD''s]])),IF(C160="Defensive",(25*(16-Table1[[#This Row],[Tackles]]-(8*(Table1[[#This Row],[Other TD''s]]+Table1[[#This Row],[Interceptions]]+Table1[[#This Row],[Fumbles Recovered]])))))))))))</f>
        <v/>
      </c>
      <c r="R160" s="3" t="str">
        <f t="shared" si="6"/>
        <v/>
      </c>
      <c r="S160" s="4">
        <f t="shared" si="5"/>
        <v>1048507</v>
      </c>
      <c r="T1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61" spans="1:20" hidden="1" x14ac:dyDescent="0.25">
      <c r="A161" t="s">
        <v>5</v>
      </c>
      <c r="B161" s="28" t="s">
        <v>45</v>
      </c>
      <c r="C161" t="s">
        <v>17</v>
      </c>
      <c r="D161" t="str">
        <f>_xlfn.XLOOKUP(Table1[[#This Row],[Player]]&amp;Table1[[#This Row],[Week]]&amp;Table1[[#This Row],[Role]],'Google Form Transform'!$A:$A,'Google Form Transform'!E:E,"")</f>
        <v/>
      </c>
      <c r="E161" t="str">
        <f>_xlfn.XLOOKUP(Table1[[#This Row],[Player]]&amp;Table1[[#This Row],[Week]]&amp;Table1[[#This Row],[Role]],'Google Form Transform'!$A:$A,'Google Form Transform'!F:F,"")</f>
        <v/>
      </c>
      <c r="F161" t="str">
        <f>_xlfn.XLOOKUP(Table1[[#This Row],[Player]]&amp;Table1[[#This Row],[Week]]&amp;Table1[[#This Row],[Role]],'Google Form Transform'!$A:$A,'Google Form Transform'!G:G,"")</f>
        <v/>
      </c>
      <c r="G161" s="59">
        <f>SUMIFS(Table2[Stat],Table2[Stat Category],"passing",Table2[Stat Type],"YDS",Table2[Athlete],Table1[[#This Row],[Pick]],Table2[Week],Table1[[#This Row],[Week]])</f>
        <v>0</v>
      </c>
      <c r="H161" s="59">
        <f>SUMIFS(Table2[Stat],Table2[Stat Category],"rushing",Table2[Stat Type],"YDS",Table2[Athlete],Table1[[#This Row],[Pick]],Table2[Week],Table1[[#This Row],[Week]])</f>
        <v>0</v>
      </c>
      <c r="I161" s="59">
        <f>SUMIFS(Table2[Stat],Table2[Stat Category],"receiving",Table2[Stat Type],"YDS",Table2[Athlete],Table1[[#This Row],[Pick]],Table2[Week],Table1[[#This Row],[Week]])</f>
        <v>0</v>
      </c>
      <c r="J161" s="6">
        <f>IF(AND($C161="Rushing", $H161&lt;=0), 0, IF(AND($C161="Passing", $G$3&lt;=0), 0,IF(AND($C161="Receiving",$I161&lt;=0), 0,SUMIFS(Table2[Stat],Table2[Week],Table1[[#This Row],[Week]],Table2[Athlete],Table1[[#This Row],[Pick]],Table2[Stat Category],"passing",Table2[Stat Type],"TD"))))</f>
        <v>0</v>
      </c>
      <c r="K161" s="6">
        <f>IF(AND($C161="Rushing", $H161&lt;=0), 0, IF(AND($C161="Passing", $G$3&lt;=0), 0,IF(AND($C161="Receiving",$I161&lt;=0),0,SUMIFS(Table2[Stat],Table2[Week],Table1[[#This Row],[Week]],Table2[Athlete],Table1[[#This Row],[Pick]],Table2[Stat Category],"rushing",Table2[Stat Type],"TD"))))</f>
        <v>0</v>
      </c>
      <c r="L161" s="6">
        <f>IF(AND($C161="Rushing", $H161&lt;=0), 0, IF(AND($C161="Passing", $G$3&lt;=0), 0,IF(AND($C161="Receiving",$I161&lt;=0),0,SUMIFS(Table2[Stat],Table2[Week],Table1[[#This Row],[Week]],Table2[Athlete],Table1[[#This Row],[Pick]],Table2[Stat Category],"receiving",Table2[Stat Type],"TD"))))</f>
        <v>0</v>
      </c>
      <c r="M1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1" s="61">
        <f>SUMIFS(Data!$J:$J,Data!$A:$A,Info!$B161,Data!$G:$G,Info!$C161,Data!$I:$I,Info!$D161,Data!$H:$H,"TOT")</f>
        <v>0</v>
      </c>
      <c r="O161" s="61">
        <f>IF(C161="Defensive",SUMIFS(Data!$J:$J,Data!$A:$A,Info!$B161,Data!$I:$I,Info!$D161,Data!$H:$H,"INT"),0)</f>
        <v>0</v>
      </c>
      <c r="P161" s="61">
        <f>IF(Table1[[#This Row],[Role]]="Defensive",SUMIFS(Data!$J:$J,Data!$A:$A,Info!$B161,Data!$I:$I,Info!$D161,Data!$H:$H,$P$1),0)</f>
        <v>0</v>
      </c>
      <c r="Q161" s="65" t="str">
        <f>IF(Table1[[#This Row],[Pick]]="","",IF(S161&gt;1,400,IF(G161="","",IF(C161="Passing",(400-Table1[[#This Row],[Passing Yards]]-(30*Table1[[#This Row],[Passing TDs]])-(50*SUM(Table1[[#This Row],[Rushing TDs]:[Other TD''s]]))),IF(C161="Rushing",2*(200-Table1[[#This Row],[Rushing Yards]]-(30*Table1[[#This Row],[Passing TDs]])-50*(Table1[[#This Row],[Rushing TDs]]+Table1[[#This Row],[Receiving TDs]]+Table1[[#This Row],[Other TD''s]])),IF(C161="Receiving",2*(200-Table1[[#This Row],[Receiving Yards]]-(30*Table1[[#This Row],[Passing TDs]])-50*(Table1[[#This Row],[Rushing TDs]]+Table1[[#This Row],[Receiving TDs]]+Table1[[#This Row],[Other TD''s]])),IF(C161="Defensive",(25*(16-Table1[[#This Row],[Tackles]]-(8*(Table1[[#This Row],[Other TD''s]]+Table1[[#This Row],[Interceptions]]+Table1[[#This Row],[Fumbles Recovered]])))))))))))</f>
        <v/>
      </c>
      <c r="R161" s="3" t="str">
        <f t="shared" si="6"/>
        <v/>
      </c>
      <c r="S161" s="4">
        <f t="shared" si="5"/>
        <v>1048507</v>
      </c>
      <c r="T1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62" spans="1:20" hidden="1" x14ac:dyDescent="0.25">
      <c r="A162" t="s">
        <v>5</v>
      </c>
      <c r="B162" s="28" t="s">
        <v>45</v>
      </c>
      <c r="C162" t="s">
        <v>20</v>
      </c>
      <c r="D162" t="str">
        <f>_xlfn.XLOOKUP(Table1[[#This Row],[Player]]&amp;Table1[[#This Row],[Week]]&amp;Table1[[#This Row],[Role]],'Google Form Transform'!$A:$A,'Google Form Transform'!E:E,"")</f>
        <v/>
      </c>
      <c r="E162" t="str">
        <f>_xlfn.XLOOKUP(Table1[[#This Row],[Player]]&amp;Table1[[#This Row],[Week]]&amp;Table1[[#This Row],[Role]],'Google Form Transform'!$A:$A,'Google Form Transform'!F:F,"")</f>
        <v/>
      </c>
      <c r="F162" t="str">
        <f>_xlfn.XLOOKUP(Table1[[#This Row],[Player]]&amp;Table1[[#This Row],[Week]]&amp;Table1[[#This Row],[Role]],'Google Form Transform'!$A:$A,'Google Form Transform'!G:G,"")</f>
        <v/>
      </c>
      <c r="G162" s="59">
        <f>SUMIFS(Table2[Stat],Table2[Stat Category],"passing",Table2[Stat Type],"YDS",Table2[Athlete],Table1[[#This Row],[Pick]],Table2[Week],Table1[[#This Row],[Week]])</f>
        <v>0</v>
      </c>
      <c r="H162" s="59">
        <f>SUMIFS(Table2[Stat],Table2[Stat Category],"rushing",Table2[Stat Type],"YDS",Table2[Athlete],Table1[[#This Row],[Pick]],Table2[Week],Table1[[#This Row],[Week]])</f>
        <v>0</v>
      </c>
      <c r="I162" s="59">
        <f>SUMIFS(Table2[Stat],Table2[Stat Category],"receiving",Table2[Stat Type],"YDS",Table2[Athlete],Table1[[#This Row],[Pick]],Table2[Week],Table1[[#This Row],[Week]])</f>
        <v>0</v>
      </c>
      <c r="J162" s="6">
        <f>IF(AND($C162="Rushing", $H162&lt;=0), 0, IF(AND($C162="Passing", $G$3&lt;=0), 0,IF(AND($C162="Receiving",$I162&lt;=0), 0,SUMIFS(Table2[Stat],Table2[Week],Table1[[#This Row],[Week]],Table2[Athlete],Table1[[#This Row],[Pick]],Table2[Stat Category],"passing",Table2[Stat Type],"TD"))))</f>
        <v>0</v>
      </c>
      <c r="K162" s="6">
        <f>IF(AND($C162="Rushing", $H162&lt;=0), 0, IF(AND($C162="Passing", $G$3&lt;=0), 0,IF(AND($C162="Receiving",$I162&lt;=0),0,SUMIFS(Table2[Stat],Table2[Week],Table1[[#This Row],[Week]],Table2[Athlete],Table1[[#This Row],[Pick]],Table2[Stat Category],"rushing",Table2[Stat Type],"TD"))))</f>
        <v>0</v>
      </c>
      <c r="L162" s="6">
        <f>IF(AND($C162="Rushing", $H162&lt;=0), 0, IF(AND($C162="Passing", $G$3&lt;=0), 0,IF(AND($C162="Receiving",$I162&lt;=0),0,SUMIFS(Table2[Stat],Table2[Week],Table1[[#This Row],[Week]],Table2[Athlete],Table1[[#This Row],[Pick]],Table2[Stat Category],"receiving",Table2[Stat Type],"TD"))))</f>
        <v>0</v>
      </c>
      <c r="M1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2" s="61">
        <f>SUMIFS(Data!$J:$J,Data!$A:$A,Info!$B162,Data!$G:$G,Info!$C162,Data!$I:$I,Info!$D162,Data!$H:$H,"TOT")</f>
        <v>0</v>
      </c>
      <c r="O162" s="61">
        <f>IF(C162="Defensive",SUMIFS(Data!$J:$J,Data!$A:$A,Info!$B162,Data!$I:$I,Info!$D162,Data!$H:$H,"INT"),0)</f>
        <v>0</v>
      </c>
      <c r="P162" s="61">
        <f>IF(Table1[[#This Row],[Role]]="Defensive",SUMIFS(Data!$J:$J,Data!$A:$A,Info!$B162,Data!$I:$I,Info!$D162,Data!$H:$H,$P$1),0)</f>
        <v>0</v>
      </c>
      <c r="Q162" s="65" t="str">
        <f>IF(Table1[[#This Row],[Pick]]="","",IF(S162&gt;1,400,IF(G162="","",IF(C162="Passing",(400-Table1[[#This Row],[Passing Yards]]-(30*Table1[[#This Row],[Passing TDs]])-(50*SUM(Table1[[#This Row],[Rushing TDs]:[Other TD''s]]))),IF(C162="Rushing",2*(200-Table1[[#This Row],[Rushing Yards]]-(30*Table1[[#This Row],[Passing TDs]])-50*(Table1[[#This Row],[Rushing TDs]]+Table1[[#This Row],[Receiving TDs]]+Table1[[#This Row],[Other TD''s]])),IF(C162="Receiving",2*(200-Table1[[#This Row],[Receiving Yards]]-(30*Table1[[#This Row],[Passing TDs]])-50*(Table1[[#This Row],[Rushing TDs]]+Table1[[#This Row],[Receiving TDs]]+Table1[[#This Row],[Other TD''s]])),IF(C162="Defensive",(25*(16-Table1[[#This Row],[Tackles]]-(8*(Table1[[#This Row],[Other TD''s]]+Table1[[#This Row],[Interceptions]]+Table1[[#This Row],[Fumbles Recovered]])))))))))))</f>
        <v/>
      </c>
      <c r="R162" s="3" t="str">
        <f t="shared" si="6"/>
        <v/>
      </c>
      <c r="S162" s="4">
        <f t="shared" si="5"/>
        <v>1048507</v>
      </c>
      <c r="T1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63" spans="1:20" hidden="1" x14ac:dyDescent="0.25">
      <c r="A163" t="s">
        <v>18</v>
      </c>
      <c r="B163" s="28" t="s">
        <v>45</v>
      </c>
      <c r="C163" t="s">
        <v>16</v>
      </c>
      <c r="D163" t="str">
        <f>_xlfn.XLOOKUP(Table1[[#This Row],[Player]]&amp;Table1[[#This Row],[Week]]&amp;Table1[[#This Row],[Role]],'Google Form Transform'!$A:$A,'Google Form Transform'!E:E,"")</f>
        <v/>
      </c>
      <c r="E163" t="str">
        <f>_xlfn.XLOOKUP(Table1[[#This Row],[Player]]&amp;Table1[[#This Row],[Week]]&amp;Table1[[#This Row],[Role]],'Google Form Transform'!$A:$A,'Google Form Transform'!F:F,"")</f>
        <v/>
      </c>
      <c r="F163" t="str">
        <f>_xlfn.XLOOKUP(Table1[[#This Row],[Player]]&amp;Table1[[#This Row],[Week]]&amp;Table1[[#This Row],[Role]],'Google Form Transform'!$A:$A,'Google Form Transform'!G:G,"")</f>
        <v/>
      </c>
      <c r="G163" s="59">
        <f>SUMIFS(Table2[Stat],Table2[Stat Category],"passing",Table2[Stat Type],"YDS",Table2[Athlete],Table1[[#This Row],[Pick]],Table2[Week],Table1[[#This Row],[Week]])</f>
        <v>0</v>
      </c>
      <c r="H163" s="59">
        <f>SUMIFS(Table2[Stat],Table2[Stat Category],"rushing",Table2[Stat Type],"YDS",Table2[Athlete],Table1[[#This Row],[Pick]],Table2[Week],Table1[[#This Row],[Week]])</f>
        <v>0</v>
      </c>
      <c r="I163" s="59">
        <f>SUMIFS(Table2[Stat],Table2[Stat Category],"receiving",Table2[Stat Type],"YDS",Table2[Athlete],Table1[[#This Row],[Pick]],Table2[Week],Table1[[#This Row],[Week]])</f>
        <v>0</v>
      </c>
      <c r="J163" s="6">
        <f>IF(AND($C163="Rushing", $H163&lt;=0), 0, IF(AND($C163="Passing", $G$3&lt;=0), 0,IF(AND($C163="Receiving",$I163&lt;=0), 0,SUMIFS(Table2[Stat],Table2[Week],Table1[[#This Row],[Week]],Table2[Athlete],Table1[[#This Row],[Pick]],Table2[Stat Category],"passing",Table2[Stat Type],"TD"))))</f>
        <v>0</v>
      </c>
      <c r="K163" s="6">
        <f>IF(AND($C163="Rushing", $H163&lt;=0), 0, IF(AND($C163="Passing", $G$3&lt;=0), 0,IF(AND($C163="Receiving",$I163&lt;=0),0,SUMIFS(Table2[Stat],Table2[Week],Table1[[#This Row],[Week]],Table2[Athlete],Table1[[#This Row],[Pick]],Table2[Stat Category],"rushing",Table2[Stat Type],"TD"))))</f>
        <v>0</v>
      </c>
      <c r="L163" s="6">
        <f>IF(AND($C163="Rushing", $H163&lt;=0), 0, IF(AND($C163="Passing", $G$3&lt;=0), 0,IF(AND($C163="Receiving",$I163&lt;=0),0,SUMIFS(Table2[Stat],Table2[Week],Table1[[#This Row],[Week]],Table2[Athlete],Table1[[#This Row],[Pick]],Table2[Stat Category],"receiving",Table2[Stat Type],"TD"))))</f>
        <v>0</v>
      </c>
      <c r="M1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3" s="61">
        <f>SUMIFS(Data!$J:$J,Data!$A:$A,Info!$B163,Data!$G:$G,Info!$C163,Data!$I:$I,Info!$D163,Data!$H:$H,"TOT")</f>
        <v>0</v>
      </c>
      <c r="O163" s="61">
        <f>IF(C163="Defensive",SUMIFS(Data!$J:$J,Data!$A:$A,Info!$B163,Data!$I:$I,Info!$D163,Data!$H:$H,"INT"),0)</f>
        <v>0</v>
      </c>
      <c r="P163" s="61">
        <f>IF(Table1[[#This Row],[Role]]="Defensive",SUMIFS(Data!$J:$J,Data!$A:$A,Info!$B163,Data!$I:$I,Info!$D163,Data!$H:$H,$P$1),0)</f>
        <v>0</v>
      </c>
      <c r="Q163" s="65" t="str">
        <f>IF(Table1[[#This Row],[Pick]]="","",IF(S163&gt;1,400,IF(G163="","",IF(C163="Passing",(400-Table1[[#This Row],[Passing Yards]]-(30*Table1[[#This Row],[Passing TDs]])-(50*SUM(Table1[[#This Row],[Rushing TDs]:[Other TD''s]]))),IF(C163="Rushing",2*(200-Table1[[#This Row],[Rushing Yards]]-(30*Table1[[#This Row],[Passing TDs]])-50*(Table1[[#This Row],[Rushing TDs]]+Table1[[#This Row],[Receiving TDs]]+Table1[[#This Row],[Other TD''s]])),IF(C163="Receiving",2*(200-Table1[[#This Row],[Receiving Yards]]-(30*Table1[[#This Row],[Passing TDs]])-50*(Table1[[#This Row],[Rushing TDs]]+Table1[[#This Row],[Receiving TDs]]+Table1[[#This Row],[Other TD''s]])),IF(C163="Defensive",(25*(16-Table1[[#This Row],[Tackles]]-(8*(Table1[[#This Row],[Other TD''s]]+Table1[[#This Row],[Interceptions]]+Table1[[#This Row],[Fumbles Recovered]])))))))))))</f>
        <v/>
      </c>
      <c r="R163" s="3" t="str">
        <f t="shared" si="6"/>
        <v/>
      </c>
      <c r="S163" s="4">
        <f t="shared" si="5"/>
        <v>1048507</v>
      </c>
      <c r="T1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64" spans="1:20" hidden="1" x14ac:dyDescent="0.25">
      <c r="A164" t="s">
        <v>18</v>
      </c>
      <c r="B164" s="28" t="s">
        <v>45</v>
      </c>
      <c r="C164" t="s">
        <v>6</v>
      </c>
      <c r="D164" t="str">
        <f>_xlfn.XLOOKUP(Table1[[#This Row],[Player]]&amp;Table1[[#This Row],[Week]]&amp;Table1[[#This Row],[Role]],'Google Form Transform'!$A:$A,'Google Form Transform'!E:E,"")</f>
        <v/>
      </c>
      <c r="E164" t="str">
        <f>_xlfn.XLOOKUP(Table1[[#This Row],[Player]]&amp;Table1[[#This Row],[Week]]&amp;Table1[[#This Row],[Role]],'Google Form Transform'!$A:$A,'Google Form Transform'!F:F,"")</f>
        <v/>
      </c>
      <c r="F164" t="str">
        <f>_xlfn.XLOOKUP(Table1[[#This Row],[Player]]&amp;Table1[[#This Row],[Week]]&amp;Table1[[#This Row],[Role]],'Google Form Transform'!$A:$A,'Google Form Transform'!G:G,"")</f>
        <v/>
      </c>
      <c r="G164" s="59">
        <f>SUMIFS(Table2[Stat],Table2[Stat Category],"passing",Table2[Stat Type],"YDS",Table2[Athlete],Table1[[#This Row],[Pick]],Table2[Week],Table1[[#This Row],[Week]])</f>
        <v>0</v>
      </c>
      <c r="H164" s="59">
        <f>SUMIFS(Table2[Stat],Table2[Stat Category],"rushing",Table2[Stat Type],"YDS",Table2[Athlete],Table1[[#This Row],[Pick]],Table2[Week],Table1[[#This Row],[Week]])</f>
        <v>0</v>
      </c>
      <c r="I164" s="59">
        <f>SUMIFS(Table2[Stat],Table2[Stat Category],"receiving",Table2[Stat Type],"YDS",Table2[Athlete],Table1[[#This Row],[Pick]],Table2[Week],Table1[[#This Row],[Week]])</f>
        <v>0</v>
      </c>
      <c r="J164" s="6">
        <f>IF(AND($C164="Rushing", $H164&lt;=0), 0, IF(AND($C164="Passing", $G$3&lt;=0), 0,IF(AND($C164="Receiving",$I164&lt;=0), 0,SUMIFS(Table2[Stat],Table2[Week],Table1[[#This Row],[Week]],Table2[Athlete],Table1[[#This Row],[Pick]],Table2[Stat Category],"passing",Table2[Stat Type],"TD"))))</f>
        <v>0</v>
      </c>
      <c r="K164" s="6">
        <f>IF(AND($C164="Rushing", $H164&lt;=0), 0, IF(AND($C164="Passing", $G$3&lt;=0), 0,IF(AND($C164="Receiving",$I164&lt;=0),0,SUMIFS(Table2[Stat],Table2[Week],Table1[[#This Row],[Week]],Table2[Athlete],Table1[[#This Row],[Pick]],Table2[Stat Category],"rushing",Table2[Stat Type],"TD"))))</f>
        <v>0</v>
      </c>
      <c r="L164" s="6">
        <f>IF(AND($C164="Rushing", $H164&lt;=0), 0, IF(AND($C164="Passing", $G$3&lt;=0), 0,IF(AND($C164="Receiving",$I164&lt;=0),0,SUMIFS(Table2[Stat],Table2[Week],Table1[[#This Row],[Week]],Table2[Athlete],Table1[[#This Row],[Pick]],Table2[Stat Category],"receiving",Table2[Stat Type],"TD"))))</f>
        <v>0</v>
      </c>
      <c r="M1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4" s="61">
        <f>SUMIFS(Data!$J:$J,Data!$A:$A,Info!$B164,Data!$G:$G,Info!$C164,Data!$I:$I,Info!$D164,Data!$H:$H,"TOT")</f>
        <v>0</v>
      </c>
      <c r="O164" s="61">
        <f>IF(C164="Defensive",SUMIFS(Data!$J:$J,Data!$A:$A,Info!$B164,Data!$I:$I,Info!$D164,Data!$H:$H,"INT"),0)</f>
        <v>0</v>
      </c>
      <c r="P164" s="61">
        <f>IF(Table1[[#This Row],[Role]]="Defensive",SUMIFS(Data!$J:$J,Data!$A:$A,Info!$B164,Data!$I:$I,Info!$D164,Data!$H:$H,$P$1),0)</f>
        <v>0</v>
      </c>
      <c r="Q164" s="65" t="str">
        <f>IF(Table1[[#This Row],[Pick]]="","",IF(S164&gt;1,400,IF(G164="","",IF(C164="Passing",(400-Table1[[#This Row],[Passing Yards]]-(30*Table1[[#This Row],[Passing TDs]])-(50*SUM(Table1[[#This Row],[Rushing TDs]:[Other TD''s]]))),IF(C164="Rushing",2*(200-Table1[[#This Row],[Rushing Yards]]-(30*Table1[[#This Row],[Passing TDs]])-50*(Table1[[#This Row],[Rushing TDs]]+Table1[[#This Row],[Receiving TDs]]+Table1[[#This Row],[Other TD''s]])),IF(C164="Receiving",2*(200-Table1[[#This Row],[Receiving Yards]]-(30*Table1[[#This Row],[Passing TDs]])-50*(Table1[[#This Row],[Rushing TDs]]+Table1[[#This Row],[Receiving TDs]]+Table1[[#This Row],[Other TD''s]])),IF(C164="Defensive",(25*(16-Table1[[#This Row],[Tackles]]-(8*(Table1[[#This Row],[Other TD''s]]+Table1[[#This Row],[Interceptions]]+Table1[[#This Row],[Fumbles Recovered]])))))))))))</f>
        <v/>
      </c>
      <c r="R164" s="3" t="str">
        <f t="shared" si="6"/>
        <v/>
      </c>
      <c r="S164" s="4">
        <f t="shared" si="5"/>
        <v>1048507</v>
      </c>
      <c r="T1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65" spans="1:20" hidden="1" x14ac:dyDescent="0.25">
      <c r="A165" t="s">
        <v>18</v>
      </c>
      <c r="B165" s="28" t="s">
        <v>45</v>
      </c>
      <c r="C165" t="s">
        <v>17</v>
      </c>
      <c r="D165" t="str">
        <f>_xlfn.XLOOKUP(Table1[[#This Row],[Player]]&amp;Table1[[#This Row],[Week]]&amp;Table1[[#This Row],[Role]],'Google Form Transform'!$A:$A,'Google Form Transform'!E:E,"")</f>
        <v/>
      </c>
      <c r="E165" t="str">
        <f>_xlfn.XLOOKUP(Table1[[#This Row],[Player]]&amp;Table1[[#This Row],[Week]]&amp;Table1[[#This Row],[Role]],'Google Form Transform'!$A:$A,'Google Form Transform'!F:F,"")</f>
        <v/>
      </c>
      <c r="F165" t="str">
        <f>_xlfn.XLOOKUP(Table1[[#This Row],[Player]]&amp;Table1[[#This Row],[Week]]&amp;Table1[[#This Row],[Role]],'Google Form Transform'!$A:$A,'Google Form Transform'!G:G,"")</f>
        <v/>
      </c>
      <c r="G165" s="59">
        <f>SUMIFS(Table2[Stat],Table2[Stat Category],"passing",Table2[Stat Type],"YDS",Table2[Athlete],Table1[[#This Row],[Pick]],Table2[Week],Table1[[#This Row],[Week]])</f>
        <v>0</v>
      </c>
      <c r="H165" s="59">
        <f>SUMIFS(Table2[Stat],Table2[Stat Category],"rushing",Table2[Stat Type],"YDS",Table2[Athlete],Table1[[#This Row],[Pick]],Table2[Week],Table1[[#This Row],[Week]])</f>
        <v>0</v>
      </c>
      <c r="I165" s="59">
        <f>SUMIFS(Table2[Stat],Table2[Stat Category],"receiving",Table2[Stat Type],"YDS",Table2[Athlete],Table1[[#This Row],[Pick]],Table2[Week],Table1[[#This Row],[Week]])</f>
        <v>0</v>
      </c>
      <c r="J165" s="6">
        <f>IF(AND($C165="Rushing", $H165&lt;=0), 0, IF(AND($C165="Passing", $G$3&lt;=0), 0,IF(AND($C165="Receiving",$I165&lt;=0), 0,SUMIFS(Table2[Stat],Table2[Week],Table1[[#This Row],[Week]],Table2[Athlete],Table1[[#This Row],[Pick]],Table2[Stat Category],"passing",Table2[Stat Type],"TD"))))</f>
        <v>0</v>
      </c>
      <c r="K165" s="6">
        <f>IF(AND($C165="Rushing", $H165&lt;=0), 0, IF(AND($C165="Passing", $G$3&lt;=0), 0,IF(AND($C165="Receiving",$I165&lt;=0),0,SUMIFS(Table2[Stat],Table2[Week],Table1[[#This Row],[Week]],Table2[Athlete],Table1[[#This Row],[Pick]],Table2[Stat Category],"rushing",Table2[Stat Type],"TD"))))</f>
        <v>0</v>
      </c>
      <c r="L165" s="6">
        <f>IF(AND($C165="Rushing", $H165&lt;=0), 0, IF(AND($C165="Passing", $G$3&lt;=0), 0,IF(AND($C165="Receiving",$I165&lt;=0),0,SUMIFS(Table2[Stat],Table2[Week],Table1[[#This Row],[Week]],Table2[Athlete],Table1[[#This Row],[Pick]],Table2[Stat Category],"receiving",Table2[Stat Type],"TD"))))</f>
        <v>0</v>
      </c>
      <c r="M1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5" s="61">
        <f>SUMIFS(Data!$J:$J,Data!$A:$A,Info!$B165,Data!$G:$G,Info!$C165,Data!$I:$I,Info!$D165,Data!$H:$H,"TOT")</f>
        <v>0</v>
      </c>
      <c r="O165" s="61">
        <f>IF(C165="Defensive",SUMIFS(Data!$J:$J,Data!$A:$A,Info!$B165,Data!$I:$I,Info!$D165,Data!$H:$H,"INT"),0)</f>
        <v>0</v>
      </c>
      <c r="P165" s="61">
        <f>IF(Table1[[#This Row],[Role]]="Defensive",SUMIFS(Data!$J:$J,Data!$A:$A,Info!$B165,Data!$I:$I,Info!$D165,Data!$H:$H,$P$1),0)</f>
        <v>0</v>
      </c>
      <c r="Q165" s="65" t="str">
        <f>IF(Table1[[#This Row],[Pick]]="","",IF(S165&gt;1,400,IF(G165="","",IF(C165="Passing",(400-Table1[[#This Row],[Passing Yards]]-(30*Table1[[#This Row],[Passing TDs]])-(50*SUM(Table1[[#This Row],[Rushing TDs]:[Other TD''s]]))),IF(C165="Rushing",2*(200-Table1[[#This Row],[Rushing Yards]]-(30*Table1[[#This Row],[Passing TDs]])-50*(Table1[[#This Row],[Rushing TDs]]+Table1[[#This Row],[Receiving TDs]]+Table1[[#This Row],[Other TD''s]])),IF(C165="Receiving",2*(200-Table1[[#This Row],[Receiving Yards]]-(30*Table1[[#This Row],[Passing TDs]])-50*(Table1[[#This Row],[Rushing TDs]]+Table1[[#This Row],[Receiving TDs]]+Table1[[#This Row],[Other TD''s]])),IF(C165="Defensive",(25*(16-Table1[[#This Row],[Tackles]]-(8*(Table1[[#This Row],[Other TD''s]]+Table1[[#This Row],[Interceptions]]+Table1[[#This Row],[Fumbles Recovered]])))))))))))</f>
        <v/>
      </c>
      <c r="R165" s="3" t="str">
        <f t="shared" si="6"/>
        <v/>
      </c>
      <c r="S165" s="4">
        <f t="shared" si="5"/>
        <v>1048507</v>
      </c>
      <c r="T1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66" spans="1:20" hidden="1" x14ac:dyDescent="0.25">
      <c r="A166" t="s">
        <v>18</v>
      </c>
      <c r="B166" s="28" t="s">
        <v>45</v>
      </c>
      <c r="C166" t="s">
        <v>20</v>
      </c>
      <c r="D166" t="str">
        <f>_xlfn.XLOOKUP(Table1[[#This Row],[Player]]&amp;Table1[[#This Row],[Week]]&amp;Table1[[#This Row],[Role]],'Google Form Transform'!$A:$A,'Google Form Transform'!E:E,"")</f>
        <v/>
      </c>
      <c r="E166" t="str">
        <f>_xlfn.XLOOKUP(Table1[[#This Row],[Player]]&amp;Table1[[#This Row],[Week]]&amp;Table1[[#This Row],[Role]],'Google Form Transform'!$A:$A,'Google Form Transform'!F:F,"")</f>
        <v/>
      </c>
      <c r="F166" t="str">
        <f>_xlfn.XLOOKUP(Table1[[#This Row],[Player]]&amp;Table1[[#This Row],[Week]]&amp;Table1[[#This Row],[Role]],'Google Form Transform'!$A:$A,'Google Form Transform'!G:G,"")</f>
        <v/>
      </c>
      <c r="G166" s="59">
        <f>SUMIFS(Table2[Stat],Table2[Stat Category],"passing",Table2[Stat Type],"YDS",Table2[Athlete],Table1[[#This Row],[Pick]],Table2[Week],Table1[[#This Row],[Week]])</f>
        <v>0</v>
      </c>
      <c r="H166" s="59">
        <f>SUMIFS(Table2[Stat],Table2[Stat Category],"rushing",Table2[Stat Type],"YDS",Table2[Athlete],Table1[[#This Row],[Pick]],Table2[Week],Table1[[#This Row],[Week]])</f>
        <v>0</v>
      </c>
      <c r="I166" s="59">
        <f>SUMIFS(Table2[Stat],Table2[Stat Category],"receiving",Table2[Stat Type],"YDS",Table2[Athlete],Table1[[#This Row],[Pick]],Table2[Week],Table1[[#This Row],[Week]])</f>
        <v>0</v>
      </c>
      <c r="J166" s="6">
        <f>IF(AND($C166="Rushing", $H166&lt;=0), 0, IF(AND($C166="Passing", $G$3&lt;=0), 0,IF(AND($C166="Receiving",$I166&lt;=0), 0,SUMIFS(Table2[Stat],Table2[Week],Table1[[#This Row],[Week]],Table2[Athlete],Table1[[#This Row],[Pick]],Table2[Stat Category],"passing",Table2[Stat Type],"TD"))))</f>
        <v>0</v>
      </c>
      <c r="K166" s="6">
        <f>IF(AND($C166="Rushing", $H166&lt;=0), 0, IF(AND($C166="Passing", $G$3&lt;=0), 0,IF(AND($C166="Receiving",$I166&lt;=0),0,SUMIFS(Table2[Stat],Table2[Week],Table1[[#This Row],[Week]],Table2[Athlete],Table1[[#This Row],[Pick]],Table2[Stat Category],"rushing",Table2[Stat Type],"TD"))))</f>
        <v>0</v>
      </c>
      <c r="L166" s="6">
        <f>IF(AND($C166="Rushing", $H166&lt;=0), 0, IF(AND($C166="Passing", $G$3&lt;=0), 0,IF(AND($C166="Receiving",$I166&lt;=0),0,SUMIFS(Table2[Stat],Table2[Week],Table1[[#This Row],[Week]],Table2[Athlete],Table1[[#This Row],[Pick]],Table2[Stat Category],"receiving",Table2[Stat Type],"TD"))))</f>
        <v>0</v>
      </c>
      <c r="M1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6" s="61">
        <f>SUMIFS(Data!$J:$J,Data!$A:$A,Info!$B166,Data!$G:$G,Info!$C166,Data!$I:$I,Info!$D166,Data!$H:$H,"TOT")</f>
        <v>0</v>
      </c>
      <c r="O166" s="61">
        <f>IF(C166="Defensive",SUMIFS(Data!$J:$J,Data!$A:$A,Info!$B166,Data!$I:$I,Info!$D166,Data!$H:$H,"INT"),0)</f>
        <v>0</v>
      </c>
      <c r="P166" s="61">
        <f>IF(Table1[[#This Row],[Role]]="Defensive",SUMIFS(Data!$J:$J,Data!$A:$A,Info!$B166,Data!$I:$I,Info!$D166,Data!$H:$H,$P$1),0)</f>
        <v>0</v>
      </c>
      <c r="Q166" s="65" t="str">
        <f>IF(Table1[[#This Row],[Pick]]="","",IF(S166&gt;1,400,IF(G166="","",IF(C166="Passing",(400-Table1[[#This Row],[Passing Yards]]-(30*Table1[[#This Row],[Passing TDs]])-(50*SUM(Table1[[#This Row],[Rushing TDs]:[Other TD''s]]))),IF(C166="Rushing",2*(200-Table1[[#This Row],[Rushing Yards]]-(30*Table1[[#This Row],[Passing TDs]])-50*(Table1[[#This Row],[Rushing TDs]]+Table1[[#This Row],[Receiving TDs]]+Table1[[#This Row],[Other TD''s]])),IF(C166="Receiving",2*(200-Table1[[#This Row],[Receiving Yards]]-(30*Table1[[#This Row],[Passing TDs]])-50*(Table1[[#This Row],[Rushing TDs]]+Table1[[#This Row],[Receiving TDs]]+Table1[[#This Row],[Other TD''s]])),IF(C166="Defensive",(25*(16-Table1[[#This Row],[Tackles]]-(8*(Table1[[#This Row],[Other TD''s]]+Table1[[#This Row],[Interceptions]]+Table1[[#This Row],[Fumbles Recovered]])))))))))))</f>
        <v/>
      </c>
      <c r="R166" s="3" t="str">
        <f t="shared" si="6"/>
        <v/>
      </c>
      <c r="S166" s="4">
        <f t="shared" si="5"/>
        <v>1048507</v>
      </c>
      <c r="T1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67" spans="1:20" hidden="1" x14ac:dyDescent="0.25">
      <c r="A167" t="s">
        <v>19</v>
      </c>
      <c r="B167" s="28" t="s">
        <v>45</v>
      </c>
      <c r="C167" t="s">
        <v>16</v>
      </c>
      <c r="D167" t="str">
        <f>_xlfn.XLOOKUP(Table1[[#This Row],[Player]]&amp;Table1[[#This Row],[Week]]&amp;Table1[[#This Row],[Role]],'Google Form Transform'!$A:$A,'Google Form Transform'!E:E,"")</f>
        <v/>
      </c>
      <c r="E167" t="str">
        <f>_xlfn.XLOOKUP(Table1[[#This Row],[Player]]&amp;Table1[[#This Row],[Week]]&amp;Table1[[#This Row],[Role]],'Google Form Transform'!$A:$A,'Google Form Transform'!F:F,"")</f>
        <v/>
      </c>
      <c r="F167" t="str">
        <f>_xlfn.XLOOKUP(Table1[[#This Row],[Player]]&amp;Table1[[#This Row],[Week]]&amp;Table1[[#This Row],[Role]],'Google Form Transform'!$A:$A,'Google Form Transform'!G:G,"")</f>
        <v/>
      </c>
      <c r="G167" s="59">
        <f>SUMIFS(Table2[Stat],Table2[Stat Category],"passing",Table2[Stat Type],"YDS",Table2[Athlete],Table1[[#This Row],[Pick]],Table2[Week],Table1[[#This Row],[Week]])</f>
        <v>0</v>
      </c>
      <c r="H167" s="59">
        <f>SUMIFS(Table2[Stat],Table2[Stat Category],"rushing",Table2[Stat Type],"YDS",Table2[Athlete],Table1[[#This Row],[Pick]],Table2[Week],Table1[[#This Row],[Week]])</f>
        <v>0</v>
      </c>
      <c r="I167" s="59">
        <f>SUMIFS(Table2[Stat],Table2[Stat Category],"receiving",Table2[Stat Type],"YDS",Table2[Athlete],Table1[[#This Row],[Pick]],Table2[Week],Table1[[#This Row],[Week]])</f>
        <v>0</v>
      </c>
      <c r="J167" s="6">
        <f>IF(AND($C167="Rushing", $H167&lt;=0), 0, IF(AND($C167="Passing", $G$3&lt;=0), 0,IF(AND($C167="Receiving",$I167&lt;=0), 0,SUMIFS(Table2[Stat],Table2[Week],Table1[[#This Row],[Week]],Table2[Athlete],Table1[[#This Row],[Pick]],Table2[Stat Category],"passing",Table2[Stat Type],"TD"))))</f>
        <v>0</v>
      </c>
      <c r="K167" s="6">
        <f>IF(AND($C167="Rushing", $H167&lt;=0), 0, IF(AND($C167="Passing", $G$3&lt;=0), 0,IF(AND($C167="Receiving",$I167&lt;=0),0,SUMIFS(Table2[Stat],Table2[Week],Table1[[#This Row],[Week]],Table2[Athlete],Table1[[#This Row],[Pick]],Table2[Stat Category],"rushing",Table2[Stat Type],"TD"))))</f>
        <v>0</v>
      </c>
      <c r="L167" s="6">
        <f>IF(AND($C167="Rushing", $H167&lt;=0), 0, IF(AND($C167="Passing", $G$3&lt;=0), 0,IF(AND($C167="Receiving",$I167&lt;=0),0,SUMIFS(Table2[Stat],Table2[Week],Table1[[#This Row],[Week]],Table2[Athlete],Table1[[#This Row],[Pick]],Table2[Stat Category],"receiving",Table2[Stat Type],"TD"))))</f>
        <v>0</v>
      </c>
      <c r="M1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7" s="61">
        <f>SUMIFS(Data!$J:$J,Data!$A:$A,Info!$B167,Data!$G:$G,Info!$C167,Data!$I:$I,Info!$D167,Data!$H:$H,"TOT")</f>
        <v>0</v>
      </c>
      <c r="O167" s="61">
        <f>IF(C167="Defensive",SUMIFS(Data!$J:$J,Data!$A:$A,Info!$B167,Data!$I:$I,Info!$D167,Data!$H:$H,"INT"),0)</f>
        <v>0</v>
      </c>
      <c r="P167" s="61">
        <f>IF(Table1[[#This Row],[Role]]="Defensive",SUMIFS(Data!$J:$J,Data!$A:$A,Info!$B167,Data!$I:$I,Info!$D167,Data!$H:$H,$P$1),0)</f>
        <v>0</v>
      </c>
      <c r="Q167" s="65" t="str">
        <f>IF(Table1[[#This Row],[Pick]]="","",IF(S167&gt;1,400,IF(G167="","",IF(C167="Passing",(400-Table1[[#This Row],[Passing Yards]]-(30*Table1[[#This Row],[Passing TDs]])-(50*SUM(Table1[[#This Row],[Rushing TDs]:[Other TD''s]]))),IF(C167="Rushing",2*(200-Table1[[#This Row],[Rushing Yards]]-(30*Table1[[#This Row],[Passing TDs]])-50*(Table1[[#This Row],[Rushing TDs]]+Table1[[#This Row],[Receiving TDs]]+Table1[[#This Row],[Other TD''s]])),IF(C167="Receiving",2*(200-Table1[[#This Row],[Receiving Yards]]-(30*Table1[[#This Row],[Passing TDs]])-50*(Table1[[#This Row],[Rushing TDs]]+Table1[[#This Row],[Receiving TDs]]+Table1[[#This Row],[Other TD''s]])),IF(C167="Defensive",(25*(16-Table1[[#This Row],[Tackles]]-(8*(Table1[[#This Row],[Other TD''s]]+Table1[[#This Row],[Interceptions]]+Table1[[#This Row],[Fumbles Recovered]])))))))))))</f>
        <v/>
      </c>
      <c r="R167" s="3" t="str">
        <f t="shared" si="6"/>
        <v/>
      </c>
      <c r="S167" s="4">
        <f t="shared" si="5"/>
        <v>1048507</v>
      </c>
      <c r="T1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68" spans="1:20" hidden="1" x14ac:dyDescent="0.25">
      <c r="A168" t="s">
        <v>19</v>
      </c>
      <c r="B168" s="28" t="s">
        <v>45</v>
      </c>
      <c r="C168" t="s">
        <v>6</v>
      </c>
      <c r="D168" t="str">
        <f>_xlfn.XLOOKUP(Table1[[#This Row],[Player]]&amp;Table1[[#This Row],[Week]]&amp;Table1[[#This Row],[Role]],'Google Form Transform'!$A:$A,'Google Form Transform'!E:E,"")</f>
        <v/>
      </c>
      <c r="E168" t="str">
        <f>_xlfn.XLOOKUP(Table1[[#This Row],[Player]]&amp;Table1[[#This Row],[Week]]&amp;Table1[[#This Row],[Role]],'Google Form Transform'!$A:$A,'Google Form Transform'!F:F,"")</f>
        <v/>
      </c>
      <c r="F168" t="str">
        <f>_xlfn.XLOOKUP(Table1[[#This Row],[Player]]&amp;Table1[[#This Row],[Week]]&amp;Table1[[#This Row],[Role]],'Google Form Transform'!$A:$A,'Google Form Transform'!G:G,"")</f>
        <v/>
      </c>
      <c r="G168" s="59">
        <f>SUMIFS(Table2[Stat],Table2[Stat Category],"passing",Table2[Stat Type],"YDS",Table2[Athlete],Table1[[#This Row],[Pick]],Table2[Week],Table1[[#This Row],[Week]])</f>
        <v>0</v>
      </c>
      <c r="H168" s="59">
        <f>SUMIFS(Table2[Stat],Table2[Stat Category],"rushing",Table2[Stat Type],"YDS",Table2[Athlete],Table1[[#This Row],[Pick]],Table2[Week],Table1[[#This Row],[Week]])</f>
        <v>0</v>
      </c>
      <c r="I168" s="59">
        <f>SUMIFS(Table2[Stat],Table2[Stat Category],"receiving",Table2[Stat Type],"YDS",Table2[Athlete],Table1[[#This Row],[Pick]],Table2[Week],Table1[[#This Row],[Week]])</f>
        <v>0</v>
      </c>
      <c r="J168" s="6">
        <f>IF(AND($C168="Rushing", $H168&lt;=0), 0, IF(AND($C168="Passing", $G$3&lt;=0), 0,IF(AND($C168="Receiving",$I168&lt;=0), 0,SUMIFS(Table2[Stat],Table2[Week],Table1[[#This Row],[Week]],Table2[Athlete],Table1[[#This Row],[Pick]],Table2[Stat Category],"passing",Table2[Stat Type],"TD"))))</f>
        <v>0</v>
      </c>
      <c r="K168" s="6">
        <f>IF(AND($C168="Rushing", $H168&lt;=0), 0, IF(AND($C168="Passing", $G$3&lt;=0), 0,IF(AND($C168="Receiving",$I168&lt;=0),0,SUMIFS(Table2[Stat],Table2[Week],Table1[[#This Row],[Week]],Table2[Athlete],Table1[[#This Row],[Pick]],Table2[Stat Category],"rushing",Table2[Stat Type],"TD"))))</f>
        <v>0</v>
      </c>
      <c r="L168" s="6">
        <f>IF(AND($C168="Rushing", $H168&lt;=0), 0, IF(AND($C168="Passing", $G$3&lt;=0), 0,IF(AND($C168="Receiving",$I168&lt;=0),0,SUMIFS(Table2[Stat],Table2[Week],Table1[[#This Row],[Week]],Table2[Athlete],Table1[[#This Row],[Pick]],Table2[Stat Category],"receiving",Table2[Stat Type],"TD"))))</f>
        <v>0</v>
      </c>
      <c r="M1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8" s="61">
        <f>SUMIFS(Data!$J:$J,Data!$A:$A,Info!$B168,Data!$G:$G,Info!$C168,Data!$I:$I,Info!$D168,Data!$H:$H,"TOT")</f>
        <v>0</v>
      </c>
      <c r="O168" s="61">
        <f>IF(C168="Defensive",SUMIFS(Data!$J:$J,Data!$A:$A,Info!$B168,Data!$I:$I,Info!$D168,Data!$H:$H,"INT"),0)</f>
        <v>0</v>
      </c>
      <c r="P168" s="61">
        <f>IF(Table1[[#This Row],[Role]]="Defensive",SUMIFS(Data!$J:$J,Data!$A:$A,Info!$B168,Data!$I:$I,Info!$D168,Data!$H:$H,$P$1),0)</f>
        <v>0</v>
      </c>
      <c r="Q168" s="65" t="str">
        <f>IF(Table1[[#This Row],[Pick]]="","",IF(S168&gt;1,400,IF(G168="","",IF(C168="Passing",(400-Table1[[#This Row],[Passing Yards]]-(30*Table1[[#This Row],[Passing TDs]])-(50*SUM(Table1[[#This Row],[Rushing TDs]:[Other TD''s]]))),IF(C168="Rushing",2*(200-Table1[[#This Row],[Rushing Yards]]-(30*Table1[[#This Row],[Passing TDs]])-50*(Table1[[#This Row],[Rushing TDs]]+Table1[[#This Row],[Receiving TDs]]+Table1[[#This Row],[Other TD''s]])),IF(C168="Receiving",2*(200-Table1[[#This Row],[Receiving Yards]]-(30*Table1[[#This Row],[Passing TDs]])-50*(Table1[[#This Row],[Rushing TDs]]+Table1[[#This Row],[Receiving TDs]]+Table1[[#This Row],[Other TD''s]])),IF(C168="Defensive",(25*(16-Table1[[#This Row],[Tackles]]-(8*(Table1[[#This Row],[Other TD''s]]+Table1[[#This Row],[Interceptions]]+Table1[[#This Row],[Fumbles Recovered]])))))))))))</f>
        <v/>
      </c>
      <c r="R168" s="3" t="str">
        <f t="shared" si="6"/>
        <v/>
      </c>
      <c r="S168" s="4">
        <f t="shared" si="5"/>
        <v>1048507</v>
      </c>
      <c r="T1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69" spans="1:20" hidden="1" x14ac:dyDescent="0.25">
      <c r="A169" t="s">
        <v>19</v>
      </c>
      <c r="B169" s="28" t="s">
        <v>45</v>
      </c>
      <c r="C169" t="s">
        <v>17</v>
      </c>
      <c r="D169" t="str">
        <f>_xlfn.XLOOKUP(Table1[[#This Row],[Player]]&amp;Table1[[#This Row],[Week]]&amp;Table1[[#This Row],[Role]],'Google Form Transform'!$A:$A,'Google Form Transform'!E:E,"")</f>
        <v/>
      </c>
      <c r="E169" t="str">
        <f>_xlfn.XLOOKUP(Table1[[#This Row],[Player]]&amp;Table1[[#This Row],[Week]]&amp;Table1[[#This Row],[Role]],'Google Form Transform'!$A:$A,'Google Form Transform'!F:F,"")</f>
        <v/>
      </c>
      <c r="F169" t="str">
        <f>_xlfn.XLOOKUP(Table1[[#This Row],[Player]]&amp;Table1[[#This Row],[Week]]&amp;Table1[[#This Row],[Role]],'Google Form Transform'!$A:$A,'Google Form Transform'!G:G,"")</f>
        <v/>
      </c>
      <c r="G169" s="59">
        <f>SUMIFS(Table2[Stat],Table2[Stat Category],"passing",Table2[Stat Type],"YDS",Table2[Athlete],Table1[[#This Row],[Pick]],Table2[Week],Table1[[#This Row],[Week]])</f>
        <v>0</v>
      </c>
      <c r="H169" s="59">
        <f>SUMIFS(Table2[Stat],Table2[Stat Category],"rushing",Table2[Stat Type],"YDS",Table2[Athlete],Table1[[#This Row],[Pick]],Table2[Week],Table1[[#This Row],[Week]])</f>
        <v>0</v>
      </c>
      <c r="I169" s="59">
        <f>SUMIFS(Table2[Stat],Table2[Stat Category],"receiving",Table2[Stat Type],"YDS",Table2[Athlete],Table1[[#This Row],[Pick]],Table2[Week],Table1[[#This Row],[Week]])</f>
        <v>0</v>
      </c>
      <c r="J169" s="6">
        <f>IF(AND($C169="Rushing", $H169&lt;=0), 0, IF(AND($C169="Passing", $G$3&lt;=0), 0,IF(AND($C169="Receiving",$I169&lt;=0), 0,SUMIFS(Table2[Stat],Table2[Week],Table1[[#This Row],[Week]],Table2[Athlete],Table1[[#This Row],[Pick]],Table2[Stat Category],"passing",Table2[Stat Type],"TD"))))</f>
        <v>0</v>
      </c>
      <c r="K169" s="6">
        <f>IF(AND($C169="Rushing", $H169&lt;=0), 0, IF(AND($C169="Passing", $G$3&lt;=0), 0,IF(AND($C169="Receiving",$I169&lt;=0),0,SUMIFS(Table2[Stat],Table2[Week],Table1[[#This Row],[Week]],Table2[Athlete],Table1[[#This Row],[Pick]],Table2[Stat Category],"rushing",Table2[Stat Type],"TD"))))</f>
        <v>0</v>
      </c>
      <c r="L169" s="6">
        <f>IF(AND($C169="Rushing", $H169&lt;=0), 0, IF(AND($C169="Passing", $G$3&lt;=0), 0,IF(AND($C169="Receiving",$I169&lt;=0),0,SUMIFS(Table2[Stat],Table2[Week],Table1[[#This Row],[Week]],Table2[Athlete],Table1[[#This Row],[Pick]],Table2[Stat Category],"receiving",Table2[Stat Type],"TD"))))</f>
        <v>0</v>
      </c>
      <c r="M1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9" s="61">
        <f>SUMIFS(Data!$J:$J,Data!$A:$A,Info!$B169,Data!$G:$G,Info!$C169,Data!$I:$I,Info!$D169,Data!$H:$H,"TOT")</f>
        <v>0</v>
      </c>
      <c r="O169" s="61">
        <f>IF(C169="Defensive",SUMIFS(Data!$J:$J,Data!$A:$A,Info!$B169,Data!$I:$I,Info!$D169,Data!$H:$H,"INT"),0)</f>
        <v>0</v>
      </c>
      <c r="P169" s="61">
        <f>IF(Table1[[#This Row],[Role]]="Defensive",SUMIFS(Data!$J:$J,Data!$A:$A,Info!$B169,Data!$I:$I,Info!$D169,Data!$H:$H,$P$1),0)</f>
        <v>0</v>
      </c>
      <c r="Q169" s="65" t="str">
        <f>IF(Table1[[#This Row],[Pick]]="","",IF(S169&gt;1,400,IF(G169="","",IF(C169="Passing",(400-Table1[[#This Row],[Passing Yards]]-(30*Table1[[#This Row],[Passing TDs]])-(50*SUM(Table1[[#This Row],[Rushing TDs]:[Other TD''s]]))),IF(C169="Rushing",2*(200-Table1[[#This Row],[Rushing Yards]]-(30*Table1[[#This Row],[Passing TDs]])-50*(Table1[[#This Row],[Rushing TDs]]+Table1[[#This Row],[Receiving TDs]]+Table1[[#This Row],[Other TD''s]])),IF(C169="Receiving",2*(200-Table1[[#This Row],[Receiving Yards]]-(30*Table1[[#This Row],[Passing TDs]])-50*(Table1[[#This Row],[Rushing TDs]]+Table1[[#This Row],[Receiving TDs]]+Table1[[#This Row],[Other TD''s]])),IF(C169="Defensive",(25*(16-Table1[[#This Row],[Tackles]]-(8*(Table1[[#This Row],[Other TD''s]]+Table1[[#This Row],[Interceptions]]+Table1[[#This Row],[Fumbles Recovered]])))))))))))</f>
        <v/>
      </c>
      <c r="R169" s="3" t="str">
        <f t="shared" si="6"/>
        <v/>
      </c>
      <c r="S169" s="4">
        <f t="shared" si="5"/>
        <v>1048507</v>
      </c>
      <c r="T1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0" spans="1:20" hidden="1" x14ac:dyDescent="0.25">
      <c r="A170" t="s">
        <v>19</v>
      </c>
      <c r="B170" s="28" t="s">
        <v>45</v>
      </c>
      <c r="C170" t="s">
        <v>20</v>
      </c>
      <c r="D170" t="str">
        <f>_xlfn.XLOOKUP(Table1[[#This Row],[Player]]&amp;Table1[[#This Row],[Week]]&amp;Table1[[#This Row],[Role]],'Google Form Transform'!$A:$A,'Google Form Transform'!E:E,"")</f>
        <v/>
      </c>
      <c r="E170" t="str">
        <f>_xlfn.XLOOKUP(Table1[[#This Row],[Player]]&amp;Table1[[#This Row],[Week]]&amp;Table1[[#This Row],[Role]],'Google Form Transform'!$A:$A,'Google Form Transform'!F:F,"")</f>
        <v/>
      </c>
      <c r="F170" t="str">
        <f>_xlfn.XLOOKUP(Table1[[#This Row],[Player]]&amp;Table1[[#This Row],[Week]]&amp;Table1[[#This Row],[Role]],'Google Form Transform'!$A:$A,'Google Form Transform'!G:G,"")</f>
        <v/>
      </c>
      <c r="G170" s="59">
        <f>SUMIFS(Table2[Stat],Table2[Stat Category],"passing",Table2[Stat Type],"YDS",Table2[Athlete],Table1[[#This Row],[Pick]],Table2[Week],Table1[[#This Row],[Week]])</f>
        <v>0</v>
      </c>
      <c r="H170" s="59">
        <f>SUMIFS(Table2[Stat],Table2[Stat Category],"rushing",Table2[Stat Type],"YDS",Table2[Athlete],Table1[[#This Row],[Pick]],Table2[Week],Table1[[#This Row],[Week]])</f>
        <v>0</v>
      </c>
      <c r="I170" s="59">
        <f>SUMIFS(Table2[Stat],Table2[Stat Category],"receiving",Table2[Stat Type],"YDS",Table2[Athlete],Table1[[#This Row],[Pick]],Table2[Week],Table1[[#This Row],[Week]])</f>
        <v>0</v>
      </c>
      <c r="J170" s="6">
        <f>IF(AND($C170="Rushing", $H170&lt;=0), 0, IF(AND($C170="Passing", $G$3&lt;=0), 0,IF(AND($C170="Receiving",$I170&lt;=0), 0,SUMIFS(Table2[Stat],Table2[Week],Table1[[#This Row],[Week]],Table2[Athlete],Table1[[#This Row],[Pick]],Table2[Stat Category],"passing",Table2[Stat Type],"TD"))))</f>
        <v>0</v>
      </c>
      <c r="K170" s="6">
        <f>IF(AND($C170="Rushing", $H170&lt;=0), 0, IF(AND($C170="Passing", $G$3&lt;=0), 0,IF(AND($C170="Receiving",$I170&lt;=0),0,SUMIFS(Table2[Stat],Table2[Week],Table1[[#This Row],[Week]],Table2[Athlete],Table1[[#This Row],[Pick]],Table2[Stat Category],"rushing",Table2[Stat Type],"TD"))))</f>
        <v>0</v>
      </c>
      <c r="L170" s="6">
        <f>IF(AND($C170="Rushing", $H170&lt;=0), 0, IF(AND($C170="Passing", $G$3&lt;=0), 0,IF(AND($C170="Receiving",$I170&lt;=0),0,SUMIFS(Table2[Stat],Table2[Week],Table1[[#This Row],[Week]],Table2[Athlete],Table1[[#This Row],[Pick]],Table2[Stat Category],"receiving",Table2[Stat Type],"TD"))))</f>
        <v>0</v>
      </c>
      <c r="M1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0" s="61">
        <f>SUMIFS(Data!$J:$J,Data!$A:$A,Info!$B170,Data!$G:$G,Info!$C170,Data!$I:$I,Info!$D170,Data!$H:$H,"TOT")</f>
        <v>0</v>
      </c>
      <c r="O170" s="61">
        <f>IF(C170="Defensive",SUMIFS(Data!$J:$J,Data!$A:$A,Info!$B170,Data!$I:$I,Info!$D170,Data!$H:$H,"INT"),0)</f>
        <v>0</v>
      </c>
      <c r="P170" s="61">
        <f>IF(Table1[[#This Row],[Role]]="Defensive",SUMIFS(Data!$J:$J,Data!$A:$A,Info!$B170,Data!$I:$I,Info!$D170,Data!$H:$H,$P$1),0)</f>
        <v>0</v>
      </c>
      <c r="Q170" s="65" t="str">
        <f>IF(Table1[[#This Row],[Pick]]="","",IF(S170&gt;1,400,IF(G170="","",IF(C170="Passing",(400-Table1[[#This Row],[Passing Yards]]-(30*Table1[[#This Row],[Passing TDs]])-(50*SUM(Table1[[#This Row],[Rushing TDs]:[Other TD''s]]))),IF(C170="Rushing",2*(200-Table1[[#This Row],[Rushing Yards]]-(30*Table1[[#This Row],[Passing TDs]])-50*(Table1[[#This Row],[Rushing TDs]]+Table1[[#This Row],[Receiving TDs]]+Table1[[#This Row],[Other TD''s]])),IF(C170="Receiving",2*(200-Table1[[#This Row],[Receiving Yards]]-(30*Table1[[#This Row],[Passing TDs]])-50*(Table1[[#This Row],[Rushing TDs]]+Table1[[#This Row],[Receiving TDs]]+Table1[[#This Row],[Other TD''s]])),IF(C170="Defensive",(25*(16-Table1[[#This Row],[Tackles]]-(8*(Table1[[#This Row],[Other TD''s]]+Table1[[#This Row],[Interceptions]]+Table1[[#This Row],[Fumbles Recovered]])))))))))))</f>
        <v/>
      </c>
      <c r="R170" s="3" t="str">
        <f t="shared" si="6"/>
        <v/>
      </c>
      <c r="S170" s="4">
        <f t="shared" si="5"/>
        <v>1048507</v>
      </c>
      <c r="T1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1" spans="1:20" hidden="1" x14ac:dyDescent="0.25">
      <c r="A171" t="s">
        <v>26</v>
      </c>
      <c r="B171" s="28" t="s">
        <v>45</v>
      </c>
      <c r="C171" t="s">
        <v>16</v>
      </c>
      <c r="D171" t="str">
        <f>_xlfn.XLOOKUP(Table1[[#This Row],[Player]]&amp;Table1[[#This Row],[Week]]&amp;Table1[[#This Row],[Role]],'Google Form Transform'!$A:$A,'Google Form Transform'!E:E,"")</f>
        <v/>
      </c>
      <c r="E171" t="str">
        <f>_xlfn.XLOOKUP(Table1[[#This Row],[Player]]&amp;Table1[[#This Row],[Week]]&amp;Table1[[#This Row],[Role]],'Google Form Transform'!$A:$A,'Google Form Transform'!F:F,"")</f>
        <v/>
      </c>
      <c r="F171" t="str">
        <f>_xlfn.XLOOKUP(Table1[[#This Row],[Player]]&amp;Table1[[#This Row],[Week]]&amp;Table1[[#This Row],[Role]],'Google Form Transform'!$A:$A,'Google Form Transform'!G:G,"")</f>
        <v/>
      </c>
      <c r="G171" s="59">
        <f>SUMIFS(Table2[Stat],Table2[Stat Category],"passing",Table2[Stat Type],"YDS",Table2[Athlete],Table1[[#This Row],[Pick]],Table2[Week],Table1[[#This Row],[Week]])</f>
        <v>0</v>
      </c>
      <c r="H171" s="59">
        <f>SUMIFS(Table2[Stat],Table2[Stat Category],"rushing",Table2[Stat Type],"YDS",Table2[Athlete],Table1[[#This Row],[Pick]],Table2[Week],Table1[[#This Row],[Week]])</f>
        <v>0</v>
      </c>
      <c r="I171" s="59">
        <f>SUMIFS(Table2[Stat],Table2[Stat Category],"receiving",Table2[Stat Type],"YDS",Table2[Athlete],Table1[[#This Row],[Pick]],Table2[Week],Table1[[#This Row],[Week]])</f>
        <v>0</v>
      </c>
      <c r="J171" s="6">
        <f>IF(AND($C171="Rushing", $H171&lt;=0), 0, IF(AND($C171="Passing", $G$3&lt;=0), 0,IF(AND($C171="Receiving",$I171&lt;=0), 0,SUMIFS(Table2[Stat],Table2[Week],Table1[[#This Row],[Week]],Table2[Athlete],Table1[[#This Row],[Pick]],Table2[Stat Category],"passing",Table2[Stat Type],"TD"))))</f>
        <v>0</v>
      </c>
      <c r="K171" s="6">
        <f>IF(AND($C171="Rushing", $H171&lt;=0), 0, IF(AND($C171="Passing", $G$3&lt;=0), 0,IF(AND($C171="Receiving",$I171&lt;=0),0,SUMIFS(Table2[Stat],Table2[Week],Table1[[#This Row],[Week]],Table2[Athlete],Table1[[#This Row],[Pick]],Table2[Stat Category],"rushing",Table2[Stat Type],"TD"))))</f>
        <v>0</v>
      </c>
      <c r="L171" s="6">
        <f>IF(AND($C171="Rushing", $H171&lt;=0), 0, IF(AND($C171="Passing", $G$3&lt;=0), 0,IF(AND($C171="Receiving",$I171&lt;=0),0,SUMIFS(Table2[Stat],Table2[Week],Table1[[#This Row],[Week]],Table2[Athlete],Table1[[#This Row],[Pick]],Table2[Stat Category],"receiving",Table2[Stat Type],"TD"))))</f>
        <v>0</v>
      </c>
      <c r="M1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1" s="61">
        <f>SUMIFS(Data!$J:$J,Data!$A:$A,Info!$B171,Data!$G:$G,Info!$C171,Data!$I:$I,Info!$D171,Data!$H:$H,"TOT")</f>
        <v>0</v>
      </c>
      <c r="O171" s="61">
        <f>IF(C171="Defensive",SUMIFS(Data!$J:$J,Data!$A:$A,Info!$B171,Data!$I:$I,Info!$D171,Data!$H:$H,"INT"),0)</f>
        <v>0</v>
      </c>
      <c r="P171" s="61">
        <f>IF(Table1[[#This Row],[Role]]="Defensive",SUMIFS(Data!$J:$J,Data!$A:$A,Info!$B171,Data!$I:$I,Info!$D171,Data!$H:$H,$P$1),0)</f>
        <v>0</v>
      </c>
      <c r="Q171" s="65" t="str">
        <f>IF(Table1[[#This Row],[Pick]]="","",IF(S171&gt;1,400,IF(G171="","",IF(C171="Passing",(400-Table1[[#This Row],[Passing Yards]]-(30*Table1[[#This Row],[Passing TDs]])-(50*SUM(Table1[[#This Row],[Rushing TDs]:[Other TD''s]]))),IF(C171="Rushing",2*(200-Table1[[#This Row],[Rushing Yards]]-(30*Table1[[#This Row],[Passing TDs]])-50*(Table1[[#This Row],[Rushing TDs]]+Table1[[#This Row],[Receiving TDs]]+Table1[[#This Row],[Other TD''s]])),IF(C171="Receiving",2*(200-Table1[[#This Row],[Receiving Yards]]-(30*Table1[[#This Row],[Passing TDs]])-50*(Table1[[#This Row],[Rushing TDs]]+Table1[[#This Row],[Receiving TDs]]+Table1[[#This Row],[Other TD''s]])),IF(C171="Defensive",(25*(16-Table1[[#This Row],[Tackles]]-(8*(Table1[[#This Row],[Other TD''s]]+Table1[[#This Row],[Interceptions]]+Table1[[#This Row],[Fumbles Recovered]])))))))))))</f>
        <v/>
      </c>
      <c r="R171" s="3" t="str">
        <f t="shared" si="6"/>
        <v/>
      </c>
      <c r="S171" s="4">
        <f t="shared" si="5"/>
        <v>1048507</v>
      </c>
      <c r="T1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2" spans="1:20" hidden="1" x14ac:dyDescent="0.25">
      <c r="A172" t="s">
        <v>26</v>
      </c>
      <c r="B172" s="28" t="s">
        <v>45</v>
      </c>
      <c r="C172" t="s">
        <v>6</v>
      </c>
      <c r="D172" t="str">
        <f>_xlfn.XLOOKUP(Table1[[#This Row],[Player]]&amp;Table1[[#This Row],[Week]]&amp;Table1[[#This Row],[Role]],'Google Form Transform'!$A:$A,'Google Form Transform'!E:E,"")</f>
        <v/>
      </c>
      <c r="E172" t="str">
        <f>_xlfn.XLOOKUP(Table1[[#This Row],[Player]]&amp;Table1[[#This Row],[Week]]&amp;Table1[[#This Row],[Role]],'Google Form Transform'!$A:$A,'Google Form Transform'!F:F,"")</f>
        <v/>
      </c>
      <c r="F172" t="str">
        <f>_xlfn.XLOOKUP(Table1[[#This Row],[Player]]&amp;Table1[[#This Row],[Week]]&amp;Table1[[#This Row],[Role]],'Google Form Transform'!$A:$A,'Google Form Transform'!G:G,"")</f>
        <v/>
      </c>
      <c r="G172" s="59">
        <f>SUMIFS(Table2[Stat],Table2[Stat Category],"passing",Table2[Stat Type],"YDS",Table2[Athlete],Table1[[#This Row],[Pick]],Table2[Week],Table1[[#This Row],[Week]])</f>
        <v>0</v>
      </c>
      <c r="H172" s="59">
        <f>SUMIFS(Table2[Stat],Table2[Stat Category],"rushing",Table2[Stat Type],"YDS",Table2[Athlete],Table1[[#This Row],[Pick]],Table2[Week],Table1[[#This Row],[Week]])</f>
        <v>0</v>
      </c>
      <c r="I172" s="59">
        <f>SUMIFS(Table2[Stat],Table2[Stat Category],"receiving",Table2[Stat Type],"YDS",Table2[Athlete],Table1[[#This Row],[Pick]],Table2[Week],Table1[[#This Row],[Week]])</f>
        <v>0</v>
      </c>
      <c r="J172" s="6">
        <f>IF(AND($C172="Rushing", $H172&lt;=0), 0, IF(AND($C172="Passing", $G$3&lt;=0), 0,IF(AND($C172="Receiving",$I172&lt;=0), 0,SUMIFS(Table2[Stat],Table2[Week],Table1[[#This Row],[Week]],Table2[Athlete],Table1[[#This Row],[Pick]],Table2[Stat Category],"passing",Table2[Stat Type],"TD"))))</f>
        <v>0</v>
      </c>
      <c r="K172" s="6">
        <f>IF(AND($C172="Rushing", $H172&lt;=0), 0, IF(AND($C172="Passing", $G$3&lt;=0), 0,IF(AND($C172="Receiving",$I172&lt;=0),0,SUMIFS(Table2[Stat],Table2[Week],Table1[[#This Row],[Week]],Table2[Athlete],Table1[[#This Row],[Pick]],Table2[Stat Category],"rushing",Table2[Stat Type],"TD"))))</f>
        <v>0</v>
      </c>
      <c r="L172" s="6">
        <f>IF(AND($C172="Rushing", $H172&lt;=0), 0, IF(AND($C172="Passing", $G$3&lt;=0), 0,IF(AND($C172="Receiving",$I172&lt;=0),0,SUMIFS(Table2[Stat],Table2[Week],Table1[[#This Row],[Week]],Table2[Athlete],Table1[[#This Row],[Pick]],Table2[Stat Category],"receiving",Table2[Stat Type],"TD"))))</f>
        <v>0</v>
      </c>
      <c r="M1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2" s="61">
        <f>SUMIFS(Data!$J:$J,Data!$A:$A,Info!$B172,Data!$G:$G,Info!$C172,Data!$I:$I,Info!$D172,Data!$H:$H,"TOT")</f>
        <v>0</v>
      </c>
      <c r="O172" s="61">
        <f>IF(C172="Defensive",SUMIFS(Data!$J:$J,Data!$A:$A,Info!$B172,Data!$I:$I,Info!$D172,Data!$H:$H,"INT"),0)</f>
        <v>0</v>
      </c>
      <c r="P172" s="61">
        <f>IF(Table1[[#This Row],[Role]]="Defensive",SUMIFS(Data!$J:$J,Data!$A:$A,Info!$B172,Data!$I:$I,Info!$D172,Data!$H:$H,$P$1),0)</f>
        <v>0</v>
      </c>
      <c r="Q172" s="65" t="str">
        <f>IF(Table1[[#This Row],[Pick]]="","",IF(S172&gt;1,400,IF(G172="","",IF(C172="Passing",(400-Table1[[#This Row],[Passing Yards]]-(30*Table1[[#This Row],[Passing TDs]])-(50*SUM(Table1[[#This Row],[Rushing TDs]:[Other TD''s]]))),IF(C172="Rushing",2*(200-Table1[[#This Row],[Rushing Yards]]-(30*Table1[[#This Row],[Passing TDs]])-50*(Table1[[#This Row],[Rushing TDs]]+Table1[[#This Row],[Receiving TDs]]+Table1[[#This Row],[Other TD''s]])),IF(C172="Receiving",2*(200-Table1[[#This Row],[Receiving Yards]]-(30*Table1[[#This Row],[Passing TDs]])-50*(Table1[[#This Row],[Rushing TDs]]+Table1[[#This Row],[Receiving TDs]]+Table1[[#This Row],[Other TD''s]])),IF(C172="Defensive",(25*(16-Table1[[#This Row],[Tackles]]-(8*(Table1[[#This Row],[Other TD''s]]+Table1[[#This Row],[Interceptions]]+Table1[[#This Row],[Fumbles Recovered]])))))))))))</f>
        <v/>
      </c>
      <c r="R172" s="3" t="str">
        <f t="shared" si="6"/>
        <v/>
      </c>
      <c r="S172" s="4">
        <f t="shared" si="5"/>
        <v>1048507</v>
      </c>
      <c r="T1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3" spans="1:20" hidden="1" x14ac:dyDescent="0.25">
      <c r="A173" t="s">
        <v>26</v>
      </c>
      <c r="B173" s="28" t="s">
        <v>45</v>
      </c>
      <c r="C173" t="s">
        <v>17</v>
      </c>
      <c r="D173" t="str">
        <f>_xlfn.XLOOKUP(Table1[[#This Row],[Player]]&amp;Table1[[#This Row],[Week]]&amp;Table1[[#This Row],[Role]],'Google Form Transform'!$A:$A,'Google Form Transform'!E:E,"")</f>
        <v/>
      </c>
      <c r="E173" t="str">
        <f>_xlfn.XLOOKUP(Table1[[#This Row],[Player]]&amp;Table1[[#This Row],[Week]]&amp;Table1[[#This Row],[Role]],'Google Form Transform'!$A:$A,'Google Form Transform'!F:F,"")</f>
        <v/>
      </c>
      <c r="F173" t="str">
        <f>_xlfn.XLOOKUP(Table1[[#This Row],[Player]]&amp;Table1[[#This Row],[Week]]&amp;Table1[[#This Row],[Role]],'Google Form Transform'!$A:$A,'Google Form Transform'!G:G,"")</f>
        <v/>
      </c>
      <c r="G173" s="59">
        <f>SUMIFS(Table2[Stat],Table2[Stat Category],"passing",Table2[Stat Type],"YDS",Table2[Athlete],Table1[[#This Row],[Pick]],Table2[Week],Table1[[#This Row],[Week]])</f>
        <v>0</v>
      </c>
      <c r="H173" s="59">
        <f>SUMIFS(Table2[Stat],Table2[Stat Category],"rushing",Table2[Stat Type],"YDS",Table2[Athlete],Table1[[#This Row],[Pick]],Table2[Week],Table1[[#This Row],[Week]])</f>
        <v>0</v>
      </c>
      <c r="I173" s="59">
        <f>SUMIFS(Table2[Stat],Table2[Stat Category],"receiving",Table2[Stat Type],"YDS",Table2[Athlete],Table1[[#This Row],[Pick]],Table2[Week],Table1[[#This Row],[Week]])</f>
        <v>0</v>
      </c>
      <c r="J173" s="6">
        <f>IF(AND($C173="Rushing", $H173&lt;=0), 0, IF(AND($C173="Passing", $G$3&lt;=0), 0,IF(AND($C173="Receiving",$I173&lt;=0), 0,SUMIFS(Table2[Stat],Table2[Week],Table1[[#This Row],[Week]],Table2[Athlete],Table1[[#This Row],[Pick]],Table2[Stat Category],"passing",Table2[Stat Type],"TD"))))</f>
        <v>0</v>
      </c>
      <c r="K173" s="6">
        <f>IF(AND($C173="Rushing", $H173&lt;=0), 0, IF(AND($C173="Passing", $G$3&lt;=0), 0,IF(AND($C173="Receiving",$I173&lt;=0),0,SUMIFS(Table2[Stat],Table2[Week],Table1[[#This Row],[Week]],Table2[Athlete],Table1[[#This Row],[Pick]],Table2[Stat Category],"rushing",Table2[Stat Type],"TD"))))</f>
        <v>0</v>
      </c>
      <c r="L173" s="6">
        <f>IF(AND($C173="Rushing", $H173&lt;=0), 0, IF(AND($C173="Passing", $G$3&lt;=0), 0,IF(AND($C173="Receiving",$I173&lt;=0),0,SUMIFS(Table2[Stat],Table2[Week],Table1[[#This Row],[Week]],Table2[Athlete],Table1[[#This Row],[Pick]],Table2[Stat Category],"receiving",Table2[Stat Type],"TD"))))</f>
        <v>0</v>
      </c>
      <c r="M1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3" s="61">
        <f>SUMIFS(Data!$J:$J,Data!$A:$A,Info!$B173,Data!$G:$G,Info!$C173,Data!$I:$I,Info!$D173,Data!$H:$H,"TOT")</f>
        <v>0</v>
      </c>
      <c r="O173" s="61">
        <f>IF(C173="Defensive",SUMIFS(Data!$J:$J,Data!$A:$A,Info!$B173,Data!$I:$I,Info!$D173,Data!$H:$H,"INT"),0)</f>
        <v>0</v>
      </c>
      <c r="P173" s="61">
        <f>IF(Table1[[#This Row],[Role]]="Defensive",SUMIFS(Data!$J:$J,Data!$A:$A,Info!$B173,Data!$I:$I,Info!$D173,Data!$H:$H,$P$1),0)</f>
        <v>0</v>
      </c>
      <c r="Q173" s="65" t="str">
        <f>IF(Table1[[#This Row],[Pick]]="","",IF(S173&gt;1,400,IF(G173="","",IF(C173="Passing",(400-Table1[[#This Row],[Passing Yards]]-(30*Table1[[#This Row],[Passing TDs]])-(50*SUM(Table1[[#This Row],[Rushing TDs]:[Other TD''s]]))),IF(C173="Rushing",2*(200-Table1[[#This Row],[Rushing Yards]]-(30*Table1[[#This Row],[Passing TDs]])-50*(Table1[[#This Row],[Rushing TDs]]+Table1[[#This Row],[Receiving TDs]]+Table1[[#This Row],[Other TD''s]])),IF(C173="Receiving",2*(200-Table1[[#This Row],[Receiving Yards]]-(30*Table1[[#This Row],[Passing TDs]])-50*(Table1[[#This Row],[Rushing TDs]]+Table1[[#This Row],[Receiving TDs]]+Table1[[#This Row],[Other TD''s]])),IF(C173="Defensive",(25*(16-Table1[[#This Row],[Tackles]]-(8*(Table1[[#This Row],[Other TD''s]]+Table1[[#This Row],[Interceptions]]+Table1[[#This Row],[Fumbles Recovered]])))))))))))</f>
        <v/>
      </c>
      <c r="R173" s="3" t="str">
        <f t="shared" si="6"/>
        <v/>
      </c>
      <c r="S173" s="4">
        <f t="shared" si="5"/>
        <v>1048507</v>
      </c>
      <c r="T1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4" spans="1:20" hidden="1" x14ac:dyDescent="0.25">
      <c r="A174" t="s">
        <v>26</v>
      </c>
      <c r="B174" s="28" t="s">
        <v>45</v>
      </c>
      <c r="C174" t="s">
        <v>20</v>
      </c>
      <c r="D174" t="str">
        <f>_xlfn.XLOOKUP(Table1[[#This Row],[Player]]&amp;Table1[[#This Row],[Week]]&amp;Table1[[#This Row],[Role]],'Google Form Transform'!$A:$A,'Google Form Transform'!E:E,"")</f>
        <v/>
      </c>
      <c r="E174" t="str">
        <f>_xlfn.XLOOKUP(Table1[[#This Row],[Player]]&amp;Table1[[#This Row],[Week]]&amp;Table1[[#This Row],[Role]],'Google Form Transform'!$A:$A,'Google Form Transform'!F:F,"")</f>
        <v/>
      </c>
      <c r="F174" t="str">
        <f>_xlfn.XLOOKUP(Table1[[#This Row],[Player]]&amp;Table1[[#This Row],[Week]]&amp;Table1[[#This Row],[Role]],'Google Form Transform'!$A:$A,'Google Form Transform'!G:G,"")</f>
        <v/>
      </c>
      <c r="G174" s="59">
        <f>SUMIFS(Table2[Stat],Table2[Stat Category],"passing",Table2[Stat Type],"YDS",Table2[Athlete],Table1[[#This Row],[Pick]],Table2[Week],Table1[[#This Row],[Week]])</f>
        <v>0</v>
      </c>
      <c r="H174" s="59">
        <f>SUMIFS(Table2[Stat],Table2[Stat Category],"rushing",Table2[Stat Type],"YDS",Table2[Athlete],Table1[[#This Row],[Pick]],Table2[Week],Table1[[#This Row],[Week]])</f>
        <v>0</v>
      </c>
      <c r="I174" s="59">
        <f>SUMIFS(Table2[Stat],Table2[Stat Category],"receiving",Table2[Stat Type],"YDS",Table2[Athlete],Table1[[#This Row],[Pick]],Table2[Week],Table1[[#This Row],[Week]])</f>
        <v>0</v>
      </c>
      <c r="J174" s="6">
        <f>IF(AND($C174="Rushing", $H174&lt;=0), 0, IF(AND($C174="Passing", $G$3&lt;=0), 0,IF(AND($C174="Receiving",$I174&lt;=0), 0,SUMIFS(Table2[Stat],Table2[Week],Table1[[#This Row],[Week]],Table2[Athlete],Table1[[#This Row],[Pick]],Table2[Stat Category],"passing",Table2[Stat Type],"TD"))))</f>
        <v>0</v>
      </c>
      <c r="K174" s="6">
        <f>IF(AND($C174="Rushing", $H174&lt;=0), 0, IF(AND($C174="Passing", $G$3&lt;=0), 0,IF(AND($C174="Receiving",$I174&lt;=0),0,SUMIFS(Table2[Stat],Table2[Week],Table1[[#This Row],[Week]],Table2[Athlete],Table1[[#This Row],[Pick]],Table2[Stat Category],"rushing",Table2[Stat Type],"TD"))))</f>
        <v>0</v>
      </c>
      <c r="L174" s="6">
        <f>IF(AND($C174="Rushing", $H174&lt;=0), 0, IF(AND($C174="Passing", $G$3&lt;=0), 0,IF(AND($C174="Receiving",$I174&lt;=0),0,SUMIFS(Table2[Stat],Table2[Week],Table1[[#This Row],[Week]],Table2[Athlete],Table1[[#This Row],[Pick]],Table2[Stat Category],"receiving",Table2[Stat Type],"TD"))))</f>
        <v>0</v>
      </c>
      <c r="M1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4" s="61">
        <f>SUMIFS(Data!$J:$J,Data!$A:$A,Info!$B174,Data!$G:$G,Info!$C174,Data!$I:$I,Info!$D174,Data!$H:$H,"TOT")</f>
        <v>0</v>
      </c>
      <c r="O174" s="61">
        <f>IF(C174="Defensive",SUMIFS(Data!$J:$J,Data!$A:$A,Info!$B174,Data!$I:$I,Info!$D174,Data!$H:$H,"INT"),0)</f>
        <v>0</v>
      </c>
      <c r="P174" s="61">
        <f>IF(Table1[[#This Row],[Role]]="Defensive",SUMIFS(Data!$J:$J,Data!$A:$A,Info!$B174,Data!$I:$I,Info!$D174,Data!$H:$H,$P$1),0)</f>
        <v>0</v>
      </c>
      <c r="Q174" s="65" t="str">
        <f>IF(Table1[[#This Row],[Pick]]="","",IF(S174&gt;1,400,IF(G174="","",IF(C174="Passing",(400-Table1[[#This Row],[Passing Yards]]-(30*Table1[[#This Row],[Passing TDs]])-(50*SUM(Table1[[#This Row],[Rushing TDs]:[Other TD''s]]))),IF(C174="Rushing",2*(200-Table1[[#This Row],[Rushing Yards]]-(30*Table1[[#This Row],[Passing TDs]])-50*(Table1[[#This Row],[Rushing TDs]]+Table1[[#This Row],[Receiving TDs]]+Table1[[#This Row],[Other TD''s]])),IF(C174="Receiving",2*(200-Table1[[#This Row],[Receiving Yards]]-(30*Table1[[#This Row],[Passing TDs]])-50*(Table1[[#This Row],[Rushing TDs]]+Table1[[#This Row],[Receiving TDs]]+Table1[[#This Row],[Other TD''s]])),IF(C174="Defensive",(25*(16-Table1[[#This Row],[Tackles]]-(8*(Table1[[#This Row],[Other TD''s]]+Table1[[#This Row],[Interceptions]]+Table1[[#This Row],[Fumbles Recovered]])))))))))))</f>
        <v/>
      </c>
      <c r="R174" s="3" t="str">
        <f t="shared" si="6"/>
        <v/>
      </c>
      <c r="S174" s="4">
        <f t="shared" si="5"/>
        <v>1048507</v>
      </c>
      <c r="T1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5" spans="1:20" hidden="1" x14ac:dyDescent="0.25">
      <c r="A175" t="s">
        <v>43</v>
      </c>
      <c r="B175" s="28" t="s">
        <v>45</v>
      </c>
      <c r="C175" t="s">
        <v>16</v>
      </c>
      <c r="D175" t="str">
        <f>_xlfn.XLOOKUP(Table1[[#This Row],[Player]]&amp;Table1[[#This Row],[Week]]&amp;Table1[[#This Row],[Role]],'Google Form Transform'!$A:$A,'Google Form Transform'!E:E,"")</f>
        <v/>
      </c>
      <c r="E175" t="str">
        <f>_xlfn.XLOOKUP(Table1[[#This Row],[Player]]&amp;Table1[[#This Row],[Week]]&amp;Table1[[#This Row],[Role]],'Google Form Transform'!$A:$A,'Google Form Transform'!F:F,"")</f>
        <v/>
      </c>
      <c r="F175" t="str">
        <f>_xlfn.XLOOKUP(Table1[[#This Row],[Player]]&amp;Table1[[#This Row],[Week]]&amp;Table1[[#This Row],[Role]],'Google Form Transform'!$A:$A,'Google Form Transform'!G:G,"")</f>
        <v/>
      </c>
      <c r="G175" s="59">
        <f>SUMIFS(Table2[Stat],Table2[Stat Category],"passing",Table2[Stat Type],"YDS",Table2[Athlete],Table1[[#This Row],[Pick]],Table2[Week],Table1[[#This Row],[Week]])</f>
        <v>0</v>
      </c>
      <c r="H175" s="59">
        <f>SUMIFS(Table2[Stat],Table2[Stat Category],"rushing",Table2[Stat Type],"YDS",Table2[Athlete],Table1[[#This Row],[Pick]],Table2[Week],Table1[[#This Row],[Week]])</f>
        <v>0</v>
      </c>
      <c r="I175" s="59">
        <f>SUMIFS(Table2[Stat],Table2[Stat Category],"receiving",Table2[Stat Type],"YDS",Table2[Athlete],Table1[[#This Row],[Pick]],Table2[Week],Table1[[#This Row],[Week]])</f>
        <v>0</v>
      </c>
      <c r="J175" s="6">
        <f>IF(AND($C175="Rushing", $H175&lt;=0), 0, IF(AND($C175="Passing", $G$3&lt;=0), 0,IF(AND($C175="Receiving",$I175&lt;=0), 0,SUMIFS(Table2[Stat],Table2[Week],Table1[[#This Row],[Week]],Table2[Athlete],Table1[[#This Row],[Pick]],Table2[Stat Category],"passing",Table2[Stat Type],"TD"))))</f>
        <v>0</v>
      </c>
      <c r="K175" s="6">
        <f>IF(AND($C175="Rushing", $H175&lt;=0), 0, IF(AND($C175="Passing", $G$3&lt;=0), 0,IF(AND($C175="Receiving",$I175&lt;=0),0,SUMIFS(Table2[Stat],Table2[Week],Table1[[#This Row],[Week]],Table2[Athlete],Table1[[#This Row],[Pick]],Table2[Stat Category],"rushing",Table2[Stat Type],"TD"))))</f>
        <v>0</v>
      </c>
      <c r="L175" s="6">
        <f>IF(AND($C175="Rushing", $H175&lt;=0), 0, IF(AND($C175="Passing", $G$3&lt;=0), 0,IF(AND($C175="Receiving",$I175&lt;=0),0,SUMIFS(Table2[Stat],Table2[Week],Table1[[#This Row],[Week]],Table2[Athlete],Table1[[#This Row],[Pick]],Table2[Stat Category],"receiving",Table2[Stat Type],"TD"))))</f>
        <v>0</v>
      </c>
      <c r="M1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5" s="61">
        <f>SUMIFS(Data!$J:$J,Data!$A:$A,Info!$B175,Data!$G:$G,Info!$C175,Data!$I:$I,Info!$D175,Data!$H:$H,"TOT")</f>
        <v>0</v>
      </c>
      <c r="O175" s="61">
        <f>IF(C175="Defensive",SUMIFS(Data!$J:$J,Data!$A:$A,Info!$B175,Data!$I:$I,Info!$D175,Data!$H:$H,"INT"),0)</f>
        <v>0</v>
      </c>
      <c r="P175" s="61">
        <f>IF(Table1[[#This Row],[Role]]="Defensive",SUMIFS(Data!$J:$J,Data!$A:$A,Info!$B175,Data!$I:$I,Info!$D175,Data!$H:$H,$P$1),0)</f>
        <v>0</v>
      </c>
      <c r="Q175" s="65" t="str">
        <f>IF(Table1[[#This Row],[Pick]]="","",IF(S175&gt;1,400,IF(G175="","",IF(C175="Passing",(400-Table1[[#This Row],[Passing Yards]]-(30*Table1[[#This Row],[Passing TDs]])-(50*SUM(Table1[[#This Row],[Rushing TDs]:[Other TD''s]]))),IF(C175="Rushing",2*(200-Table1[[#This Row],[Rushing Yards]]-(30*Table1[[#This Row],[Passing TDs]])-50*(Table1[[#This Row],[Rushing TDs]]+Table1[[#This Row],[Receiving TDs]]+Table1[[#This Row],[Other TD''s]])),IF(C175="Receiving",2*(200-Table1[[#This Row],[Receiving Yards]]-(30*Table1[[#This Row],[Passing TDs]])-50*(Table1[[#This Row],[Rushing TDs]]+Table1[[#This Row],[Receiving TDs]]+Table1[[#This Row],[Other TD''s]])),IF(C175="Defensive",(25*(16-Table1[[#This Row],[Tackles]]-(8*(Table1[[#This Row],[Other TD''s]]+Table1[[#This Row],[Interceptions]]+Table1[[#This Row],[Fumbles Recovered]])))))))))))</f>
        <v/>
      </c>
      <c r="R175" s="3" t="str">
        <f t="shared" si="6"/>
        <v/>
      </c>
      <c r="S175" s="4">
        <f t="shared" si="5"/>
        <v>1048507</v>
      </c>
      <c r="T1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6" spans="1:20" hidden="1" x14ac:dyDescent="0.25">
      <c r="A176" t="s">
        <v>43</v>
      </c>
      <c r="B176" s="28" t="s">
        <v>45</v>
      </c>
      <c r="C176" t="s">
        <v>6</v>
      </c>
      <c r="D176" t="str">
        <f>_xlfn.XLOOKUP(Table1[[#This Row],[Player]]&amp;Table1[[#This Row],[Week]]&amp;Table1[[#This Row],[Role]],'Google Form Transform'!$A:$A,'Google Form Transform'!E:E,"")</f>
        <v/>
      </c>
      <c r="E176" t="str">
        <f>_xlfn.XLOOKUP(Table1[[#This Row],[Player]]&amp;Table1[[#This Row],[Week]]&amp;Table1[[#This Row],[Role]],'Google Form Transform'!$A:$A,'Google Form Transform'!F:F,"")</f>
        <v/>
      </c>
      <c r="F176" t="str">
        <f>_xlfn.XLOOKUP(Table1[[#This Row],[Player]]&amp;Table1[[#This Row],[Week]]&amp;Table1[[#This Row],[Role]],'Google Form Transform'!$A:$A,'Google Form Transform'!G:G,"")</f>
        <v/>
      </c>
      <c r="G176" s="59">
        <f>SUMIFS(Table2[Stat],Table2[Stat Category],"passing",Table2[Stat Type],"YDS",Table2[Athlete],Table1[[#This Row],[Pick]],Table2[Week],Table1[[#This Row],[Week]])</f>
        <v>0</v>
      </c>
      <c r="H176" s="59">
        <f>SUMIFS(Table2[Stat],Table2[Stat Category],"rushing",Table2[Stat Type],"YDS",Table2[Athlete],Table1[[#This Row],[Pick]],Table2[Week],Table1[[#This Row],[Week]])</f>
        <v>0</v>
      </c>
      <c r="I176" s="59">
        <f>SUMIFS(Table2[Stat],Table2[Stat Category],"receiving",Table2[Stat Type],"YDS",Table2[Athlete],Table1[[#This Row],[Pick]],Table2[Week],Table1[[#This Row],[Week]])</f>
        <v>0</v>
      </c>
      <c r="J176" s="6">
        <f>IF(AND($C176="Rushing", $H176&lt;=0), 0, IF(AND($C176="Passing", $G$3&lt;=0), 0,IF(AND($C176="Receiving",$I176&lt;=0), 0,SUMIFS(Table2[Stat],Table2[Week],Table1[[#This Row],[Week]],Table2[Athlete],Table1[[#This Row],[Pick]],Table2[Stat Category],"passing",Table2[Stat Type],"TD"))))</f>
        <v>0</v>
      </c>
      <c r="K176" s="6">
        <f>IF(AND($C176="Rushing", $H176&lt;=0), 0, IF(AND($C176="Passing", $G$3&lt;=0), 0,IF(AND($C176="Receiving",$I176&lt;=0),0,SUMIFS(Table2[Stat],Table2[Week],Table1[[#This Row],[Week]],Table2[Athlete],Table1[[#This Row],[Pick]],Table2[Stat Category],"rushing",Table2[Stat Type],"TD"))))</f>
        <v>0</v>
      </c>
      <c r="L176" s="6">
        <f>IF(AND($C176="Rushing", $H176&lt;=0), 0, IF(AND($C176="Passing", $G$3&lt;=0), 0,IF(AND($C176="Receiving",$I176&lt;=0),0,SUMIFS(Table2[Stat],Table2[Week],Table1[[#This Row],[Week]],Table2[Athlete],Table1[[#This Row],[Pick]],Table2[Stat Category],"receiving",Table2[Stat Type],"TD"))))</f>
        <v>0</v>
      </c>
      <c r="M1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6" s="61">
        <f>SUMIFS(Data!$J:$J,Data!$A:$A,Info!$B176,Data!$G:$G,Info!$C176,Data!$I:$I,Info!$D176,Data!$H:$H,"TOT")</f>
        <v>0</v>
      </c>
      <c r="O176" s="61">
        <f>IF(C176="Defensive",SUMIFS(Data!$J:$J,Data!$A:$A,Info!$B176,Data!$I:$I,Info!$D176,Data!$H:$H,"INT"),0)</f>
        <v>0</v>
      </c>
      <c r="P176" s="61">
        <f>IF(Table1[[#This Row],[Role]]="Defensive",SUMIFS(Data!$J:$J,Data!$A:$A,Info!$B176,Data!$I:$I,Info!$D176,Data!$H:$H,$P$1),0)</f>
        <v>0</v>
      </c>
      <c r="Q176" s="65" t="str">
        <f>IF(Table1[[#This Row],[Pick]]="","",IF(S176&gt;1,400,IF(G176="","",IF(C176="Passing",(400-Table1[[#This Row],[Passing Yards]]-(30*Table1[[#This Row],[Passing TDs]])-(50*SUM(Table1[[#This Row],[Rushing TDs]:[Other TD''s]]))),IF(C176="Rushing",2*(200-Table1[[#This Row],[Rushing Yards]]-(30*Table1[[#This Row],[Passing TDs]])-50*(Table1[[#This Row],[Rushing TDs]]+Table1[[#This Row],[Receiving TDs]]+Table1[[#This Row],[Other TD''s]])),IF(C176="Receiving",2*(200-Table1[[#This Row],[Receiving Yards]]-(30*Table1[[#This Row],[Passing TDs]])-50*(Table1[[#This Row],[Rushing TDs]]+Table1[[#This Row],[Receiving TDs]]+Table1[[#This Row],[Other TD''s]])),IF(C176="Defensive",(25*(16-Table1[[#This Row],[Tackles]]-(8*(Table1[[#This Row],[Other TD''s]]+Table1[[#This Row],[Interceptions]]+Table1[[#This Row],[Fumbles Recovered]])))))))))))</f>
        <v/>
      </c>
      <c r="R176" s="3" t="str">
        <f t="shared" si="6"/>
        <v/>
      </c>
      <c r="S176" s="4">
        <f t="shared" si="5"/>
        <v>1048507</v>
      </c>
      <c r="T1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7" spans="1:20" hidden="1" x14ac:dyDescent="0.25">
      <c r="A177" t="s">
        <v>43</v>
      </c>
      <c r="B177" s="28" t="s">
        <v>45</v>
      </c>
      <c r="C177" t="s">
        <v>17</v>
      </c>
      <c r="D177" t="str">
        <f>_xlfn.XLOOKUP(Table1[[#This Row],[Player]]&amp;Table1[[#This Row],[Week]]&amp;Table1[[#This Row],[Role]],'Google Form Transform'!$A:$A,'Google Form Transform'!E:E,"")</f>
        <v/>
      </c>
      <c r="E177" t="str">
        <f>_xlfn.XLOOKUP(Table1[[#This Row],[Player]]&amp;Table1[[#This Row],[Week]]&amp;Table1[[#This Row],[Role]],'Google Form Transform'!$A:$A,'Google Form Transform'!F:F,"")</f>
        <v/>
      </c>
      <c r="F177" t="str">
        <f>_xlfn.XLOOKUP(Table1[[#This Row],[Player]]&amp;Table1[[#This Row],[Week]]&amp;Table1[[#This Row],[Role]],'Google Form Transform'!$A:$A,'Google Form Transform'!G:G,"")</f>
        <v/>
      </c>
      <c r="G177" s="59">
        <f>SUMIFS(Table2[Stat],Table2[Stat Category],"passing",Table2[Stat Type],"YDS",Table2[Athlete],Table1[[#This Row],[Pick]],Table2[Week],Table1[[#This Row],[Week]])</f>
        <v>0</v>
      </c>
      <c r="H177" s="59">
        <f>SUMIFS(Table2[Stat],Table2[Stat Category],"rushing",Table2[Stat Type],"YDS",Table2[Athlete],Table1[[#This Row],[Pick]],Table2[Week],Table1[[#This Row],[Week]])</f>
        <v>0</v>
      </c>
      <c r="I177" s="59">
        <f>SUMIFS(Table2[Stat],Table2[Stat Category],"receiving",Table2[Stat Type],"YDS",Table2[Athlete],Table1[[#This Row],[Pick]],Table2[Week],Table1[[#This Row],[Week]])</f>
        <v>0</v>
      </c>
      <c r="J177" s="6">
        <f>IF(AND($C177="Rushing", $H177&lt;=0), 0, IF(AND($C177="Passing", $G$3&lt;=0), 0,IF(AND($C177="Receiving",$I177&lt;=0), 0,SUMIFS(Table2[Stat],Table2[Week],Table1[[#This Row],[Week]],Table2[Athlete],Table1[[#This Row],[Pick]],Table2[Stat Category],"passing",Table2[Stat Type],"TD"))))</f>
        <v>0</v>
      </c>
      <c r="K177" s="6">
        <f>IF(AND($C177="Rushing", $H177&lt;=0), 0, IF(AND($C177="Passing", $G$3&lt;=0), 0,IF(AND($C177="Receiving",$I177&lt;=0),0,SUMIFS(Table2[Stat],Table2[Week],Table1[[#This Row],[Week]],Table2[Athlete],Table1[[#This Row],[Pick]],Table2[Stat Category],"rushing",Table2[Stat Type],"TD"))))</f>
        <v>0</v>
      </c>
      <c r="L177" s="6">
        <f>IF(AND($C177="Rushing", $H177&lt;=0), 0, IF(AND($C177="Passing", $G$3&lt;=0), 0,IF(AND($C177="Receiving",$I177&lt;=0),0,SUMIFS(Table2[Stat],Table2[Week],Table1[[#This Row],[Week]],Table2[Athlete],Table1[[#This Row],[Pick]],Table2[Stat Category],"receiving",Table2[Stat Type],"TD"))))</f>
        <v>0</v>
      </c>
      <c r="M1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7" s="61">
        <f>SUMIFS(Data!$J:$J,Data!$A:$A,Info!$B177,Data!$G:$G,Info!$C177,Data!$I:$I,Info!$D177,Data!$H:$H,"TOT")</f>
        <v>0</v>
      </c>
      <c r="O177" s="61">
        <f>IF(C177="Defensive",SUMIFS(Data!$J:$J,Data!$A:$A,Info!$B177,Data!$I:$I,Info!$D177,Data!$H:$H,"INT"),0)</f>
        <v>0</v>
      </c>
      <c r="P177" s="61">
        <f>IF(Table1[[#This Row],[Role]]="Defensive",SUMIFS(Data!$J:$J,Data!$A:$A,Info!$B177,Data!$I:$I,Info!$D177,Data!$H:$H,$P$1),0)</f>
        <v>0</v>
      </c>
      <c r="Q177" s="65" t="str">
        <f>IF(Table1[[#This Row],[Pick]]="","",IF(S177&gt;1,400,IF(G177="","",IF(C177="Passing",(400-Table1[[#This Row],[Passing Yards]]-(30*Table1[[#This Row],[Passing TDs]])-(50*SUM(Table1[[#This Row],[Rushing TDs]:[Other TD''s]]))),IF(C177="Rushing",2*(200-Table1[[#This Row],[Rushing Yards]]-(30*Table1[[#This Row],[Passing TDs]])-50*(Table1[[#This Row],[Rushing TDs]]+Table1[[#This Row],[Receiving TDs]]+Table1[[#This Row],[Other TD''s]])),IF(C177="Receiving",2*(200-Table1[[#This Row],[Receiving Yards]]-(30*Table1[[#This Row],[Passing TDs]])-50*(Table1[[#This Row],[Rushing TDs]]+Table1[[#This Row],[Receiving TDs]]+Table1[[#This Row],[Other TD''s]])),IF(C177="Defensive",(25*(16-Table1[[#This Row],[Tackles]]-(8*(Table1[[#This Row],[Other TD''s]]+Table1[[#This Row],[Interceptions]]+Table1[[#This Row],[Fumbles Recovered]])))))))))))</f>
        <v/>
      </c>
      <c r="R177" s="3" t="str">
        <f t="shared" si="6"/>
        <v/>
      </c>
      <c r="S177" s="4">
        <f t="shared" si="5"/>
        <v>1048507</v>
      </c>
      <c r="T1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8" spans="1:20" hidden="1" x14ac:dyDescent="0.25">
      <c r="A178" t="s">
        <v>43</v>
      </c>
      <c r="B178" s="28" t="s">
        <v>45</v>
      </c>
      <c r="C178" t="s">
        <v>20</v>
      </c>
      <c r="D178" t="str">
        <f>_xlfn.XLOOKUP(Table1[[#This Row],[Player]]&amp;Table1[[#This Row],[Week]]&amp;Table1[[#This Row],[Role]],'Google Form Transform'!$A:$A,'Google Form Transform'!E:E,"")</f>
        <v/>
      </c>
      <c r="E178" t="str">
        <f>_xlfn.XLOOKUP(Table1[[#This Row],[Player]]&amp;Table1[[#This Row],[Week]]&amp;Table1[[#This Row],[Role]],'Google Form Transform'!$A:$A,'Google Form Transform'!F:F,"")</f>
        <v/>
      </c>
      <c r="F178" t="str">
        <f>_xlfn.XLOOKUP(Table1[[#This Row],[Player]]&amp;Table1[[#This Row],[Week]]&amp;Table1[[#This Row],[Role]],'Google Form Transform'!$A:$A,'Google Form Transform'!G:G,"")</f>
        <v/>
      </c>
      <c r="G178" s="59">
        <f>SUMIFS(Table2[Stat],Table2[Stat Category],"passing",Table2[Stat Type],"YDS",Table2[Athlete],Table1[[#This Row],[Pick]],Table2[Week],Table1[[#This Row],[Week]])</f>
        <v>0</v>
      </c>
      <c r="H178" s="59">
        <f>SUMIFS(Table2[Stat],Table2[Stat Category],"rushing",Table2[Stat Type],"YDS",Table2[Athlete],Table1[[#This Row],[Pick]],Table2[Week],Table1[[#This Row],[Week]])</f>
        <v>0</v>
      </c>
      <c r="I178" s="59">
        <f>SUMIFS(Table2[Stat],Table2[Stat Category],"receiving",Table2[Stat Type],"YDS",Table2[Athlete],Table1[[#This Row],[Pick]],Table2[Week],Table1[[#This Row],[Week]])</f>
        <v>0</v>
      </c>
      <c r="J178" s="6">
        <f>IF(AND($C178="Rushing", $H178&lt;=0), 0, IF(AND($C178="Passing", $G$3&lt;=0), 0,IF(AND($C178="Receiving",$I178&lt;=0), 0,SUMIFS(Table2[Stat],Table2[Week],Table1[[#This Row],[Week]],Table2[Athlete],Table1[[#This Row],[Pick]],Table2[Stat Category],"passing",Table2[Stat Type],"TD"))))</f>
        <v>0</v>
      </c>
      <c r="K178" s="6">
        <f>IF(AND($C178="Rushing", $H178&lt;=0), 0, IF(AND($C178="Passing", $G$3&lt;=0), 0,IF(AND($C178="Receiving",$I178&lt;=0),0,SUMIFS(Table2[Stat],Table2[Week],Table1[[#This Row],[Week]],Table2[Athlete],Table1[[#This Row],[Pick]],Table2[Stat Category],"rushing",Table2[Stat Type],"TD"))))</f>
        <v>0</v>
      </c>
      <c r="L178" s="6">
        <f>IF(AND($C178="Rushing", $H178&lt;=0), 0, IF(AND($C178="Passing", $G$3&lt;=0), 0,IF(AND($C178="Receiving",$I178&lt;=0),0,SUMIFS(Table2[Stat],Table2[Week],Table1[[#This Row],[Week]],Table2[Athlete],Table1[[#This Row],[Pick]],Table2[Stat Category],"receiving",Table2[Stat Type],"TD"))))</f>
        <v>0</v>
      </c>
      <c r="M1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8" s="61">
        <f>SUMIFS(Data!$J:$J,Data!$A:$A,Info!$B178,Data!$G:$G,Info!$C178,Data!$I:$I,Info!$D178,Data!$H:$H,"TOT")</f>
        <v>0</v>
      </c>
      <c r="O178" s="61">
        <f>IF(C178="Defensive",SUMIFS(Data!$J:$J,Data!$A:$A,Info!$B178,Data!$I:$I,Info!$D178,Data!$H:$H,"INT"),0)</f>
        <v>0</v>
      </c>
      <c r="P178" s="61">
        <f>IF(Table1[[#This Row],[Role]]="Defensive",SUMIFS(Data!$J:$J,Data!$A:$A,Info!$B178,Data!$I:$I,Info!$D178,Data!$H:$H,$P$1),0)</f>
        <v>0</v>
      </c>
      <c r="Q178" s="65" t="str">
        <f>IF(Table1[[#This Row],[Pick]]="","",IF(S178&gt;1,400,IF(G178="","",IF(C178="Passing",(400-Table1[[#This Row],[Passing Yards]]-(30*Table1[[#This Row],[Passing TDs]])-(50*SUM(Table1[[#This Row],[Rushing TDs]:[Other TD''s]]))),IF(C178="Rushing",2*(200-Table1[[#This Row],[Rushing Yards]]-(30*Table1[[#This Row],[Passing TDs]])-50*(Table1[[#This Row],[Rushing TDs]]+Table1[[#This Row],[Receiving TDs]]+Table1[[#This Row],[Other TD''s]])),IF(C178="Receiving",2*(200-Table1[[#This Row],[Receiving Yards]]-(30*Table1[[#This Row],[Passing TDs]])-50*(Table1[[#This Row],[Rushing TDs]]+Table1[[#This Row],[Receiving TDs]]+Table1[[#This Row],[Other TD''s]])),IF(C178="Defensive",(25*(16-Table1[[#This Row],[Tackles]]-(8*(Table1[[#This Row],[Other TD''s]]+Table1[[#This Row],[Interceptions]]+Table1[[#This Row],[Fumbles Recovered]])))))))))))</f>
        <v/>
      </c>
      <c r="R178" s="3" t="str">
        <f t="shared" si="6"/>
        <v/>
      </c>
      <c r="S178" s="4">
        <f t="shared" si="5"/>
        <v>1048507</v>
      </c>
      <c r="T1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9" spans="1:20" hidden="1" x14ac:dyDescent="0.25">
      <c r="A179" t="s">
        <v>7</v>
      </c>
      <c r="B179" s="28" t="s">
        <v>45</v>
      </c>
      <c r="C179" t="s">
        <v>16</v>
      </c>
      <c r="D179" t="str">
        <f>_xlfn.XLOOKUP(Table1[[#This Row],[Player]]&amp;Table1[[#This Row],[Week]]&amp;Table1[[#This Row],[Role]],'Google Form Transform'!$A:$A,'Google Form Transform'!E:E,"")</f>
        <v/>
      </c>
      <c r="E179" t="str">
        <f>_xlfn.XLOOKUP(Table1[[#This Row],[Player]]&amp;Table1[[#This Row],[Week]]&amp;Table1[[#This Row],[Role]],'Google Form Transform'!$A:$A,'Google Form Transform'!F:F,"")</f>
        <v/>
      </c>
      <c r="F179" t="str">
        <f>_xlfn.XLOOKUP(Table1[[#This Row],[Player]]&amp;Table1[[#This Row],[Week]]&amp;Table1[[#This Row],[Role]],'Google Form Transform'!$A:$A,'Google Form Transform'!G:G,"")</f>
        <v/>
      </c>
      <c r="G179" s="59">
        <f>SUMIFS(Table2[Stat],Table2[Stat Category],"passing",Table2[Stat Type],"YDS",Table2[Athlete],Table1[[#This Row],[Pick]],Table2[Week],Table1[[#This Row],[Week]])</f>
        <v>0</v>
      </c>
      <c r="H179" s="59">
        <f>SUMIFS(Table2[Stat],Table2[Stat Category],"rushing",Table2[Stat Type],"YDS",Table2[Athlete],Table1[[#This Row],[Pick]],Table2[Week],Table1[[#This Row],[Week]])</f>
        <v>0</v>
      </c>
      <c r="I179" s="59">
        <f>SUMIFS(Table2[Stat],Table2[Stat Category],"receiving",Table2[Stat Type],"YDS",Table2[Athlete],Table1[[#This Row],[Pick]],Table2[Week],Table1[[#This Row],[Week]])</f>
        <v>0</v>
      </c>
      <c r="J179" s="6">
        <f>IF(AND($C179="Rushing", $H179&lt;=0), 0, IF(AND($C179="Passing", $G$3&lt;=0), 0,IF(AND($C179="Receiving",$I179&lt;=0), 0,SUMIFS(Table2[Stat],Table2[Week],Table1[[#This Row],[Week]],Table2[Athlete],Table1[[#This Row],[Pick]],Table2[Stat Category],"passing",Table2[Stat Type],"TD"))))</f>
        <v>0</v>
      </c>
      <c r="K179" s="6">
        <f>IF(AND($C179="Rushing", $H179&lt;=0), 0, IF(AND($C179="Passing", $G$3&lt;=0), 0,IF(AND($C179="Receiving",$I179&lt;=0),0,SUMIFS(Table2[Stat],Table2[Week],Table1[[#This Row],[Week]],Table2[Athlete],Table1[[#This Row],[Pick]],Table2[Stat Category],"rushing",Table2[Stat Type],"TD"))))</f>
        <v>0</v>
      </c>
      <c r="L179" s="6">
        <f>IF(AND($C179="Rushing", $H179&lt;=0), 0, IF(AND($C179="Passing", $G$3&lt;=0), 0,IF(AND($C179="Receiving",$I179&lt;=0),0,SUMIFS(Table2[Stat],Table2[Week],Table1[[#This Row],[Week]],Table2[Athlete],Table1[[#This Row],[Pick]],Table2[Stat Category],"receiving",Table2[Stat Type],"TD"))))</f>
        <v>0</v>
      </c>
      <c r="M1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9" s="61">
        <f>SUMIFS(Data!$J:$J,Data!$A:$A,Info!$B179,Data!$G:$G,Info!$C179,Data!$I:$I,Info!$D179,Data!$H:$H,"TOT")</f>
        <v>0</v>
      </c>
      <c r="O179" s="61">
        <f>IF(C179="Defensive",SUMIFS(Data!$J:$J,Data!$A:$A,Info!$B179,Data!$I:$I,Info!$D179,Data!$H:$H,"INT"),0)</f>
        <v>0</v>
      </c>
      <c r="P179" s="61">
        <f>IF(Table1[[#This Row],[Role]]="Defensive",SUMIFS(Data!$J:$J,Data!$A:$A,Info!$B179,Data!$I:$I,Info!$D179,Data!$H:$H,$P$1),0)</f>
        <v>0</v>
      </c>
      <c r="Q179" s="65" t="str">
        <f>IF(Table1[[#This Row],[Pick]]="","",IF(S179&gt;1,400,IF(G179="","",IF(C179="Passing",(400-Table1[[#This Row],[Passing Yards]]-(30*Table1[[#This Row],[Passing TDs]])-(50*SUM(Table1[[#This Row],[Rushing TDs]:[Other TD''s]]))),IF(C179="Rushing",2*(200-Table1[[#This Row],[Rushing Yards]]-(30*Table1[[#This Row],[Passing TDs]])-50*(Table1[[#This Row],[Rushing TDs]]+Table1[[#This Row],[Receiving TDs]]+Table1[[#This Row],[Other TD''s]])),IF(C179="Receiving",2*(200-Table1[[#This Row],[Receiving Yards]]-(30*Table1[[#This Row],[Passing TDs]])-50*(Table1[[#This Row],[Rushing TDs]]+Table1[[#This Row],[Receiving TDs]]+Table1[[#This Row],[Other TD''s]])),IF(C179="Defensive",(25*(16-Table1[[#This Row],[Tackles]]-(8*(Table1[[#This Row],[Other TD''s]]+Table1[[#This Row],[Interceptions]]+Table1[[#This Row],[Fumbles Recovered]])))))))))))</f>
        <v/>
      </c>
      <c r="R179" s="3" t="str">
        <f t="shared" si="6"/>
        <v/>
      </c>
      <c r="S179" s="4">
        <f t="shared" si="5"/>
        <v>1048507</v>
      </c>
      <c r="T1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0" spans="1:20" hidden="1" x14ac:dyDescent="0.25">
      <c r="A180" t="s">
        <v>7</v>
      </c>
      <c r="B180" s="28" t="s">
        <v>45</v>
      </c>
      <c r="C180" t="s">
        <v>6</v>
      </c>
      <c r="D180" t="str">
        <f>_xlfn.XLOOKUP(Table1[[#This Row],[Player]]&amp;Table1[[#This Row],[Week]]&amp;Table1[[#This Row],[Role]],'Google Form Transform'!$A:$A,'Google Form Transform'!E:E,"")</f>
        <v/>
      </c>
      <c r="E180" t="str">
        <f>_xlfn.XLOOKUP(Table1[[#This Row],[Player]]&amp;Table1[[#This Row],[Week]]&amp;Table1[[#This Row],[Role]],'Google Form Transform'!$A:$A,'Google Form Transform'!F:F,"")</f>
        <v/>
      </c>
      <c r="F180" t="str">
        <f>_xlfn.XLOOKUP(Table1[[#This Row],[Player]]&amp;Table1[[#This Row],[Week]]&amp;Table1[[#This Row],[Role]],'Google Form Transform'!$A:$A,'Google Form Transform'!G:G,"")</f>
        <v/>
      </c>
      <c r="G180" s="59">
        <f>SUMIFS(Table2[Stat],Table2[Stat Category],"passing",Table2[Stat Type],"YDS",Table2[Athlete],Table1[[#This Row],[Pick]],Table2[Week],Table1[[#This Row],[Week]])</f>
        <v>0</v>
      </c>
      <c r="H180" s="59">
        <f>SUMIFS(Table2[Stat],Table2[Stat Category],"rushing",Table2[Stat Type],"YDS",Table2[Athlete],Table1[[#This Row],[Pick]],Table2[Week],Table1[[#This Row],[Week]])</f>
        <v>0</v>
      </c>
      <c r="I180" s="59">
        <f>SUMIFS(Table2[Stat],Table2[Stat Category],"receiving",Table2[Stat Type],"YDS",Table2[Athlete],Table1[[#This Row],[Pick]],Table2[Week],Table1[[#This Row],[Week]])</f>
        <v>0</v>
      </c>
      <c r="J180" s="6">
        <f>IF(AND($C180="Rushing", $H180&lt;=0), 0, IF(AND($C180="Passing", $G$3&lt;=0), 0,IF(AND($C180="Receiving",$I180&lt;=0), 0,SUMIFS(Table2[Stat],Table2[Week],Table1[[#This Row],[Week]],Table2[Athlete],Table1[[#This Row],[Pick]],Table2[Stat Category],"passing",Table2[Stat Type],"TD"))))</f>
        <v>0</v>
      </c>
      <c r="K180" s="6">
        <f>IF(AND($C180="Rushing", $H180&lt;=0), 0, IF(AND($C180="Passing", $G$3&lt;=0), 0,IF(AND($C180="Receiving",$I180&lt;=0),0,SUMIFS(Table2[Stat],Table2[Week],Table1[[#This Row],[Week]],Table2[Athlete],Table1[[#This Row],[Pick]],Table2[Stat Category],"rushing",Table2[Stat Type],"TD"))))</f>
        <v>0</v>
      </c>
      <c r="L180" s="6">
        <f>IF(AND($C180="Rushing", $H180&lt;=0), 0, IF(AND($C180="Passing", $G$3&lt;=0), 0,IF(AND($C180="Receiving",$I180&lt;=0),0,SUMIFS(Table2[Stat],Table2[Week],Table1[[#This Row],[Week]],Table2[Athlete],Table1[[#This Row],[Pick]],Table2[Stat Category],"receiving",Table2[Stat Type],"TD"))))</f>
        <v>0</v>
      </c>
      <c r="M1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0" s="61">
        <f>SUMIFS(Data!$J:$J,Data!$A:$A,Info!$B180,Data!$G:$G,Info!$C180,Data!$I:$I,Info!$D180,Data!$H:$H,"TOT")</f>
        <v>0</v>
      </c>
      <c r="O180" s="61">
        <f>IF(C180="Defensive",SUMIFS(Data!$J:$J,Data!$A:$A,Info!$B180,Data!$I:$I,Info!$D180,Data!$H:$H,"INT"),0)</f>
        <v>0</v>
      </c>
      <c r="P180" s="61">
        <f>IF(Table1[[#This Row],[Role]]="Defensive",SUMIFS(Data!$J:$J,Data!$A:$A,Info!$B180,Data!$I:$I,Info!$D180,Data!$H:$H,$P$1),0)</f>
        <v>0</v>
      </c>
      <c r="Q180" s="65" t="str">
        <f>IF(Table1[[#This Row],[Pick]]="","",IF(S180&gt;1,400,IF(G180="","",IF(C180="Passing",(400-Table1[[#This Row],[Passing Yards]]-(30*Table1[[#This Row],[Passing TDs]])-(50*SUM(Table1[[#This Row],[Rushing TDs]:[Other TD''s]]))),IF(C180="Rushing",2*(200-Table1[[#This Row],[Rushing Yards]]-(30*Table1[[#This Row],[Passing TDs]])-50*(Table1[[#This Row],[Rushing TDs]]+Table1[[#This Row],[Receiving TDs]]+Table1[[#This Row],[Other TD''s]])),IF(C180="Receiving",2*(200-Table1[[#This Row],[Receiving Yards]]-(30*Table1[[#This Row],[Passing TDs]])-50*(Table1[[#This Row],[Rushing TDs]]+Table1[[#This Row],[Receiving TDs]]+Table1[[#This Row],[Other TD''s]])),IF(C180="Defensive",(25*(16-Table1[[#This Row],[Tackles]]-(8*(Table1[[#This Row],[Other TD''s]]+Table1[[#This Row],[Interceptions]]+Table1[[#This Row],[Fumbles Recovered]])))))))))))</f>
        <v/>
      </c>
      <c r="R180" s="3" t="str">
        <f t="shared" si="6"/>
        <v/>
      </c>
      <c r="S180" s="4">
        <f t="shared" si="5"/>
        <v>1048507</v>
      </c>
      <c r="T1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1" spans="1:20" hidden="1" x14ac:dyDescent="0.25">
      <c r="A181" t="s">
        <v>7</v>
      </c>
      <c r="B181" s="28" t="s">
        <v>45</v>
      </c>
      <c r="C181" t="s">
        <v>17</v>
      </c>
      <c r="D181" t="str">
        <f>_xlfn.XLOOKUP(Table1[[#This Row],[Player]]&amp;Table1[[#This Row],[Week]]&amp;Table1[[#This Row],[Role]],'Google Form Transform'!$A:$A,'Google Form Transform'!E:E,"")</f>
        <v/>
      </c>
      <c r="E181" t="str">
        <f>_xlfn.XLOOKUP(Table1[[#This Row],[Player]]&amp;Table1[[#This Row],[Week]]&amp;Table1[[#This Row],[Role]],'Google Form Transform'!$A:$A,'Google Form Transform'!F:F,"")</f>
        <v/>
      </c>
      <c r="F181" t="str">
        <f>_xlfn.XLOOKUP(Table1[[#This Row],[Player]]&amp;Table1[[#This Row],[Week]]&amp;Table1[[#This Row],[Role]],'Google Form Transform'!$A:$A,'Google Form Transform'!G:G,"")</f>
        <v/>
      </c>
      <c r="G181" s="59">
        <f>SUMIFS(Table2[Stat],Table2[Stat Category],"passing",Table2[Stat Type],"YDS",Table2[Athlete],Table1[[#This Row],[Pick]],Table2[Week],Table1[[#This Row],[Week]])</f>
        <v>0</v>
      </c>
      <c r="H181" s="59">
        <f>SUMIFS(Table2[Stat],Table2[Stat Category],"rushing",Table2[Stat Type],"YDS",Table2[Athlete],Table1[[#This Row],[Pick]],Table2[Week],Table1[[#This Row],[Week]])</f>
        <v>0</v>
      </c>
      <c r="I181" s="59">
        <f>SUMIFS(Table2[Stat],Table2[Stat Category],"receiving",Table2[Stat Type],"YDS",Table2[Athlete],Table1[[#This Row],[Pick]],Table2[Week],Table1[[#This Row],[Week]])</f>
        <v>0</v>
      </c>
      <c r="J181" s="6">
        <f>IF(AND($C181="Rushing", $H181&lt;=0), 0, IF(AND($C181="Passing", $G$3&lt;=0), 0,IF(AND($C181="Receiving",$I181&lt;=0), 0,SUMIFS(Table2[Stat],Table2[Week],Table1[[#This Row],[Week]],Table2[Athlete],Table1[[#This Row],[Pick]],Table2[Stat Category],"passing",Table2[Stat Type],"TD"))))</f>
        <v>0</v>
      </c>
      <c r="K181" s="6">
        <f>IF(AND($C181="Rushing", $H181&lt;=0), 0, IF(AND($C181="Passing", $G$3&lt;=0), 0,IF(AND($C181="Receiving",$I181&lt;=0),0,SUMIFS(Table2[Stat],Table2[Week],Table1[[#This Row],[Week]],Table2[Athlete],Table1[[#This Row],[Pick]],Table2[Stat Category],"rushing",Table2[Stat Type],"TD"))))</f>
        <v>0</v>
      </c>
      <c r="L181" s="6">
        <f>IF(AND($C181="Rushing", $H181&lt;=0), 0, IF(AND($C181="Passing", $G$3&lt;=0), 0,IF(AND($C181="Receiving",$I181&lt;=0),0,SUMIFS(Table2[Stat],Table2[Week],Table1[[#This Row],[Week]],Table2[Athlete],Table1[[#This Row],[Pick]],Table2[Stat Category],"receiving",Table2[Stat Type],"TD"))))</f>
        <v>0</v>
      </c>
      <c r="M1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1" s="61">
        <f>SUMIFS(Data!$J:$J,Data!$A:$A,Info!$B181,Data!$G:$G,Info!$C181,Data!$I:$I,Info!$D181,Data!$H:$H,"TOT")</f>
        <v>0</v>
      </c>
      <c r="O181" s="61">
        <f>IF(C181="Defensive",SUMIFS(Data!$J:$J,Data!$A:$A,Info!$B181,Data!$I:$I,Info!$D181,Data!$H:$H,"INT"),0)</f>
        <v>0</v>
      </c>
      <c r="P181" s="61">
        <f>IF(Table1[[#This Row],[Role]]="Defensive",SUMIFS(Data!$J:$J,Data!$A:$A,Info!$B181,Data!$I:$I,Info!$D181,Data!$H:$H,$P$1),0)</f>
        <v>0</v>
      </c>
      <c r="Q181" s="65" t="str">
        <f>IF(Table1[[#This Row],[Pick]]="","",IF(S181&gt;1,400,IF(G181="","",IF(C181="Passing",(400-Table1[[#This Row],[Passing Yards]]-(30*Table1[[#This Row],[Passing TDs]])-(50*SUM(Table1[[#This Row],[Rushing TDs]:[Other TD''s]]))),IF(C181="Rushing",2*(200-Table1[[#This Row],[Rushing Yards]]-(30*Table1[[#This Row],[Passing TDs]])-50*(Table1[[#This Row],[Rushing TDs]]+Table1[[#This Row],[Receiving TDs]]+Table1[[#This Row],[Other TD''s]])),IF(C181="Receiving",2*(200-Table1[[#This Row],[Receiving Yards]]-(30*Table1[[#This Row],[Passing TDs]])-50*(Table1[[#This Row],[Rushing TDs]]+Table1[[#This Row],[Receiving TDs]]+Table1[[#This Row],[Other TD''s]])),IF(C181="Defensive",(25*(16-Table1[[#This Row],[Tackles]]-(8*(Table1[[#This Row],[Other TD''s]]+Table1[[#This Row],[Interceptions]]+Table1[[#This Row],[Fumbles Recovered]])))))))))))</f>
        <v/>
      </c>
      <c r="R181" s="3" t="str">
        <f t="shared" si="6"/>
        <v/>
      </c>
      <c r="S181" s="4">
        <f t="shared" si="5"/>
        <v>1048507</v>
      </c>
      <c r="T1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2" spans="1:20" hidden="1" x14ac:dyDescent="0.25">
      <c r="A182" t="s">
        <v>7</v>
      </c>
      <c r="B182" s="28" t="s">
        <v>45</v>
      </c>
      <c r="C182" t="s">
        <v>20</v>
      </c>
      <c r="D182" t="str">
        <f>_xlfn.XLOOKUP(Table1[[#This Row],[Player]]&amp;Table1[[#This Row],[Week]]&amp;Table1[[#This Row],[Role]],'Google Form Transform'!$A:$A,'Google Form Transform'!E:E,"")</f>
        <v/>
      </c>
      <c r="E182" t="str">
        <f>_xlfn.XLOOKUP(Table1[[#This Row],[Player]]&amp;Table1[[#This Row],[Week]]&amp;Table1[[#This Row],[Role]],'Google Form Transform'!$A:$A,'Google Form Transform'!F:F,"")</f>
        <v/>
      </c>
      <c r="F182" t="str">
        <f>_xlfn.XLOOKUP(Table1[[#This Row],[Player]]&amp;Table1[[#This Row],[Week]]&amp;Table1[[#This Row],[Role]],'Google Form Transform'!$A:$A,'Google Form Transform'!G:G,"")</f>
        <v/>
      </c>
      <c r="G182" s="59">
        <f>SUMIFS(Table2[Stat],Table2[Stat Category],"passing",Table2[Stat Type],"YDS",Table2[Athlete],Table1[[#This Row],[Pick]],Table2[Week],Table1[[#This Row],[Week]])</f>
        <v>0</v>
      </c>
      <c r="H182" s="59">
        <f>SUMIFS(Table2[Stat],Table2[Stat Category],"rushing",Table2[Stat Type],"YDS",Table2[Athlete],Table1[[#This Row],[Pick]],Table2[Week],Table1[[#This Row],[Week]])</f>
        <v>0</v>
      </c>
      <c r="I182" s="59">
        <f>SUMIFS(Table2[Stat],Table2[Stat Category],"receiving",Table2[Stat Type],"YDS",Table2[Athlete],Table1[[#This Row],[Pick]],Table2[Week],Table1[[#This Row],[Week]])</f>
        <v>0</v>
      </c>
      <c r="J182" s="6">
        <f>IF(AND($C182="Rushing", $H182&lt;=0), 0, IF(AND($C182="Passing", $G$3&lt;=0), 0,IF(AND($C182="Receiving",$I182&lt;=0), 0,SUMIFS(Table2[Stat],Table2[Week],Table1[[#This Row],[Week]],Table2[Athlete],Table1[[#This Row],[Pick]],Table2[Stat Category],"passing",Table2[Stat Type],"TD"))))</f>
        <v>0</v>
      </c>
      <c r="K182" s="6">
        <f>IF(AND($C182="Rushing", $H182&lt;=0), 0, IF(AND($C182="Passing", $G$3&lt;=0), 0,IF(AND($C182="Receiving",$I182&lt;=0),0,SUMIFS(Table2[Stat],Table2[Week],Table1[[#This Row],[Week]],Table2[Athlete],Table1[[#This Row],[Pick]],Table2[Stat Category],"rushing",Table2[Stat Type],"TD"))))</f>
        <v>0</v>
      </c>
      <c r="L182" s="6">
        <f>IF(AND($C182="Rushing", $H182&lt;=0), 0, IF(AND($C182="Passing", $G$3&lt;=0), 0,IF(AND($C182="Receiving",$I182&lt;=0),0,SUMIFS(Table2[Stat],Table2[Week],Table1[[#This Row],[Week]],Table2[Athlete],Table1[[#This Row],[Pick]],Table2[Stat Category],"receiving",Table2[Stat Type],"TD"))))</f>
        <v>0</v>
      </c>
      <c r="M1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2" s="61">
        <f>SUMIFS(Data!$J:$J,Data!$A:$A,Info!$B182,Data!$G:$G,Info!$C182,Data!$I:$I,Info!$D182,Data!$H:$H,"TOT")</f>
        <v>0</v>
      </c>
      <c r="O182" s="61">
        <f>IF(C182="Defensive",SUMIFS(Data!$J:$J,Data!$A:$A,Info!$B182,Data!$I:$I,Info!$D182,Data!$H:$H,"INT"),0)</f>
        <v>0</v>
      </c>
      <c r="P182" s="61">
        <f>IF(Table1[[#This Row],[Role]]="Defensive",SUMIFS(Data!$J:$J,Data!$A:$A,Info!$B182,Data!$I:$I,Info!$D182,Data!$H:$H,$P$1),0)</f>
        <v>0</v>
      </c>
      <c r="Q182" s="65" t="str">
        <f>IF(Table1[[#This Row],[Pick]]="","",IF(S182&gt;1,400,IF(G182="","",IF(C182="Passing",(400-Table1[[#This Row],[Passing Yards]]-(30*Table1[[#This Row],[Passing TDs]])-(50*SUM(Table1[[#This Row],[Rushing TDs]:[Other TD''s]]))),IF(C182="Rushing",2*(200-Table1[[#This Row],[Rushing Yards]]-(30*Table1[[#This Row],[Passing TDs]])-50*(Table1[[#This Row],[Rushing TDs]]+Table1[[#This Row],[Receiving TDs]]+Table1[[#This Row],[Other TD''s]])),IF(C182="Receiving",2*(200-Table1[[#This Row],[Receiving Yards]]-(30*Table1[[#This Row],[Passing TDs]])-50*(Table1[[#This Row],[Rushing TDs]]+Table1[[#This Row],[Receiving TDs]]+Table1[[#This Row],[Other TD''s]])),IF(C182="Defensive",(25*(16-Table1[[#This Row],[Tackles]]-(8*(Table1[[#This Row],[Other TD''s]]+Table1[[#This Row],[Interceptions]]+Table1[[#This Row],[Fumbles Recovered]])))))))))))</f>
        <v/>
      </c>
      <c r="R182" s="3" t="str">
        <f t="shared" si="6"/>
        <v/>
      </c>
      <c r="S182" s="4">
        <f t="shared" si="5"/>
        <v>1048507</v>
      </c>
      <c r="T1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3" spans="1:20" hidden="1" x14ac:dyDescent="0.25">
      <c r="A183" t="s">
        <v>2</v>
      </c>
      <c r="B183" s="28" t="s">
        <v>46</v>
      </c>
      <c r="C183" t="s">
        <v>16</v>
      </c>
      <c r="D183" t="str">
        <f>_xlfn.XLOOKUP(Table1[[#This Row],[Player]]&amp;Table1[[#This Row],[Week]]&amp;Table1[[#This Row],[Role]],'Google Form Transform'!$A:$A,'Google Form Transform'!E:E,"")</f>
        <v/>
      </c>
      <c r="E183" t="str">
        <f>_xlfn.XLOOKUP(Table1[[#This Row],[Player]]&amp;Table1[[#This Row],[Week]]&amp;Table1[[#This Row],[Role]],'Google Form Transform'!$A:$A,'Google Form Transform'!F:F,"")</f>
        <v/>
      </c>
      <c r="F183" t="str">
        <f>_xlfn.XLOOKUP(Table1[[#This Row],[Player]]&amp;Table1[[#This Row],[Week]]&amp;Table1[[#This Row],[Role]],'Google Form Transform'!$A:$A,'Google Form Transform'!G:G,"")</f>
        <v/>
      </c>
      <c r="G183" s="59">
        <f>SUMIFS(Table2[Stat],Table2[Stat Category],"passing",Table2[Stat Type],"YDS",Table2[Athlete],Table1[[#This Row],[Pick]],Table2[Week],Table1[[#This Row],[Week]])</f>
        <v>0</v>
      </c>
      <c r="H183" s="59">
        <f>SUMIFS(Table2[Stat],Table2[Stat Category],"rushing",Table2[Stat Type],"YDS",Table2[Athlete],Table1[[#This Row],[Pick]],Table2[Week],Table1[[#This Row],[Week]])</f>
        <v>0</v>
      </c>
      <c r="I183" s="59">
        <f>SUMIFS(Table2[Stat],Table2[Stat Category],"receiving",Table2[Stat Type],"YDS",Table2[Athlete],Table1[[#This Row],[Pick]],Table2[Week],Table1[[#This Row],[Week]])</f>
        <v>0</v>
      </c>
      <c r="J183" s="6">
        <f>IF(AND($C183="Rushing", $H183&lt;=0), 0, IF(AND($C183="Passing", $G$3&lt;=0), 0,IF(AND($C183="Receiving",$I183&lt;=0), 0,SUMIFS(Table2[Stat],Table2[Week],Table1[[#This Row],[Week]],Table2[Athlete],Table1[[#This Row],[Pick]],Table2[Stat Category],"passing",Table2[Stat Type],"TD"))))</f>
        <v>0</v>
      </c>
      <c r="K183" s="6">
        <f>IF(AND($C183="Rushing", $H183&lt;=0), 0, IF(AND($C183="Passing", $G$3&lt;=0), 0,IF(AND($C183="Receiving",$I183&lt;=0),0,SUMIFS(Table2[Stat],Table2[Week],Table1[[#This Row],[Week]],Table2[Athlete],Table1[[#This Row],[Pick]],Table2[Stat Category],"rushing",Table2[Stat Type],"TD"))))</f>
        <v>0</v>
      </c>
      <c r="L183" s="6">
        <f>IF(AND($C183="Rushing", $H183&lt;=0), 0, IF(AND($C183="Passing", $G$3&lt;=0), 0,IF(AND($C183="Receiving",$I183&lt;=0),0,SUMIFS(Table2[Stat],Table2[Week],Table1[[#This Row],[Week]],Table2[Athlete],Table1[[#This Row],[Pick]],Table2[Stat Category],"receiving",Table2[Stat Type],"TD"))))</f>
        <v>0</v>
      </c>
      <c r="M1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3" s="61">
        <f>SUMIFS(Data!$J:$J,Data!$A:$A,Info!$B183,Data!$G:$G,Info!$C183,Data!$I:$I,Info!$D183,Data!$H:$H,"TOT")</f>
        <v>0</v>
      </c>
      <c r="O183" s="61">
        <f>IF(C183="Defensive",SUMIFS(Data!$J:$J,Data!$A:$A,Info!$B183,Data!$I:$I,Info!$D183,Data!$H:$H,"INT"),0)</f>
        <v>0</v>
      </c>
      <c r="P183" s="61">
        <f>IF(Table1[[#This Row],[Role]]="Defensive",SUMIFS(Data!$J:$J,Data!$A:$A,Info!$B183,Data!$I:$I,Info!$D183,Data!$H:$H,$P$1),0)</f>
        <v>0</v>
      </c>
      <c r="Q183" s="65" t="str">
        <f>IF(Table1[[#This Row],[Pick]]="","",IF(S183&gt;1,400,IF(G183="","",IF(C183="Passing",(400-Table1[[#This Row],[Passing Yards]]-(30*Table1[[#This Row],[Passing TDs]])-(50*SUM(Table1[[#This Row],[Rushing TDs]:[Other TD''s]]))),IF(C183="Rushing",2*(200-Table1[[#This Row],[Rushing Yards]]-(30*Table1[[#This Row],[Passing TDs]])-50*(Table1[[#This Row],[Rushing TDs]]+Table1[[#This Row],[Receiving TDs]]+Table1[[#This Row],[Other TD''s]])),IF(C183="Receiving",2*(200-Table1[[#This Row],[Receiving Yards]]-(30*Table1[[#This Row],[Passing TDs]])-50*(Table1[[#This Row],[Rushing TDs]]+Table1[[#This Row],[Receiving TDs]]+Table1[[#This Row],[Other TD''s]])),IF(C183="Defensive",(25*(16-Table1[[#This Row],[Tackles]]-(8*(Table1[[#This Row],[Other TD''s]]+Table1[[#This Row],[Interceptions]]+Table1[[#This Row],[Fumbles Recovered]])))))))))))</f>
        <v/>
      </c>
      <c r="R183" s="3" t="str">
        <f t="shared" si="6"/>
        <v/>
      </c>
      <c r="S183" s="4">
        <f t="shared" si="5"/>
        <v>1048507</v>
      </c>
      <c r="T1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4" spans="1:20" hidden="1" x14ac:dyDescent="0.25">
      <c r="A184" t="s">
        <v>2</v>
      </c>
      <c r="B184" s="28" t="s">
        <v>46</v>
      </c>
      <c r="C184" t="s">
        <v>6</v>
      </c>
      <c r="D184" t="str">
        <f>_xlfn.XLOOKUP(Table1[[#This Row],[Player]]&amp;Table1[[#This Row],[Week]]&amp;Table1[[#This Row],[Role]],'Google Form Transform'!$A:$A,'Google Form Transform'!E:E,"")</f>
        <v/>
      </c>
      <c r="E184" t="str">
        <f>_xlfn.XLOOKUP(Table1[[#This Row],[Player]]&amp;Table1[[#This Row],[Week]]&amp;Table1[[#This Row],[Role]],'Google Form Transform'!$A:$A,'Google Form Transform'!F:F,"")</f>
        <v/>
      </c>
      <c r="F184" t="str">
        <f>_xlfn.XLOOKUP(Table1[[#This Row],[Player]]&amp;Table1[[#This Row],[Week]]&amp;Table1[[#This Row],[Role]],'Google Form Transform'!$A:$A,'Google Form Transform'!G:G,"")</f>
        <v/>
      </c>
      <c r="G184" s="59">
        <f>SUMIFS(Table2[Stat],Table2[Stat Category],"passing",Table2[Stat Type],"YDS",Table2[Athlete],Table1[[#This Row],[Pick]],Table2[Week],Table1[[#This Row],[Week]])</f>
        <v>0</v>
      </c>
      <c r="H184" s="59">
        <f>SUMIFS(Table2[Stat],Table2[Stat Category],"rushing",Table2[Stat Type],"YDS",Table2[Athlete],Table1[[#This Row],[Pick]],Table2[Week],Table1[[#This Row],[Week]])</f>
        <v>0</v>
      </c>
      <c r="I184" s="59">
        <f>SUMIFS(Table2[Stat],Table2[Stat Category],"receiving",Table2[Stat Type],"YDS",Table2[Athlete],Table1[[#This Row],[Pick]],Table2[Week],Table1[[#This Row],[Week]])</f>
        <v>0</v>
      </c>
      <c r="J184" s="6">
        <f>IF(AND($C184="Rushing", $H184&lt;=0), 0, IF(AND($C184="Passing", $G$3&lt;=0), 0,IF(AND($C184="Receiving",$I184&lt;=0), 0,SUMIFS(Table2[Stat],Table2[Week],Table1[[#This Row],[Week]],Table2[Athlete],Table1[[#This Row],[Pick]],Table2[Stat Category],"passing",Table2[Stat Type],"TD"))))</f>
        <v>0</v>
      </c>
      <c r="K184" s="6">
        <f>IF(AND($C184="Rushing", $H184&lt;=0), 0, IF(AND($C184="Passing", $G$3&lt;=0), 0,IF(AND($C184="Receiving",$I184&lt;=0),0,SUMIFS(Table2[Stat],Table2[Week],Table1[[#This Row],[Week]],Table2[Athlete],Table1[[#This Row],[Pick]],Table2[Stat Category],"rushing",Table2[Stat Type],"TD"))))</f>
        <v>0</v>
      </c>
      <c r="L184" s="6">
        <f>IF(AND($C184="Rushing", $H184&lt;=0), 0, IF(AND($C184="Passing", $G$3&lt;=0), 0,IF(AND($C184="Receiving",$I184&lt;=0),0,SUMIFS(Table2[Stat],Table2[Week],Table1[[#This Row],[Week]],Table2[Athlete],Table1[[#This Row],[Pick]],Table2[Stat Category],"receiving",Table2[Stat Type],"TD"))))</f>
        <v>0</v>
      </c>
      <c r="M1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4" s="61">
        <f>SUMIFS(Data!$J:$J,Data!$A:$A,Info!$B184,Data!$G:$G,Info!$C184,Data!$I:$I,Info!$D184,Data!$H:$H,"TOT")</f>
        <v>0</v>
      </c>
      <c r="O184" s="61">
        <f>IF(C184="Defensive",SUMIFS(Data!$J:$J,Data!$A:$A,Info!$B184,Data!$I:$I,Info!$D184,Data!$H:$H,"INT"),0)</f>
        <v>0</v>
      </c>
      <c r="P184" s="61">
        <f>IF(Table1[[#This Row],[Role]]="Defensive",SUMIFS(Data!$J:$J,Data!$A:$A,Info!$B184,Data!$I:$I,Info!$D184,Data!$H:$H,$P$1),0)</f>
        <v>0</v>
      </c>
      <c r="Q184" s="65" t="str">
        <f>IF(Table1[[#This Row],[Pick]]="","",IF(S184&gt;1,400,IF(G184="","",IF(C184="Passing",(400-Table1[[#This Row],[Passing Yards]]-(30*Table1[[#This Row],[Passing TDs]])-(50*SUM(Table1[[#This Row],[Rushing TDs]:[Other TD''s]]))),IF(C184="Rushing",2*(200-Table1[[#This Row],[Rushing Yards]]-(30*Table1[[#This Row],[Passing TDs]])-50*(Table1[[#This Row],[Rushing TDs]]+Table1[[#This Row],[Receiving TDs]]+Table1[[#This Row],[Other TD''s]])),IF(C184="Receiving",2*(200-Table1[[#This Row],[Receiving Yards]]-(30*Table1[[#This Row],[Passing TDs]])-50*(Table1[[#This Row],[Rushing TDs]]+Table1[[#This Row],[Receiving TDs]]+Table1[[#This Row],[Other TD''s]])),IF(C184="Defensive",(25*(16-Table1[[#This Row],[Tackles]]-(8*(Table1[[#This Row],[Other TD''s]]+Table1[[#This Row],[Interceptions]]+Table1[[#This Row],[Fumbles Recovered]])))))))))))</f>
        <v/>
      </c>
      <c r="R184" s="3" t="str">
        <f t="shared" si="6"/>
        <v/>
      </c>
      <c r="S184" s="4">
        <f t="shared" si="5"/>
        <v>1048507</v>
      </c>
      <c r="T1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5" spans="1:20" hidden="1" x14ac:dyDescent="0.25">
      <c r="A185" t="s">
        <v>2</v>
      </c>
      <c r="B185" s="28" t="s">
        <v>46</v>
      </c>
      <c r="C185" t="s">
        <v>17</v>
      </c>
      <c r="D185" t="str">
        <f>_xlfn.XLOOKUP(Table1[[#This Row],[Player]]&amp;Table1[[#This Row],[Week]]&amp;Table1[[#This Row],[Role]],'Google Form Transform'!$A:$A,'Google Form Transform'!E:E,"")</f>
        <v/>
      </c>
      <c r="E185" t="str">
        <f>_xlfn.XLOOKUP(Table1[[#This Row],[Player]]&amp;Table1[[#This Row],[Week]]&amp;Table1[[#This Row],[Role]],'Google Form Transform'!$A:$A,'Google Form Transform'!F:F,"")</f>
        <v/>
      </c>
      <c r="F185" t="str">
        <f>_xlfn.XLOOKUP(Table1[[#This Row],[Player]]&amp;Table1[[#This Row],[Week]]&amp;Table1[[#This Row],[Role]],'Google Form Transform'!$A:$A,'Google Form Transform'!G:G,"")</f>
        <v/>
      </c>
      <c r="G185" s="59">
        <f>SUMIFS(Table2[Stat],Table2[Stat Category],"passing",Table2[Stat Type],"YDS",Table2[Athlete],Table1[[#This Row],[Pick]],Table2[Week],Table1[[#This Row],[Week]])</f>
        <v>0</v>
      </c>
      <c r="H185" s="59">
        <f>SUMIFS(Table2[Stat],Table2[Stat Category],"rushing",Table2[Stat Type],"YDS",Table2[Athlete],Table1[[#This Row],[Pick]],Table2[Week],Table1[[#This Row],[Week]])</f>
        <v>0</v>
      </c>
      <c r="I185" s="59">
        <f>SUMIFS(Table2[Stat],Table2[Stat Category],"receiving",Table2[Stat Type],"YDS",Table2[Athlete],Table1[[#This Row],[Pick]],Table2[Week],Table1[[#This Row],[Week]])</f>
        <v>0</v>
      </c>
      <c r="J185" s="6">
        <f>IF(AND($C185="Rushing", $H185&lt;=0), 0, IF(AND($C185="Passing", $G$3&lt;=0), 0,IF(AND($C185="Receiving",$I185&lt;=0), 0,SUMIFS(Table2[Stat],Table2[Week],Table1[[#This Row],[Week]],Table2[Athlete],Table1[[#This Row],[Pick]],Table2[Stat Category],"passing",Table2[Stat Type],"TD"))))</f>
        <v>0</v>
      </c>
      <c r="K185" s="6">
        <f>IF(AND($C185="Rushing", $H185&lt;=0), 0, IF(AND($C185="Passing", $G$3&lt;=0), 0,IF(AND($C185="Receiving",$I185&lt;=0),0,SUMIFS(Table2[Stat],Table2[Week],Table1[[#This Row],[Week]],Table2[Athlete],Table1[[#This Row],[Pick]],Table2[Stat Category],"rushing",Table2[Stat Type],"TD"))))</f>
        <v>0</v>
      </c>
      <c r="L185" s="6">
        <f>IF(AND($C185="Rushing", $H185&lt;=0), 0, IF(AND($C185="Passing", $G$3&lt;=0), 0,IF(AND($C185="Receiving",$I185&lt;=0),0,SUMIFS(Table2[Stat],Table2[Week],Table1[[#This Row],[Week]],Table2[Athlete],Table1[[#This Row],[Pick]],Table2[Stat Category],"receiving",Table2[Stat Type],"TD"))))</f>
        <v>0</v>
      </c>
      <c r="M1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5" s="61">
        <f>SUMIFS(Data!$J:$J,Data!$A:$A,Info!$B185,Data!$G:$G,Info!$C185,Data!$I:$I,Info!$D185,Data!$H:$H,"TOT")</f>
        <v>0</v>
      </c>
      <c r="O185" s="61">
        <f>IF(C185="Defensive",SUMIFS(Data!$J:$J,Data!$A:$A,Info!$B185,Data!$I:$I,Info!$D185,Data!$H:$H,"INT"),0)</f>
        <v>0</v>
      </c>
      <c r="P185" s="61">
        <f>IF(Table1[[#This Row],[Role]]="Defensive",SUMIFS(Data!$J:$J,Data!$A:$A,Info!$B185,Data!$I:$I,Info!$D185,Data!$H:$H,$P$1),0)</f>
        <v>0</v>
      </c>
      <c r="Q185" s="65" t="str">
        <f>IF(Table1[[#This Row],[Pick]]="","",IF(S185&gt;1,400,IF(G185="","",IF(C185="Passing",(400-Table1[[#This Row],[Passing Yards]]-(30*Table1[[#This Row],[Passing TDs]])-(50*SUM(Table1[[#This Row],[Rushing TDs]:[Other TD''s]]))),IF(C185="Rushing",2*(200-Table1[[#This Row],[Rushing Yards]]-(30*Table1[[#This Row],[Passing TDs]])-50*(Table1[[#This Row],[Rushing TDs]]+Table1[[#This Row],[Receiving TDs]]+Table1[[#This Row],[Other TD''s]])),IF(C185="Receiving",2*(200-Table1[[#This Row],[Receiving Yards]]-(30*Table1[[#This Row],[Passing TDs]])-50*(Table1[[#This Row],[Rushing TDs]]+Table1[[#This Row],[Receiving TDs]]+Table1[[#This Row],[Other TD''s]])),IF(C185="Defensive",(25*(16-Table1[[#This Row],[Tackles]]-(8*(Table1[[#This Row],[Other TD''s]]+Table1[[#This Row],[Interceptions]]+Table1[[#This Row],[Fumbles Recovered]])))))))))))</f>
        <v/>
      </c>
      <c r="R185" s="3" t="str">
        <f t="shared" si="6"/>
        <v/>
      </c>
      <c r="S185" s="4">
        <f t="shared" si="5"/>
        <v>1048507</v>
      </c>
      <c r="T1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6" spans="1:20" hidden="1" x14ac:dyDescent="0.25">
      <c r="A186" t="s">
        <v>2</v>
      </c>
      <c r="B186" s="28" t="s">
        <v>46</v>
      </c>
      <c r="C186" t="s">
        <v>20</v>
      </c>
      <c r="D186" t="str">
        <f>_xlfn.XLOOKUP(Table1[[#This Row],[Player]]&amp;Table1[[#This Row],[Week]]&amp;Table1[[#This Row],[Role]],'Google Form Transform'!$A:$A,'Google Form Transform'!E:E,"")</f>
        <v/>
      </c>
      <c r="E186" t="str">
        <f>_xlfn.XLOOKUP(Table1[[#This Row],[Player]]&amp;Table1[[#This Row],[Week]]&amp;Table1[[#This Row],[Role]],'Google Form Transform'!$A:$A,'Google Form Transform'!F:F,"")</f>
        <v/>
      </c>
      <c r="F186" t="str">
        <f>_xlfn.XLOOKUP(Table1[[#This Row],[Player]]&amp;Table1[[#This Row],[Week]]&amp;Table1[[#This Row],[Role]],'Google Form Transform'!$A:$A,'Google Form Transform'!G:G,"")</f>
        <v/>
      </c>
      <c r="G186" s="59">
        <f>SUMIFS(Table2[Stat],Table2[Stat Category],"passing",Table2[Stat Type],"YDS",Table2[Athlete],Table1[[#This Row],[Pick]],Table2[Week],Table1[[#This Row],[Week]])</f>
        <v>0</v>
      </c>
      <c r="H186" s="59">
        <f>SUMIFS(Table2[Stat],Table2[Stat Category],"rushing",Table2[Stat Type],"YDS",Table2[Athlete],Table1[[#This Row],[Pick]],Table2[Week],Table1[[#This Row],[Week]])</f>
        <v>0</v>
      </c>
      <c r="I186" s="59">
        <f>SUMIFS(Table2[Stat],Table2[Stat Category],"receiving",Table2[Stat Type],"YDS",Table2[Athlete],Table1[[#This Row],[Pick]],Table2[Week],Table1[[#This Row],[Week]])</f>
        <v>0</v>
      </c>
      <c r="J186" s="6">
        <f>IF(AND($C186="Rushing", $H186&lt;=0), 0, IF(AND($C186="Passing", $G$3&lt;=0), 0,IF(AND($C186="Receiving",$I186&lt;=0), 0,SUMIFS(Table2[Stat],Table2[Week],Table1[[#This Row],[Week]],Table2[Athlete],Table1[[#This Row],[Pick]],Table2[Stat Category],"passing",Table2[Stat Type],"TD"))))</f>
        <v>0</v>
      </c>
      <c r="K186" s="6">
        <f>IF(AND($C186="Rushing", $H186&lt;=0), 0, IF(AND($C186="Passing", $G$3&lt;=0), 0,IF(AND($C186="Receiving",$I186&lt;=0),0,SUMIFS(Table2[Stat],Table2[Week],Table1[[#This Row],[Week]],Table2[Athlete],Table1[[#This Row],[Pick]],Table2[Stat Category],"rushing",Table2[Stat Type],"TD"))))</f>
        <v>0</v>
      </c>
      <c r="L186" s="6">
        <f>IF(AND($C186="Rushing", $H186&lt;=0), 0, IF(AND($C186="Passing", $G$3&lt;=0), 0,IF(AND($C186="Receiving",$I186&lt;=0),0,SUMIFS(Table2[Stat],Table2[Week],Table1[[#This Row],[Week]],Table2[Athlete],Table1[[#This Row],[Pick]],Table2[Stat Category],"receiving",Table2[Stat Type],"TD"))))</f>
        <v>0</v>
      </c>
      <c r="M1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6" s="61">
        <f>SUMIFS(Data!$J:$J,Data!$A:$A,Info!$B186,Data!$G:$G,Info!$C186,Data!$I:$I,Info!$D186,Data!$H:$H,"TOT")</f>
        <v>0</v>
      </c>
      <c r="O186" s="61">
        <f>IF(C186="Defensive",SUMIFS(Data!$J:$J,Data!$A:$A,Info!$B186,Data!$I:$I,Info!$D186,Data!$H:$H,"INT"),0)</f>
        <v>0</v>
      </c>
      <c r="P186" s="61">
        <f>IF(Table1[[#This Row],[Role]]="Defensive",SUMIFS(Data!$J:$J,Data!$A:$A,Info!$B186,Data!$I:$I,Info!$D186,Data!$H:$H,$P$1),0)</f>
        <v>0</v>
      </c>
      <c r="Q186" s="65" t="str">
        <f>IF(Table1[[#This Row],[Pick]]="","",IF(S186&gt;1,400,IF(G186="","",IF(C186="Passing",(400-Table1[[#This Row],[Passing Yards]]-(30*Table1[[#This Row],[Passing TDs]])-(50*SUM(Table1[[#This Row],[Rushing TDs]:[Other TD''s]]))),IF(C186="Rushing",2*(200-Table1[[#This Row],[Rushing Yards]]-(30*Table1[[#This Row],[Passing TDs]])-50*(Table1[[#This Row],[Rushing TDs]]+Table1[[#This Row],[Receiving TDs]]+Table1[[#This Row],[Other TD''s]])),IF(C186="Receiving",2*(200-Table1[[#This Row],[Receiving Yards]]-(30*Table1[[#This Row],[Passing TDs]])-50*(Table1[[#This Row],[Rushing TDs]]+Table1[[#This Row],[Receiving TDs]]+Table1[[#This Row],[Other TD''s]])),IF(C186="Defensive",(25*(16-Table1[[#This Row],[Tackles]]-(8*(Table1[[#This Row],[Other TD''s]]+Table1[[#This Row],[Interceptions]]+Table1[[#This Row],[Fumbles Recovered]])))))))))))</f>
        <v/>
      </c>
      <c r="R186" s="3" t="str">
        <f t="shared" si="6"/>
        <v/>
      </c>
      <c r="S186" s="4">
        <f t="shared" si="5"/>
        <v>1048507</v>
      </c>
      <c r="T1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7" spans="1:20" hidden="1" x14ac:dyDescent="0.25">
      <c r="A187" t="s">
        <v>4</v>
      </c>
      <c r="B187" s="28" t="s">
        <v>46</v>
      </c>
      <c r="C187" t="s">
        <v>16</v>
      </c>
      <c r="D187" t="str">
        <f>_xlfn.XLOOKUP(Table1[[#This Row],[Player]]&amp;Table1[[#This Row],[Week]]&amp;Table1[[#This Row],[Role]],'Google Form Transform'!$A:$A,'Google Form Transform'!E:E,"")</f>
        <v/>
      </c>
      <c r="E187" t="str">
        <f>_xlfn.XLOOKUP(Table1[[#This Row],[Player]]&amp;Table1[[#This Row],[Week]]&amp;Table1[[#This Row],[Role]],'Google Form Transform'!$A:$A,'Google Form Transform'!F:F,"")</f>
        <v/>
      </c>
      <c r="F187" t="str">
        <f>_xlfn.XLOOKUP(Table1[[#This Row],[Player]]&amp;Table1[[#This Row],[Week]]&amp;Table1[[#This Row],[Role]],'Google Form Transform'!$A:$A,'Google Form Transform'!G:G,"")</f>
        <v/>
      </c>
      <c r="G187" s="59">
        <f>SUMIFS(Table2[Stat],Table2[Stat Category],"passing",Table2[Stat Type],"YDS",Table2[Athlete],Table1[[#This Row],[Pick]],Table2[Week],Table1[[#This Row],[Week]])</f>
        <v>0</v>
      </c>
      <c r="H187" s="59">
        <f>SUMIFS(Table2[Stat],Table2[Stat Category],"rushing",Table2[Stat Type],"YDS",Table2[Athlete],Table1[[#This Row],[Pick]],Table2[Week],Table1[[#This Row],[Week]])</f>
        <v>0</v>
      </c>
      <c r="I187" s="59">
        <f>SUMIFS(Table2[Stat],Table2[Stat Category],"receiving",Table2[Stat Type],"YDS",Table2[Athlete],Table1[[#This Row],[Pick]],Table2[Week],Table1[[#This Row],[Week]])</f>
        <v>0</v>
      </c>
      <c r="J187" s="6">
        <f>IF(AND($C187="Rushing", $H187&lt;=0), 0, IF(AND($C187="Passing", $G$3&lt;=0), 0,IF(AND($C187="Receiving",$I187&lt;=0), 0,SUMIFS(Table2[Stat],Table2[Week],Table1[[#This Row],[Week]],Table2[Athlete],Table1[[#This Row],[Pick]],Table2[Stat Category],"passing",Table2[Stat Type],"TD"))))</f>
        <v>0</v>
      </c>
      <c r="K187" s="6">
        <f>IF(AND($C187="Rushing", $H187&lt;=0), 0, IF(AND($C187="Passing", $G$3&lt;=0), 0,IF(AND($C187="Receiving",$I187&lt;=0),0,SUMIFS(Table2[Stat],Table2[Week],Table1[[#This Row],[Week]],Table2[Athlete],Table1[[#This Row],[Pick]],Table2[Stat Category],"rushing",Table2[Stat Type],"TD"))))</f>
        <v>0</v>
      </c>
      <c r="L187" s="6">
        <f>IF(AND($C187="Rushing", $H187&lt;=0), 0, IF(AND($C187="Passing", $G$3&lt;=0), 0,IF(AND($C187="Receiving",$I187&lt;=0),0,SUMIFS(Table2[Stat],Table2[Week],Table1[[#This Row],[Week]],Table2[Athlete],Table1[[#This Row],[Pick]],Table2[Stat Category],"receiving",Table2[Stat Type],"TD"))))</f>
        <v>0</v>
      </c>
      <c r="M1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7" s="61">
        <f>SUMIFS(Data!$J:$J,Data!$A:$A,Info!$B187,Data!$G:$G,Info!$C187,Data!$I:$I,Info!$D187,Data!$H:$H,"TOT")</f>
        <v>0</v>
      </c>
      <c r="O187" s="61">
        <f>IF(C187="Defensive",SUMIFS(Data!$J:$J,Data!$A:$A,Info!$B187,Data!$I:$I,Info!$D187,Data!$H:$H,"INT"),0)</f>
        <v>0</v>
      </c>
      <c r="P187" s="61">
        <f>IF(Table1[[#This Row],[Role]]="Defensive",SUMIFS(Data!$J:$J,Data!$A:$A,Info!$B187,Data!$I:$I,Info!$D187,Data!$H:$H,$P$1),0)</f>
        <v>0</v>
      </c>
      <c r="Q187" s="65" t="str">
        <f>IF(Table1[[#This Row],[Pick]]="","",IF(S187&gt;1,400,IF(G187="","",IF(C187="Passing",(400-Table1[[#This Row],[Passing Yards]]-(30*Table1[[#This Row],[Passing TDs]])-(50*SUM(Table1[[#This Row],[Rushing TDs]:[Other TD''s]]))),IF(C187="Rushing",2*(200-Table1[[#This Row],[Rushing Yards]]-(30*Table1[[#This Row],[Passing TDs]])-50*(Table1[[#This Row],[Rushing TDs]]+Table1[[#This Row],[Receiving TDs]]+Table1[[#This Row],[Other TD''s]])),IF(C187="Receiving",2*(200-Table1[[#This Row],[Receiving Yards]]-(30*Table1[[#This Row],[Passing TDs]])-50*(Table1[[#This Row],[Rushing TDs]]+Table1[[#This Row],[Receiving TDs]]+Table1[[#This Row],[Other TD''s]])),IF(C187="Defensive",(25*(16-Table1[[#This Row],[Tackles]]-(8*(Table1[[#This Row],[Other TD''s]]+Table1[[#This Row],[Interceptions]]+Table1[[#This Row],[Fumbles Recovered]])))))))))))</f>
        <v/>
      </c>
      <c r="R187" s="3" t="str">
        <f t="shared" si="6"/>
        <v/>
      </c>
      <c r="S187" s="4">
        <f t="shared" si="5"/>
        <v>1048507</v>
      </c>
      <c r="T1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8" spans="1:20" hidden="1" x14ac:dyDescent="0.25">
      <c r="A188" t="s">
        <v>4</v>
      </c>
      <c r="B188" s="28" t="s">
        <v>46</v>
      </c>
      <c r="C188" t="s">
        <v>6</v>
      </c>
      <c r="D188" t="str">
        <f>_xlfn.XLOOKUP(Table1[[#This Row],[Player]]&amp;Table1[[#This Row],[Week]]&amp;Table1[[#This Row],[Role]],'Google Form Transform'!$A:$A,'Google Form Transform'!E:E,"")</f>
        <v/>
      </c>
      <c r="E188" t="str">
        <f>_xlfn.XLOOKUP(Table1[[#This Row],[Player]]&amp;Table1[[#This Row],[Week]]&amp;Table1[[#This Row],[Role]],'Google Form Transform'!$A:$A,'Google Form Transform'!F:F,"")</f>
        <v/>
      </c>
      <c r="F188" t="str">
        <f>_xlfn.XLOOKUP(Table1[[#This Row],[Player]]&amp;Table1[[#This Row],[Week]]&amp;Table1[[#This Row],[Role]],'Google Form Transform'!$A:$A,'Google Form Transform'!G:G,"")</f>
        <v/>
      </c>
      <c r="G188" s="59">
        <f>SUMIFS(Table2[Stat],Table2[Stat Category],"passing",Table2[Stat Type],"YDS",Table2[Athlete],Table1[[#This Row],[Pick]],Table2[Week],Table1[[#This Row],[Week]])</f>
        <v>0</v>
      </c>
      <c r="H188" s="59">
        <f>SUMIFS(Table2[Stat],Table2[Stat Category],"rushing",Table2[Stat Type],"YDS",Table2[Athlete],Table1[[#This Row],[Pick]],Table2[Week],Table1[[#This Row],[Week]])</f>
        <v>0</v>
      </c>
      <c r="I188" s="59">
        <f>SUMIFS(Table2[Stat],Table2[Stat Category],"receiving",Table2[Stat Type],"YDS",Table2[Athlete],Table1[[#This Row],[Pick]],Table2[Week],Table1[[#This Row],[Week]])</f>
        <v>0</v>
      </c>
      <c r="J188" s="6">
        <f>IF(AND($C188="Rushing", $H188&lt;=0), 0, IF(AND($C188="Passing", $G$3&lt;=0), 0,IF(AND($C188="Receiving",$I188&lt;=0), 0,SUMIFS(Table2[Stat],Table2[Week],Table1[[#This Row],[Week]],Table2[Athlete],Table1[[#This Row],[Pick]],Table2[Stat Category],"passing",Table2[Stat Type],"TD"))))</f>
        <v>0</v>
      </c>
      <c r="K188" s="6">
        <f>IF(AND($C188="Rushing", $H188&lt;=0), 0, IF(AND($C188="Passing", $G$3&lt;=0), 0,IF(AND($C188="Receiving",$I188&lt;=0),0,SUMIFS(Table2[Stat],Table2[Week],Table1[[#This Row],[Week]],Table2[Athlete],Table1[[#This Row],[Pick]],Table2[Stat Category],"rushing",Table2[Stat Type],"TD"))))</f>
        <v>0</v>
      </c>
      <c r="L188" s="6">
        <f>IF(AND($C188="Rushing", $H188&lt;=0), 0, IF(AND($C188="Passing", $G$3&lt;=0), 0,IF(AND($C188="Receiving",$I188&lt;=0),0,SUMIFS(Table2[Stat],Table2[Week],Table1[[#This Row],[Week]],Table2[Athlete],Table1[[#This Row],[Pick]],Table2[Stat Category],"receiving",Table2[Stat Type],"TD"))))</f>
        <v>0</v>
      </c>
      <c r="M1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8" s="61">
        <f>SUMIFS(Data!$J:$J,Data!$A:$A,Info!$B188,Data!$G:$G,Info!$C188,Data!$I:$I,Info!$D188,Data!$H:$H,"TOT")</f>
        <v>0</v>
      </c>
      <c r="O188" s="61">
        <f>IF(C188="Defensive",SUMIFS(Data!$J:$J,Data!$A:$A,Info!$B188,Data!$I:$I,Info!$D188,Data!$H:$H,"INT"),0)</f>
        <v>0</v>
      </c>
      <c r="P188" s="61">
        <f>IF(Table1[[#This Row],[Role]]="Defensive",SUMIFS(Data!$J:$J,Data!$A:$A,Info!$B188,Data!$I:$I,Info!$D188,Data!$H:$H,$P$1),0)</f>
        <v>0</v>
      </c>
      <c r="Q188" s="65" t="str">
        <f>IF(Table1[[#This Row],[Pick]]="","",IF(S188&gt;1,400,IF(G188="","",IF(C188="Passing",(400-Table1[[#This Row],[Passing Yards]]-(30*Table1[[#This Row],[Passing TDs]])-(50*SUM(Table1[[#This Row],[Rushing TDs]:[Other TD''s]]))),IF(C188="Rushing",2*(200-Table1[[#This Row],[Rushing Yards]]-(30*Table1[[#This Row],[Passing TDs]])-50*(Table1[[#This Row],[Rushing TDs]]+Table1[[#This Row],[Receiving TDs]]+Table1[[#This Row],[Other TD''s]])),IF(C188="Receiving",2*(200-Table1[[#This Row],[Receiving Yards]]-(30*Table1[[#This Row],[Passing TDs]])-50*(Table1[[#This Row],[Rushing TDs]]+Table1[[#This Row],[Receiving TDs]]+Table1[[#This Row],[Other TD''s]])),IF(C188="Defensive",(25*(16-Table1[[#This Row],[Tackles]]-(8*(Table1[[#This Row],[Other TD''s]]+Table1[[#This Row],[Interceptions]]+Table1[[#This Row],[Fumbles Recovered]])))))))))))</f>
        <v/>
      </c>
      <c r="R188" s="3" t="str">
        <f t="shared" si="6"/>
        <v/>
      </c>
      <c r="S188" s="4">
        <f t="shared" si="5"/>
        <v>1048507</v>
      </c>
      <c r="T1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9" spans="1:20" hidden="1" x14ac:dyDescent="0.25">
      <c r="A189" t="s">
        <v>4</v>
      </c>
      <c r="B189" s="28" t="s">
        <v>46</v>
      </c>
      <c r="C189" t="s">
        <v>17</v>
      </c>
      <c r="D189" t="str">
        <f>_xlfn.XLOOKUP(Table1[[#This Row],[Player]]&amp;Table1[[#This Row],[Week]]&amp;Table1[[#This Row],[Role]],'Google Form Transform'!$A:$A,'Google Form Transform'!E:E,"")</f>
        <v/>
      </c>
      <c r="E189" t="str">
        <f>_xlfn.XLOOKUP(Table1[[#This Row],[Player]]&amp;Table1[[#This Row],[Week]]&amp;Table1[[#This Row],[Role]],'Google Form Transform'!$A:$A,'Google Form Transform'!F:F,"")</f>
        <v/>
      </c>
      <c r="F189" t="str">
        <f>_xlfn.XLOOKUP(Table1[[#This Row],[Player]]&amp;Table1[[#This Row],[Week]]&amp;Table1[[#This Row],[Role]],'Google Form Transform'!$A:$A,'Google Form Transform'!G:G,"")</f>
        <v/>
      </c>
      <c r="G189" s="59">
        <f>SUMIFS(Table2[Stat],Table2[Stat Category],"passing",Table2[Stat Type],"YDS",Table2[Athlete],Table1[[#This Row],[Pick]],Table2[Week],Table1[[#This Row],[Week]])</f>
        <v>0</v>
      </c>
      <c r="H189" s="59">
        <f>SUMIFS(Table2[Stat],Table2[Stat Category],"rushing",Table2[Stat Type],"YDS",Table2[Athlete],Table1[[#This Row],[Pick]],Table2[Week],Table1[[#This Row],[Week]])</f>
        <v>0</v>
      </c>
      <c r="I189" s="59">
        <f>SUMIFS(Table2[Stat],Table2[Stat Category],"receiving",Table2[Stat Type],"YDS",Table2[Athlete],Table1[[#This Row],[Pick]],Table2[Week],Table1[[#This Row],[Week]])</f>
        <v>0</v>
      </c>
      <c r="J189" s="6">
        <f>IF(AND($C189="Rushing", $H189&lt;=0), 0, IF(AND($C189="Passing", $G$3&lt;=0), 0,IF(AND($C189="Receiving",$I189&lt;=0), 0,SUMIFS(Table2[Stat],Table2[Week],Table1[[#This Row],[Week]],Table2[Athlete],Table1[[#This Row],[Pick]],Table2[Stat Category],"passing",Table2[Stat Type],"TD"))))</f>
        <v>0</v>
      </c>
      <c r="K189" s="6">
        <f>IF(AND($C189="Rushing", $H189&lt;=0), 0, IF(AND($C189="Passing", $G$3&lt;=0), 0,IF(AND($C189="Receiving",$I189&lt;=0),0,SUMIFS(Table2[Stat],Table2[Week],Table1[[#This Row],[Week]],Table2[Athlete],Table1[[#This Row],[Pick]],Table2[Stat Category],"rushing",Table2[Stat Type],"TD"))))</f>
        <v>0</v>
      </c>
      <c r="L189" s="6">
        <f>IF(AND($C189="Rushing", $H189&lt;=0), 0, IF(AND($C189="Passing", $G$3&lt;=0), 0,IF(AND($C189="Receiving",$I189&lt;=0),0,SUMIFS(Table2[Stat],Table2[Week],Table1[[#This Row],[Week]],Table2[Athlete],Table1[[#This Row],[Pick]],Table2[Stat Category],"receiving",Table2[Stat Type],"TD"))))</f>
        <v>0</v>
      </c>
      <c r="M1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9" s="61">
        <f>SUMIFS(Data!$J:$J,Data!$A:$A,Info!$B189,Data!$G:$G,Info!$C189,Data!$I:$I,Info!$D189,Data!$H:$H,"TOT")</f>
        <v>0</v>
      </c>
      <c r="O189" s="61">
        <f>IF(C189="Defensive",SUMIFS(Data!$J:$J,Data!$A:$A,Info!$B189,Data!$I:$I,Info!$D189,Data!$H:$H,"INT"),0)</f>
        <v>0</v>
      </c>
      <c r="P189" s="61">
        <f>IF(Table1[[#This Row],[Role]]="Defensive",SUMIFS(Data!$J:$J,Data!$A:$A,Info!$B189,Data!$I:$I,Info!$D189,Data!$H:$H,$P$1),0)</f>
        <v>0</v>
      </c>
      <c r="Q189" s="65" t="str">
        <f>IF(Table1[[#This Row],[Pick]]="","",IF(S189&gt;1,400,IF(G189="","",IF(C189="Passing",(400-Table1[[#This Row],[Passing Yards]]-(30*Table1[[#This Row],[Passing TDs]])-(50*SUM(Table1[[#This Row],[Rushing TDs]:[Other TD''s]]))),IF(C189="Rushing",2*(200-Table1[[#This Row],[Rushing Yards]]-(30*Table1[[#This Row],[Passing TDs]])-50*(Table1[[#This Row],[Rushing TDs]]+Table1[[#This Row],[Receiving TDs]]+Table1[[#This Row],[Other TD''s]])),IF(C189="Receiving",2*(200-Table1[[#This Row],[Receiving Yards]]-(30*Table1[[#This Row],[Passing TDs]])-50*(Table1[[#This Row],[Rushing TDs]]+Table1[[#This Row],[Receiving TDs]]+Table1[[#This Row],[Other TD''s]])),IF(C189="Defensive",(25*(16-Table1[[#This Row],[Tackles]]-(8*(Table1[[#This Row],[Other TD''s]]+Table1[[#This Row],[Interceptions]]+Table1[[#This Row],[Fumbles Recovered]])))))))))))</f>
        <v/>
      </c>
      <c r="R189" s="3" t="str">
        <f t="shared" si="6"/>
        <v/>
      </c>
      <c r="S189" s="4">
        <f t="shared" si="5"/>
        <v>1048507</v>
      </c>
      <c r="T1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0" spans="1:20" hidden="1" x14ac:dyDescent="0.25">
      <c r="A190" t="s">
        <v>4</v>
      </c>
      <c r="B190" s="28" t="s">
        <v>46</v>
      </c>
      <c r="C190" t="s">
        <v>20</v>
      </c>
      <c r="D190" t="str">
        <f>_xlfn.XLOOKUP(Table1[[#This Row],[Player]]&amp;Table1[[#This Row],[Week]]&amp;Table1[[#This Row],[Role]],'Google Form Transform'!$A:$A,'Google Form Transform'!E:E,"")</f>
        <v/>
      </c>
      <c r="E190" t="str">
        <f>_xlfn.XLOOKUP(Table1[[#This Row],[Player]]&amp;Table1[[#This Row],[Week]]&amp;Table1[[#This Row],[Role]],'Google Form Transform'!$A:$A,'Google Form Transform'!F:F,"")</f>
        <v/>
      </c>
      <c r="F190" t="str">
        <f>_xlfn.XLOOKUP(Table1[[#This Row],[Player]]&amp;Table1[[#This Row],[Week]]&amp;Table1[[#This Row],[Role]],'Google Form Transform'!$A:$A,'Google Form Transform'!G:G,"")</f>
        <v/>
      </c>
      <c r="G190" s="59">
        <f>SUMIFS(Table2[Stat],Table2[Stat Category],"passing",Table2[Stat Type],"YDS",Table2[Athlete],Table1[[#This Row],[Pick]],Table2[Week],Table1[[#This Row],[Week]])</f>
        <v>0</v>
      </c>
      <c r="H190" s="59">
        <f>SUMIFS(Table2[Stat],Table2[Stat Category],"rushing",Table2[Stat Type],"YDS",Table2[Athlete],Table1[[#This Row],[Pick]],Table2[Week],Table1[[#This Row],[Week]])</f>
        <v>0</v>
      </c>
      <c r="I190" s="59">
        <f>SUMIFS(Table2[Stat],Table2[Stat Category],"receiving",Table2[Stat Type],"YDS",Table2[Athlete],Table1[[#This Row],[Pick]],Table2[Week],Table1[[#This Row],[Week]])</f>
        <v>0</v>
      </c>
      <c r="J190" s="6">
        <f>IF(AND($C190="Rushing", $H190&lt;=0), 0, IF(AND($C190="Passing", $G$3&lt;=0), 0,IF(AND($C190="Receiving",$I190&lt;=0), 0,SUMIFS(Table2[Stat],Table2[Week],Table1[[#This Row],[Week]],Table2[Athlete],Table1[[#This Row],[Pick]],Table2[Stat Category],"passing",Table2[Stat Type],"TD"))))</f>
        <v>0</v>
      </c>
      <c r="K190" s="6">
        <f>IF(AND($C190="Rushing", $H190&lt;=0), 0, IF(AND($C190="Passing", $G$3&lt;=0), 0,IF(AND($C190="Receiving",$I190&lt;=0),0,SUMIFS(Table2[Stat],Table2[Week],Table1[[#This Row],[Week]],Table2[Athlete],Table1[[#This Row],[Pick]],Table2[Stat Category],"rushing",Table2[Stat Type],"TD"))))</f>
        <v>0</v>
      </c>
      <c r="L190" s="6">
        <f>IF(AND($C190="Rushing", $H190&lt;=0), 0, IF(AND($C190="Passing", $G$3&lt;=0), 0,IF(AND($C190="Receiving",$I190&lt;=0),0,SUMIFS(Table2[Stat],Table2[Week],Table1[[#This Row],[Week]],Table2[Athlete],Table1[[#This Row],[Pick]],Table2[Stat Category],"receiving",Table2[Stat Type],"TD"))))</f>
        <v>0</v>
      </c>
      <c r="M1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0" s="61">
        <f>SUMIFS(Data!$J:$J,Data!$A:$A,Info!$B190,Data!$G:$G,Info!$C190,Data!$I:$I,Info!$D190,Data!$H:$H,"TOT")</f>
        <v>0</v>
      </c>
      <c r="O190" s="61">
        <f>IF(C190="Defensive",SUMIFS(Data!$J:$J,Data!$A:$A,Info!$B190,Data!$I:$I,Info!$D190,Data!$H:$H,"INT"),0)</f>
        <v>0</v>
      </c>
      <c r="P190" s="61">
        <f>IF(Table1[[#This Row],[Role]]="Defensive",SUMIFS(Data!$J:$J,Data!$A:$A,Info!$B190,Data!$I:$I,Info!$D190,Data!$H:$H,$P$1),0)</f>
        <v>0</v>
      </c>
      <c r="Q190" s="65" t="str">
        <f>IF(Table1[[#This Row],[Pick]]="","",IF(S190&gt;1,400,IF(G190="","",IF(C190="Passing",(400-Table1[[#This Row],[Passing Yards]]-(30*Table1[[#This Row],[Passing TDs]])-(50*SUM(Table1[[#This Row],[Rushing TDs]:[Other TD''s]]))),IF(C190="Rushing",2*(200-Table1[[#This Row],[Rushing Yards]]-(30*Table1[[#This Row],[Passing TDs]])-50*(Table1[[#This Row],[Rushing TDs]]+Table1[[#This Row],[Receiving TDs]]+Table1[[#This Row],[Other TD''s]])),IF(C190="Receiving",2*(200-Table1[[#This Row],[Receiving Yards]]-(30*Table1[[#This Row],[Passing TDs]])-50*(Table1[[#This Row],[Rushing TDs]]+Table1[[#This Row],[Receiving TDs]]+Table1[[#This Row],[Other TD''s]])),IF(C190="Defensive",(25*(16-Table1[[#This Row],[Tackles]]-(8*(Table1[[#This Row],[Other TD''s]]+Table1[[#This Row],[Interceptions]]+Table1[[#This Row],[Fumbles Recovered]])))))))))))</f>
        <v/>
      </c>
      <c r="R190" s="3" t="str">
        <f t="shared" si="6"/>
        <v/>
      </c>
      <c r="S190" s="4">
        <f t="shared" si="5"/>
        <v>1048507</v>
      </c>
      <c r="T1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1" spans="1:20" hidden="1" x14ac:dyDescent="0.25">
      <c r="A191" t="s">
        <v>79</v>
      </c>
      <c r="B191" s="28" t="s">
        <v>46</v>
      </c>
      <c r="C191" t="s">
        <v>16</v>
      </c>
      <c r="D191" t="str">
        <f>_xlfn.XLOOKUP(Table1[[#This Row],[Player]]&amp;Table1[[#This Row],[Week]]&amp;Table1[[#This Row],[Role]],'Google Form Transform'!$A:$A,'Google Form Transform'!E:E,"")</f>
        <v/>
      </c>
      <c r="E191" t="str">
        <f>_xlfn.XLOOKUP(Table1[[#This Row],[Player]]&amp;Table1[[#This Row],[Week]]&amp;Table1[[#This Row],[Role]],'Google Form Transform'!$A:$A,'Google Form Transform'!F:F,"")</f>
        <v/>
      </c>
      <c r="F191" t="str">
        <f>_xlfn.XLOOKUP(Table1[[#This Row],[Player]]&amp;Table1[[#This Row],[Week]]&amp;Table1[[#This Row],[Role]],'Google Form Transform'!$A:$A,'Google Form Transform'!G:G,"")</f>
        <v/>
      </c>
      <c r="G191" s="59">
        <f>SUMIFS(Table2[Stat],Table2[Stat Category],"passing",Table2[Stat Type],"YDS",Table2[Athlete],Table1[[#This Row],[Pick]],Table2[Week],Table1[[#This Row],[Week]])</f>
        <v>0</v>
      </c>
      <c r="H191" s="59">
        <f>SUMIFS(Table2[Stat],Table2[Stat Category],"rushing",Table2[Stat Type],"YDS",Table2[Athlete],Table1[[#This Row],[Pick]],Table2[Week],Table1[[#This Row],[Week]])</f>
        <v>0</v>
      </c>
      <c r="I191" s="59">
        <f>SUMIFS(Table2[Stat],Table2[Stat Category],"receiving",Table2[Stat Type],"YDS",Table2[Athlete],Table1[[#This Row],[Pick]],Table2[Week],Table1[[#This Row],[Week]])</f>
        <v>0</v>
      </c>
      <c r="J191" s="6">
        <f>IF(AND($C191="Rushing", $H191&lt;=0), 0, IF(AND($C191="Passing", $G$3&lt;=0), 0,IF(AND($C191="Receiving",$I191&lt;=0), 0,SUMIFS(Table2[Stat],Table2[Week],Table1[[#This Row],[Week]],Table2[Athlete],Table1[[#This Row],[Pick]],Table2[Stat Category],"passing",Table2[Stat Type],"TD"))))</f>
        <v>0</v>
      </c>
      <c r="K191" s="6">
        <f>IF(AND($C191="Rushing", $H191&lt;=0), 0, IF(AND($C191="Passing", $G$3&lt;=0), 0,IF(AND($C191="Receiving",$I191&lt;=0),0,SUMIFS(Table2[Stat],Table2[Week],Table1[[#This Row],[Week]],Table2[Athlete],Table1[[#This Row],[Pick]],Table2[Stat Category],"rushing",Table2[Stat Type],"TD"))))</f>
        <v>0</v>
      </c>
      <c r="L191" s="6">
        <f>IF(AND($C191="Rushing", $H191&lt;=0), 0, IF(AND($C191="Passing", $G$3&lt;=0), 0,IF(AND($C191="Receiving",$I191&lt;=0),0,SUMIFS(Table2[Stat],Table2[Week],Table1[[#This Row],[Week]],Table2[Athlete],Table1[[#This Row],[Pick]],Table2[Stat Category],"receiving",Table2[Stat Type],"TD"))))</f>
        <v>0</v>
      </c>
      <c r="M1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1" s="61">
        <f>SUMIFS(Data!$J:$J,Data!$A:$A,Info!$B191,Data!$G:$G,Info!$C191,Data!$I:$I,Info!$D191,Data!$H:$H,"TOT")</f>
        <v>0</v>
      </c>
      <c r="O191" s="61">
        <f>IF(C191="Defensive",SUMIFS(Data!$J:$J,Data!$A:$A,Info!$B191,Data!$I:$I,Info!$D191,Data!$H:$H,"INT"),0)</f>
        <v>0</v>
      </c>
      <c r="P191" s="61">
        <f>IF(Table1[[#This Row],[Role]]="Defensive",SUMIFS(Data!$J:$J,Data!$A:$A,Info!$B191,Data!$I:$I,Info!$D191,Data!$H:$H,$P$1),0)</f>
        <v>0</v>
      </c>
      <c r="Q191" s="65" t="str">
        <f>IF(Table1[[#This Row],[Pick]]="","",IF(S191&gt;1,400,IF(G191="","",IF(C191="Passing",(400-Table1[[#This Row],[Passing Yards]]-(30*Table1[[#This Row],[Passing TDs]])-(50*SUM(Table1[[#This Row],[Rushing TDs]:[Other TD''s]]))),IF(C191="Rushing",2*(200-Table1[[#This Row],[Rushing Yards]]-(30*Table1[[#This Row],[Passing TDs]])-50*(Table1[[#This Row],[Rushing TDs]]+Table1[[#This Row],[Receiving TDs]]+Table1[[#This Row],[Other TD''s]])),IF(C191="Receiving",2*(200-Table1[[#This Row],[Receiving Yards]]-(30*Table1[[#This Row],[Passing TDs]])-50*(Table1[[#This Row],[Rushing TDs]]+Table1[[#This Row],[Receiving TDs]]+Table1[[#This Row],[Other TD''s]])),IF(C191="Defensive",(25*(16-Table1[[#This Row],[Tackles]]-(8*(Table1[[#This Row],[Other TD''s]]+Table1[[#This Row],[Interceptions]]+Table1[[#This Row],[Fumbles Recovered]])))))))))))</f>
        <v/>
      </c>
      <c r="R191" s="3" t="str">
        <f t="shared" si="6"/>
        <v/>
      </c>
      <c r="S191" s="4">
        <f t="shared" si="5"/>
        <v>1048507</v>
      </c>
      <c r="T1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2" spans="1:20" hidden="1" x14ac:dyDescent="0.25">
      <c r="A192" t="s">
        <v>79</v>
      </c>
      <c r="B192" s="28" t="s">
        <v>46</v>
      </c>
      <c r="C192" t="s">
        <v>6</v>
      </c>
      <c r="D192" t="str">
        <f>_xlfn.XLOOKUP(Table1[[#This Row],[Player]]&amp;Table1[[#This Row],[Week]]&amp;Table1[[#This Row],[Role]],'Google Form Transform'!$A:$A,'Google Form Transform'!E:E,"")</f>
        <v/>
      </c>
      <c r="E192" t="str">
        <f>_xlfn.XLOOKUP(Table1[[#This Row],[Player]]&amp;Table1[[#This Row],[Week]]&amp;Table1[[#This Row],[Role]],'Google Form Transform'!$A:$A,'Google Form Transform'!F:F,"")</f>
        <v/>
      </c>
      <c r="F192" t="str">
        <f>_xlfn.XLOOKUP(Table1[[#This Row],[Player]]&amp;Table1[[#This Row],[Week]]&amp;Table1[[#This Row],[Role]],'Google Form Transform'!$A:$A,'Google Form Transform'!G:G,"")</f>
        <v/>
      </c>
      <c r="G192" s="59">
        <f>SUMIFS(Table2[Stat],Table2[Stat Category],"passing",Table2[Stat Type],"YDS",Table2[Athlete],Table1[[#This Row],[Pick]],Table2[Week],Table1[[#This Row],[Week]])</f>
        <v>0</v>
      </c>
      <c r="H192" s="59">
        <f>SUMIFS(Table2[Stat],Table2[Stat Category],"rushing",Table2[Stat Type],"YDS",Table2[Athlete],Table1[[#This Row],[Pick]],Table2[Week],Table1[[#This Row],[Week]])</f>
        <v>0</v>
      </c>
      <c r="I192" s="59">
        <f>SUMIFS(Table2[Stat],Table2[Stat Category],"receiving",Table2[Stat Type],"YDS",Table2[Athlete],Table1[[#This Row],[Pick]],Table2[Week],Table1[[#This Row],[Week]])</f>
        <v>0</v>
      </c>
      <c r="J192" s="6">
        <f>IF(AND($C192="Rushing", $H192&lt;=0), 0, IF(AND($C192="Passing", $G$3&lt;=0), 0,IF(AND($C192="Receiving",$I192&lt;=0), 0,SUMIFS(Table2[Stat],Table2[Week],Table1[[#This Row],[Week]],Table2[Athlete],Table1[[#This Row],[Pick]],Table2[Stat Category],"passing",Table2[Stat Type],"TD"))))</f>
        <v>0</v>
      </c>
      <c r="K192" s="6">
        <f>IF(AND($C192="Rushing", $H192&lt;=0), 0, IF(AND($C192="Passing", $G$3&lt;=0), 0,IF(AND($C192="Receiving",$I192&lt;=0),0,SUMIFS(Table2[Stat],Table2[Week],Table1[[#This Row],[Week]],Table2[Athlete],Table1[[#This Row],[Pick]],Table2[Stat Category],"rushing",Table2[Stat Type],"TD"))))</f>
        <v>0</v>
      </c>
      <c r="L192" s="6">
        <f>IF(AND($C192="Rushing", $H192&lt;=0), 0, IF(AND($C192="Passing", $G$3&lt;=0), 0,IF(AND($C192="Receiving",$I192&lt;=0),0,SUMIFS(Table2[Stat],Table2[Week],Table1[[#This Row],[Week]],Table2[Athlete],Table1[[#This Row],[Pick]],Table2[Stat Category],"receiving",Table2[Stat Type],"TD"))))</f>
        <v>0</v>
      </c>
      <c r="M1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2" s="61">
        <f>SUMIFS(Data!$J:$J,Data!$A:$A,Info!$B192,Data!$G:$G,Info!$C192,Data!$I:$I,Info!$D192,Data!$H:$H,"TOT")</f>
        <v>0</v>
      </c>
      <c r="O192" s="61">
        <f>IF(C192="Defensive",SUMIFS(Data!$J:$J,Data!$A:$A,Info!$B192,Data!$I:$I,Info!$D192,Data!$H:$H,"INT"),0)</f>
        <v>0</v>
      </c>
      <c r="P192" s="61">
        <f>IF(Table1[[#This Row],[Role]]="Defensive",SUMIFS(Data!$J:$J,Data!$A:$A,Info!$B192,Data!$I:$I,Info!$D192,Data!$H:$H,$P$1),0)</f>
        <v>0</v>
      </c>
      <c r="Q192" s="65" t="str">
        <f>IF(Table1[[#This Row],[Pick]]="","",IF(S192&gt;1,400,IF(G192="","",IF(C192="Passing",(400-Table1[[#This Row],[Passing Yards]]-(30*Table1[[#This Row],[Passing TDs]])-(50*SUM(Table1[[#This Row],[Rushing TDs]:[Other TD''s]]))),IF(C192="Rushing",2*(200-Table1[[#This Row],[Rushing Yards]]-(30*Table1[[#This Row],[Passing TDs]])-50*(Table1[[#This Row],[Rushing TDs]]+Table1[[#This Row],[Receiving TDs]]+Table1[[#This Row],[Other TD''s]])),IF(C192="Receiving",2*(200-Table1[[#This Row],[Receiving Yards]]-(30*Table1[[#This Row],[Passing TDs]])-50*(Table1[[#This Row],[Rushing TDs]]+Table1[[#This Row],[Receiving TDs]]+Table1[[#This Row],[Other TD''s]])),IF(C192="Defensive",(25*(16-Table1[[#This Row],[Tackles]]-(8*(Table1[[#This Row],[Other TD''s]]+Table1[[#This Row],[Interceptions]]+Table1[[#This Row],[Fumbles Recovered]])))))))))))</f>
        <v/>
      </c>
      <c r="R192" s="3" t="str">
        <f t="shared" si="6"/>
        <v/>
      </c>
      <c r="S192" s="4">
        <f t="shared" si="5"/>
        <v>1048507</v>
      </c>
      <c r="T1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3" spans="1:20" hidden="1" x14ac:dyDescent="0.25">
      <c r="A193" t="s">
        <v>79</v>
      </c>
      <c r="B193" s="28" t="s">
        <v>46</v>
      </c>
      <c r="C193" t="s">
        <v>17</v>
      </c>
      <c r="D193" t="str">
        <f>_xlfn.XLOOKUP(Table1[[#This Row],[Player]]&amp;Table1[[#This Row],[Week]]&amp;Table1[[#This Row],[Role]],'Google Form Transform'!$A:$A,'Google Form Transform'!E:E,"")</f>
        <v/>
      </c>
      <c r="E193" t="str">
        <f>_xlfn.XLOOKUP(Table1[[#This Row],[Player]]&amp;Table1[[#This Row],[Week]]&amp;Table1[[#This Row],[Role]],'Google Form Transform'!$A:$A,'Google Form Transform'!F:F,"")</f>
        <v/>
      </c>
      <c r="F193" t="str">
        <f>_xlfn.XLOOKUP(Table1[[#This Row],[Player]]&amp;Table1[[#This Row],[Week]]&amp;Table1[[#This Row],[Role]],'Google Form Transform'!$A:$A,'Google Form Transform'!G:G,"")</f>
        <v/>
      </c>
      <c r="G193" s="59">
        <f>SUMIFS(Table2[Stat],Table2[Stat Category],"passing",Table2[Stat Type],"YDS",Table2[Athlete],Table1[[#This Row],[Pick]],Table2[Week],Table1[[#This Row],[Week]])</f>
        <v>0</v>
      </c>
      <c r="H193" s="59">
        <f>SUMIFS(Table2[Stat],Table2[Stat Category],"rushing",Table2[Stat Type],"YDS",Table2[Athlete],Table1[[#This Row],[Pick]],Table2[Week],Table1[[#This Row],[Week]])</f>
        <v>0</v>
      </c>
      <c r="I193" s="59">
        <f>SUMIFS(Table2[Stat],Table2[Stat Category],"receiving",Table2[Stat Type],"YDS",Table2[Athlete],Table1[[#This Row],[Pick]],Table2[Week],Table1[[#This Row],[Week]])</f>
        <v>0</v>
      </c>
      <c r="J193" s="6">
        <f>IF(AND($C193="Rushing", $H193&lt;=0), 0, IF(AND($C193="Passing", $G$3&lt;=0), 0,IF(AND($C193="Receiving",$I193&lt;=0), 0,SUMIFS(Table2[Stat],Table2[Week],Table1[[#This Row],[Week]],Table2[Athlete],Table1[[#This Row],[Pick]],Table2[Stat Category],"passing",Table2[Stat Type],"TD"))))</f>
        <v>0</v>
      </c>
      <c r="K193" s="6">
        <f>IF(AND($C193="Rushing", $H193&lt;=0), 0, IF(AND($C193="Passing", $G$3&lt;=0), 0,IF(AND($C193="Receiving",$I193&lt;=0),0,SUMIFS(Table2[Stat],Table2[Week],Table1[[#This Row],[Week]],Table2[Athlete],Table1[[#This Row],[Pick]],Table2[Stat Category],"rushing",Table2[Stat Type],"TD"))))</f>
        <v>0</v>
      </c>
      <c r="L193" s="6">
        <f>IF(AND($C193="Rushing", $H193&lt;=0), 0, IF(AND($C193="Passing", $G$3&lt;=0), 0,IF(AND($C193="Receiving",$I193&lt;=0),0,SUMIFS(Table2[Stat],Table2[Week],Table1[[#This Row],[Week]],Table2[Athlete],Table1[[#This Row],[Pick]],Table2[Stat Category],"receiving",Table2[Stat Type],"TD"))))</f>
        <v>0</v>
      </c>
      <c r="M1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3" s="61">
        <f>SUMIFS(Data!$J:$J,Data!$A:$A,Info!$B193,Data!$G:$G,Info!$C193,Data!$I:$I,Info!$D193,Data!$H:$H,"TOT")</f>
        <v>0</v>
      </c>
      <c r="O193" s="61">
        <f>IF(C193="Defensive",SUMIFS(Data!$J:$J,Data!$A:$A,Info!$B193,Data!$I:$I,Info!$D193,Data!$H:$H,"INT"),0)</f>
        <v>0</v>
      </c>
      <c r="P193" s="61">
        <f>IF(Table1[[#This Row],[Role]]="Defensive",SUMIFS(Data!$J:$J,Data!$A:$A,Info!$B193,Data!$I:$I,Info!$D193,Data!$H:$H,$P$1),0)</f>
        <v>0</v>
      </c>
      <c r="Q193" s="65" t="str">
        <f>IF(Table1[[#This Row],[Pick]]="","",IF(S193&gt;1,400,IF(G193="","",IF(C193="Passing",(400-Table1[[#This Row],[Passing Yards]]-(30*Table1[[#This Row],[Passing TDs]])-(50*SUM(Table1[[#This Row],[Rushing TDs]:[Other TD''s]]))),IF(C193="Rushing",2*(200-Table1[[#This Row],[Rushing Yards]]-(30*Table1[[#This Row],[Passing TDs]])-50*(Table1[[#This Row],[Rushing TDs]]+Table1[[#This Row],[Receiving TDs]]+Table1[[#This Row],[Other TD''s]])),IF(C193="Receiving",2*(200-Table1[[#This Row],[Receiving Yards]]-(30*Table1[[#This Row],[Passing TDs]])-50*(Table1[[#This Row],[Rushing TDs]]+Table1[[#This Row],[Receiving TDs]]+Table1[[#This Row],[Other TD''s]])),IF(C193="Defensive",(25*(16-Table1[[#This Row],[Tackles]]-(8*(Table1[[#This Row],[Other TD''s]]+Table1[[#This Row],[Interceptions]]+Table1[[#This Row],[Fumbles Recovered]])))))))))))</f>
        <v/>
      </c>
      <c r="R193" s="3" t="str">
        <f t="shared" si="6"/>
        <v/>
      </c>
      <c r="S193" s="4">
        <f t="shared" si="5"/>
        <v>1048507</v>
      </c>
      <c r="T1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4" spans="1:20" hidden="1" x14ac:dyDescent="0.25">
      <c r="A194" t="s">
        <v>79</v>
      </c>
      <c r="B194" s="28" t="s">
        <v>46</v>
      </c>
      <c r="C194" t="s">
        <v>20</v>
      </c>
      <c r="D194" t="str">
        <f>_xlfn.XLOOKUP(Table1[[#This Row],[Player]]&amp;Table1[[#This Row],[Week]]&amp;Table1[[#This Row],[Role]],'Google Form Transform'!$A:$A,'Google Form Transform'!E:E,"")</f>
        <v/>
      </c>
      <c r="E194" t="str">
        <f>_xlfn.XLOOKUP(Table1[[#This Row],[Player]]&amp;Table1[[#This Row],[Week]]&amp;Table1[[#This Row],[Role]],'Google Form Transform'!$A:$A,'Google Form Transform'!F:F,"")</f>
        <v/>
      </c>
      <c r="F194" t="str">
        <f>_xlfn.XLOOKUP(Table1[[#This Row],[Player]]&amp;Table1[[#This Row],[Week]]&amp;Table1[[#This Row],[Role]],'Google Form Transform'!$A:$A,'Google Form Transform'!G:G,"")</f>
        <v/>
      </c>
      <c r="G194" s="59">
        <f>SUMIFS(Table2[Stat],Table2[Stat Category],"passing",Table2[Stat Type],"YDS",Table2[Athlete],Table1[[#This Row],[Pick]],Table2[Week],Table1[[#This Row],[Week]])</f>
        <v>0</v>
      </c>
      <c r="H194" s="59">
        <f>SUMIFS(Table2[Stat],Table2[Stat Category],"rushing",Table2[Stat Type],"YDS",Table2[Athlete],Table1[[#This Row],[Pick]],Table2[Week],Table1[[#This Row],[Week]])</f>
        <v>0</v>
      </c>
      <c r="I194" s="59">
        <f>SUMIFS(Table2[Stat],Table2[Stat Category],"receiving",Table2[Stat Type],"YDS",Table2[Athlete],Table1[[#This Row],[Pick]],Table2[Week],Table1[[#This Row],[Week]])</f>
        <v>0</v>
      </c>
      <c r="J194" s="6">
        <f>IF(AND($C194="Rushing", $H194&lt;=0), 0, IF(AND($C194="Passing", $G$3&lt;=0), 0,IF(AND($C194="Receiving",$I194&lt;=0), 0,SUMIFS(Table2[Stat],Table2[Week],Table1[[#This Row],[Week]],Table2[Athlete],Table1[[#This Row],[Pick]],Table2[Stat Category],"passing",Table2[Stat Type],"TD"))))</f>
        <v>0</v>
      </c>
      <c r="K194" s="6">
        <f>IF(AND($C194="Rushing", $H194&lt;=0), 0, IF(AND($C194="Passing", $G$3&lt;=0), 0,IF(AND($C194="Receiving",$I194&lt;=0),0,SUMIFS(Table2[Stat],Table2[Week],Table1[[#This Row],[Week]],Table2[Athlete],Table1[[#This Row],[Pick]],Table2[Stat Category],"rushing",Table2[Stat Type],"TD"))))</f>
        <v>0</v>
      </c>
      <c r="L194" s="6">
        <f>IF(AND($C194="Rushing", $H194&lt;=0), 0, IF(AND($C194="Passing", $G$3&lt;=0), 0,IF(AND($C194="Receiving",$I194&lt;=0),0,SUMIFS(Table2[Stat],Table2[Week],Table1[[#This Row],[Week]],Table2[Athlete],Table1[[#This Row],[Pick]],Table2[Stat Category],"receiving",Table2[Stat Type],"TD"))))</f>
        <v>0</v>
      </c>
      <c r="M1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4" s="61">
        <f>SUMIFS(Data!$J:$J,Data!$A:$A,Info!$B194,Data!$G:$G,Info!$C194,Data!$I:$I,Info!$D194,Data!$H:$H,"TOT")</f>
        <v>0</v>
      </c>
      <c r="O194" s="61">
        <f>IF(C194="Defensive",SUMIFS(Data!$J:$J,Data!$A:$A,Info!$B194,Data!$I:$I,Info!$D194,Data!$H:$H,"INT"),0)</f>
        <v>0</v>
      </c>
      <c r="P194" s="61">
        <f>IF(Table1[[#This Row],[Role]]="Defensive",SUMIFS(Data!$J:$J,Data!$A:$A,Info!$B194,Data!$I:$I,Info!$D194,Data!$H:$H,$P$1),0)</f>
        <v>0</v>
      </c>
      <c r="Q194" s="65" t="str">
        <f>IF(Table1[[#This Row],[Pick]]="","",IF(S194&gt;1,400,IF(G194="","",IF(C194="Passing",(400-Table1[[#This Row],[Passing Yards]]-(30*Table1[[#This Row],[Passing TDs]])-(50*SUM(Table1[[#This Row],[Rushing TDs]:[Other TD''s]]))),IF(C194="Rushing",2*(200-Table1[[#This Row],[Rushing Yards]]-(30*Table1[[#This Row],[Passing TDs]])-50*(Table1[[#This Row],[Rushing TDs]]+Table1[[#This Row],[Receiving TDs]]+Table1[[#This Row],[Other TD''s]])),IF(C194="Receiving",2*(200-Table1[[#This Row],[Receiving Yards]]-(30*Table1[[#This Row],[Passing TDs]])-50*(Table1[[#This Row],[Rushing TDs]]+Table1[[#This Row],[Receiving TDs]]+Table1[[#This Row],[Other TD''s]])),IF(C194="Defensive",(25*(16-Table1[[#This Row],[Tackles]]-(8*(Table1[[#This Row],[Other TD''s]]+Table1[[#This Row],[Interceptions]]+Table1[[#This Row],[Fumbles Recovered]])))))))))))</f>
        <v/>
      </c>
      <c r="R194" s="3" t="str">
        <f t="shared" si="6"/>
        <v/>
      </c>
      <c r="S194" s="4">
        <f t="shared" si="5"/>
        <v>1048507</v>
      </c>
      <c r="T1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5" spans="1:20" hidden="1" x14ac:dyDescent="0.25">
      <c r="A195" t="s">
        <v>58</v>
      </c>
      <c r="B195" s="28" t="s">
        <v>46</v>
      </c>
      <c r="C195" t="s">
        <v>16</v>
      </c>
      <c r="D195" t="str">
        <f>_xlfn.XLOOKUP(Table1[[#This Row],[Player]]&amp;Table1[[#This Row],[Week]]&amp;Table1[[#This Row],[Role]],'Google Form Transform'!$A:$A,'Google Form Transform'!E:E,"")</f>
        <v/>
      </c>
      <c r="E195" t="str">
        <f>_xlfn.XLOOKUP(Table1[[#This Row],[Player]]&amp;Table1[[#This Row],[Week]]&amp;Table1[[#This Row],[Role]],'Google Form Transform'!$A:$A,'Google Form Transform'!F:F,"")</f>
        <v/>
      </c>
      <c r="F195" t="str">
        <f>_xlfn.XLOOKUP(Table1[[#This Row],[Player]]&amp;Table1[[#This Row],[Week]]&amp;Table1[[#This Row],[Role]],'Google Form Transform'!$A:$A,'Google Form Transform'!G:G,"")</f>
        <v/>
      </c>
      <c r="G195" s="59">
        <f>SUMIFS(Table2[Stat],Table2[Stat Category],"passing",Table2[Stat Type],"YDS",Table2[Athlete],Table1[[#This Row],[Pick]],Table2[Week],Table1[[#This Row],[Week]])</f>
        <v>0</v>
      </c>
      <c r="H195" s="59">
        <f>SUMIFS(Table2[Stat],Table2[Stat Category],"rushing",Table2[Stat Type],"YDS",Table2[Athlete],Table1[[#This Row],[Pick]],Table2[Week],Table1[[#This Row],[Week]])</f>
        <v>0</v>
      </c>
      <c r="I195" s="59">
        <f>SUMIFS(Table2[Stat],Table2[Stat Category],"receiving",Table2[Stat Type],"YDS",Table2[Athlete],Table1[[#This Row],[Pick]],Table2[Week],Table1[[#This Row],[Week]])</f>
        <v>0</v>
      </c>
      <c r="J195" s="6">
        <f>IF(AND($C195="Rushing", $H195&lt;=0), 0, IF(AND($C195="Passing", $G$3&lt;=0), 0,IF(AND($C195="Receiving",$I195&lt;=0), 0,SUMIFS(Table2[Stat],Table2[Week],Table1[[#This Row],[Week]],Table2[Athlete],Table1[[#This Row],[Pick]],Table2[Stat Category],"passing",Table2[Stat Type],"TD"))))</f>
        <v>0</v>
      </c>
      <c r="K195" s="6">
        <f>IF(AND($C195="Rushing", $H195&lt;=0), 0, IF(AND($C195="Passing", $G$3&lt;=0), 0,IF(AND($C195="Receiving",$I195&lt;=0),0,SUMIFS(Table2[Stat],Table2[Week],Table1[[#This Row],[Week]],Table2[Athlete],Table1[[#This Row],[Pick]],Table2[Stat Category],"rushing",Table2[Stat Type],"TD"))))</f>
        <v>0</v>
      </c>
      <c r="L195" s="6">
        <f>IF(AND($C195="Rushing", $H195&lt;=0), 0, IF(AND($C195="Passing", $G$3&lt;=0), 0,IF(AND($C195="Receiving",$I195&lt;=0),0,SUMIFS(Table2[Stat],Table2[Week],Table1[[#This Row],[Week]],Table2[Athlete],Table1[[#This Row],[Pick]],Table2[Stat Category],"receiving",Table2[Stat Type],"TD"))))</f>
        <v>0</v>
      </c>
      <c r="M1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5" s="61">
        <f>SUMIFS(Data!$J:$J,Data!$A:$A,Info!$B195,Data!$G:$G,Info!$C195,Data!$I:$I,Info!$D195,Data!$H:$H,"TOT")</f>
        <v>0</v>
      </c>
      <c r="O195" s="61">
        <f>IF(C195="Defensive",SUMIFS(Data!$J:$J,Data!$A:$A,Info!$B195,Data!$I:$I,Info!$D195,Data!$H:$H,"INT"),0)</f>
        <v>0</v>
      </c>
      <c r="P195" s="61">
        <f>IF(Table1[[#This Row],[Role]]="Defensive",SUMIFS(Data!$J:$J,Data!$A:$A,Info!$B195,Data!$I:$I,Info!$D195,Data!$H:$H,$P$1),0)</f>
        <v>0</v>
      </c>
      <c r="Q195" s="65" t="str">
        <f>IF(Table1[[#This Row],[Pick]]="","",IF(S195&gt;1,400,IF(G195="","",IF(C195="Passing",(400-Table1[[#This Row],[Passing Yards]]-(30*Table1[[#This Row],[Passing TDs]])-(50*SUM(Table1[[#This Row],[Rushing TDs]:[Other TD''s]]))),IF(C195="Rushing",2*(200-Table1[[#This Row],[Rushing Yards]]-(30*Table1[[#This Row],[Passing TDs]])-50*(Table1[[#This Row],[Rushing TDs]]+Table1[[#This Row],[Receiving TDs]]+Table1[[#This Row],[Other TD''s]])),IF(C195="Receiving",2*(200-Table1[[#This Row],[Receiving Yards]]-(30*Table1[[#This Row],[Passing TDs]])-50*(Table1[[#This Row],[Rushing TDs]]+Table1[[#This Row],[Receiving TDs]]+Table1[[#This Row],[Other TD''s]])),IF(C195="Defensive",(25*(16-Table1[[#This Row],[Tackles]]-(8*(Table1[[#This Row],[Other TD''s]]+Table1[[#This Row],[Interceptions]]+Table1[[#This Row],[Fumbles Recovered]])))))))))))</f>
        <v/>
      </c>
      <c r="R195" s="3" t="str">
        <f t="shared" si="6"/>
        <v/>
      </c>
      <c r="S195" s="4">
        <f t="shared" ref="S195:S258" si="7">COUNTIF(R:R,R195)</f>
        <v>1048507</v>
      </c>
      <c r="T1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6" spans="1:20" hidden="1" x14ac:dyDescent="0.25">
      <c r="A196" t="s">
        <v>58</v>
      </c>
      <c r="B196" s="28" t="s">
        <v>46</v>
      </c>
      <c r="C196" t="s">
        <v>6</v>
      </c>
      <c r="D196" t="str">
        <f>_xlfn.XLOOKUP(Table1[[#This Row],[Player]]&amp;Table1[[#This Row],[Week]]&amp;Table1[[#This Row],[Role]],'Google Form Transform'!$A:$A,'Google Form Transform'!E:E,"")</f>
        <v/>
      </c>
      <c r="E196" t="str">
        <f>_xlfn.XLOOKUP(Table1[[#This Row],[Player]]&amp;Table1[[#This Row],[Week]]&amp;Table1[[#This Row],[Role]],'Google Form Transform'!$A:$A,'Google Form Transform'!F:F,"")</f>
        <v/>
      </c>
      <c r="F196" t="str">
        <f>_xlfn.XLOOKUP(Table1[[#This Row],[Player]]&amp;Table1[[#This Row],[Week]]&amp;Table1[[#This Row],[Role]],'Google Form Transform'!$A:$A,'Google Form Transform'!G:G,"")</f>
        <v/>
      </c>
      <c r="G196" s="59">
        <f>SUMIFS(Table2[Stat],Table2[Stat Category],"passing",Table2[Stat Type],"YDS",Table2[Athlete],Table1[[#This Row],[Pick]],Table2[Week],Table1[[#This Row],[Week]])</f>
        <v>0</v>
      </c>
      <c r="H196" s="59">
        <f>SUMIFS(Table2[Stat],Table2[Stat Category],"rushing",Table2[Stat Type],"YDS",Table2[Athlete],Table1[[#This Row],[Pick]],Table2[Week],Table1[[#This Row],[Week]])</f>
        <v>0</v>
      </c>
      <c r="I196" s="59">
        <f>SUMIFS(Table2[Stat],Table2[Stat Category],"receiving",Table2[Stat Type],"YDS",Table2[Athlete],Table1[[#This Row],[Pick]],Table2[Week],Table1[[#This Row],[Week]])</f>
        <v>0</v>
      </c>
      <c r="J196" s="6">
        <f>IF(AND($C196="Rushing", $H196&lt;=0), 0, IF(AND($C196="Passing", $G$3&lt;=0), 0,IF(AND($C196="Receiving",$I196&lt;=0), 0,SUMIFS(Table2[Stat],Table2[Week],Table1[[#This Row],[Week]],Table2[Athlete],Table1[[#This Row],[Pick]],Table2[Stat Category],"passing",Table2[Stat Type],"TD"))))</f>
        <v>0</v>
      </c>
      <c r="K196" s="6">
        <f>IF(AND($C196="Rushing", $H196&lt;=0), 0, IF(AND($C196="Passing", $G$3&lt;=0), 0,IF(AND($C196="Receiving",$I196&lt;=0),0,SUMIFS(Table2[Stat],Table2[Week],Table1[[#This Row],[Week]],Table2[Athlete],Table1[[#This Row],[Pick]],Table2[Stat Category],"rushing",Table2[Stat Type],"TD"))))</f>
        <v>0</v>
      </c>
      <c r="L196" s="6">
        <f>IF(AND($C196="Rushing", $H196&lt;=0), 0, IF(AND($C196="Passing", $G$3&lt;=0), 0,IF(AND($C196="Receiving",$I196&lt;=0),0,SUMIFS(Table2[Stat],Table2[Week],Table1[[#This Row],[Week]],Table2[Athlete],Table1[[#This Row],[Pick]],Table2[Stat Category],"receiving",Table2[Stat Type],"TD"))))</f>
        <v>0</v>
      </c>
      <c r="M1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6" s="61">
        <f>SUMIFS(Data!$J:$J,Data!$A:$A,Info!$B196,Data!$G:$G,Info!$C196,Data!$I:$I,Info!$D196,Data!$H:$H,"TOT")</f>
        <v>0</v>
      </c>
      <c r="O196" s="61">
        <f>IF(C196="Defensive",SUMIFS(Data!$J:$J,Data!$A:$A,Info!$B196,Data!$I:$I,Info!$D196,Data!$H:$H,"INT"),0)</f>
        <v>0</v>
      </c>
      <c r="P196" s="61">
        <f>IF(Table1[[#This Row],[Role]]="Defensive",SUMIFS(Data!$J:$J,Data!$A:$A,Info!$B196,Data!$I:$I,Info!$D196,Data!$H:$H,$P$1),0)</f>
        <v>0</v>
      </c>
      <c r="Q196" s="65" t="str">
        <f>IF(Table1[[#This Row],[Pick]]="","",IF(S196&gt;1,400,IF(G196="","",IF(C196="Passing",(400-Table1[[#This Row],[Passing Yards]]-(30*Table1[[#This Row],[Passing TDs]])-(50*SUM(Table1[[#This Row],[Rushing TDs]:[Other TD''s]]))),IF(C196="Rushing",2*(200-Table1[[#This Row],[Rushing Yards]]-(30*Table1[[#This Row],[Passing TDs]])-50*(Table1[[#This Row],[Rushing TDs]]+Table1[[#This Row],[Receiving TDs]]+Table1[[#This Row],[Other TD''s]])),IF(C196="Receiving",2*(200-Table1[[#This Row],[Receiving Yards]]-(30*Table1[[#This Row],[Passing TDs]])-50*(Table1[[#This Row],[Rushing TDs]]+Table1[[#This Row],[Receiving TDs]]+Table1[[#This Row],[Other TD''s]])),IF(C196="Defensive",(25*(16-Table1[[#This Row],[Tackles]]-(8*(Table1[[#This Row],[Other TD''s]]+Table1[[#This Row],[Interceptions]]+Table1[[#This Row],[Fumbles Recovered]])))))))))))</f>
        <v/>
      </c>
      <c r="R196" s="3" t="str">
        <f t="shared" ref="R196:R259" si="8">IF(D196="","",A196&amp;C196&amp;D196)</f>
        <v/>
      </c>
      <c r="S196" s="4">
        <f t="shared" si="7"/>
        <v>1048507</v>
      </c>
      <c r="T1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7" spans="1:20" hidden="1" x14ac:dyDescent="0.25">
      <c r="A197" t="s">
        <v>58</v>
      </c>
      <c r="B197" s="28" t="s">
        <v>46</v>
      </c>
      <c r="C197" t="s">
        <v>17</v>
      </c>
      <c r="D197" t="str">
        <f>_xlfn.XLOOKUP(Table1[[#This Row],[Player]]&amp;Table1[[#This Row],[Week]]&amp;Table1[[#This Row],[Role]],'Google Form Transform'!$A:$A,'Google Form Transform'!E:E,"")</f>
        <v/>
      </c>
      <c r="E197" t="str">
        <f>_xlfn.XLOOKUP(Table1[[#This Row],[Player]]&amp;Table1[[#This Row],[Week]]&amp;Table1[[#This Row],[Role]],'Google Form Transform'!$A:$A,'Google Form Transform'!F:F,"")</f>
        <v/>
      </c>
      <c r="F197" t="str">
        <f>_xlfn.XLOOKUP(Table1[[#This Row],[Player]]&amp;Table1[[#This Row],[Week]]&amp;Table1[[#This Row],[Role]],'Google Form Transform'!$A:$A,'Google Form Transform'!G:G,"")</f>
        <v/>
      </c>
      <c r="G197" s="59">
        <f>SUMIFS(Table2[Stat],Table2[Stat Category],"passing",Table2[Stat Type],"YDS",Table2[Athlete],Table1[[#This Row],[Pick]],Table2[Week],Table1[[#This Row],[Week]])</f>
        <v>0</v>
      </c>
      <c r="H197" s="59">
        <f>SUMIFS(Table2[Stat],Table2[Stat Category],"rushing",Table2[Stat Type],"YDS",Table2[Athlete],Table1[[#This Row],[Pick]],Table2[Week],Table1[[#This Row],[Week]])</f>
        <v>0</v>
      </c>
      <c r="I197" s="59">
        <f>SUMIFS(Table2[Stat],Table2[Stat Category],"receiving",Table2[Stat Type],"YDS",Table2[Athlete],Table1[[#This Row],[Pick]],Table2[Week],Table1[[#This Row],[Week]])</f>
        <v>0</v>
      </c>
      <c r="J197" s="6">
        <f>IF(AND($C197="Rushing", $H197&lt;=0), 0, IF(AND($C197="Passing", $G$3&lt;=0), 0,IF(AND($C197="Receiving",$I197&lt;=0), 0,SUMIFS(Table2[Stat],Table2[Week],Table1[[#This Row],[Week]],Table2[Athlete],Table1[[#This Row],[Pick]],Table2[Stat Category],"passing",Table2[Stat Type],"TD"))))</f>
        <v>0</v>
      </c>
      <c r="K197" s="6">
        <f>IF(AND($C197="Rushing", $H197&lt;=0), 0, IF(AND($C197="Passing", $G$3&lt;=0), 0,IF(AND($C197="Receiving",$I197&lt;=0),0,SUMIFS(Table2[Stat],Table2[Week],Table1[[#This Row],[Week]],Table2[Athlete],Table1[[#This Row],[Pick]],Table2[Stat Category],"rushing",Table2[Stat Type],"TD"))))</f>
        <v>0</v>
      </c>
      <c r="L197" s="6">
        <f>IF(AND($C197="Rushing", $H197&lt;=0), 0, IF(AND($C197="Passing", $G$3&lt;=0), 0,IF(AND($C197="Receiving",$I197&lt;=0),0,SUMIFS(Table2[Stat],Table2[Week],Table1[[#This Row],[Week]],Table2[Athlete],Table1[[#This Row],[Pick]],Table2[Stat Category],"receiving",Table2[Stat Type],"TD"))))</f>
        <v>0</v>
      </c>
      <c r="M1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7" s="61">
        <f>SUMIFS(Data!$J:$J,Data!$A:$A,Info!$B197,Data!$G:$G,Info!$C197,Data!$I:$I,Info!$D197,Data!$H:$H,"TOT")</f>
        <v>0</v>
      </c>
      <c r="O197" s="61">
        <f>IF(C197="Defensive",SUMIFS(Data!$J:$J,Data!$A:$A,Info!$B197,Data!$I:$I,Info!$D197,Data!$H:$H,"INT"),0)</f>
        <v>0</v>
      </c>
      <c r="P197" s="61">
        <f>IF(Table1[[#This Row],[Role]]="Defensive",SUMIFS(Data!$J:$J,Data!$A:$A,Info!$B197,Data!$I:$I,Info!$D197,Data!$H:$H,$P$1),0)</f>
        <v>0</v>
      </c>
      <c r="Q197" s="65" t="str">
        <f>IF(Table1[[#This Row],[Pick]]="","",IF(S197&gt;1,400,IF(G197="","",IF(C197="Passing",(400-Table1[[#This Row],[Passing Yards]]-(30*Table1[[#This Row],[Passing TDs]])-(50*SUM(Table1[[#This Row],[Rushing TDs]:[Other TD''s]]))),IF(C197="Rushing",2*(200-Table1[[#This Row],[Rushing Yards]]-(30*Table1[[#This Row],[Passing TDs]])-50*(Table1[[#This Row],[Rushing TDs]]+Table1[[#This Row],[Receiving TDs]]+Table1[[#This Row],[Other TD''s]])),IF(C197="Receiving",2*(200-Table1[[#This Row],[Receiving Yards]]-(30*Table1[[#This Row],[Passing TDs]])-50*(Table1[[#This Row],[Rushing TDs]]+Table1[[#This Row],[Receiving TDs]]+Table1[[#This Row],[Other TD''s]])),IF(C197="Defensive",(25*(16-Table1[[#This Row],[Tackles]]-(8*(Table1[[#This Row],[Other TD''s]]+Table1[[#This Row],[Interceptions]]+Table1[[#This Row],[Fumbles Recovered]])))))))))))</f>
        <v/>
      </c>
      <c r="R197" s="3" t="str">
        <f t="shared" si="8"/>
        <v/>
      </c>
      <c r="S197" s="4">
        <f t="shared" si="7"/>
        <v>1048507</v>
      </c>
      <c r="T1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8" spans="1:20" hidden="1" x14ac:dyDescent="0.25">
      <c r="A198" t="s">
        <v>58</v>
      </c>
      <c r="B198" s="28" t="s">
        <v>46</v>
      </c>
      <c r="C198" t="s">
        <v>20</v>
      </c>
      <c r="D198" t="str">
        <f>_xlfn.XLOOKUP(Table1[[#This Row],[Player]]&amp;Table1[[#This Row],[Week]]&amp;Table1[[#This Row],[Role]],'Google Form Transform'!$A:$A,'Google Form Transform'!E:E,"")</f>
        <v/>
      </c>
      <c r="E198" t="str">
        <f>_xlfn.XLOOKUP(Table1[[#This Row],[Player]]&amp;Table1[[#This Row],[Week]]&amp;Table1[[#This Row],[Role]],'Google Form Transform'!$A:$A,'Google Form Transform'!F:F,"")</f>
        <v/>
      </c>
      <c r="F198" t="str">
        <f>_xlfn.XLOOKUP(Table1[[#This Row],[Player]]&amp;Table1[[#This Row],[Week]]&amp;Table1[[#This Row],[Role]],'Google Form Transform'!$A:$A,'Google Form Transform'!G:G,"")</f>
        <v/>
      </c>
      <c r="G198" s="59">
        <f>SUMIFS(Table2[Stat],Table2[Stat Category],"passing",Table2[Stat Type],"YDS",Table2[Athlete],Table1[[#This Row],[Pick]],Table2[Week],Table1[[#This Row],[Week]])</f>
        <v>0</v>
      </c>
      <c r="H198" s="59">
        <f>SUMIFS(Table2[Stat],Table2[Stat Category],"rushing",Table2[Stat Type],"YDS",Table2[Athlete],Table1[[#This Row],[Pick]],Table2[Week],Table1[[#This Row],[Week]])</f>
        <v>0</v>
      </c>
      <c r="I198" s="59">
        <f>SUMIFS(Table2[Stat],Table2[Stat Category],"receiving",Table2[Stat Type],"YDS",Table2[Athlete],Table1[[#This Row],[Pick]],Table2[Week],Table1[[#This Row],[Week]])</f>
        <v>0</v>
      </c>
      <c r="J198" s="6">
        <f>IF(AND($C198="Rushing", $H198&lt;=0), 0, IF(AND($C198="Passing", $G$3&lt;=0), 0,IF(AND($C198="Receiving",$I198&lt;=0), 0,SUMIFS(Table2[Stat],Table2[Week],Table1[[#This Row],[Week]],Table2[Athlete],Table1[[#This Row],[Pick]],Table2[Stat Category],"passing",Table2[Stat Type],"TD"))))</f>
        <v>0</v>
      </c>
      <c r="K198" s="6">
        <f>IF(AND($C198="Rushing", $H198&lt;=0), 0, IF(AND($C198="Passing", $G$3&lt;=0), 0,IF(AND($C198="Receiving",$I198&lt;=0),0,SUMIFS(Table2[Stat],Table2[Week],Table1[[#This Row],[Week]],Table2[Athlete],Table1[[#This Row],[Pick]],Table2[Stat Category],"rushing",Table2[Stat Type],"TD"))))</f>
        <v>0</v>
      </c>
      <c r="L198" s="6">
        <f>IF(AND($C198="Rushing", $H198&lt;=0), 0, IF(AND($C198="Passing", $G$3&lt;=0), 0,IF(AND($C198="Receiving",$I198&lt;=0),0,SUMIFS(Table2[Stat],Table2[Week],Table1[[#This Row],[Week]],Table2[Athlete],Table1[[#This Row],[Pick]],Table2[Stat Category],"receiving",Table2[Stat Type],"TD"))))</f>
        <v>0</v>
      </c>
      <c r="M1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8" s="61">
        <f>SUMIFS(Data!$J:$J,Data!$A:$A,Info!$B198,Data!$G:$G,Info!$C198,Data!$I:$I,Info!$D198,Data!$H:$H,"TOT")</f>
        <v>0</v>
      </c>
      <c r="O198" s="61">
        <f>IF(C198="Defensive",SUMIFS(Data!$J:$J,Data!$A:$A,Info!$B198,Data!$I:$I,Info!$D198,Data!$H:$H,"INT"),0)</f>
        <v>0</v>
      </c>
      <c r="P198" s="61">
        <f>IF(Table1[[#This Row],[Role]]="Defensive",SUMIFS(Data!$J:$J,Data!$A:$A,Info!$B198,Data!$I:$I,Info!$D198,Data!$H:$H,$P$1),0)</f>
        <v>0</v>
      </c>
      <c r="Q198" s="65" t="str">
        <f>IF(Table1[[#This Row],[Pick]]="","",IF(S198&gt;1,400,IF(G198="","",IF(C198="Passing",(400-Table1[[#This Row],[Passing Yards]]-(30*Table1[[#This Row],[Passing TDs]])-(50*SUM(Table1[[#This Row],[Rushing TDs]:[Other TD''s]]))),IF(C198="Rushing",2*(200-Table1[[#This Row],[Rushing Yards]]-(30*Table1[[#This Row],[Passing TDs]])-50*(Table1[[#This Row],[Rushing TDs]]+Table1[[#This Row],[Receiving TDs]]+Table1[[#This Row],[Other TD''s]])),IF(C198="Receiving",2*(200-Table1[[#This Row],[Receiving Yards]]-(30*Table1[[#This Row],[Passing TDs]])-50*(Table1[[#This Row],[Rushing TDs]]+Table1[[#This Row],[Receiving TDs]]+Table1[[#This Row],[Other TD''s]])),IF(C198="Defensive",(25*(16-Table1[[#This Row],[Tackles]]-(8*(Table1[[#This Row],[Other TD''s]]+Table1[[#This Row],[Interceptions]]+Table1[[#This Row],[Fumbles Recovered]])))))))))))</f>
        <v/>
      </c>
      <c r="R198" s="3" t="str">
        <f t="shared" si="8"/>
        <v/>
      </c>
      <c r="S198" s="4">
        <f t="shared" si="7"/>
        <v>1048507</v>
      </c>
      <c r="T1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9" spans="1:20" hidden="1" x14ac:dyDescent="0.25">
      <c r="A199" t="s">
        <v>61</v>
      </c>
      <c r="B199" s="28" t="s">
        <v>46</v>
      </c>
      <c r="C199" t="s">
        <v>16</v>
      </c>
      <c r="D199" t="str">
        <f>_xlfn.XLOOKUP(Table1[[#This Row],[Player]]&amp;Table1[[#This Row],[Week]]&amp;Table1[[#This Row],[Role]],'Google Form Transform'!$A:$A,'Google Form Transform'!E:E,"")</f>
        <v/>
      </c>
      <c r="E199" t="str">
        <f>_xlfn.XLOOKUP(Table1[[#This Row],[Player]]&amp;Table1[[#This Row],[Week]]&amp;Table1[[#This Row],[Role]],'Google Form Transform'!$A:$A,'Google Form Transform'!F:F,"")</f>
        <v/>
      </c>
      <c r="F199" t="str">
        <f>_xlfn.XLOOKUP(Table1[[#This Row],[Player]]&amp;Table1[[#This Row],[Week]]&amp;Table1[[#This Row],[Role]],'Google Form Transform'!$A:$A,'Google Form Transform'!G:G,"")</f>
        <v/>
      </c>
      <c r="G199" s="59">
        <f>SUMIFS(Table2[Stat],Table2[Stat Category],"passing",Table2[Stat Type],"YDS",Table2[Athlete],Table1[[#This Row],[Pick]],Table2[Week],Table1[[#This Row],[Week]])</f>
        <v>0</v>
      </c>
      <c r="H199" s="59">
        <f>SUMIFS(Table2[Stat],Table2[Stat Category],"rushing",Table2[Stat Type],"YDS",Table2[Athlete],Table1[[#This Row],[Pick]],Table2[Week],Table1[[#This Row],[Week]])</f>
        <v>0</v>
      </c>
      <c r="I199" s="59">
        <f>SUMIFS(Table2[Stat],Table2[Stat Category],"receiving",Table2[Stat Type],"YDS",Table2[Athlete],Table1[[#This Row],[Pick]],Table2[Week],Table1[[#This Row],[Week]])</f>
        <v>0</v>
      </c>
      <c r="J199" s="6">
        <f>IF(AND($C199="Rushing", $H199&lt;=0), 0, IF(AND($C199="Passing", $G$3&lt;=0), 0,IF(AND($C199="Receiving",$I199&lt;=0), 0,SUMIFS(Table2[Stat],Table2[Week],Table1[[#This Row],[Week]],Table2[Athlete],Table1[[#This Row],[Pick]],Table2[Stat Category],"passing",Table2[Stat Type],"TD"))))</f>
        <v>0</v>
      </c>
      <c r="K199" s="6">
        <f>IF(AND($C199="Rushing", $H199&lt;=0), 0, IF(AND($C199="Passing", $G$3&lt;=0), 0,IF(AND($C199="Receiving",$I199&lt;=0),0,SUMIFS(Table2[Stat],Table2[Week],Table1[[#This Row],[Week]],Table2[Athlete],Table1[[#This Row],[Pick]],Table2[Stat Category],"rushing",Table2[Stat Type],"TD"))))</f>
        <v>0</v>
      </c>
      <c r="L199" s="6">
        <f>IF(AND($C199="Rushing", $H199&lt;=0), 0, IF(AND($C199="Passing", $G$3&lt;=0), 0,IF(AND($C199="Receiving",$I199&lt;=0),0,SUMIFS(Table2[Stat],Table2[Week],Table1[[#This Row],[Week]],Table2[Athlete],Table1[[#This Row],[Pick]],Table2[Stat Category],"receiving",Table2[Stat Type],"TD"))))</f>
        <v>0</v>
      </c>
      <c r="M1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9" s="61">
        <f>SUMIFS(Data!$J:$J,Data!$A:$A,Info!$B199,Data!$G:$G,Info!$C199,Data!$I:$I,Info!$D199,Data!$H:$H,"TOT")</f>
        <v>0</v>
      </c>
      <c r="O199" s="61">
        <f>IF(C199="Defensive",SUMIFS(Data!$J:$J,Data!$A:$A,Info!$B199,Data!$I:$I,Info!$D199,Data!$H:$H,"INT"),0)</f>
        <v>0</v>
      </c>
      <c r="P199" s="61">
        <f>IF(Table1[[#This Row],[Role]]="Defensive",SUMIFS(Data!$J:$J,Data!$A:$A,Info!$B199,Data!$I:$I,Info!$D199,Data!$H:$H,$P$1),0)</f>
        <v>0</v>
      </c>
      <c r="Q199" s="65" t="str">
        <f>IF(Table1[[#This Row],[Pick]]="","",IF(S199&gt;1,400,IF(G199="","",IF(C199="Passing",(400-Table1[[#This Row],[Passing Yards]]-(30*Table1[[#This Row],[Passing TDs]])-(50*SUM(Table1[[#This Row],[Rushing TDs]:[Other TD''s]]))),IF(C199="Rushing",2*(200-Table1[[#This Row],[Rushing Yards]]-(30*Table1[[#This Row],[Passing TDs]])-50*(Table1[[#This Row],[Rushing TDs]]+Table1[[#This Row],[Receiving TDs]]+Table1[[#This Row],[Other TD''s]])),IF(C199="Receiving",2*(200-Table1[[#This Row],[Receiving Yards]]-(30*Table1[[#This Row],[Passing TDs]])-50*(Table1[[#This Row],[Rushing TDs]]+Table1[[#This Row],[Receiving TDs]]+Table1[[#This Row],[Other TD''s]])),IF(C199="Defensive",(25*(16-Table1[[#This Row],[Tackles]]-(8*(Table1[[#This Row],[Other TD''s]]+Table1[[#This Row],[Interceptions]]+Table1[[#This Row],[Fumbles Recovered]])))))))))))</f>
        <v/>
      </c>
      <c r="R199" s="3" t="str">
        <f t="shared" si="8"/>
        <v/>
      </c>
      <c r="S199" s="4">
        <f t="shared" si="7"/>
        <v>1048507</v>
      </c>
      <c r="T1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0" spans="1:20" hidden="1" x14ac:dyDescent="0.25">
      <c r="A200" t="s">
        <v>61</v>
      </c>
      <c r="B200" s="28" t="s">
        <v>46</v>
      </c>
      <c r="C200" t="s">
        <v>6</v>
      </c>
      <c r="D200" t="str">
        <f>_xlfn.XLOOKUP(Table1[[#This Row],[Player]]&amp;Table1[[#This Row],[Week]]&amp;Table1[[#This Row],[Role]],'Google Form Transform'!$A:$A,'Google Form Transform'!E:E,"")</f>
        <v/>
      </c>
      <c r="E200" t="str">
        <f>_xlfn.XLOOKUP(Table1[[#This Row],[Player]]&amp;Table1[[#This Row],[Week]]&amp;Table1[[#This Row],[Role]],'Google Form Transform'!$A:$A,'Google Form Transform'!F:F,"")</f>
        <v/>
      </c>
      <c r="F200" t="str">
        <f>_xlfn.XLOOKUP(Table1[[#This Row],[Player]]&amp;Table1[[#This Row],[Week]]&amp;Table1[[#This Row],[Role]],'Google Form Transform'!$A:$A,'Google Form Transform'!G:G,"")</f>
        <v/>
      </c>
      <c r="G200" s="59">
        <f>SUMIFS(Table2[Stat],Table2[Stat Category],"passing",Table2[Stat Type],"YDS",Table2[Athlete],Table1[[#This Row],[Pick]],Table2[Week],Table1[[#This Row],[Week]])</f>
        <v>0</v>
      </c>
      <c r="H200" s="59">
        <f>SUMIFS(Table2[Stat],Table2[Stat Category],"rushing",Table2[Stat Type],"YDS",Table2[Athlete],Table1[[#This Row],[Pick]],Table2[Week],Table1[[#This Row],[Week]])</f>
        <v>0</v>
      </c>
      <c r="I200" s="59">
        <f>SUMIFS(Table2[Stat],Table2[Stat Category],"receiving",Table2[Stat Type],"YDS",Table2[Athlete],Table1[[#This Row],[Pick]],Table2[Week],Table1[[#This Row],[Week]])</f>
        <v>0</v>
      </c>
      <c r="J200" s="6">
        <f>IF(AND($C200="Rushing", $H200&lt;=0), 0, IF(AND($C200="Passing", $G$3&lt;=0), 0,IF(AND($C200="Receiving",$I200&lt;=0), 0,SUMIFS(Table2[Stat],Table2[Week],Table1[[#This Row],[Week]],Table2[Athlete],Table1[[#This Row],[Pick]],Table2[Stat Category],"passing",Table2[Stat Type],"TD"))))</f>
        <v>0</v>
      </c>
      <c r="K200" s="6">
        <f>IF(AND($C200="Rushing", $H200&lt;=0), 0, IF(AND($C200="Passing", $G$3&lt;=0), 0,IF(AND($C200="Receiving",$I200&lt;=0),0,SUMIFS(Table2[Stat],Table2[Week],Table1[[#This Row],[Week]],Table2[Athlete],Table1[[#This Row],[Pick]],Table2[Stat Category],"rushing",Table2[Stat Type],"TD"))))</f>
        <v>0</v>
      </c>
      <c r="L200" s="6">
        <f>IF(AND($C200="Rushing", $H200&lt;=0), 0, IF(AND($C200="Passing", $G$3&lt;=0), 0,IF(AND($C200="Receiving",$I200&lt;=0),0,SUMIFS(Table2[Stat],Table2[Week],Table1[[#This Row],[Week]],Table2[Athlete],Table1[[#This Row],[Pick]],Table2[Stat Category],"receiving",Table2[Stat Type],"TD"))))</f>
        <v>0</v>
      </c>
      <c r="M2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0" s="61">
        <f>SUMIFS(Data!$J:$J,Data!$A:$A,Info!$B200,Data!$G:$G,Info!$C200,Data!$I:$I,Info!$D200,Data!$H:$H,"TOT")</f>
        <v>0</v>
      </c>
      <c r="O200" s="61">
        <f>IF(C200="Defensive",SUMIFS(Data!$J:$J,Data!$A:$A,Info!$B200,Data!$I:$I,Info!$D200,Data!$H:$H,"INT"),0)</f>
        <v>0</v>
      </c>
      <c r="P200" s="61">
        <f>IF(Table1[[#This Row],[Role]]="Defensive",SUMIFS(Data!$J:$J,Data!$A:$A,Info!$B200,Data!$I:$I,Info!$D200,Data!$H:$H,$P$1),0)</f>
        <v>0</v>
      </c>
      <c r="Q200" s="65" t="str">
        <f>IF(Table1[[#This Row],[Pick]]="","",IF(S200&gt;1,400,IF(G200="","",IF(C200="Passing",(400-Table1[[#This Row],[Passing Yards]]-(30*Table1[[#This Row],[Passing TDs]])-(50*SUM(Table1[[#This Row],[Rushing TDs]:[Other TD''s]]))),IF(C200="Rushing",2*(200-Table1[[#This Row],[Rushing Yards]]-(30*Table1[[#This Row],[Passing TDs]])-50*(Table1[[#This Row],[Rushing TDs]]+Table1[[#This Row],[Receiving TDs]]+Table1[[#This Row],[Other TD''s]])),IF(C200="Receiving",2*(200-Table1[[#This Row],[Receiving Yards]]-(30*Table1[[#This Row],[Passing TDs]])-50*(Table1[[#This Row],[Rushing TDs]]+Table1[[#This Row],[Receiving TDs]]+Table1[[#This Row],[Other TD''s]])),IF(C200="Defensive",(25*(16-Table1[[#This Row],[Tackles]]-(8*(Table1[[#This Row],[Other TD''s]]+Table1[[#This Row],[Interceptions]]+Table1[[#This Row],[Fumbles Recovered]])))))))))))</f>
        <v/>
      </c>
      <c r="R200" s="3" t="str">
        <f t="shared" si="8"/>
        <v/>
      </c>
      <c r="S200" s="4">
        <f t="shared" si="7"/>
        <v>1048507</v>
      </c>
      <c r="T2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1" spans="1:20" hidden="1" x14ac:dyDescent="0.25">
      <c r="A201" t="s">
        <v>61</v>
      </c>
      <c r="B201" s="28" t="s">
        <v>46</v>
      </c>
      <c r="C201" t="s">
        <v>17</v>
      </c>
      <c r="D201" t="str">
        <f>_xlfn.XLOOKUP(Table1[[#This Row],[Player]]&amp;Table1[[#This Row],[Week]]&amp;Table1[[#This Row],[Role]],'Google Form Transform'!$A:$A,'Google Form Transform'!E:E,"")</f>
        <v/>
      </c>
      <c r="E201" t="str">
        <f>_xlfn.XLOOKUP(Table1[[#This Row],[Player]]&amp;Table1[[#This Row],[Week]]&amp;Table1[[#This Row],[Role]],'Google Form Transform'!$A:$A,'Google Form Transform'!F:F,"")</f>
        <v/>
      </c>
      <c r="F201" t="str">
        <f>_xlfn.XLOOKUP(Table1[[#This Row],[Player]]&amp;Table1[[#This Row],[Week]]&amp;Table1[[#This Row],[Role]],'Google Form Transform'!$A:$A,'Google Form Transform'!G:G,"")</f>
        <v/>
      </c>
      <c r="G201" s="59">
        <f>SUMIFS(Table2[Stat],Table2[Stat Category],"passing",Table2[Stat Type],"YDS",Table2[Athlete],Table1[[#This Row],[Pick]],Table2[Week],Table1[[#This Row],[Week]])</f>
        <v>0</v>
      </c>
      <c r="H201" s="59">
        <f>SUMIFS(Table2[Stat],Table2[Stat Category],"rushing",Table2[Stat Type],"YDS",Table2[Athlete],Table1[[#This Row],[Pick]],Table2[Week],Table1[[#This Row],[Week]])</f>
        <v>0</v>
      </c>
      <c r="I201" s="59">
        <f>SUMIFS(Table2[Stat],Table2[Stat Category],"receiving",Table2[Stat Type],"YDS",Table2[Athlete],Table1[[#This Row],[Pick]],Table2[Week],Table1[[#This Row],[Week]])</f>
        <v>0</v>
      </c>
      <c r="J201" s="6">
        <f>IF(AND($C201="Rushing", $H201&lt;=0), 0, IF(AND($C201="Passing", $G$3&lt;=0), 0,IF(AND($C201="Receiving",$I201&lt;=0), 0,SUMIFS(Table2[Stat],Table2[Week],Table1[[#This Row],[Week]],Table2[Athlete],Table1[[#This Row],[Pick]],Table2[Stat Category],"passing",Table2[Stat Type],"TD"))))</f>
        <v>0</v>
      </c>
      <c r="K201" s="6">
        <f>IF(AND($C201="Rushing", $H201&lt;=0), 0, IF(AND($C201="Passing", $G$3&lt;=0), 0,IF(AND($C201="Receiving",$I201&lt;=0),0,SUMIFS(Table2[Stat],Table2[Week],Table1[[#This Row],[Week]],Table2[Athlete],Table1[[#This Row],[Pick]],Table2[Stat Category],"rushing",Table2[Stat Type],"TD"))))</f>
        <v>0</v>
      </c>
      <c r="L201" s="6">
        <f>IF(AND($C201="Rushing", $H201&lt;=0), 0, IF(AND($C201="Passing", $G$3&lt;=0), 0,IF(AND($C201="Receiving",$I201&lt;=0),0,SUMIFS(Table2[Stat],Table2[Week],Table1[[#This Row],[Week]],Table2[Athlete],Table1[[#This Row],[Pick]],Table2[Stat Category],"receiving",Table2[Stat Type],"TD"))))</f>
        <v>0</v>
      </c>
      <c r="M2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1" s="61">
        <f>SUMIFS(Data!$J:$J,Data!$A:$A,Info!$B201,Data!$G:$G,Info!$C201,Data!$I:$I,Info!$D201,Data!$H:$H,"TOT")</f>
        <v>0</v>
      </c>
      <c r="O201" s="61">
        <f>IF(C201="Defensive",SUMIFS(Data!$J:$J,Data!$A:$A,Info!$B201,Data!$I:$I,Info!$D201,Data!$H:$H,"INT"),0)</f>
        <v>0</v>
      </c>
      <c r="P201" s="61">
        <f>IF(Table1[[#This Row],[Role]]="Defensive",SUMIFS(Data!$J:$J,Data!$A:$A,Info!$B201,Data!$I:$I,Info!$D201,Data!$H:$H,$P$1),0)</f>
        <v>0</v>
      </c>
      <c r="Q201" s="65" t="str">
        <f>IF(Table1[[#This Row],[Pick]]="","",IF(S201&gt;1,400,IF(G201="","",IF(C201="Passing",(400-Table1[[#This Row],[Passing Yards]]-(30*Table1[[#This Row],[Passing TDs]])-(50*SUM(Table1[[#This Row],[Rushing TDs]:[Other TD''s]]))),IF(C201="Rushing",2*(200-Table1[[#This Row],[Rushing Yards]]-(30*Table1[[#This Row],[Passing TDs]])-50*(Table1[[#This Row],[Rushing TDs]]+Table1[[#This Row],[Receiving TDs]]+Table1[[#This Row],[Other TD''s]])),IF(C201="Receiving",2*(200-Table1[[#This Row],[Receiving Yards]]-(30*Table1[[#This Row],[Passing TDs]])-50*(Table1[[#This Row],[Rushing TDs]]+Table1[[#This Row],[Receiving TDs]]+Table1[[#This Row],[Other TD''s]])),IF(C201="Defensive",(25*(16-Table1[[#This Row],[Tackles]]-(8*(Table1[[#This Row],[Other TD''s]]+Table1[[#This Row],[Interceptions]]+Table1[[#This Row],[Fumbles Recovered]])))))))))))</f>
        <v/>
      </c>
      <c r="R201" s="3" t="str">
        <f t="shared" si="8"/>
        <v/>
      </c>
      <c r="S201" s="4">
        <f t="shared" si="7"/>
        <v>1048507</v>
      </c>
      <c r="T2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2" spans="1:20" hidden="1" x14ac:dyDescent="0.25">
      <c r="A202" t="s">
        <v>61</v>
      </c>
      <c r="B202" s="28" t="s">
        <v>46</v>
      </c>
      <c r="C202" t="s">
        <v>20</v>
      </c>
      <c r="D202" t="str">
        <f>_xlfn.XLOOKUP(Table1[[#This Row],[Player]]&amp;Table1[[#This Row],[Week]]&amp;Table1[[#This Row],[Role]],'Google Form Transform'!$A:$A,'Google Form Transform'!E:E,"")</f>
        <v/>
      </c>
      <c r="E202" t="str">
        <f>_xlfn.XLOOKUP(Table1[[#This Row],[Player]]&amp;Table1[[#This Row],[Week]]&amp;Table1[[#This Row],[Role]],'Google Form Transform'!$A:$A,'Google Form Transform'!F:F,"")</f>
        <v/>
      </c>
      <c r="F202" t="str">
        <f>_xlfn.XLOOKUP(Table1[[#This Row],[Player]]&amp;Table1[[#This Row],[Week]]&amp;Table1[[#This Row],[Role]],'Google Form Transform'!$A:$A,'Google Form Transform'!G:G,"")</f>
        <v/>
      </c>
      <c r="G202" s="59">
        <f>SUMIFS(Table2[Stat],Table2[Stat Category],"passing",Table2[Stat Type],"YDS",Table2[Athlete],Table1[[#This Row],[Pick]],Table2[Week],Table1[[#This Row],[Week]])</f>
        <v>0</v>
      </c>
      <c r="H202" s="59">
        <f>SUMIFS(Table2[Stat],Table2[Stat Category],"rushing",Table2[Stat Type],"YDS",Table2[Athlete],Table1[[#This Row],[Pick]],Table2[Week],Table1[[#This Row],[Week]])</f>
        <v>0</v>
      </c>
      <c r="I202" s="59">
        <f>SUMIFS(Table2[Stat],Table2[Stat Category],"receiving",Table2[Stat Type],"YDS",Table2[Athlete],Table1[[#This Row],[Pick]],Table2[Week],Table1[[#This Row],[Week]])</f>
        <v>0</v>
      </c>
      <c r="J202" s="6">
        <f>IF(AND($C202="Rushing", $H202&lt;=0), 0, IF(AND($C202="Passing", $G$3&lt;=0), 0,IF(AND($C202="Receiving",$I202&lt;=0), 0,SUMIFS(Table2[Stat],Table2[Week],Table1[[#This Row],[Week]],Table2[Athlete],Table1[[#This Row],[Pick]],Table2[Stat Category],"passing",Table2[Stat Type],"TD"))))</f>
        <v>0</v>
      </c>
      <c r="K202" s="6">
        <f>IF(AND($C202="Rushing", $H202&lt;=0), 0, IF(AND($C202="Passing", $G$3&lt;=0), 0,IF(AND($C202="Receiving",$I202&lt;=0),0,SUMIFS(Table2[Stat],Table2[Week],Table1[[#This Row],[Week]],Table2[Athlete],Table1[[#This Row],[Pick]],Table2[Stat Category],"rushing",Table2[Stat Type],"TD"))))</f>
        <v>0</v>
      </c>
      <c r="L202" s="6">
        <f>IF(AND($C202="Rushing", $H202&lt;=0), 0, IF(AND($C202="Passing", $G$3&lt;=0), 0,IF(AND($C202="Receiving",$I202&lt;=0),0,SUMIFS(Table2[Stat],Table2[Week],Table1[[#This Row],[Week]],Table2[Athlete],Table1[[#This Row],[Pick]],Table2[Stat Category],"receiving",Table2[Stat Type],"TD"))))</f>
        <v>0</v>
      </c>
      <c r="M2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2" s="61">
        <f>SUMIFS(Data!$J:$J,Data!$A:$A,Info!$B202,Data!$G:$G,Info!$C202,Data!$I:$I,Info!$D202,Data!$H:$H,"TOT")</f>
        <v>0</v>
      </c>
      <c r="O202" s="61">
        <f>IF(C202="Defensive",SUMIFS(Data!$J:$J,Data!$A:$A,Info!$B202,Data!$I:$I,Info!$D202,Data!$H:$H,"INT"),0)</f>
        <v>0</v>
      </c>
      <c r="P202" s="61">
        <f>IF(Table1[[#This Row],[Role]]="Defensive",SUMIFS(Data!$J:$J,Data!$A:$A,Info!$B202,Data!$I:$I,Info!$D202,Data!$H:$H,$P$1),0)</f>
        <v>0</v>
      </c>
      <c r="Q202" s="65" t="str">
        <f>IF(Table1[[#This Row],[Pick]]="","",IF(S202&gt;1,400,IF(G202="","",IF(C202="Passing",(400-Table1[[#This Row],[Passing Yards]]-(30*Table1[[#This Row],[Passing TDs]])-(50*SUM(Table1[[#This Row],[Rushing TDs]:[Other TD''s]]))),IF(C202="Rushing",2*(200-Table1[[#This Row],[Rushing Yards]]-(30*Table1[[#This Row],[Passing TDs]])-50*(Table1[[#This Row],[Rushing TDs]]+Table1[[#This Row],[Receiving TDs]]+Table1[[#This Row],[Other TD''s]])),IF(C202="Receiving",2*(200-Table1[[#This Row],[Receiving Yards]]-(30*Table1[[#This Row],[Passing TDs]])-50*(Table1[[#This Row],[Rushing TDs]]+Table1[[#This Row],[Receiving TDs]]+Table1[[#This Row],[Other TD''s]])),IF(C202="Defensive",(25*(16-Table1[[#This Row],[Tackles]]-(8*(Table1[[#This Row],[Other TD''s]]+Table1[[#This Row],[Interceptions]]+Table1[[#This Row],[Fumbles Recovered]])))))))))))</f>
        <v/>
      </c>
      <c r="R202" s="3" t="str">
        <f t="shared" si="8"/>
        <v/>
      </c>
      <c r="S202" s="4">
        <f t="shared" si="7"/>
        <v>1048507</v>
      </c>
      <c r="T2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3" spans="1:20" hidden="1" x14ac:dyDescent="0.25">
      <c r="A203" t="s">
        <v>60</v>
      </c>
      <c r="B203" s="28" t="s">
        <v>46</v>
      </c>
      <c r="C203" t="s">
        <v>16</v>
      </c>
      <c r="D203" t="str">
        <f>_xlfn.XLOOKUP(Table1[[#This Row],[Player]]&amp;Table1[[#This Row],[Week]]&amp;Table1[[#This Row],[Role]],'Google Form Transform'!$A:$A,'Google Form Transform'!E:E,"")</f>
        <v/>
      </c>
      <c r="E203" t="str">
        <f>_xlfn.XLOOKUP(Table1[[#This Row],[Player]]&amp;Table1[[#This Row],[Week]]&amp;Table1[[#This Row],[Role]],'Google Form Transform'!$A:$A,'Google Form Transform'!F:F,"")</f>
        <v/>
      </c>
      <c r="F203" t="str">
        <f>_xlfn.XLOOKUP(Table1[[#This Row],[Player]]&amp;Table1[[#This Row],[Week]]&amp;Table1[[#This Row],[Role]],'Google Form Transform'!$A:$A,'Google Form Transform'!G:G,"")</f>
        <v/>
      </c>
      <c r="G203" s="59">
        <f>SUMIFS(Table2[Stat],Table2[Stat Category],"passing",Table2[Stat Type],"YDS",Table2[Athlete],Table1[[#This Row],[Pick]],Table2[Week],Table1[[#This Row],[Week]])</f>
        <v>0</v>
      </c>
      <c r="H203" s="59">
        <f>SUMIFS(Table2[Stat],Table2[Stat Category],"rushing",Table2[Stat Type],"YDS",Table2[Athlete],Table1[[#This Row],[Pick]],Table2[Week],Table1[[#This Row],[Week]])</f>
        <v>0</v>
      </c>
      <c r="I203" s="59">
        <f>SUMIFS(Table2[Stat],Table2[Stat Category],"receiving",Table2[Stat Type],"YDS",Table2[Athlete],Table1[[#This Row],[Pick]],Table2[Week],Table1[[#This Row],[Week]])</f>
        <v>0</v>
      </c>
      <c r="J203" s="6">
        <f>IF(AND($C203="Rushing", $H203&lt;=0), 0, IF(AND($C203="Passing", $G$3&lt;=0), 0,IF(AND($C203="Receiving",$I203&lt;=0), 0,SUMIFS(Table2[Stat],Table2[Week],Table1[[#This Row],[Week]],Table2[Athlete],Table1[[#This Row],[Pick]],Table2[Stat Category],"passing",Table2[Stat Type],"TD"))))</f>
        <v>0</v>
      </c>
      <c r="K203" s="6">
        <f>IF(AND($C203="Rushing", $H203&lt;=0), 0, IF(AND($C203="Passing", $G$3&lt;=0), 0,IF(AND($C203="Receiving",$I203&lt;=0),0,SUMIFS(Table2[Stat],Table2[Week],Table1[[#This Row],[Week]],Table2[Athlete],Table1[[#This Row],[Pick]],Table2[Stat Category],"rushing",Table2[Stat Type],"TD"))))</f>
        <v>0</v>
      </c>
      <c r="L203" s="6">
        <f>IF(AND($C203="Rushing", $H203&lt;=0), 0, IF(AND($C203="Passing", $G$3&lt;=0), 0,IF(AND($C203="Receiving",$I203&lt;=0),0,SUMIFS(Table2[Stat],Table2[Week],Table1[[#This Row],[Week]],Table2[Athlete],Table1[[#This Row],[Pick]],Table2[Stat Category],"receiving",Table2[Stat Type],"TD"))))</f>
        <v>0</v>
      </c>
      <c r="M2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3" s="61">
        <f>SUMIFS(Data!$J:$J,Data!$A:$A,Info!$B203,Data!$G:$G,Info!$C203,Data!$I:$I,Info!$D203,Data!$H:$H,"TOT")</f>
        <v>0</v>
      </c>
      <c r="O203" s="61">
        <f>IF(C203="Defensive",SUMIFS(Data!$J:$J,Data!$A:$A,Info!$B203,Data!$I:$I,Info!$D203,Data!$H:$H,"INT"),0)</f>
        <v>0</v>
      </c>
      <c r="P203" s="61">
        <f>IF(Table1[[#This Row],[Role]]="Defensive",SUMIFS(Data!$J:$J,Data!$A:$A,Info!$B203,Data!$I:$I,Info!$D203,Data!$H:$H,$P$1),0)</f>
        <v>0</v>
      </c>
      <c r="Q203" s="65" t="str">
        <f>IF(Table1[[#This Row],[Pick]]="","",IF(S203&gt;1,400,IF(G203="","",IF(C203="Passing",(400-Table1[[#This Row],[Passing Yards]]-(30*Table1[[#This Row],[Passing TDs]])-(50*SUM(Table1[[#This Row],[Rushing TDs]:[Other TD''s]]))),IF(C203="Rushing",2*(200-Table1[[#This Row],[Rushing Yards]]-(30*Table1[[#This Row],[Passing TDs]])-50*(Table1[[#This Row],[Rushing TDs]]+Table1[[#This Row],[Receiving TDs]]+Table1[[#This Row],[Other TD''s]])),IF(C203="Receiving",2*(200-Table1[[#This Row],[Receiving Yards]]-(30*Table1[[#This Row],[Passing TDs]])-50*(Table1[[#This Row],[Rushing TDs]]+Table1[[#This Row],[Receiving TDs]]+Table1[[#This Row],[Other TD''s]])),IF(C203="Defensive",(25*(16-Table1[[#This Row],[Tackles]]-(8*(Table1[[#This Row],[Other TD''s]]+Table1[[#This Row],[Interceptions]]+Table1[[#This Row],[Fumbles Recovered]])))))))))))</f>
        <v/>
      </c>
      <c r="R203" s="3" t="str">
        <f t="shared" si="8"/>
        <v/>
      </c>
      <c r="S203" s="4">
        <f t="shared" si="7"/>
        <v>1048507</v>
      </c>
      <c r="T2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4" spans="1:20" hidden="1" x14ac:dyDescent="0.25">
      <c r="A204" t="s">
        <v>60</v>
      </c>
      <c r="B204" s="28" t="s">
        <v>46</v>
      </c>
      <c r="C204" t="s">
        <v>6</v>
      </c>
      <c r="D204" t="str">
        <f>_xlfn.XLOOKUP(Table1[[#This Row],[Player]]&amp;Table1[[#This Row],[Week]]&amp;Table1[[#This Row],[Role]],'Google Form Transform'!$A:$A,'Google Form Transform'!E:E,"")</f>
        <v/>
      </c>
      <c r="E204" t="str">
        <f>_xlfn.XLOOKUP(Table1[[#This Row],[Player]]&amp;Table1[[#This Row],[Week]]&amp;Table1[[#This Row],[Role]],'Google Form Transform'!$A:$A,'Google Form Transform'!F:F,"")</f>
        <v/>
      </c>
      <c r="F204" t="str">
        <f>_xlfn.XLOOKUP(Table1[[#This Row],[Player]]&amp;Table1[[#This Row],[Week]]&amp;Table1[[#This Row],[Role]],'Google Form Transform'!$A:$A,'Google Form Transform'!G:G,"")</f>
        <v/>
      </c>
      <c r="G204" s="59">
        <f>SUMIFS(Table2[Stat],Table2[Stat Category],"passing",Table2[Stat Type],"YDS",Table2[Athlete],Table1[[#This Row],[Pick]],Table2[Week],Table1[[#This Row],[Week]])</f>
        <v>0</v>
      </c>
      <c r="H204" s="59">
        <f>SUMIFS(Table2[Stat],Table2[Stat Category],"rushing",Table2[Stat Type],"YDS",Table2[Athlete],Table1[[#This Row],[Pick]],Table2[Week],Table1[[#This Row],[Week]])</f>
        <v>0</v>
      </c>
      <c r="I204" s="59">
        <f>SUMIFS(Table2[Stat],Table2[Stat Category],"receiving",Table2[Stat Type],"YDS",Table2[Athlete],Table1[[#This Row],[Pick]],Table2[Week],Table1[[#This Row],[Week]])</f>
        <v>0</v>
      </c>
      <c r="J204" s="6">
        <f>IF(AND($C204="Rushing", $H204&lt;=0), 0, IF(AND($C204="Passing", $G$3&lt;=0), 0,IF(AND($C204="Receiving",$I204&lt;=0), 0,SUMIFS(Table2[Stat],Table2[Week],Table1[[#This Row],[Week]],Table2[Athlete],Table1[[#This Row],[Pick]],Table2[Stat Category],"passing",Table2[Stat Type],"TD"))))</f>
        <v>0</v>
      </c>
      <c r="K204" s="6">
        <f>IF(AND($C204="Rushing", $H204&lt;=0), 0, IF(AND($C204="Passing", $G$3&lt;=0), 0,IF(AND($C204="Receiving",$I204&lt;=0),0,SUMIFS(Table2[Stat],Table2[Week],Table1[[#This Row],[Week]],Table2[Athlete],Table1[[#This Row],[Pick]],Table2[Stat Category],"rushing",Table2[Stat Type],"TD"))))</f>
        <v>0</v>
      </c>
      <c r="L204" s="6">
        <f>IF(AND($C204="Rushing", $H204&lt;=0), 0, IF(AND($C204="Passing", $G$3&lt;=0), 0,IF(AND($C204="Receiving",$I204&lt;=0),0,SUMIFS(Table2[Stat],Table2[Week],Table1[[#This Row],[Week]],Table2[Athlete],Table1[[#This Row],[Pick]],Table2[Stat Category],"receiving",Table2[Stat Type],"TD"))))</f>
        <v>0</v>
      </c>
      <c r="M2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4" s="61">
        <f>SUMIFS(Data!$J:$J,Data!$A:$A,Info!$B204,Data!$G:$G,Info!$C204,Data!$I:$I,Info!$D204,Data!$H:$H,"TOT")</f>
        <v>0</v>
      </c>
      <c r="O204" s="61">
        <f>IF(C204="Defensive",SUMIFS(Data!$J:$J,Data!$A:$A,Info!$B204,Data!$I:$I,Info!$D204,Data!$H:$H,"INT"),0)</f>
        <v>0</v>
      </c>
      <c r="P204" s="61">
        <f>IF(Table1[[#This Row],[Role]]="Defensive",SUMIFS(Data!$J:$J,Data!$A:$A,Info!$B204,Data!$I:$I,Info!$D204,Data!$H:$H,$P$1),0)</f>
        <v>0</v>
      </c>
      <c r="Q204" s="65" t="str">
        <f>IF(Table1[[#This Row],[Pick]]="","",IF(S204&gt;1,400,IF(G204="","",IF(C204="Passing",(400-Table1[[#This Row],[Passing Yards]]-(30*Table1[[#This Row],[Passing TDs]])-(50*SUM(Table1[[#This Row],[Rushing TDs]:[Other TD''s]]))),IF(C204="Rushing",2*(200-Table1[[#This Row],[Rushing Yards]]-(30*Table1[[#This Row],[Passing TDs]])-50*(Table1[[#This Row],[Rushing TDs]]+Table1[[#This Row],[Receiving TDs]]+Table1[[#This Row],[Other TD''s]])),IF(C204="Receiving",2*(200-Table1[[#This Row],[Receiving Yards]]-(30*Table1[[#This Row],[Passing TDs]])-50*(Table1[[#This Row],[Rushing TDs]]+Table1[[#This Row],[Receiving TDs]]+Table1[[#This Row],[Other TD''s]])),IF(C204="Defensive",(25*(16-Table1[[#This Row],[Tackles]]-(8*(Table1[[#This Row],[Other TD''s]]+Table1[[#This Row],[Interceptions]]+Table1[[#This Row],[Fumbles Recovered]])))))))))))</f>
        <v/>
      </c>
      <c r="R204" s="3" t="str">
        <f t="shared" si="8"/>
        <v/>
      </c>
      <c r="S204" s="4">
        <f t="shared" si="7"/>
        <v>1048507</v>
      </c>
      <c r="T2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5" spans="1:20" hidden="1" x14ac:dyDescent="0.25">
      <c r="A205" t="s">
        <v>60</v>
      </c>
      <c r="B205" s="28" t="s">
        <v>46</v>
      </c>
      <c r="C205" t="s">
        <v>17</v>
      </c>
      <c r="D205" t="str">
        <f>_xlfn.XLOOKUP(Table1[[#This Row],[Player]]&amp;Table1[[#This Row],[Week]]&amp;Table1[[#This Row],[Role]],'Google Form Transform'!$A:$A,'Google Form Transform'!E:E,"")</f>
        <v/>
      </c>
      <c r="E205" t="str">
        <f>_xlfn.XLOOKUP(Table1[[#This Row],[Player]]&amp;Table1[[#This Row],[Week]]&amp;Table1[[#This Row],[Role]],'Google Form Transform'!$A:$A,'Google Form Transform'!F:F,"")</f>
        <v/>
      </c>
      <c r="F205" t="str">
        <f>_xlfn.XLOOKUP(Table1[[#This Row],[Player]]&amp;Table1[[#This Row],[Week]]&amp;Table1[[#This Row],[Role]],'Google Form Transform'!$A:$A,'Google Form Transform'!G:G,"")</f>
        <v/>
      </c>
      <c r="G205" s="59">
        <f>SUMIFS(Table2[Stat],Table2[Stat Category],"passing",Table2[Stat Type],"YDS",Table2[Athlete],Table1[[#This Row],[Pick]],Table2[Week],Table1[[#This Row],[Week]])</f>
        <v>0</v>
      </c>
      <c r="H205" s="59">
        <f>SUMIFS(Table2[Stat],Table2[Stat Category],"rushing",Table2[Stat Type],"YDS",Table2[Athlete],Table1[[#This Row],[Pick]],Table2[Week],Table1[[#This Row],[Week]])</f>
        <v>0</v>
      </c>
      <c r="I205" s="59">
        <f>SUMIFS(Table2[Stat],Table2[Stat Category],"receiving",Table2[Stat Type],"YDS",Table2[Athlete],Table1[[#This Row],[Pick]],Table2[Week],Table1[[#This Row],[Week]])</f>
        <v>0</v>
      </c>
      <c r="J205" s="6">
        <f>IF(AND($C205="Rushing", $H205&lt;=0), 0, IF(AND($C205="Passing", $G$3&lt;=0), 0,IF(AND($C205="Receiving",$I205&lt;=0), 0,SUMIFS(Table2[Stat],Table2[Week],Table1[[#This Row],[Week]],Table2[Athlete],Table1[[#This Row],[Pick]],Table2[Stat Category],"passing",Table2[Stat Type],"TD"))))</f>
        <v>0</v>
      </c>
      <c r="K205" s="6">
        <f>IF(AND($C205="Rushing", $H205&lt;=0), 0, IF(AND($C205="Passing", $G$3&lt;=0), 0,IF(AND($C205="Receiving",$I205&lt;=0),0,SUMIFS(Table2[Stat],Table2[Week],Table1[[#This Row],[Week]],Table2[Athlete],Table1[[#This Row],[Pick]],Table2[Stat Category],"rushing",Table2[Stat Type],"TD"))))</f>
        <v>0</v>
      </c>
      <c r="L205" s="6">
        <f>IF(AND($C205="Rushing", $H205&lt;=0), 0, IF(AND($C205="Passing", $G$3&lt;=0), 0,IF(AND($C205="Receiving",$I205&lt;=0),0,SUMIFS(Table2[Stat],Table2[Week],Table1[[#This Row],[Week]],Table2[Athlete],Table1[[#This Row],[Pick]],Table2[Stat Category],"receiving",Table2[Stat Type],"TD"))))</f>
        <v>0</v>
      </c>
      <c r="M2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5" s="61">
        <f>SUMIFS(Data!$J:$J,Data!$A:$A,Info!$B205,Data!$G:$G,Info!$C205,Data!$I:$I,Info!$D205,Data!$H:$H,"TOT")</f>
        <v>0</v>
      </c>
      <c r="O205" s="61">
        <f>IF(C205="Defensive",SUMIFS(Data!$J:$J,Data!$A:$A,Info!$B205,Data!$I:$I,Info!$D205,Data!$H:$H,"INT"),0)</f>
        <v>0</v>
      </c>
      <c r="P205" s="61">
        <f>IF(Table1[[#This Row],[Role]]="Defensive",SUMIFS(Data!$J:$J,Data!$A:$A,Info!$B205,Data!$I:$I,Info!$D205,Data!$H:$H,$P$1),0)</f>
        <v>0</v>
      </c>
      <c r="Q205" s="65" t="str">
        <f>IF(Table1[[#This Row],[Pick]]="","",IF(S205&gt;1,400,IF(G205="","",IF(C205="Passing",(400-Table1[[#This Row],[Passing Yards]]-(30*Table1[[#This Row],[Passing TDs]])-(50*SUM(Table1[[#This Row],[Rushing TDs]:[Other TD''s]]))),IF(C205="Rushing",2*(200-Table1[[#This Row],[Rushing Yards]]-(30*Table1[[#This Row],[Passing TDs]])-50*(Table1[[#This Row],[Rushing TDs]]+Table1[[#This Row],[Receiving TDs]]+Table1[[#This Row],[Other TD''s]])),IF(C205="Receiving",2*(200-Table1[[#This Row],[Receiving Yards]]-(30*Table1[[#This Row],[Passing TDs]])-50*(Table1[[#This Row],[Rushing TDs]]+Table1[[#This Row],[Receiving TDs]]+Table1[[#This Row],[Other TD''s]])),IF(C205="Defensive",(25*(16-Table1[[#This Row],[Tackles]]-(8*(Table1[[#This Row],[Other TD''s]]+Table1[[#This Row],[Interceptions]]+Table1[[#This Row],[Fumbles Recovered]])))))))))))</f>
        <v/>
      </c>
      <c r="R205" s="3" t="str">
        <f t="shared" si="8"/>
        <v/>
      </c>
      <c r="S205" s="4">
        <f t="shared" si="7"/>
        <v>1048507</v>
      </c>
      <c r="T2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6" spans="1:20" hidden="1" x14ac:dyDescent="0.25">
      <c r="A206" t="s">
        <v>60</v>
      </c>
      <c r="B206" s="28" t="s">
        <v>46</v>
      </c>
      <c r="C206" t="s">
        <v>20</v>
      </c>
      <c r="D206" t="str">
        <f>_xlfn.XLOOKUP(Table1[[#This Row],[Player]]&amp;Table1[[#This Row],[Week]]&amp;Table1[[#This Row],[Role]],'Google Form Transform'!$A:$A,'Google Form Transform'!E:E,"")</f>
        <v/>
      </c>
      <c r="E206" t="str">
        <f>_xlfn.XLOOKUP(Table1[[#This Row],[Player]]&amp;Table1[[#This Row],[Week]]&amp;Table1[[#This Row],[Role]],'Google Form Transform'!$A:$A,'Google Form Transform'!F:F,"")</f>
        <v/>
      </c>
      <c r="F206" t="str">
        <f>_xlfn.XLOOKUP(Table1[[#This Row],[Player]]&amp;Table1[[#This Row],[Week]]&amp;Table1[[#This Row],[Role]],'Google Form Transform'!$A:$A,'Google Form Transform'!G:G,"")</f>
        <v/>
      </c>
      <c r="G206" s="59">
        <f>SUMIFS(Table2[Stat],Table2[Stat Category],"passing",Table2[Stat Type],"YDS",Table2[Athlete],Table1[[#This Row],[Pick]],Table2[Week],Table1[[#This Row],[Week]])</f>
        <v>0</v>
      </c>
      <c r="H206" s="59">
        <f>SUMIFS(Table2[Stat],Table2[Stat Category],"rushing",Table2[Stat Type],"YDS",Table2[Athlete],Table1[[#This Row],[Pick]],Table2[Week],Table1[[#This Row],[Week]])</f>
        <v>0</v>
      </c>
      <c r="I206" s="59">
        <f>SUMIFS(Table2[Stat],Table2[Stat Category],"receiving",Table2[Stat Type],"YDS",Table2[Athlete],Table1[[#This Row],[Pick]],Table2[Week],Table1[[#This Row],[Week]])</f>
        <v>0</v>
      </c>
      <c r="J206" s="6">
        <f>IF(AND($C206="Rushing", $H206&lt;=0), 0, IF(AND($C206="Passing", $G$3&lt;=0), 0,IF(AND($C206="Receiving",$I206&lt;=0), 0,SUMIFS(Table2[Stat],Table2[Week],Table1[[#This Row],[Week]],Table2[Athlete],Table1[[#This Row],[Pick]],Table2[Stat Category],"passing",Table2[Stat Type],"TD"))))</f>
        <v>0</v>
      </c>
      <c r="K206" s="6">
        <f>IF(AND($C206="Rushing", $H206&lt;=0), 0, IF(AND($C206="Passing", $G$3&lt;=0), 0,IF(AND($C206="Receiving",$I206&lt;=0),0,SUMIFS(Table2[Stat],Table2[Week],Table1[[#This Row],[Week]],Table2[Athlete],Table1[[#This Row],[Pick]],Table2[Stat Category],"rushing",Table2[Stat Type],"TD"))))</f>
        <v>0</v>
      </c>
      <c r="L206" s="6">
        <f>IF(AND($C206="Rushing", $H206&lt;=0), 0, IF(AND($C206="Passing", $G$3&lt;=0), 0,IF(AND($C206="Receiving",$I206&lt;=0),0,SUMIFS(Table2[Stat],Table2[Week],Table1[[#This Row],[Week]],Table2[Athlete],Table1[[#This Row],[Pick]],Table2[Stat Category],"receiving",Table2[Stat Type],"TD"))))</f>
        <v>0</v>
      </c>
      <c r="M2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6" s="61">
        <f>SUMIFS(Data!$J:$J,Data!$A:$A,Info!$B206,Data!$G:$G,Info!$C206,Data!$I:$I,Info!$D206,Data!$H:$H,"TOT")</f>
        <v>0</v>
      </c>
      <c r="O206" s="61">
        <f>IF(C206="Defensive",SUMIFS(Data!$J:$J,Data!$A:$A,Info!$B206,Data!$I:$I,Info!$D206,Data!$H:$H,"INT"),0)</f>
        <v>0</v>
      </c>
      <c r="P206" s="61">
        <f>IF(Table1[[#This Row],[Role]]="Defensive",SUMIFS(Data!$J:$J,Data!$A:$A,Info!$B206,Data!$I:$I,Info!$D206,Data!$H:$H,$P$1),0)</f>
        <v>0</v>
      </c>
      <c r="Q206" s="65" t="str">
        <f>IF(Table1[[#This Row],[Pick]]="","",IF(S206&gt;1,400,IF(G206="","",IF(C206="Passing",(400-Table1[[#This Row],[Passing Yards]]-(30*Table1[[#This Row],[Passing TDs]])-(50*SUM(Table1[[#This Row],[Rushing TDs]:[Other TD''s]]))),IF(C206="Rushing",2*(200-Table1[[#This Row],[Rushing Yards]]-(30*Table1[[#This Row],[Passing TDs]])-50*(Table1[[#This Row],[Rushing TDs]]+Table1[[#This Row],[Receiving TDs]]+Table1[[#This Row],[Other TD''s]])),IF(C206="Receiving",2*(200-Table1[[#This Row],[Receiving Yards]]-(30*Table1[[#This Row],[Passing TDs]])-50*(Table1[[#This Row],[Rushing TDs]]+Table1[[#This Row],[Receiving TDs]]+Table1[[#This Row],[Other TD''s]])),IF(C206="Defensive",(25*(16-Table1[[#This Row],[Tackles]]-(8*(Table1[[#This Row],[Other TD''s]]+Table1[[#This Row],[Interceptions]]+Table1[[#This Row],[Fumbles Recovered]])))))))))))</f>
        <v/>
      </c>
      <c r="R206" s="3" t="str">
        <f t="shared" si="8"/>
        <v/>
      </c>
      <c r="S206" s="4">
        <f t="shared" si="7"/>
        <v>1048507</v>
      </c>
      <c r="T2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7" spans="1:20" hidden="1" x14ac:dyDescent="0.25">
      <c r="A207" t="s">
        <v>62</v>
      </c>
      <c r="B207" s="28" t="s">
        <v>46</v>
      </c>
      <c r="C207" t="s">
        <v>16</v>
      </c>
      <c r="D207" t="str">
        <f>_xlfn.XLOOKUP(Table1[[#This Row],[Player]]&amp;Table1[[#This Row],[Week]]&amp;Table1[[#This Row],[Role]],'Google Form Transform'!$A:$A,'Google Form Transform'!E:E,"")</f>
        <v/>
      </c>
      <c r="E207" t="str">
        <f>_xlfn.XLOOKUP(Table1[[#This Row],[Player]]&amp;Table1[[#This Row],[Week]]&amp;Table1[[#This Row],[Role]],'Google Form Transform'!$A:$A,'Google Form Transform'!F:F,"")</f>
        <v/>
      </c>
      <c r="F207" t="str">
        <f>_xlfn.XLOOKUP(Table1[[#This Row],[Player]]&amp;Table1[[#This Row],[Week]]&amp;Table1[[#This Row],[Role]],'Google Form Transform'!$A:$A,'Google Form Transform'!G:G,"")</f>
        <v/>
      </c>
      <c r="G207" s="59">
        <f>SUMIFS(Table2[Stat],Table2[Stat Category],"passing",Table2[Stat Type],"YDS",Table2[Athlete],Table1[[#This Row],[Pick]],Table2[Week],Table1[[#This Row],[Week]])</f>
        <v>0</v>
      </c>
      <c r="H207" s="59">
        <f>SUMIFS(Table2[Stat],Table2[Stat Category],"rushing",Table2[Stat Type],"YDS",Table2[Athlete],Table1[[#This Row],[Pick]],Table2[Week],Table1[[#This Row],[Week]])</f>
        <v>0</v>
      </c>
      <c r="I207" s="59">
        <f>SUMIFS(Table2[Stat],Table2[Stat Category],"receiving",Table2[Stat Type],"YDS",Table2[Athlete],Table1[[#This Row],[Pick]],Table2[Week],Table1[[#This Row],[Week]])</f>
        <v>0</v>
      </c>
      <c r="J207" s="6">
        <f>IF(AND($C207="Rushing", $H207&lt;=0), 0, IF(AND($C207="Passing", $G$3&lt;=0), 0,IF(AND($C207="Receiving",$I207&lt;=0), 0,SUMIFS(Table2[Stat],Table2[Week],Table1[[#This Row],[Week]],Table2[Athlete],Table1[[#This Row],[Pick]],Table2[Stat Category],"passing",Table2[Stat Type],"TD"))))</f>
        <v>0</v>
      </c>
      <c r="K207" s="6">
        <f>IF(AND($C207="Rushing", $H207&lt;=0), 0, IF(AND($C207="Passing", $G$3&lt;=0), 0,IF(AND($C207="Receiving",$I207&lt;=0),0,SUMIFS(Table2[Stat],Table2[Week],Table1[[#This Row],[Week]],Table2[Athlete],Table1[[#This Row],[Pick]],Table2[Stat Category],"rushing",Table2[Stat Type],"TD"))))</f>
        <v>0</v>
      </c>
      <c r="L207" s="6">
        <f>IF(AND($C207="Rushing", $H207&lt;=0), 0, IF(AND($C207="Passing", $G$3&lt;=0), 0,IF(AND($C207="Receiving",$I207&lt;=0),0,SUMIFS(Table2[Stat],Table2[Week],Table1[[#This Row],[Week]],Table2[Athlete],Table1[[#This Row],[Pick]],Table2[Stat Category],"receiving",Table2[Stat Type],"TD"))))</f>
        <v>0</v>
      </c>
      <c r="M2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7" s="61">
        <f>SUMIFS(Data!$J:$J,Data!$A:$A,Info!$B207,Data!$G:$G,Info!$C207,Data!$I:$I,Info!$D207,Data!$H:$H,"TOT")</f>
        <v>0</v>
      </c>
      <c r="O207" s="61">
        <f>IF(C207="Defensive",SUMIFS(Data!$J:$J,Data!$A:$A,Info!$B207,Data!$I:$I,Info!$D207,Data!$H:$H,"INT"),0)</f>
        <v>0</v>
      </c>
      <c r="P207" s="61">
        <f>IF(Table1[[#This Row],[Role]]="Defensive",SUMIFS(Data!$J:$J,Data!$A:$A,Info!$B207,Data!$I:$I,Info!$D207,Data!$H:$H,$P$1),0)</f>
        <v>0</v>
      </c>
      <c r="Q207" s="65" t="str">
        <f>IF(Table1[[#This Row],[Pick]]="","",IF(S207&gt;1,400,IF(G207="","",IF(C207="Passing",(400-Table1[[#This Row],[Passing Yards]]-(30*Table1[[#This Row],[Passing TDs]])-(50*SUM(Table1[[#This Row],[Rushing TDs]:[Other TD''s]]))),IF(C207="Rushing",2*(200-Table1[[#This Row],[Rushing Yards]]-(30*Table1[[#This Row],[Passing TDs]])-50*(Table1[[#This Row],[Rushing TDs]]+Table1[[#This Row],[Receiving TDs]]+Table1[[#This Row],[Other TD''s]])),IF(C207="Receiving",2*(200-Table1[[#This Row],[Receiving Yards]]-(30*Table1[[#This Row],[Passing TDs]])-50*(Table1[[#This Row],[Rushing TDs]]+Table1[[#This Row],[Receiving TDs]]+Table1[[#This Row],[Other TD''s]])),IF(C207="Defensive",(25*(16-Table1[[#This Row],[Tackles]]-(8*(Table1[[#This Row],[Other TD''s]]+Table1[[#This Row],[Interceptions]]+Table1[[#This Row],[Fumbles Recovered]])))))))))))</f>
        <v/>
      </c>
      <c r="R207" s="3" t="str">
        <f t="shared" si="8"/>
        <v/>
      </c>
      <c r="S207" s="4">
        <f t="shared" si="7"/>
        <v>1048507</v>
      </c>
      <c r="T2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8" spans="1:20" hidden="1" x14ac:dyDescent="0.25">
      <c r="A208" t="s">
        <v>62</v>
      </c>
      <c r="B208" s="28" t="s">
        <v>46</v>
      </c>
      <c r="C208" t="s">
        <v>6</v>
      </c>
      <c r="D208" t="str">
        <f>_xlfn.XLOOKUP(Table1[[#This Row],[Player]]&amp;Table1[[#This Row],[Week]]&amp;Table1[[#This Row],[Role]],'Google Form Transform'!$A:$A,'Google Form Transform'!E:E,"")</f>
        <v/>
      </c>
      <c r="E208" t="str">
        <f>_xlfn.XLOOKUP(Table1[[#This Row],[Player]]&amp;Table1[[#This Row],[Week]]&amp;Table1[[#This Row],[Role]],'Google Form Transform'!$A:$A,'Google Form Transform'!F:F,"")</f>
        <v/>
      </c>
      <c r="F208" t="str">
        <f>_xlfn.XLOOKUP(Table1[[#This Row],[Player]]&amp;Table1[[#This Row],[Week]]&amp;Table1[[#This Row],[Role]],'Google Form Transform'!$A:$A,'Google Form Transform'!G:G,"")</f>
        <v/>
      </c>
      <c r="G208" s="59">
        <f>SUMIFS(Table2[Stat],Table2[Stat Category],"passing",Table2[Stat Type],"YDS",Table2[Athlete],Table1[[#This Row],[Pick]],Table2[Week],Table1[[#This Row],[Week]])</f>
        <v>0</v>
      </c>
      <c r="H208" s="59">
        <f>SUMIFS(Table2[Stat],Table2[Stat Category],"rushing",Table2[Stat Type],"YDS",Table2[Athlete],Table1[[#This Row],[Pick]],Table2[Week],Table1[[#This Row],[Week]])</f>
        <v>0</v>
      </c>
      <c r="I208" s="59">
        <f>SUMIFS(Table2[Stat],Table2[Stat Category],"receiving",Table2[Stat Type],"YDS",Table2[Athlete],Table1[[#This Row],[Pick]],Table2[Week],Table1[[#This Row],[Week]])</f>
        <v>0</v>
      </c>
      <c r="J208" s="6">
        <f>IF(AND($C208="Rushing", $H208&lt;=0), 0, IF(AND($C208="Passing", $G$3&lt;=0), 0,IF(AND($C208="Receiving",$I208&lt;=0), 0,SUMIFS(Table2[Stat],Table2[Week],Table1[[#This Row],[Week]],Table2[Athlete],Table1[[#This Row],[Pick]],Table2[Stat Category],"passing",Table2[Stat Type],"TD"))))</f>
        <v>0</v>
      </c>
      <c r="K208" s="6">
        <f>IF(AND($C208="Rushing", $H208&lt;=0), 0, IF(AND($C208="Passing", $G$3&lt;=0), 0,IF(AND($C208="Receiving",$I208&lt;=0),0,SUMIFS(Table2[Stat],Table2[Week],Table1[[#This Row],[Week]],Table2[Athlete],Table1[[#This Row],[Pick]],Table2[Stat Category],"rushing",Table2[Stat Type],"TD"))))</f>
        <v>0</v>
      </c>
      <c r="L208" s="6">
        <f>IF(AND($C208="Rushing", $H208&lt;=0), 0, IF(AND($C208="Passing", $G$3&lt;=0), 0,IF(AND($C208="Receiving",$I208&lt;=0),0,SUMIFS(Table2[Stat],Table2[Week],Table1[[#This Row],[Week]],Table2[Athlete],Table1[[#This Row],[Pick]],Table2[Stat Category],"receiving",Table2[Stat Type],"TD"))))</f>
        <v>0</v>
      </c>
      <c r="M2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8" s="61">
        <f>SUMIFS(Data!$J:$J,Data!$A:$A,Info!$B208,Data!$G:$G,Info!$C208,Data!$I:$I,Info!$D208,Data!$H:$H,"TOT")</f>
        <v>0</v>
      </c>
      <c r="O208" s="61">
        <f>IF(C208="Defensive",SUMIFS(Data!$J:$J,Data!$A:$A,Info!$B208,Data!$I:$I,Info!$D208,Data!$H:$H,"INT"),0)</f>
        <v>0</v>
      </c>
      <c r="P208" s="61">
        <f>IF(Table1[[#This Row],[Role]]="Defensive",SUMIFS(Data!$J:$J,Data!$A:$A,Info!$B208,Data!$I:$I,Info!$D208,Data!$H:$H,$P$1),0)</f>
        <v>0</v>
      </c>
      <c r="Q208" s="65" t="str">
        <f>IF(Table1[[#This Row],[Pick]]="","",IF(S208&gt;1,400,IF(G208="","",IF(C208="Passing",(400-Table1[[#This Row],[Passing Yards]]-(30*Table1[[#This Row],[Passing TDs]])-(50*SUM(Table1[[#This Row],[Rushing TDs]:[Other TD''s]]))),IF(C208="Rushing",2*(200-Table1[[#This Row],[Rushing Yards]]-(30*Table1[[#This Row],[Passing TDs]])-50*(Table1[[#This Row],[Rushing TDs]]+Table1[[#This Row],[Receiving TDs]]+Table1[[#This Row],[Other TD''s]])),IF(C208="Receiving",2*(200-Table1[[#This Row],[Receiving Yards]]-(30*Table1[[#This Row],[Passing TDs]])-50*(Table1[[#This Row],[Rushing TDs]]+Table1[[#This Row],[Receiving TDs]]+Table1[[#This Row],[Other TD''s]])),IF(C208="Defensive",(25*(16-Table1[[#This Row],[Tackles]]-(8*(Table1[[#This Row],[Other TD''s]]+Table1[[#This Row],[Interceptions]]+Table1[[#This Row],[Fumbles Recovered]])))))))))))</f>
        <v/>
      </c>
      <c r="R208" s="3" t="str">
        <f t="shared" si="8"/>
        <v/>
      </c>
      <c r="S208" s="4">
        <f t="shared" si="7"/>
        <v>1048507</v>
      </c>
      <c r="T2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9" spans="1:20" hidden="1" x14ac:dyDescent="0.25">
      <c r="A209" t="s">
        <v>62</v>
      </c>
      <c r="B209" s="28" t="s">
        <v>46</v>
      </c>
      <c r="C209" t="s">
        <v>17</v>
      </c>
      <c r="D209" t="str">
        <f>_xlfn.XLOOKUP(Table1[[#This Row],[Player]]&amp;Table1[[#This Row],[Week]]&amp;Table1[[#This Row],[Role]],'Google Form Transform'!$A:$A,'Google Form Transform'!E:E,"")</f>
        <v/>
      </c>
      <c r="E209" t="str">
        <f>_xlfn.XLOOKUP(Table1[[#This Row],[Player]]&amp;Table1[[#This Row],[Week]]&amp;Table1[[#This Row],[Role]],'Google Form Transform'!$A:$A,'Google Form Transform'!F:F,"")</f>
        <v/>
      </c>
      <c r="F209" t="str">
        <f>_xlfn.XLOOKUP(Table1[[#This Row],[Player]]&amp;Table1[[#This Row],[Week]]&amp;Table1[[#This Row],[Role]],'Google Form Transform'!$A:$A,'Google Form Transform'!G:G,"")</f>
        <v/>
      </c>
      <c r="G209" s="59">
        <f>SUMIFS(Table2[Stat],Table2[Stat Category],"passing",Table2[Stat Type],"YDS",Table2[Athlete],Table1[[#This Row],[Pick]],Table2[Week],Table1[[#This Row],[Week]])</f>
        <v>0</v>
      </c>
      <c r="H209" s="59">
        <f>SUMIFS(Table2[Stat],Table2[Stat Category],"rushing",Table2[Stat Type],"YDS",Table2[Athlete],Table1[[#This Row],[Pick]],Table2[Week],Table1[[#This Row],[Week]])</f>
        <v>0</v>
      </c>
      <c r="I209" s="59">
        <f>SUMIFS(Table2[Stat],Table2[Stat Category],"receiving",Table2[Stat Type],"YDS",Table2[Athlete],Table1[[#This Row],[Pick]],Table2[Week],Table1[[#This Row],[Week]])</f>
        <v>0</v>
      </c>
      <c r="J209" s="6">
        <f>IF(AND($C209="Rushing", $H209&lt;=0), 0, IF(AND($C209="Passing", $G$3&lt;=0), 0,IF(AND($C209="Receiving",$I209&lt;=0), 0,SUMIFS(Table2[Stat],Table2[Week],Table1[[#This Row],[Week]],Table2[Athlete],Table1[[#This Row],[Pick]],Table2[Stat Category],"passing",Table2[Stat Type],"TD"))))</f>
        <v>0</v>
      </c>
      <c r="K209" s="6">
        <f>IF(AND($C209="Rushing", $H209&lt;=0), 0, IF(AND($C209="Passing", $G$3&lt;=0), 0,IF(AND($C209="Receiving",$I209&lt;=0),0,SUMIFS(Table2[Stat],Table2[Week],Table1[[#This Row],[Week]],Table2[Athlete],Table1[[#This Row],[Pick]],Table2[Stat Category],"rushing",Table2[Stat Type],"TD"))))</f>
        <v>0</v>
      </c>
      <c r="L209" s="6">
        <f>IF(AND($C209="Rushing", $H209&lt;=0), 0, IF(AND($C209="Passing", $G$3&lt;=0), 0,IF(AND($C209="Receiving",$I209&lt;=0),0,SUMIFS(Table2[Stat],Table2[Week],Table1[[#This Row],[Week]],Table2[Athlete],Table1[[#This Row],[Pick]],Table2[Stat Category],"receiving",Table2[Stat Type],"TD"))))</f>
        <v>0</v>
      </c>
      <c r="M2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9" s="61">
        <f>SUMIFS(Data!$J:$J,Data!$A:$A,Info!$B209,Data!$G:$G,Info!$C209,Data!$I:$I,Info!$D209,Data!$H:$H,"TOT")</f>
        <v>0</v>
      </c>
      <c r="O209" s="61">
        <f>IF(C209="Defensive",SUMIFS(Data!$J:$J,Data!$A:$A,Info!$B209,Data!$I:$I,Info!$D209,Data!$H:$H,"INT"),0)</f>
        <v>0</v>
      </c>
      <c r="P209" s="61">
        <f>IF(Table1[[#This Row],[Role]]="Defensive",SUMIFS(Data!$J:$J,Data!$A:$A,Info!$B209,Data!$I:$I,Info!$D209,Data!$H:$H,$P$1),0)</f>
        <v>0</v>
      </c>
      <c r="Q209" s="65" t="str">
        <f>IF(Table1[[#This Row],[Pick]]="","",IF(S209&gt;1,400,IF(G209="","",IF(C209="Passing",(400-Table1[[#This Row],[Passing Yards]]-(30*Table1[[#This Row],[Passing TDs]])-(50*SUM(Table1[[#This Row],[Rushing TDs]:[Other TD''s]]))),IF(C209="Rushing",2*(200-Table1[[#This Row],[Rushing Yards]]-(30*Table1[[#This Row],[Passing TDs]])-50*(Table1[[#This Row],[Rushing TDs]]+Table1[[#This Row],[Receiving TDs]]+Table1[[#This Row],[Other TD''s]])),IF(C209="Receiving",2*(200-Table1[[#This Row],[Receiving Yards]]-(30*Table1[[#This Row],[Passing TDs]])-50*(Table1[[#This Row],[Rushing TDs]]+Table1[[#This Row],[Receiving TDs]]+Table1[[#This Row],[Other TD''s]])),IF(C209="Defensive",(25*(16-Table1[[#This Row],[Tackles]]-(8*(Table1[[#This Row],[Other TD''s]]+Table1[[#This Row],[Interceptions]]+Table1[[#This Row],[Fumbles Recovered]])))))))))))</f>
        <v/>
      </c>
      <c r="R209" s="3" t="str">
        <f t="shared" si="8"/>
        <v/>
      </c>
      <c r="S209" s="4">
        <f t="shared" si="7"/>
        <v>1048507</v>
      </c>
      <c r="T2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0" spans="1:20" hidden="1" x14ac:dyDescent="0.25">
      <c r="A210" t="s">
        <v>62</v>
      </c>
      <c r="B210" s="28" t="s">
        <v>46</v>
      </c>
      <c r="C210" t="s">
        <v>20</v>
      </c>
      <c r="D210" t="str">
        <f>_xlfn.XLOOKUP(Table1[[#This Row],[Player]]&amp;Table1[[#This Row],[Week]]&amp;Table1[[#This Row],[Role]],'Google Form Transform'!$A:$A,'Google Form Transform'!E:E,"")</f>
        <v/>
      </c>
      <c r="E210" t="str">
        <f>_xlfn.XLOOKUP(Table1[[#This Row],[Player]]&amp;Table1[[#This Row],[Week]]&amp;Table1[[#This Row],[Role]],'Google Form Transform'!$A:$A,'Google Form Transform'!F:F,"")</f>
        <v/>
      </c>
      <c r="F210" t="str">
        <f>_xlfn.XLOOKUP(Table1[[#This Row],[Player]]&amp;Table1[[#This Row],[Week]]&amp;Table1[[#This Row],[Role]],'Google Form Transform'!$A:$A,'Google Form Transform'!G:G,"")</f>
        <v/>
      </c>
      <c r="G210" s="59">
        <f>SUMIFS(Table2[Stat],Table2[Stat Category],"passing",Table2[Stat Type],"YDS",Table2[Athlete],Table1[[#This Row],[Pick]],Table2[Week],Table1[[#This Row],[Week]])</f>
        <v>0</v>
      </c>
      <c r="H210" s="59">
        <f>SUMIFS(Table2[Stat],Table2[Stat Category],"rushing",Table2[Stat Type],"YDS",Table2[Athlete],Table1[[#This Row],[Pick]],Table2[Week],Table1[[#This Row],[Week]])</f>
        <v>0</v>
      </c>
      <c r="I210" s="59">
        <f>SUMIFS(Table2[Stat],Table2[Stat Category],"receiving",Table2[Stat Type],"YDS",Table2[Athlete],Table1[[#This Row],[Pick]],Table2[Week],Table1[[#This Row],[Week]])</f>
        <v>0</v>
      </c>
      <c r="J210" s="6">
        <f>IF(AND($C210="Rushing", $H210&lt;=0), 0, IF(AND($C210="Passing", $G$3&lt;=0), 0,IF(AND($C210="Receiving",$I210&lt;=0), 0,SUMIFS(Table2[Stat],Table2[Week],Table1[[#This Row],[Week]],Table2[Athlete],Table1[[#This Row],[Pick]],Table2[Stat Category],"passing",Table2[Stat Type],"TD"))))</f>
        <v>0</v>
      </c>
      <c r="K210" s="6">
        <f>IF(AND($C210="Rushing", $H210&lt;=0), 0, IF(AND($C210="Passing", $G$3&lt;=0), 0,IF(AND($C210="Receiving",$I210&lt;=0),0,SUMIFS(Table2[Stat],Table2[Week],Table1[[#This Row],[Week]],Table2[Athlete],Table1[[#This Row],[Pick]],Table2[Stat Category],"rushing",Table2[Stat Type],"TD"))))</f>
        <v>0</v>
      </c>
      <c r="L210" s="6">
        <f>IF(AND($C210="Rushing", $H210&lt;=0), 0, IF(AND($C210="Passing", $G$3&lt;=0), 0,IF(AND($C210="Receiving",$I210&lt;=0),0,SUMIFS(Table2[Stat],Table2[Week],Table1[[#This Row],[Week]],Table2[Athlete],Table1[[#This Row],[Pick]],Table2[Stat Category],"receiving",Table2[Stat Type],"TD"))))</f>
        <v>0</v>
      </c>
      <c r="M2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0" s="61">
        <f>SUMIFS(Data!$J:$J,Data!$A:$A,Info!$B210,Data!$G:$G,Info!$C210,Data!$I:$I,Info!$D210,Data!$H:$H,"TOT")</f>
        <v>0</v>
      </c>
      <c r="O210" s="61">
        <f>IF(C210="Defensive",SUMIFS(Data!$J:$J,Data!$A:$A,Info!$B210,Data!$I:$I,Info!$D210,Data!$H:$H,"INT"),0)</f>
        <v>0</v>
      </c>
      <c r="P210" s="61">
        <f>IF(Table1[[#This Row],[Role]]="Defensive",SUMIFS(Data!$J:$J,Data!$A:$A,Info!$B210,Data!$I:$I,Info!$D210,Data!$H:$H,$P$1),0)</f>
        <v>0</v>
      </c>
      <c r="Q210" s="65" t="str">
        <f>IF(Table1[[#This Row],[Pick]]="","",IF(S210&gt;1,400,IF(G210="","",IF(C210="Passing",(400-Table1[[#This Row],[Passing Yards]]-(30*Table1[[#This Row],[Passing TDs]])-(50*SUM(Table1[[#This Row],[Rushing TDs]:[Other TD''s]]))),IF(C210="Rushing",2*(200-Table1[[#This Row],[Rushing Yards]]-(30*Table1[[#This Row],[Passing TDs]])-50*(Table1[[#This Row],[Rushing TDs]]+Table1[[#This Row],[Receiving TDs]]+Table1[[#This Row],[Other TD''s]])),IF(C210="Receiving",2*(200-Table1[[#This Row],[Receiving Yards]]-(30*Table1[[#This Row],[Passing TDs]])-50*(Table1[[#This Row],[Rushing TDs]]+Table1[[#This Row],[Receiving TDs]]+Table1[[#This Row],[Other TD''s]])),IF(C210="Defensive",(25*(16-Table1[[#This Row],[Tackles]]-(8*(Table1[[#This Row],[Other TD''s]]+Table1[[#This Row],[Interceptions]]+Table1[[#This Row],[Fumbles Recovered]])))))))))))</f>
        <v/>
      </c>
      <c r="R210" s="3" t="str">
        <f t="shared" si="8"/>
        <v/>
      </c>
      <c r="S210" s="4">
        <f t="shared" si="7"/>
        <v>1048507</v>
      </c>
      <c r="T2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1" spans="1:20" hidden="1" x14ac:dyDescent="0.25">
      <c r="A211" t="s">
        <v>59</v>
      </c>
      <c r="B211" s="28" t="s">
        <v>46</v>
      </c>
      <c r="C211" t="s">
        <v>16</v>
      </c>
      <c r="D211" t="str">
        <f>_xlfn.XLOOKUP(Table1[[#This Row],[Player]]&amp;Table1[[#This Row],[Week]]&amp;Table1[[#This Row],[Role]],'Google Form Transform'!$A:$A,'Google Form Transform'!E:E,"")</f>
        <v/>
      </c>
      <c r="E211" t="str">
        <f>_xlfn.XLOOKUP(Table1[[#This Row],[Player]]&amp;Table1[[#This Row],[Week]]&amp;Table1[[#This Row],[Role]],'Google Form Transform'!$A:$A,'Google Form Transform'!F:F,"")</f>
        <v/>
      </c>
      <c r="F211" t="str">
        <f>_xlfn.XLOOKUP(Table1[[#This Row],[Player]]&amp;Table1[[#This Row],[Week]]&amp;Table1[[#This Row],[Role]],'Google Form Transform'!$A:$A,'Google Form Transform'!G:G,"")</f>
        <v/>
      </c>
      <c r="G211" s="59">
        <f>SUMIFS(Table2[Stat],Table2[Stat Category],"passing",Table2[Stat Type],"YDS",Table2[Athlete],Table1[[#This Row],[Pick]],Table2[Week],Table1[[#This Row],[Week]])</f>
        <v>0</v>
      </c>
      <c r="H211" s="59">
        <f>SUMIFS(Table2[Stat],Table2[Stat Category],"rushing",Table2[Stat Type],"YDS",Table2[Athlete],Table1[[#This Row],[Pick]],Table2[Week],Table1[[#This Row],[Week]])</f>
        <v>0</v>
      </c>
      <c r="I211" s="59">
        <f>SUMIFS(Table2[Stat],Table2[Stat Category],"receiving",Table2[Stat Type],"YDS",Table2[Athlete],Table1[[#This Row],[Pick]],Table2[Week],Table1[[#This Row],[Week]])</f>
        <v>0</v>
      </c>
      <c r="J211" s="6">
        <f>IF(AND($C211="Rushing", $H211&lt;=0), 0, IF(AND($C211="Passing", $G$3&lt;=0), 0,IF(AND($C211="Receiving",$I211&lt;=0), 0,SUMIFS(Table2[Stat],Table2[Week],Table1[[#This Row],[Week]],Table2[Athlete],Table1[[#This Row],[Pick]],Table2[Stat Category],"passing",Table2[Stat Type],"TD"))))</f>
        <v>0</v>
      </c>
      <c r="K211" s="6">
        <f>IF(AND($C211="Rushing", $H211&lt;=0), 0, IF(AND($C211="Passing", $G$3&lt;=0), 0,IF(AND($C211="Receiving",$I211&lt;=0),0,SUMIFS(Table2[Stat],Table2[Week],Table1[[#This Row],[Week]],Table2[Athlete],Table1[[#This Row],[Pick]],Table2[Stat Category],"rushing",Table2[Stat Type],"TD"))))</f>
        <v>0</v>
      </c>
      <c r="L211" s="6">
        <f>IF(AND($C211="Rushing", $H211&lt;=0), 0, IF(AND($C211="Passing", $G$3&lt;=0), 0,IF(AND($C211="Receiving",$I211&lt;=0),0,SUMIFS(Table2[Stat],Table2[Week],Table1[[#This Row],[Week]],Table2[Athlete],Table1[[#This Row],[Pick]],Table2[Stat Category],"receiving",Table2[Stat Type],"TD"))))</f>
        <v>0</v>
      </c>
      <c r="M2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1" s="61">
        <f>SUMIFS(Data!$J:$J,Data!$A:$A,Info!$B211,Data!$G:$G,Info!$C211,Data!$I:$I,Info!$D211,Data!$H:$H,"TOT")</f>
        <v>0</v>
      </c>
      <c r="O211" s="61">
        <f>IF(C211="Defensive",SUMIFS(Data!$J:$J,Data!$A:$A,Info!$B211,Data!$I:$I,Info!$D211,Data!$H:$H,"INT"),0)</f>
        <v>0</v>
      </c>
      <c r="P211" s="61">
        <f>IF(Table1[[#This Row],[Role]]="Defensive",SUMIFS(Data!$J:$J,Data!$A:$A,Info!$B211,Data!$I:$I,Info!$D211,Data!$H:$H,$P$1),0)</f>
        <v>0</v>
      </c>
      <c r="Q211" s="65" t="str">
        <f>IF(Table1[[#This Row],[Pick]]="","",IF(S211&gt;1,400,IF(G211="","",IF(C211="Passing",(400-Table1[[#This Row],[Passing Yards]]-(30*Table1[[#This Row],[Passing TDs]])-(50*SUM(Table1[[#This Row],[Rushing TDs]:[Other TD''s]]))),IF(C211="Rushing",2*(200-Table1[[#This Row],[Rushing Yards]]-(30*Table1[[#This Row],[Passing TDs]])-50*(Table1[[#This Row],[Rushing TDs]]+Table1[[#This Row],[Receiving TDs]]+Table1[[#This Row],[Other TD''s]])),IF(C211="Receiving",2*(200-Table1[[#This Row],[Receiving Yards]]-(30*Table1[[#This Row],[Passing TDs]])-50*(Table1[[#This Row],[Rushing TDs]]+Table1[[#This Row],[Receiving TDs]]+Table1[[#This Row],[Other TD''s]])),IF(C211="Defensive",(25*(16-Table1[[#This Row],[Tackles]]-(8*(Table1[[#This Row],[Other TD''s]]+Table1[[#This Row],[Interceptions]]+Table1[[#This Row],[Fumbles Recovered]])))))))))))</f>
        <v/>
      </c>
      <c r="R211" s="3" t="str">
        <f t="shared" si="8"/>
        <v/>
      </c>
      <c r="S211" s="4">
        <f t="shared" si="7"/>
        <v>1048507</v>
      </c>
      <c r="T2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2" spans="1:20" hidden="1" x14ac:dyDescent="0.25">
      <c r="A212" t="s">
        <v>59</v>
      </c>
      <c r="B212" s="28" t="s">
        <v>46</v>
      </c>
      <c r="C212" t="s">
        <v>6</v>
      </c>
      <c r="D212" t="str">
        <f>_xlfn.XLOOKUP(Table1[[#This Row],[Player]]&amp;Table1[[#This Row],[Week]]&amp;Table1[[#This Row],[Role]],'Google Form Transform'!$A:$A,'Google Form Transform'!E:E,"")</f>
        <v/>
      </c>
      <c r="E212" t="str">
        <f>_xlfn.XLOOKUP(Table1[[#This Row],[Player]]&amp;Table1[[#This Row],[Week]]&amp;Table1[[#This Row],[Role]],'Google Form Transform'!$A:$A,'Google Form Transform'!F:F,"")</f>
        <v/>
      </c>
      <c r="F212" t="str">
        <f>_xlfn.XLOOKUP(Table1[[#This Row],[Player]]&amp;Table1[[#This Row],[Week]]&amp;Table1[[#This Row],[Role]],'Google Form Transform'!$A:$A,'Google Form Transform'!G:G,"")</f>
        <v/>
      </c>
      <c r="G212" s="59">
        <f>SUMIFS(Table2[Stat],Table2[Stat Category],"passing",Table2[Stat Type],"YDS",Table2[Athlete],Table1[[#This Row],[Pick]],Table2[Week],Table1[[#This Row],[Week]])</f>
        <v>0</v>
      </c>
      <c r="H212" s="59">
        <f>SUMIFS(Table2[Stat],Table2[Stat Category],"rushing",Table2[Stat Type],"YDS",Table2[Athlete],Table1[[#This Row],[Pick]],Table2[Week],Table1[[#This Row],[Week]])</f>
        <v>0</v>
      </c>
      <c r="I212" s="59">
        <f>SUMIFS(Table2[Stat],Table2[Stat Category],"receiving",Table2[Stat Type],"YDS",Table2[Athlete],Table1[[#This Row],[Pick]],Table2[Week],Table1[[#This Row],[Week]])</f>
        <v>0</v>
      </c>
      <c r="J212" s="6">
        <f>IF(AND($C212="Rushing", $H212&lt;=0), 0, IF(AND($C212="Passing", $G$3&lt;=0), 0,IF(AND($C212="Receiving",$I212&lt;=0), 0,SUMIFS(Table2[Stat],Table2[Week],Table1[[#This Row],[Week]],Table2[Athlete],Table1[[#This Row],[Pick]],Table2[Stat Category],"passing",Table2[Stat Type],"TD"))))</f>
        <v>0</v>
      </c>
      <c r="K212" s="6">
        <f>IF(AND($C212="Rushing", $H212&lt;=0), 0, IF(AND($C212="Passing", $G$3&lt;=0), 0,IF(AND($C212="Receiving",$I212&lt;=0),0,SUMIFS(Table2[Stat],Table2[Week],Table1[[#This Row],[Week]],Table2[Athlete],Table1[[#This Row],[Pick]],Table2[Stat Category],"rushing",Table2[Stat Type],"TD"))))</f>
        <v>0</v>
      </c>
      <c r="L212" s="6">
        <f>IF(AND($C212="Rushing", $H212&lt;=0), 0, IF(AND($C212="Passing", $G$3&lt;=0), 0,IF(AND($C212="Receiving",$I212&lt;=0),0,SUMIFS(Table2[Stat],Table2[Week],Table1[[#This Row],[Week]],Table2[Athlete],Table1[[#This Row],[Pick]],Table2[Stat Category],"receiving",Table2[Stat Type],"TD"))))</f>
        <v>0</v>
      </c>
      <c r="M2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2" s="61">
        <f>SUMIFS(Data!$J:$J,Data!$A:$A,Info!$B212,Data!$G:$G,Info!$C212,Data!$I:$I,Info!$D212,Data!$H:$H,"TOT")</f>
        <v>0</v>
      </c>
      <c r="O212" s="61">
        <f>IF(C212="Defensive",SUMIFS(Data!$J:$J,Data!$A:$A,Info!$B212,Data!$I:$I,Info!$D212,Data!$H:$H,"INT"),0)</f>
        <v>0</v>
      </c>
      <c r="P212" s="61">
        <f>IF(Table1[[#This Row],[Role]]="Defensive",SUMIFS(Data!$J:$J,Data!$A:$A,Info!$B212,Data!$I:$I,Info!$D212,Data!$H:$H,$P$1),0)</f>
        <v>0</v>
      </c>
      <c r="Q212" s="65" t="str">
        <f>IF(Table1[[#This Row],[Pick]]="","",IF(S212&gt;1,400,IF(G212="","",IF(C212="Passing",(400-Table1[[#This Row],[Passing Yards]]-(30*Table1[[#This Row],[Passing TDs]])-(50*SUM(Table1[[#This Row],[Rushing TDs]:[Other TD''s]]))),IF(C212="Rushing",2*(200-Table1[[#This Row],[Rushing Yards]]-(30*Table1[[#This Row],[Passing TDs]])-50*(Table1[[#This Row],[Rushing TDs]]+Table1[[#This Row],[Receiving TDs]]+Table1[[#This Row],[Other TD''s]])),IF(C212="Receiving",2*(200-Table1[[#This Row],[Receiving Yards]]-(30*Table1[[#This Row],[Passing TDs]])-50*(Table1[[#This Row],[Rushing TDs]]+Table1[[#This Row],[Receiving TDs]]+Table1[[#This Row],[Other TD''s]])),IF(C212="Defensive",(25*(16-Table1[[#This Row],[Tackles]]-(8*(Table1[[#This Row],[Other TD''s]]+Table1[[#This Row],[Interceptions]]+Table1[[#This Row],[Fumbles Recovered]])))))))))))</f>
        <v/>
      </c>
      <c r="R212" s="3" t="str">
        <f t="shared" si="8"/>
        <v/>
      </c>
      <c r="S212" s="4">
        <f t="shared" si="7"/>
        <v>1048507</v>
      </c>
      <c r="T2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3" spans="1:20" hidden="1" x14ac:dyDescent="0.25">
      <c r="A213" t="s">
        <v>59</v>
      </c>
      <c r="B213" s="28" t="s">
        <v>46</v>
      </c>
      <c r="C213" t="s">
        <v>17</v>
      </c>
      <c r="D213" t="str">
        <f>_xlfn.XLOOKUP(Table1[[#This Row],[Player]]&amp;Table1[[#This Row],[Week]]&amp;Table1[[#This Row],[Role]],'Google Form Transform'!$A:$A,'Google Form Transform'!E:E,"")</f>
        <v/>
      </c>
      <c r="E213" t="str">
        <f>_xlfn.XLOOKUP(Table1[[#This Row],[Player]]&amp;Table1[[#This Row],[Week]]&amp;Table1[[#This Row],[Role]],'Google Form Transform'!$A:$A,'Google Form Transform'!F:F,"")</f>
        <v/>
      </c>
      <c r="F213" t="str">
        <f>_xlfn.XLOOKUP(Table1[[#This Row],[Player]]&amp;Table1[[#This Row],[Week]]&amp;Table1[[#This Row],[Role]],'Google Form Transform'!$A:$A,'Google Form Transform'!G:G,"")</f>
        <v/>
      </c>
      <c r="G213" s="59">
        <f>SUMIFS(Table2[Stat],Table2[Stat Category],"passing",Table2[Stat Type],"YDS",Table2[Athlete],Table1[[#This Row],[Pick]],Table2[Week],Table1[[#This Row],[Week]])</f>
        <v>0</v>
      </c>
      <c r="H213" s="59">
        <f>SUMIFS(Table2[Stat],Table2[Stat Category],"rushing",Table2[Stat Type],"YDS",Table2[Athlete],Table1[[#This Row],[Pick]],Table2[Week],Table1[[#This Row],[Week]])</f>
        <v>0</v>
      </c>
      <c r="I213" s="59">
        <f>SUMIFS(Table2[Stat],Table2[Stat Category],"receiving",Table2[Stat Type],"YDS",Table2[Athlete],Table1[[#This Row],[Pick]],Table2[Week],Table1[[#This Row],[Week]])</f>
        <v>0</v>
      </c>
      <c r="J213" s="6">
        <f>IF(AND($C213="Rushing", $H213&lt;=0), 0, IF(AND($C213="Passing", $G$3&lt;=0), 0,IF(AND($C213="Receiving",$I213&lt;=0), 0,SUMIFS(Table2[Stat],Table2[Week],Table1[[#This Row],[Week]],Table2[Athlete],Table1[[#This Row],[Pick]],Table2[Stat Category],"passing",Table2[Stat Type],"TD"))))</f>
        <v>0</v>
      </c>
      <c r="K213" s="6">
        <f>IF(AND($C213="Rushing", $H213&lt;=0), 0, IF(AND($C213="Passing", $G$3&lt;=0), 0,IF(AND($C213="Receiving",$I213&lt;=0),0,SUMIFS(Table2[Stat],Table2[Week],Table1[[#This Row],[Week]],Table2[Athlete],Table1[[#This Row],[Pick]],Table2[Stat Category],"rushing",Table2[Stat Type],"TD"))))</f>
        <v>0</v>
      </c>
      <c r="L213" s="6">
        <f>IF(AND($C213="Rushing", $H213&lt;=0), 0, IF(AND($C213="Passing", $G$3&lt;=0), 0,IF(AND($C213="Receiving",$I213&lt;=0),0,SUMIFS(Table2[Stat],Table2[Week],Table1[[#This Row],[Week]],Table2[Athlete],Table1[[#This Row],[Pick]],Table2[Stat Category],"receiving",Table2[Stat Type],"TD"))))</f>
        <v>0</v>
      </c>
      <c r="M2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3" s="61">
        <f>SUMIFS(Data!$J:$J,Data!$A:$A,Info!$B213,Data!$G:$G,Info!$C213,Data!$I:$I,Info!$D213,Data!$H:$H,"TOT")</f>
        <v>0</v>
      </c>
      <c r="O213" s="61">
        <f>IF(C213="Defensive",SUMIFS(Data!$J:$J,Data!$A:$A,Info!$B213,Data!$I:$I,Info!$D213,Data!$H:$H,"INT"),0)</f>
        <v>0</v>
      </c>
      <c r="P213" s="61">
        <f>IF(Table1[[#This Row],[Role]]="Defensive",SUMIFS(Data!$J:$J,Data!$A:$A,Info!$B213,Data!$I:$I,Info!$D213,Data!$H:$H,$P$1),0)</f>
        <v>0</v>
      </c>
      <c r="Q213" s="65" t="str">
        <f>IF(Table1[[#This Row],[Pick]]="","",IF(S213&gt;1,400,IF(G213="","",IF(C213="Passing",(400-Table1[[#This Row],[Passing Yards]]-(30*Table1[[#This Row],[Passing TDs]])-(50*SUM(Table1[[#This Row],[Rushing TDs]:[Other TD''s]]))),IF(C213="Rushing",2*(200-Table1[[#This Row],[Rushing Yards]]-(30*Table1[[#This Row],[Passing TDs]])-50*(Table1[[#This Row],[Rushing TDs]]+Table1[[#This Row],[Receiving TDs]]+Table1[[#This Row],[Other TD''s]])),IF(C213="Receiving",2*(200-Table1[[#This Row],[Receiving Yards]]-(30*Table1[[#This Row],[Passing TDs]])-50*(Table1[[#This Row],[Rushing TDs]]+Table1[[#This Row],[Receiving TDs]]+Table1[[#This Row],[Other TD''s]])),IF(C213="Defensive",(25*(16-Table1[[#This Row],[Tackles]]-(8*(Table1[[#This Row],[Other TD''s]]+Table1[[#This Row],[Interceptions]]+Table1[[#This Row],[Fumbles Recovered]])))))))))))</f>
        <v/>
      </c>
      <c r="R213" s="3" t="str">
        <f t="shared" si="8"/>
        <v/>
      </c>
      <c r="S213" s="4">
        <f t="shared" si="7"/>
        <v>1048507</v>
      </c>
      <c r="T2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4" spans="1:20" hidden="1" x14ac:dyDescent="0.25">
      <c r="A214" t="s">
        <v>59</v>
      </c>
      <c r="B214" s="28" t="s">
        <v>46</v>
      </c>
      <c r="C214" t="s">
        <v>20</v>
      </c>
      <c r="D214" t="str">
        <f>_xlfn.XLOOKUP(Table1[[#This Row],[Player]]&amp;Table1[[#This Row],[Week]]&amp;Table1[[#This Row],[Role]],'Google Form Transform'!$A:$A,'Google Form Transform'!E:E,"")</f>
        <v/>
      </c>
      <c r="E214" t="str">
        <f>_xlfn.XLOOKUP(Table1[[#This Row],[Player]]&amp;Table1[[#This Row],[Week]]&amp;Table1[[#This Row],[Role]],'Google Form Transform'!$A:$A,'Google Form Transform'!F:F,"")</f>
        <v/>
      </c>
      <c r="F214" t="str">
        <f>_xlfn.XLOOKUP(Table1[[#This Row],[Player]]&amp;Table1[[#This Row],[Week]]&amp;Table1[[#This Row],[Role]],'Google Form Transform'!$A:$A,'Google Form Transform'!G:G,"")</f>
        <v/>
      </c>
      <c r="G214" s="59">
        <f>SUMIFS(Table2[Stat],Table2[Stat Category],"passing",Table2[Stat Type],"YDS",Table2[Athlete],Table1[[#This Row],[Pick]],Table2[Week],Table1[[#This Row],[Week]])</f>
        <v>0</v>
      </c>
      <c r="H214" s="59">
        <f>SUMIFS(Table2[Stat],Table2[Stat Category],"rushing",Table2[Stat Type],"YDS",Table2[Athlete],Table1[[#This Row],[Pick]],Table2[Week],Table1[[#This Row],[Week]])</f>
        <v>0</v>
      </c>
      <c r="I214" s="59">
        <f>SUMIFS(Table2[Stat],Table2[Stat Category],"receiving",Table2[Stat Type],"YDS",Table2[Athlete],Table1[[#This Row],[Pick]],Table2[Week],Table1[[#This Row],[Week]])</f>
        <v>0</v>
      </c>
      <c r="J214" s="6">
        <f>IF(AND($C214="Rushing", $H214&lt;=0), 0, IF(AND($C214="Passing", $G$3&lt;=0), 0,IF(AND($C214="Receiving",$I214&lt;=0), 0,SUMIFS(Table2[Stat],Table2[Week],Table1[[#This Row],[Week]],Table2[Athlete],Table1[[#This Row],[Pick]],Table2[Stat Category],"passing",Table2[Stat Type],"TD"))))</f>
        <v>0</v>
      </c>
      <c r="K214" s="6">
        <f>IF(AND($C214="Rushing", $H214&lt;=0), 0, IF(AND($C214="Passing", $G$3&lt;=0), 0,IF(AND($C214="Receiving",$I214&lt;=0),0,SUMIFS(Table2[Stat],Table2[Week],Table1[[#This Row],[Week]],Table2[Athlete],Table1[[#This Row],[Pick]],Table2[Stat Category],"rushing",Table2[Stat Type],"TD"))))</f>
        <v>0</v>
      </c>
      <c r="L214" s="6">
        <f>IF(AND($C214="Rushing", $H214&lt;=0), 0, IF(AND($C214="Passing", $G$3&lt;=0), 0,IF(AND($C214="Receiving",$I214&lt;=0),0,SUMIFS(Table2[Stat],Table2[Week],Table1[[#This Row],[Week]],Table2[Athlete],Table1[[#This Row],[Pick]],Table2[Stat Category],"receiving",Table2[Stat Type],"TD"))))</f>
        <v>0</v>
      </c>
      <c r="M2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4" s="61">
        <f>SUMIFS(Data!$J:$J,Data!$A:$A,Info!$B214,Data!$G:$G,Info!$C214,Data!$I:$I,Info!$D214,Data!$H:$H,"TOT")</f>
        <v>0</v>
      </c>
      <c r="O214" s="61">
        <f>IF(C214="Defensive",SUMIFS(Data!$J:$J,Data!$A:$A,Info!$B214,Data!$I:$I,Info!$D214,Data!$H:$H,"INT"),0)</f>
        <v>0</v>
      </c>
      <c r="P214" s="61">
        <f>IF(Table1[[#This Row],[Role]]="Defensive",SUMIFS(Data!$J:$J,Data!$A:$A,Info!$B214,Data!$I:$I,Info!$D214,Data!$H:$H,$P$1),0)</f>
        <v>0</v>
      </c>
      <c r="Q214" s="65" t="str">
        <f>IF(Table1[[#This Row],[Pick]]="","",IF(S214&gt;1,400,IF(G214="","",IF(C214="Passing",(400-Table1[[#This Row],[Passing Yards]]-(30*Table1[[#This Row],[Passing TDs]])-(50*SUM(Table1[[#This Row],[Rushing TDs]:[Other TD''s]]))),IF(C214="Rushing",2*(200-Table1[[#This Row],[Rushing Yards]]-(30*Table1[[#This Row],[Passing TDs]])-50*(Table1[[#This Row],[Rushing TDs]]+Table1[[#This Row],[Receiving TDs]]+Table1[[#This Row],[Other TD''s]])),IF(C214="Receiving",2*(200-Table1[[#This Row],[Receiving Yards]]-(30*Table1[[#This Row],[Passing TDs]])-50*(Table1[[#This Row],[Rushing TDs]]+Table1[[#This Row],[Receiving TDs]]+Table1[[#This Row],[Other TD''s]])),IF(C214="Defensive",(25*(16-Table1[[#This Row],[Tackles]]-(8*(Table1[[#This Row],[Other TD''s]]+Table1[[#This Row],[Interceptions]]+Table1[[#This Row],[Fumbles Recovered]])))))))))))</f>
        <v/>
      </c>
      <c r="R214" s="3" t="str">
        <f t="shared" si="8"/>
        <v/>
      </c>
      <c r="S214" s="4">
        <f t="shared" si="7"/>
        <v>1048507</v>
      </c>
      <c r="T2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5" spans="1:20" hidden="1" x14ac:dyDescent="0.25">
      <c r="A215" t="s">
        <v>68</v>
      </c>
      <c r="B215" s="28" t="s">
        <v>46</v>
      </c>
      <c r="C215" t="s">
        <v>16</v>
      </c>
      <c r="D215" t="str">
        <f>_xlfn.XLOOKUP(Table1[[#This Row],[Player]]&amp;Table1[[#This Row],[Week]]&amp;Table1[[#This Row],[Role]],'Google Form Transform'!$A:$A,'Google Form Transform'!E:E,"")</f>
        <v/>
      </c>
      <c r="E215" t="str">
        <f>_xlfn.XLOOKUP(Table1[[#This Row],[Player]]&amp;Table1[[#This Row],[Week]]&amp;Table1[[#This Row],[Role]],'Google Form Transform'!$A:$A,'Google Form Transform'!F:F,"")</f>
        <v/>
      </c>
      <c r="F215" t="str">
        <f>_xlfn.XLOOKUP(Table1[[#This Row],[Player]]&amp;Table1[[#This Row],[Week]]&amp;Table1[[#This Row],[Role]],'Google Form Transform'!$A:$A,'Google Form Transform'!G:G,"")</f>
        <v/>
      </c>
      <c r="G215" s="59">
        <f>SUMIFS(Table2[Stat],Table2[Stat Category],"passing",Table2[Stat Type],"YDS",Table2[Athlete],Table1[[#This Row],[Pick]],Table2[Week],Table1[[#This Row],[Week]])</f>
        <v>0</v>
      </c>
      <c r="H215" s="59">
        <f>SUMIFS(Table2[Stat],Table2[Stat Category],"rushing",Table2[Stat Type],"YDS",Table2[Athlete],Table1[[#This Row],[Pick]],Table2[Week],Table1[[#This Row],[Week]])</f>
        <v>0</v>
      </c>
      <c r="I215" s="59">
        <f>SUMIFS(Table2[Stat],Table2[Stat Category],"receiving",Table2[Stat Type],"YDS",Table2[Athlete],Table1[[#This Row],[Pick]],Table2[Week],Table1[[#This Row],[Week]])</f>
        <v>0</v>
      </c>
      <c r="J215" s="6">
        <f>IF(AND($C215="Rushing", $H215&lt;=0), 0, IF(AND($C215="Passing", $G$3&lt;=0), 0,IF(AND($C215="Receiving",$I215&lt;=0), 0,SUMIFS(Table2[Stat],Table2[Week],Table1[[#This Row],[Week]],Table2[Athlete],Table1[[#This Row],[Pick]],Table2[Stat Category],"passing",Table2[Stat Type],"TD"))))</f>
        <v>0</v>
      </c>
      <c r="K215" s="6">
        <f>IF(AND($C215="Rushing", $H215&lt;=0), 0, IF(AND($C215="Passing", $G$3&lt;=0), 0,IF(AND($C215="Receiving",$I215&lt;=0),0,SUMIFS(Table2[Stat],Table2[Week],Table1[[#This Row],[Week]],Table2[Athlete],Table1[[#This Row],[Pick]],Table2[Stat Category],"rushing",Table2[Stat Type],"TD"))))</f>
        <v>0</v>
      </c>
      <c r="L215" s="6">
        <f>IF(AND($C215="Rushing", $H215&lt;=0), 0, IF(AND($C215="Passing", $G$3&lt;=0), 0,IF(AND($C215="Receiving",$I215&lt;=0),0,SUMIFS(Table2[Stat],Table2[Week],Table1[[#This Row],[Week]],Table2[Athlete],Table1[[#This Row],[Pick]],Table2[Stat Category],"receiving",Table2[Stat Type],"TD"))))</f>
        <v>0</v>
      </c>
      <c r="M2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5" s="61">
        <f>SUMIFS(Data!$J:$J,Data!$A:$A,Info!$B215,Data!$G:$G,Info!$C215,Data!$I:$I,Info!$D215,Data!$H:$H,"TOT")</f>
        <v>0</v>
      </c>
      <c r="O215" s="61">
        <f>IF(C215="Defensive",SUMIFS(Data!$J:$J,Data!$A:$A,Info!$B215,Data!$I:$I,Info!$D215,Data!$H:$H,"INT"),0)</f>
        <v>0</v>
      </c>
      <c r="P215" s="61">
        <f>IF(Table1[[#This Row],[Role]]="Defensive",SUMIFS(Data!$J:$J,Data!$A:$A,Info!$B215,Data!$I:$I,Info!$D215,Data!$H:$H,$P$1),0)</f>
        <v>0</v>
      </c>
      <c r="Q215" s="65" t="str">
        <f>IF(Table1[[#This Row],[Pick]]="","",IF(S215&gt;1,400,IF(G215="","",IF(C215="Passing",(400-Table1[[#This Row],[Passing Yards]]-(30*Table1[[#This Row],[Passing TDs]])-(50*SUM(Table1[[#This Row],[Rushing TDs]:[Other TD''s]]))),IF(C215="Rushing",2*(200-Table1[[#This Row],[Rushing Yards]]-(30*Table1[[#This Row],[Passing TDs]])-50*(Table1[[#This Row],[Rushing TDs]]+Table1[[#This Row],[Receiving TDs]]+Table1[[#This Row],[Other TD''s]])),IF(C215="Receiving",2*(200-Table1[[#This Row],[Receiving Yards]]-(30*Table1[[#This Row],[Passing TDs]])-50*(Table1[[#This Row],[Rushing TDs]]+Table1[[#This Row],[Receiving TDs]]+Table1[[#This Row],[Other TD''s]])),IF(C215="Defensive",(25*(16-Table1[[#This Row],[Tackles]]-(8*(Table1[[#This Row],[Other TD''s]]+Table1[[#This Row],[Interceptions]]+Table1[[#This Row],[Fumbles Recovered]])))))))))))</f>
        <v/>
      </c>
      <c r="R215" s="3" t="str">
        <f t="shared" si="8"/>
        <v/>
      </c>
      <c r="S215" s="4">
        <f t="shared" si="7"/>
        <v>1048507</v>
      </c>
      <c r="T2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6" spans="1:20" hidden="1" x14ac:dyDescent="0.25">
      <c r="A216" t="s">
        <v>68</v>
      </c>
      <c r="B216" s="28" t="s">
        <v>46</v>
      </c>
      <c r="C216" t="s">
        <v>6</v>
      </c>
      <c r="D216" t="str">
        <f>_xlfn.XLOOKUP(Table1[[#This Row],[Player]]&amp;Table1[[#This Row],[Week]]&amp;Table1[[#This Row],[Role]],'Google Form Transform'!$A:$A,'Google Form Transform'!E:E,"")</f>
        <v/>
      </c>
      <c r="E216" t="str">
        <f>_xlfn.XLOOKUP(Table1[[#This Row],[Player]]&amp;Table1[[#This Row],[Week]]&amp;Table1[[#This Row],[Role]],'Google Form Transform'!$A:$A,'Google Form Transform'!F:F,"")</f>
        <v/>
      </c>
      <c r="F216" t="str">
        <f>_xlfn.XLOOKUP(Table1[[#This Row],[Player]]&amp;Table1[[#This Row],[Week]]&amp;Table1[[#This Row],[Role]],'Google Form Transform'!$A:$A,'Google Form Transform'!G:G,"")</f>
        <v/>
      </c>
      <c r="G216" s="59">
        <f>SUMIFS(Table2[Stat],Table2[Stat Category],"passing",Table2[Stat Type],"YDS",Table2[Athlete],Table1[[#This Row],[Pick]],Table2[Week],Table1[[#This Row],[Week]])</f>
        <v>0</v>
      </c>
      <c r="H216" s="59">
        <f>SUMIFS(Table2[Stat],Table2[Stat Category],"rushing",Table2[Stat Type],"YDS",Table2[Athlete],Table1[[#This Row],[Pick]],Table2[Week],Table1[[#This Row],[Week]])</f>
        <v>0</v>
      </c>
      <c r="I216" s="59">
        <f>SUMIFS(Table2[Stat],Table2[Stat Category],"receiving",Table2[Stat Type],"YDS",Table2[Athlete],Table1[[#This Row],[Pick]],Table2[Week],Table1[[#This Row],[Week]])</f>
        <v>0</v>
      </c>
      <c r="J216" s="6">
        <f>IF(AND($C216="Rushing", $H216&lt;=0), 0, IF(AND($C216="Passing", $G$3&lt;=0), 0,IF(AND($C216="Receiving",$I216&lt;=0), 0,SUMIFS(Table2[Stat],Table2[Week],Table1[[#This Row],[Week]],Table2[Athlete],Table1[[#This Row],[Pick]],Table2[Stat Category],"passing",Table2[Stat Type],"TD"))))</f>
        <v>0</v>
      </c>
      <c r="K216" s="6">
        <f>IF(AND($C216="Rushing", $H216&lt;=0), 0, IF(AND($C216="Passing", $G$3&lt;=0), 0,IF(AND($C216="Receiving",$I216&lt;=0),0,SUMIFS(Table2[Stat],Table2[Week],Table1[[#This Row],[Week]],Table2[Athlete],Table1[[#This Row],[Pick]],Table2[Stat Category],"rushing",Table2[Stat Type],"TD"))))</f>
        <v>0</v>
      </c>
      <c r="L216" s="6">
        <f>IF(AND($C216="Rushing", $H216&lt;=0), 0, IF(AND($C216="Passing", $G$3&lt;=0), 0,IF(AND($C216="Receiving",$I216&lt;=0),0,SUMIFS(Table2[Stat],Table2[Week],Table1[[#This Row],[Week]],Table2[Athlete],Table1[[#This Row],[Pick]],Table2[Stat Category],"receiving",Table2[Stat Type],"TD"))))</f>
        <v>0</v>
      </c>
      <c r="M2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6" s="61">
        <f>SUMIFS(Data!$J:$J,Data!$A:$A,Info!$B216,Data!$G:$G,Info!$C216,Data!$I:$I,Info!$D216,Data!$H:$H,"TOT")</f>
        <v>0</v>
      </c>
      <c r="O216" s="61">
        <f>IF(C216="Defensive",SUMIFS(Data!$J:$J,Data!$A:$A,Info!$B216,Data!$I:$I,Info!$D216,Data!$H:$H,"INT"),0)</f>
        <v>0</v>
      </c>
      <c r="P216" s="61">
        <f>IF(Table1[[#This Row],[Role]]="Defensive",SUMIFS(Data!$J:$J,Data!$A:$A,Info!$B216,Data!$I:$I,Info!$D216,Data!$H:$H,$P$1),0)</f>
        <v>0</v>
      </c>
      <c r="Q216" s="65" t="str">
        <f>IF(Table1[[#This Row],[Pick]]="","",IF(S216&gt;1,400,IF(G216="","",IF(C216="Passing",(400-Table1[[#This Row],[Passing Yards]]-(30*Table1[[#This Row],[Passing TDs]])-(50*SUM(Table1[[#This Row],[Rushing TDs]:[Other TD''s]]))),IF(C216="Rushing",2*(200-Table1[[#This Row],[Rushing Yards]]-(30*Table1[[#This Row],[Passing TDs]])-50*(Table1[[#This Row],[Rushing TDs]]+Table1[[#This Row],[Receiving TDs]]+Table1[[#This Row],[Other TD''s]])),IF(C216="Receiving",2*(200-Table1[[#This Row],[Receiving Yards]]-(30*Table1[[#This Row],[Passing TDs]])-50*(Table1[[#This Row],[Rushing TDs]]+Table1[[#This Row],[Receiving TDs]]+Table1[[#This Row],[Other TD''s]])),IF(C216="Defensive",(25*(16-Table1[[#This Row],[Tackles]]-(8*(Table1[[#This Row],[Other TD''s]]+Table1[[#This Row],[Interceptions]]+Table1[[#This Row],[Fumbles Recovered]])))))))))))</f>
        <v/>
      </c>
      <c r="R216" s="3" t="str">
        <f t="shared" si="8"/>
        <v/>
      </c>
      <c r="S216" s="4">
        <f t="shared" si="7"/>
        <v>1048507</v>
      </c>
      <c r="T2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7" spans="1:20" hidden="1" x14ac:dyDescent="0.25">
      <c r="A217" t="s">
        <v>68</v>
      </c>
      <c r="B217" s="28" t="s">
        <v>46</v>
      </c>
      <c r="C217" t="s">
        <v>17</v>
      </c>
      <c r="D217" t="str">
        <f>_xlfn.XLOOKUP(Table1[[#This Row],[Player]]&amp;Table1[[#This Row],[Week]]&amp;Table1[[#This Row],[Role]],'Google Form Transform'!$A:$A,'Google Form Transform'!E:E,"")</f>
        <v/>
      </c>
      <c r="E217" t="str">
        <f>_xlfn.XLOOKUP(Table1[[#This Row],[Player]]&amp;Table1[[#This Row],[Week]]&amp;Table1[[#This Row],[Role]],'Google Form Transform'!$A:$A,'Google Form Transform'!F:F,"")</f>
        <v/>
      </c>
      <c r="F217" t="str">
        <f>_xlfn.XLOOKUP(Table1[[#This Row],[Player]]&amp;Table1[[#This Row],[Week]]&amp;Table1[[#This Row],[Role]],'Google Form Transform'!$A:$A,'Google Form Transform'!G:G,"")</f>
        <v/>
      </c>
      <c r="G217" s="59">
        <f>SUMIFS(Table2[Stat],Table2[Stat Category],"passing",Table2[Stat Type],"YDS",Table2[Athlete],Table1[[#This Row],[Pick]],Table2[Week],Table1[[#This Row],[Week]])</f>
        <v>0</v>
      </c>
      <c r="H217" s="59">
        <f>SUMIFS(Table2[Stat],Table2[Stat Category],"rushing",Table2[Stat Type],"YDS",Table2[Athlete],Table1[[#This Row],[Pick]],Table2[Week],Table1[[#This Row],[Week]])</f>
        <v>0</v>
      </c>
      <c r="I217" s="59">
        <f>SUMIFS(Table2[Stat],Table2[Stat Category],"receiving",Table2[Stat Type],"YDS",Table2[Athlete],Table1[[#This Row],[Pick]],Table2[Week],Table1[[#This Row],[Week]])</f>
        <v>0</v>
      </c>
      <c r="J217" s="6">
        <f>IF(AND($C217="Rushing", $H217&lt;=0), 0, IF(AND($C217="Passing", $G$3&lt;=0), 0,IF(AND($C217="Receiving",$I217&lt;=0), 0,SUMIFS(Table2[Stat],Table2[Week],Table1[[#This Row],[Week]],Table2[Athlete],Table1[[#This Row],[Pick]],Table2[Stat Category],"passing",Table2[Stat Type],"TD"))))</f>
        <v>0</v>
      </c>
      <c r="K217" s="6">
        <f>IF(AND($C217="Rushing", $H217&lt;=0), 0, IF(AND($C217="Passing", $G$3&lt;=0), 0,IF(AND($C217="Receiving",$I217&lt;=0),0,SUMIFS(Table2[Stat],Table2[Week],Table1[[#This Row],[Week]],Table2[Athlete],Table1[[#This Row],[Pick]],Table2[Stat Category],"rushing",Table2[Stat Type],"TD"))))</f>
        <v>0</v>
      </c>
      <c r="L217" s="6">
        <f>IF(AND($C217="Rushing", $H217&lt;=0), 0, IF(AND($C217="Passing", $G$3&lt;=0), 0,IF(AND($C217="Receiving",$I217&lt;=0),0,SUMIFS(Table2[Stat],Table2[Week],Table1[[#This Row],[Week]],Table2[Athlete],Table1[[#This Row],[Pick]],Table2[Stat Category],"receiving",Table2[Stat Type],"TD"))))</f>
        <v>0</v>
      </c>
      <c r="M2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7" s="61">
        <f>SUMIFS(Data!$J:$J,Data!$A:$A,Info!$B217,Data!$G:$G,Info!$C217,Data!$I:$I,Info!$D217,Data!$H:$H,"TOT")</f>
        <v>0</v>
      </c>
      <c r="O217" s="61">
        <f>IF(C217="Defensive",SUMIFS(Data!$J:$J,Data!$A:$A,Info!$B217,Data!$I:$I,Info!$D217,Data!$H:$H,"INT"),0)</f>
        <v>0</v>
      </c>
      <c r="P217" s="61">
        <f>IF(Table1[[#This Row],[Role]]="Defensive",SUMIFS(Data!$J:$J,Data!$A:$A,Info!$B217,Data!$I:$I,Info!$D217,Data!$H:$H,$P$1),0)</f>
        <v>0</v>
      </c>
      <c r="Q217" s="65" t="str">
        <f>IF(Table1[[#This Row],[Pick]]="","",IF(S217&gt;1,400,IF(G217="","",IF(C217="Passing",(400-Table1[[#This Row],[Passing Yards]]-(30*Table1[[#This Row],[Passing TDs]])-(50*SUM(Table1[[#This Row],[Rushing TDs]:[Other TD''s]]))),IF(C217="Rushing",2*(200-Table1[[#This Row],[Rushing Yards]]-(30*Table1[[#This Row],[Passing TDs]])-50*(Table1[[#This Row],[Rushing TDs]]+Table1[[#This Row],[Receiving TDs]]+Table1[[#This Row],[Other TD''s]])),IF(C217="Receiving",2*(200-Table1[[#This Row],[Receiving Yards]]-(30*Table1[[#This Row],[Passing TDs]])-50*(Table1[[#This Row],[Rushing TDs]]+Table1[[#This Row],[Receiving TDs]]+Table1[[#This Row],[Other TD''s]])),IF(C217="Defensive",(25*(16-Table1[[#This Row],[Tackles]]-(8*(Table1[[#This Row],[Other TD''s]]+Table1[[#This Row],[Interceptions]]+Table1[[#This Row],[Fumbles Recovered]])))))))))))</f>
        <v/>
      </c>
      <c r="R217" s="3" t="str">
        <f t="shared" si="8"/>
        <v/>
      </c>
      <c r="S217" s="4">
        <f t="shared" si="7"/>
        <v>1048507</v>
      </c>
      <c r="T2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8" spans="1:20" hidden="1" x14ac:dyDescent="0.25">
      <c r="A218" t="s">
        <v>68</v>
      </c>
      <c r="B218" s="28" t="s">
        <v>46</v>
      </c>
      <c r="C218" t="s">
        <v>20</v>
      </c>
      <c r="D218" t="str">
        <f>_xlfn.XLOOKUP(Table1[[#This Row],[Player]]&amp;Table1[[#This Row],[Week]]&amp;Table1[[#This Row],[Role]],'Google Form Transform'!$A:$A,'Google Form Transform'!E:E,"")</f>
        <v/>
      </c>
      <c r="E218" t="str">
        <f>_xlfn.XLOOKUP(Table1[[#This Row],[Player]]&amp;Table1[[#This Row],[Week]]&amp;Table1[[#This Row],[Role]],'Google Form Transform'!$A:$A,'Google Form Transform'!F:F,"")</f>
        <v/>
      </c>
      <c r="F218" t="str">
        <f>_xlfn.XLOOKUP(Table1[[#This Row],[Player]]&amp;Table1[[#This Row],[Week]]&amp;Table1[[#This Row],[Role]],'Google Form Transform'!$A:$A,'Google Form Transform'!G:G,"")</f>
        <v/>
      </c>
      <c r="G218" s="59">
        <f>SUMIFS(Table2[Stat],Table2[Stat Category],"passing",Table2[Stat Type],"YDS",Table2[Athlete],Table1[[#This Row],[Pick]],Table2[Week],Table1[[#This Row],[Week]])</f>
        <v>0</v>
      </c>
      <c r="H218" s="59">
        <f>SUMIFS(Table2[Stat],Table2[Stat Category],"rushing",Table2[Stat Type],"YDS",Table2[Athlete],Table1[[#This Row],[Pick]],Table2[Week],Table1[[#This Row],[Week]])</f>
        <v>0</v>
      </c>
      <c r="I218" s="59">
        <f>SUMIFS(Table2[Stat],Table2[Stat Category],"receiving",Table2[Stat Type],"YDS",Table2[Athlete],Table1[[#This Row],[Pick]],Table2[Week],Table1[[#This Row],[Week]])</f>
        <v>0</v>
      </c>
      <c r="J218" s="6">
        <f>IF(AND($C218="Rushing", $H218&lt;=0), 0, IF(AND($C218="Passing", $G$3&lt;=0), 0,IF(AND($C218="Receiving",$I218&lt;=0), 0,SUMIFS(Table2[Stat],Table2[Week],Table1[[#This Row],[Week]],Table2[Athlete],Table1[[#This Row],[Pick]],Table2[Stat Category],"passing",Table2[Stat Type],"TD"))))</f>
        <v>0</v>
      </c>
      <c r="K218" s="6">
        <f>IF(AND($C218="Rushing", $H218&lt;=0), 0, IF(AND($C218="Passing", $G$3&lt;=0), 0,IF(AND($C218="Receiving",$I218&lt;=0),0,SUMIFS(Table2[Stat],Table2[Week],Table1[[#This Row],[Week]],Table2[Athlete],Table1[[#This Row],[Pick]],Table2[Stat Category],"rushing",Table2[Stat Type],"TD"))))</f>
        <v>0</v>
      </c>
      <c r="L218" s="6">
        <f>IF(AND($C218="Rushing", $H218&lt;=0), 0, IF(AND($C218="Passing", $G$3&lt;=0), 0,IF(AND($C218="Receiving",$I218&lt;=0),0,SUMIFS(Table2[Stat],Table2[Week],Table1[[#This Row],[Week]],Table2[Athlete],Table1[[#This Row],[Pick]],Table2[Stat Category],"receiving",Table2[Stat Type],"TD"))))</f>
        <v>0</v>
      </c>
      <c r="M2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8" s="61">
        <f>SUMIFS(Data!$J:$J,Data!$A:$A,Info!$B218,Data!$G:$G,Info!$C218,Data!$I:$I,Info!$D218,Data!$H:$H,"TOT")</f>
        <v>0</v>
      </c>
      <c r="O218" s="61">
        <f>IF(C218="Defensive",SUMIFS(Data!$J:$J,Data!$A:$A,Info!$B218,Data!$I:$I,Info!$D218,Data!$H:$H,"INT"),0)</f>
        <v>0</v>
      </c>
      <c r="P218" s="61">
        <f>IF(Table1[[#This Row],[Role]]="Defensive",SUMIFS(Data!$J:$J,Data!$A:$A,Info!$B218,Data!$I:$I,Info!$D218,Data!$H:$H,$P$1),0)</f>
        <v>0</v>
      </c>
      <c r="Q218" s="65" t="str">
        <f>IF(Table1[[#This Row],[Pick]]="","",IF(S218&gt;1,400,IF(G218="","",IF(C218="Passing",(400-Table1[[#This Row],[Passing Yards]]-(30*Table1[[#This Row],[Passing TDs]])-(50*SUM(Table1[[#This Row],[Rushing TDs]:[Other TD''s]]))),IF(C218="Rushing",2*(200-Table1[[#This Row],[Rushing Yards]]-(30*Table1[[#This Row],[Passing TDs]])-50*(Table1[[#This Row],[Rushing TDs]]+Table1[[#This Row],[Receiving TDs]]+Table1[[#This Row],[Other TD''s]])),IF(C218="Receiving",2*(200-Table1[[#This Row],[Receiving Yards]]-(30*Table1[[#This Row],[Passing TDs]])-50*(Table1[[#This Row],[Rushing TDs]]+Table1[[#This Row],[Receiving TDs]]+Table1[[#This Row],[Other TD''s]])),IF(C218="Defensive",(25*(16-Table1[[#This Row],[Tackles]]-(8*(Table1[[#This Row],[Other TD''s]]+Table1[[#This Row],[Interceptions]]+Table1[[#This Row],[Fumbles Recovered]])))))))))))</f>
        <v/>
      </c>
      <c r="R218" s="3" t="str">
        <f t="shared" si="8"/>
        <v/>
      </c>
      <c r="S218" s="4">
        <f t="shared" si="7"/>
        <v>1048507</v>
      </c>
      <c r="T2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9" spans="1:20" hidden="1" x14ac:dyDescent="0.25">
      <c r="A219" t="s">
        <v>5</v>
      </c>
      <c r="B219" s="28" t="s">
        <v>46</v>
      </c>
      <c r="C219" t="s">
        <v>16</v>
      </c>
      <c r="D219" t="str">
        <f>_xlfn.XLOOKUP(Table1[[#This Row],[Player]]&amp;Table1[[#This Row],[Week]]&amp;Table1[[#This Row],[Role]],'Google Form Transform'!$A:$A,'Google Form Transform'!E:E,"")</f>
        <v/>
      </c>
      <c r="E219" t="str">
        <f>_xlfn.XLOOKUP(Table1[[#This Row],[Player]]&amp;Table1[[#This Row],[Week]]&amp;Table1[[#This Row],[Role]],'Google Form Transform'!$A:$A,'Google Form Transform'!F:F,"")</f>
        <v/>
      </c>
      <c r="F219" t="str">
        <f>_xlfn.XLOOKUP(Table1[[#This Row],[Player]]&amp;Table1[[#This Row],[Week]]&amp;Table1[[#This Row],[Role]],'Google Form Transform'!$A:$A,'Google Form Transform'!G:G,"")</f>
        <v/>
      </c>
      <c r="G219" s="59">
        <f>SUMIFS(Table2[Stat],Table2[Stat Category],"passing",Table2[Stat Type],"YDS",Table2[Athlete],Table1[[#This Row],[Pick]],Table2[Week],Table1[[#This Row],[Week]])</f>
        <v>0</v>
      </c>
      <c r="H219" s="59">
        <f>SUMIFS(Table2[Stat],Table2[Stat Category],"rushing",Table2[Stat Type],"YDS",Table2[Athlete],Table1[[#This Row],[Pick]],Table2[Week],Table1[[#This Row],[Week]])</f>
        <v>0</v>
      </c>
      <c r="I219" s="59">
        <f>SUMIFS(Table2[Stat],Table2[Stat Category],"receiving",Table2[Stat Type],"YDS",Table2[Athlete],Table1[[#This Row],[Pick]],Table2[Week],Table1[[#This Row],[Week]])</f>
        <v>0</v>
      </c>
      <c r="J219" s="6">
        <f>IF(AND($C219="Rushing", $H219&lt;=0), 0, IF(AND($C219="Passing", $G$3&lt;=0), 0,IF(AND($C219="Receiving",$I219&lt;=0), 0,SUMIFS(Table2[Stat],Table2[Week],Table1[[#This Row],[Week]],Table2[Athlete],Table1[[#This Row],[Pick]],Table2[Stat Category],"passing",Table2[Stat Type],"TD"))))</f>
        <v>0</v>
      </c>
      <c r="K219" s="6">
        <f>IF(AND($C219="Rushing", $H219&lt;=0), 0, IF(AND($C219="Passing", $G$3&lt;=0), 0,IF(AND($C219="Receiving",$I219&lt;=0),0,SUMIFS(Table2[Stat],Table2[Week],Table1[[#This Row],[Week]],Table2[Athlete],Table1[[#This Row],[Pick]],Table2[Stat Category],"rushing",Table2[Stat Type],"TD"))))</f>
        <v>0</v>
      </c>
      <c r="L219" s="6">
        <f>IF(AND($C219="Rushing", $H219&lt;=0), 0, IF(AND($C219="Passing", $G$3&lt;=0), 0,IF(AND($C219="Receiving",$I219&lt;=0),0,SUMIFS(Table2[Stat],Table2[Week],Table1[[#This Row],[Week]],Table2[Athlete],Table1[[#This Row],[Pick]],Table2[Stat Category],"receiving",Table2[Stat Type],"TD"))))</f>
        <v>0</v>
      </c>
      <c r="M2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9" s="61">
        <f>SUMIFS(Data!$J:$J,Data!$A:$A,Info!$B219,Data!$G:$G,Info!$C219,Data!$I:$I,Info!$D219,Data!$H:$H,"TOT")</f>
        <v>0</v>
      </c>
      <c r="O219" s="61">
        <f>IF(C219="Defensive",SUMIFS(Data!$J:$J,Data!$A:$A,Info!$B219,Data!$I:$I,Info!$D219,Data!$H:$H,"INT"),0)</f>
        <v>0</v>
      </c>
      <c r="P219" s="61">
        <f>IF(Table1[[#This Row],[Role]]="Defensive",SUMIFS(Data!$J:$J,Data!$A:$A,Info!$B219,Data!$I:$I,Info!$D219,Data!$H:$H,$P$1),0)</f>
        <v>0</v>
      </c>
      <c r="Q219" s="65" t="str">
        <f>IF(Table1[[#This Row],[Pick]]="","",IF(S219&gt;1,400,IF(G219="","",IF(C219="Passing",(400-Table1[[#This Row],[Passing Yards]]-(30*Table1[[#This Row],[Passing TDs]])-(50*SUM(Table1[[#This Row],[Rushing TDs]:[Other TD''s]]))),IF(C219="Rushing",2*(200-Table1[[#This Row],[Rushing Yards]]-(30*Table1[[#This Row],[Passing TDs]])-50*(Table1[[#This Row],[Rushing TDs]]+Table1[[#This Row],[Receiving TDs]]+Table1[[#This Row],[Other TD''s]])),IF(C219="Receiving",2*(200-Table1[[#This Row],[Receiving Yards]]-(30*Table1[[#This Row],[Passing TDs]])-50*(Table1[[#This Row],[Rushing TDs]]+Table1[[#This Row],[Receiving TDs]]+Table1[[#This Row],[Other TD''s]])),IF(C219="Defensive",(25*(16-Table1[[#This Row],[Tackles]]-(8*(Table1[[#This Row],[Other TD''s]]+Table1[[#This Row],[Interceptions]]+Table1[[#This Row],[Fumbles Recovered]])))))))))))</f>
        <v/>
      </c>
      <c r="R219" s="3" t="str">
        <f t="shared" si="8"/>
        <v/>
      </c>
      <c r="S219" s="4">
        <f t="shared" si="7"/>
        <v>1048507</v>
      </c>
      <c r="T2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0" spans="1:20" hidden="1" x14ac:dyDescent="0.25">
      <c r="A220" t="s">
        <v>5</v>
      </c>
      <c r="B220" s="28" t="s">
        <v>46</v>
      </c>
      <c r="C220" t="s">
        <v>6</v>
      </c>
      <c r="D220" t="str">
        <f>_xlfn.XLOOKUP(Table1[[#This Row],[Player]]&amp;Table1[[#This Row],[Week]]&amp;Table1[[#This Row],[Role]],'Google Form Transform'!$A:$A,'Google Form Transform'!E:E,"")</f>
        <v/>
      </c>
      <c r="E220" t="str">
        <f>_xlfn.XLOOKUP(Table1[[#This Row],[Player]]&amp;Table1[[#This Row],[Week]]&amp;Table1[[#This Row],[Role]],'Google Form Transform'!$A:$A,'Google Form Transform'!F:F,"")</f>
        <v/>
      </c>
      <c r="F220" t="str">
        <f>_xlfn.XLOOKUP(Table1[[#This Row],[Player]]&amp;Table1[[#This Row],[Week]]&amp;Table1[[#This Row],[Role]],'Google Form Transform'!$A:$A,'Google Form Transform'!G:G,"")</f>
        <v/>
      </c>
      <c r="G220" s="59">
        <f>SUMIFS(Table2[Stat],Table2[Stat Category],"passing",Table2[Stat Type],"YDS",Table2[Athlete],Table1[[#This Row],[Pick]],Table2[Week],Table1[[#This Row],[Week]])</f>
        <v>0</v>
      </c>
      <c r="H220" s="59">
        <f>SUMIFS(Table2[Stat],Table2[Stat Category],"rushing",Table2[Stat Type],"YDS",Table2[Athlete],Table1[[#This Row],[Pick]],Table2[Week],Table1[[#This Row],[Week]])</f>
        <v>0</v>
      </c>
      <c r="I220" s="59">
        <f>SUMIFS(Table2[Stat],Table2[Stat Category],"receiving",Table2[Stat Type],"YDS",Table2[Athlete],Table1[[#This Row],[Pick]],Table2[Week],Table1[[#This Row],[Week]])</f>
        <v>0</v>
      </c>
      <c r="J220" s="6">
        <f>IF(AND($C220="Rushing", $H220&lt;=0), 0, IF(AND($C220="Passing", $G$3&lt;=0), 0,IF(AND($C220="Receiving",$I220&lt;=0), 0,SUMIFS(Table2[Stat],Table2[Week],Table1[[#This Row],[Week]],Table2[Athlete],Table1[[#This Row],[Pick]],Table2[Stat Category],"passing",Table2[Stat Type],"TD"))))</f>
        <v>0</v>
      </c>
      <c r="K220" s="6">
        <f>IF(AND($C220="Rushing", $H220&lt;=0), 0, IF(AND($C220="Passing", $G$3&lt;=0), 0,IF(AND($C220="Receiving",$I220&lt;=0),0,SUMIFS(Table2[Stat],Table2[Week],Table1[[#This Row],[Week]],Table2[Athlete],Table1[[#This Row],[Pick]],Table2[Stat Category],"rushing",Table2[Stat Type],"TD"))))</f>
        <v>0</v>
      </c>
      <c r="L220" s="6">
        <f>IF(AND($C220="Rushing", $H220&lt;=0), 0, IF(AND($C220="Passing", $G$3&lt;=0), 0,IF(AND($C220="Receiving",$I220&lt;=0),0,SUMIFS(Table2[Stat],Table2[Week],Table1[[#This Row],[Week]],Table2[Athlete],Table1[[#This Row],[Pick]],Table2[Stat Category],"receiving",Table2[Stat Type],"TD"))))</f>
        <v>0</v>
      </c>
      <c r="M2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0" s="61">
        <f>SUMIFS(Data!$J:$J,Data!$A:$A,Info!$B220,Data!$G:$G,Info!$C220,Data!$I:$I,Info!$D220,Data!$H:$H,"TOT")</f>
        <v>0</v>
      </c>
      <c r="O220" s="61">
        <f>IF(C220="Defensive",SUMIFS(Data!$J:$J,Data!$A:$A,Info!$B220,Data!$I:$I,Info!$D220,Data!$H:$H,"INT"),0)</f>
        <v>0</v>
      </c>
      <c r="P220" s="61">
        <f>IF(Table1[[#This Row],[Role]]="Defensive",SUMIFS(Data!$J:$J,Data!$A:$A,Info!$B220,Data!$I:$I,Info!$D220,Data!$H:$H,$P$1),0)</f>
        <v>0</v>
      </c>
      <c r="Q220" s="65" t="str">
        <f>IF(Table1[[#This Row],[Pick]]="","",IF(S220&gt;1,400,IF(G220="","",IF(C220="Passing",(400-Table1[[#This Row],[Passing Yards]]-(30*Table1[[#This Row],[Passing TDs]])-(50*SUM(Table1[[#This Row],[Rushing TDs]:[Other TD''s]]))),IF(C220="Rushing",2*(200-Table1[[#This Row],[Rushing Yards]]-(30*Table1[[#This Row],[Passing TDs]])-50*(Table1[[#This Row],[Rushing TDs]]+Table1[[#This Row],[Receiving TDs]]+Table1[[#This Row],[Other TD''s]])),IF(C220="Receiving",2*(200-Table1[[#This Row],[Receiving Yards]]-(30*Table1[[#This Row],[Passing TDs]])-50*(Table1[[#This Row],[Rushing TDs]]+Table1[[#This Row],[Receiving TDs]]+Table1[[#This Row],[Other TD''s]])),IF(C220="Defensive",(25*(16-Table1[[#This Row],[Tackles]]-(8*(Table1[[#This Row],[Other TD''s]]+Table1[[#This Row],[Interceptions]]+Table1[[#This Row],[Fumbles Recovered]])))))))))))</f>
        <v/>
      </c>
      <c r="R220" s="3" t="str">
        <f t="shared" si="8"/>
        <v/>
      </c>
      <c r="S220" s="4">
        <f t="shared" si="7"/>
        <v>1048507</v>
      </c>
      <c r="T2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1" spans="1:20" hidden="1" x14ac:dyDescent="0.25">
      <c r="A221" t="s">
        <v>5</v>
      </c>
      <c r="B221" s="28" t="s">
        <v>46</v>
      </c>
      <c r="C221" t="s">
        <v>17</v>
      </c>
      <c r="D221" t="str">
        <f>_xlfn.XLOOKUP(Table1[[#This Row],[Player]]&amp;Table1[[#This Row],[Week]]&amp;Table1[[#This Row],[Role]],'Google Form Transform'!$A:$A,'Google Form Transform'!E:E,"")</f>
        <v/>
      </c>
      <c r="E221" t="str">
        <f>_xlfn.XLOOKUP(Table1[[#This Row],[Player]]&amp;Table1[[#This Row],[Week]]&amp;Table1[[#This Row],[Role]],'Google Form Transform'!$A:$A,'Google Form Transform'!F:F,"")</f>
        <v/>
      </c>
      <c r="F221" t="str">
        <f>_xlfn.XLOOKUP(Table1[[#This Row],[Player]]&amp;Table1[[#This Row],[Week]]&amp;Table1[[#This Row],[Role]],'Google Form Transform'!$A:$A,'Google Form Transform'!G:G,"")</f>
        <v/>
      </c>
      <c r="G221" s="59">
        <f>SUMIFS(Table2[Stat],Table2[Stat Category],"passing",Table2[Stat Type],"YDS",Table2[Athlete],Table1[[#This Row],[Pick]],Table2[Week],Table1[[#This Row],[Week]])</f>
        <v>0</v>
      </c>
      <c r="H221" s="59">
        <f>SUMIFS(Table2[Stat],Table2[Stat Category],"rushing",Table2[Stat Type],"YDS",Table2[Athlete],Table1[[#This Row],[Pick]],Table2[Week],Table1[[#This Row],[Week]])</f>
        <v>0</v>
      </c>
      <c r="I221" s="59">
        <f>SUMIFS(Table2[Stat],Table2[Stat Category],"receiving",Table2[Stat Type],"YDS",Table2[Athlete],Table1[[#This Row],[Pick]],Table2[Week],Table1[[#This Row],[Week]])</f>
        <v>0</v>
      </c>
      <c r="J221" s="6">
        <f>IF(AND($C221="Rushing", $H221&lt;=0), 0, IF(AND($C221="Passing", $G$3&lt;=0), 0,IF(AND($C221="Receiving",$I221&lt;=0), 0,SUMIFS(Table2[Stat],Table2[Week],Table1[[#This Row],[Week]],Table2[Athlete],Table1[[#This Row],[Pick]],Table2[Stat Category],"passing",Table2[Stat Type],"TD"))))</f>
        <v>0</v>
      </c>
      <c r="K221" s="6">
        <f>IF(AND($C221="Rushing", $H221&lt;=0), 0, IF(AND($C221="Passing", $G$3&lt;=0), 0,IF(AND($C221="Receiving",$I221&lt;=0),0,SUMIFS(Table2[Stat],Table2[Week],Table1[[#This Row],[Week]],Table2[Athlete],Table1[[#This Row],[Pick]],Table2[Stat Category],"rushing",Table2[Stat Type],"TD"))))</f>
        <v>0</v>
      </c>
      <c r="L221" s="6">
        <f>IF(AND($C221="Rushing", $H221&lt;=0), 0, IF(AND($C221="Passing", $G$3&lt;=0), 0,IF(AND($C221="Receiving",$I221&lt;=0),0,SUMIFS(Table2[Stat],Table2[Week],Table1[[#This Row],[Week]],Table2[Athlete],Table1[[#This Row],[Pick]],Table2[Stat Category],"receiving",Table2[Stat Type],"TD"))))</f>
        <v>0</v>
      </c>
      <c r="M2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1" s="61">
        <f>SUMIFS(Data!$J:$J,Data!$A:$A,Info!$B221,Data!$G:$G,Info!$C221,Data!$I:$I,Info!$D221,Data!$H:$H,"TOT")</f>
        <v>0</v>
      </c>
      <c r="O221" s="61">
        <f>IF(C221="Defensive",SUMIFS(Data!$J:$J,Data!$A:$A,Info!$B221,Data!$I:$I,Info!$D221,Data!$H:$H,"INT"),0)</f>
        <v>0</v>
      </c>
      <c r="P221" s="61">
        <f>IF(Table1[[#This Row],[Role]]="Defensive",SUMIFS(Data!$J:$J,Data!$A:$A,Info!$B221,Data!$I:$I,Info!$D221,Data!$H:$H,$P$1),0)</f>
        <v>0</v>
      </c>
      <c r="Q221" s="65" t="str">
        <f>IF(Table1[[#This Row],[Pick]]="","",IF(S221&gt;1,400,IF(G221="","",IF(C221="Passing",(400-Table1[[#This Row],[Passing Yards]]-(30*Table1[[#This Row],[Passing TDs]])-(50*SUM(Table1[[#This Row],[Rushing TDs]:[Other TD''s]]))),IF(C221="Rushing",2*(200-Table1[[#This Row],[Rushing Yards]]-(30*Table1[[#This Row],[Passing TDs]])-50*(Table1[[#This Row],[Rushing TDs]]+Table1[[#This Row],[Receiving TDs]]+Table1[[#This Row],[Other TD''s]])),IF(C221="Receiving",2*(200-Table1[[#This Row],[Receiving Yards]]-(30*Table1[[#This Row],[Passing TDs]])-50*(Table1[[#This Row],[Rushing TDs]]+Table1[[#This Row],[Receiving TDs]]+Table1[[#This Row],[Other TD''s]])),IF(C221="Defensive",(25*(16-Table1[[#This Row],[Tackles]]-(8*(Table1[[#This Row],[Other TD''s]]+Table1[[#This Row],[Interceptions]]+Table1[[#This Row],[Fumbles Recovered]])))))))))))</f>
        <v/>
      </c>
      <c r="R221" s="3" t="str">
        <f t="shared" si="8"/>
        <v/>
      </c>
      <c r="S221" s="4">
        <f t="shared" si="7"/>
        <v>1048507</v>
      </c>
      <c r="T2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2" spans="1:20" hidden="1" x14ac:dyDescent="0.25">
      <c r="A222" t="s">
        <v>5</v>
      </c>
      <c r="B222" s="28" t="s">
        <v>46</v>
      </c>
      <c r="C222" t="s">
        <v>20</v>
      </c>
      <c r="D222" t="str">
        <f>_xlfn.XLOOKUP(Table1[[#This Row],[Player]]&amp;Table1[[#This Row],[Week]]&amp;Table1[[#This Row],[Role]],'Google Form Transform'!$A:$A,'Google Form Transform'!E:E,"")</f>
        <v/>
      </c>
      <c r="E222" t="str">
        <f>_xlfn.XLOOKUP(Table1[[#This Row],[Player]]&amp;Table1[[#This Row],[Week]]&amp;Table1[[#This Row],[Role]],'Google Form Transform'!$A:$A,'Google Form Transform'!F:F,"")</f>
        <v/>
      </c>
      <c r="F222" t="str">
        <f>_xlfn.XLOOKUP(Table1[[#This Row],[Player]]&amp;Table1[[#This Row],[Week]]&amp;Table1[[#This Row],[Role]],'Google Form Transform'!$A:$A,'Google Form Transform'!G:G,"")</f>
        <v/>
      </c>
      <c r="G222" s="59">
        <f>SUMIFS(Table2[Stat],Table2[Stat Category],"passing",Table2[Stat Type],"YDS",Table2[Athlete],Table1[[#This Row],[Pick]],Table2[Week],Table1[[#This Row],[Week]])</f>
        <v>0</v>
      </c>
      <c r="H222" s="59">
        <f>SUMIFS(Table2[Stat],Table2[Stat Category],"rushing",Table2[Stat Type],"YDS",Table2[Athlete],Table1[[#This Row],[Pick]],Table2[Week],Table1[[#This Row],[Week]])</f>
        <v>0</v>
      </c>
      <c r="I222" s="59">
        <f>SUMIFS(Table2[Stat],Table2[Stat Category],"receiving",Table2[Stat Type],"YDS",Table2[Athlete],Table1[[#This Row],[Pick]],Table2[Week],Table1[[#This Row],[Week]])</f>
        <v>0</v>
      </c>
      <c r="J222" s="6">
        <f>IF(AND($C222="Rushing", $H222&lt;=0), 0, IF(AND($C222="Passing", $G$3&lt;=0), 0,IF(AND($C222="Receiving",$I222&lt;=0), 0,SUMIFS(Table2[Stat],Table2[Week],Table1[[#This Row],[Week]],Table2[Athlete],Table1[[#This Row],[Pick]],Table2[Stat Category],"passing",Table2[Stat Type],"TD"))))</f>
        <v>0</v>
      </c>
      <c r="K222" s="6">
        <f>IF(AND($C222="Rushing", $H222&lt;=0), 0, IF(AND($C222="Passing", $G$3&lt;=0), 0,IF(AND($C222="Receiving",$I222&lt;=0),0,SUMIFS(Table2[Stat],Table2[Week],Table1[[#This Row],[Week]],Table2[Athlete],Table1[[#This Row],[Pick]],Table2[Stat Category],"rushing",Table2[Stat Type],"TD"))))</f>
        <v>0</v>
      </c>
      <c r="L222" s="6">
        <f>IF(AND($C222="Rushing", $H222&lt;=0), 0, IF(AND($C222="Passing", $G$3&lt;=0), 0,IF(AND($C222="Receiving",$I222&lt;=0),0,SUMIFS(Table2[Stat],Table2[Week],Table1[[#This Row],[Week]],Table2[Athlete],Table1[[#This Row],[Pick]],Table2[Stat Category],"receiving",Table2[Stat Type],"TD"))))</f>
        <v>0</v>
      </c>
      <c r="M2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2" s="61">
        <f>SUMIFS(Data!$J:$J,Data!$A:$A,Info!$B222,Data!$G:$G,Info!$C222,Data!$I:$I,Info!$D222,Data!$H:$H,"TOT")</f>
        <v>0</v>
      </c>
      <c r="O222" s="61">
        <f>IF(C222="Defensive",SUMIFS(Data!$J:$J,Data!$A:$A,Info!$B222,Data!$I:$I,Info!$D222,Data!$H:$H,"INT"),0)</f>
        <v>0</v>
      </c>
      <c r="P222" s="61">
        <f>IF(Table1[[#This Row],[Role]]="Defensive",SUMIFS(Data!$J:$J,Data!$A:$A,Info!$B222,Data!$I:$I,Info!$D222,Data!$H:$H,$P$1),0)</f>
        <v>0</v>
      </c>
      <c r="Q222" s="65" t="str">
        <f>IF(Table1[[#This Row],[Pick]]="","",IF(S222&gt;1,400,IF(G222="","",IF(C222="Passing",(400-Table1[[#This Row],[Passing Yards]]-(30*Table1[[#This Row],[Passing TDs]])-(50*SUM(Table1[[#This Row],[Rushing TDs]:[Other TD''s]]))),IF(C222="Rushing",2*(200-Table1[[#This Row],[Rushing Yards]]-(30*Table1[[#This Row],[Passing TDs]])-50*(Table1[[#This Row],[Rushing TDs]]+Table1[[#This Row],[Receiving TDs]]+Table1[[#This Row],[Other TD''s]])),IF(C222="Receiving",2*(200-Table1[[#This Row],[Receiving Yards]]-(30*Table1[[#This Row],[Passing TDs]])-50*(Table1[[#This Row],[Rushing TDs]]+Table1[[#This Row],[Receiving TDs]]+Table1[[#This Row],[Other TD''s]])),IF(C222="Defensive",(25*(16-Table1[[#This Row],[Tackles]]-(8*(Table1[[#This Row],[Other TD''s]]+Table1[[#This Row],[Interceptions]]+Table1[[#This Row],[Fumbles Recovered]])))))))))))</f>
        <v/>
      </c>
      <c r="R222" s="3" t="str">
        <f t="shared" si="8"/>
        <v/>
      </c>
      <c r="S222" s="4">
        <f t="shared" si="7"/>
        <v>1048507</v>
      </c>
      <c r="T2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3" spans="1:20" hidden="1" x14ac:dyDescent="0.25">
      <c r="A223" t="s">
        <v>18</v>
      </c>
      <c r="B223" s="28" t="s">
        <v>46</v>
      </c>
      <c r="C223" t="s">
        <v>16</v>
      </c>
      <c r="D223" t="str">
        <f>_xlfn.XLOOKUP(Table1[[#This Row],[Player]]&amp;Table1[[#This Row],[Week]]&amp;Table1[[#This Row],[Role]],'Google Form Transform'!$A:$A,'Google Form Transform'!E:E,"")</f>
        <v/>
      </c>
      <c r="E223" t="str">
        <f>_xlfn.XLOOKUP(Table1[[#This Row],[Player]]&amp;Table1[[#This Row],[Week]]&amp;Table1[[#This Row],[Role]],'Google Form Transform'!$A:$A,'Google Form Transform'!F:F,"")</f>
        <v/>
      </c>
      <c r="F223" t="str">
        <f>_xlfn.XLOOKUP(Table1[[#This Row],[Player]]&amp;Table1[[#This Row],[Week]]&amp;Table1[[#This Row],[Role]],'Google Form Transform'!$A:$A,'Google Form Transform'!G:G,"")</f>
        <v/>
      </c>
      <c r="G223" s="59">
        <f>SUMIFS(Table2[Stat],Table2[Stat Category],"passing",Table2[Stat Type],"YDS",Table2[Athlete],Table1[[#This Row],[Pick]],Table2[Week],Table1[[#This Row],[Week]])</f>
        <v>0</v>
      </c>
      <c r="H223" s="59">
        <f>SUMIFS(Table2[Stat],Table2[Stat Category],"rushing",Table2[Stat Type],"YDS",Table2[Athlete],Table1[[#This Row],[Pick]],Table2[Week],Table1[[#This Row],[Week]])</f>
        <v>0</v>
      </c>
      <c r="I223" s="59">
        <f>SUMIFS(Table2[Stat],Table2[Stat Category],"receiving",Table2[Stat Type],"YDS",Table2[Athlete],Table1[[#This Row],[Pick]],Table2[Week],Table1[[#This Row],[Week]])</f>
        <v>0</v>
      </c>
      <c r="J223" s="6">
        <f>IF(AND($C223="Rushing", $H223&lt;=0), 0, IF(AND($C223="Passing", $G$3&lt;=0), 0,IF(AND($C223="Receiving",$I223&lt;=0), 0,SUMIFS(Table2[Stat],Table2[Week],Table1[[#This Row],[Week]],Table2[Athlete],Table1[[#This Row],[Pick]],Table2[Stat Category],"passing",Table2[Stat Type],"TD"))))</f>
        <v>0</v>
      </c>
      <c r="K223" s="6">
        <f>IF(AND($C223="Rushing", $H223&lt;=0), 0, IF(AND($C223="Passing", $G$3&lt;=0), 0,IF(AND($C223="Receiving",$I223&lt;=0),0,SUMIFS(Table2[Stat],Table2[Week],Table1[[#This Row],[Week]],Table2[Athlete],Table1[[#This Row],[Pick]],Table2[Stat Category],"rushing",Table2[Stat Type],"TD"))))</f>
        <v>0</v>
      </c>
      <c r="L223" s="6">
        <f>IF(AND($C223="Rushing", $H223&lt;=0), 0, IF(AND($C223="Passing", $G$3&lt;=0), 0,IF(AND($C223="Receiving",$I223&lt;=0),0,SUMIFS(Table2[Stat],Table2[Week],Table1[[#This Row],[Week]],Table2[Athlete],Table1[[#This Row],[Pick]],Table2[Stat Category],"receiving",Table2[Stat Type],"TD"))))</f>
        <v>0</v>
      </c>
      <c r="M2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3" s="61">
        <f>SUMIFS(Data!$J:$J,Data!$A:$A,Info!$B223,Data!$G:$G,Info!$C223,Data!$I:$I,Info!$D223,Data!$H:$H,"TOT")</f>
        <v>0</v>
      </c>
      <c r="O223" s="61">
        <f>IF(C223="Defensive",SUMIFS(Data!$J:$J,Data!$A:$A,Info!$B223,Data!$I:$I,Info!$D223,Data!$H:$H,"INT"),0)</f>
        <v>0</v>
      </c>
      <c r="P223" s="61">
        <f>IF(Table1[[#This Row],[Role]]="Defensive",SUMIFS(Data!$J:$J,Data!$A:$A,Info!$B223,Data!$I:$I,Info!$D223,Data!$H:$H,$P$1),0)</f>
        <v>0</v>
      </c>
      <c r="Q223" s="65" t="str">
        <f>IF(Table1[[#This Row],[Pick]]="","",IF(S223&gt;1,400,IF(G223="","",IF(C223="Passing",(400-Table1[[#This Row],[Passing Yards]]-(30*Table1[[#This Row],[Passing TDs]])-(50*SUM(Table1[[#This Row],[Rushing TDs]:[Other TD''s]]))),IF(C223="Rushing",2*(200-Table1[[#This Row],[Rushing Yards]]-(30*Table1[[#This Row],[Passing TDs]])-50*(Table1[[#This Row],[Rushing TDs]]+Table1[[#This Row],[Receiving TDs]]+Table1[[#This Row],[Other TD''s]])),IF(C223="Receiving",2*(200-Table1[[#This Row],[Receiving Yards]]-(30*Table1[[#This Row],[Passing TDs]])-50*(Table1[[#This Row],[Rushing TDs]]+Table1[[#This Row],[Receiving TDs]]+Table1[[#This Row],[Other TD''s]])),IF(C223="Defensive",(25*(16-Table1[[#This Row],[Tackles]]-(8*(Table1[[#This Row],[Other TD''s]]+Table1[[#This Row],[Interceptions]]+Table1[[#This Row],[Fumbles Recovered]])))))))))))</f>
        <v/>
      </c>
      <c r="R223" s="3" t="str">
        <f t="shared" si="8"/>
        <v/>
      </c>
      <c r="S223" s="4">
        <f t="shared" si="7"/>
        <v>1048507</v>
      </c>
      <c r="T2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4" spans="1:20" hidden="1" x14ac:dyDescent="0.25">
      <c r="A224" t="s">
        <v>18</v>
      </c>
      <c r="B224" s="28" t="s">
        <v>46</v>
      </c>
      <c r="C224" t="s">
        <v>6</v>
      </c>
      <c r="D224" t="str">
        <f>_xlfn.XLOOKUP(Table1[[#This Row],[Player]]&amp;Table1[[#This Row],[Week]]&amp;Table1[[#This Row],[Role]],'Google Form Transform'!$A:$A,'Google Form Transform'!E:E,"")</f>
        <v/>
      </c>
      <c r="E224" t="str">
        <f>_xlfn.XLOOKUP(Table1[[#This Row],[Player]]&amp;Table1[[#This Row],[Week]]&amp;Table1[[#This Row],[Role]],'Google Form Transform'!$A:$A,'Google Form Transform'!F:F,"")</f>
        <v/>
      </c>
      <c r="F224" t="str">
        <f>_xlfn.XLOOKUP(Table1[[#This Row],[Player]]&amp;Table1[[#This Row],[Week]]&amp;Table1[[#This Row],[Role]],'Google Form Transform'!$A:$A,'Google Form Transform'!G:G,"")</f>
        <v/>
      </c>
      <c r="G224" s="59">
        <f>SUMIFS(Table2[Stat],Table2[Stat Category],"passing",Table2[Stat Type],"YDS",Table2[Athlete],Table1[[#This Row],[Pick]],Table2[Week],Table1[[#This Row],[Week]])</f>
        <v>0</v>
      </c>
      <c r="H224" s="59">
        <f>SUMIFS(Table2[Stat],Table2[Stat Category],"rushing",Table2[Stat Type],"YDS",Table2[Athlete],Table1[[#This Row],[Pick]],Table2[Week],Table1[[#This Row],[Week]])</f>
        <v>0</v>
      </c>
      <c r="I224" s="59">
        <f>SUMIFS(Table2[Stat],Table2[Stat Category],"receiving",Table2[Stat Type],"YDS",Table2[Athlete],Table1[[#This Row],[Pick]],Table2[Week],Table1[[#This Row],[Week]])</f>
        <v>0</v>
      </c>
      <c r="J224" s="6">
        <f>IF(AND($C224="Rushing", $H224&lt;=0), 0, IF(AND($C224="Passing", $G$3&lt;=0), 0,IF(AND($C224="Receiving",$I224&lt;=0), 0,SUMIFS(Table2[Stat],Table2[Week],Table1[[#This Row],[Week]],Table2[Athlete],Table1[[#This Row],[Pick]],Table2[Stat Category],"passing",Table2[Stat Type],"TD"))))</f>
        <v>0</v>
      </c>
      <c r="K224" s="6">
        <f>IF(AND($C224="Rushing", $H224&lt;=0), 0, IF(AND($C224="Passing", $G$3&lt;=0), 0,IF(AND($C224="Receiving",$I224&lt;=0),0,SUMIFS(Table2[Stat],Table2[Week],Table1[[#This Row],[Week]],Table2[Athlete],Table1[[#This Row],[Pick]],Table2[Stat Category],"rushing",Table2[Stat Type],"TD"))))</f>
        <v>0</v>
      </c>
      <c r="L224" s="6">
        <f>IF(AND($C224="Rushing", $H224&lt;=0), 0, IF(AND($C224="Passing", $G$3&lt;=0), 0,IF(AND($C224="Receiving",$I224&lt;=0),0,SUMIFS(Table2[Stat],Table2[Week],Table1[[#This Row],[Week]],Table2[Athlete],Table1[[#This Row],[Pick]],Table2[Stat Category],"receiving",Table2[Stat Type],"TD"))))</f>
        <v>0</v>
      </c>
      <c r="M2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4" s="61">
        <f>SUMIFS(Data!$J:$J,Data!$A:$A,Info!$B224,Data!$G:$G,Info!$C224,Data!$I:$I,Info!$D224,Data!$H:$H,"TOT")</f>
        <v>0</v>
      </c>
      <c r="O224" s="61">
        <f>IF(C224="Defensive",SUMIFS(Data!$J:$J,Data!$A:$A,Info!$B224,Data!$I:$I,Info!$D224,Data!$H:$H,"INT"),0)</f>
        <v>0</v>
      </c>
      <c r="P224" s="61">
        <f>IF(Table1[[#This Row],[Role]]="Defensive",SUMIFS(Data!$J:$J,Data!$A:$A,Info!$B224,Data!$I:$I,Info!$D224,Data!$H:$H,$P$1),0)</f>
        <v>0</v>
      </c>
      <c r="Q224" s="65" t="str">
        <f>IF(Table1[[#This Row],[Pick]]="","",IF(S224&gt;1,400,IF(G224="","",IF(C224="Passing",(400-Table1[[#This Row],[Passing Yards]]-(30*Table1[[#This Row],[Passing TDs]])-(50*SUM(Table1[[#This Row],[Rushing TDs]:[Other TD''s]]))),IF(C224="Rushing",2*(200-Table1[[#This Row],[Rushing Yards]]-(30*Table1[[#This Row],[Passing TDs]])-50*(Table1[[#This Row],[Rushing TDs]]+Table1[[#This Row],[Receiving TDs]]+Table1[[#This Row],[Other TD''s]])),IF(C224="Receiving",2*(200-Table1[[#This Row],[Receiving Yards]]-(30*Table1[[#This Row],[Passing TDs]])-50*(Table1[[#This Row],[Rushing TDs]]+Table1[[#This Row],[Receiving TDs]]+Table1[[#This Row],[Other TD''s]])),IF(C224="Defensive",(25*(16-Table1[[#This Row],[Tackles]]-(8*(Table1[[#This Row],[Other TD''s]]+Table1[[#This Row],[Interceptions]]+Table1[[#This Row],[Fumbles Recovered]])))))))))))</f>
        <v/>
      </c>
      <c r="R224" s="3" t="str">
        <f t="shared" si="8"/>
        <v/>
      </c>
      <c r="S224" s="4">
        <f t="shared" si="7"/>
        <v>1048507</v>
      </c>
      <c r="T2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5" spans="1:20" hidden="1" x14ac:dyDescent="0.25">
      <c r="A225" t="s">
        <v>18</v>
      </c>
      <c r="B225" s="28" t="s">
        <v>46</v>
      </c>
      <c r="C225" t="s">
        <v>17</v>
      </c>
      <c r="D225" t="str">
        <f>_xlfn.XLOOKUP(Table1[[#This Row],[Player]]&amp;Table1[[#This Row],[Week]]&amp;Table1[[#This Row],[Role]],'Google Form Transform'!$A:$A,'Google Form Transform'!E:E,"")</f>
        <v/>
      </c>
      <c r="E225" t="str">
        <f>_xlfn.XLOOKUP(Table1[[#This Row],[Player]]&amp;Table1[[#This Row],[Week]]&amp;Table1[[#This Row],[Role]],'Google Form Transform'!$A:$A,'Google Form Transform'!F:F,"")</f>
        <v/>
      </c>
      <c r="F225" t="str">
        <f>_xlfn.XLOOKUP(Table1[[#This Row],[Player]]&amp;Table1[[#This Row],[Week]]&amp;Table1[[#This Row],[Role]],'Google Form Transform'!$A:$A,'Google Form Transform'!G:G,"")</f>
        <v/>
      </c>
      <c r="G225" s="59">
        <f>SUMIFS(Table2[Stat],Table2[Stat Category],"passing",Table2[Stat Type],"YDS",Table2[Athlete],Table1[[#This Row],[Pick]],Table2[Week],Table1[[#This Row],[Week]])</f>
        <v>0</v>
      </c>
      <c r="H225" s="59">
        <f>SUMIFS(Table2[Stat],Table2[Stat Category],"rushing",Table2[Stat Type],"YDS",Table2[Athlete],Table1[[#This Row],[Pick]],Table2[Week],Table1[[#This Row],[Week]])</f>
        <v>0</v>
      </c>
      <c r="I225" s="59">
        <f>SUMIFS(Table2[Stat],Table2[Stat Category],"receiving",Table2[Stat Type],"YDS",Table2[Athlete],Table1[[#This Row],[Pick]],Table2[Week],Table1[[#This Row],[Week]])</f>
        <v>0</v>
      </c>
      <c r="J225" s="6">
        <f>IF(AND($C225="Rushing", $H225&lt;=0), 0, IF(AND($C225="Passing", $G$3&lt;=0), 0,IF(AND($C225="Receiving",$I225&lt;=0), 0,SUMIFS(Table2[Stat],Table2[Week],Table1[[#This Row],[Week]],Table2[Athlete],Table1[[#This Row],[Pick]],Table2[Stat Category],"passing",Table2[Stat Type],"TD"))))</f>
        <v>0</v>
      </c>
      <c r="K225" s="6">
        <f>IF(AND($C225="Rushing", $H225&lt;=0), 0, IF(AND($C225="Passing", $G$3&lt;=0), 0,IF(AND($C225="Receiving",$I225&lt;=0),0,SUMIFS(Table2[Stat],Table2[Week],Table1[[#This Row],[Week]],Table2[Athlete],Table1[[#This Row],[Pick]],Table2[Stat Category],"rushing",Table2[Stat Type],"TD"))))</f>
        <v>0</v>
      </c>
      <c r="L225" s="6">
        <f>IF(AND($C225="Rushing", $H225&lt;=0), 0, IF(AND($C225="Passing", $G$3&lt;=0), 0,IF(AND($C225="Receiving",$I225&lt;=0),0,SUMIFS(Table2[Stat],Table2[Week],Table1[[#This Row],[Week]],Table2[Athlete],Table1[[#This Row],[Pick]],Table2[Stat Category],"receiving",Table2[Stat Type],"TD"))))</f>
        <v>0</v>
      </c>
      <c r="M2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5" s="61">
        <f>SUMIFS(Data!$J:$J,Data!$A:$A,Info!$B225,Data!$G:$G,Info!$C225,Data!$I:$I,Info!$D225,Data!$H:$H,"TOT")</f>
        <v>0</v>
      </c>
      <c r="O225" s="61">
        <f>IF(C225="Defensive",SUMIFS(Data!$J:$J,Data!$A:$A,Info!$B225,Data!$I:$I,Info!$D225,Data!$H:$H,"INT"),0)</f>
        <v>0</v>
      </c>
      <c r="P225" s="61">
        <f>IF(Table1[[#This Row],[Role]]="Defensive",SUMIFS(Data!$J:$J,Data!$A:$A,Info!$B225,Data!$I:$I,Info!$D225,Data!$H:$H,$P$1),0)</f>
        <v>0</v>
      </c>
      <c r="Q225" s="65" t="str">
        <f>IF(Table1[[#This Row],[Pick]]="","",IF(S225&gt;1,400,IF(G225="","",IF(C225="Passing",(400-Table1[[#This Row],[Passing Yards]]-(30*Table1[[#This Row],[Passing TDs]])-(50*SUM(Table1[[#This Row],[Rushing TDs]:[Other TD''s]]))),IF(C225="Rushing",2*(200-Table1[[#This Row],[Rushing Yards]]-(30*Table1[[#This Row],[Passing TDs]])-50*(Table1[[#This Row],[Rushing TDs]]+Table1[[#This Row],[Receiving TDs]]+Table1[[#This Row],[Other TD''s]])),IF(C225="Receiving",2*(200-Table1[[#This Row],[Receiving Yards]]-(30*Table1[[#This Row],[Passing TDs]])-50*(Table1[[#This Row],[Rushing TDs]]+Table1[[#This Row],[Receiving TDs]]+Table1[[#This Row],[Other TD''s]])),IF(C225="Defensive",(25*(16-Table1[[#This Row],[Tackles]]-(8*(Table1[[#This Row],[Other TD''s]]+Table1[[#This Row],[Interceptions]]+Table1[[#This Row],[Fumbles Recovered]])))))))))))</f>
        <v/>
      </c>
      <c r="R225" s="3" t="str">
        <f t="shared" si="8"/>
        <v/>
      </c>
      <c r="S225" s="4">
        <f t="shared" si="7"/>
        <v>1048507</v>
      </c>
      <c r="T2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6" spans="1:20" hidden="1" x14ac:dyDescent="0.25">
      <c r="A226" t="s">
        <v>18</v>
      </c>
      <c r="B226" s="28" t="s">
        <v>46</v>
      </c>
      <c r="C226" t="s">
        <v>20</v>
      </c>
      <c r="D226" t="str">
        <f>_xlfn.XLOOKUP(Table1[[#This Row],[Player]]&amp;Table1[[#This Row],[Week]]&amp;Table1[[#This Row],[Role]],'Google Form Transform'!$A:$A,'Google Form Transform'!E:E,"")</f>
        <v/>
      </c>
      <c r="E226" t="str">
        <f>_xlfn.XLOOKUP(Table1[[#This Row],[Player]]&amp;Table1[[#This Row],[Week]]&amp;Table1[[#This Row],[Role]],'Google Form Transform'!$A:$A,'Google Form Transform'!F:F,"")</f>
        <v/>
      </c>
      <c r="F226" t="str">
        <f>_xlfn.XLOOKUP(Table1[[#This Row],[Player]]&amp;Table1[[#This Row],[Week]]&amp;Table1[[#This Row],[Role]],'Google Form Transform'!$A:$A,'Google Form Transform'!G:G,"")</f>
        <v/>
      </c>
      <c r="G226" s="59">
        <f>SUMIFS(Table2[Stat],Table2[Stat Category],"passing",Table2[Stat Type],"YDS",Table2[Athlete],Table1[[#This Row],[Pick]],Table2[Week],Table1[[#This Row],[Week]])</f>
        <v>0</v>
      </c>
      <c r="H226" s="59">
        <f>SUMIFS(Table2[Stat],Table2[Stat Category],"rushing",Table2[Stat Type],"YDS",Table2[Athlete],Table1[[#This Row],[Pick]],Table2[Week],Table1[[#This Row],[Week]])</f>
        <v>0</v>
      </c>
      <c r="I226" s="59">
        <f>SUMIFS(Table2[Stat],Table2[Stat Category],"receiving",Table2[Stat Type],"YDS",Table2[Athlete],Table1[[#This Row],[Pick]],Table2[Week],Table1[[#This Row],[Week]])</f>
        <v>0</v>
      </c>
      <c r="J226" s="6">
        <f>IF(AND($C226="Rushing", $H226&lt;=0), 0, IF(AND($C226="Passing", $G$3&lt;=0), 0,IF(AND($C226="Receiving",$I226&lt;=0), 0,SUMIFS(Table2[Stat],Table2[Week],Table1[[#This Row],[Week]],Table2[Athlete],Table1[[#This Row],[Pick]],Table2[Stat Category],"passing",Table2[Stat Type],"TD"))))</f>
        <v>0</v>
      </c>
      <c r="K226" s="6">
        <f>IF(AND($C226="Rushing", $H226&lt;=0), 0, IF(AND($C226="Passing", $G$3&lt;=0), 0,IF(AND($C226="Receiving",$I226&lt;=0),0,SUMIFS(Table2[Stat],Table2[Week],Table1[[#This Row],[Week]],Table2[Athlete],Table1[[#This Row],[Pick]],Table2[Stat Category],"rushing",Table2[Stat Type],"TD"))))</f>
        <v>0</v>
      </c>
      <c r="L226" s="6">
        <f>IF(AND($C226="Rushing", $H226&lt;=0), 0, IF(AND($C226="Passing", $G$3&lt;=0), 0,IF(AND($C226="Receiving",$I226&lt;=0),0,SUMIFS(Table2[Stat],Table2[Week],Table1[[#This Row],[Week]],Table2[Athlete],Table1[[#This Row],[Pick]],Table2[Stat Category],"receiving",Table2[Stat Type],"TD"))))</f>
        <v>0</v>
      </c>
      <c r="M2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6" s="61">
        <f>SUMIFS(Data!$J:$J,Data!$A:$A,Info!$B226,Data!$G:$G,Info!$C226,Data!$I:$I,Info!$D226,Data!$H:$H,"TOT")</f>
        <v>0</v>
      </c>
      <c r="O226" s="61">
        <f>IF(C226="Defensive",SUMIFS(Data!$J:$J,Data!$A:$A,Info!$B226,Data!$I:$I,Info!$D226,Data!$H:$H,"INT"),0)</f>
        <v>0</v>
      </c>
      <c r="P226" s="61">
        <f>IF(Table1[[#This Row],[Role]]="Defensive",SUMIFS(Data!$J:$J,Data!$A:$A,Info!$B226,Data!$I:$I,Info!$D226,Data!$H:$H,$P$1),0)</f>
        <v>0</v>
      </c>
      <c r="Q226" s="65" t="str">
        <f>IF(Table1[[#This Row],[Pick]]="","",IF(S226&gt;1,400,IF(G226="","",IF(C226="Passing",(400-Table1[[#This Row],[Passing Yards]]-(30*Table1[[#This Row],[Passing TDs]])-(50*SUM(Table1[[#This Row],[Rushing TDs]:[Other TD''s]]))),IF(C226="Rushing",2*(200-Table1[[#This Row],[Rushing Yards]]-(30*Table1[[#This Row],[Passing TDs]])-50*(Table1[[#This Row],[Rushing TDs]]+Table1[[#This Row],[Receiving TDs]]+Table1[[#This Row],[Other TD''s]])),IF(C226="Receiving",2*(200-Table1[[#This Row],[Receiving Yards]]-(30*Table1[[#This Row],[Passing TDs]])-50*(Table1[[#This Row],[Rushing TDs]]+Table1[[#This Row],[Receiving TDs]]+Table1[[#This Row],[Other TD''s]])),IF(C226="Defensive",(25*(16-Table1[[#This Row],[Tackles]]-(8*(Table1[[#This Row],[Other TD''s]]+Table1[[#This Row],[Interceptions]]+Table1[[#This Row],[Fumbles Recovered]])))))))))))</f>
        <v/>
      </c>
      <c r="R226" s="3" t="str">
        <f t="shared" si="8"/>
        <v/>
      </c>
      <c r="S226" s="4">
        <f t="shared" si="7"/>
        <v>1048507</v>
      </c>
      <c r="T2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7" spans="1:20" hidden="1" x14ac:dyDescent="0.25">
      <c r="A227" t="s">
        <v>19</v>
      </c>
      <c r="B227" s="28" t="s">
        <v>46</v>
      </c>
      <c r="C227" t="s">
        <v>16</v>
      </c>
      <c r="D227" t="str">
        <f>_xlfn.XLOOKUP(Table1[[#This Row],[Player]]&amp;Table1[[#This Row],[Week]]&amp;Table1[[#This Row],[Role]],'Google Form Transform'!$A:$A,'Google Form Transform'!E:E,"")</f>
        <v/>
      </c>
      <c r="E227" t="str">
        <f>_xlfn.XLOOKUP(Table1[[#This Row],[Player]]&amp;Table1[[#This Row],[Week]]&amp;Table1[[#This Row],[Role]],'Google Form Transform'!$A:$A,'Google Form Transform'!F:F,"")</f>
        <v/>
      </c>
      <c r="F227" t="str">
        <f>_xlfn.XLOOKUP(Table1[[#This Row],[Player]]&amp;Table1[[#This Row],[Week]]&amp;Table1[[#This Row],[Role]],'Google Form Transform'!$A:$A,'Google Form Transform'!G:G,"")</f>
        <v/>
      </c>
      <c r="G227" s="59">
        <f>SUMIFS(Table2[Stat],Table2[Stat Category],"passing",Table2[Stat Type],"YDS",Table2[Athlete],Table1[[#This Row],[Pick]],Table2[Week],Table1[[#This Row],[Week]])</f>
        <v>0</v>
      </c>
      <c r="H227" s="59">
        <f>SUMIFS(Table2[Stat],Table2[Stat Category],"rushing",Table2[Stat Type],"YDS",Table2[Athlete],Table1[[#This Row],[Pick]],Table2[Week],Table1[[#This Row],[Week]])</f>
        <v>0</v>
      </c>
      <c r="I227" s="59">
        <f>SUMIFS(Table2[Stat],Table2[Stat Category],"receiving",Table2[Stat Type],"YDS",Table2[Athlete],Table1[[#This Row],[Pick]],Table2[Week],Table1[[#This Row],[Week]])</f>
        <v>0</v>
      </c>
      <c r="J227" s="6">
        <f>IF(AND($C227="Rushing", $H227&lt;=0), 0, IF(AND($C227="Passing", $G$3&lt;=0), 0,IF(AND($C227="Receiving",$I227&lt;=0), 0,SUMIFS(Table2[Stat],Table2[Week],Table1[[#This Row],[Week]],Table2[Athlete],Table1[[#This Row],[Pick]],Table2[Stat Category],"passing",Table2[Stat Type],"TD"))))</f>
        <v>0</v>
      </c>
      <c r="K227" s="6">
        <f>IF(AND($C227="Rushing", $H227&lt;=0), 0, IF(AND($C227="Passing", $G$3&lt;=0), 0,IF(AND($C227="Receiving",$I227&lt;=0),0,SUMIFS(Table2[Stat],Table2[Week],Table1[[#This Row],[Week]],Table2[Athlete],Table1[[#This Row],[Pick]],Table2[Stat Category],"rushing",Table2[Stat Type],"TD"))))</f>
        <v>0</v>
      </c>
      <c r="L227" s="6">
        <f>IF(AND($C227="Rushing", $H227&lt;=0), 0, IF(AND($C227="Passing", $G$3&lt;=0), 0,IF(AND($C227="Receiving",$I227&lt;=0),0,SUMIFS(Table2[Stat],Table2[Week],Table1[[#This Row],[Week]],Table2[Athlete],Table1[[#This Row],[Pick]],Table2[Stat Category],"receiving",Table2[Stat Type],"TD"))))</f>
        <v>0</v>
      </c>
      <c r="M2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7" s="61">
        <f>SUMIFS(Data!$J:$J,Data!$A:$A,Info!$B227,Data!$G:$G,Info!$C227,Data!$I:$I,Info!$D227,Data!$H:$H,"TOT")</f>
        <v>0</v>
      </c>
      <c r="O227" s="61">
        <f>IF(C227="Defensive",SUMIFS(Data!$J:$J,Data!$A:$A,Info!$B227,Data!$I:$I,Info!$D227,Data!$H:$H,"INT"),0)</f>
        <v>0</v>
      </c>
      <c r="P227" s="61">
        <f>IF(Table1[[#This Row],[Role]]="Defensive",SUMIFS(Data!$J:$J,Data!$A:$A,Info!$B227,Data!$I:$I,Info!$D227,Data!$H:$H,$P$1),0)</f>
        <v>0</v>
      </c>
      <c r="Q227" s="65" t="str">
        <f>IF(Table1[[#This Row],[Pick]]="","",IF(S227&gt;1,400,IF(G227="","",IF(C227="Passing",(400-Table1[[#This Row],[Passing Yards]]-(30*Table1[[#This Row],[Passing TDs]])-(50*SUM(Table1[[#This Row],[Rushing TDs]:[Other TD''s]]))),IF(C227="Rushing",2*(200-Table1[[#This Row],[Rushing Yards]]-(30*Table1[[#This Row],[Passing TDs]])-50*(Table1[[#This Row],[Rushing TDs]]+Table1[[#This Row],[Receiving TDs]]+Table1[[#This Row],[Other TD''s]])),IF(C227="Receiving",2*(200-Table1[[#This Row],[Receiving Yards]]-(30*Table1[[#This Row],[Passing TDs]])-50*(Table1[[#This Row],[Rushing TDs]]+Table1[[#This Row],[Receiving TDs]]+Table1[[#This Row],[Other TD''s]])),IF(C227="Defensive",(25*(16-Table1[[#This Row],[Tackles]]-(8*(Table1[[#This Row],[Other TD''s]]+Table1[[#This Row],[Interceptions]]+Table1[[#This Row],[Fumbles Recovered]])))))))))))</f>
        <v/>
      </c>
      <c r="R227" s="3" t="str">
        <f t="shared" si="8"/>
        <v/>
      </c>
      <c r="S227" s="4">
        <f t="shared" si="7"/>
        <v>1048507</v>
      </c>
      <c r="T2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8" spans="1:20" hidden="1" x14ac:dyDescent="0.25">
      <c r="A228" t="s">
        <v>19</v>
      </c>
      <c r="B228" s="28" t="s">
        <v>46</v>
      </c>
      <c r="C228" t="s">
        <v>6</v>
      </c>
      <c r="D228" t="str">
        <f>_xlfn.XLOOKUP(Table1[[#This Row],[Player]]&amp;Table1[[#This Row],[Week]]&amp;Table1[[#This Row],[Role]],'Google Form Transform'!$A:$A,'Google Form Transform'!E:E,"")</f>
        <v/>
      </c>
      <c r="E228" t="str">
        <f>_xlfn.XLOOKUP(Table1[[#This Row],[Player]]&amp;Table1[[#This Row],[Week]]&amp;Table1[[#This Row],[Role]],'Google Form Transform'!$A:$A,'Google Form Transform'!F:F,"")</f>
        <v/>
      </c>
      <c r="F228" t="str">
        <f>_xlfn.XLOOKUP(Table1[[#This Row],[Player]]&amp;Table1[[#This Row],[Week]]&amp;Table1[[#This Row],[Role]],'Google Form Transform'!$A:$A,'Google Form Transform'!G:G,"")</f>
        <v/>
      </c>
      <c r="G228" s="59">
        <f>SUMIFS(Table2[Stat],Table2[Stat Category],"passing",Table2[Stat Type],"YDS",Table2[Athlete],Table1[[#This Row],[Pick]],Table2[Week],Table1[[#This Row],[Week]])</f>
        <v>0</v>
      </c>
      <c r="H228" s="59">
        <f>SUMIFS(Table2[Stat],Table2[Stat Category],"rushing",Table2[Stat Type],"YDS",Table2[Athlete],Table1[[#This Row],[Pick]],Table2[Week],Table1[[#This Row],[Week]])</f>
        <v>0</v>
      </c>
      <c r="I228" s="59">
        <f>SUMIFS(Table2[Stat],Table2[Stat Category],"receiving",Table2[Stat Type],"YDS",Table2[Athlete],Table1[[#This Row],[Pick]],Table2[Week],Table1[[#This Row],[Week]])</f>
        <v>0</v>
      </c>
      <c r="J228" s="6">
        <f>IF(AND($C228="Rushing", $H228&lt;=0), 0, IF(AND($C228="Passing", $G$3&lt;=0), 0,IF(AND($C228="Receiving",$I228&lt;=0), 0,SUMIFS(Table2[Stat],Table2[Week],Table1[[#This Row],[Week]],Table2[Athlete],Table1[[#This Row],[Pick]],Table2[Stat Category],"passing",Table2[Stat Type],"TD"))))</f>
        <v>0</v>
      </c>
      <c r="K228" s="6">
        <f>IF(AND($C228="Rushing", $H228&lt;=0), 0, IF(AND($C228="Passing", $G$3&lt;=0), 0,IF(AND($C228="Receiving",$I228&lt;=0),0,SUMIFS(Table2[Stat],Table2[Week],Table1[[#This Row],[Week]],Table2[Athlete],Table1[[#This Row],[Pick]],Table2[Stat Category],"rushing",Table2[Stat Type],"TD"))))</f>
        <v>0</v>
      </c>
      <c r="L228" s="6">
        <f>IF(AND($C228="Rushing", $H228&lt;=0), 0, IF(AND($C228="Passing", $G$3&lt;=0), 0,IF(AND($C228="Receiving",$I228&lt;=0),0,SUMIFS(Table2[Stat],Table2[Week],Table1[[#This Row],[Week]],Table2[Athlete],Table1[[#This Row],[Pick]],Table2[Stat Category],"receiving",Table2[Stat Type],"TD"))))</f>
        <v>0</v>
      </c>
      <c r="M2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8" s="61">
        <f>SUMIFS(Data!$J:$J,Data!$A:$A,Info!$B228,Data!$G:$G,Info!$C228,Data!$I:$I,Info!$D228,Data!$H:$H,"TOT")</f>
        <v>0</v>
      </c>
      <c r="O228" s="61">
        <f>IF(C228="Defensive",SUMIFS(Data!$J:$J,Data!$A:$A,Info!$B228,Data!$I:$I,Info!$D228,Data!$H:$H,"INT"),0)</f>
        <v>0</v>
      </c>
      <c r="P228" s="61">
        <f>IF(Table1[[#This Row],[Role]]="Defensive",SUMIFS(Data!$J:$J,Data!$A:$A,Info!$B228,Data!$I:$I,Info!$D228,Data!$H:$H,$P$1),0)</f>
        <v>0</v>
      </c>
      <c r="Q228" s="65" t="str">
        <f>IF(Table1[[#This Row],[Pick]]="","",IF(S228&gt;1,400,IF(G228="","",IF(C228="Passing",(400-Table1[[#This Row],[Passing Yards]]-(30*Table1[[#This Row],[Passing TDs]])-(50*SUM(Table1[[#This Row],[Rushing TDs]:[Other TD''s]]))),IF(C228="Rushing",2*(200-Table1[[#This Row],[Rushing Yards]]-(30*Table1[[#This Row],[Passing TDs]])-50*(Table1[[#This Row],[Rushing TDs]]+Table1[[#This Row],[Receiving TDs]]+Table1[[#This Row],[Other TD''s]])),IF(C228="Receiving",2*(200-Table1[[#This Row],[Receiving Yards]]-(30*Table1[[#This Row],[Passing TDs]])-50*(Table1[[#This Row],[Rushing TDs]]+Table1[[#This Row],[Receiving TDs]]+Table1[[#This Row],[Other TD''s]])),IF(C228="Defensive",(25*(16-Table1[[#This Row],[Tackles]]-(8*(Table1[[#This Row],[Other TD''s]]+Table1[[#This Row],[Interceptions]]+Table1[[#This Row],[Fumbles Recovered]])))))))))))</f>
        <v/>
      </c>
      <c r="R228" s="3" t="str">
        <f t="shared" si="8"/>
        <v/>
      </c>
      <c r="S228" s="4">
        <f t="shared" si="7"/>
        <v>1048507</v>
      </c>
      <c r="T2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9" spans="1:20" hidden="1" x14ac:dyDescent="0.25">
      <c r="A229" t="s">
        <v>19</v>
      </c>
      <c r="B229" s="28" t="s">
        <v>46</v>
      </c>
      <c r="C229" t="s">
        <v>17</v>
      </c>
      <c r="D229" t="str">
        <f>_xlfn.XLOOKUP(Table1[[#This Row],[Player]]&amp;Table1[[#This Row],[Week]]&amp;Table1[[#This Row],[Role]],'Google Form Transform'!$A:$A,'Google Form Transform'!E:E,"")</f>
        <v/>
      </c>
      <c r="E229" t="str">
        <f>_xlfn.XLOOKUP(Table1[[#This Row],[Player]]&amp;Table1[[#This Row],[Week]]&amp;Table1[[#This Row],[Role]],'Google Form Transform'!$A:$A,'Google Form Transform'!F:F,"")</f>
        <v/>
      </c>
      <c r="F229" t="str">
        <f>_xlfn.XLOOKUP(Table1[[#This Row],[Player]]&amp;Table1[[#This Row],[Week]]&amp;Table1[[#This Row],[Role]],'Google Form Transform'!$A:$A,'Google Form Transform'!G:G,"")</f>
        <v/>
      </c>
      <c r="G229" s="59">
        <f>SUMIFS(Table2[Stat],Table2[Stat Category],"passing",Table2[Stat Type],"YDS",Table2[Athlete],Table1[[#This Row],[Pick]],Table2[Week],Table1[[#This Row],[Week]])</f>
        <v>0</v>
      </c>
      <c r="H229" s="59">
        <f>SUMIFS(Table2[Stat],Table2[Stat Category],"rushing",Table2[Stat Type],"YDS",Table2[Athlete],Table1[[#This Row],[Pick]],Table2[Week],Table1[[#This Row],[Week]])</f>
        <v>0</v>
      </c>
      <c r="I229" s="59">
        <f>SUMIFS(Table2[Stat],Table2[Stat Category],"receiving",Table2[Stat Type],"YDS",Table2[Athlete],Table1[[#This Row],[Pick]],Table2[Week],Table1[[#This Row],[Week]])</f>
        <v>0</v>
      </c>
      <c r="J229" s="6">
        <f>IF(AND($C229="Rushing", $H229&lt;=0), 0, IF(AND($C229="Passing", $G$3&lt;=0), 0,IF(AND($C229="Receiving",$I229&lt;=0), 0,SUMIFS(Table2[Stat],Table2[Week],Table1[[#This Row],[Week]],Table2[Athlete],Table1[[#This Row],[Pick]],Table2[Stat Category],"passing",Table2[Stat Type],"TD"))))</f>
        <v>0</v>
      </c>
      <c r="K229" s="6">
        <f>IF(AND($C229="Rushing", $H229&lt;=0), 0, IF(AND($C229="Passing", $G$3&lt;=0), 0,IF(AND($C229="Receiving",$I229&lt;=0),0,SUMIFS(Table2[Stat],Table2[Week],Table1[[#This Row],[Week]],Table2[Athlete],Table1[[#This Row],[Pick]],Table2[Stat Category],"rushing",Table2[Stat Type],"TD"))))</f>
        <v>0</v>
      </c>
      <c r="L229" s="6">
        <f>IF(AND($C229="Rushing", $H229&lt;=0), 0, IF(AND($C229="Passing", $G$3&lt;=0), 0,IF(AND($C229="Receiving",$I229&lt;=0),0,SUMIFS(Table2[Stat],Table2[Week],Table1[[#This Row],[Week]],Table2[Athlete],Table1[[#This Row],[Pick]],Table2[Stat Category],"receiving",Table2[Stat Type],"TD"))))</f>
        <v>0</v>
      </c>
      <c r="M2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9" s="61">
        <f>SUMIFS(Data!$J:$J,Data!$A:$A,Info!$B229,Data!$G:$G,Info!$C229,Data!$I:$I,Info!$D229,Data!$H:$H,"TOT")</f>
        <v>0</v>
      </c>
      <c r="O229" s="61">
        <f>IF(C229="Defensive",SUMIFS(Data!$J:$J,Data!$A:$A,Info!$B229,Data!$I:$I,Info!$D229,Data!$H:$H,"INT"),0)</f>
        <v>0</v>
      </c>
      <c r="P229" s="61">
        <f>IF(Table1[[#This Row],[Role]]="Defensive",SUMIFS(Data!$J:$J,Data!$A:$A,Info!$B229,Data!$I:$I,Info!$D229,Data!$H:$H,$P$1),0)</f>
        <v>0</v>
      </c>
      <c r="Q229" s="65" t="str">
        <f>IF(Table1[[#This Row],[Pick]]="","",IF(S229&gt;1,400,IF(G229="","",IF(C229="Passing",(400-Table1[[#This Row],[Passing Yards]]-(30*Table1[[#This Row],[Passing TDs]])-(50*SUM(Table1[[#This Row],[Rushing TDs]:[Other TD''s]]))),IF(C229="Rushing",2*(200-Table1[[#This Row],[Rushing Yards]]-(30*Table1[[#This Row],[Passing TDs]])-50*(Table1[[#This Row],[Rushing TDs]]+Table1[[#This Row],[Receiving TDs]]+Table1[[#This Row],[Other TD''s]])),IF(C229="Receiving",2*(200-Table1[[#This Row],[Receiving Yards]]-(30*Table1[[#This Row],[Passing TDs]])-50*(Table1[[#This Row],[Rushing TDs]]+Table1[[#This Row],[Receiving TDs]]+Table1[[#This Row],[Other TD''s]])),IF(C229="Defensive",(25*(16-Table1[[#This Row],[Tackles]]-(8*(Table1[[#This Row],[Other TD''s]]+Table1[[#This Row],[Interceptions]]+Table1[[#This Row],[Fumbles Recovered]])))))))))))</f>
        <v/>
      </c>
      <c r="R229" s="3" t="str">
        <f t="shared" si="8"/>
        <v/>
      </c>
      <c r="S229" s="4">
        <f t="shared" si="7"/>
        <v>1048507</v>
      </c>
      <c r="T2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0" spans="1:20" hidden="1" x14ac:dyDescent="0.25">
      <c r="A230" t="s">
        <v>19</v>
      </c>
      <c r="B230" s="28" t="s">
        <v>46</v>
      </c>
      <c r="C230" t="s">
        <v>20</v>
      </c>
      <c r="D230" t="str">
        <f>_xlfn.XLOOKUP(Table1[[#This Row],[Player]]&amp;Table1[[#This Row],[Week]]&amp;Table1[[#This Row],[Role]],'Google Form Transform'!$A:$A,'Google Form Transform'!E:E,"")</f>
        <v/>
      </c>
      <c r="E230" t="str">
        <f>_xlfn.XLOOKUP(Table1[[#This Row],[Player]]&amp;Table1[[#This Row],[Week]]&amp;Table1[[#This Row],[Role]],'Google Form Transform'!$A:$A,'Google Form Transform'!F:F,"")</f>
        <v/>
      </c>
      <c r="F230" t="str">
        <f>_xlfn.XLOOKUP(Table1[[#This Row],[Player]]&amp;Table1[[#This Row],[Week]]&amp;Table1[[#This Row],[Role]],'Google Form Transform'!$A:$A,'Google Form Transform'!G:G,"")</f>
        <v/>
      </c>
      <c r="G230" s="59">
        <f>SUMIFS(Table2[Stat],Table2[Stat Category],"passing",Table2[Stat Type],"YDS",Table2[Athlete],Table1[[#This Row],[Pick]],Table2[Week],Table1[[#This Row],[Week]])</f>
        <v>0</v>
      </c>
      <c r="H230" s="59">
        <f>SUMIFS(Table2[Stat],Table2[Stat Category],"rushing",Table2[Stat Type],"YDS",Table2[Athlete],Table1[[#This Row],[Pick]],Table2[Week],Table1[[#This Row],[Week]])</f>
        <v>0</v>
      </c>
      <c r="I230" s="59">
        <f>SUMIFS(Table2[Stat],Table2[Stat Category],"receiving",Table2[Stat Type],"YDS",Table2[Athlete],Table1[[#This Row],[Pick]],Table2[Week],Table1[[#This Row],[Week]])</f>
        <v>0</v>
      </c>
      <c r="J230" s="6">
        <f>IF(AND($C230="Rushing", $H230&lt;=0), 0, IF(AND($C230="Passing", $G$3&lt;=0), 0,IF(AND($C230="Receiving",$I230&lt;=0), 0,SUMIFS(Table2[Stat],Table2[Week],Table1[[#This Row],[Week]],Table2[Athlete],Table1[[#This Row],[Pick]],Table2[Stat Category],"passing",Table2[Stat Type],"TD"))))</f>
        <v>0</v>
      </c>
      <c r="K230" s="6">
        <f>IF(AND($C230="Rushing", $H230&lt;=0), 0, IF(AND($C230="Passing", $G$3&lt;=0), 0,IF(AND($C230="Receiving",$I230&lt;=0),0,SUMIFS(Table2[Stat],Table2[Week],Table1[[#This Row],[Week]],Table2[Athlete],Table1[[#This Row],[Pick]],Table2[Stat Category],"rushing",Table2[Stat Type],"TD"))))</f>
        <v>0</v>
      </c>
      <c r="L230" s="6">
        <f>IF(AND($C230="Rushing", $H230&lt;=0), 0, IF(AND($C230="Passing", $G$3&lt;=0), 0,IF(AND($C230="Receiving",$I230&lt;=0),0,SUMIFS(Table2[Stat],Table2[Week],Table1[[#This Row],[Week]],Table2[Athlete],Table1[[#This Row],[Pick]],Table2[Stat Category],"receiving",Table2[Stat Type],"TD"))))</f>
        <v>0</v>
      </c>
      <c r="M2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0" s="61">
        <f>SUMIFS(Data!$J:$J,Data!$A:$A,Info!$B230,Data!$G:$G,Info!$C230,Data!$I:$I,Info!$D230,Data!$H:$H,"TOT")</f>
        <v>0</v>
      </c>
      <c r="O230" s="61">
        <f>IF(C230="Defensive",SUMIFS(Data!$J:$J,Data!$A:$A,Info!$B230,Data!$I:$I,Info!$D230,Data!$H:$H,"INT"),0)</f>
        <v>0</v>
      </c>
      <c r="P230" s="61">
        <f>IF(Table1[[#This Row],[Role]]="Defensive",SUMIFS(Data!$J:$J,Data!$A:$A,Info!$B230,Data!$I:$I,Info!$D230,Data!$H:$H,$P$1),0)</f>
        <v>0</v>
      </c>
      <c r="Q230" s="65" t="str">
        <f>IF(Table1[[#This Row],[Pick]]="","",IF(S230&gt;1,400,IF(G230="","",IF(C230="Passing",(400-Table1[[#This Row],[Passing Yards]]-(30*Table1[[#This Row],[Passing TDs]])-(50*SUM(Table1[[#This Row],[Rushing TDs]:[Other TD''s]]))),IF(C230="Rushing",2*(200-Table1[[#This Row],[Rushing Yards]]-(30*Table1[[#This Row],[Passing TDs]])-50*(Table1[[#This Row],[Rushing TDs]]+Table1[[#This Row],[Receiving TDs]]+Table1[[#This Row],[Other TD''s]])),IF(C230="Receiving",2*(200-Table1[[#This Row],[Receiving Yards]]-(30*Table1[[#This Row],[Passing TDs]])-50*(Table1[[#This Row],[Rushing TDs]]+Table1[[#This Row],[Receiving TDs]]+Table1[[#This Row],[Other TD''s]])),IF(C230="Defensive",(25*(16-Table1[[#This Row],[Tackles]]-(8*(Table1[[#This Row],[Other TD''s]]+Table1[[#This Row],[Interceptions]]+Table1[[#This Row],[Fumbles Recovered]])))))))))))</f>
        <v/>
      </c>
      <c r="R230" s="3" t="str">
        <f t="shared" si="8"/>
        <v/>
      </c>
      <c r="S230" s="4">
        <f t="shared" si="7"/>
        <v>1048507</v>
      </c>
      <c r="T2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1" spans="1:20" hidden="1" x14ac:dyDescent="0.25">
      <c r="A231" t="s">
        <v>26</v>
      </c>
      <c r="B231" s="28" t="s">
        <v>46</v>
      </c>
      <c r="C231" t="s">
        <v>16</v>
      </c>
      <c r="D231" t="str">
        <f>_xlfn.XLOOKUP(Table1[[#This Row],[Player]]&amp;Table1[[#This Row],[Week]]&amp;Table1[[#This Row],[Role]],'Google Form Transform'!$A:$A,'Google Form Transform'!E:E,"")</f>
        <v/>
      </c>
      <c r="E231" t="str">
        <f>_xlfn.XLOOKUP(Table1[[#This Row],[Player]]&amp;Table1[[#This Row],[Week]]&amp;Table1[[#This Row],[Role]],'Google Form Transform'!$A:$A,'Google Form Transform'!F:F,"")</f>
        <v/>
      </c>
      <c r="F231" t="str">
        <f>_xlfn.XLOOKUP(Table1[[#This Row],[Player]]&amp;Table1[[#This Row],[Week]]&amp;Table1[[#This Row],[Role]],'Google Form Transform'!$A:$A,'Google Form Transform'!G:G,"")</f>
        <v/>
      </c>
      <c r="G231" s="59">
        <f>SUMIFS(Table2[Stat],Table2[Stat Category],"passing",Table2[Stat Type],"YDS",Table2[Athlete],Table1[[#This Row],[Pick]],Table2[Week],Table1[[#This Row],[Week]])</f>
        <v>0</v>
      </c>
      <c r="H231" s="59">
        <f>SUMIFS(Table2[Stat],Table2[Stat Category],"rushing",Table2[Stat Type],"YDS",Table2[Athlete],Table1[[#This Row],[Pick]],Table2[Week],Table1[[#This Row],[Week]])</f>
        <v>0</v>
      </c>
      <c r="I231" s="59">
        <f>SUMIFS(Table2[Stat],Table2[Stat Category],"receiving",Table2[Stat Type],"YDS",Table2[Athlete],Table1[[#This Row],[Pick]],Table2[Week],Table1[[#This Row],[Week]])</f>
        <v>0</v>
      </c>
      <c r="J231" s="6">
        <f>IF(AND($C231="Rushing", $H231&lt;=0), 0, IF(AND($C231="Passing", $G$3&lt;=0), 0,IF(AND($C231="Receiving",$I231&lt;=0), 0,SUMIFS(Table2[Stat],Table2[Week],Table1[[#This Row],[Week]],Table2[Athlete],Table1[[#This Row],[Pick]],Table2[Stat Category],"passing",Table2[Stat Type],"TD"))))</f>
        <v>0</v>
      </c>
      <c r="K231" s="6">
        <f>IF(AND($C231="Rushing", $H231&lt;=0), 0, IF(AND($C231="Passing", $G$3&lt;=0), 0,IF(AND($C231="Receiving",$I231&lt;=0),0,SUMIFS(Table2[Stat],Table2[Week],Table1[[#This Row],[Week]],Table2[Athlete],Table1[[#This Row],[Pick]],Table2[Stat Category],"rushing",Table2[Stat Type],"TD"))))</f>
        <v>0</v>
      </c>
      <c r="L231" s="6">
        <f>IF(AND($C231="Rushing", $H231&lt;=0), 0, IF(AND($C231="Passing", $G$3&lt;=0), 0,IF(AND($C231="Receiving",$I231&lt;=0),0,SUMIFS(Table2[Stat],Table2[Week],Table1[[#This Row],[Week]],Table2[Athlete],Table1[[#This Row],[Pick]],Table2[Stat Category],"receiving",Table2[Stat Type],"TD"))))</f>
        <v>0</v>
      </c>
      <c r="M2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1" s="61">
        <f>SUMIFS(Data!$J:$J,Data!$A:$A,Info!$B231,Data!$G:$G,Info!$C231,Data!$I:$I,Info!$D231,Data!$H:$H,"TOT")</f>
        <v>0</v>
      </c>
      <c r="O231" s="61">
        <f>IF(C231="Defensive",SUMIFS(Data!$J:$J,Data!$A:$A,Info!$B231,Data!$I:$I,Info!$D231,Data!$H:$H,"INT"),0)</f>
        <v>0</v>
      </c>
      <c r="P231" s="61">
        <f>IF(Table1[[#This Row],[Role]]="Defensive",SUMIFS(Data!$J:$J,Data!$A:$A,Info!$B231,Data!$I:$I,Info!$D231,Data!$H:$H,$P$1),0)</f>
        <v>0</v>
      </c>
      <c r="Q231" s="65" t="str">
        <f>IF(Table1[[#This Row],[Pick]]="","",IF(S231&gt;1,400,IF(G231="","",IF(C231="Passing",(400-Table1[[#This Row],[Passing Yards]]-(30*Table1[[#This Row],[Passing TDs]])-(50*SUM(Table1[[#This Row],[Rushing TDs]:[Other TD''s]]))),IF(C231="Rushing",2*(200-Table1[[#This Row],[Rushing Yards]]-(30*Table1[[#This Row],[Passing TDs]])-50*(Table1[[#This Row],[Rushing TDs]]+Table1[[#This Row],[Receiving TDs]]+Table1[[#This Row],[Other TD''s]])),IF(C231="Receiving",2*(200-Table1[[#This Row],[Receiving Yards]]-(30*Table1[[#This Row],[Passing TDs]])-50*(Table1[[#This Row],[Rushing TDs]]+Table1[[#This Row],[Receiving TDs]]+Table1[[#This Row],[Other TD''s]])),IF(C231="Defensive",(25*(16-Table1[[#This Row],[Tackles]]-(8*(Table1[[#This Row],[Other TD''s]]+Table1[[#This Row],[Interceptions]]+Table1[[#This Row],[Fumbles Recovered]])))))))))))</f>
        <v/>
      </c>
      <c r="R231" s="3" t="str">
        <f t="shared" si="8"/>
        <v/>
      </c>
      <c r="S231" s="4">
        <f t="shared" si="7"/>
        <v>1048507</v>
      </c>
      <c r="T2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2" spans="1:20" hidden="1" x14ac:dyDescent="0.25">
      <c r="A232" t="s">
        <v>26</v>
      </c>
      <c r="B232" s="28" t="s">
        <v>46</v>
      </c>
      <c r="C232" t="s">
        <v>6</v>
      </c>
      <c r="D232" t="str">
        <f>_xlfn.XLOOKUP(Table1[[#This Row],[Player]]&amp;Table1[[#This Row],[Week]]&amp;Table1[[#This Row],[Role]],'Google Form Transform'!$A:$A,'Google Form Transform'!E:E,"")</f>
        <v/>
      </c>
      <c r="E232" t="str">
        <f>_xlfn.XLOOKUP(Table1[[#This Row],[Player]]&amp;Table1[[#This Row],[Week]]&amp;Table1[[#This Row],[Role]],'Google Form Transform'!$A:$A,'Google Form Transform'!F:F,"")</f>
        <v/>
      </c>
      <c r="F232" t="str">
        <f>_xlfn.XLOOKUP(Table1[[#This Row],[Player]]&amp;Table1[[#This Row],[Week]]&amp;Table1[[#This Row],[Role]],'Google Form Transform'!$A:$A,'Google Form Transform'!G:G,"")</f>
        <v/>
      </c>
      <c r="G232" s="59">
        <f>SUMIFS(Table2[Stat],Table2[Stat Category],"passing",Table2[Stat Type],"YDS",Table2[Athlete],Table1[[#This Row],[Pick]],Table2[Week],Table1[[#This Row],[Week]])</f>
        <v>0</v>
      </c>
      <c r="H232" s="59">
        <f>SUMIFS(Table2[Stat],Table2[Stat Category],"rushing",Table2[Stat Type],"YDS",Table2[Athlete],Table1[[#This Row],[Pick]],Table2[Week],Table1[[#This Row],[Week]])</f>
        <v>0</v>
      </c>
      <c r="I232" s="59">
        <f>SUMIFS(Table2[Stat],Table2[Stat Category],"receiving",Table2[Stat Type],"YDS",Table2[Athlete],Table1[[#This Row],[Pick]],Table2[Week],Table1[[#This Row],[Week]])</f>
        <v>0</v>
      </c>
      <c r="J232" s="6">
        <f>IF(AND($C232="Rushing", $H232&lt;=0), 0, IF(AND($C232="Passing", $G$3&lt;=0), 0,IF(AND($C232="Receiving",$I232&lt;=0), 0,SUMIFS(Table2[Stat],Table2[Week],Table1[[#This Row],[Week]],Table2[Athlete],Table1[[#This Row],[Pick]],Table2[Stat Category],"passing",Table2[Stat Type],"TD"))))</f>
        <v>0</v>
      </c>
      <c r="K232" s="6">
        <f>IF(AND($C232="Rushing", $H232&lt;=0), 0, IF(AND($C232="Passing", $G$3&lt;=0), 0,IF(AND($C232="Receiving",$I232&lt;=0),0,SUMIFS(Table2[Stat],Table2[Week],Table1[[#This Row],[Week]],Table2[Athlete],Table1[[#This Row],[Pick]],Table2[Stat Category],"rushing",Table2[Stat Type],"TD"))))</f>
        <v>0</v>
      </c>
      <c r="L232" s="6">
        <f>IF(AND($C232="Rushing", $H232&lt;=0), 0, IF(AND($C232="Passing", $G$3&lt;=0), 0,IF(AND($C232="Receiving",$I232&lt;=0),0,SUMIFS(Table2[Stat],Table2[Week],Table1[[#This Row],[Week]],Table2[Athlete],Table1[[#This Row],[Pick]],Table2[Stat Category],"receiving",Table2[Stat Type],"TD"))))</f>
        <v>0</v>
      </c>
      <c r="M2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2" s="61">
        <f>SUMIFS(Data!$J:$J,Data!$A:$A,Info!$B232,Data!$G:$G,Info!$C232,Data!$I:$I,Info!$D232,Data!$H:$H,"TOT")</f>
        <v>0</v>
      </c>
      <c r="O232" s="61">
        <f>IF(C232="Defensive",SUMIFS(Data!$J:$J,Data!$A:$A,Info!$B232,Data!$I:$I,Info!$D232,Data!$H:$H,"INT"),0)</f>
        <v>0</v>
      </c>
      <c r="P232" s="61">
        <f>IF(Table1[[#This Row],[Role]]="Defensive",SUMIFS(Data!$J:$J,Data!$A:$A,Info!$B232,Data!$I:$I,Info!$D232,Data!$H:$H,$P$1),0)</f>
        <v>0</v>
      </c>
      <c r="Q232" s="65" t="str">
        <f>IF(Table1[[#This Row],[Pick]]="","",IF(S232&gt;1,400,IF(G232="","",IF(C232="Passing",(400-Table1[[#This Row],[Passing Yards]]-(30*Table1[[#This Row],[Passing TDs]])-(50*SUM(Table1[[#This Row],[Rushing TDs]:[Other TD''s]]))),IF(C232="Rushing",2*(200-Table1[[#This Row],[Rushing Yards]]-(30*Table1[[#This Row],[Passing TDs]])-50*(Table1[[#This Row],[Rushing TDs]]+Table1[[#This Row],[Receiving TDs]]+Table1[[#This Row],[Other TD''s]])),IF(C232="Receiving",2*(200-Table1[[#This Row],[Receiving Yards]]-(30*Table1[[#This Row],[Passing TDs]])-50*(Table1[[#This Row],[Rushing TDs]]+Table1[[#This Row],[Receiving TDs]]+Table1[[#This Row],[Other TD''s]])),IF(C232="Defensive",(25*(16-Table1[[#This Row],[Tackles]]-(8*(Table1[[#This Row],[Other TD''s]]+Table1[[#This Row],[Interceptions]]+Table1[[#This Row],[Fumbles Recovered]])))))))))))</f>
        <v/>
      </c>
      <c r="R232" s="3" t="str">
        <f t="shared" si="8"/>
        <v/>
      </c>
      <c r="S232" s="4">
        <f t="shared" si="7"/>
        <v>1048507</v>
      </c>
      <c r="T2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3" spans="1:20" hidden="1" x14ac:dyDescent="0.25">
      <c r="A233" t="s">
        <v>26</v>
      </c>
      <c r="B233" s="28" t="s">
        <v>46</v>
      </c>
      <c r="C233" t="s">
        <v>17</v>
      </c>
      <c r="D233" t="str">
        <f>_xlfn.XLOOKUP(Table1[[#This Row],[Player]]&amp;Table1[[#This Row],[Week]]&amp;Table1[[#This Row],[Role]],'Google Form Transform'!$A:$A,'Google Form Transform'!E:E,"")</f>
        <v/>
      </c>
      <c r="E233" t="str">
        <f>_xlfn.XLOOKUP(Table1[[#This Row],[Player]]&amp;Table1[[#This Row],[Week]]&amp;Table1[[#This Row],[Role]],'Google Form Transform'!$A:$A,'Google Form Transform'!F:F,"")</f>
        <v/>
      </c>
      <c r="F233" t="str">
        <f>_xlfn.XLOOKUP(Table1[[#This Row],[Player]]&amp;Table1[[#This Row],[Week]]&amp;Table1[[#This Row],[Role]],'Google Form Transform'!$A:$A,'Google Form Transform'!G:G,"")</f>
        <v/>
      </c>
      <c r="G233" s="59">
        <f>SUMIFS(Table2[Stat],Table2[Stat Category],"passing",Table2[Stat Type],"YDS",Table2[Athlete],Table1[[#This Row],[Pick]],Table2[Week],Table1[[#This Row],[Week]])</f>
        <v>0</v>
      </c>
      <c r="H233" s="59">
        <f>SUMIFS(Table2[Stat],Table2[Stat Category],"rushing",Table2[Stat Type],"YDS",Table2[Athlete],Table1[[#This Row],[Pick]],Table2[Week],Table1[[#This Row],[Week]])</f>
        <v>0</v>
      </c>
      <c r="I233" s="59">
        <f>SUMIFS(Table2[Stat],Table2[Stat Category],"receiving",Table2[Stat Type],"YDS",Table2[Athlete],Table1[[#This Row],[Pick]],Table2[Week],Table1[[#This Row],[Week]])</f>
        <v>0</v>
      </c>
      <c r="J233" s="6">
        <f>IF(AND($C233="Rushing", $H233&lt;=0), 0, IF(AND($C233="Passing", $G$3&lt;=0), 0,IF(AND($C233="Receiving",$I233&lt;=0), 0,SUMIFS(Table2[Stat],Table2[Week],Table1[[#This Row],[Week]],Table2[Athlete],Table1[[#This Row],[Pick]],Table2[Stat Category],"passing",Table2[Stat Type],"TD"))))</f>
        <v>0</v>
      </c>
      <c r="K233" s="6">
        <f>IF(AND($C233="Rushing", $H233&lt;=0), 0, IF(AND($C233="Passing", $G$3&lt;=0), 0,IF(AND($C233="Receiving",$I233&lt;=0),0,SUMIFS(Table2[Stat],Table2[Week],Table1[[#This Row],[Week]],Table2[Athlete],Table1[[#This Row],[Pick]],Table2[Stat Category],"rushing",Table2[Stat Type],"TD"))))</f>
        <v>0</v>
      </c>
      <c r="L233" s="6">
        <f>IF(AND($C233="Rushing", $H233&lt;=0), 0, IF(AND($C233="Passing", $G$3&lt;=0), 0,IF(AND($C233="Receiving",$I233&lt;=0),0,SUMIFS(Table2[Stat],Table2[Week],Table1[[#This Row],[Week]],Table2[Athlete],Table1[[#This Row],[Pick]],Table2[Stat Category],"receiving",Table2[Stat Type],"TD"))))</f>
        <v>0</v>
      </c>
      <c r="M2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3" s="61">
        <f>SUMIFS(Data!$J:$J,Data!$A:$A,Info!$B233,Data!$G:$G,Info!$C233,Data!$I:$I,Info!$D233,Data!$H:$H,"TOT")</f>
        <v>0</v>
      </c>
      <c r="O233" s="61">
        <f>IF(C233="Defensive",SUMIFS(Data!$J:$J,Data!$A:$A,Info!$B233,Data!$I:$I,Info!$D233,Data!$H:$H,"INT"),0)</f>
        <v>0</v>
      </c>
      <c r="P233" s="61">
        <f>IF(Table1[[#This Row],[Role]]="Defensive",SUMIFS(Data!$J:$J,Data!$A:$A,Info!$B233,Data!$I:$I,Info!$D233,Data!$H:$H,$P$1),0)</f>
        <v>0</v>
      </c>
      <c r="Q233" s="65" t="str">
        <f>IF(Table1[[#This Row],[Pick]]="","",IF(S233&gt;1,400,IF(G233="","",IF(C233="Passing",(400-Table1[[#This Row],[Passing Yards]]-(30*Table1[[#This Row],[Passing TDs]])-(50*SUM(Table1[[#This Row],[Rushing TDs]:[Other TD''s]]))),IF(C233="Rushing",2*(200-Table1[[#This Row],[Rushing Yards]]-(30*Table1[[#This Row],[Passing TDs]])-50*(Table1[[#This Row],[Rushing TDs]]+Table1[[#This Row],[Receiving TDs]]+Table1[[#This Row],[Other TD''s]])),IF(C233="Receiving",2*(200-Table1[[#This Row],[Receiving Yards]]-(30*Table1[[#This Row],[Passing TDs]])-50*(Table1[[#This Row],[Rushing TDs]]+Table1[[#This Row],[Receiving TDs]]+Table1[[#This Row],[Other TD''s]])),IF(C233="Defensive",(25*(16-Table1[[#This Row],[Tackles]]-(8*(Table1[[#This Row],[Other TD''s]]+Table1[[#This Row],[Interceptions]]+Table1[[#This Row],[Fumbles Recovered]])))))))))))</f>
        <v/>
      </c>
      <c r="R233" s="3" t="str">
        <f t="shared" si="8"/>
        <v/>
      </c>
      <c r="S233" s="4">
        <f t="shared" si="7"/>
        <v>1048507</v>
      </c>
      <c r="T2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4" spans="1:20" hidden="1" x14ac:dyDescent="0.25">
      <c r="A234" t="s">
        <v>26</v>
      </c>
      <c r="B234" s="28" t="s">
        <v>46</v>
      </c>
      <c r="C234" t="s">
        <v>20</v>
      </c>
      <c r="D234" t="str">
        <f>_xlfn.XLOOKUP(Table1[[#This Row],[Player]]&amp;Table1[[#This Row],[Week]]&amp;Table1[[#This Row],[Role]],'Google Form Transform'!$A:$A,'Google Form Transform'!E:E,"")</f>
        <v/>
      </c>
      <c r="E234" t="str">
        <f>_xlfn.XLOOKUP(Table1[[#This Row],[Player]]&amp;Table1[[#This Row],[Week]]&amp;Table1[[#This Row],[Role]],'Google Form Transform'!$A:$A,'Google Form Transform'!F:F,"")</f>
        <v/>
      </c>
      <c r="F234" t="str">
        <f>_xlfn.XLOOKUP(Table1[[#This Row],[Player]]&amp;Table1[[#This Row],[Week]]&amp;Table1[[#This Row],[Role]],'Google Form Transform'!$A:$A,'Google Form Transform'!G:G,"")</f>
        <v/>
      </c>
      <c r="G234" s="59">
        <f>SUMIFS(Table2[Stat],Table2[Stat Category],"passing",Table2[Stat Type],"YDS",Table2[Athlete],Table1[[#This Row],[Pick]],Table2[Week],Table1[[#This Row],[Week]])</f>
        <v>0</v>
      </c>
      <c r="H234" s="59">
        <f>SUMIFS(Table2[Stat],Table2[Stat Category],"rushing",Table2[Stat Type],"YDS",Table2[Athlete],Table1[[#This Row],[Pick]],Table2[Week],Table1[[#This Row],[Week]])</f>
        <v>0</v>
      </c>
      <c r="I234" s="59">
        <f>SUMIFS(Table2[Stat],Table2[Stat Category],"receiving",Table2[Stat Type],"YDS",Table2[Athlete],Table1[[#This Row],[Pick]],Table2[Week],Table1[[#This Row],[Week]])</f>
        <v>0</v>
      </c>
      <c r="J234" s="6">
        <f>IF(AND($C234="Rushing", $H234&lt;=0), 0, IF(AND($C234="Passing", $G$3&lt;=0), 0,IF(AND($C234="Receiving",$I234&lt;=0), 0,SUMIFS(Table2[Stat],Table2[Week],Table1[[#This Row],[Week]],Table2[Athlete],Table1[[#This Row],[Pick]],Table2[Stat Category],"passing",Table2[Stat Type],"TD"))))</f>
        <v>0</v>
      </c>
      <c r="K234" s="6">
        <f>IF(AND($C234="Rushing", $H234&lt;=0), 0, IF(AND($C234="Passing", $G$3&lt;=0), 0,IF(AND($C234="Receiving",$I234&lt;=0),0,SUMIFS(Table2[Stat],Table2[Week],Table1[[#This Row],[Week]],Table2[Athlete],Table1[[#This Row],[Pick]],Table2[Stat Category],"rushing",Table2[Stat Type],"TD"))))</f>
        <v>0</v>
      </c>
      <c r="L234" s="6">
        <f>IF(AND($C234="Rushing", $H234&lt;=0), 0, IF(AND($C234="Passing", $G$3&lt;=0), 0,IF(AND($C234="Receiving",$I234&lt;=0),0,SUMIFS(Table2[Stat],Table2[Week],Table1[[#This Row],[Week]],Table2[Athlete],Table1[[#This Row],[Pick]],Table2[Stat Category],"receiving",Table2[Stat Type],"TD"))))</f>
        <v>0</v>
      </c>
      <c r="M2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4" s="61">
        <f>SUMIFS(Data!$J:$J,Data!$A:$A,Info!$B234,Data!$G:$G,Info!$C234,Data!$I:$I,Info!$D234,Data!$H:$H,"TOT")</f>
        <v>0</v>
      </c>
      <c r="O234" s="61">
        <f>IF(C234="Defensive",SUMIFS(Data!$J:$J,Data!$A:$A,Info!$B234,Data!$I:$I,Info!$D234,Data!$H:$H,"INT"),0)</f>
        <v>0</v>
      </c>
      <c r="P234" s="61">
        <f>IF(Table1[[#This Row],[Role]]="Defensive",SUMIFS(Data!$J:$J,Data!$A:$A,Info!$B234,Data!$I:$I,Info!$D234,Data!$H:$H,$P$1),0)</f>
        <v>0</v>
      </c>
      <c r="Q234" s="65" t="str">
        <f>IF(Table1[[#This Row],[Pick]]="","",IF(S234&gt;1,400,IF(G234="","",IF(C234="Passing",(400-Table1[[#This Row],[Passing Yards]]-(30*Table1[[#This Row],[Passing TDs]])-(50*SUM(Table1[[#This Row],[Rushing TDs]:[Other TD''s]]))),IF(C234="Rushing",2*(200-Table1[[#This Row],[Rushing Yards]]-(30*Table1[[#This Row],[Passing TDs]])-50*(Table1[[#This Row],[Rushing TDs]]+Table1[[#This Row],[Receiving TDs]]+Table1[[#This Row],[Other TD''s]])),IF(C234="Receiving",2*(200-Table1[[#This Row],[Receiving Yards]]-(30*Table1[[#This Row],[Passing TDs]])-50*(Table1[[#This Row],[Rushing TDs]]+Table1[[#This Row],[Receiving TDs]]+Table1[[#This Row],[Other TD''s]])),IF(C234="Defensive",(25*(16-Table1[[#This Row],[Tackles]]-(8*(Table1[[#This Row],[Other TD''s]]+Table1[[#This Row],[Interceptions]]+Table1[[#This Row],[Fumbles Recovered]])))))))))))</f>
        <v/>
      </c>
      <c r="R234" s="3" t="str">
        <f t="shared" si="8"/>
        <v/>
      </c>
      <c r="S234" s="4">
        <f t="shared" si="7"/>
        <v>1048507</v>
      </c>
      <c r="T2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5" spans="1:20" hidden="1" x14ac:dyDescent="0.25">
      <c r="A235" t="s">
        <v>43</v>
      </c>
      <c r="B235" s="28" t="s">
        <v>46</v>
      </c>
      <c r="C235" t="s">
        <v>16</v>
      </c>
      <c r="D235" t="str">
        <f>_xlfn.XLOOKUP(Table1[[#This Row],[Player]]&amp;Table1[[#This Row],[Week]]&amp;Table1[[#This Row],[Role]],'Google Form Transform'!$A:$A,'Google Form Transform'!E:E,"")</f>
        <v/>
      </c>
      <c r="E235" t="str">
        <f>_xlfn.XLOOKUP(Table1[[#This Row],[Player]]&amp;Table1[[#This Row],[Week]]&amp;Table1[[#This Row],[Role]],'Google Form Transform'!$A:$A,'Google Form Transform'!F:F,"")</f>
        <v/>
      </c>
      <c r="F235" t="str">
        <f>_xlfn.XLOOKUP(Table1[[#This Row],[Player]]&amp;Table1[[#This Row],[Week]]&amp;Table1[[#This Row],[Role]],'Google Form Transform'!$A:$A,'Google Form Transform'!G:G,"")</f>
        <v/>
      </c>
      <c r="G235" s="59">
        <f>SUMIFS(Table2[Stat],Table2[Stat Category],"passing",Table2[Stat Type],"YDS",Table2[Athlete],Table1[[#This Row],[Pick]],Table2[Week],Table1[[#This Row],[Week]])</f>
        <v>0</v>
      </c>
      <c r="H235" s="59">
        <f>SUMIFS(Table2[Stat],Table2[Stat Category],"rushing",Table2[Stat Type],"YDS",Table2[Athlete],Table1[[#This Row],[Pick]],Table2[Week],Table1[[#This Row],[Week]])</f>
        <v>0</v>
      </c>
      <c r="I235" s="59">
        <f>SUMIFS(Table2[Stat],Table2[Stat Category],"receiving",Table2[Stat Type],"YDS",Table2[Athlete],Table1[[#This Row],[Pick]],Table2[Week],Table1[[#This Row],[Week]])</f>
        <v>0</v>
      </c>
      <c r="J235" s="6">
        <f>IF(AND($C235="Rushing", $H235&lt;=0), 0, IF(AND($C235="Passing", $G$3&lt;=0), 0,IF(AND($C235="Receiving",$I235&lt;=0), 0,SUMIFS(Table2[Stat],Table2[Week],Table1[[#This Row],[Week]],Table2[Athlete],Table1[[#This Row],[Pick]],Table2[Stat Category],"passing",Table2[Stat Type],"TD"))))</f>
        <v>0</v>
      </c>
      <c r="K235" s="6">
        <f>IF(AND($C235="Rushing", $H235&lt;=0), 0, IF(AND($C235="Passing", $G$3&lt;=0), 0,IF(AND($C235="Receiving",$I235&lt;=0),0,SUMIFS(Table2[Stat],Table2[Week],Table1[[#This Row],[Week]],Table2[Athlete],Table1[[#This Row],[Pick]],Table2[Stat Category],"rushing",Table2[Stat Type],"TD"))))</f>
        <v>0</v>
      </c>
      <c r="L235" s="6">
        <f>IF(AND($C235="Rushing", $H235&lt;=0), 0, IF(AND($C235="Passing", $G$3&lt;=0), 0,IF(AND($C235="Receiving",$I235&lt;=0),0,SUMIFS(Table2[Stat],Table2[Week],Table1[[#This Row],[Week]],Table2[Athlete],Table1[[#This Row],[Pick]],Table2[Stat Category],"receiving",Table2[Stat Type],"TD"))))</f>
        <v>0</v>
      </c>
      <c r="M2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5" s="61">
        <f>SUMIFS(Data!$J:$J,Data!$A:$A,Info!$B235,Data!$G:$G,Info!$C235,Data!$I:$I,Info!$D235,Data!$H:$H,"TOT")</f>
        <v>0</v>
      </c>
      <c r="O235" s="61">
        <f>IF(C235="Defensive",SUMIFS(Data!$J:$J,Data!$A:$A,Info!$B235,Data!$I:$I,Info!$D235,Data!$H:$H,"INT"),0)</f>
        <v>0</v>
      </c>
      <c r="P235" s="61">
        <f>IF(Table1[[#This Row],[Role]]="Defensive",SUMIFS(Data!$J:$J,Data!$A:$A,Info!$B235,Data!$I:$I,Info!$D235,Data!$H:$H,$P$1),0)</f>
        <v>0</v>
      </c>
      <c r="Q235" s="65" t="str">
        <f>IF(Table1[[#This Row],[Pick]]="","",IF(S235&gt;1,400,IF(G235="","",IF(C235="Passing",(400-Table1[[#This Row],[Passing Yards]]-(30*Table1[[#This Row],[Passing TDs]])-(50*SUM(Table1[[#This Row],[Rushing TDs]:[Other TD''s]]))),IF(C235="Rushing",2*(200-Table1[[#This Row],[Rushing Yards]]-(30*Table1[[#This Row],[Passing TDs]])-50*(Table1[[#This Row],[Rushing TDs]]+Table1[[#This Row],[Receiving TDs]]+Table1[[#This Row],[Other TD''s]])),IF(C235="Receiving",2*(200-Table1[[#This Row],[Receiving Yards]]-(30*Table1[[#This Row],[Passing TDs]])-50*(Table1[[#This Row],[Rushing TDs]]+Table1[[#This Row],[Receiving TDs]]+Table1[[#This Row],[Other TD''s]])),IF(C235="Defensive",(25*(16-Table1[[#This Row],[Tackles]]-(8*(Table1[[#This Row],[Other TD''s]]+Table1[[#This Row],[Interceptions]]+Table1[[#This Row],[Fumbles Recovered]])))))))))))</f>
        <v/>
      </c>
      <c r="R235" s="3" t="str">
        <f t="shared" si="8"/>
        <v/>
      </c>
      <c r="S235" s="4">
        <f t="shared" si="7"/>
        <v>1048507</v>
      </c>
      <c r="T2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6" spans="1:20" hidden="1" x14ac:dyDescent="0.25">
      <c r="A236" t="s">
        <v>43</v>
      </c>
      <c r="B236" s="28" t="s">
        <v>46</v>
      </c>
      <c r="C236" t="s">
        <v>6</v>
      </c>
      <c r="D236" t="str">
        <f>_xlfn.XLOOKUP(Table1[[#This Row],[Player]]&amp;Table1[[#This Row],[Week]]&amp;Table1[[#This Row],[Role]],'Google Form Transform'!$A:$A,'Google Form Transform'!E:E,"")</f>
        <v/>
      </c>
      <c r="E236" t="str">
        <f>_xlfn.XLOOKUP(Table1[[#This Row],[Player]]&amp;Table1[[#This Row],[Week]]&amp;Table1[[#This Row],[Role]],'Google Form Transform'!$A:$A,'Google Form Transform'!F:F,"")</f>
        <v/>
      </c>
      <c r="F236" t="str">
        <f>_xlfn.XLOOKUP(Table1[[#This Row],[Player]]&amp;Table1[[#This Row],[Week]]&amp;Table1[[#This Row],[Role]],'Google Form Transform'!$A:$A,'Google Form Transform'!G:G,"")</f>
        <v/>
      </c>
      <c r="G236" s="59">
        <f>SUMIFS(Table2[Stat],Table2[Stat Category],"passing",Table2[Stat Type],"YDS",Table2[Athlete],Table1[[#This Row],[Pick]],Table2[Week],Table1[[#This Row],[Week]])</f>
        <v>0</v>
      </c>
      <c r="H236" s="59">
        <f>SUMIFS(Table2[Stat],Table2[Stat Category],"rushing",Table2[Stat Type],"YDS",Table2[Athlete],Table1[[#This Row],[Pick]],Table2[Week],Table1[[#This Row],[Week]])</f>
        <v>0</v>
      </c>
      <c r="I236" s="59">
        <f>SUMIFS(Table2[Stat],Table2[Stat Category],"receiving",Table2[Stat Type],"YDS",Table2[Athlete],Table1[[#This Row],[Pick]],Table2[Week],Table1[[#This Row],[Week]])</f>
        <v>0</v>
      </c>
      <c r="J236" s="6">
        <f>IF(AND($C236="Rushing", $H236&lt;=0), 0, IF(AND($C236="Passing", $G$3&lt;=0), 0,IF(AND($C236="Receiving",$I236&lt;=0), 0,SUMIFS(Table2[Stat],Table2[Week],Table1[[#This Row],[Week]],Table2[Athlete],Table1[[#This Row],[Pick]],Table2[Stat Category],"passing",Table2[Stat Type],"TD"))))</f>
        <v>0</v>
      </c>
      <c r="K236" s="6">
        <f>IF(AND($C236="Rushing", $H236&lt;=0), 0, IF(AND($C236="Passing", $G$3&lt;=0), 0,IF(AND($C236="Receiving",$I236&lt;=0),0,SUMIFS(Table2[Stat],Table2[Week],Table1[[#This Row],[Week]],Table2[Athlete],Table1[[#This Row],[Pick]],Table2[Stat Category],"rushing",Table2[Stat Type],"TD"))))</f>
        <v>0</v>
      </c>
      <c r="L236" s="6">
        <f>IF(AND($C236="Rushing", $H236&lt;=0), 0, IF(AND($C236="Passing", $G$3&lt;=0), 0,IF(AND($C236="Receiving",$I236&lt;=0),0,SUMIFS(Table2[Stat],Table2[Week],Table1[[#This Row],[Week]],Table2[Athlete],Table1[[#This Row],[Pick]],Table2[Stat Category],"receiving",Table2[Stat Type],"TD"))))</f>
        <v>0</v>
      </c>
      <c r="M2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6" s="61">
        <f>SUMIFS(Data!$J:$J,Data!$A:$A,Info!$B236,Data!$G:$G,Info!$C236,Data!$I:$I,Info!$D236,Data!$H:$H,"TOT")</f>
        <v>0</v>
      </c>
      <c r="O236" s="61">
        <f>IF(C236="Defensive",SUMIFS(Data!$J:$J,Data!$A:$A,Info!$B236,Data!$I:$I,Info!$D236,Data!$H:$H,"INT"),0)</f>
        <v>0</v>
      </c>
      <c r="P236" s="61">
        <f>IF(Table1[[#This Row],[Role]]="Defensive",SUMIFS(Data!$J:$J,Data!$A:$A,Info!$B236,Data!$I:$I,Info!$D236,Data!$H:$H,$P$1),0)</f>
        <v>0</v>
      </c>
      <c r="Q236" s="65" t="str">
        <f>IF(Table1[[#This Row],[Pick]]="","",IF(S236&gt;1,400,IF(G236="","",IF(C236="Passing",(400-Table1[[#This Row],[Passing Yards]]-(30*Table1[[#This Row],[Passing TDs]])-(50*SUM(Table1[[#This Row],[Rushing TDs]:[Other TD''s]]))),IF(C236="Rushing",2*(200-Table1[[#This Row],[Rushing Yards]]-(30*Table1[[#This Row],[Passing TDs]])-50*(Table1[[#This Row],[Rushing TDs]]+Table1[[#This Row],[Receiving TDs]]+Table1[[#This Row],[Other TD''s]])),IF(C236="Receiving",2*(200-Table1[[#This Row],[Receiving Yards]]-(30*Table1[[#This Row],[Passing TDs]])-50*(Table1[[#This Row],[Rushing TDs]]+Table1[[#This Row],[Receiving TDs]]+Table1[[#This Row],[Other TD''s]])),IF(C236="Defensive",(25*(16-Table1[[#This Row],[Tackles]]-(8*(Table1[[#This Row],[Other TD''s]]+Table1[[#This Row],[Interceptions]]+Table1[[#This Row],[Fumbles Recovered]])))))))))))</f>
        <v/>
      </c>
      <c r="R236" s="3" t="str">
        <f t="shared" si="8"/>
        <v/>
      </c>
      <c r="S236" s="4">
        <f t="shared" si="7"/>
        <v>1048507</v>
      </c>
      <c r="T2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7" spans="1:20" hidden="1" x14ac:dyDescent="0.25">
      <c r="A237" t="s">
        <v>43</v>
      </c>
      <c r="B237" s="28" t="s">
        <v>46</v>
      </c>
      <c r="C237" t="s">
        <v>17</v>
      </c>
      <c r="D237" t="str">
        <f>_xlfn.XLOOKUP(Table1[[#This Row],[Player]]&amp;Table1[[#This Row],[Week]]&amp;Table1[[#This Row],[Role]],'Google Form Transform'!$A:$A,'Google Form Transform'!E:E,"")</f>
        <v/>
      </c>
      <c r="E237" t="str">
        <f>_xlfn.XLOOKUP(Table1[[#This Row],[Player]]&amp;Table1[[#This Row],[Week]]&amp;Table1[[#This Row],[Role]],'Google Form Transform'!$A:$A,'Google Form Transform'!F:F,"")</f>
        <v/>
      </c>
      <c r="F237" t="str">
        <f>_xlfn.XLOOKUP(Table1[[#This Row],[Player]]&amp;Table1[[#This Row],[Week]]&amp;Table1[[#This Row],[Role]],'Google Form Transform'!$A:$A,'Google Form Transform'!G:G,"")</f>
        <v/>
      </c>
      <c r="G237" s="59">
        <f>SUMIFS(Table2[Stat],Table2[Stat Category],"passing",Table2[Stat Type],"YDS",Table2[Athlete],Table1[[#This Row],[Pick]],Table2[Week],Table1[[#This Row],[Week]])</f>
        <v>0</v>
      </c>
      <c r="H237" s="59">
        <f>SUMIFS(Table2[Stat],Table2[Stat Category],"rushing",Table2[Stat Type],"YDS",Table2[Athlete],Table1[[#This Row],[Pick]],Table2[Week],Table1[[#This Row],[Week]])</f>
        <v>0</v>
      </c>
      <c r="I237" s="59">
        <f>SUMIFS(Table2[Stat],Table2[Stat Category],"receiving",Table2[Stat Type],"YDS",Table2[Athlete],Table1[[#This Row],[Pick]],Table2[Week],Table1[[#This Row],[Week]])</f>
        <v>0</v>
      </c>
      <c r="J237" s="6">
        <f>IF(AND($C237="Rushing", $H237&lt;=0), 0, IF(AND($C237="Passing", $G$3&lt;=0), 0,IF(AND($C237="Receiving",$I237&lt;=0), 0,SUMIFS(Table2[Stat],Table2[Week],Table1[[#This Row],[Week]],Table2[Athlete],Table1[[#This Row],[Pick]],Table2[Stat Category],"passing",Table2[Stat Type],"TD"))))</f>
        <v>0</v>
      </c>
      <c r="K237" s="6">
        <f>IF(AND($C237="Rushing", $H237&lt;=0), 0, IF(AND($C237="Passing", $G$3&lt;=0), 0,IF(AND($C237="Receiving",$I237&lt;=0),0,SUMIFS(Table2[Stat],Table2[Week],Table1[[#This Row],[Week]],Table2[Athlete],Table1[[#This Row],[Pick]],Table2[Stat Category],"rushing",Table2[Stat Type],"TD"))))</f>
        <v>0</v>
      </c>
      <c r="L237" s="6">
        <f>IF(AND($C237="Rushing", $H237&lt;=0), 0, IF(AND($C237="Passing", $G$3&lt;=0), 0,IF(AND($C237="Receiving",$I237&lt;=0),0,SUMIFS(Table2[Stat],Table2[Week],Table1[[#This Row],[Week]],Table2[Athlete],Table1[[#This Row],[Pick]],Table2[Stat Category],"receiving",Table2[Stat Type],"TD"))))</f>
        <v>0</v>
      </c>
      <c r="M2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7" s="61">
        <f>SUMIFS(Data!$J:$J,Data!$A:$A,Info!$B237,Data!$G:$G,Info!$C237,Data!$I:$I,Info!$D237,Data!$H:$H,"TOT")</f>
        <v>0</v>
      </c>
      <c r="O237" s="61">
        <f>IF(C237="Defensive",SUMIFS(Data!$J:$J,Data!$A:$A,Info!$B237,Data!$I:$I,Info!$D237,Data!$H:$H,"INT"),0)</f>
        <v>0</v>
      </c>
      <c r="P237" s="61">
        <f>IF(Table1[[#This Row],[Role]]="Defensive",SUMIFS(Data!$J:$J,Data!$A:$A,Info!$B237,Data!$I:$I,Info!$D237,Data!$H:$H,$P$1),0)</f>
        <v>0</v>
      </c>
      <c r="Q237" s="65" t="str">
        <f>IF(Table1[[#This Row],[Pick]]="","",IF(S237&gt;1,400,IF(G237="","",IF(C237="Passing",(400-Table1[[#This Row],[Passing Yards]]-(30*Table1[[#This Row],[Passing TDs]])-(50*SUM(Table1[[#This Row],[Rushing TDs]:[Other TD''s]]))),IF(C237="Rushing",2*(200-Table1[[#This Row],[Rushing Yards]]-(30*Table1[[#This Row],[Passing TDs]])-50*(Table1[[#This Row],[Rushing TDs]]+Table1[[#This Row],[Receiving TDs]]+Table1[[#This Row],[Other TD''s]])),IF(C237="Receiving",2*(200-Table1[[#This Row],[Receiving Yards]]-(30*Table1[[#This Row],[Passing TDs]])-50*(Table1[[#This Row],[Rushing TDs]]+Table1[[#This Row],[Receiving TDs]]+Table1[[#This Row],[Other TD''s]])),IF(C237="Defensive",(25*(16-Table1[[#This Row],[Tackles]]-(8*(Table1[[#This Row],[Other TD''s]]+Table1[[#This Row],[Interceptions]]+Table1[[#This Row],[Fumbles Recovered]])))))))))))</f>
        <v/>
      </c>
      <c r="R237" s="3" t="str">
        <f t="shared" si="8"/>
        <v/>
      </c>
      <c r="S237" s="4">
        <f t="shared" si="7"/>
        <v>1048507</v>
      </c>
      <c r="T2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8" spans="1:20" hidden="1" x14ac:dyDescent="0.25">
      <c r="A238" t="s">
        <v>43</v>
      </c>
      <c r="B238" s="28" t="s">
        <v>46</v>
      </c>
      <c r="C238" t="s">
        <v>20</v>
      </c>
      <c r="D238" t="str">
        <f>_xlfn.XLOOKUP(Table1[[#This Row],[Player]]&amp;Table1[[#This Row],[Week]]&amp;Table1[[#This Row],[Role]],'Google Form Transform'!$A:$A,'Google Form Transform'!E:E,"")</f>
        <v/>
      </c>
      <c r="E238" t="str">
        <f>_xlfn.XLOOKUP(Table1[[#This Row],[Player]]&amp;Table1[[#This Row],[Week]]&amp;Table1[[#This Row],[Role]],'Google Form Transform'!$A:$A,'Google Form Transform'!F:F,"")</f>
        <v/>
      </c>
      <c r="F238" t="str">
        <f>_xlfn.XLOOKUP(Table1[[#This Row],[Player]]&amp;Table1[[#This Row],[Week]]&amp;Table1[[#This Row],[Role]],'Google Form Transform'!$A:$A,'Google Form Transform'!G:G,"")</f>
        <v/>
      </c>
      <c r="G238" s="59">
        <f>SUMIFS(Table2[Stat],Table2[Stat Category],"passing",Table2[Stat Type],"YDS",Table2[Athlete],Table1[[#This Row],[Pick]],Table2[Week],Table1[[#This Row],[Week]])</f>
        <v>0</v>
      </c>
      <c r="H238" s="59">
        <f>SUMIFS(Table2[Stat],Table2[Stat Category],"rushing",Table2[Stat Type],"YDS",Table2[Athlete],Table1[[#This Row],[Pick]],Table2[Week],Table1[[#This Row],[Week]])</f>
        <v>0</v>
      </c>
      <c r="I238" s="59">
        <f>SUMIFS(Table2[Stat],Table2[Stat Category],"receiving",Table2[Stat Type],"YDS",Table2[Athlete],Table1[[#This Row],[Pick]],Table2[Week],Table1[[#This Row],[Week]])</f>
        <v>0</v>
      </c>
      <c r="J238" s="6">
        <f>IF(AND($C238="Rushing", $H238&lt;=0), 0, IF(AND($C238="Passing", $G$3&lt;=0), 0,IF(AND($C238="Receiving",$I238&lt;=0), 0,SUMIFS(Table2[Stat],Table2[Week],Table1[[#This Row],[Week]],Table2[Athlete],Table1[[#This Row],[Pick]],Table2[Stat Category],"passing",Table2[Stat Type],"TD"))))</f>
        <v>0</v>
      </c>
      <c r="K238" s="6">
        <f>IF(AND($C238="Rushing", $H238&lt;=0), 0, IF(AND($C238="Passing", $G$3&lt;=0), 0,IF(AND($C238="Receiving",$I238&lt;=0),0,SUMIFS(Table2[Stat],Table2[Week],Table1[[#This Row],[Week]],Table2[Athlete],Table1[[#This Row],[Pick]],Table2[Stat Category],"rushing",Table2[Stat Type],"TD"))))</f>
        <v>0</v>
      </c>
      <c r="L238" s="6">
        <f>IF(AND($C238="Rushing", $H238&lt;=0), 0, IF(AND($C238="Passing", $G$3&lt;=0), 0,IF(AND($C238="Receiving",$I238&lt;=0),0,SUMIFS(Table2[Stat],Table2[Week],Table1[[#This Row],[Week]],Table2[Athlete],Table1[[#This Row],[Pick]],Table2[Stat Category],"receiving",Table2[Stat Type],"TD"))))</f>
        <v>0</v>
      </c>
      <c r="M2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8" s="61">
        <f>SUMIFS(Data!$J:$J,Data!$A:$A,Info!$B238,Data!$G:$G,Info!$C238,Data!$I:$I,Info!$D238,Data!$H:$H,"TOT")</f>
        <v>0</v>
      </c>
      <c r="O238" s="61">
        <f>IF(C238="Defensive",SUMIFS(Data!$J:$J,Data!$A:$A,Info!$B238,Data!$I:$I,Info!$D238,Data!$H:$H,"INT"),0)</f>
        <v>0</v>
      </c>
      <c r="P238" s="61">
        <f>IF(Table1[[#This Row],[Role]]="Defensive",SUMIFS(Data!$J:$J,Data!$A:$A,Info!$B238,Data!$I:$I,Info!$D238,Data!$H:$H,$P$1),0)</f>
        <v>0</v>
      </c>
      <c r="Q238" s="65" t="str">
        <f>IF(Table1[[#This Row],[Pick]]="","",IF(S238&gt;1,400,IF(G238="","",IF(C238="Passing",(400-Table1[[#This Row],[Passing Yards]]-(30*Table1[[#This Row],[Passing TDs]])-(50*SUM(Table1[[#This Row],[Rushing TDs]:[Other TD''s]]))),IF(C238="Rushing",2*(200-Table1[[#This Row],[Rushing Yards]]-(30*Table1[[#This Row],[Passing TDs]])-50*(Table1[[#This Row],[Rushing TDs]]+Table1[[#This Row],[Receiving TDs]]+Table1[[#This Row],[Other TD''s]])),IF(C238="Receiving",2*(200-Table1[[#This Row],[Receiving Yards]]-(30*Table1[[#This Row],[Passing TDs]])-50*(Table1[[#This Row],[Rushing TDs]]+Table1[[#This Row],[Receiving TDs]]+Table1[[#This Row],[Other TD''s]])),IF(C238="Defensive",(25*(16-Table1[[#This Row],[Tackles]]-(8*(Table1[[#This Row],[Other TD''s]]+Table1[[#This Row],[Interceptions]]+Table1[[#This Row],[Fumbles Recovered]])))))))))))</f>
        <v/>
      </c>
      <c r="R238" s="3" t="str">
        <f t="shared" si="8"/>
        <v/>
      </c>
      <c r="S238" s="4">
        <f t="shared" si="7"/>
        <v>1048507</v>
      </c>
      <c r="T2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9" spans="1:20" hidden="1" x14ac:dyDescent="0.25">
      <c r="A239" t="s">
        <v>7</v>
      </c>
      <c r="B239" s="28" t="s">
        <v>46</v>
      </c>
      <c r="C239" t="s">
        <v>16</v>
      </c>
      <c r="D239" t="str">
        <f>_xlfn.XLOOKUP(Table1[[#This Row],[Player]]&amp;Table1[[#This Row],[Week]]&amp;Table1[[#This Row],[Role]],'Google Form Transform'!$A:$A,'Google Form Transform'!E:E,"")</f>
        <v/>
      </c>
      <c r="E239" t="str">
        <f>_xlfn.XLOOKUP(Table1[[#This Row],[Player]]&amp;Table1[[#This Row],[Week]]&amp;Table1[[#This Row],[Role]],'Google Form Transform'!$A:$A,'Google Form Transform'!F:F,"")</f>
        <v/>
      </c>
      <c r="F239" t="str">
        <f>_xlfn.XLOOKUP(Table1[[#This Row],[Player]]&amp;Table1[[#This Row],[Week]]&amp;Table1[[#This Row],[Role]],'Google Form Transform'!$A:$A,'Google Form Transform'!G:G,"")</f>
        <v/>
      </c>
      <c r="G239" s="59">
        <f>SUMIFS(Table2[Stat],Table2[Stat Category],"passing",Table2[Stat Type],"YDS",Table2[Athlete],Table1[[#This Row],[Pick]],Table2[Week],Table1[[#This Row],[Week]])</f>
        <v>0</v>
      </c>
      <c r="H239" s="59">
        <f>SUMIFS(Table2[Stat],Table2[Stat Category],"rushing",Table2[Stat Type],"YDS",Table2[Athlete],Table1[[#This Row],[Pick]],Table2[Week],Table1[[#This Row],[Week]])</f>
        <v>0</v>
      </c>
      <c r="I239" s="59">
        <f>SUMIFS(Table2[Stat],Table2[Stat Category],"receiving",Table2[Stat Type],"YDS",Table2[Athlete],Table1[[#This Row],[Pick]],Table2[Week],Table1[[#This Row],[Week]])</f>
        <v>0</v>
      </c>
      <c r="J239" s="6">
        <f>IF(AND($C239="Rushing", $H239&lt;=0), 0, IF(AND($C239="Passing", $G$3&lt;=0), 0,IF(AND($C239="Receiving",$I239&lt;=0), 0,SUMIFS(Table2[Stat],Table2[Week],Table1[[#This Row],[Week]],Table2[Athlete],Table1[[#This Row],[Pick]],Table2[Stat Category],"passing",Table2[Stat Type],"TD"))))</f>
        <v>0</v>
      </c>
      <c r="K239" s="6">
        <f>IF(AND($C239="Rushing", $H239&lt;=0), 0, IF(AND($C239="Passing", $G$3&lt;=0), 0,IF(AND($C239="Receiving",$I239&lt;=0),0,SUMIFS(Table2[Stat],Table2[Week],Table1[[#This Row],[Week]],Table2[Athlete],Table1[[#This Row],[Pick]],Table2[Stat Category],"rushing",Table2[Stat Type],"TD"))))</f>
        <v>0</v>
      </c>
      <c r="L239" s="6">
        <f>IF(AND($C239="Rushing", $H239&lt;=0), 0, IF(AND($C239="Passing", $G$3&lt;=0), 0,IF(AND($C239="Receiving",$I239&lt;=0),0,SUMIFS(Table2[Stat],Table2[Week],Table1[[#This Row],[Week]],Table2[Athlete],Table1[[#This Row],[Pick]],Table2[Stat Category],"receiving",Table2[Stat Type],"TD"))))</f>
        <v>0</v>
      </c>
      <c r="M2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9" s="61">
        <f>SUMIFS(Data!$J:$J,Data!$A:$A,Info!$B239,Data!$G:$G,Info!$C239,Data!$I:$I,Info!$D239,Data!$H:$H,"TOT")</f>
        <v>0</v>
      </c>
      <c r="O239" s="61">
        <f>IF(C239="Defensive",SUMIFS(Data!$J:$J,Data!$A:$A,Info!$B239,Data!$I:$I,Info!$D239,Data!$H:$H,"INT"),0)</f>
        <v>0</v>
      </c>
      <c r="P239" s="61">
        <f>IF(Table1[[#This Row],[Role]]="Defensive",SUMIFS(Data!$J:$J,Data!$A:$A,Info!$B239,Data!$I:$I,Info!$D239,Data!$H:$H,$P$1),0)</f>
        <v>0</v>
      </c>
      <c r="Q239" s="65" t="str">
        <f>IF(Table1[[#This Row],[Pick]]="","",IF(S239&gt;1,400,IF(G239="","",IF(C239="Passing",(400-Table1[[#This Row],[Passing Yards]]-(30*Table1[[#This Row],[Passing TDs]])-(50*SUM(Table1[[#This Row],[Rushing TDs]:[Other TD''s]]))),IF(C239="Rushing",2*(200-Table1[[#This Row],[Rushing Yards]]-(30*Table1[[#This Row],[Passing TDs]])-50*(Table1[[#This Row],[Rushing TDs]]+Table1[[#This Row],[Receiving TDs]]+Table1[[#This Row],[Other TD''s]])),IF(C239="Receiving",2*(200-Table1[[#This Row],[Receiving Yards]]-(30*Table1[[#This Row],[Passing TDs]])-50*(Table1[[#This Row],[Rushing TDs]]+Table1[[#This Row],[Receiving TDs]]+Table1[[#This Row],[Other TD''s]])),IF(C239="Defensive",(25*(16-Table1[[#This Row],[Tackles]]-(8*(Table1[[#This Row],[Other TD''s]]+Table1[[#This Row],[Interceptions]]+Table1[[#This Row],[Fumbles Recovered]])))))))))))</f>
        <v/>
      </c>
      <c r="R239" s="3" t="str">
        <f t="shared" si="8"/>
        <v/>
      </c>
      <c r="S239" s="4">
        <f t="shared" si="7"/>
        <v>1048507</v>
      </c>
      <c r="T2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0" spans="1:20" hidden="1" x14ac:dyDescent="0.25">
      <c r="A240" t="s">
        <v>7</v>
      </c>
      <c r="B240" s="28" t="s">
        <v>46</v>
      </c>
      <c r="C240" t="s">
        <v>6</v>
      </c>
      <c r="D240" t="str">
        <f>_xlfn.XLOOKUP(Table1[[#This Row],[Player]]&amp;Table1[[#This Row],[Week]]&amp;Table1[[#This Row],[Role]],'Google Form Transform'!$A:$A,'Google Form Transform'!E:E,"")</f>
        <v/>
      </c>
      <c r="E240" t="str">
        <f>_xlfn.XLOOKUP(Table1[[#This Row],[Player]]&amp;Table1[[#This Row],[Week]]&amp;Table1[[#This Row],[Role]],'Google Form Transform'!$A:$A,'Google Form Transform'!F:F,"")</f>
        <v/>
      </c>
      <c r="F240" t="str">
        <f>_xlfn.XLOOKUP(Table1[[#This Row],[Player]]&amp;Table1[[#This Row],[Week]]&amp;Table1[[#This Row],[Role]],'Google Form Transform'!$A:$A,'Google Form Transform'!G:G,"")</f>
        <v/>
      </c>
      <c r="G240" s="59">
        <f>SUMIFS(Table2[Stat],Table2[Stat Category],"passing",Table2[Stat Type],"YDS",Table2[Athlete],Table1[[#This Row],[Pick]],Table2[Week],Table1[[#This Row],[Week]])</f>
        <v>0</v>
      </c>
      <c r="H240" s="59">
        <f>SUMIFS(Table2[Stat],Table2[Stat Category],"rushing",Table2[Stat Type],"YDS",Table2[Athlete],Table1[[#This Row],[Pick]],Table2[Week],Table1[[#This Row],[Week]])</f>
        <v>0</v>
      </c>
      <c r="I240" s="59">
        <f>SUMIFS(Table2[Stat],Table2[Stat Category],"receiving",Table2[Stat Type],"YDS",Table2[Athlete],Table1[[#This Row],[Pick]],Table2[Week],Table1[[#This Row],[Week]])</f>
        <v>0</v>
      </c>
      <c r="J240" s="6">
        <f>IF(AND($C240="Rushing", $H240&lt;=0), 0, IF(AND($C240="Passing", $G$3&lt;=0), 0,IF(AND($C240="Receiving",$I240&lt;=0), 0,SUMIFS(Table2[Stat],Table2[Week],Table1[[#This Row],[Week]],Table2[Athlete],Table1[[#This Row],[Pick]],Table2[Stat Category],"passing",Table2[Stat Type],"TD"))))</f>
        <v>0</v>
      </c>
      <c r="K240" s="6">
        <f>IF(AND($C240="Rushing", $H240&lt;=0), 0, IF(AND($C240="Passing", $G$3&lt;=0), 0,IF(AND($C240="Receiving",$I240&lt;=0),0,SUMIFS(Table2[Stat],Table2[Week],Table1[[#This Row],[Week]],Table2[Athlete],Table1[[#This Row],[Pick]],Table2[Stat Category],"rushing",Table2[Stat Type],"TD"))))</f>
        <v>0</v>
      </c>
      <c r="L240" s="6">
        <f>IF(AND($C240="Rushing", $H240&lt;=0), 0, IF(AND($C240="Passing", $G$3&lt;=0), 0,IF(AND($C240="Receiving",$I240&lt;=0),0,SUMIFS(Table2[Stat],Table2[Week],Table1[[#This Row],[Week]],Table2[Athlete],Table1[[#This Row],[Pick]],Table2[Stat Category],"receiving",Table2[Stat Type],"TD"))))</f>
        <v>0</v>
      </c>
      <c r="M2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0" s="61">
        <f>SUMIFS(Data!$J:$J,Data!$A:$A,Info!$B240,Data!$G:$G,Info!$C240,Data!$I:$I,Info!$D240,Data!$H:$H,"TOT")</f>
        <v>0</v>
      </c>
      <c r="O240" s="61">
        <f>IF(C240="Defensive",SUMIFS(Data!$J:$J,Data!$A:$A,Info!$B240,Data!$I:$I,Info!$D240,Data!$H:$H,"INT"),0)</f>
        <v>0</v>
      </c>
      <c r="P240" s="61">
        <f>IF(Table1[[#This Row],[Role]]="Defensive",SUMIFS(Data!$J:$J,Data!$A:$A,Info!$B240,Data!$I:$I,Info!$D240,Data!$H:$H,$P$1),0)</f>
        <v>0</v>
      </c>
      <c r="Q240" s="65" t="str">
        <f>IF(Table1[[#This Row],[Pick]]="","",IF(S240&gt;1,400,IF(G240="","",IF(C240="Passing",(400-Table1[[#This Row],[Passing Yards]]-(30*Table1[[#This Row],[Passing TDs]])-(50*SUM(Table1[[#This Row],[Rushing TDs]:[Other TD''s]]))),IF(C240="Rushing",2*(200-Table1[[#This Row],[Rushing Yards]]-(30*Table1[[#This Row],[Passing TDs]])-50*(Table1[[#This Row],[Rushing TDs]]+Table1[[#This Row],[Receiving TDs]]+Table1[[#This Row],[Other TD''s]])),IF(C240="Receiving",2*(200-Table1[[#This Row],[Receiving Yards]]-(30*Table1[[#This Row],[Passing TDs]])-50*(Table1[[#This Row],[Rushing TDs]]+Table1[[#This Row],[Receiving TDs]]+Table1[[#This Row],[Other TD''s]])),IF(C240="Defensive",(25*(16-Table1[[#This Row],[Tackles]]-(8*(Table1[[#This Row],[Other TD''s]]+Table1[[#This Row],[Interceptions]]+Table1[[#This Row],[Fumbles Recovered]])))))))))))</f>
        <v/>
      </c>
      <c r="R240" s="3" t="str">
        <f t="shared" si="8"/>
        <v/>
      </c>
      <c r="S240" s="4">
        <f t="shared" si="7"/>
        <v>1048507</v>
      </c>
      <c r="T2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1" spans="1:20" hidden="1" x14ac:dyDescent="0.25">
      <c r="A241" t="s">
        <v>7</v>
      </c>
      <c r="B241" s="28" t="s">
        <v>46</v>
      </c>
      <c r="C241" t="s">
        <v>17</v>
      </c>
      <c r="D241" t="str">
        <f>_xlfn.XLOOKUP(Table1[[#This Row],[Player]]&amp;Table1[[#This Row],[Week]]&amp;Table1[[#This Row],[Role]],'Google Form Transform'!$A:$A,'Google Form Transform'!E:E,"")</f>
        <v/>
      </c>
      <c r="E241" t="str">
        <f>_xlfn.XLOOKUP(Table1[[#This Row],[Player]]&amp;Table1[[#This Row],[Week]]&amp;Table1[[#This Row],[Role]],'Google Form Transform'!$A:$A,'Google Form Transform'!F:F,"")</f>
        <v/>
      </c>
      <c r="F241" t="str">
        <f>_xlfn.XLOOKUP(Table1[[#This Row],[Player]]&amp;Table1[[#This Row],[Week]]&amp;Table1[[#This Row],[Role]],'Google Form Transform'!$A:$A,'Google Form Transform'!G:G,"")</f>
        <v/>
      </c>
      <c r="G241" s="59">
        <f>SUMIFS(Table2[Stat],Table2[Stat Category],"passing",Table2[Stat Type],"YDS",Table2[Athlete],Table1[[#This Row],[Pick]],Table2[Week],Table1[[#This Row],[Week]])</f>
        <v>0</v>
      </c>
      <c r="H241" s="59">
        <f>SUMIFS(Table2[Stat],Table2[Stat Category],"rushing",Table2[Stat Type],"YDS",Table2[Athlete],Table1[[#This Row],[Pick]],Table2[Week],Table1[[#This Row],[Week]])</f>
        <v>0</v>
      </c>
      <c r="I241" s="59">
        <f>SUMIFS(Table2[Stat],Table2[Stat Category],"receiving",Table2[Stat Type],"YDS",Table2[Athlete],Table1[[#This Row],[Pick]],Table2[Week],Table1[[#This Row],[Week]])</f>
        <v>0</v>
      </c>
      <c r="J241" s="6">
        <f>IF(AND($C241="Rushing", $H241&lt;=0), 0, IF(AND($C241="Passing", $G$3&lt;=0), 0,IF(AND($C241="Receiving",$I241&lt;=0), 0,SUMIFS(Table2[Stat],Table2[Week],Table1[[#This Row],[Week]],Table2[Athlete],Table1[[#This Row],[Pick]],Table2[Stat Category],"passing",Table2[Stat Type],"TD"))))</f>
        <v>0</v>
      </c>
      <c r="K241" s="6">
        <f>IF(AND($C241="Rushing", $H241&lt;=0), 0, IF(AND($C241="Passing", $G$3&lt;=0), 0,IF(AND($C241="Receiving",$I241&lt;=0),0,SUMIFS(Table2[Stat],Table2[Week],Table1[[#This Row],[Week]],Table2[Athlete],Table1[[#This Row],[Pick]],Table2[Stat Category],"rushing",Table2[Stat Type],"TD"))))</f>
        <v>0</v>
      </c>
      <c r="L241" s="6">
        <f>IF(AND($C241="Rushing", $H241&lt;=0), 0, IF(AND($C241="Passing", $G$3&lt;=0), 0,IF(AND($C241="Receiving",$I241&lt;=0),0,SUMIFS(Table2[Stat],Table2[Week],Table1[[#This Row],[Week]],Table2[Athlete],Table1[[#This Row],[Pick]],Table2[Stat Category],"receiving",Table2[Stat Type],"TD"))))</f>
        <v>0</v>
      </c>
      <c r="M2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1" s="61">
        <f>SUMIFS(Data!$J:$J,Data!$A:$A,Info!$B241,Data!$G:$G,Info!$C241,Data!$I:$I,Info!$D241,Data!$H:$H,"TOT")</f>
        <v>0</v>
      </c>
      <c r="O241" s="61">
        <f>IF(C241="Defensive",SUMIFS(Data!$J:$J,Data!$A:$A,Info!$B241,Data!$I:$I,Info!$D241,Data!$H:$H,"INT"),0)</f>
        <v>0</v>
      </c>
      <c r="P241" s="61">
        <f>IF(Table1[[#This Row],[Role]]="Defensive",SUMIFS(Data!$J:$J,Data!$A:$A,Info!$B241,Data!$I:$I,Info!$D241,Data!$H:$H,$P$1),0)</f>
        <v>0</v>
      </c>
      <c r="Q241" s="65" t="str">
        <f>IF(Table1[[#This Row],[Pick]]="","",IF(S241&gt;1,400,IF(G241="","",IF(C241="Passing",(400-Table1[[#This Row],[Passing Yards]]-(30*Table1[[#This Row],[Passing TDs]])-(50*SUM(Table1[[#This Row],[Rushing TDs]:[Other TD''s]]))),IF(C241="Rushing",2*(200-Table1[[#This Row],[Rushing Yards]]-(30*Table1[[#This Row],[Passing TDs]])-50*(Table1[[#This Row],[Rushing TDs]]+Table1[[#This Row],[Receiving TDs]]+Table1[[#This Row],[Other TD''s]])),IF(C241="Receiving",2*(200-Table1[[#This Row],[Receiving Yards]]-(30*Table1[[#This Row],[Passing TDs]])-50*(Table1[[#This Row],[Rushing TDs]]+Table1[[#This Row],[Receiving TDs]]+Table1[[#This Row],[Other TD''s]])),IF(C241="Defensive",(25*(16-Table1[[#This Row],[Tackles]]-(8*(Table1[[#This Row],[Other TD''s]]+Table1[[#This Row],[Interceptions]]+Table1[[#This Row],[Fumbles Recovered]])))))))))))</f>
        <v/>
      </c>
      <c r="R241" s="3" t="str">
        <f t="shared" si="8"/>
        <v/>
      </c>
      <c r="S241" s="4">
        <f t="shared" si="7"/>
        <v>1048507</v>
      </c>
      <c r="T2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2" spans="1:20" hidden="1" x14ac:dyDescent="0.25">
      <c r="A242" t="s">
        <v>7</v>
      </c>
      <c r="B242" s="28" t="s">
        <v>46</v>
      </c>
      <c r="C242" t="s">
        <v>20</v>
      </c>
      <c r="D242" t="str">
        <f>_xlfn.XLOOKUP(Table1[[#This Row],[Player]]&amp;Table1[[#This Row],[Week]]&amp;Table1[[#This Row],[Role]],'Google Form Transform'!$A:$A,'Google Form Transform'!E:E,"")</f>
        <v/>
      </c>
      <c r="E242" t="str">
        <f>_xlfn.XLOOKUP(Table1[[#This Row],[Player]]&amp;Table1[[#This Row],[Week]]&amp;Table1[[#This Row],[Role]],'Google Form Transform'!$A:$A,'Google Form Transform'!F:F,"")</f>
        <v/>
      </c>
      <c r="F242" t="str">
        <f>_xlfn.XLOOKUP(Table1[[#This Row],[Player]]&amp;Table1[[#This Row],[Week]]&amp;Table1[[#This Row],[Role]],'Google Form Transform'!$A:$A,'Google Form Transform'!G:G,"")</f>
        <v/>
      </c>
      <c r="G242" s="59">
        <f>SUMIFS(Table2[Stat],Table2[Stat Category],"passing",Table2[Stat Type],"YDS",Table2[Athlete],Table1[[#This Row],[Pick]],Table2[Week],Table1[[#This Row],[Week]])</f>
        <v>0</v>
      </c>
      <c r="H242" s="59">
        <f>SUMIFS(Table2[Stat],Table2[Stat Category],"rushing",Table2[Stat Type],"YDS",Table2[Athlete],Table1[[#This Row],[Pick]],Table2[Week],Table1[[#This Row],[Week]])</f>
        <v>0</v>
      </c>
      <c r="I242" s="59">
        <f>SUMIFS(Table2[Stat],Table2[Stat Category],"receiving",Table2[Stat Type],"YDS",Table2[Athlete],Table1[[#This Row],[Pick]],Table2[Week],Table1[[#This Row],[Week]])</f>
        <v>0</v>
      </c>
      <c r="J242" s="6">
        <f>IF(AND($C242="Rushing", $H242&lt;=0), 0, IF(AND($C242="Passing", $G$3&lt;=0), 0,IF(AND($C242="Receiving",$I242&lt;=0), 0,SUMIFS(Table2[Stat],Table2[Week],Table1[[#This Row],[Week]],Table2[Athlete],Table1[[#This Row],[Pick]],Table2[Stat Category],"passing",Table2[Stat Type],"TD"))))</f>
        <v>0</v>
      </c>
      <c r="K242" s="6">
        <f>IF(AND($C242="Rushing", $H242&lt;=0), 0, IF(AND($C242="Passing", $G$3&lt;=0), 0,IF(AND($C242="Receiving",$I242&lt;=0),0,SUMIFS(Table2[Stat],Table2[Week],Table1[[#This Row],[Week]],Table2[Athlete],Table1[[#This Row],[Pick]],Table2[Stat Category],"rushing",Table2[Stat Type],"TD"))))</f>
        <v>0</v>
      </c>
      <c r="L242" s="6">
        <f>IF(AND($C242="Rushing", $H242&lt;=0), 0, IF(AND($C242="Passing", $G$3&lt;=0), 0,IF(AND($C242="Receiving",$I242&lt;=0),0,SUMIFS(Table2[Stat],Table2[Week],Table1[[#This Row],[Week]],Table2[Athlete],Table1[[#This Row],[Pick]],Table2[Stat Category],"receiving",Table2[Stat Type],"TD"))))</f>
        <v>0</v>
      </c>
      <c r="M2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2" s="61">
        <f>SUMIFS(Data!$J:$J,Data!$A:$A,Info!$B242,Data!$G:$G,Info!$C242,Data!$I:$I,Info!$D242,Data!$H:$H,"TOT")</f>
        <v>0</v>
      </c>
      <c r="O242" s="61">
        <f>IF(C242="Defensive",SUMIFS(Data!$J:$J,Data!$A:$A,Info!$B242,Data!$I:$I,Info!$D242,Data!$H:$H,"INT"),0)</f>
        <v>0</v>
      </c>
      <c r="P242" s="61">
        <f>IF(Table1[[#This Row],[Role]]="Defensive",SUMIFS(Data!$J:$J,Data!$A:$A,Info!$B242,Data!$I:$I,Info!$D242,Data!$H:$H,$P$1),0)</f>
        <v>0</v>
      </c>
      <c r="Q242" s="65" t="str">
        <f>IF(Table1[[#This Row],[Pick]]="","",IF(S242&gt;1,400,IF(G242="","",IF(C242="Passing",(400-Table1[[#This Row],[Passing Yards]]-(30*Table1[[#This Row],[Passing TDs]])-(50*SUM(Table1[[#This Row],[Rushing TDs]:[Other TD''s]]))),IF(C242="Rushing",2*(200-Table1[[#This Row],[Rushing Yards]]-(30*Table1[[#This Row],[Passing TDs]])-50*(Table1[[#This Row],[Rushing TDs]]+Table1[[#This Row],[Receiving TDs]]+Table1[[#This Row],[Other TD''s]])),IF(C242="Receiving",2*(200-Table1[[#This Row],[Receiving Yards]]-(30*Table1[[#This Row],[Passing TDs]])-50*(Table1[[#This Row],[Rushing TDs]]+Table1[[#This Row],[Receiving TDs]]+Table1[[#This Row],[Other TD''s]])),IF(C242="Defensive",(25*(16-Table1[[#This Row],[Tackles]]-(8*(Table1[[#This Row],[Other TD''s]]+Table1[[#This Row],[Interceptions]]+Table1[[#This Row],[Fumbles Recovered]])))))))))))</f>
        <v/>
      </c>
      <c r="R242" s="3" t="str">
        <f t="shared" si="8"/>
        <v/>
      </c>
      <c r="S242" s="4">
        <f t="shared" si="7"/>
        <v>1048507</v>
      </c>
      <c r="T2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3" spans="1:20" hidden="1" x14ac:dyDescent="0.25">
      <c r="A243" t="s">
        <v>2</v>
      </c>
      <c r="B243" s="28" t="s">
        <v>47</v>
      </c>
      <c r="C243" t="s">
        <v>16</v>
      </c>
      <c r="D243" t="str">
        <f>_xlfn.XLOOKUP(Table1[[#This Row],[Player]]&amp;Table1[[#This Row],[Week]]&amp;Table1[[#This Row],[Role]],'Google Form Transform'!$A:$A,'Google Form Transform'!E:E,"")</f>
        <v/>
      </c>
      <c r="E243" t="str">
        <f>_xlfn.XLOOKUP(Table1[[#This Row],[Player]]&amp;Table1[[#This Row],[Week]]&amp;Table1[[#This Row],[Role]],'Google Form Transform'!$A:$A,'Google Form Transform'!F:F,"")</f>
        <v/>
      </c>
      <c r="F243" t="str">
        <f>_xlfn.XLOOKUP(Table1[[#This Row],[Player]]&amp;Table1[[#This Row],[Week]]&amp;Table1[[#This Row],[Role]],'Google Form Transform'!$A:$A,'Google Form Transform'!G:G,"")</f>
        <v/>
      </c>
      <c r="G243" s="59">
        <f>SUMIFS(Table2[Stat],Table2[Stat Category],"passing",Table2[Stat Type],"YDS",Table2[Athlete],Table1[[#This Row],[Pick]],Table2[Week],Table1[[#This Row],[Week]])</f>
        <v>0</v>
      </c>
      <c r="H243" s="59">
        <f>SUMIFS(Table2[Stat],Table2[Stat Category],"rushing",Table2[Stat Type],"YDS",Table2[Athlete],Table1[[#This Row],[Pick]],Table2[Week],Table1[[#This Row],[Week]])</f>
        <v>0</v>
      </c>
      <c r="I243" s="59">
        <f>SUMIFS(Table2[Stat],Table2[Stat Category],"receiving",Table2[Stat Type],"YDS",Table2[Athlete],Table1[[#This Row],[Pick]],Table2[Week],Table1[[#This Row],[Week]])</f>
        <v>0</v>
      </c>
      <c r="J243" s="6">
        <f>IF(AND($C243="Rushing", $H243&lt;=0), 0, IF(AND($C243="Passing", $G$3&lt;=0), 0,IF(AND($C243="Receiving",$I243&lt;=0), 0,SUMIFS(Table2[Stat],Table2[Week],Table1[[#This Row],[Week]],Table2[Athlete],Table1[[#This Row],[Pick]],Table2[Stat Category],"passing",Table2[Stat Type],"TD"))))</f>
        <v>0</v>
      </c>
      <c r="K243" s="6">
        <f>IF(AND($C243="Rushing", $H243&lt;=0), 0, IF(AND($C243="Passing", $G$3&lt;=0), 0,IF(AND($C243="Receiving",$I243&lt;=0),0,SUMIFS(Table2[Stat],Table2[Week],Table1[[#This Row],[Week]],Table2[Athlete],Table1[[#This Row],[Pick]],Table2[Stat Category],"rushing",Table2[Stat Type],"TD"))))</f>
        <v>0</v>
      </c>
      <c r="L243" s="6">
        <f>IF(AND($C243="Rushing", $H243&lt;=0), 0, IF(AND($C243="Passing", $G$3&lt;=0), 0,IF(AND($C243="Receiving",$I243&lt;=0),0,SUMIFS(Table2[Stat],Table2[Week],Table1[[#This Row],[Week]],Table2[Athlete],Table1[[#This Row],[Pick]],Table2[Stat Category],"receiving",Table2[Stat Type],"TD"))))</f>
        <v>0</v>
      </c>
      <c r="M2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3" s="61">
        <f>SUMIFS(Data!$J:$J,Data!$A:$A,Info!$B243,Data!$G:$G,Info!$C243,Data!$I:$I,Info!$D243,Data!$H:$H,"TOT")</f>
        <v>0</v>
      </c>
      <c r="O243" s="61">
        <f>IF(C243="Defensive",SUMIFS(Data!$J:$J,Data!$A:$A,Info!$B243,Data!$I:$I,Info!$D243,Data!$H:$H,"INT"),0)</f>
        <v>0</v>
      </c>
      <c r="P243" s="61">
        <f>IF(Table1[[#This Row],[Role]]="Defensive",SUMIFS(Data!$J:$J,Data!$A:$A,Info!$B243,Data!$I:$I,Info!$D243,Data!$H:$H,$P$1),0)</f>
        <v>0</v>
      </c>
      <c r="Q243" s="65" t="str">
        <f>IF(Table1[[#This Row],[Pick]]="","",IF(S243&gt;1,400,IF(G243="","",IF(C243="Passing",(400-Table1[[#This Row],[Passing Yards]]-(30*Table1[[#This Row],[Passing TDs]])-(50*SUM(Table1[[#This Row],[Rushing TDs]:[Other TD''s]]))),IF(C243="Rushing",2*(200-Table1[[#This Row],[Rushing Yards]]-(30*Table1[[#This Row],[Passing TDs]])-50*(Table1[[#This Row],[Rushing TDs]]+Table1[[#This Row],[Receiving TDs]]+Table1[[#This Row],[Other TD''s]])),IF(C243="Receiving",2*(200-Table1[[#This Row],[Receiving Yards]]-(30*Table1[[#This Row],[Passing TDs]])-50*(Table1[[#This Row],[Rushing TDs]]+Table1[[#This Row],[Receiving TDs]]+Table1[[#This Row],[Other TD''s]])),IF(C243="Defensive",(25*(16-Table1[[#This Row],[Tackles]]-(8*(Table1[[#This Row],[Other TD''s]]+Table1[[#This Row],[Interceptions]]+Table1[[#This Row],[Fumbles Recovered]])))))))))))</f>
        <v/>
      </c>
      <c r="R243" s="3" t="str">
        <f t="shared" si="8"/>
        <v/>
      </c>
      <c r="S243" s="4">
        <f t="shared" si="7"/>
        <v>1048507</v>
      </c>
      <c r="T2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4" spans="1:20" hidden="1" x14ac:dyDescent="0.25">
      <c r="A244" t="s">
        <v>2</v>
      </c>
      <c r="B244" s="28" t="s">
        <v>47</v>
      </c>
      <c r="C244" t="s">
        <v>6</v>
      </c>
      <c r="D244" t="str">
        <f>_xlfn.XLOOKUP(Table1[[#This Row],[Player]]&amp;Table1[[#This Row],[Week]]&amp;Table1[[#This Row],[Role]],'Google Form Transform'!$A:$A,'Google Form Transform'!E:E,"")</f>
        <v/>
      </c>
      <c r="E244" t="str">
        <f>_xlfn.XLOOKUP(Table1[[#This Row],[Player]]&amp;Table1[[#This Row],[Week]]&amp;Table1[[#This Row],[Role]],'Google Form Transform'!$A:$A,'Google Form Transform'!F:F,"")</f>
        <v/>
      </c>
      <c r="F244" t="str">
        <f>_xlfn.XLOOKUP(Table1[[#This Row],[Player]]&amp;Table1[[#This Row],[Week]]&amp;Table1[[#This Row],[Role]],'Google Form Transform'!$A:$A,'Google Form Transform'!G:G,"")</f>
        <v/>
      </c>
      <c r="G244" s="59">
        <f>SUMIFS(Table2[Stat],Table2[Stat Category],"passing",Table2[Stat Type],"YDS",Table2[Athlete],Table1[[#This Row],[Pick]],Table2[Week],Table1[[#This Row],[Week]])</f>
        <v>0</v>
      </c>
      <c r="H244" s="59">
        <f>SUMIFS(Table2[Stat],Table2[Stat Category],"rushing",Table2[Stat Type],"YDS",Table2[Athlete],Table1[[#This Row],[Pick]],Table2[Week],Table1[[#This Row],[Week]])</f>
        <v>0</v>
      </c>
      <c r="I244" s="59">
        <f>SUMIFS(Table2[Stat],Table2[Stat Category],"receiving",Table2[Stat Type],"YDS",Table2[Athlete],Table1[[#This Row],[Pick]],Table2[Week],Table1[[#This Row],[Week]])</f>
        <v>0</v>
      </c>
      <c r="J244" s="6">
        <f>IF(AND($C244="Rushing", $H244&lt;=0), 0, IF(AND($C244="Passing", $G$3&lt;=0), 0,IF(AND($C244="Receiving",$I244&lt;=0), 0,SUMIFS(Table2[Stat],Table2[Week],Table1[[#This Row],[Week]],Table2[Athlete],Table1[[#This Row],[Pick]],Table2[Stat Category],"passing",Table2[Stat Type],"TD"))))</f>
        <v>0</v>
      </c>
      <c r="K244" s="6">
        <f>IF(AND($C244="Rushing", $H244&lt;=0), 0, IF(AND($C244="Passing", $G$3&lt;=0), 0,IF(AND($C244="Receiving",$I244&lt;=0),0,SUMIFS(Table2[Stat],Table2[Week],Table1[[#This Row],[Week]],Table2[Athlete],Table1[[#This Row],[Pick]],Table2[Stat Category],"rushing",Table2[Stat Type],"TD"))))</f>
        <v>0</v>
      </c>
      <c r="L244" s="6">
        <f>IF(AND($C244="Rushing", $H244&lt;=0), 0, IF(AND($C244="Passing", $G$3&lt;=0), 0,IF(AND($C244="Receiving",$I244&lt;=0),0,SUMIFS(Table2[Stat],Table2[Week],Table1[[#This Row],[Week]],Table2[Athlete],Table1[[#This Row],[Pick]],Table2[Stat Category],"receiving",Table2[Stat Type],"TD"))))</f>
        <v>0</v>
      </c>
      <c r="M2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4" s="61">
        <f>SUMIFS(Data!$J:$J,Data!$A:$A,Info!$B244,Data!$G:$G,Info!$C244,Data!$I:$I,Info!$D244,Data!$H:$H,"TOT")</f>
        <v>0</v>
      </c>
      <c r="O244" s="61">
        <f>IF(C244="Defensive",SUMIFS(Data!$J:$J,Data!$A:$A,Info!$B244,Data!$I:$I,Info!$D244,Data!$H:$H,"INT"),0)</f>
        <v>0</v>
      </c>
      <c r="P244" s="61">
        <f>IF(Table1[[#This Row],[Role]]="Defensive",SUMIFS(Data!$J:$J,Data!$A:$A,Info!$B244,Data!$I:$I,Info!$D244,Data!$H:$H,$P$1),0)</f>
        <v>0</v>
      </c>
      <c r="Q244" s="65" t="str">
        <f>IF(Table1[[#This Row],[Pick]]="","",IF(S244&gt;1,400,IF(G244="","",IF(C244="Passing",(400-Table1[[#This Row],[Passing Yards]]-(30*Table1[[#This Row],[Passing TDs]])-(50*SUM(Table1[[#This Row],[Rushing TDs]:[Other TD''s]]))),IF(C244="Rushing",2*(200-Table1[[#This Row],[Rushing Yards]]-(30*Table1[[#This Row],[Passing TDs]])-50*(Table1[[#This Row],[Rushing TDs]]+Table1[[#This Row],[Receiving TDs]]+Table1[[#This Row],[Other TD''s]])),IF(C244="Receiving",2*(200-Table1[[#This Row],[Receiving Yards]]-(30*Table1[[#This Row],[Passing TDs]])-50*(Table1[[#This Row],[Rushing TDs]]+Table1[[#This Row],[Receiving TDs]]+Table1[[#This Row],[Other TD''s]])),IF(C244="Defensive",(25*(16-Table1[[#This Row],[Tackles]]-(8*(Table1[[#This Row],[Other TD''s]]+Table1[[#This Row],[Interceptions]]+Table1[[#This Row],[Fumbles Recovered]])))))))))))</f>
        <v/>
      </c>
      <c r="R244" s="3" t="str">
        <f t="shared" si="8"/>
        <v/>
      </c>
      <c r="S244" s="4">
        <f t="shared" si="7"/>
        <v>1048507</v>
      </c>
      <c r="T2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5" spans="1:20" hidden="1" x14ac:dyDescent="0.25">
      <c r="A245" t="s">
        <v>2</v>
      </c>
      <c r="B245" s="28" t="s">
        <v>47</v>
      </c>
      <c r="C245" t="s">
        <v>17</v>
      </c>
      <c r="D245" t="str">
        <f>_xlfn.XLOOKUP(Table1[[#This Row],[Player]]&amp;Table1[[#This Row],[Week]]&amp;Table1[[#This Row],[Role]],'Google Form Transform'!$A:$A,'Google Form Transform'!E:E,"")</f>
        <v/>
      </c>
      <c r="E245" t="str">
        <f>_xlfn.XLOOKUP(Table1[[#This Row],[Player]]&amp;Table1[[#This Row],[Week]]&amp;Table1[[#This Row],[Role]],'Google Form Transform'!$A:$A,'Google Form Transform'!F:F,"")</f>
        <v/>
      </c>
      <c r="F245" t="str">
        <f>_xlfn.XLOOKUP(Table1[[#This Row],[Player]]&amp;Table1[[#This Row],[Week]]&amp;Table1[[#This Row],[Role]],'Google Form Transform'!$A:$A,'Google Form Transform'!G:G,"")</f>
        <v/>
      </c>
      <c r="G245" s="59">
        <f>SUMIFS(Table2[Stat],Table2[Stat Category],"passing",Table2[Stat Type],"YDS",Table2[Athlete],Table1[[#This Row],[Pick]],Table2[Week],Table1[[#This Row],[Week]])</f>
        <v>0</v>
      </c>
      <c r="H245" s="59">
        <f>SUMIFS(Table2[Stat],Table2[Stat Category],"rushing",Table2[Stat Type],"YDS",Table2[Athlete],Table1[[#This Row],[Pick]],Table2[Week],Table1[[#This Row],[Week]])</f>
        <v>0</v>
      </c>
      <c r="I245" s="59">
        <f>SUMIFS(Table2[Stat],Table2[Stat Category],"receiving",Table2[Stat Type],"YDS",Table2[Athlete],Table1[[#This Row],[Pick]],Table2[Week],Table1[[#This Row],[Week]])</f>
        <v>0</v>
      </c>
      <c r="J245" s="6">
        <f>IF(AND($C245="Rushing", $H245&lt;=0), 0, IF(AND($C245="Passing", $G$3&lt;=0), 0,IF(AND($C245="Receiving",$I245&lt;=0), 0,SUMIFS(Table2[Stat],Table2[Week],Table1[[#This Row],[Week]],Table2[Athlete],Table1[[#This Row],[Pick]],Table2[Stat Category],"passing",Table2[Stat Type],"TD"))))</f>
        <v>0</v>
      </c>
      <c r="K245" s="6">
        <f>IF(AND($C245="Rushing", $H245&lt;=0), 0, IF(AND($C245="Passing", $G$3&lt;=0), 0,IF(AND($C245="Receiving",$I245&lt;=0),0,SUMIFS(Table2[Stat],Table2[Week],Table1[[#This Row],[Week]],Table2[Athlete],Table1[[#This Row],[Pick]],Table2[Stat Category],"rushing",Table2[Stat Type],"TD"))))</f>
        <v>0</v>
      </c>
      <c r="L245" s="6">
        <f>IF(AND($C245="Rushing", $H245&lt;=0), 0, IF(AND($C245="Passing", $G$3&lt;=0), 0,IF(AND($C245="Receiving",$I245&lt;=0),0,SUMIFS(Table2[Stat],Table2[Week],Table1[[#This Row],[Week]],Table2[Athlete],Table1[[#This Row],[Pick]],Table2[Stat Category],"receiving",Table2[Stat Type],"TD"))))</f>
        <v>0</v>
      </c>
      <c r="M2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5" s="61">
        <f>SUMIFS(Data!$J:$J,Data!$A:$A,Info!$B245,Data!$G:$G,Info!$C245,Data!$I:$I,Info!$D245,Data!$H:$H,"TOT")</f>
        <v>0</v>
      </c>
      <c r="O245" s="61">
        <f>IF(C245="Defensive",SUMIFS(Data!$J:$J,Data!$A:$A,Info!$B245,Data!$I:$I,Info!$D245,Data!$H:$H,"INT"),0)</f>
        <v>0</v>
      </c>
      <c r="P245" s="61">
        <f>IF(Table1[[#This Row],[Role]]="Defensive",SUMIFS(Data!$J:$J,Data!$A:$A,Info!$B245,Data!$I:$I,Info!$D245,Data!$H:$H,$P$1),0)</f>
        <v>0</v>
      </c>
      <c r="Q245" s="65" t="str">
        <f>IF(Table1[[#This Row],[Pick]]="","",IF(S245&gt;1,400,IF(G245="","",IF(C245="Passing",(400-Table1[[#This Row],[Passing Yards]]-(30*Table1[[#This Row],[Passing TDs]])-(50*SUM(Table1[[#This Row],[Rushing TDs]:[Other TD''s]]))),IF(C245="Rushing",2*(200-Table1[[#This Row],[Rushing Yards]]-(30*Table1[[#This Row],[Passing TDs]])-50*(Table1[[#This Row],[Rushing TDs]]+Table1[[#This Row],[Receiving TDs]]+Table1[[#This Row],[Other TD''s]])),IF(C245="Receiving",2*(200-Table1[[#This Row],[Receiving Yards]]-(30*Table1[[#This Row],[Passing TDs]])-50*(Table1[[#This Row],[Rushing TDs]]+Table1[[#This Row],[Receiving TDs]]+Table1[[#This Row],[Other TD''s]])),IF(C245="Defensive",(25*(16-Table1[[#This Row],[Tackles]]-(8*(Table1[[#This Row],[Other TD''s]]+Table1[[#This Row],[Interceptions]]+Table1[[#This Row],[Fumbles Recovered]])))))))))))</f>
        <v/>
      </c>
      <c r="R245" s="3" t="str">
        <f t="shared" si="8"/>
        <v/>
      </c>
      <c r="S245" s="4">
        <f t="shared" si="7"/>
        <v>1048507</v>
      </c>
      <c r="T2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6" spans="1:20" hidden="1" x14ac:dyDescent="0.25">
      <c r="A246" t="s">
        <v>2</v>
      </c>
      <c r="B246" s="28" t="s">
        <v>47</v>
      </c>
      <c r="C246" t="s">
        <v>20</v>
      </c>
      <c r="D246" t="str">
        <f>_xlfn.XLOOKUP(Table1[[#This Row],[Player]]&amp;Table1[[#This Row],[Week]]&amp;Table1[[#This Row],[Role]],'Google Form Transform'!$A:$A,'Google Form Transform'!E:E,"")</f>
        <v/>
      </c>
      <c r="E246" t="str">
        <f>_xlfn.XLOOKUP(Table1[[#This Row],[Player]]&amp;Table1[[#This Row],[Week]]&amp;Table1[[#This Row],[Role]],'Google Form Transform'!$A:$A,'Google Form Transform'!F:F,"")</f>
        <v/>
      </c>
      <c r="F246" t="str">
        <f>_xlfn.XLOOKUP(Table1[[#This Row],[Player]]&amp;Table1[[#This Row],[Week]]&amp;Table1[[#This Row],[Role]],'Google Form Transform'!$A:$A,'Google Form Transform'!G:G,"")</f>
        <v/>
      </c>
      <c r="G246" s="59">
        <f>SUMIFS(Table2[Stat],Table2[Stat Category],"passing",Table2[Stat Type],"YDS",Table2[Athlete],Table1[[#This Row],[Pick]],Table2[Week],Table1[[#This Row],[Week]])</f>
        <v>0</v>
      </c>
      <c r="H246" s="59">
        <f>SUMIFS(Table2[Stat],Table2[Stat Category],"rushing",Table2[Stat Type],"YDS",Table2[Athlete],Table1[[#This Row],[Pick]],Table2[Week],Table1[[#This Row],[Week]])</f>
        <v>0</v>
      </c>
      <c r="I246" s="59">
        <f>SUMIFS(Table2[Stat],Table2[Stat Category],"receiving",Table2[Stat Type],"YDS",Table2[Athlete],Table1[[#This Row],[Pick]],Table2[Week],Table1[[#This Row],[Week]])</f>
        <v>0</v>
      </c>
      <c r="J246" s="6">
        <f>IF(AND($C246="Rushing", $H246&lt;=0), 0, IF(AND($C246="Passing", $G$3&lt;=0), 0,IF(AND($C246="Receiving",$I246&lt;=0), 0,SUMIFS(Table2[Stat],Table2[Week],Table1[[#This Row],[Week]],Table2[Athlete],Table1[[#This Row],[Pick]],Table2[Stat Category],"passing",Table2[Stat Type],"TD"))))</f>
        <v>0</v>
      </c>
      <c r="K246" s="6">
        <f>IF(AND($C246="Rushing", $H246&lt;=0), 0, IF(AND($C246="Passing", $G$3&lt;=0), 0,IF(AND($C246="Receiving",$I246&lt;=0),0,SUMIFS(Table2[Stat],Table2[Week],Table1[[#This Row],[Week]],Table2[Athlete],Table1[[#This Row],[Pick]],Table2[Stat Category],"rushing",Table2[Stat Type],"TD"))))</f>
        <v>0</v>
      </c>
      <c r="L246" s="6">
        <f>IF(AND($C246="Rushing", $H246&lt;=0), 0, IF(AND($C246="Passing", $G$3&lt;=0), 0,IF(AND($C246="Receiving",$I246&lt;=0),0,SUMIFS(Table2[Stat],Table2[Week],Table1[[#This Row],[Week]],Table2[Athlete],Table1[[#This Row],[Pick]],Table2[Stat Category],"receiving",Table2[Stat Type],"TD"))))</f>
        <v>0</v>
      </c>
      <c r="M2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6" s="61">
        <f>SUMIFS(Data!$J:$J,Data!$A:$A,Info!$B246,Data!$G:$G,Info!$C246,Data!$I:$I,Info!$D246,Data!$H:$H,"TOT")</f>
        <v>0</v>
      </c>
      <c r="O246" s="61">
        <f>IF(C246="Defensive",SUMIFS(Data!$J:$J,Data!$A:$A,Info!$B246,Data!$I:$I,Info!$D246,Data!$H:$H,"INT"),0)</f>
        <v>0</v>
      </c>
      <c r="P246" s="61">
        <f>IF(Table1[[#This Row],[Role]]="Defensive",SUMIFS(Data!$J:$J,Data!$A:$A,Info!$B246,Data!$I:$I,Info!$D246,Data!$H:$H,$P$1),0)</f>
        <v>0</v>
      </c>
      <c r="Q246" s="65" t="str">
        <f>IF(Table1[[#This Row],[Pick]]="","",IF(S246&gt;1,400,IF(G246="","",IF(C246="Passing",(400-Table1[[#This Row],[Passing Yards]]-(30*Table1[[#This Row],[Passing TDs]])-(50*SUM(Table1[[#This Row],[Rushing TDs]:[Other TD''s]]))),IF(C246="Rushing",2*(200-Table1[[#This Row],[Rushing Yards]]-(30*Table1[[#This Row],[Passing TDs]])-50*(Table1[[#This Row],[Rushing TDs]]+Table1[[#This Row],[Receiving TDs]]+Table1[[#This Row],[Other TD''s]])),IF(C246="Receiving",2*(200-Table1[[#This Row],[Receiving Yards]]-(30*Table1[[#This Row],[Passing TDs]])-50*(Table1[[#This Row],[Rushing TDs]]+Table1[[#This Row],[Receiving TDs]]+Table1[[#This Row],[Other TD''s]])),IF(C246="Defensive",(25*(16-Table1[[#This Row],[Tackles]]-(8*(Table1[[#This Row],[Other TD''s]]+Table1[[#This Row],[Interceptions]]+Table1[[#This Row],[Fumbles Recovered]])))))))))))</f>
        <v/>
      </c>
      <c r="R246" s="3" t="str">
        <f t="shared" si="8"/>
        <v/>
      </c>
      <c r="S246" s="4">
        <f t="shared" si="7"/>
        <v>1048507</v>
      </c>
      <c r="T2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7" spans="1:20" hidden="1" x14ac:dyDescent="0.25">
      <c r="A247" t="s">
        <v>4</v>
      </c>
      <c r="B247" s="28" t="s">
        <v>47</v>
      </c>
      <c r="C247" t="s">
        <v>16</v>
      </c>
      <c r="D247" t="str">
        <f>_xlfn.XLOOKUP(Table1[[#This Row],[Player]]&amp;Table1[[#This Row],[Week]]&amp;Table1[[#This Row],[Role]],'Google Form Transform'!$A:$A,'Google Form Transform'!E:E,"")</f>
        <v/>
      </c>
      <c r="E247" t="str">
        <f>_xlfn.XLOOKUP(Table1[[#This Row],[Player]]&amp;Table1[[#This Row],[Week]]&amp;Table1[[#This Row],[Role]],'Google Form Transform'!$A:$A,'Google Form Transform'!F:F,"")</f>
        <v/>
      </c>
      <c r="F247" t="str">
        <f>_xlfn.XLOOKUP(Table1[[#This Row],[Player]]&amp;Table1[[#This Row],[Week]]&amp;Table1[[#This Row],[Role]],'Google Form Transform'!$A:$A,'Google Form Transform'!G:G,"")</f>
        <v/>
      </c>
      <c r="G247" s="59">
        <f>SUMIFS(Table2[Stat],Table2[Stat Category],"passing",Table2[Stat Type],"YDS",Table2[Athlete],Table1[[#This Row],[Pick]],Table2[Week],Table1[[#This Row],[Week]])</f>
        <v>0</v>
      </c>
      <c r="H247" s="59">
        <f>SUMIFS(Table2[Stat],Table2[Stat Category],"rushing",Table2[Stat Type],"YDS",Table2[Athlete],Table1[[#This Row],[Pick]],Table2[Week],Table1[[#This Row],[Week]])</f>
        <v>0</v>
      </c>
      <c r="I247" s="59">
        <f>SUMIFS(Table2[Stat],Table2[Stat Category],"receiving",Table2[Stat Type],"YDS",Table2[Athlete],Table1[[#This Row],[Pick]],Table2[Week],Table1[[#This Row],[Week]])</f>
        <v>0</v>
      </c>
      <c r="J247" s="6">
        <f>IF(AND($C247="Rushing", $H247&lt;=0), 0, IF(AND($C247="Passing", $G$3&lt;=0), 0,IF(AND($C247="Receiving",$I247&lt;=0), 0,SUMIFS(Table2[Stat],Table2[Week],Table1[[#This Row],[Week]],Table2[Athlete],Table1[[#This Row],[Pick]],Table2[Stat Category],"passing",Table2[Stat Type],"TD"))))</f>
        <v>0</v>
      </c>
      <c r="K247" s="6">
        <f>IF(AND($C247="Rushing", $H247&lt;=0), 0, IF(AND($C247="Passing", $G$3&lt;=0), 0,IF(AND($C247="Receiving",$I247&lt;=0),0,SUMIFS(Table2[Stat],Table2[Week],Table1[[#This Row],[Week]],Table2[Athlete],Table1[[#This Row],[Pick]],Table2[Stat Category],"rushing",Table2[Stat Type],"TD"))))</f>
        <v>0</v>
      </c>
      <c r="L247" s="6">
        <f>IF(AND($C247="Rushing", $H247&lt;=0), 0, IF(AND($C247="Passing", $G$3&lt;=0), 0,IF(AND($C247="Receiving",$I247&lt;=0),0,SUMIFS(Table2[Stat],Table2[Week],Table1[[#This Row],[Week]],Table2[Athlete],Table1[[#This Row],[Pick]],Table2[Stat Category],"receiving",Table2[Stat Type],"TD"))))</f>
        <v>0</v>
      </c>
      <c r="M2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7" s="61">
        <f>SUMIFS(Data!$J:$J,Data!$A:$A,Info!$B247,Data!$G:$G,Info!$C247,Data!$I:$I,Info!$D247,Data!$H:$H,"TOT")</f>
        <v>0</v>
      </c>
      <c r="O247" s="61">
        <f>IF(C247="Defensive",SUMIFS(Data!$J:$J,Data!$A:$A,Info!$B247,Data!$I:$I,Info!$D247,Data!$H:$H,"INT"),0)</f>
        <v>0</v>
      </c>
      <c r="P247" s="61">
        <f>IF(Table1[[#This Row],[Role]]="Defensive",SUMIFS(Data!$J:$J,Data!$A:$A,Info!$B247,Data!$I:$I,Info!$D247,Data!$H:$H,$P$1),0)</f>
        <v>0</v>
      </c>
      <c r="Q247" s="65" t="str">
        <f>IF(Table1[[#This Row],[Pick]]="","",IF(S247&gt;1,400,IF(G247="","",IF(C247="Passing",(400-Table1[[#This Row],[Passing Yards]]-(30*Table1[[#This Row],[Passing TDs]])-(50*SUM(Table1[[#This Row],[Rushing TDs]:[Other TD''s]]))),IF(C247="Rushing",2*(200-Table1[[#This Row],[Rushing Yards]]-(30*Table1[[#This Row],[Passing TDs]])-50*(Table1[[#This Row],[Rushing TDs]]+Table1[[#This Row],[Receiving TDs]]+Table1[[#This Row],[Other TD''s]])),IF(C247="Receiving",2*(200-Table1[[#This Row],[Receiving Yards]]-(30*Table1[[#This Row],[Passing TDs]])-50*(Table1[[#This Row],[Rushing TDs]]+Table1[[#This Row],[Receiving TDs]]+Table1[[#This Row],[Other TD''s]])),IF(C247="Defensive",(25*(16-Table1[[#This Row],[Tackles]]-(8*(Table1[[#This Row],[Other TD''s]]+Table1[[#This Row],[Interceptions]]+Table1[[#This Row],[Fumbles Recovered]])))))))))))</f>
        <v/>
      </c>
      <c r="R247" s="3" t="str">
        <f t="shared" si="8"/>
        <v/>
      </c>
      <c r="S247" s="4">
        <f t="shared" si="7"/>
        <v>1048507</v>
      </c>
      <c r="T2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8" spans="1:20" hidden="1" x14ac:dyDescent="0.25">
      <c r="A248" t="s">
        <v>4</v>
      </c>
      <c r="B248" s="28" t="s">
        <v>47</v>
      </c>
      <c r="C248" t="s">
        <v>6</v>
      </c>
      <c r="D248" t="str">
        <f>_xlfn.XLOOKUP(Table1[[#This Row],[Player]]&amp;Table1[[#This Row],[Week]]&amp;Table1[[#This Row],[Role]],'Google Form Transform'!$A:$A,'Google Form Transform'!E:E,"")</f>
        <v/>
      </c>
      <c r="E248" t="str">
        <f>_xlfn.XLOOKUP(Table1[[#This Row],[Player]]&amp;Table1[[#This Row],[Week]]&amp;Table1[[#This Row],[Role]],'Google Form Transform'!$A:$A,'Google Form Transform'!F:F,"")</f>
        <v/>
      </c>
      <c r="F248" t="str">
        <f>_xlfn.XLOOKUP(Table1[[#This Row],[Player]]&amp;Table1[[#This Row],[Week]]&amp;Table1[[#This Row],[Role]],'Google Form Transform'!$A:$A,'Google Form Transform'!G:G,"")</f>
        <v/>
      </c>
      <c r="G248" s="59">
        <f>SUMIFS(Table2[Stat],Table2[Stat Category],"passing",Table2[Stat Type],"YDS",Table2[Athlete],Table1[[#This Row],[Pick]],Table2[Week],Table1[[#This Row],[Week]])</f>
        <v>0</v>
      </c>
      <c r="H248" s="59">
        <f>SUMIFS(Table2[Stat],Table2[Stat Category],"rushing",Table2[Stat Type],"YDS",Table2[Athlete],Table1[[#This Row],[Pick]],Table2[Week],Table1[[#This Row],[Week]])</f>
        <v>0</v>
      </c>
      <c r="I248" s="59">
        <f>SUMIFS(Table2[Stat],Table2[Stat Category],"receiving",Table2[Stat Type],"YDS",Table2[Athlete],Table1[[#This Row],[Pick]],Table2[Week],Table1[[#This Row],[Week]])</f>
        <v>0</v>
      </c>
      <c r="J248" s="6">
        <f>IF(AND($C248="Rushing", $H248&lt;=0), 0, IF(AND($C248="Passing", $G$3&lt;=0), 0,IF(AND($C248="Receiving",$I248&lt;=0), 0,SUMIFS(Table2[Stat],Table2[Week],Table1[[#This Row],[Week]],Table2[Athlete],Table1[[#This Row],[Pick]],Table2[Stat Category],"passing",Table2[Stat Type],"TD"))))</f>
        <v>0</v>
      </c>
      <c r="K248" s="6">
        <f>IF(AND($C248="Rushing", $H248&lt;=0), 0, IF(AND($C248="Passing", $G$3&lt;=0), 0,IF(AND($C248="Receiving",$I248&lt;=0),0,SUMIFS(Table2[Stat],Table2[Week],Table1[[#This Row],[Week]],Table2[Athlete],Table1[[#This Row],[Pick]],Table2[Stat Category],"rushing",Table2[Stat Type],"TD"))))</f>
        <v>0</v>
      </c>
      <c r="L248" s="6">
        <f>IF(AND($C248="Rushing", $H248&lt;=0), 0, IF(AND($C248="Passing", $G$3&lt;=0), 0,IF(AND($C248="Receiving",$I248&lt;=0),0,SUMIFS(Table2[Stat],Table2[Week],Table1[[#This Row],[Week]],Table2[Athlete],Table1[[#This Row],[Pick]],Table2[Stat Category],"receiving",Table2[Stat Type],"TD"))))</f>
        <v>0</v>
      </c>
      <c r="M2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8" s="61">
        <f>SUMIFS(Data!$J:$J,Data!$A:$A,Info!$B248,Data!$G:$G,Info!$C248,Data!$I:$I,Info!$D248,Data!$H:$H,"TOT")</f>
        <v>0</v>
      </c>
      <c r="O248" s="61">
        <f>IF(C248="Defensive",SUMIFS(Data!$J:$J,Data!$A:$A,Info!$B248,Data!$I:$I,Info!$D248,Data!$H:$H,"INT"),0)</f>
        <v>0</v>
      </c>
      <c r="P248" s="61">
        <f>IF(Table1[[#This Row],[Role]]="Defensive",SUMIFS(Data!$J:$J,Data!$A:$A,Info!$B248,Data!$I:$I,Info!$D248,Data!$H:$H,$P$1),0)</f>
        <v>0</v>
      </c>
      <c r="Q248" s="65" t="str">
        <f>IF(Table1[[#This Row],[Pick]]="","",IF(S248&gt;1,400,IF(G248="","",IF(C248="Passing",(400-Table1[[#This Row],[Passing Yards]]-(30*Table1[[#This Row],[Passing TDs]])-(50*SUM(Table1[[#This Row],[Rushing TDs]:[Other TD''s]]))),IF(C248="Rushing",2*(200-Table1[[#This Row],[Rushing Yards]]-(30*Table1[[#This Row],[Passing TDs]])-50*(Table1[[#This Row],[Rushing TDs]]+Table1[[#This Row],[Receiving TDs]]+Table1[[#This Row],[Other TD''s]])),IF(C248="Receiving",2*(200-Table1[[#This Row],[Receiving Yards]]-(30*Table1[[#This Row],[Passing TDs]])-50*(Table1[[#This Row],[Rushing TDs]]+Table1[[#This Row],[Receiving TDs]]+Table1[[#This Row],[Other TD''s]])),IF(C248="Defensive",(25*(16-Table1[[#This Row],[Tackles]]-(8*(Table1[[#This Row],[Other TD''s]]+Table1[[#This Row],[Interceptions]]+Table1[[#This Row],[Fumbles Recovered]])))))))))))</f>
        <v/>
      </c>
      <c r="R248" s="3" t="str">
        <f t="shared" si="8"/>
        <v/>
      </c>
      <c r="S248" s="4">
        <f t="shared" si="7"/>
        <v>1048507</v>
      </c>
      <c r="T2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9" spans="1:20" hidden="1" x14ac:dyDescent="0.25">
      <c r="A249" t="s">
        <v>4</v>
      </c>
      <c r="B249" s="28" t="s">
        <v>47</v>
      </c>
      <c r="C249" t="s">
        <v>17</v>
      </c>
      <c r="D249" t="str">
        <f>_xlfn.XLOOKUP(Table1[[#This Row],[Player]]&amp;Table1[[#This Row],[Week]]&amp;Table1[[#This Row],[Role]],'Google Form Transform'!$A:$A,'Google Form Transform'!E:E,"")</f>
        <v/>
      </c>
      <c r="E249" t="str">
        <f>_xlfn.XLOOKUP(Table1[[#This Row],[Player]]&amp;Table1[[#This Row],[Week]]&amp;Table1[[#This Row],[Role]],'Google Form Transform'!$A:$A,'Google Form Transform'!F:F,"")</f>
        <v/>
      </c>
      <c r="F249" t="str">
        <f>_xlfn.XLOOKUP(Table1[[#This Row],[Player]]&amp;Table1[[#This Row],[Week]]&amp;Table1[[#This Row],[Role]],'Google Form Transform'!$A:$A,'Google Form Transform'!G:G,"")</f>
        <v/>
      </c>
      <c r="G249" s="59">
        <f>SUMIFS(Table2[Stat],Table2[Stat Category],"passing",Table2[Stat Type],"YDS",Table2[Athlete],Table1[[#This Row],[Pick]],Table2[Week],Table1[[#This Row],[Week]])</f>
        <v>0</v>
      </c>
      <c r="H249" s="59">
        <f>SUMIFS(Table2[Stat],Table2[Stat Category],"rushing",Table2[Stat Type],"YDS",Table2[Athlete],Table1[[#This Row],[Pick]],Table2[Week],Table1[[#This Row],[Week]])</f>
        <v>0</v>
      </c>
      <c r="I249" s="59">
        <f>SUMIFS(Table2[Stat],Table2[Stat Category],"receiving",Table2[Stat Type],"YDS",Table2[Athlete],Table1[[#This Row],[Pick]],Table2[Week],Table1[[#This Row],[Week]])</f>
        <v>0</v>
      </c>
      <c r="J249" s="6">
        <f>IF(AND($C249="Rushing", $H249&lt;=0), 0, IF(AND($C249="Passing", $G$3&lt;=0), 0,IF(AND($C249="Receiving",$I249&lt;=0), 0,SUMIFS(Table2[Stat],Table2[Week],Table1[[#This Row],[Week]],Table2[Athlete],Table1[[#This Row],[Pick]],Table2[Stat Category],"passing",Table2[Stat Type],"TD"))))</f>
        <v>0</v>
      </c>
      <c r="K249" s="6">
        <f>IF(AND($C249="Rushing", $H249&lt;=0), 0, IF(AND($C249="Passing", $G$3&lt;=0), 0,IF(AND($C249="Receiving",$I249&lt;=0),0,SUMIFS(Table2[Stat],Table2[Week],Table1[[#This Row],[Week]],Table2[Athlete],Table1[[#This Row],[Pick]],Table2[Stat Category],"rushing",Table2[Stat Type],"TD"))))</f>
        <v>0</v>
      </c>
      <c r="L249" s="6">
        <f>IF(AND($C249="Rushing", $H249&lt;=0), 0, IF(AND($C249="Passing", $G$3&lt;=0), 0,IF(AND($C249="Receiving",$I249&lt;=0),0,SUMIFS(Table2[Stat],Table2[Week],Table1[[#This Row],[Week]],Table2[Athlete],Table1[[#This Row],[Pick]],Table2[Stat Category],"receiving",Table2[Stat Type],"TD"))))</f>
        <v>0</v>
      </c>
      <c r="M2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9" s="61">
        <f>SUMIFS(Data!$J:$J,Data!$A:$A,Info!$B249,Data!$G:$G,Info!$C249,Data!$I:$I,Info!$D249,Data!$H:$H,"TOT")</f>
        <v>0</v>
      </c>
      <c r="O249" s="61">
        <f>IF(C249="Defensive",SUMIFS(Data!$J:$J,Data!$A:$A,Info!$B249,Data!$I:$I,Info!$D249,Data!$H:$H,"INT"),0)</f>
        <v>0</v>
      </c>
      <c r="P249" s="61">
        <f>IF(Table1[[#This Row],[Role]]="Defensive",SUMIFS(Data!$J:$J,Data!$A:$A,Info!$B249,Data!$I:$I,Info!$D249,Data!$H:$H,$P$1),0)</f>
        <v>0</v>
      </c>
      <c r="Q249" s="65" t="str">
        <f>IF(Table1[[#This Row],[Pick]]="","",IF(S249&gt;1,400,IF(G249="","",IF(C249="Passing",(400-Table1[[#This Row],[Passing Yards]]-(30*Table1[[#This Row],[Passing TDs]])-(50*SUM(Table1[[#This Row],[Rushing TDs]:[Other TD''s]]))),IF(C249="Rushing",2*(200-Table1[[#This Row],[Rushing Yards]]-(30*Table1[[#This Row],[Passing TDs]])-50*(Table1[[#This Row],[Rushing TDs]]+Table1[[#This Row],[Receiving TDs]]+Table1[[#This Row],[Other TD''s]])),IF(C249="Receiving",2*(200-Table1[[#This Row],[Receiving Yards]]-(30*Table1[[#This Row],[Passing TDs]])-50*(Table1[[#This Row],[Rushing TDs]]+Table1[[#This Row],[Receiving TDs]]+Table1[[#This Row],[Other TD''s]])),IF(C249="Defensive",(25*(16-Table1[[#This Row],[Tackles]]-(8*(Table1[[#This Row],[Other TD''s]]+Table1[[#This Row],[Interceptions]]+Table1[[#This Row],[Fumbles Recovered]])))))))))))</f>
        <v/>
      </c>
      <c r="R249" s="3" t="str">
        <f t="shared" si="8"/>
        <v/>
      </c>
      <c r="S249" s="4">
        <f t="shared" si="7"/>
        <v>1048507</v>
      </c>
      <c r="T2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0" spans="1:20" hidden="1" x14ac:dyDescent="0.25">
      <c r="A250" t="s">
        <v>4</v>
      </c>
      <c r="B250" s="28" t="s">
        <v>47</v>
      </c>
      <c r="C250" t="s">
        <v>20</v>
      </c>
      <c r="D250" t="str">
        <f>_xlfn.XLOOKUP(Table1[[#This Row],[Player]]&amp;Table1[[#This Row],[Week]]&amp;Table1[[#This Row],[Role]],'Google Form Transform'!$A:$A,'Google Form Transform'!E:E,"")</f>
        <v/>
      </c>
      <c r="E250" t="str">
        <f>_xlfn.XLOOKUP(Table1[[#This Row],[Player]]&amp;Table1[[#This Row],[Week]]&amp;Table1[[#This Row],[Role]],'Google Form Transform'!$A:$A,'Google Form Transform'!F:F,"")</f>
        <v/>
      </c>
      <c r="F250" t="str">
        <f>_xlfn.XLOOKUP(Table1[[#This Row],[Player]]&amp;Table1[[#This Row],[Week]]&amp;Table1[[#This Row],[Role]],'Google Form Transform'!$A:$A,'Google Form Transform'!G:G,"")</f>
        <v/>
      </c>
      <c r="G250" s="59">
        <f>SUMIFS(Table2[Stat],Table2[Stat Category],"passing",Table2[Stat Type],"YDS",Table2[Athlete],Table1[[#This Row],[Pick]],Table2[Week],Table1[[#This Row],[Week]])</f>
        <v>0</v>
      </c>
      <c r="H250" s="59">
        <f>SUMIFS(Table2[Stat],Table2[Stat Category],"rushing",Table2[Stat Type],"YDS",Table2[Athlete],Table1[[#This Row],[Pick]],Table2[Week],Table1[[#This Row],[Week]])</f>
        <v>0</v>
      </c>
      <c r="I250" s="59">
        <f>SUMIFS(Table2[Stat],Table2[Stat Category],"receiving",Table2[Stat Type],"YDS",Table2[Athlete],Table1[[#This Row],[Pick]],Table2[Week],Table1[[#This Row],[Week]])</f>
        <v>0</v>
      </c>
      <c r="J250" s="6">
        <f>IF(AND($C250="Rushing", $H250&lt;=0), 0, IF(AND($C250="Passing", $G$3&lt;=0), 0,IF(AND($C250="Receiving",$I250&lt;=0), 0,SUMIFS(Table2[Stat],Table2[Week],Table1[[#This Row],[Week]],Table2[Athlete],Table1[[#This Row],[Pick]],Table2[Stat Category],"passing",Table2[Stat Type],"TD"))))</f>
        <v>0</v>
      </c>
      <c r="K250" s="6">
        <f>IF(AND($C250="Rushing", $H250&lt;=0), 0, IF(AND($C250="Passing", $G$3&lt;=0), 0,IF(AND($C250="Receiving",$I250&lt;=0),0,SUMIFS(Table2[Stat],Table2[Week],Table1[[#This Row],[Week]],Table2[Athlete],Table1[[#This Row],[Pick]],Table2[Stat Category],"rushing",Table2[Stat Type],"TD"))))</f>
        <v>0</v>
      </c>
      <c r="L250" s="6">
        <f>IF(AND($C250="Rushing", $H250&lt;=0), 0, IF(AND($C250="Passing", $G$3&lt;=0), 0,IF(AND($C250="Receiving",$I250&lt;=0),0,SUMIFS(Table2[Stat],Table2[Week],Table1[[#This Row],[Week]],Table2[Athlete],Table1[[#This Row],[Pick]],Table2[Stat Category],"receiving",Table2[Stat Type],"TD"))))</f>
        <v>0</v>
      </c>
      <c r="M2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0" s="61">
        <f>SUMIFS(Data!$J:$J,Data!$A:$A,Info!$B250,Data!$G:$G,Info!$C250,Data!$I:$I,Info!$D250,Data!$H:$H,"TOT")</f>
        <v>0</v>
      </c>
      <c r="O250" s="61">
        <f>IF(C250="Defensive",SUMIFS(Data!$J:$J,Data!$A:$A,Info!$B250,Data!$I:$I,Info!$D250,Data!$H:$H,"INT"),0)</f>
        <v>0</v>
      </c>
      <c r="P250" s="61">
        <f>IF(Table1[[#This Row],[Role]]="Defensive",SUMIFS(Data!$J:$J,Data!$A:$A,Info!$B250,Data!$I:$I,Info!$D250,Data!$H:$H,$P$1),0)</f>
        <v>0</v>
      </c>
      <c r="Q250" s="65" t="str">
        <f>IF(Table1[[#This Row],[Pick]]="","",IF(S250&gt;1,400,IF(G250="","",IF(C250="Passing",(400-Table1[[#This Row],[Passing Yards]]-(30*Table1[[#This Row],[Passing TDs]])-(50*SUM(Table1[[#This Row],[Rushing TDs]:[Other TD''s]]))),IF(C250="Rushing",2*(200-Table1[[#This Row],[Rushing Yards]]-(30*Table1[[#This Row],[Passing TDs]])-50*(Table1[[#This Row],[Rushing TDs]]+Table1[[#This Row],[Receiving TDs]]+Table1[[#This Row],[Other TD''s]])),IF(C250="Receiving",2*(200-Table1[[#This Row],[Receiving Yards]]-(30*Table1[[#This Row],[Passing TDs]])-50*(Table1[[#This Row],[Rushing TDs]]+Table1[[#This Row],[Receiving TDs]]+Table1[[#This Row],[Other TD''s]])),IF(C250="Defensive",(25*(16-Table1[[#This Row],[Tackles]]-(8*(Table1[[#This Row],[Other TD''s]]+Table1[[#This Row],[Interceptions]]+Table1[[#This Row],[Fumbles Recovered]])))))))))))</f>
        <v/>
      </c>
      <c r="R250" s="3" t="str">
        <f t="shared" si="8"/>
        <v/>
      </c>
      <c r="S250" s="4">
        <f t="shared" si="7"/>
        <v>1048507</v>
      </c>
      <c r="T2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1" spans="1:20" hidden="1" x14ac:dyDescent="0.25">
      <c r="A251" t="s">
        <v>79</v>
      </c>
      <c r="B251" s="28" t="s">
        <v>47</v>
      </c>
      <c r="C251" t="s">
        <v>16</v>
      </c>
      <c r="D251" t="str">
        <f>_xlfn.XLOOKUP(Table1[[#This Row],[Player]]&amp;Table1[[#This Row],[Week]]&amp;Table1[[#This Row],[Role]],'Google Form Transform'!$A:$A,'Google Form Transform'!E:E,"")</f>
        <v/>
      </c>
      <c r="E251" t="str">
        <f>_xlfn.XLOOKUP(Table1[[#This Row],[Player]]&amp;Table1[[#This Row],[Week]]&amp;Table1[[#This Row],[Role]],'Google Form Transform'!$A:$A,'Google Form Transform'!F:F,"")</f>
        <v/>
      </c>
      <c r="F251" t="str">
        <f>_xlfn.XLOOKUP(Table1[[#This Row],[Player]]&amp;Table1[[#This Row],[Week]]&amp;Table1[[#This Row],[Role]],'Google Form Transform'!$A:$A,'Google Form Transform'!G:G,"")</f>
        <v/>
      </c>
      <c r="G251" s="59">
        <f>SUMIFS(Table2[Stat],Table2[Stat Category],"passing",Table2[Stat Type],"YDS",Table2[Athlete],Table1[[#This Row],[Pick]],Table2[Week],Table1[[#This Row],[Week]])</f>
        <v>0</v>
      </c>
      <c r="H251" s="59">
        <f>SUMIFS(Table2[Stat],Table2[Stat Category],"rushing",Table2[Stat Type],"YDS",Table2[Athlete],Table1[[#This Row],[Pick]],Table2[Week],Table1[[#This Row],[Week]])</f>
        <v>0</v>
      </c>
      <c r="I251" s="59">
        <f>SUMIFS(Table2[Stat],Table2[Stat Category],"receiving",Table2[Stat Type],"YDS",Table2[Athlete],Table1[[#This Row],[Pick]],Table2[Week],Table1[[#This Row],[Week]])</f>
        <v>0</v>
      </c>
      <c r="J251" s="6">
        <f>IF(AND($C251="Rushing", $H251&lt;=0), 0, IF(AND($C251="Passing", $G$3&lt;=0), 0,IF(AND($C251="Receiving",$I251&lt;=0), 0,SUMIFS(Table2[Stat],Table2[Week],Table1[[#This Row],[Week]],Table2[Athlete],Table1[[#This Row],[Pick]],Table2[Stat Category],"passing",Table2[Stat Type],"TD"))))</f>
        <v>0</v>
      </c>
      <c r="K251" s="6">
        <f>IF(AND($C251="Rushing", $H251&lt;=0), 0, IF(AND($C251="Passing", $G$3&lt;=0), 0,IF(AND($C251="Receiving",$I251&lt;=0),0,SUMIFS(Table2[Stat],Table2[Week],Table1[[#This Row],[Week]],Table2[Athlete],Table1[[#This Row],[Pick]],Table2[Stat Category],"rushing",Table2[Stat Type],"TD"))))</f>
        <v>0</v>
      </c>
      <c r="L251" s="6">
        <f>IF(AND($C251="Rushing", $H251&lt;=0), 0, IF(AND($C251="Passing", $G$3&lt;=0), 0,IF(AND($C251="Receiving",$I251&lt;=0),0,SUMIFS(Table2[Stat],Table2[Week],Table1[[#This Row],[Week]],Table2[Athlete],Table1[[#This Row],[Pick]],Table2[Stat Category],"receiving",Table2[Stat Type],"TD"))))</f>
        <v>0</v>
      </c>
      <c r="M2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1" s="61">
        <f>SUMIFS(Data!$J:$J,Data!$A:$A,Info!$B251,Data!$G:$G,Info!$C251,Data!$I:$I,Info!$D251,Data!$H:$H,"TOT")</f>
        <v>0</v>
      </c>
      <c r="O251" s="61">
        <f>IF(C251="Defensive",SUMIFS(Data!$J:$J,Data!$A:$A,Info!$B251,Data!$I:$I,Info!$D251,Data!$H:$H,"INT"),0)</f>
        <v>0</v>
      </c>
      <c r="P251" s="61">
        <f>IF(Table1[[#This Row],[Role]]="Defensive",SUMIFS(Data!$J:$J,Data!$A:$A,Info!$B251,Data!$I:$I,Info!$D251,Data!$H:$H,$P$1),0)</f>
        <v>0</v>
      </c>
      <c r="Q251" s="65" t="str">
        <f>IF(Table1[[#This Row],[Pick]]="","",IF(S251&gt;1,400,IF(G251="","",IF(C251="Passing",(400-Table1[[#This Row],[Passing Yards]]-(30*Table1[[#This Row],[Passing TDs]])-(50*SUM(Table1[[#This Row],[Rushing TDs]:[Other TD''s]]))),IF(C251="Rushing",2*(200-Table1[[#This Row],[Rushing Yards]]-(30*Table1[[#This Row],[Passing TDs]])-50*(Table1[[#This Row],[Rushing TDs]]+Table1[[#This Row],[Receiving TDs]]+Table1[[#This Row],[Other TD''s]])),IF(C251="Receiving",2*(200-Table1[[#This Row],[Receiving Yards]]-(30*Table1[[#This Row],[Passing TDs]])-50*(Table1[[#This Row],[Rushing TDs]]+Table1[[#This Row],[Receiving TDs]]+Table1[[#This Row],[Other TD''s]])),IF(C251="Defensive",(25*(16-Table1[[#This Row],[Tackles]]-(8*(Table1[[#This Row],[Other TD''s]]+Table1[[#This Row],[Interceptions]]+Table1[[#This Row],[Fumbles Recovered]])))))))))))</f>
        <v/>
      </c>
      <c r="R251" s="3" t="str">
        <f t="shared" si="8"/>
        <v/>
      </c>
      <c r="S251" s="4">
        <f t="shared" si="7"/>
        <v>1048507</v>
      </c>
      <c r="T2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2" spans="1:20" hidden="1" x14ac:dyDescent="0.25">
      <c r="A252" t="s">
        <v>79</v>
      </c>
      <c r="B252" s="28" t="s">
        <v>47</v>
      </c>
      <c r="C252" t="s">
        <v>6</v>
      </c>
      <c r="D252" t="str">
        <f>_xlfn.XLOOKUP(Table1[[#This Row],[Player]]&amp;Table1[[#This Row],[Week]]&amp;Table1[[#This Row],[Role]],'Google Form Transform'!$A:$A,'Google Form Transform'!E:E,"")</f>
        <v/>
      </c>
      <c r="E252" t="str">
        <f>_xlfn.XLOOKUP(Table1[[#This Row],[Player]]&amp;Table1[[#This Row],[Week]]&amp;Table1[[#This Row],[Role]],'Google Form Transform'!$A:$A,'Google Form Transform'!F:F,"")</f>
        <v/>
      </c>
      <c r="F252" t="str">
        <f>_xlfn.XLOOKUP(Table1[[#This Row],[Player]]&amp;Table1[[#This Row],[Week]]&amp;Table1[[#This Row],[Role]],'Google Form Transform'!$A:$A,'Google Form Transform'!G:G,"")</f>
        <v/>
      </c>
      <c r="G252" s="59">
        <f>SUMIFS(Table2[Stat],Table2[Stat Category],"passing",Table2[Stat Type],"YDS",Table2[Athlete],Table1[[#This Row],[Pick]],Table2[Week],Table1[[#This Row],[Week]])</f>
        <v>0</v>
      </c>
      <c r="H252" s="59">
        <f>SUMIFS(Table2[Stat],Table2[Stat Category],"rushing",Table2[Stat Type],"YDS",Table2[Athlete],Table1[[#This Row],[Pick]],Table2[Week],Table1[[#This Row],[Week]])</f>
        <v>0</v>
      </c>
      <c r="I252" s="59">
        <f>SUMIFS(Table2[Stat],Table2[Stat Category],"receiving",Table2[Stat Type],"YDS",Table2[Athlete],Table1[[#This Row],[Pick]],Table2[Week],Table1[[#This Row],[Week]])</f>
        <v>0</v>
      </c>
      <c r="J252" s="6">
        <f>IF(AND($C252="Rushing", $H252&lt;=0), 0, IF(AND($C252="Passing", $G$3&lt;=0), 0,IF(AND($C252="Receiving",$I252&lt;=0), 0,SUMIFS(Table2[Stat],Table2[Week],Table1[[#This Row],[Week]],Table2[Athlete],Table1[[#This Row],[Pick]],Table2[Stat Category],"passing",Table2[Stat Type],"TD"))))</f>
        <v>0</v>
      </c>
      <c r="K252" s="6">
        <f>IF(AND($C252="Rushing", $H252&lt;=0), 0, IF(AND($C252="Passing", $G$3&lt;=0), 0,IF(AND($C252="Receiving",$I252&lt;=0),0,SUMIFS(Table2[Stat],Table2[Week],Table1[[#This Row],[Week]],Table2[Athlete],Table1[[#This Row],[Pick]],Table2[Stat Category],"rushing",Table2[Stat Type],"TD"))))</f>
        <v>0</v>
      </c>
      <c r="L252" s="6">
        <f>IF(AND($C252="Rushing", $H252&lt;=0), 0, IF(AND($C252="Passing", $G$3&lt;=0), 0,IF(AND($C252="Receiving",$I252&lt;=0),0,SUMIFS(Table2[Stat],Table2[Week],Table1[[#This Row],[Week]],Table2[Athlete],Table1[[#This Row],[Pick]],Table2[Stat Category],"receiving",Table2[Stat Type],"TD"))))</f>
        <v>0</v>
      </c>
      <c r="M2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2" s="61">
        <f>SUMIFS(Data!$J:$J,Data!$A:$A,Info!$B252,Data!$G:$G,Info!$C252,Data!$I:$I,Info!$D252,Data!$H:$H,"TOT")</f>
        <v>0</v>
      </c>
      <c r="O252" s="61">
        <f>IF(C252="Defensive",SUMIFS(Data!$J:$J,Data!$A:$A,Info!$B252,Data!$I:$I,Info!$D252,Data!$H:$H,"INT"),0)</f>
        <v>0</v>
      </c>
      <c r="P252" s="61">
        <f>IF(Table1[[#This Row],[Role]]="Defensive",SUMIFS(Data!$J:$J,Data!$A:$A,Info!$B252,Data!$I:$I,Info!$D252,Data!$H:$H,$P$1),0)</f>
        <v>0</v>
      </c>
      <c r="Q252" s="65" t="str">
        <f>IF(Table1[[#This Row],[Pick]]="","",IF(S252&gt;1,400,IF(G252="","",IF(C252="Passing",(400-Table1[[#This Row],[Passing Yards]]-(30*Table1[[#This Row],[Passing TDs]])-(50*SUM(Table1[[#This Row],[Rushing TDs]:[Other TD''s]]))),IF(C252="Rushing",2*(200-Table1[[#This Row],[Rushing Yards]]-(30*Table1[[#This Row],[Passing TDs]])-50*(Table1[[#This Row],[Rushing TDs]]+Table1[[#This Row],[Receiving TDs]]+Table1[[#This Row],[Other TD''s]])),IF(C252="Receiving",2*(200-Table1[[#This Row],[Receiving Yards]]-(30*Table1[[#This Row],[Passing TDs]])-50*(Table1[[#This Row],[Rushing TDs]]+Table1[[#This Row],[Receiving TDs]]+Table1[[#This Row],[Other TD''s]])),IF(C252="Defensive",(25*(16-Table1[[#This Row],[Tackles]]-(8*(Table1[[#This Row],[Other TD''s]]+Table1[[#This Row],[Interceptions]]+Table1[[#This Row],[Fumbles Recovered]])))))))))))</f>
        <v/>
      </c>
      <c r="R252" s="3" t="str">
        <f t="shared" si="8"/>
        <v/>
      </c>
      <c r="S252" s="4">
        <f t="shared" si="7"/>
        <v>1048507</v>
      </c>
      <c r="T2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3" spans="1:20" hidden="1" x14ac:dyDescent="0.25">
      <c r="A253" t="s">
        <v>79</v>
      </c>
      <c r="B253" s="28" t="s">
        <v>47</v>
      </c>
      <c r="C253" t="s">
        <v>17</v>
      </c>
      <c r="D253" t="str">
        <f>_xlfn.XLOOKUP(Table1[[#This Row],[Player]]&amp;Table1[[#This Row],[Week]]&amp;Table1[[#This Row],[Role]],'Google Form Transform'!$A:$A,'Google Form Transform'!E:E,"")</f>
        <v/>
      </c>
      <c r="E253" t="str">
        <f>_xlfn.XLOOKUP(Table1[[#This Row],[Player]]&amp;Table1[[#This Row],[Week]]&amp;Table1[[#This Row],[Role]],'Google Form Transform'!$A:$A,'Google Form Transform'!F:F,"")</f>
        <v/>
      </c>
      <c r="F253" t="str">
        <f>_xlfn.XLOOKUP(Table1[[#This Row],[Player]]&amp;Table1[[#This Row],[Week]]&amp;Table1[[#This Row],[Role]],'Google Form Transform'!$A:$A,'Google Form Transform'!G:G,"")</f>
        <v/>
      </c>
      <c r="G253" s="59">
        <f>SUMIFS(Table2[Stat],Table2[Stat Category],"passing",Table2[Stat Type],"YDS",Table2[Athlete],Table1[[#This Row],[Pick]],Table2[Week],Table1[[#This Row],[Week]])</f>
        <v>0</v>
      </c>
      <c r="H253" s="59">
        <f>SUMIFS(Table2[Stat],Table2[Stat Category],"rushing",Table2[Stat Type],"YDS",Table2[Athlete],Table1[[#This Row],[Pick]],Table2[Week],Table1[[#This Row],[Week]])</f>
        <v>0</v>
      </c>
      <c r="I253" s="59">
        <f>SUMIFS(Table2[Stat],Table2[Stat Category],"receiving",Table2[Stat Type],"YDS",Table2[Athlete],Table1[[#This Row],[Pick]],Table2[Week],Table1[[#This Row],[Week]])</f>
        <v>0</v>
      </c>
      <c r="J253" s="6">
        <f>IF(AND($C253="Rushing", $H253&lt;=0), 0, IF(AND($C253="Passing", $G$3&lt;=0), 0,IF(AND($C253="Receiving",$I253&lt;=0), 0,SUMIFS(Table2[Stat],Table2[Week],Table1[[#This Row],[Week]],Table2[Athlete],Table1[[#This Row],[Pick]],Table2[Stat Category],"passing",Table2[Stat Type],"TD"))))</f>
        <v>0</v>
      </c>
      <c r="K253" s="6">
        <f>IF(AND($C253="Rushing", $H253&lt;=0), 0, IF(AND($C253="Passing", $G$3&lt;=0), 0,IF(AND($C253="Receiving",$I253&lt;=0),0,SUMIFS(Table2[Stat],Table2[Week],Table1[[#This Row],[Week]],Table2[Athlete],Table1[[#This Row],[Pick]],Table2[Stat Category],"rushing",Table2[Stat Type],"TD"))))</f>
        <v>0</v>
      </c>
      <c r="L253" s="6">
        <f>IF(AND($C253="Rushing", $H253&lt;=0), 0, IF(AND($C253="Passing", $G$3&lt;=0), 0,IF(AND($C253="Receiving",$I253&lt;=0),0,SUMIFS(Table2[Stat],Table2[Week],Table1[[#This Row],[Week]],Table2[Athlete],Table1[[#This Row],[Pick]],Table2[Stat Category],"receiving",Table2[Stat Type],"TD"))))</f>
        <v>0</v>
      </c>
      <c r="M2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3" s="61">
        <f>SUMIFS(Data!$J:$J,Data!$A:$A,Info!$B253,Data!$G:$G,Info!$C253,Data!$I:$I,Info!$D253,Data!$H:$H,"TOT")</f>
        <v>0</v>
      </c>
      <c r="O253" s="61">
        <f>IF(C253="Defensive",SUMIFS(Data!$J:$J,Data!$A:$A,Info!$B253,Data!$I:$I,Info!$D253,Data!$H:$H,"INT"),0)</f>
        <v>0</v>
      </c>
      <c r="P253" s="61">
        <f>IF(Table1[[#This Row],[Role]]="Defensive",SUMIFS(Data!$J:$J,Data!$A:$A,Info!$B253,Data!$I:$I,Info!$D253,Data!$H:$H,$P$1),0)</f>
        <v>0</v>
      </c>
      <c r="Q253" s="65" t="str">
        <f>IF(Table1[[#This Row],[Pick]]="","",IF(S253&gt;1,400,IF(G253="","",IF(C253="Passing",(400-Table1[[#This Row],[Passing Yards]]-(30*Table1[[#This Row],[Passing TDs]])-(50*SUM(Table1[[#This Row],[Rushing TDs]:[Other TD''s]]))),IF(C253="Rushing",2*(200-Table1[[#This Row],[Rushing Yards]]-(30*Table1[[#This Row],[Passing TDs]])-50*(Table1[[#This Row],[Rushing TDs]]+Table1[[#This Row],[Receiving TDs]]+Table1[[#This Row],[Other TD''s]])),IF(C253="Receiving",2*(200-Table1[[#This Row],[Receiving Yards]]-(30*Table1[[#This Row],[Passing TDs]])-50*(Table1[[#This Row],[Rushing TDs]]+Table1[[#This Row],[Receiving TDs]]+Table1[[#This Row],[Other TD''s]])),IF(C253="Defensive",(25*(16-Table1[[#This Row],[Tackles]]-(8*(Table1[[#This Row],[Other TD''s]]+Table1[[#This Row],[Interceptions]]+Table1[[#This Row],[Fumbles Recovered]])))))))))))</f>
        <v/>
      </c>
      <c r="R253" s="3" t="str">
        <f t="shared" si="8"/>
        <v/>
      </c>
      <c r="S253" s="4">
        <f t="shared" si="7"/>
        <v>1048507</v>
      </c>
      <c r="T2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4" spans="1:20" hidden="1" x14ac:dyDescent="0.25">
      <c r="A254" t="s">
        <v>79</v>
      </c>
      <c r="B254" s="28" t="s">
        <v>47</v>
      </c>
      <c r="C254" t="s">
        <v>20</v>
      </c>
      <c r="D254" t="str">
        <f>_xlfn.XLOOKUP(Table1[[#This Row],[Player]]&amp;Table1[[#This Row],[Week]]&amp;Table1[[#This Row],[Role]],'Google Form Transform'!$A:$A,'Google Form Transform'!E:E,"")</f>
        <v/>
      </c>
      <c r="E254" t="str">
        <f>_xlfn.XLOOKUP(Table1[[#This Row],[Player]]&amp;Table1[[#This Row],[Week]]&amp;Table1[[#This Row],[Role]],'Google Form Transform'!$A:$A,'Google Form Transform'!F:F,"")</f>
        <v/>
      </c>
      <c r="F254" t="str">
        <f>_xlfn.XLOOKUP(Table1[[#This Row],[Player]]&amp;Table1[[#This Row],[Week]]&amp;Table1[[#This Row],[Role]],'Google Form Transform'!$A:$A,'Google Form Transform'!G:G,"")</f>
        <v/>
      </c>
      <c r="G254" s="59">
        <f>SUMIFS(Table2[Stat],Table2[Stat Category],"passing",Table2[Stat Type],"YDS",Table2[Athlete],Table1[[#This Row],[Pick]],Table2[Week],Table1[[#This Row],[Week]])</f>
        <v>0</v>
      </c>
      <c r="H254" s="59">
        <f>SUMIFS(Table2[Stat],Table2[Stat Category],"rushing",Table2[Stat Type],"YDS",Table2[Athlete],Table1[[#This Row],[Pick]],Table2[Week],Table1[[#This Row],[Week]])</f>
        <v>0</v>
      </c>
      <c r="I254" s="59">
        <f>SUMIFS(Table2[Stat],Table2[Stat Category],"receiving",Table2[Stat Type],"YDS",Table2[Athlete],Table1[[#This Row],[Pick]],Table2[Week],Table1[[#This Row],[Week]])</f>
        <v>0</v>
      </c>
      <c r="J254" s="6">
        <f>IF(AND($C254="Rushing", $H254&lt;=0), 0, IF(AND($C254="Passing", $G$3&lt;=0), 0,IF(AND($C254="Receiving",$I254&lt;=0), 0,SUMIFS(Table2[Stat],Table2[Week],Table1[[#This Row],[Week]],Table2[Athlete],Table1[[#This Row],[Pick]],Table2[Stat Category],"passing",Table2[Stat Type],"TD"))))</f>
        <v>0</v>
      </c>
      <c r="K254" s="6">
        <f>IF(AND($C254="Rushing", $H254&lt;=0), 0, IF(AND($C254="Passing", $G$3&lt;=0), 0,IF(AND($C254="Receiving",$I254&lt;=0),0,SUMIFS(Table2[Stat],Table2[Week],Table1[[#This Row],[Week]],Table2[Athlete],Table1[[#This Row],[Pick]],Table2[Stat Category],"rushing",Table2[Stat Type],"TD"))))</f>
        <v>0</v>
      </c>
      <c r="L254" s="6">
        <f>IF(AND($C254="Rushing", $H254&lt;=0), 0, IF(AND($C254="Passing", $G$3&lt;=0), 0,IF(AND($C254="Receiving",$I254&lt;=0),0,SUMIFS(Table2[Stat],Table2[Week],Table1[[#This Row],[Week]],Table2[Athlete],Table1[[#This Row],[Pick]],Table2[Stat Category],"receiving",Table2[Stat Type],"TD"))))</f>
        <v>0</v>
      </c>
      <c r="M2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4" s="61">
        <f>SUMIFS(Data!$J:$J,Data!$A:$A,Info!$B254,Data!$G:$G,Info!$C254,Data!$I:$I,Info!$D254,Data!$H:$H,"TOT")</f>
        <v>0</v>
      </c>
      <c r="O254" s="61">
        <f>IF(C254="Defensive",SUMIFS(Data!$J:$J,Data!$A:$A,Info!$B254,Data!$I:$I,Info!$D254,Data!$H:$H,"INT"),0)</f>
        <v>0</v>
      </c>
      <c r="P254" s="61">
        <f>IF(Table1[[#This Row],[Role]]="Defensive",SUMIFS(Data!$J:$J,Data!$A:$A,Info!$B254,Data!$I:$I,Info!$D254,Data!$H:$H,$P$1),0)</f>
        <v>0</v>
      </c>
      <c r="Q254" s="65" t="str">
        <f>IF(Table1[[#This Row],[Pick]]="","",IF(S254&gt;1,400,IF(G254="","",IF(C254="Passing",(400-Table1[[#This Row],[Passing Yards]]-(30*Table1[[#This Row],[Passing TDs]])-(50*SUM(Table1[[#This Row],[Rushing TDs]:[Other TD''s]]))),IF(C254="Rushing",2*(200-Table1[[#This Row],[Rushing Yards]]-(30*Table1[[#This Row],[Passing TDs]])-50*(Table1[[#This Row],[Rushing TDs]]+Table1[[#This Row],[Receiving TDs]]+Table1[[#This Row],[Other TD''s]])),IF(C254="Receiving",2*(200-Table1[[#This Row],[Receiving Yards]]-(30*Table1[[#This Row],[Passing TDs]])-50*(Table1[[#This Row],[Rushing TDs]]+Table1[[#This Row],[Receiving TDs]]+Table1[[#This Row],[Other TD''s]])),IF(C254="Defensive",(25*(16-Table1[[#This Row],[Tackles]]-(8*(Table1[[#This Row],[Other TD''s]]+Table1[[#This Row],[Interceptions]]+Table1[[#This Row],[Fumbles Recovered]])))))))))))</f>
        <v/>
      </c>
      <c r="R254" s="3" t="str">
        <f t="shared" si="8"/>
        <v/>
      </c>
      <c r="S254" s="4">
        <f t="shared" si="7"/>
        <v>1048507</v>
      </c>
      <c r="T2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5" spans="1:20" hidden="1" x14ac:dyDescent="0.25">
      <c r="A255" t="s">
        <v>58</v>
      </c>
      <c r="B255" s="28" t="s">
        <v>47</v>
      </c>
      <c r="C255" t="s">
        <v>16</v>
      </c>
      <c r="D255" t="str">
        <f>_xlfn.XLOOKUP(Table1[[#This Row],[Player]]&amp;Table1[[#This Row],[Week]]&amp;Table1[[#This Row],[Role]],'Google Form Transform'!$A:$A,'Google Form Transform'!E:E,"")</f>
        <v/>
      </c>
      <c r="E255" t="str">
        <f>_xlfn.XLOOKUP(Table1[[#This Row],[Player]]&amp;Table1[[#This Row],[Week]]&amp;Table1[[#This Row],[Role]],'Google Form Transform'!$A:$A,'Google Form Transform'!F:F,"")</f>
        <v/>
      </c>
      <c r="F255" t="str">
        <f>_xlfn.XLOOKUP(Table1[[#This Row],[Player]]&amp;Table1[[#This Row],[Week]]&amp;Table1[[#This Row],[Role]],'Google Form Transform'!$A:$A,'Google Form Transform'!G:G,"")</f>
        <v/>
      </c>
      <c r="G255" s="59">
        <f>SUMIFS(Table2[Stat],Table2[Stat Category],"passing",Table2[Stat Type],"YDS",Table2[Athlete],Table1[[#This Row],[Pick]],Table2[Week],Table1[[#This Row],[Week]])</f>
        <v>0</v>
      </c>
      <c r="H255" s="59">
        <f>SUMIFS(Table2[Stat],Table2[Stat Category],"rushing",Table2[Stat Type],"YDS",Table2[Athlete],Table1[[#This Row],[Pick]],Table2[Week],Table1[[#This Row],[Week]])</f>
        <v>0</v>
      </c>
      <c r="I255" s="59">
        <f>SUMIFS(Table2[Stat],Table2[Stat Category],"receiving",Table2[Stat Type],"YDS",Table2[Athlete],Table1[[#This Row],[Pick]],Table2[Week],Table1[[#This Row],[Week]])</f>
        <v>0</v>
      </c>
      <c r="J255" s="6">
        <f>IF(AND($C255="Rushing", $H255&lt;=0), 0, IF(AND($C255="Passing", $G$3&lt;=0), 0,IF(AND($C255="Receiving",$I255&lt;=0), 0,SUMIFS(Table2[Stat],Table2[Week],Table1[[#This Row],[Week]],Table2[Athlete],Table1[[#This Row],[Pick]],Table2[Stat Category],"passing",Table2[Stat Type],"TD"))))</f>
        <v>0</v>
      </c>
      <c r="K255" s="6">
        <f>IF(AND($C255="Rushing", $H255&lt;=0), 0, IF(AND($C255="Passing", $G$3&lt;=0), 0,IF(AND($C255="Receiving",$I255&lt;=0),0,SUMIFS(Table2[Stat],Table2[Week],Table1[[#This Row],[Week]],Table2[Athlete],Table1[[#This Row],[Pick]],Table2[Stat Category],"rushing",Table2[Stat Type],"TD"))))</f>
        <v>0</v>
      </c>
      <c r="L255" s="6">
        <f>IF(AND($C255="Rushing", $H255&lt;=0), 0, IF(AND($C255="Passing", $G$3&lt;=0), 0,IF(AND($C255="Receiving",$I255&lt;=0),0,SUMIFS(Table2[Stat],Table2[Week],Table1[[#This Row],[Week]],Table2[Athlete],Table1[[#This Row],[Pick]],Table2[Stat Category],"receiving",Table2[Stat Type],"TD"))))</f>
        <v>0</v>
      </c>
      <c r="M2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5" s="61">
        <f>SUMIFS(Data!$J:$J,Data!$A:$A,Info!$B255,Data!$G:$G,Info!$C255,Data!$I:$I,Info!$D255,Data!$H:$H,"TOT")</f>
        <v>0</v>
      </c>
      <c r="O255" s="61">
        <f>IF(C255="Defensive",SUMIFS(Data!$J:$J,Data!$A:$A,Info!$B255,Data!$I:$I,Info!$D255,Data!$H:$H,"INT"),0)</f>
        <v>0</v>
      </c>
      <c r="P255" s="61">
        <f>IF(Table1[[#This Row],[Role]]="Defensive",SUMIFS(Data!$J:$J,Data!$A:$A,Info!$B255,Data!$I:$I,Info!$D255,Data!$H:$H,$P$1),0)</f>
        <v>0</v>
      </c>
      <c r="Q255" s="65" t="str">
        <f>IF(Table1[[#This Row],[Pick]]="","",IF(S255&gt;1,400,IF(G255="","",IF(C255="Passing",(400-Table1[[#This Row],[Passing Yards]]-(30*Table1[[#This Row],[Passing TDs]])-(50*SUM(Table1[[#This Row],[Rushing TDs]:[Other TD''s]]))),IF(C255="Rushing",2*(200-Table1[[#This Row],[Rushing Yards]]-(30*Table1[[#This Row],[Passing TDs]])-50*(Table1[[#This Row],[Rushing TDs]]+Table1[[#This Row],[Receiving TDs]]+Table1[[#This Row],[Other TD''s]])),IF(C255="Receiving",2*(200-Table1[[#This Row],[Receiving Yards]]-(30*Table1[[#This Row],[Passing TDs]])-50*(Table1[[#This Row],[Rushing TDs]]+Table1[[#This Row],[Receiving TDs]]+Table1[[#This Row],[Other TD''s]])),IF(C255="Defensive",(25*(16-Table1[[#This Row],[Tackles]]-(8*(Table1[[#This Row],[Other TD''s]]+Table1[[#This Row],[Interceptions]]+Table1[[#This Row],[Fumbles Recovered]])))))))))))</f>
        <v/>
      </c>
      <c r="R255" s="3" t="str">
        <f t="shared" si="8"/>
        <v/>
      </c>
      <c r="S255" s="4">
        <f t="shared" si="7"/>
        <v>1048507</v>
      </c>
      <c r="T2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6" spans="1:20" hidden="1" x14ac:dyDescent="0.25">
      <c r="A256" t="s">
        <v>58</v>
      </c>
      <c r="B256" s="28" t="s">
        <v>47</v>
      </c>
      <c r="C256" t="s">
        <v>6</v>
      </c>
      <c r="D256" t="str">
        <f>_xlfn.XLOOKUP(Table1[[#This Row],[Player]]&amp;Table1[[#This Row],[Week]]&amp;Table1[[#This Row],[Role]],'Google Form Transform'!$A:$A,'Google Form Transform'!E:E,"")</f>
        <v/>
      </c>
      <c r="E256" t="str">
        <f>_xlfn.XLOOKUP(Table1[[#This Row],[Player]]&amp;Table1[[#This Row],[Week]]&amp;Table1[[#This Row],[Role]],'Google Form Transform'!$A:$A,'Google Form Transform'!F:F,"")</f>
        <v/>
      </c>
      <c r="F256" t="str">
        <f>_xlfn.XLOOKUP(Table1[[#This Row],[Player]]&amp;Table1[[#This Row],[Week]]&amp;Table1[[#This Row],[Role]],'Google Form Transform'!$A:$A,'Google Form Transform'!G:G,"")</f>
        <v/>
      </c>
      <c r="G256" s="59">
        <f>SUMIFS(Table2[Stat],Table2[Stat Category],"passing",Table2[Stat Type],"YDS",Table2[Athlete],Table1[[#This Row],[Pick]],Table2[Week],Table1[[#This Row],[Week]])</f>
        <v>0</v>
      </c>
      <c r="H256" s="59">
        <f>SUMIFS(Table2[Stat],Table2[Stat Category],"rushing",Table2[Stat Type],"YDS",Table2[Athlete],Table1[[#This Row],[Pick]],Table2[Week],Table1[[#This Row],[Week]])</f>
        <v>0</v>
      </c>
      <c r="I256" s="59">
        <f>SUMIFS(Table2[Stat],Table2[Stat Category],"receiving",Table2[Stat Type],"YDS",Table2[Athlete],Table1[[#This Row],[Pick]],Table2[Week],Table1[[#This Row],[Week]])</f>
        <v>0</v>
      </c>
      <c r="J256" s="6">
        <f>IF(AND($C256="Rushing", $H256&lt;=0), 0, IF(AND($C256="Passing", $G$3&lt;=0), 0,IF(AND($C256="Receiving",$I256&lt;=0), 0,SUMIFS(Table2[Stat],Table2[Week],Table1[[#This Row],[Week]],Table2[Athlete],Table1[[#This Row],[Pick]],Table2[Stat Category],"passing",Table2[Stat Type],"TD"))))</f>
        <v>0</v>
      </c>
      <c r="K256" s="6">
        <f>IF(AND($C256="Rushing", $H256&lt;=0), 0, IF(AND($C256="Passing", $G$3&lt;=0), 0,IF(AND($C256="Receiving",$I256&lt;=0),0,SUMIFS(Table2[Stat],Table2[Week],Table1[[#This Row],[Week]],Table2[Athlete],Table1[[#This Row],[Pick]],Table2[Stat Category],"rushing",Table2[Stat Type],"TD"))))</f>
        <v>0</v>
      </c>
      <c r="L256" s="6">
        <f>IF(AND($C256="Rushing", $H256&lt;=0), 0, IF(AND($C256="Passing", $G$3&lt;=0), 0,IF(AND($C256="Receiving",$I256&lt;=0),0,SUMIFS(Table2[Stat],Table2[Week],Table1[[#This Row],[Week]],Table2[Athlete],Table1[[#This Row],[Pick]],Table2[Stat Category],"receiving",Table2[Stat Type],"TD"))))</f>
        <v>0</v>
      </c>
      <c r="M2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6" s="61">
        <f>SUMIFS(Data!$J:$J,Data!$A:$A,Info!$B256,Data!$G:$G,Info!$C256,Data!$I:$I,Info!$D256,Data!$H:$H,"TOT")</f>
        <v>0</v>
      </c>
      <c r="O256" s="61">
        <f>IF(C256="Defensive",SUMIFS(Data!$J:$J,Data!$A:$A,Info!$B256,Data!$I:$I,Info!$D256,Data!$H:$H,"INT"),0)</f>
        <v>0</v>
      </c>
      <c r="P256" s="61">
        <f>IF(Table1[[#This Row],[Role]]="Defensive",SUMIFS(Data!$J:$J,Data!$A:$A,Info!$B256,Data!$I:$I,Info!$D256,Data!$H:$H,$P$1),0)</f>
        <v>0</v>
      </c>
      <c r="Q256" s="65" t="str">
        <f>IF(Table1[[#This Row],[Pick]]="","",IF(S256&gt;1,400,IF(G256="","",IF(C256="Passing",(400-Table1[[#This Row],[Passing Yards]]-(30*Table1[[#This Row],[Passing TDs]])-(50*SUM(Table1[[#This Row],[Rushing TDs]:[Other TD''s]]))),IF(C256="Rushing",2*(200-Table1[[#This Row],[Rushing Yards]]-(30*Table1[[#This Row],[Passing TDs]])-50*(Table1[[#This Row],[Rushing TDs]]+Table1[[#This Row],[Receiving TDs]]+Table1[[#This Row],[Other TD''s]])),IF(C256="Receiving",2*(200-Table1[[#This Row],[Receiving Yards]]-(30*Table1[[#This Row],[Passing TDs]])-50*(Table1[[#This Row],[Rushing TDs]]+Table1[[#This Row],[Receiving TDs]]+Table1[[#This Row],[Other TD''s]])),IF(C256="Defensive",(25*(16-Table1[[#This Row],[Tackles]]-(8*(Table1[[#This Row],[Other TD''s]]+Table1[[#This Row],[Interceptions]]+Table1[[#This Row],[Fumbles Recovered]])))))))))))</f>
        <v/>
      </c>
      <c r="R256" s="3" t="str">
        <f t="shared" si="8"/>
        <v/>
      </c>
      <c r="S256" s="4">
        <f t="shared" si="7"/>
        <v>1048507</v>
      </c>
      <c r="T2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7" spans="1:20" hidden="1" x14ac:dyDescent="0.25">
      <c r="A257" t="s">
        <v>58</v>
      </c>
      <c r="B257" s="28" t="s">
        <v>47</v>
      </c>
      <c r="C257" t="s">
        <v>17</v>
      </c>
      <c r="D257" t="str">
        <f>_xlfn.XLOOKUP(Table1[[#This Row],[Player]]&amp;Table1[[#This Row],[Week]]&amp;Table1[[#This Row],[Role]],'Google Form Transform'!$A:$A,'Google Form Transform'!E:E,"")</f>
        <v/>
      </c>
      <c r="E257" t="str">
        <f>_xlfn.XLOOKUP(Table1[[#This Row],[Player]]&amp;Table1[[#This Row],[Week]]&amp;Table1[[#This Row],[Role]],'Google Form Transform'!$A:$A,'Google Form Transform'!F:F,"")</f>
        <v/>
      </c>
      <c r="F257" t="str">
        <f>_xlfn.XLOOKUP(Table1[[#This Row],[Player]]&amp;Table1[[#This Row],[Week]]&amp;Table1[[#This Row],[Role]],'Google Form Transform'!$A:$A,'Google Form Transform'!G:G,"")</f>
        <v/>
      </c>
      <c r="G257" s="59">
        <f>SUMIFS(Table2[Stat],Table2[Stat Category],"passing",Table2[Stat Type],"YDS",Table2[Athlete],Table1[[#This Row],[Pick]],Table2[Week],Table1[[#This Row],[Week]])</f>
        <v>0</v>
      </c>
      <c r="H257" s="59">
        <f>SUMIFS(Table2[Stat],Table2[Stat Category],"rushing",Table2[Stat Type],"YDS",Table2[Athlete],Table1[[#This Row],[Pick]],Table2[Week],Table1[[#This Row],[Week]])</f>
        <v>0</v>
      </c>
      <c r="I257" s="59">
        <f>SUMIFS(Table2[Stat],Table2[Stat Category],"receiving",Table2[Stat Type],"YDS",Table2[Athlete],Table1[[#This Row],[Pick]],Table2[Week],Table1[[#This Row],[Week]])</f>
        <v>0</v>
      </c>
      <c r="J257" s="6">
        <f>IF(AND($C257="Rushing", $H257&lt;=0), 0, IF(AND($C257="Passing", $G$3&lt;=0), 0,IF(AND($C257="Receiving",$I257&lt;=0), 0,SUMIFS(Table2[Stat],Table2[Week],Table1[[#This Row],[Week]],Table2[Athlete],Table1[[#This Row],[Pick]],Table2[Stat Category],"passing",Table2[Stat Type],"TD"))))</f>
        <v>0</v>
      </c>
      <c r="K257" s="6">
        <f>IF(AND($C257="Rushing", $H257&lt;=0), 0, IF(AND($C257="Passing", $G$3&lt;=0), 0,IF(AND($C257="Receiving",$I257&lt;=0),0,SUMIFS(Table2[Stat],Table2[Week],Table1[[#This Row],[Week]],Table2[Athlete],Table1[[#This Row],[Pick]],Table2[Stat Category],"rushing",Table2[Stat Type],"TD"))))</f>
        <v>0</v>
      </c>
      <c r="L257" s="6">
        <f>IF(AND($C257="Rushing", $H257&lt;=0), 0, IF(AND($C257="Passing", $G$3&lt;=0), 0,IF(AND($C257="Receiving",$I257&lt;=0),0,SUMIFS(Table2[Stat],Table2[Week],Table1[[#This Row],[Week]],Table2[Athlete],Table1[[#This Row],[Pick]],Table2[Stat Category],"receiving",Table2[Stat Type],"TD"))))</f>
        <v>0</v>
      </c>
      <c r="M2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7" s="61">
        <f>SUMIFS(Data!$J:$J,Data!$A:$A,Info!$B257,Data!$G:$G,Info!$C257,Data!$I:$I,Info!$D257,Data!$H:$H,"TOT")</f>
        <v>0</v>
      </c>
      <c r="O257" s="61">
        <f>IF(C257="Defensive",SUMIFS(Data!$J:$J,Data!$A:$A,Info!$B257,Data!$I:$I,Info!$D257,Data!$H:$H,"INT"),0)</f>
        <v>0</v>
      </c>
      <c r="P257" s="61">
        <f>IF(Table1[[#This Row],[Role]]="Defensive",SUMIFS(Data!$J:$J,Data!$A:$A,Info!$B257,Data!$I:$I,Info!$D257,Data!$H:$H,$P$1),0)</f>
        <v>0</v>
      </c>
      <c r="Q257" s="65" t="str">
        <f>IF(Table1[[#This Row],[Pick]]="","",IF(S257&gt;1,400,IF(G257="","",IF(C257="Passing",(400-Table1[[#This Row],[Passing Yards]]-(30*Table1[[#This Row],[Passing TDs]])-(50*SUM(Table1[[#This Row],[Rushing TDs]:[Other TD''s]]))),IF(C257="Rushing",2*(200-Table1[[#This Row],[Rushing Yards]]-(30*Table1[[#This Row],[Passing TDs]])-50*(Table1[[#This Row],[Rushing TDs]]+Table1[[#This Row],[Receiving TDs]]+Table1[[#This Row],[Other TD''s]])),IF(C257="Receiving",2*(200-Table1[[#This Row],[Receiving Yards]]-(30*Table1[[#This Row],[Passing TDs]])-50*(Table1[[#This Row],[Rushing TDs]]+Table1[[#This Row],[Receiving TDs]]+Table1[[#This Row],[Other TD''s]])),IF(C257="Defensive",(25*(16-Table1[[#This Row],[Tackles]]-(8*(Table1[[#This Row],[Other TD''s]]+Table1[[#This Row],[Interceptions]]+Table1[[#This Row],[Fumbles Recovered]])))))))))))</f>
        <v/>
      </c>
      <c r="R257" s="3" t="str">
        <f t="shared" si="8"/>
        <v/>
      </c>
      <c r="S257" s="4">
        <f t="shared" si="7"/>
        <v>1048507</v>
      </c>
      <c r="T2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8" spans="1:20" hidden="1" x14ac:dyDescent="0.25">
      <c r="A258" t="s">
        <v>58</v>
      </c>
      <c r="B258" s="28" t="s">
        <v>47</v>
      </c>
      <c r="C258" t="s">
        <v>20</v>
      </c>
      <c r="D258" t="str">
        <f>_xlfn.XLOOKUP(Table1[[#This Row],[Player]]&amp;Table1[[#This Row],[Week]]&amp;Table1[[#This Row],[Role]],'Google Form Transform'!$A:$A,'Google Form Transform'!E:E,"")</f>
        <v/>
      </c>
      <c r="E258" t="str">
        <f>_xlfn.XLOOKUP(Table1[[#This Row],[Player]]&amp;Table1[[#This Row],[Week]]&amp;Table1[[#This Row],[Role]],'Google Form Transform'!$A:$A,'Google Form Transform'!F:F,"")</f>
        <v/>
      </c>
      <c r="F258" t="str">
        <f>_xlfn.XLOOKUP(Table1[[#This Row],[Player]]&amp;Table1[[#This Row],[Week]]&amp;Table1[[#This Row],[Role]],'Google Form Transform'!$A:$A,'Google Form Transform'!G:G,"")</f>
        <v/>
      </c>
      <c r="G258" s="59">
        <f>SUMIFS(Table2[Stat],Table2[Stat Category],"passing",Table2[Stat Type],"YDS",Table2[Athlete],Table1[[#This Row],[Pick]],Table2[Week],Table1[[#This Row],[Week]])</f>
        <v>0</v>
      </c>
      <c r="H258" s="59">
        <f>SUMIFS(Table2[Stat],Table2[Stat Category],"rushing",Table2[Stat Type],"YDS",Table2[Athlete],Table1[[#This Row],[Pick]],Table2[Week],Table1[[#This Row],[Week]])</f>
        <v>0</v>
      </c>
      <c r="I258" s="59">
        <f>SUMIFS(Table2[Stat],Table2[Stat Category],"receiving",Table2[Stat Type],"YDS",Table2[Athlete],Table1[[#This Row],[Pick]],Table2[Week],Table1[[#This Row],[Week]])</f>
        <v>0</v>
      </c>
      <c r="J258" s="6">
        <f>IF(AND($C258="Rushing", $H258&lt;=0), 0, IF(AND($C258="Passing", $G$3&lt;=0), 0,IF(AND($C258="Receiving",$I258&lt;=0), 0,SUMIFS(Table2[Stat],Table2[Week],Table1[[#This Row],[Week]],Table2[Athlete],Table1[[#This Row],[Pick]],Table2[Stat Category],"passing",Table2[Stat Type],"TD"))))</f>
        <v>0</v>
      </c>
      <c r="K258" s="6">
        <f>IF(AND($C258="Rushing", $H258&lt;=0), 0, IF(AND($C258="Passing", $G$3&lt;=0), 0,IF(AND($C258="Receiving",$I258&lt;=0),0,SUMIFS(Table2[Stat],Table2[Week],Table1[[#This Row],[Week]],Table2[Athlete],Table1[[#This Row],[Pick]],Table2[Stat Category],"rushing",Table2[Stat Type],"TD"))))</f>
        <v>0</v>
      </c>
      <c r="L258" s="6">
        <f>IF(AND($C258="Rushing", $H258&lt;=0), 0, IF(AND($C258="Passing", $G$3&lt;=0), 0,IF(AND($C258="Receiving",$I258&lt;=0),0,SUMIFS(Table2[Stat],Table2[Week],Table1[[#This Row],[Week]],Table2[Athlete],Table1[[#This Row],[Pick]],Table2[Stat Category],"receiving",Table2[Stat Type],"TD"))))</f>
        <v>0</v>
      </c>
      <c r="M2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8" s="61">
        <f>SUMIFS(Data!$J:$J,Data!$A:$A,Info!$B258,Data!$G:$G,Info!$C258,Data!$I:$I,Info!$D258,Data!$H:$H,"TOT")</f>
        <v>0</v>
      </c>
      <c r="O258" s="61">
        <f>IF(C258="Defensive",SUMIFS(Data!$J:$J,Data!$A:$A,Info!$B258,Data!$I:$I,Info!$D258,Data!$H:$H,"INT"),0)</f>
        <v>0</v>
      </c>
      <c r="P258" s="61">
        <f>IF(Table1[[#This Row],[Role]]="Defensive",SUMIFS(Data!$J:$J,Data!$A:$A,Info!$B258,Data!$I:$I,Info!$D258,Data!$H:$H,$P$1),0)</f>
        <v>0</v>
      </c>
      <c r="Q258" s="65" t="str">
        <f>IF(Table1[[#This Row],[Pick]]="","",IF(S258&gt;1,400,IF(G258="","",IF(C258="Passing",(400-Table1[[#This Row],[Passing Yards]]-(30*Table1[[#This Row],[Passing TDs]])-(50*SUM(Table1[[#This Row],[Rushing TDs]:[Other TD''s]]))),IF(C258="Rushing",2*(200-Table1[[#This Row],[Rushing Yards]]-(30*Table1[[#This Row],[Passing TDs]])-50*(Table1[[#This Row],[Rushing TDs]]+Table1[[#This Row],[Receiving TDs]]+Table1[[#This Row],[Other TD''s]])),IF(C258="Receiving",2*(200-Table1[[#This Row],[Receiving Yards]]-(30*Table1[[#This Row],[Passing TDs]])-50*(Table1[[#This Row],[Rushing TDs]]+Table1[[#This Row],[Receiving TDs]]+Table1[[#This Row],[Other TD''s]])),IF(C258="Defensive",(25*(16-Table1[[#This Row],[Tackles]]-(8*(Table1[[#This Row],[Other TD''s]]+Table1[[#This Row],[Interceptions]]+Table1[[#This Row],[Fumbles Recovered]])))))))))))</f>
        <v/>
      </c>
      <c r="R258" s="3" t="str">
        <f t="shared" si="8"/>
        <v/>
      </c>
      <c r="S258" s="4">
        <f t="shared" si="7"/>
        <v>1048507</v>
      </c>
      <c r="T2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9" spans="1:20" hidden="1" x14ac:dyDescent="0.25">
      <c r="A259" t="s">
        <v>61</v>
      </c>
      <c r="B259" s="28" t="s">
        <v>47</v>
      </c>
      <c r="C259" t="s">
        <v>16</v>
      </c>
      <c r="D259" t="str">
        <f>_xlfn.XLOOKUP(Table1[[#This Row],[Player]]&amp;Table1[[#This Row],[Week]]&amp;Table1[[#This Row],[Role]],'Google Form Transform'!$A:$A,'Google Form Transform'!E:E,"")</f>
        <v/>
      </c>
      <c r="E259" t="str">
        <f>_xlfn.XLOOKUP(Table1[[#This Row],[Player]]&amp;Table1[[#This Row],[Week]]&amp;Table1[[#This Row],[Role]],'Google Form Transform'!$A:$A,'Google Form Transform'!F:F,"")</f>
        <v/>
      </c>
      <c r="F259" t="str">
        <f>_xlfn.XLOOKUP(Table1[[#This Row],[Player]]&amp;Table1[[#This Row],[Week]]&amp;Table1[[#This Row],[Role]],'Google Form Transform'!$A:$A,'Google Form Transform'!G:G,"")</f>
        <v/>
      </c>
      <c r="G259" s="59">
        <f>SUMIFS(Table2[Stat],Table2[Stat Category],"passing",Table2[Stat Type],"YDS",Table2[Athlete],Table1[[#This Row],[Pick]],Table2[Week],Table1[[#This Row],[Week]])</f>
        <v>0</v>
      </c>
      <c r="H259" s="59">
        <f>SUMIFS(Table2[Stat],Table2[Stat Category],"rushing",Table2[Stat Type],"YDS",Table2[Athlete],Table1[[#This Row],[Pick]],Table2[Week],Table1[[#This Row],[Week]])</f>
        <v>0</v>
      </c>
      <c r="I259" s="59">
        <f>SUMIFS(Table2[Stat],Table2[Stat Category],"receiving",Table2[Stat Type],"YDS",Table2[Athlete],Table1[[#This Row],[Pick]],Table2[Week],Table1[[#This Row],[Week]])</f>
        <v>0</v>
      </c>
      <c r="J259" s="6">
        <f>IF(AND($C259="Rushing", $H259&lt;=0), 0, IF(AND($C259="Passing", $G$3&lt;=0), 0,IF(AND($C259="Receiving",$I259&lt;=0), 0,SUMIFS(Table2[Stat],Table2[Week],Table1[[#This Row],[Week]],Table2[Athlete],Table1[[#This Row],[Pick]],Table2[Stat Category],"passing",Table2[Stat Type],"TD"))))</f>
        <v>0</v>
      </c>
      <c r="K259" s="6">
        <f>IF(AND($C259="Rushing", $H259&lt;=0), 0, IF(AND($C259="Passing", $G$3&lt;=0), 0,IF(AND($C259="Receiving",$I259&lt;=0),0,SUMIFS(Table2[Stat],Table2[Week],Table1[[#This Row],[Week]],Table2[Athlete],Table1[[#This Row],[Pick]],Table2[Stat Category],"rushing",Table2[Stat Type],"TD"))))</f>
        <v>0</v>
      </c>
      <c r="L259" s="6">
        <f>IF(AND($C259="Rushing", $H259&lt;=0), 0, IF(AND($C259="Passing", $G$3&lt;=0), 0,IF(AND($C259="Receiving",$I259&lt;=0),0,SUMIFS(Table2[Stat],Table2[Week],Table1[[#This Row],[Week]],Table2[Athlete],Table1[[#This Row],[Pick]],Table2[Stat Category],"receiving",Table2[Stat Type],"TD"))))</f>
        <v>0</v>
      </c>
      <c r="M2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9" s="61">
        <f>SUMIFS(Data!$J:$J,Data!$A:$A,Info!$B259,Data!$G:$G,Info!$C259,Data!$I:$I,Info!$D259,Data!$H:$H,"TOT")</f>
        <v>0</v>
      </c>
      <c r="O259" s="61">
        <f>IF(C259="Defensive",SUMIFS(Data!$J:$J,Data!$A:$A,Info!$B259,Data!$I:$I,Info!$D259,Data!$H:$H,"INT"),0)</f>
        <v>0</v>
      </c>
      <c r="P259" s="61">
        <f>IF(Table1[[#This Row],[Role]]="Defensive",SUMIFS(Data!$J:$J,Data!$A:$A,Info!$B259,Data!$I:$I,Info!$D259,Data!$H:$H,$P$1),0)</f>
        <v>0</v>
      </c>
      <c r="Q259" s="65" t="str">
        <f>IF(Table1[[#This Row],[Pick]]="","",IF(S259&gt;1,400,IF(G259="","",IF(C259="Passing",(400-Table1[[#This Row],[Passing Yards]]-(30*Table1[[#This Row],[Passing TDs]])-(50*SUM(Table1[[#This Row],[Rushing TDs]:[Other TD''s]]))),IF(C259="Rushing",2*(200-Table1[[#This Row],[Rushing Yards]]-(30*Table1[[#This Row],[Passing TDs]])-50*(Table1[[#This Row],[Rushing TDs]]+Table1[[#This Row],[Receiving TDs]]+Table1[[#This Row],[Other TD''s]])),IF(C259="Receiving",2*(200-Table1[[#This Row],[Receiving Yards]]-(30*Table1[[#This Row],[Passing TDs]])-50*(Table1[[#This Row],[Rushing TDs]]+Table1[[#This Row],[Receiving TDs]]+Table1[[#This Row],[Other TD''s]])),IF(C259="Defensive",(25*(16-Table1[[#This Row],[Tackles]]-(8*(Table1[[#This Row],[Other TD''s]]+Table1[[#This Row],[Interceptions]]+Table1[[#This Row],[Fumbles Recovered]])))))))))))</f>
        <v/>
      </c>
      <c r="R259" s="3" t="str">
        <f t="shared" si="8"/>
        <v/>
      </c>
      <c r="S259" s="4">
        <f t="shared" ref="S259:S322" si="9">COUNTIF(R:R,R259)</f>
        <v>1048507</v>
      </c>
      <c r="T2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0" spans="1:20" hidden="1" x14ac:dyDescent="0.25">
      <c r="A260" t="s">
        <v>61</v>
      </c>
      <c r="B260" s="28" t="s">
        <v>47</v>
      </c>
      <c r="C260" t="s">
        <v>6</v>
      </c>
      <c r="D260" t="str">
        <f>_xlfn.XLOOKUP(Table1[[#This Row],[Player]]&amp;Table1[[#This Row],[Week]]&amp;Table1[[#This Row],[Role]],'Google Form Transform'!$A:$A,'Google Form Transform'!E:E,"")</f>
        <v/>
      </c>
      <c r="E260" t="str">
        <f>_xlfn.XLOOKUP(Table1[[#This Row],[Player]]&amp;Table1[[#This Row],[Week]]&amp;Table1[[#This Row],[Role]],'Google Form Transform'!$A:$A,'Google Form Transform'!F:F,"")</f>
        <v/>
      </c>
      <c r="F260" t="str">
        <f>_xlfn.XLOOKUP(Table1[[#This Row],[Player]]&amp;Table1[[#This Row],[Week]]&amp;Table1[[#This Row],[Role]],'Google Form Transform'!$A:$A,'Google Form Transform'!G:G,"")</f>
        <v/>
      </c>
      <c r="G260" s="59">
        <f>SUMIFS(Table2[Stat],Table2[Stat Category],"passing",Table2[Stat Type],"YDS",Table2[Athlete],Table1[[#This Row],[Pick]],Table2[Week],Table1[[#This Row],[Week]])</f>
        <v>0</v>
      </c>
      <c r="H260" s="59">
        <f>SUMIFS(Table2[Stat],Table2[Stat Category],"rushing",Table2[Stat Type],"YDS",Table2[Athlete],Table1[[#This Row],[Pick]],Table2[Week],Table1[[#This Row],[Week]])</f>
        <v>0</v>
      </c>
      <c r="I260" s="59">
        <f>SUMIFS(Table2[Stat],Table2[Stat Category],"receiving",Table2[Stat Type],"YDS",Table2[Athlete],Table1[[#This Row],[Pick]],Table2[Week],Table1[[#This Row],[Week]])</f>
        <v>0</v>
      </c>
      <c r="J260" s="6">
        <f>IF(AND($C260="Rushing", $H260&lt;=0), 0, IF(AND($C260="Passing", $G$3&lt;=0), 0,IF(AND($C260="Receiving",$I260&lt;=0), 0,SUMIFS(Table2[Stat],Table2[Week],Table1[[#This Row],[Week]],Table2[Athlete],Table1[[#This Row],[Pick]],Table2[Stat Category],"passing",Table2[Stat Type],"TD"))))</f>
        <v>0</v>
      </c>
      <c r="K260" s="6">
        <f>IF(AND($C260="Rushing", $H260&lt;=0), 0, IF(AND($C260="Passing", $G$3&lt;=0), 0,IF(AND($C260="Receiving",$I260&lt;=0),0,SUMIFS(Table2[Stat],Table2[Week],Table1[[#This Row],[Week]],Table2[Athlete],Table1[[#This Row],[Pick]],Table2[Stat Category],"rushing",Table2[Stat Type],"TD"))))</f>
        <v>0</v>
      </c>
      <c r="L260" s="6">
        <f>IF(AND($C260="Rushing", $H260&lt;=0), 0, IF(AND($C260="Passing", $G$3&lt;=0), 0,IF(AND($C260="Receiving",$I260&lt;=0),0,SUMIFS(Table2[Stat],Table2[Week],Table1[[#This Row],[Week]],Table2[Athlete],Table1[[#This Row],[Pick]],Table2[Stat Category],"receiving",Table2[Stat Type],"TD"))))</f>
        <v>0</v>
      </c>
      <c r="M2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0" s="61">
        <f>SUMIFS(Data!$J:$J,Data!$A:$A,Info!$B260,Data!$G:$G,Info!$C260,Data!$I:$I,Info!$D260,Data!$H:$H,"TOT")</f>
        <v>0</v>
      </c>
      <c r="O260" s="61">
        <f>IF(C260="Defensive",SUMIFS(Data!$J:$J,Data!$A:$A,Info!$B260,Data!$I:$I,Info!$D260,Data!$H:$H,"INT"),0)</f>
        <v>0</v>
      </c>
      <c r="P260" s="61">
        <f>IF(Table1[[#This Row],[Role]]="Defensive",SUMIFS(Data!$J:$J,Data!$A:$A,Info!$B260,Data!$I:$I,Info!$D260,Data!$H:$H,$P$1),0)</f>
        <v>0</v>
      </c>
      <c r="Q260" s="65" t="str">
        <f>IF(Table1[[#This Row],[Pick]]="","",IF(S260&gt;1,400,IF(G260="","",IF(C260="Passing",(400-Table1[[#This Row],[Passing Yards]]-(30*Table1[[#This Row],[Passing TDs]])-(50*SUM(Table1[[#This Row],[Rushing TDs]:[Other TD''s]]))),IF(C260="Rushing",2*(200-Table1[[#This Row],[Rushing Yards]]-(30*Table1[[#This Row],[Passing TDs]])-50*(Table1[[#This Row],[Rushing TDs]]+Table1[[#This Row],[Receiving TDs]]+Table1[[#This Row],[Other TD''s]])),IF(C260="Receiving",2*(200-Table1[[#This Row],[Receiving Yards]]-(30*Table1[[#This Row],[Passing TDs]])-50*(Table1[[#This Row],[Rushing TDs]]+Table1[[#This Row],[Receiving TDs]]+Table1[[#This Row],[Other TD''s]])),IF(C260="Defensive",(25*(16-Table1[[#This Row],[Tackles]]-(8*(Table1[[#This Row],[Other TD''s]]+Table1[[#This Row],[Interceptions]]+Table1[[#This Row],[Fumbles Recovered]])))))))))))</f>
        <v/>
      </c>
      <c r="R260" s="3" t="str">
        <f t="shared" ref="R260:R323" si="10">IF(D260="","",A260&amp;C260&amp;D260)</f>
        <v/>
      </c>
      <c r="S260" s="4">
        <f t="shared" si="9"/>
        <v>1048507</v>
      </c>
      <c r="T2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1" spans="1:20" hidden="1" x14ac:dyDescent="0.25">
      <c r="A261" t="s">
        <v>61</v>
      </c>
      <c r="B261" s="28" t="s">
        <v>47</v>
      </c>
      <c r="C261" t="s">
        <v>17</v>
      </c>
      <c r="D261" t="str">
        <f>_xlfn.XLOOKUP(Table1[[#This Row],[Player]]&amp;Table1[[#This Row],[Week]]&amp;Table1[[#This Row],[Role]],'Google Form Transform'!$A:$A,'Google Form Transform'!E:E,"")</f>
        <v/>
      </c>
      <c r="E261" t="str">
        <f>_xlfn.XLOOKUP(Table1[[#This Row],[Player]]&amp;Table1[[#This Row],[Week]]&amp;Table1[[#This Row],[Role]],'Google Form Transform'!$A:$A,'Google Form Transform'!F:F,"")</f>
        <v/>
      </c>
      <c r="F261" t="str">
        <f>_xlfn.XLOOKUP(Table1[[#This Row],[Player]]&amp;Table1[[#This Row],[Week]]&amp;Table1[[#This Row],[Role]],'Google Form Transform'!$A:$A,'Google Form Transform'!G:G,"")</f>
        <v/>
      </c>
      <c r="G261" s="59">
        <f>SUMIFS(Table2[Stat],Table2[Stat Category],"passing",Table2[Stat Type],"YDS",Table2[Athlete],Table1[[#This Row],[Pick]],Table2[Week],Table1[[#This Row],[Week]])</f>
        <v>0</v>
      </c>
      <c r="H261" s="59">
        <f>SUMIFS(Table2[Stat],Table2[Stat Category],"rushing",Table2[Stat Type],"YDS",Table2[Athlete],Table1[[#This Row],[Pick]],Table2[Week],Table1[[#This Row],[Week]])</f>
        <v>0</v>
      </c>
      <c r="I261" s="59">
        <f>SUMIFS(Table2[Stat],Table2[Stat Category],"receiving",Table2[Stat Type],"YDS",Table2[Athlete],Table1[[#This Row],[Pick]],Table2[Week],Table1[[#This Row],[Week]])</f>
        <v>0</v>
      </c>
      <c r="J261" s="6">
        <f>IF(AND($C261="Rushing", $H261&lt;=0), 0, IF(AND($C261="Passing", $G$3&lt;=0), 0,IF(AND($C261="Receiving",$I261&lt;=0), 0,SUMIFS(Table2[Stat],Table2[Week],Table1[[#This Row],[Week]],Table2[Athlete],Table1[[#This Row],[Pick]],Table2[Stat Category],"passing",Table2[Stat Type],"TD"))))</f>
        <v>0</v>
      </c>
      <c r="K261" s="6">
        <f>IF(AND($C261="Rushing", $H261&lt;=0), 0, IF(AND($C261="Passing", $G$3&lt;=0), 0,IF(AND($C261="Receiving",$I261&lt;=0),0,SUMIFS(Table2[Stat],Table2[Week],Table1[[#This Row],[Week]],Table2[Athlete],Table1[[#This Row],[Pick]],Table2[Stat Category],"rushing",Table2[Stat Type],"TD"))))</f>
        <v>0</v>
      </c>
      <c r="L261" s="6">
        <f>IF(AND($C261="Rushing", $H261&lt;=0), 0, IF(AND($C261="Passing", $G$3&lt;=0), 0,IF(AND($C261="Receiving",$I261&lt;=0),0,SUMIFS(Table2[Stat],Table2[Week],Table1[[#This Row],[Week]],Table2[Athlete],Table1[[#This Row],[Pick]],Table2[Stat Category],"receiving",Table2[Stat Type],"TD"))))</f>
        <v>0</v>
      </c>
      <c r="M2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1" s="61">
        <f>SUMIFS(Data!$J:$J,Data!$A:$A,Info!$B261,Data!$G:$G,Info!$C261,Data!$I:$I,Info!$D261,Data!$H:$H,"TOT")</f>
        <v>0</v>
      </c>
      <c r="O261" s="61">
        <f>IF(C261="Defensive",SUMIFS(Data!$J:$J,Data!$A:$A,Info!$B261,Data!$I:$I,Info!$D261,Data!$H:$H,"INT"),0)</f>
        <v>0</v>
      </c>
      <c r="P261" s="61">
        <f>IF(Table1[[#This Row],[Role]]="Defensive",SUMIFS(Data!$J:$J,Data!$A:$A,Info!$B261,Data!$I:$I,Info!$D261,Data!$H:$H,$P$1),0)</f>
        <v>0</v>
      </c>
      <c r="Q261" s="65" t="str">
        <f>IF(Table1[[#This Row],[Pick]]="","",IF(S261&gt;1,400,IF(G261="","",IF(C261="Passing",(400-Table1[[#This Row],[Passing Yards]]-(30*Table1[[#This Row],[Passing TDs]])-(50*SUM(Table1[[#This Row],[Rushing TDs]:[Other TD''s]]))),IF(C261="Rushing",2*(200-Table1[[#This Row],[Rushing Yards]]-(30*Table1[[#This Row],[Passing TDs]])-50*(Table1[[#This Row],[Rushing TDs]]+Table1[[#This Row],[Receiving TDs]]+Table1[[#This Row],[Other TD''s]])),IF(C261="Receiving",2*(200-Table1[[#This Row],[Receiving Yards]]-(30*Table1[[#This Row],[Passing TDs]])-50*(Table1[[#This Row],[Rushing TDs]]+Table1[[#This Row],[Receiving TDs]]+Table1[[#This Row],[Other TD''s]])),IF(C261="Defensive",(25*(16-Table1[[#This Row],[Tackles]]-(8*(Table1[[#This Row],[Other TD''s]]+Table1[[#This Row],[Interceptions]]+Table1[[#This Row],[Fumbles Recovered]])))))))))))</f>
        <v/>
      </c>
      <c r="R261" s="3" t="str">
        <f t="shared" si="10"/>
        <v/>
      </c>
      <c r="S261" s="4">
        <f t="shared" si="9"/>
        <v>1048507</v>
      </c>
      <c r="T2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2" spans="1:20" hidden="1" x14ac:dyDescent="0.25">
      <c r="A262" t="s">
        <v>61</v>
      </c>
      <c r="B262" s="28" t="s">
        <v>47</v>
      </c>
      <c r="C262" t="s">
        <v>20</v>
      </c>
      <c r="D262" t="str">
        <f>_xlfn.XLOOKUP(Table1[[#This Row],[Player]]&amp;Table1[[#This Row],[Week]]&amp;Table1[[#This Row],[Role]],'Google Form Transform'!$A:$A,'Google Form Transform'!E:E,"")</f>
        <v/>
      </c>
      <c r="E262" t="str">
        <f>_xlfn.XLOOKUP(Table1[[#This Row],[Player]]&amp;Table1[[#This Row],[Week]]&amp;Table1[[#This Row],[Role]],'Google Form Transform'!$A:$A,'Google Form Transform'!F:F,"")</f>
        <v/>
      </c>
      <c r="F262" t="str">
        <f>_xlfn.XLOOKUP(Table1[[#This Row],[Player]]&amp;Table1[[#This Row],[Week]]&amp;Table1[[#This Row],[Role]],'Google Form Transform'!$A:$A,'Google Form Transform'!G:G,"")</f>
        <v/>
      </c>
      <c r="G262" s="59">
        <f>SUMIFS(Table2[Stat],Table2[Stat Category],"passing",Table2[Stat Type],"YDS",Table2[Athlete],Table1[[#This Row],[Pick]],Table2[Week],Table1[[#This Row],[Week]])</f>
        <v>0</v>
      </c>
      <c r="H262" s="59">
        <f>SUMIFS(Table2[Stat],Table2[Stat Category],"rushing",Table2[Stat Type],"YDS",Table2[Athlete],Table1[[#This Row],[Pick]],Table2[Week],Table1[[#This Row],[Week]])</f>
        <v>0</v>
      </c>
      <c r="I262" s="59">
        <f>SUMIFS(Table2[Stat],Table2[Stat Category],"receiving",Table2[Stat Type],"YDS",Table2[Athlete],Table1[[#This Row],[Pick]],Table2[Week],Table1[[#This Row],[Week]])</f>
        <v>0</v>
      </c>
      <c r="J262" s="6">
        <f>IF(AND($C262="Rushing", $H262&lt;=0), 0, IF(AND($C262="Passing", $G$3&lt;=0), 0,IF(AND($C262="Receiving",$I262&lt;=0), 0,SUMIFS(Table2[Stat],Table2[Week],Table1[[#This Row],[Week]],Table2[Athlete],Table1[[#This Row],[Pick]],Table2[Stat Category],"passing",Table2[Stat Type],"TD"))))</f>
        <v>0</v>
      </c>
      <c r="K262" s="6">
        <f>IF(AND($C262="Rushing", $H262&lt;=0), 0, IF(AND($C262="Passing", $G$3&lt;=0), 0,IF(AND($C262="Receiving",$I262&lt;=0),0,SUMIFS(Table2[Stat],Table2[Week],Table1[[#This Row],[Week]],Table2[Athlete],Table1[[#This Row],[Pick]],Table2[Stat Category],"rushing",Table2[Stat Type],"TD"))))</f>
        <v>0</v>
      </c>
      <c r="L262" s="6">
        <f>IF(AND($C262="Rushing", $H262&lt;=0), 0, IF(AND($C262="Passing", $G$3&lt;=0), 0,IF(AND($C262="Receiving",$I262&lt;=0),0,SUMIFS(Table2[Stat],Table2[Week],Table1[[#This Row],[Week]],Table2[Athlete],Table1[[#This Row],[Pick]],Table2[Stat Category],"receiving",Table2[Stat Type],"TD"))))</f>
        <v>0</v>
      </c>
      <c r="M2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2" s="61">
        <f>SUMIFS(Data!$J:$J,Data!$A:$A,Info!$B262,Data!$G:$G,Info!$C262,Data!$I:$I,Info!$D262,Data!$H:$H,"TOT")</f>
        <v>0</v>
      </c>
      <c r="O262" s="61">
        <f>IF(C262="Defensive",SUMIFS(Data!$J:$J,Data!$A:$A,Info!$B262,Data!$I:$I,Info!$D262,Data!$H:$H,"INT"),0)</f>
        <v>0</v>
      </c>
      <c r="P262" s="61">
        <f>IF(Table1[[#This Row],[Role]]="Defensive",SUMIFS(Data!$J:$J,Data!$A:$A,Info!$B262,Data!$I:$I,Info!$D262,Data!$H:$H,$P$1),0)</f>
        <v>0</v>
      </c>
      <c r="Q262" s="65" t="str">
        <f>IF(Table1[[#This Row],[Pick]]="","",IF(S262&gt;1,400,IF(G262="","",IF(C262="Passing",(400-Table1[[#This Row],[Passing Yards]]-(30*Table1[[#This Row],[Passing TDs]])-(50*SUM(Table1[[#This Row],[Rushing TDs]:[Other TD''s]]))),IF(C262="Rushing",2*(200-Table1[[#This Row],[Rushing Yards]]-(30*Table1[[#This Row],[Passing TDs]])-50*(Table1[[#This Row],[Rushing TDs]]+Table1[[#This Row],[Receiving TDs]]+Table1[[#This Row],[Other TD''s]])),IF(C262="Receiving",2*(200-Table1[[#This Row],[Receiving Yards]]-(30*Table1[[#This Row],[Passing TDs]])-50*(Table1[[#This Row],[Rushing TDs]]+Table1[[#This Row],[Receiving TDs]]+Table1[[#This Row],[Other TD''s]])),IF(C262="Defensive",(25*(16-Table1[[#This Row],[Tackles]]-(8*(Table1[[#This Row],[Other TD''s]]+Table1[[#This Row],[Interceptions]]+Table1[[#This Row],[Fumbles Recovered]])))))))))))</f>
        <v/>
      </c>
      <c r="R262" s="3" t="str">
        <f t="shared" si="10"/>
        <v/>
      </c>
      <c r="S262" s="4">
        <f t="shared" si="9"/>
        <v>1048507</v>
      </c>
      <c r="T2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3" spans="1:20" hidden="1" x14ac:dyDescent="0.25">
      <c r="A263" t="s">
        <v>60</v>
      </c>
      <c r="B263" s="28" t="s">
        <v>47</v>
      </c>
      <c r="C263" t="s">
        <v>16</v>
      </c>
      <c r="D263" t="str">
        <f>_xlfn.XLOOKUP(Table1[[#This Row],[Player]]&amp;Table1[[#This Row],[Week]]&amp;Table1[[#This Row],[Role]],'Google Form Transform'!$A:$A,'Google Form Transform'!E:E,"")</f>
        <v/>
      </c>
      <c r="E263" t="str">
        <f>_xlfn.XLOOKUP(Table1[[#This Row],[Player]]&amp;Table1[[#This Row],[Week]]&amp;Table1[[#This Row],[Role]],'Google Form Transform'!$A:$A,'Google Form Transform'!F:F,"")</f>
        <v/>
      </c>
      <c r="F263" t="str">
        <f>_xlfn.XLOOKUP(Table1[[#This Row],[Player]]&amp;Table1[[#This Row],[Week]]&amp;Table1[[#This Row],[Role]],'Google Form Transform'!$A:$A,'Google Form Transform'!G:G,"")</f>
        <v/>
      </c>
      <c r="G263" s="59">
        <f>SUMIFS(Table2[Stat],Table2[Stat Category],"passing",Table2[Stat Type],"YDS",Table2[Athlete],Table1[[#This Row],[Pick]],Table2[Week],Table1[[#This Row],[Week]])</f>
        <v>0</v>
      </c>
      <c r="H263" s="59">
        <f>SUMIFS(Table2[Stat],Table2[Stat Category],"rushing",Table2[Stat Type],"YDS",Table2[Athlete],Table1[[#This Row],[Pick]],Table2[Week],Table1[[#This Row],[Week]])</f>
        <v>0</v>
      </c>
      <c r="I263" s="59">
        <f>SUMIFS(Table2[Stat],Table2[Stat Category],"receiving",Table2[Stat Type],"YDS",Table2[Athlete],Table1[[#This Row],[Pick]],Table2[Week],Table1[[#This Row],[Week]])</f>
        <v>0</v>
      </c>
      <c r="J263" s="6">
        <f>IF(AND($C263="Rushing", $H263&lt;=0), 0, IF(AND($C263="Passing", $G$3&lt;=0), 0,IF(AND($C263="Receiving",$I263&lt;=0), 0,SUMIFS(Table2[Stat],Table2[Week],Table1[[#This Row],[Week]],Table2[Athlete],Table1[[#This Row],[Pick]],Table2[Stat Category],"passing",Table2[Stat Type],"TD"))))</f>
        <v>0</v>
      </c>
      <c r="K263" s="6">
        <f>IF(AND($C263="Rushing", $H263&lt;=0), 0, IF(AND($C263="Passing", $G$3&lt;=0), 0,IF(AND($C263="Receiving",$I263&lt;=0),0,SUMIFS(Table2[Stat],Table2[Week],Table1[[#This Row],[Week]],Table2[Athlete],Table1[[#This Row],[Pick]],Table2[Stat Category],"rushing",Table2[Stat Type],"TD"))))</f>
        <v>0</v>
      </c>
      <c r="L263" s="6">
        <f>IF(AND($C263="Rushing", $H263&lt;=0), 0, IF(AND($C263="Passing", $G$3&lt;=0), 0,IF(AND($C263="Receiving",$I263&lt;=0),0,SUMIFS(Table2[Stat],Table2[Week],Table1[[#This Row],[Week]],Table2[Athlete],Table1[[#This Row],[Pick]],Table2[Stat Category],"receiving",Table2[Stat Type],"TD"))))</f>
        <v>0</v>
      </c>
      <c r="M2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3" s="61">
        <f>SUMIFS(Data!$J:$J,Data!$A:$A,Info!$B263,Data!$G:$G,Info!$C263,Data!$I:$I,Info!$D263,Data!$H:$H,"TOT")</f>
        <v>0</v>
      </c>
      <c r="O263" s="61">
        <f>IF(C263="Defensive",SUMIFS(Data!$J:$J,Data!$A:$A,Info!$B263,Data!$I:$I,Info!$D263,Data!$H:$H,"INT"),0)</f>
        <v>0</v>
      </c>
      <c r="P263" s="61">
        <f>IF(Table1[[#This Row],[Role]]="Defensive",SUMIFS(Data!$J:$J,Data!$A:$A,Info!$B263,Data!$I:$I,Info!$D263,Data!$H:$H,$P$1),0)</f>
        <v>0</v>
      </c>
      <c r="Q263" s="65" t="str">
        <f>IF(Table1[[#This Row],[Pick]]="","",IF(S263&gt;1,400,IF(G263="","",IF(C263="Passing",(400-Table1[[#This Row],[Passing Yards]]-(30*Table1[[#This Row],[Passing TDs]])-(50*SUM(Table1[[#This Row],[Rushing TDs]:[Other TD''s]]))),IF(C263="Rushing",2*(200-Table1[[#This Row],[Rushing Yards]]-(30*Table1[[#This Row],[Passing TDs]])-50*(Table1[[#This Row],[Rushing TDs]]+Table1[[#This Row],[Receiving TDs]]+Table1[[#This Row],[Other TD''s]])),IF(C263="Receiving",2*(200-Table1[[#This Row],[Receiving Yards]]-(30*Table1[[#This Row],[Passing TDs]])-50*(Table1[[#This Row],[Rushing TDs]]+Table1[[#This Row],[Receiving TDs]]+Table1[[#This Row],[Other TD''s]])),IF(C263="Defensive",(25*(16-Table1[[#This Row],[Tackles]]-(8*(Table1[[#This Row],[Other TD''s]]+Table1[[#This Row],[Interceptions]]+Table1[[#This Row],[Fumbles Recovered]])))))))))))</f>
        <v/>
      </c>
      <c r="R263" s="3" t="str">
        <f t="shared" si="10"/>
        <v/>
      </c>
      <c r="S263" s="4">
        <f t="shared" si="9"/>
        <v>1048507</v>
      </c>
      <c r="T2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4" spans="1:20" hidden="1" x14ac:dyDescent="0.25">
      <c r="A264" t="s">
        <v>60</v>
      </c>
      <c r="B264" s="28" t="s">
        <v>47</v>
      </c>
      <c r="C264" t="s">
        <v>6</v>
      </c>
      <c r="D264" t="str">
        <f>_xlfn.XLOOKUP(Table1[[#This Row],[Player]]&amp;Table1[[#This Row],[Week]]&amp;Table1[[#This Row],[Role]],'Google Form Transform'!$A:$A,'Google Form Transform'!E:E,"")</f>
        <v/>
      </c>
      <c r="E264" t="str">
        <f>_xlfn.XLOOKUP(Table1[[#This Row],[Player]]&amp;Table1[[#This Row],[Week]]&amp;Table1[[#This Row],[Role]],'Google Form Transform'!$A:$A,'Google Form Transform'!F:F,"")</f>
        <v/>
      </c>
      <c r="F264" t="str">
        <f>_xlfn.XLOOKUP(Table1[[#This Row],[Player]]&amp;Table1[[#This Row],[Week]]&amp;Table1[[#This Row],[Role]],'Google Form Transform'!$A:$A,'Google Form Transform'!G:G,"")</f>
        <v/>
      </c>
      <c r="G264" s="59">
        <f>SUMIFS(Table2[Stat],Table2[Stat Category],"passing",Table2[Stat Type],"YDS",Table2[Athlete],Table1[[#This Row],[Pick]],Table2[Week],Table1[[#This Row],[Week]])</f>
        <v>0</v>
      </c>
      <c r="H264" s="59">
        <f>SUMIFS(Table2[Stat],Table2[Stat Category],"rushing",Table2[Stat Type],"YDS",Table2[Athlete],Table1[[#This Row],[Pick]],Table2[Week],Table1[[#This Row],[Week]])</f>
        <v>0</v>
      </c>
      <c r="I264" s="59">
        <f>SUMIFS(Table2[Stat],Table2[Stat Category],"receiving",Table2[Stat Type],"YDS",Table2[Athlete],Table1[[#This Row],[Pick]],Table2[Week],Table1[[#This Row],[Week]])</f>
        <v>0</v>
      </c>
      <c r="J264" s="6">
        <f>IF(AND($C264="Rushing", $H264&lt;=0), 0, IF(AND($C264="Passing", $G$3&lt;=0), 0,IF(AND($C264="Receiving",$I264&lt;=0), 0,SUMIFS(Table2[Stat],Table2[Week],Table1[[#This Row],[Week]],Table2[Athlete],Table1[[#This Row],[Pick]],Table2[Stat Category],"passing",Table2[Stat Type],"TD"))))</f>
        <v>0</v>
      </c>
      <c r="K264" s="6">
        <f>IF(AND($C264="Rushing", $H264&lt;=0), 0, IF(AND($C264="Passing", $G$3&lt;=0), 0,IF(AND($C264="Receiving",$I264&lt;=0),0,SUMIFS(Table2[Stat],Table2[Week],Table1[[#This Row],[Week]],Table2[Athlete],Table1[[#This Row],[Pick]],Table2[Stat Category],"rushing",Table2[Stat Type],"TD"))))</f>
        <v>0</v>
      </c>
      <c r="L264" s="6">
        <f>IF(AND($C264="Rushing", $H264&lt;=0), 0, IF(AND($C264="Passing", $G$3&lt;=0), 0,IF(AND($C264="Receiving",$I264&lt;=0),0,SUMIFS(Table2[Stat],Table2[Week],Table1[[#This Row],[Week]],Table2[Athlete],Table1[[#This Row],[Pick]],Table2[Stat Category],"receiving",Table2[Stat Type],"TD"))))</f>
        <v>0</v>
      </c>
      <c r="M2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4" s="61">
        <f>SUMIFS(Data!$J:$J,Data!$A:$A,Info!$B264,Data!$G:$G,Info!$C264,Data!$I:$I,Info!$D264,Data!$H:$H,"TOT")</f>
        <v>0</v>
      </c>
      <c r="O264" s="61">
        <f>IF(C264="Defensive",SUMIFS(Data!$J:$J,Data!$A:$A,Info!$B264,Data!$I:$I,Info!$D264,Data!$H:$H,"INT"),0)</f>
        <v>0</v>
      </c>
      <c r="P264" s="61">
        <f>IF(Table1[[#This Row],[Role]]="Defensive",SUMIFS(Data!$J:$J,Data!$A:$A,Info!$B264,Data!$I:$I,Info!$D264,Data!$H:$H,$P$1),0)</f>
        <v>0</v>
      </c>
      <c r="Q264" s="65" t="str">
        <f>IF(Table1[[#This Row],[Pick]]="","",IF(S264&gt;1,400,IF(G264="","",IF(C264="Passing",(400-Table1[[#This Row],[Passing Yards]]-(30*Table1[[#This Row],[Passing TDs]])-(50*SUM(Table1[[#This Row],[Rushing TDs]:[Other TD''s]]))),IF(C264="Rushing",2*(200-Table1[[#This Row],[Rushing Yards]]-(30*Table1[[#This Row],[Passing TDs]])-50*(Table1[[#This Row],[Rushing TDs]]+Table1[[#This Row],[Receiving TDs]]+Table1[[#This Row],[Other TD''s]])),IF(C264="Receiving",2*(200-Table1[[#This Row],[Receiving Yards]]-(30*Table1[[#This Row],[Passing TDs]])-50*(Table1[[#This Row],[Rushing TDs]]+Table1[[#This Row],[Receiving TDs]]+Table1[[#This Row],[Other TD''s]])),IF(C264="Defensive",(25*(16-Table1[[#This Row],[Tackles]]-(8*(Table1[[#This Row],[Other TD''s]]+Table1[[#This Row],[Interceptions]]+Table1[[#This Row],[Fumbles Recovered]])))))))))))</f>
        <v/>
      </c>
      <c r="R264" s="3" t="str">
        <f t="shared" si="10"/>
        <v/>
      </c>
      <c r="S264" s="4">
        <f t="shared" si="9"/>
        <v>1048507</v>
      </c>
      <c r="T2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5" spans="1:20" hidden="1" x14ac:dyDescent="0.25">
      <c r="A265" t="s">
        <v>60</v>
      </c>
      <c r="B265" s="28" t="s">
        <v>47</v>
      </c>
      <c r="C265" t="s">
        <v>17</v>
      </c>
      <c r="D265" t="str">
        <f>_xlfn.XLOOKUP(Table1[[#This Row],[Player]]&amp;Table1[[#This Row],[Week]]&amp;Table1[[#This Row],[Role]],'Google Form Transform'!$A:$A,'Google Form Transform'!E:E,"")</f>
        <v/>
      </c>
      <c r="E265" t="str">
        <f>_xlfn.XLOOKUP(Table1[[#This Row],[Player]]&amp;Table1[[#This Row],[Week]]&amp;Table1[[#This Row],[Role]],'Google Form Transform'!$A:$A,'Google Form Transform'!F:F,"")</f>
        <v/>
      </c>
      <c r="F265" t="str">
        <f>_xlfn.XLOOKUP(Table1[[#This Row],[Player]]&amp;Table1[[#This Row],[Week]]&amp;Table1[[#This Row],[Role]],'Google Form Transform'!$A:$A,'Google Form Transform'!G:G,"")</f>
        <v/>
      </c>
      <c r="G265" s="59">
        <f>SUMIFS(Table2[Stat],Table2[Stat Category],"passing",Table2[Stat Type],"YDS",Table2[Athlete],Table1[[#This Row],[Pick]],Table2[Week],Table1[[#This Row],[Week]])</f>
        <v>0</v>
      </c>
      <c r="H265" s="59">
        <f>SUMIFS(Table2[Stat],Table2[Stat Category],"rushing",Table2[Stat Type],"YDS",Table2[Athlete],Table1[[#This Row],[Pick]],Table2[Week],Table1[[#This Row],[Week]])</f>
        <v>0</v>
      </c>
      <c r="I265" s="59">
        <f>SUMIFS(Table2[Stat],Table2[Stat Category],"receiving",Table2[Stat Type],"YDS",Table2[Athlete],Table1[[#This Row],[Pick]],Table2[Week],Table1[[#This Row],[Week]])</f>
        <v>0</v>
      </c>
      <c r="J265" s="6">
        <f>IF(AND($C265="Rushing", $H265&lt;=0), 0, IF(AND($C265="Passing", $G$3&lt;=0), 0,IF(AND($C265="Receiving",$I265&lt;=0), 0,SUMIFS(Table2[Stat],Table2[Week],Table1[[#This Row],[Week]],Table2[Athlete],Table1[[#This Row],[Pick]],Table2[Stat Category],"passing",Table2[Stat Type],"TD"))))</f>
        <v>0</v>
      </c>
      <c r="K265" s="6">
        <f>IF(AND($C265="Rushing", $H265&lt;=0), 0, IF(AND($C265="Passing", $G$3&lt;=0), 0,IF(AND($C265="Receiving",$I265&lt;=0),0,SUMIFS(Table2[Stat],Table2[Week],Table1[[#This Row],[Week]],Table2[Athlete],Table1[[#This Row],[Pick]],Table2[Stat Category],"rushing",Table2[Stat Type],"TD"))))</f>
        <v>0</v>
      </c>
      <c r="L265" s="6">
        <f>IF(AND($C265="Rushing", $H265&lt;=0), 0, IF(AND($C265="Passing", $G$3&lt;=0), 0,IF(AND($C265="Receiving",$I265&lt;=0),0,SUMIFS(Table2[Stat],Table2[Week],Table1[[#This Row],[Week]],Table2[Athlete],Table1[[#This Row],[Pick]],Table2[Stat Category],"receiving",Table2[Stat Type],"TD"))))</f>
        <v>0</v>
      </c>
      <c r="M2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5" s="61">
        <f>SUMIFS(Data!$J:$J,Data!$A:$A,Info!$B265,Data!$G:$G,Info!$C265,Data!$I:$I,Info!$D265,Data!$H:$H,"TOT")</f>
        <v>0</v>
      </c>
      <c r="O265" s="61">
        <f>IF(C265="Defensive",SUMIFS(Data!$J:$J,Data!$A:$A,Info!$B265,Data!$I:$I,Info!$D265,Data!$H:$H,"INT"),0)</f>
        <v>0</v>
      </c>
      <c r="P265" s="61">
        <f>IF(Table1[[#This Row],[Role]]="Defensive",SUMIFS(Data!$J:$J,Data!$A:$A,Info!$B265,Data!$I:$I,Info!$D265,Data!$H:$H,$P$1),0)</f>
        <v>0</v>
      </c>
      <c r="Q265" s="65" t="str">
        <f>IF(Table1[[#This Row],[Pick]]="","",IF(S265&gt;1,400,IF(G265="","",IF(C265="Passing",(400-Table1[[#This Row],[Passing Yards]]-(30*Table1[[#This Row],[Passing TDs]])-(50*SUM(Table1[[#This Row],[Rushing TDs]:[Other TD''s]]))),IF(C265="Rushing",2*(200-Table1[[#This Row],[Rushing Yards]]-(30*Table1[[#This Row],[Passing TDs]])-50*(Table1[[#This Row],[Rushing TDs]]+Table1[[#This Row],[Receiving TDs]]+Table1[[#This Row],[Other TD''s]])),IF(C265="Receiving",2*(200-Table1[[#This Row],[Receiving Yards]]-(30*Table1[[#This Row],[Passing TDs]])-50*(Table1[[#This Row],[Rushing TDs]]+Table1[[#This Row],[Receiving TDs]]+Table1[[#This Row],[Other TD''s]])),IF(C265="Defensive",(25*(16-Table1[[#This Row],[Tackles]]-(8*(Table1[[#This Row],[Other TD''s]]+Table1[[#This Row],[Interceptions]]+Table1[[#This Row],[Fumbles Recovered]])))))))))))</f>
        <v/>
      </c>
      <c r="R265" s="3" t="str">
        <f t="shared" si="10"/>
        <v/>
      </c>
      <c r="S265" s="4">
        <f t="shared" si="9"/>
        <v>1048507</v>
      </c>
      <c r="T2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6" spans="1:20" hidden="1" x14ac:dyDescent="0.25">
      <c r="A266" t="s">
        <v>60</v>
      </c>
      <c r="B266" s="28" t="s">
        <v>47</v>
      </c>
      <c r="C266" t="s">
        <v>20</v>
      </c>
      <c r="D266" t="str">
        <f>_xlfn.XLOOKUP(Table1[[#This Row],[Player]]&amp;Table1[[#This Row],[Week]]&amp;Table1[[#This Row],[Role]],'Google Form Transform'!$A:$A,'Google Form Transform'!E:E,"")</f>
        <v/>
      </c>
      <c r="E266" t="str">
        <f>_xlfn.XLOOKUP(Table1[[#This Row],[Player]]&amp;Table1[[#This Row],[Week]]&amp;Table1[[#This Row],[Role]],'Google Form Transform'!$A:$A,'Google Form Transform'!F:F,"")</f>
        <v/>
      </c>
      <c r="F266" t="str">
        <f>_xlfn.XLOOKUP(Table1[[#This Row],[Player]]&amp;Table1[[#This Row],[Week]]&amp;Table1[[#This Row],[Role]],'Google Form Transform'!$A:$A,'Google Form Transform'!G:G,"")</f>
        <v/>
      </c>
      <c r="G266" s="59">
        <f>SUMIFS(Table2[Stat],Table2[Stat Category],"passing",Table2[Stat Type],"YDS",Table2[Athlete],Table1[[#This Row],[Pick]],Table2[Week],Table1[[#This Row],[Week]])</f>
        <v>0</v>
      </c>
      <c r="H266" s="59">
        <f>SUMIFS(Table2[Stat],Table2[Stat Category],"rushing",Table2[Stat Type],"YDS",Table2[Athlete],Table1[[#This Row],[Pick]],Table2[Week],Table1[[#This Row],[Week]])</f>
        <v>0</v>
      </c>
      <c r="I266" s="59">
        <f>SUMIFS(Table2[Stat],Table2[Stat Category],"receiving",Table2[Stat Type],"YDS",Table2[Athlete],Table1[[#This Row],[Pick]],Table2[Week],Table1[[#This Row],[Week]])</f>
        <v>0</v>
      </c>
      <c r="J266" s="6">
        <f>IF(AND($C266="Rushing", $H266&lt;=0), 0, IF(AND($C266="Passing", $G$3&lt;=0), 0,IF(AND($C266="Receiving",$I266&lt;=0), 0,SUMIFS(Table2[Stat],Table2[Week],Table1[[#This Row],[Week]],Table2[Athlete],Table1[[#This Row],[Pick]],Table2[Stat Category],"passing",Table2[Stat Type],"TD"))))</f>
        <v>0</v>
      </c>
      <c r="K266" s="6">
        <f>IF(AND($C266="Rushing", $H266&lt;=0), 0, IF(AND($C266="Passing", $G$3&lt;=0), 0,IF(AND($C266="Receiving",$I266&lt;=0),0,SUMIFS(Table2[Stat],Table2[Week],Table1[[#This Row],[Week]],Table2[Athlete],Table1[[#This Row],[Pick]],Table2[Stat Category],"rushing",Table2[Stat Type],"TD"))))</f>
        <v>0</v>
      </c>
      <c r="L266" s="6">
        <f>IF(AND($C266="Rushing", $H266&lt;=0), 0, IF(AND($C266="Passing", $G$3&lt;=0), 0,IF(AND($C266="Receiving",$I266&lt;=0),0,SUMIFS(Table2[Stat],Table2[Week],Table1[[#This Row],[Week]],Table2[Athlete],Table1[[#This Row],[Pick]],Table2[Stat Category],"receiving",Table2[Stat Type],"TD"))))</f>
        <v>0</v>
      </c>
      <c r="M2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6" s="61">
        <f>SUMIFS(Data!$J:$J,Data!$A:$A,Info!$B266,Data!$G:$G,Info!$C266,Data!$I:$I,Info!$D266,Data!$H:$H,"TOT")</f>
        <v>0</v>
      </c>
      <c r="O266" s="61">
        <f>IF(C266="Defensive",SUMIFS(Data!$J:$J,Data!$A:$A,Info!$B266,Data!$I:$I,Info!$D266,Data!$H:$H,"INT"),0)</f>
        <v>0</v>
      </c>
      <c r="P266" s="61">
        <f>IF(Table1[[#This Row],[Role]]="Defensive",SUMIFS(Data!$J:$J,Data!$A:$A,Info!$B266,Data!$I:$I,Info!$D266,Data!$H:$H,$P$1),0)</f>
        <v>0</v>
      </c>
      <c r="Q266" s="65" t="str">
        <f>IF(Table1[[#This Row],[Pick]]="","",IF(S266&gt;1,400,IF(G266="","",IF(C266="Passing",(400-Table1[[#This Row],[Passing Yards]]-(30*Table1[[#This Row],[Passing TDs]])-(50*SUM(Table1[[#This Row],[Rushing TDs]:[Other TD''s]]))),IF(C266="Rushing",2*(200-Table1[[#This Row],[Rushing Yards]]-(30*Table1[[#This Row],[Passing TDs]])-50*(Table1[[#This Row],[Rushing TDs]]+Table1[[#This Row],[Receiving TDs]]+Table1[[#This Row],[Other TD''s]])),IF(C266="Receiving",2*(200-Table1[[#This Row],[Receiving Yards]]-(30*Table1[[#This Row],[Passing TDs]])-50*(Table1[[#This Row],[Rushing TDs]]+Table1[[#This Row],[Receiving TDs]]+Table1[[#This Row],[Other TD''s]])),IF(C266="Defensive",(25*(16-Table1[[#This Row],[Tackles]]-(8*(Table1[[#This Row],[Other TD''s]]+Table1[[#This Row],[Interceptions]]+Table1[[#This Row],[Fumbles Recovered]])))))))))))</f>
        <v/>
      </c>
      <c r="R266" s="3" t="str">
        <f t="shared" si="10"/>
        <v/>
      </c>
      <c r="S266" s="4">
        <f t="shared" si="9"/>
        <v>1048507</v>
      </c>
      <c r="T2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7" spans="1:20" hidden="1" x14ac:dyDescent="0.25">
      <c r="A267" t="s">
        <v>62</v>
      </c>
      <c r="B267" s="28" t="s">
        <v>47</v>
      </c>
      <c r="C267" t="s">
        <v>16</v>
      </c>
      <c r="D267" t="str">
        <f>_xlfn.XLOOKUP(Table1[[#This Row],[Player]]&amp;Table1[[#This Row],[Week]]&amp;Table1[[#This Row],[Role]],'Google Form Transform'!$A:$A,'Google Form Transform'!E:E,"")</f>
        <v/>
      </c>
      <c r="E267" t="str">
        <f>_xlfn.XLOOKUP(Table1[[#This Row],[Player]]&amp;Table1[[#This Row],[Week]]&amp;Table1[[#This Row],[Role]],'Google Form Transform'!$A:$A,'Google Form Transform'!F:F,"")</f>
        <v/>
      </c>
      <c r="F267" t="str">
        <f>_xlfn.XLOOKUP(Table1[[#This Row],[Player]]&amp;Table1[[#This Row],[Week]]&amp;Table1[[#This Row],[Role]],'Google Form Transform'!$A:$A,'Google Form Transform'!G:G,"")</f>
        <v/>
      </c>
      <c r="G267" s="59">
        <f>SUMIFS(Table2[Stat],Table2[Stat Category],"passing",Table2[Stat Type],"YDS",Table2[Athlete],Table1[[#This Row],[Pick]],Table2[Week],Table1[[#This Row],[Week]])</f>
        <v>0</v>
      </c>
      <c r="H267" s="59">
        <f>SUMIFS(Table2[Stat],Table2[Stat Category],"rushing",Table2[Stat Type],"YDS",Table2[Athlete],Table1[[#This Row],[Pick]],Table2[Week],Table1[[#This Row],[Week]])</f>
        <v>0</v>
      </c>
      <c r="I267" s="59">
        <f>SUMIFS(Table2[Stat],Table2[Stat Category],"receiving",Table2[Stat Type],"YDS",Table2[Athlete],Table1[[#This Row],[Pick]],Table2[Week],Table1[[#This Row],[Week]])</f>
        <v>0</v>
      </c>
      <c r="J267" s="6">
        <f>IF(AND($C267="Rushing", $H267&lt;=0), 0, IF(AND($C267="Passing", $G$3&lt;=0), 0,IF(AND($C267="Receiving",$I267&lt;=0), 0,SUMIFS(Table2[Stat],Table2[Week],Table1[[#This Row],[Week]],Table2[Athlete],Table1[[#This Row],[Pick]],Table2[Stat Category],"passing",Table2[Stat Type],"TD"))))</f>
        <v>0</v>
      </c>
      <c r="K267" s="6">
        <f>IF(AND($C267="Rushing", $H267&lt;=0), 0, IF(AND($C267="Passing", $G$3&lt;=0), 0,IF(AND($C267="Receiving",$I267&lt;=0),0,SUMIFS(Table2[Stat],Table2[Week],Table1[[#This Row],[Week]],Table2[Athlete],Table1[[#This Row],[Pick]],Table2[Stat Category],"rushing",Table2[Stat Type],"TD"))))</f>
        <v>0</v>
      </c>
      <c r="L267" s="6">
        <f>IF(AND($C267="Rushing", $H267&lt;=0), 0, IF(AND($C267="Passing", $G$3&lt;=0), 0,IF(AND($C267="Receiving",$I267&lt;=0),0,SUMIFS(Table2[Stat],Table2[Week],Table1[[#This Row],[Week]],Table2[Athlete],Table1[[#This Row],[Pick]],Table2[Stat Category],"receiving",Table2[Stat Type],"TD"))))</f>
        <v>0</v>
      </c>
      <c r="M2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7" s="61">
        <f>SUMIFS(Data!$J:$J,Data!$A:$A,Info!$B267,Data!$G:$G,Info!$C267,Data!$I:$I,Info!$D267,Data!$H:$H,"TOT")</f>
        <v>0</v>
      </c>
      <c r="O267" s="61">
        <f>IF(C267="Defensive",SUMIFS(Data!$J:$J,Data!$A:$A,Info!$B267,Data!$I:$I,Info!$D267,Data!$H:$H,"INT"),0)</f>
        <v>0</v>
      </c>
      <c r="P267" s="61">
        <f>IF(Table1[[#This Row],[Role]]="Defensive",SUMIFS(Data!$J:$J,Data!$A:$A,Info!$B267,Data!$I:$I,Info!$D267,Data!$H:$H,$P$1),0)</f>
        <v>0</v>
      </c>
      <c r="Q267" s="65" t="str">
        <f>IF(Table1[[#This Row],[Pick]]="","",IF(S267&gt;1,400,IF(G267="","",IF(C267="Passing",(400-Table1[[#This Row],[Passing Yards]]-(30*Table1[[#This Row],[Passing TDs]])-(50*SUM(Table1[[#This Row],[Rushing TDs]:[Other TD''s]]))),IF(C267="Rushing",2*(200-Table1[[#This Row],[Rushing Yards]]-(30*Table1[[#This Row],[Passing TDs]])-50*(Table1[[#This Row],[Rushing TDs]]+Table1[[#This Row],[Receiving TDs]]+Table1[[#This Row],[Other TD''s]])),IF(C267="Receiving",2*(200-Table1[[#This Row],[Receiving Yards]]-(30*Table1[[#This Row],[Passing TDs]])-50*(Table1[[#This Row],[Rushing TDs]]+Table1[[#This Row],[Receiving TDs]]+Table1[[#This Row],[Other TD''s]])),IF(C267="Defensive",(25*(16-Table1[[#This Row],[Tackles]]-(8*(Table1[[#This Row],[Other TD''s]]+Table1[[#This Row],[Interceptions]]+Table1[[#This Row],[Fumbles Recovered]])))))))))))</f>
        <v/>
      </c>
      <c r="R267" s="3" t="str">
        <f t="shared" si="10"/>
        <v/>
      </c>
      <c r="S267" s="4">
        <f t="shared" si="9"/>
        <v>1048507</v>
      </c>
      <c r="T2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8" spans="1:20" hidden="1" x14ac:dyDescent="0.25">
      <c r="A268" t="s">
        <v>62</v>
      </c>
      <c r="B268" s="28" t="s">
        <v>47</v>
      </c>
      <c r="C268" t="s">
        <v>6</v>
      </c>
      <c r="D268" t="str">
        <f>_xlfn.XLOOKUP(Table1[[#This Row],[Player]]&amp;Table1[[#This Row],[Week]]&amp;Table1[[#This Row],[Role]],'Google Form Transform'!$A:$A,'Google Form Transform'!E:E,"")</f>
        <v/>
      </c>
      <c r="E268" t="str">
        <f>_xlfn.XLOOKUP(Table1[[#This Row],[Player]]&amp;Table1[[#This Row],[Week]]&amp;Table1[[#This Row],[Role]],'Google Form Transform'!$A:$A,'Google Form Transform'!F:F,"")</f>
        <v/>
      </c>
      <c r="F268" t="str">
        <f>_xlfn.XLOOKUP(Table1[[#This Row],[Player]]&amp;Table1[[#This Row],[Week]]&amp;Table1[[#This Row],[Role]],'Google Form Transform'!$A:$A,'Google Form Transform'!G:G,"")</f>
        <v/>
      </c>
      <c r="G268" s="59">
        <f>SUMIFS(Table2[Stat],Table2[Stat Category],"passing",Table2[Stat Type],"YDS",Table2[Athlete],Table1[[#This Row],[Pick]],Table2[Week],Table1[[#This Row],[Week]])</f>
        <v>0</v>
      </c>
      <c r="H268" s="59">
        <f>SUMIFS(Table2[Stat],Table2[Stat Category],"rushing",Table2[Stat Type],"YDS",Table2[Athlete],Table1[[#This Row],[Pick]],Table2[Week],Table1[[#This Row],[Week]])</f>
        <v>0</v>
      </c>
      <c r="I268" s="59">
        <f>SUMIFS(Table2[Stat],Table2[Stat Category],"receiving",Table2[Stat Type],"YDS",Table2[Athlete],Table1[[#This Row],[Pick]],Table2[Week],Table1[[#This Row],[Week]])</f>
        <v>0</v>
      </c>
      <c r="J268" s="6">
        <f>IF(AND($C268="Rushing", $H268&lt;=0), 0, IF(AND($C268="Passing", $G$3&lt;=0), 0,IF(AND($C268="Receiving",$I268&lt;=0), 0,SUMIFS(Table2[Stat],Table2[Week],Table1[[#This Row],[Week]],Table2[Athlete],Table1[[#This Row],[Pick]],Table2[Stat Category],"passing",Table2[Stat Type],"TD"))))</f>
        <v>0</v>
      </c>
      <c r="K268" s="6">
        <f>IF(AND($C268="Rushing", $H268&lt;=0), 0, IF(AND($C268="Passing", $G$3&lt;=0), 0,IF(AND($C268="Receiving",$I268&lt;=0),0,SUMIFS(Table2[Stat],Table2[Week],Table1[[#This Row],[Week]],Table2[Athlete],Table1[[#This Row],[Pick]],Table2[Stat Category],"rushing",Table2[Stat Type],"TD"))))</f>
        <v>0</v>
      </c>
      <c r="L268" s="6">
        <f>IF(AND($C268="Rushing", $H268&lt;=0), 0, IF(AND($C268="Passing", $G$3&lt;=0), 0,IF(AND($C268="Receiving",$I268&lt;=0),0,SUMIFS(Table2[Stat],Table2[Week],Table1[[#This Row],[Week]],Table2[Athlete],Table1[[#This Row],[Pick]],Table2[Stat Category],"receiving",Table2[Stat Type],"TD"))))</f>
        <v>0</v>
      </c>
      <c r="M2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8" s="61">
        <f>SUMIFS(Data!$J:$J,Data!$A:$A,Info!$B268,Data!$G:$G,Info!$C268,Data!$I:$I,Info!$D268,Data!$H:$H,"TOT")</f>
        <v>0</v>
      </c>
      <c r="O268" s="61">
        <f>IF(C268="Defensive",SUMIFS(Data!$J:$J,Data!$A:$A,Info!$B268,Data!$I:$I,Info!$D268,Data!$H:$H,"INT"),0)</f>
        <v>0</v>
      </c>
      <c r="P268" s="61">
        <f>IF(Table1[[#This Row],[Role]]="Defensive",SUMIFS(Data!$J:$J,Data!$A:$A,Info!$B268,Data!$I:$I,Info!$D268,Data!$H:$H,$P$1),0)</f>
        <v>0</v>
      </c>
      <c r="Q268" s="65" t="str">
        <f>IF(Table1[[#This Row],[Pick]]="","",IF(S268&gt;1,400,IF(G268="","",IF(C268="Passing",(400-Table1[[#This Row],[Passing Yards]]-(30*Table1[[#This Row],[Passing TDs]])-(50*SUM(Table1[[#This Row],[Rushing TDs]:[Other TD''s]]))),IF(C268="Rushing",2*(200-Table1[[#This Row],[Rushing Yards]]-(30*Table1[[#This Row],[Passing TDs]])-50*(Table1[[#This Row],[Rushing TDs]]+Table1[[#This Row],[Receiving TDs]]+Table1[[#This Row],[Other TD''s]])),IF(C268="Receiving",2*(200-Table1[[#This Row],[Receiving Yards]]-(30*Table1[[#This Row],[Passing TDs]])-50*(Table1[[#This Row],[Rushing TDs]]+Table1[[#This Row],[Receiving TDs]]+Table1[[#This Row],[Other TD''s]])),IF(C268="Defensive",(25*(16-Table1[[#This Row],[Tackles]]-(8*(Table1[[#This Row],[Other TD''s]]+Table1[[#This Row],[Interceptions]]+Table1[[#This Row],[Fumbles Recovered]])))))))))))</f>
        <v/>
      </c>
      <c r="R268" s="3" t="str">
        <f t="shared" si="10"/>
        <v/>
      </c>
      <c r="S268" s="4">
        <f t="shared" si="9"/>
        <v>1048507</v>
      </c>
      <c r="T2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9" spans="1:20" hidden="1" x14ac:dyDescent="0.25">
      <c r="A269" t="s">
        <v>62</v>
      </c>
      <c r="B269" s="28" t="s">
        <v>47</v>
      </c>
      <c r="C269" t="s">
        <v>17</v>
      </c>
      <c r="D269" t="str">
        <f>_xlfn.XLOOKUP(Table1[[#This Row],[Player]]&amp;Table1[[#This Row],[Week]]&amp;Table1[[#This Row],[Role]],'Google Form Transform'!$A:$A,'Google Form Transform'!E:E,"")</f>
        <v/>
      </c>
      <c r="E269" t="str">
        <f>_xlfn.XLOOKUP(Table1[[#This Row],[Player]]&amp;Table1[[#This Row],[Week]]&amp;Table1[[#This Row],[Role]],'Google Form Transform'!$A:$A,'Google Form Transform'!F:F,"")</f>
        <v/>
      </c>
      <c r="F269" t="str">
        <f>_xlfn.XLOOKUP(Table1[[#This Row],[Player]]&amp;Table1[[#This Row],[Week]]&amp;Table1[[#This Row],[Role]],'Google Form Transform'!$A:$A,'Google Form Transform'!G:G,"")</f>
        <v/>
      </c>
      <c r="G269" s="59">
        <f>SUMIFS(Table2[Stat],Table2[Stat Category],"passing",Table2[Stat Type],"YDS",Table2[Athlete],Table1[[#This Row],[Pick]],Table2[Week],Table1[[#This Row],[Week]])</f>
        <v>0</v>
      </c>
      <c r="H269" s="59">
        <f>SUMIFS(Table2[Stat],Table2[Stat Category],"rushing",Table2[Stat Type],"YDS",Table2[Athlete],Table1[[#This Row],[Pick]],Table2[Week],Table1[[#This Row],[Week]])</f>
        <v>0</v>
      </c>
      <c r="I269" s="59">
        <f>SUMIFS(Table2[Stat],Table2[Stat Category],"receiving",Table2[Stat Type],"YDS",Table2[Athlete],Table1[[#This Row],[Pick]],Table2[Week],Table1[[#This Row],[Week]])</f>
        <v>0</v>
      </c>
      <c r="J269" s="6">
        <f>IF(AND($C269="Rushing", $H269&lt;=0), 0, IF(AND($C269="Passing", $G$3&lt;=0), 0,IF(AND($C269="Receiving",$I269&lt;=0), 0,SUMIFS(Table2[Stat],Table2[Week],Table1[[#This Row],[Week]],Table2[Athlete],Table1[[#This Row],[Pick]],Table2[Stat Category],"passing",Table2[Stat Type],"TD"))))</f>
        <v>0</v>
      </c>
      <c r="K269" s="6">
        <f>IF(AND($C269="Rushing", $H269&lt;=0), 0, IF(AND($C269="Passing", $G$3&lt;=0), 0,IF(AND($C269="Receiving",$I269&lt;=0),0,SUMIFS(Table2[Stat],Table2[Week],Table1[[#This Row],[Week]],Table2[Athlete],Table1[[#This Row],[Pick]],Table2[Stat Category],"rushing",Table2[Stat Type],"TD"))))</f>
        <v>0</v>
      </c>
      <c r="L269" s="6">
        <f>IF(AND($C269="Rushing", $H269&lt;=0), 0, IF(AND($C269="Passing", $G$3&lt;=0), 0,IF(AND($C269="Receiving",$I269&lt;=0),0,SUMIFS(Table2[Stat],Table2[Week],Table1[[#This Row],[Week]],Table2[Athlete],Table1[[#This Row],[Pick]],Table2[Stat Category],"receiving",Table2[Stat Type],"TD"))))</f>
        <v>0</v>
      </c>
      <c r="M2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9" s="61">
        <f>SUMIFS(Data!$J:$J,Data!$A:$A,Info!$B269,Data!$G:$G,Info!$C269,Data!$I:$I,Info!$D269,Data!$H:$H,"TOT")</f>
        <v>0</v>
      </c>
      <c r="O269" s="61">
        <f>IF(C269="Defensive",SUMIFS(Data!$J:$J,Data!$A:$A,Info!$B269,Data!$I:$I,Info!$D269,Data!$H:$H,"INT"),0)</f>
        <v>0</v>
      </c>
      <c r="P269" s="61">
        <f>IF(Table1[[#This Row],[Role]]="Defensive",SUMIFS(Data!$J:$J,Data!$A:$A,Info!$B269,Data!$I:$I,Info!$D269,Data!$H:$H,$P$1),0)</f>
        <v>0</v>
      </c>
      <c r="Q269" s="65" t="str">
        <f>IF(Table1[[#This Row],[Pick]]="","",IF(S269&gt;1,400,IF(G269="","",IF(C269="Passing",(400-Table1[[#This Row],[Passing Yards]]-(30*Table1[[#This Row],[Passing TDs]])-(50*SUM(Table1[[#This Row],[Rushing TDs]:[Other TD''s]]))),IF(C269="Rushing",2*(200-Table1[[#This Row],[Rushing Yards]]-(30*Table1[[#This Row],[Passing TDs]])-50*(Table1[[#This Row],[Rushing TDs]]+Table1[[#This Row],[Receiving TDs]]+Table1[[#This Row],[Other TD''s]])),IF(C269="Receiving",2*(200-Table1[[#This Row],[Receiving Yards]]-(30*Table1[[#This Row],[Passing TDs]])-50*(Table1[[#This Row],[Rushing TDs]]+Table1[[#This Row],[Receiving TDs]]+Table1[[#This Row],[Other TD''s]])),IF(C269="Defensive",(25*(16-Table1[[#This Row],[Tackles]]-(8*(Table1[[#This Row],[Other TD''s]]+Table1[[#This Row],[Interceptions]]+Table1[[#This Row],[Fumbles Recovered]])))))))))))</f>
        <v/>
      </c>
      <c r="R269" s="3" t="str">
        <f t="shared" si="10"/>
        <v/>
      </c>
      <c r="S269" s="4">
        <f t="shared" si="9"/>
        <v>1048507</v>
      </c>
      <c r="T2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0" spans="1:20" hidden="1" x14ac:dyDescent="0.25">
      <c r="A270" t="s">
        <v>62</v>
      </c>
      <c r="B270" s="28" t="s">
        <v>47</v>
      </c>
      <c r="C270" t="s">
        <v>20</v>
      </c>
      <c r="D270" t="str">
        <f>_xlfn.XLOOKUP(Table1[[#This Row],[Player]]&amp;Table1[[#This Row],[Week]]&amp;Table1[[#This Row],[Role]],'Google Form Transform'!$A:$A,'Google Form Transform'!E:E,"")</f>
        <v/>
      </c>
      <c r="E270" t="str">
        <f>_xlfn.XLOOKUP(Table1[[#This Row],[Player]]&amp;Table1[[#This Row],[Week]]&amp;Table1[[#This Row],[Role]],'Google Form Transform'!$A:$A,'Google Form Transform'!F:F,"")</f>
        <v/>
      </c>
      <c r="F270" t="str">
        <f>_xlfn.XLOOKUP(Table1[[#This Row],[Player]]&amp;Table1[[#This Row],[Week]]&amp;Table1[[#This Row],[Role]],'Google Form Transform'!$A:$A,'Google Form Transform'!G:G,"")</f>
        <v/>
      </c>
      <c r="G270" s="59">
        <f>SUMIFS(Table2[Stat],Table2[Stat Category],"passing",Table2[Stat Type],"YDS",Table2[Athlete],Table1[[#This Row],[Pick]],Table2[Week],Table1[[#This Row],[Week]])</f>
        <v>0</v>
      </c>
      <c r="H270" s="59">
        <f>SUMIFS(Table2[Stat],Table2[Stat Category],"rushing",Table2[Stat Type],"YDS",Table2[Athlete],Table1[[#This Row],[Pick]],Table2[Week],Table1[[#This Row],[Week]])</f>
        <v>0</v>
      </c>
      <c r="I270" s="59">
        <f>SUMIFS(Table2[Stat],Table2[Stat Category],"receiving",Table2[Stat Type],"YDS",Table2[Athlete],Table1[[#This Row],[Pick]],Table2[Week],Table1[[#This Row],[Week]])</f>
        <v>0</v>
      </c>
      <c r="J270" s="6">
        <f>IF(AND($C270="Rushing", $H270&lt;=0), 0, IF(AND($C270="Passing", $G$3&lt;=0), 0,IF(AND($C270="Receiving",$I270&lt;=0), 0,SUMIFS(Table2[Stat],Table2[Week],Table1[[#This Row],[Week]],Table2[Athlete],Table1[[#This Row],[Pick]],Table2[Stat Category],"passing",Table2[Stat Type],"TD"))))</f>
        <v>0</v>
      </c>
      <c r="K270" s="6">
        <f>IF(AND($C270="Rushing", $H270&lt;=0), 0, IF(AND($C270="Passing", $G$3&lt;=0), 0,IF(AND($C270="Receiving",$I270&lt;=0),0,SUMIFS(Table2[Stat],Table2[Week],Table1[[#This Row],[Week]],Table2[Athlete],Table1[[#This Row],[Pick]],Table2[Stat Category],"rushing",Table2[Stat Type],"TD"))))</f>
        <v>0</v>
      </c>
      <c r="L270" s="6">
        <f>IF(AND($C270="Rushing", $H270&lt;=0), 0, IF(AND($C270="Passing", $G$3&lt;=0), 0,IF(AND($C270="Receiving",$I270&lt;=0),0,SUMIFS(Table2[Stat],Table2[Week],Table1[[#This Row],[Week]],Table2[Athlete],Table1[[#This Row],[Pick]],Table2[Stat Category],"receiving",Table2[Stat Type],"TD"))))</f>
        <v>0</v>
      </c>
      <c r="M2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0" s="61">
        <f>SUMIFS(Data!$J:$J,Data!$A:$A,Info!$B270,Data!$G:$G,Info!$C270,Data!$I:$I,Info!$D270,Data!$H:$H,"TOT")</f>
        <v>0</v>
      </c>
      <c r="O270" s="61">
        <f>IF(C270="Defensive",SUMIFS(Data!$J:$J,Data!$A:$A,Info!$B270,Data!$I:$I,Info!$D270,Data!$H:$H,"INT"),0)</f>
        <v>0</v>
      </c>
      <c r="P270" s="61">
        <f>IF(Table1[[#This Row],[Role]]="Defensive",SUMIFS(Data!$J:$J,Data!$A:$A,Info!$B270,Data!$I:$I,Info!$D270,Data!$H:$H,$P$1),0)</f>
        <v>0</v>
      </c>
      <c r="Q270" s="65" t="str">
        <f>IF(Table1[[#This Row],[Pick]]="","",IF(S270&gt;1,400,IF(G270="","",IF(C270="Passing",(400-Table1[[#This Row],[Passing Yards]]-(30*Table1[[#This Row],[Passing TDs]])-(50*SUM(Table1[[#This Row],[Rushing TDs]:[Other TD''s]]))),IF(C270="Rushing",2*(200-Table1[[#This Row],[Rushing Yards]]-(30*Table1[[#This Row],[Passing TDs]])-50*(Table1[[#This Row],[Rushing TDs]]+Table1[[#This Row],[Receiving TDs]]+Table1[[#This Row],[Other TD''s]])),IF(C270="Receiving",2*(200-Table1[[#This Row],[Receiving Yards]]-(30*Table1[[#This Row],[Passing TDs]])-50*(Table1[[#This Row],[Rushing TDs]]+Table1[[#This Row],[Receiving TDs]]+Table1[[#This Row],[Other TD''s]])),IF(C270="Defensive",(25*(16-Table1[[#This Row],[Tackles]]-(8*(Table1[[#This Row],[Other TD''s]]+Table1[[#This Row],[Interceptions]]+Table1[[#This Row],[Fumbles Recovered]])))))))))))</f>
        <v/>
      </c>
      <c r="R270" s="3" t="str">
        <f t="shared" si="10"/>
        <v/>
      </c>
      <c r="S270" s="4">
        <f t="shared" si="9"/>
        <v>1048507</v>
      </c>
      <c r="T2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1" spans="1:20" hidden="1" x14ac:dyDescent="0.25">
      <c r="A271" t="s">
        <v>59</v>
      </c>
      <c r="B271" s="28" t="s">
        <v>47</v>
      </c>
      <c r="C271" t="s">
        <v>16</v>
      </c>
      <c r="D271" t="str">
        <f>_xlfn.XLOOKUP(Table1[[#This Row],[Player]]&amp;Table1[[#This Row],[Week]]&amp;Table1[[#This Row],[Role]],'Google Form Transform'!$A:$A,'Google Form Transform'!E:E,"")</f>
        <v/>
      </c>
      <c r="E271" t="str">
        <f>_xlfn.XLOOKUP(Table1[[#This Row],[Player]]&amp;Table1[[#This Row],[Week]]&amp;Table1[[#This Row],[Role]],'Google Form Transform'!$A:$A,'Google Form Transform'!F:F,"")</f>
        <v/>
      </c>
      <c r="F271" t="str">
        <f>_xlfn.XLOOKUP(Table1[[#This Row],[Player]]&amp;Table1[[#This Row],[Week]]&amp;Table1[[#This Row],[Role]],'Google Form Transform'!$A:$A,'Google Form Transform'!G:G,"")</f>
        <v/>
      </c>
      <c r="G271" s="59">
        <f>SUMIFS(Table2[Stat],Table2[Stat Category],"passing",Table2[Stat Type],"YDS",Table2[Athlete],Table1[[#This Row],[Pick]],Table2[Week],Table1[[#This Row],[Week]])</f>
        <v>0</v>
      </c>
      <c r="H271" s="59">
        <f>SUMIFS(Table2[Stat],Table2[Stat Category],"rushing",Table2[Stat Type],"YDS",Table2[Athlete],Table1[[#This Row],[Pick]],Table2[Week],Table1[[#This Row],[Week]])</f>
        <v>0</v>
      </c>
      <c r="I271" s="59">
        <f>SUMIFS(Table2[Stat],Table2[Stat Category],"receiving",Table2[Stat Type],"YDS",Table2[Athlete],Table1[[#This Row],[Pick]],Table2[Week],Table1[[#This Row],[Week]])</f>
        <v>0</v>
      </c>
      <c r="J271" s="6">
        <f>IF(AND($C271="Rushing", $H271&lt;=0), 0, IF(AND($C271="Passing", $G$3&lt;=0), 0,IF(AND($C271="Receiving",$I271&lt;=0), 0,SUMIFS(Table2[Stat],Table2[Week],Table1[[#This Row],[Week]],Table2[Athlete],Table1[[#This Row],[Pick]],Table2[Stat Category],"passing",Table2[Stat Type],"TD"))))</f>
        <v>0</v>
      </c>
      <c r="K271" s="6">
        <f>IF(AND($C271="Rushing", $H271&lt;=0), 0, IF(AND($C271="Passing", $G$3&lt;=0), 0,IF(AND($C271="Receiving",$I271&lt;=0),0,SUMIFS(Table2[Stat],Table2[Week],Table1[[#This Row],[Week]],Table2[Athlete],Table1[[#This Row],[Pick]],Table2[Stat Category],"rushing",Table2[Stat Type],"TD"))))</f>
        <v>0</v>
      </c>
      <c r="L271" s="6">
        <f>IF(AND($C271="Rushing", $H271&lt;=0), 0, IF(AND($C271="Passing", $G$3&lt;=0), 0,IF(AND($C271="Receiving",$I271&lt;=0),0,SUMIFS(Table2[Stat],Table2[Week],Table1[[#This Row],[Week]],Table2[Athlete],Table1[[#This Row],[Pick]],Table2[Stat Category],"receiving",Table2[Stat Type],"TD"))))</f>
        <v>0</v>
      </c>
      <c r="M2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1" s="61">
        <f>SUMIFS(Data!$J:$J,Data!$A:$A,Info!$B271,Data!$G:$G,Info!$C271,Data!$I:$I,Info!$D271,Data!$H:$H,"TOT")</f>
        <v>0</v>
      </c>
      <c r="O271" s="61">
        <f>IF(C271="Defensive",SUMIFS(Data!$J:$J,Data!$A:$A,Info!$B271,Data!$I:$I,Info!$D271,Data!$H:$H,"INT"),0)</f>
        <v>0</v>
      </c>
      <c r="P271" s="61">
        <f>IF(Table1[[#This Row],[Role]]="Defensive",SUMIFS(Data!$J:$J,Data!$A:$A,Info!$B271,Data!$I:$I,Info!$D271,Data!$H:$H,$P$1),0)</f>
        <v>0</v>
      </c>
      <c r="Q271" s="65" t="str">
        <f>IF(Table1[[#This Row],[Pick]]="","",IF(S271&gt;1,400,IF(G271="","",IF(C271="Passing",(400-Table1[[#This Row],[Passing Yards]]-(30*Table1[[#This Row],[Passing TDs]])-(50*SUM(Table1[[#This Row],[Rushing TDs]:[Other TD''s]]))),IF(C271="Rushing",2*(200-Table1[[#This Row],[Rushing Yards]]-(30*Table1[[#This Row],[Passing TDs]])-50*(Table1[[#This Row],[Rushing TDs]]+Table1[[#This Row],[Receiving TDs]]+Table1[[#This Row],[Other TD''s]])),IF(C271="Receiving",2*(200-Table1[[#This Row],[Receiving Yards]]-(30*Table1[[#This Row],[Passing TDs]])-50*(Table1[[#This Row],[Rushing TDs]]+Table1[[#This Row],[Receiving TDs]]+Table1[[#This Row],[Other TD''s]])),IF(C271="Defensive",(25*(16-Table1[[#This Row],[Tackles]]-(8*(Table1[[#This Row],[Other TD''s]]+Table1[[#This Row],[Interceptions]]+Table1[[#This Row],[Fumbles Recovered]])))))))))))</f>
        <v/>
      </c>
      <c r="R271" s="3" t="str">
        <f t="shared" si="10"/>
        <v/>
      </c>
      <c r="S271" s="4">
        <f t="shared" si="9"/>
        <v>1048507</v>
      </c>
      <c r="T2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2" spans="1:20" hidden="1" x14ac:dyDescent="0.25">
      <c r="A272" t="s">
        <v>59</v>
      </c>
      <c r="B272" s="28" t="s">
        <v>47</v>
      </c>
      <c r="C272" t="s">
        <v>6</v>
      </c>
      <c r="D272" t="str">
        <f>_xlfn.XLOOKUP(Table1[[#This Row],[Player]]&amp;Table1[[#This Row],[Week]]&amp;Table1[[#This Row],[Role]],'Google Form Transform'!$A:$A,'Google Form Transform'!E:E,"")</f>
        <v/>
      </c>
      <c r="E272" t="str">
        <f>_xlfn.XLOOKUP(Table1[[#This Row],[Player]]&amp;Table1[[#This Row],[Week]]&amp;Table1[[#This Row],[Role]],'Google Form Transform'!$A:$A,'Google Form Transform'!F:F,"")</f>
        <v/>
      </c>
      <c r="F272" t="str">
        <f>_xlfn.XLOOKUP(Table1[[#This Row],[Player]]&amp;Table1[[#This Row],[Week]]&amp;Table1[[#This Row],[Role]],'Google Form Transform'!$A:$A,'Google Form Transform'!G:G,"")</f>
        <v/>
      </c>
      <c r="G272" s="59">
        <f>SUMIFS(Table2[Stat],Table2[Stat Category],"passing",Table2[Stat Type],"YDS",Table2[Athlete],Table1[[#This Row],[Pick]],Table2[Week],Table1[[#This Row],[Week]])</f>
        <v>0</v>
      </c>
      <c r="H272" s="59">
        <f>SUMIFS(Table2[Stat],Table2[Stat Category],"rushing",Table2[Stat Type],"YDS",Table2[Athlete],Table1[[#This Row],[Pick]],Table2[Week],Table1[[#This Row],[Week]])</f>
        <v>0</v>
      </c>
      <c r="I272" s="59">
        <f>SUMIFS(Table2[Stat],Table2[Stat Category],"receiving",Table2[Stat Type],"YDS",Table2[Athlete],Table1[[#This Row],[Pick]],Table2[Week],Table1[[#This Row],[Week]])</f>
        <v>0</v>
      </c>
      <c r="J272" s="6">
        <f>IF(AND($C272="Rushing", $H272&lt;=0), 0, IF(AND($C272="Passing", $G$3&lt;=0), 0,IF(AND($C272="Receiving",$I272&lt;=0), 0,SUMIFS(Table2[Stat],Table2[Week],Table1[[#This Row],[Week]],Table2[Athlete],Table1[[#This Row],[Pick]],Table2[Stat Category],"passing",Table2[Stat Type],"TD"))))</f>
        <v>0</v>
      </c>
      <c r="K272" s="6">
        <f>IF(AND($C272="Rushing", $H272&lt;=0), 0, IF(AND($C272="Passing", $G$3&lt;=0), 0,IF(AND($C272="Receiving",$I272&lt;=0),0,SUMIFS(Table2[Stat],Table2[Week],Table1[[#This Row],[Week]],Table2[Athlete],Table1[[#This Row],[Pick]],Table2[Stat Category],"rushing",Table2[Stat Type],"TD"))))</f>
        <v>0</v>
      </c>
      <c r="L272" s="6">
        <f>IF(AND($C272="Rushing", $H272&lt;=0), 0, IF(AND($C272="Passing", $G$3&lt;=0), 0,IF(AND($C272="Receiving",$I272&lt;=0),0,SUMIFS(Table2[Stat],Table2[Week],Table1[[#This Row],[Week]],Table2[Athlete],Table1[[#This Row],[Pick]],Table2[Stat Category],"receiving",Table2[Stat Type],"TD"))))</f>
        <v>0</v>
      </c>
      <c r="M2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2" s="61">
        <f>SUMIFS(Data!$J:$J,Data!$A:$A,Info!$B272,Data!$G:$G,Info!$C272,Data!$I:$I,Info!$D272,Data!$H:$H,"TOT")</f>
        <v>0</v>
      </c>
      <c r="O272" s="61">
        <f>IF(C272="Defensive",SUMIFS(Data!$J:$J,Data!$A:$A,Info!$B272,Data!$I:$I,Info!$D272,Data!$H:$H,"INT"),0)</f>
        <v>0</v>
      </c>
      <c r="P272" s="61">
        <f>IF(Table1[[#This Row],[Role]]="Defensive",SUMIFS(Data!$J:$J,Data!$A:$A,Info!$B272,Data!$I:$I,Info!$D272,Data!$H:$H,$P$1),0)</f>
        <v>0</v>
      </c>
      <c r="Q272" s="65" t="str">
        <f>IF(Table1[[#This Row],[Pick]]="","",IF(S272&gt;1,400,IF(G272="","",IF(C272="Passing",(400-Table1[[#This Row],[Passing Yards]]-(30*Table1[[#This Row],[Passing TDs]])-(50*SUM(Table1[[#This Row],[Rushing TDs]:[Other TD''s]]))),IF(C272="Rushing",2*(200-Table1[[#This Row],[Rushing Yards]]-(30*Table1[[#This Row],[Passing TDs]])-50*(Table1[[#This Row],[Rushing TDs]]+Table1[[#This Row],[Receiving TDs]]+Table1[[#This Row],[Other TD''s]])),IF(C272="Receiving",2*(200-Table1[[#This Row],[Receiving Yards]]-(30*Table1[[#This Row],[Passing TDs]])-50*(Table1[[#This Row],[Rushing TDs]]+Table1[[#This Row],[Receiving TDs]]+Table1[[#This Row],[Other TD''s]])),IF(C272="Defensive",(25*(16-Table1[[#This Row],[Tackles]]-(8*(Table1[[#This Row],[Other TD''s]]+Table1[[#This Row],[Interceptions]]+Table1[[#This Row],[Fumbles Recovered]])))))))))))</f>
        <v/>
      </c>
      <c r="R272" s="3" t="str">
        <f t="shared" si="10"/>
        <v/>
      </c>
      <c r="S272" s="4">
        <f t="shared" si="9"/>
        <v>1048507</v>
      </c>
      <c r="T2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3" spans="1:20" hidden="1" x14ac:dyDescent="0.25">
      <c r="A273" t="s">
        <v>59</v>
      </c>
      <c r="B273" s="28" t="s">
        <v>47</v>
      </c>
      <c r="C273" t="s">
        <v>17</v>
      </c>
      <c r="D273" t="str">
        <f>_xlfn.XLOOKUP(Table1[[#This Row],[Player]]&amp;Table1[[#This Row],[Week]]&amp;Table1[[#This Row],[Role]],'Google Form Transform'!$A:$A,'Google Form Transform'!E:E,"")</f>
        <v/>
      </c>
      <c r="E273" t="str">
        <f>_xlfn.XLOOKUP(Table1[[#This Row],[Player]]&amp;Table1[[#This Row],[Week]]&amp;Table1[[#This Row],[Role]],'Google Form Transform'!$A:$A,'Google Form Transform'!F:F,"")</f>
        <v/>
      </c>
      <c r="F273" t="str">
        <f>_xlfn.XLOOKUP(Table1[[#This Row],[Player]]&amp;Table1[[#This Row],[Week]]&amp;Table1[[#This Row],[Role]],'Google Form Transform'!$A:$A,'Google Form Transform'!G:G,"")</f>
        <v/>
      </c>
      <c r="G273" s="59">
        <f>SUMIFS(Table2[Stat],Table2[Stat Category],"passing",Table2[Stat Type],"YDS",Table2[Athlete],Table1[[#This Row],[Pick]],Table2[Week],Table1[[#This Row],[Week]])</f>
        <v>0</v>
      </c>
      <c r="H273" s="59">
        <f>SUMIFS(Table2[Stat],Table2[Stat Category],"rushing",Table2[Stat Type],"YDS",Table2[Athlete],Table1[[#This Row],[Pick]],Table2[Week],Table1[[#This Row],[Week]])</f>
        <v>0</v>
      </c>
      <c r="I273" s="59">
        <f>SUMIFS(Table2[Stat],Table2[Stat Category],"receiving",Table2[Stat Type],"YDS",Table2[Athlete],Table1[[#This Row],[Pick]],Table2[Week],Table1[[#This Row],[Week]])</f>
        <v>0</v>
      </c>
      <c r="J273" s="6">
        <f>IF(AND($C273="Rushing", $H273&lt;=0), 0, IF(AND($C273="Passing", $G$3&lt;=0), 0,IF(AND($C273="Receiving",$I273&lt;=0), 0,SUMIFS(Table2[Stat],Table2[Week],Table1[[#This Row],[Week]],Table2[Athlete],Table1[[#This Row],[Pick]],Table2[Stat Category],"passing",Table2[Stat Type],"TD"))))</f>
        <v>0</v>
      </c>
      <c r="K273" s="6">
        <f>IF(AND($C273="Rushing", $H273&lt;=0), 0, IF(AND($C273="Passing", $G$3&lt;=0), 0,IF(AND($C273="Receiving",$I273&lt;=0),0,SUMIFS(Table2[Stat],Table2[Week],Table1[[#This Row],[Week]],Table2[Athlete],Table1[[#This Row],[Pick]],Table2[Stat Category],"rushing",Table2[Stat Type],"TD"))))</f>
        <v>0</v>
      </c>
      <c r="L273" s="6">
        <f>IF(AND($C273="Rushing", $H273&lt;=0), 0, IF(AND($C273="Passing", $G$3&lt;=0), 0,IF(AND($C273="Receiving",$I273&lt;=0),0,SUMIFS(Table2[Stat],Table2[Week],Table1[[#This Row],[Week]],Table2[Athlete],Table1[[#This Row],[Pick]],Table2[Stat Category],"receiving",Table2[Stat Type],"TD"))))</f>
        <v>0</v>
      </c>
      <c r="M2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3" s="61">
        <f>SUMIFS(Data!$J:$J,Data!$A:$A,Info!$B273,Data!$G:$G,Info!$C273,Data!$I:$I,Info!$D273,Data!$H:$H,"TOT")</f>
        <v>0</v>
      </c>
      <c r="O273" s="61">
        <f>IF(C273="Defensive",SUMIFS(Data!$J:$J,Data!$A:$A,Info!$B273,Data!$I:$I,Info!$D273,Data!$H:$H,"INT"),0)</f>
        <v>0</v>
      </c>
      <c r="P273" s="61">
        <f>IF(Table1[[#This Row],[Role]]="Defensive",SUMIFS(Data!$J:$J,Data!$A:$A,Info!$B273,Data!$I:$I,Info!$D273,Data!$H:$H,$P$1),0)</f>
        <v>0</v>
      </c>
      <c r="Q273" s="65" t="str">
        <f>IF(Table1[[#This Row],[Pick]]="","",IF(S273&gt;1,400,IF(G273="","",IF(C273="Passing",(400-Table1[[#This Row],[Passing Yards]]-(30*Table1[[#This Row],[Passing TDs]])-(50*SUM(Table1[[#This Row],[Rushing TDs]:[Other TD''s]]))),IF(C273="Rushing",2*(200-Table1[[#This Row],[Rushing Yards]]-(30*Table1[[#This Row],[Passing TDs]])-50*(Table1[[#This Row],[Rushing TDs]]+Table1[[#This Row],[Receiving TDs]]+Table1[[#This Row],[Other TD''s]])),IF(C273="Receiving",2*(200-Table1[[#This Row],[Receiving Yards]]-(30*Table1[[#This Row],[Passing TDs]])-50*(Table1[[#This Row],[Rushing TDs]]+Table1[[#This Row],[Receiving TDs]]+Table1[[#This Row],[Other TD''s]])),IF(C273="Defensive",(25*(16-Table1[[#This Row],[Tackles]]-(8*(Table1[[#This Row],[Other TD''s]]+Table1[[#This Row],[Interceptions]]+Table1[[#This Row],[Fumbles Recovered]])))))))))))</f>
        <v/>
      </c>
      <c r="R273" s="3" t="str">
        <f t="shared" si="10"/>
        <v/>
      </c>
      <c r="S273" s="4">
        <f t="shared" si="9"/>
        <v>1048507</v>
      </c>
      <c r="T2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4" spans="1:20" hidden="1" x14ac:dyDescent="0.25">
      <c r="A274" t="s">
        <v>59</v>
      </c>
      <c r="B274" s="28" t="s">
        <v>47</v>
      </c>
      <c r="C274" t="s">
        <v>20</v>
      </c>
      <c r="D274" t="str">
        <f>_xlfn.XLOOKUP(Table1[[#This Row],[Player]]&amp;Table1[[#This Row],[Week]]&amp;Table1[[#This Row],[Role]],'Google Form Transform'!$A:$A,'Google Form Transform'!E:E,"")</f>
        <v/>
      </c>
      <c r="E274" t="str">
        <f>_xlfn.XLOOKUP(Table1[[#This Row],[Player]]&amp;Table1[[#This Row],[Week]]&amp;Table1[[#This Row],[Role]],'Google Form Transform'!$A:$A,'Google Form Transform'!F:F,"")</f>
        <v/>
      </c>
      <c r="F274" t="str">
        <f>_xlfn.XLOOKUP(Table1[[#This Row],[Player]]&amp;Table1[[#This Row],[Week]]&amp;Table1[[#This Row],[Role]],'Google Form Transform'!$A:$A,'Google Form Transform'!G:G,"")</f>
        <v/>
      </c>
      <c r="G274" s="59">
        <f>SUMIFS(Table2[Stat],Table2[Stat Category],"passing",Table2[Stat Type],"YDS",Table2[Athlete],Table1[[#This Row],[Pick]],Table2[Week],Table1[[#This Row],[Week]])</f>
        <v>0</v>
      </c>
      <c r="H274" s="59">
        <f>SUMIFS(Table2[Stat],Table2[Stat Category],"rushing",Table2[Stat Type],"YDS",Table2[Athlete],Table1[[#This Row],[Pick]],Table2[Week],Table1[[#This Row],[Week]])</f>
        <v>0</v>
      </c>
      <c r="I274" s="59">
        <f>SUMIFS(Table2[Stat],Table2[Stat Category],"receiving",Table2[Stat Type],"YDS",Table2[Athlete],Table1[[#This Row],[Pick]],Table2[Week],Table1[[#This Row],[Week]])</f>
        <v>0</v>
      </c>
      <c r="J274" s="6">
        <f>IF(AND($C274="Rushing", $H274&lt;=0), 0, IF(AND($C274="Passing", $G$3&lt;=0), 0,IF(AND($C274="Receiving",$I274&lt;=0), 0,SUMIFS(Table2[Stat],Table2[Week],Table1[[#This Row],[Week]],Table2[Athlete],Table1[[#This Row],[Pick]],Table2[Stat Category],"passing",Table2[Stat Type],"TD"))))</f>
        <v>0</v>
      </c>
      <c r="K274" s="6">
        <f>IF(AND($C274="Rushing", $H274&lt;=0), 0, IF(AND($C274="Passing", $G$3&lt;=0), 0,IF(AND($C274="Receiving",$I274&lt;=0),0,SUMIFS(Table2[Stat],Table2[Week],Table1[[#This Row],[Week]],Table2[Athlete],Table1[[#This Row],[Pick]],Table2[Stat Category],"rushing",Table2[Stat Type],"TD"))))</f>
        <v>0</v>
      </c>
      <c r="L274" s="6">
        <f>IF(AND($C274="Rushing", $H274&lt;=0), 0, IF(AND($C274="Passing", $G$3&lt;=0), 0,IF(AND($C274="Receiving",$I274&lt;=0),0,SUMIFS(Table2[Stat],Table2[Week],Table1[[#This Row],[Week]],Table2[Athlete],Table1[[#This Row],[Pick]],Table2[Stat Category],"receiving",Table2[Stat Type],"TD"))))</f>
        <v>0</v>
      </c>
      <c r="M2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4" s="61">
        <f>SUMIFS(Data!$J:$J,Data!$A:$A,Info!$B274,Data!$G:$G,Info!$C274,Data!$I:$I,Info!$D274,Data!$H:$H,"TOT")</f>
        <v>0</v>
      </c>
      <c r="O274" s="61">
        <f>IF(C274="Defensive",SUMIFS(Data!$J:$J,Data!$A:$A,Info!$B274,Data!$I:$I,Info!$D274,Data!$H:$H,"INT"),0)</f>
        <v>0</v>
      </c>
      <c r="P274" s="61">
        <f>IF(Table1[[#This Row],[Role]]="Defensive",SUMIFS(Data!$J:$J,Data!$A:$A,Info!$B274,Data!$I:$I,Info!$D274,Data!$H:$H,$P$1),0)</f>
        <v>0</v>
      </c>
      <c r="Q274" s="65" t="str">
        <f>IF(Table1[[#This Row],[Pick]]="","",IF(S274&gt;1,400,IF(G274="","",IF(C274="Passing",(400-Table1[[#This Row],[Passing Yards]]-(30*Table1[[#This Row],[Passing TDs]])-(50*SUM(Table1[[#This Row],[Rushing TDs]:[Other TD''s]]))),IF(C274="Rushing",2*(200-Table1[[#This Row],[Rushing Yards]]-(30*Table1[[#This Row],[Passing TDs]])-50*(Table1[[#This Row],[Rushing TDs]]+Table1[[#This Row],[Receiving TDs]]+Table1[[#This Row],[Other TD''s]])),IF(C274="Receiving",2*(200-Table1[[#This Row],[Receiving Yards]]-(30*Table1[[#This Row],[Passing TDs]])-50*(Table1[[#This Row],[Rushing TDs]]+Table1[[#This Row],[Receiving TDs]]+Table1[[#This Row],[Other TD''s]])),IF(C274="Defensive",(25*(16-Table1[[#This Row],[Tackles]]-(8*(Table1[[#This Row],[Other TD''s]]+Table1[[#This Row],[Interceptions]]+Table1[[#This Row],[Fumbles Recovered]])))))))))))</f>
        <v/>
      </c>
      <c r="R274" s="3" t="str">
        <f t="shared" si="10"/>
        <v/>
      </c>
      <c r="S274" s="4">
        <f t="shared" si="9"/>
        <v>1048507</v>
      </c>
      <c r="T2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5" spans="1:20" hidden="1" x14ac:dyDescent="0.25">
      <c r="A275" t="s">
        <v>68</v>
      </c>
      <c r="B275" s="28" t="s">
        <v>47</v>
      </c>
      <c r="C275" t="s">
        <v>16</v>
      </c>
      <c r="D275" t="str">
        <f>_xlfn.XLOOKUP(Table1[[#This Row],[Player]]&amp;Table1[[#This Row],[Week]]&amp;Table1[[#This Row],[Role]],'Google Form Transform'!$A:$A,'Google Form Transform'!E:E,"")</f>
        <v/>
      </c>
      <c r="E275" t="str">
        <f>_xlfn.XLOOKUP(Table1[[#This Row],[Player]]&amp;Table1[[#This Row],[Week]]&amp;Table1[[#This Row],[Role]],'Google Form Transform'!$A:$A,'Google Form Transform'!F:F,"")</f>
        <v/>
      </c>
      <c r="F275" t="str">
        <f>_xlfn.XLOOKUP(Table1[[#This Row],[Player]]&amp;Table1[[#This Row],[Week]]&amp;Table1[[#This Row],[Role]],'Google Form Transform'!$A:$A,'Google Form Transform'!G:G,"")</f>
        <v/>
      </c>
      <c r="G275" s="59">
        <f>SUMIFS(Table2[Stat],Table2[Stat Category],"passing",Table2[Stat Type],"YDS",Table2[Athlete],Table1[[#This Row],[Pick]],Table2[Week],Table1[[#This Row],[Week]])</f>
        <v>0</v>
      </c>
      <c r="H275" s="59">
        <f>SUMIFS(Table2[Stat],Table2[Stat Category],"rushing",Table2[Stat Type],"YDS",Table2[Athlete],Table1[[#This Row],[Pick]],Table2[Week],Table1[[#This Row],[Week]])</f>
        <v>0</v>
      </c>
      <c r="I275" s="59">
        <f>SUMIFS(Table2[Stat],Table2[Stat Category],"receiving",Table2[Stat Type],"YDS",Table2[Athlete],Table1[[#This Row],[Pick]],Table2[Week],Table1[[#This Row],[Week]])</f>
        <v>0</v>
      </c>
      <c r="J275" s="6">
        <f>IF(AND($C275="Rushing", $H275&lt;=0), 0, IF(AND($C275="Passing", $G$3&lt;=0), 0,IF(AND($C275="Receiving",$I275&lt;=0), 0,SUMIFS(Table2[Stat],Table2[Week],Table1[[#This Row],[Week]],Table2[Athlete],Table1[[#This Row],[Pick]],Table2[Stat Category],"passing",Table2[Stat Type],"TD"))))</f>
        <v>0</v>
      </c>
      <c r="K275" s="6">
        <f>IF(AND($C275="Rushing", $H275&lt;=0), 0, IF(AND($C275="Passing", $G$3&lt;=0), 0,IF(AND($C275="Receiving",$I275&lt;=0),0,SUMIFS(Table2[Stat],Table2[Week],Table1[[#This Row],[Week]],Table2[Athlete],Table1[[#This Row],[Pick]],Table2[Stat Category],"rushing",Table2[Stat Type],"TD"))))</f>
        <v>0</v>
      </c>
      <c r="L275" s="6">
        <f>IF(AND($C275="Rushing", $H275&lt;=0), 0, IF(AND($C275="Passing", $G$3&lt;=0), 0,IF(AND($C275="Receiving",$I275&lt;=0),0,SUMIFS(Table2[Stat],Table2[Week],Table1[[#This Row],[Week]],Table2[Athlete],Table1[[#This Row],[Pick]],Table2[Stat Category],"receiving",Table2[Stat Type],"TD"))))</f>
        <v>0</v>
      </c>
      <c r="M2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5" s="61">
        <f>SUMIFS(Data!$J:$J,Data!$A:$A,Info!$B275,Data!$G:$G,Info!$C275,Data!$I:$I,Info!$D275,Data!$H:$H,"TOT")</f>
        <v>0</v>
      </c>
      <c r="O275" s="61">
        <f>IF(C275="Defensive",SUMIFS(Data!$J:$J,Data!$A:$A,Info!$B275,Data!$I:$I,Info!$D275,Data!$H:$H,"INT"),0)</f>
        <v>0</v>
      </c>
      <c r="P275" s="61">
        <f>IF(Table1[[#This Row],[Role]]="Defensive",SUMIFS(Data!$J:$J,Data!$A:$A,Info!$B275,Data!$I:$I,Info!$D275,Data!$H:$H,$P$1),0)</f>
        <v>0</v>
      </c>
      <c r="Q275" s="65" t="str">
        <f>IF(Table1[[#This Row],[Pick]]="","",IF(S275&gt;1,400,IF(G275="","",IF(C275="Passing",(400-Table1[[#This Row],[Passing Yards]]-(30*Table1[[#This Row],[Passing TDs]])-(50*SUM(Table1[[#This Row],[Rushing TDs]:[Other TD''s]]))),IF(C275="Rushing",2*(200-Table1[[#This Row],[Rushing Yards]]-(30*Table1[[#This Row],[Passing TDs]])-50*(Table1[[#This Row],[Rushing TDs]]+Table1[[#This Row],[Receiving TDs]]+Table1[[#This Row],[Other TD''s]])),IF(C275="Receiving",2*(200-Table1[[#This Row],[Receiving Yards]]-(30*Table1[[#This Row],[Passing TDs]])-50*(Table1[[#This Row],[Rushing TDs]]+Table1[[#This Row],[Receiving TDs]]+Table1[[#This Row],[Other TD''s]])),IF(C275="Defensive",(25*(16-Table1[[#This Row],[Tackles]]-(8*(Table1[[#This Row],[Other TD''s]]+Table1[[#This Row],[Interceptions]]+Table1[[#This Row],[Fumbles Recovered]])))))))))))</f>
        <v/>
      </c>
      <c r="R275" s="3" t="str">
        <f t="shared" si="10"/>
        <v/>
      </c>
      <c r="S275" s="4">
        <f t="shared" si="9"/>
        <v>1048507</v>
      </c>
      <c r="T2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6" spans="1:20" hidden="1" x14ac:dyDescent="0.25">
      <c r="A276" t="s">
        <v>68</v>
      </c>
      <c r="B276" s="28" t="s">
        <v>47</v>
      </c>
      <c r="C276" t="s">
        <v>6</v>
      </c>
      <c r="D276" t="str">
        <f>_xlfn.XLOOKUP(Table1[[#This Row],[Player]]&amp;Table1[[#This Row],[Week]]&amp;Table1[[#This Row],[Role]],'Google Form Transform'!$A:$A,'Google Form Transform'!E:E,"")</f>
        <v/>
      </c>
      <c r="E276" t="str">
        <f>_xlfn.XLOOKUP(Table1[[#This Row],[Player]]&amp;Table1[[#This Row],[Week]]&amp;Table1[[#This Row],[Role]],'Google Form Transform'!$A:$A,'Google Form Transform'!F:F,"")</f>
        <v/>
      </c>
      <c r="F276" t="str">
        <f>_xlfn.XLOOKUP(Table1[[#This Row],[Player]]&amp;Table1[[#This Row],[Week]]&amp;Table1[[#This Row],[Role]],'Google Form Transform'!$A:$A,'Google Form Transform'!G:G,"")</f>
        <v/>
      </c>
      <c r="G276" s="59">
        <f>SUMIFS(Table2[Stat],Table2[Stat Category],"passing",Table2[Stat Type],"YDS",Table2[Athlete],Table1[[#This Row],[Pick]],Table2[Week],Table1[[#This Row],[Week]])</f>
        <v>0</v>
      </c>
      <c r="H276" s="59">
        <f>SUMIFS(Table2[Stat],Table2[Stat Category],"rushing",Table2[Stat Type],"YDS",Table2[Athlete],Table1[[#This Row],[Pick]],Table2[Week],Table1[[#This Row],[Week]])</f>
        <v>0</v>
      </c>
      <c r="I276" s="59">
        <f>SUMIFS(Table2[Stat],Table2[Stat Category],"receiving",Table2[Stat Type],"YDS",Table2[Athlete],Table1[[#This Row],[Pick]],Table2[Week],Table1[[#This Row],[Week]])</f>
        <v>0</v>
      </c>
      <c r="J276" s="6">
        <f>IF(AND($C276="Rushing", $H276&lt;=0), 0, IF(AND($C276="Passing", $G$3&lt;=0), 0,IF(AND($C276="Receiving",$I276&lt;=0), 0,SUMIFS(Table2[Stat],Table2[Week],Table1[[#This Row],[Week]],Table2[Athlete],Table1[[#This Row],[Pick]],Table2[Stat Category],"passing",Table2[Stat Type],"TD"))))</f>
        <v>0</v>
      </c>
      <c r="K276" s="6">
        <f>IF(AND($C276="Rushing", $H276&lt;=0), 0, IF(AND($C276="Passing", $G$3&lt;=0), 0,IF(AND($C276="Receiving",$I276&lt;=0),0,SUMIFS(Table2[Stat],Table2[Week],Table1[[#This Row],[Week]],Table2[Athlete],Table1[[#This Row],[Pick]],Table2[Stat Category],"rushing",Table2[Stat Type],"TD"))))</f>
        <v>0</v>
      </c>
      <c r="L276" s="6">
        <f>IF(AND($C276="Rushing", $H276&lt;=0), 0, IF(AND($C276="Passing", $G$3&lt;=0), 0,IF(AND($C276="Receiving",$I276&lt;=0),0,SUMIFS(Table2[Stat],Table2[Week],Table1[[#This Row],[Week]],Table2[Athlete],Table1[[#This Row],[Pick]],Table2[Stat Category],"receiving",Table2[Stat Type],"TD"))))</f>
        <v>0</v>
      </c>
      <c r="M2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6" s="61">
        <f>SUMIFS(Data!$J:$J,Data!$A:$A,Info!$B276,Data!$G:$G,Info!$C276,Data!$I:$I,Info!$D276,Data!$H:$H,"TOT")</f>
        <v>0</v>
      </c>
      <c r="O276" s="61">
        <f>IF(C276="Defensive",SUMIFS(Data!$J:$J,Data!$A:$A,Info!$B276,Data!$I:$I,Info!$D276,Data!$H:$H,"INT"),0)</f>
        <v>0</v>
      </c>
      <c r="P276" s="61">
        <f>IF(Table1[[#This Row],[Role]]="Defensive",SUMIFS(Data!$J:$J,Data!$A:$A,Info!$B276,Data!$I:$I,Info!$D276,Data!$H:$H,$P$1),0)</f>
        <v>0</v>
      </c>
      <c r="Q276" s="65" t="str">
        <f>IF(Table1[[#This Row],[Pick]]="","",IF(S276&gt;1,400,IF(G276="","",IF(C276="Passing",(400-Table1[[#This Row],[Passing Yards]]-(30*Table1[[#This Row],[Passing TDs]])-(50*SUM(Table1[[#This Row],[Rushing TDs]:[Other TD''s]]))),IF(C276="Rushing",2*(200-Table1[[#This Row],[Rushing Yards]]-(30*Table1[[#This Row],[Passing TDs]])-50*(Table1[[#This Row],[Rushing TDs]]+Table1[[#This Row],[Receiving TDs]]+Table1[[#This Row],[Other TD''s]])),IF(C276="Receiving",2*(200-Table1[[#This Row],[Receiving Yards]]-(30*Table1[[#This Row],[Passing TDs]])-50*(Table1[[#This Row],[Rushing TDs]]+Table1[[#This Row],[Receiving TDs]]+Table1[[#This Row],[Other TD''s]])),IF(C276="Defensive",(25*(16-Table1[[#This Row],[Tackles]]-(8*(Table1[[#This Row],[Other TD''s]]+Table1[[#This Row],[Interceptions]]+Table1[[#This Row],[Fumbles Recovered]])))))))))))</f>
        <v/>
      </c>
      <c r="R276" s="3" t="str">
        <f t="shared" si="10"/>
        <v/>
      </c>
      <c r="S276" s="4">
        <f t="shared" si="9"/>
        <v>1048507</v>
      </c>
      <c r="T2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7" spans="1:20" hidden="1" x14ac:dyDescent="0.25">
      <c r="A277" t="s">
        <v>68</v>
      </c>
      <c r="B277" s="28" t="s">
        <v>47</v>
      </c>
      <c r="C277" t="s">
        <v>17</v>
      </c>
      <c r="D277" t="str">
        <f>_xlfn.XLOOKUP(Table1[[#This Row],[Player]]&amp;Table1[[#This Row],[Week]]&amp;Table1[[#This Row],[Role]],'Google Form Transform'!$A:$A,'Google Form Transform'!E:E,"")</f>
        <v/>
      </c>
      <c r="E277" t="str">
        <f>_xlfn.XLOOKUP(Table1[[#This Row],[Player]]&amp;Table1[[#This Row],[Week]]&amp;Table1[[#This Row],[Role]],'Google Form Transform'!$A:$A,'Google Form Transform'!F:F,"")</f>
        <v/>
      </c>
      <c r="F277" t="str">
        <f>_xlfn.XLOOKUP(Table1[[#This Row],[Player]]&amp;Table1[[#This Row],[Week]]&amp;Table1[[#This Row],[Role]],'Google Form Transform'!$A:$A,'Google Form Transform'!G:G,"")</f>
        <v/>
      </c>
      <c r="G277" s="59">
        <f>SUMIFS(Table2[Stat],Table2[Stat Category],"passing",Table2[Stat Type],"YDS",Table2[Athlete],Table1[[#This Row],[Pick]],Table2[Week],Table1[[#This Row],[Week]])</f>
        <v>0</v>
      </c>
      <c r="H277" s="59">
        <f>SUMIFS(Table2[Stat],Table2[Stat Category],"rushing",Table2[Stat Type],"YDS",Table2[Athlete],Table1[[#This Row],[Pick]],Table2[Week],Table1[[#This Row],[Week]])</f>
        <v>0</v>
      </c>
      <c r="I277" s="59">
        <f>SUMIFS(Table2[Stat],Table2[Stat Category],"receiving",Table2[Stat Type],"YDS",Table2[Athlete],Table1[[#This Row],[Pick]],Table2[Week],Table1[[#This Row],[Week]])</f>
        <v>0</v>
      </c>
      <c r="J277" s="6">
        <f>IF(AND($C277="Rushing", $H277&lt;=0), 0, IF(AND($C277="Passing", $G$3&lt;=0), 0,IF(AND($C277="Receiving",$I277&lt;=0), 0,SUMIFS(Table2[Stat],Table2[Week],Table1[[#This Row],[Week]],Table2[Athlete],Table1[[#This Row],[Pick]],Table2[Stat Category],"passing",Table2[Stat Type],"TD"))))</f>
        <v>0</v>
      </c>
      <c r="K277" s="6">
        <f>IF(AND($C277="Rushing", $H277&lt;=0), 0, IF(AND($C277="Passing", $G$3&lt;=0), 0,IF(AND($C277="Receiving",$I277&lt;=0),0,SUMIFS(Table2[Stat],Table2[Week],Table1[[#This Row],[Week]],Table2[Athlete],Table1[[#This Row],[Pick]],Table2[Stat Category],"rushing",Table2[Stat Type],"TD"))))</f>
        <v>0</v>
      </c>
      <c r="L277" s="6">
        <f>IF(AND($C277="Rushing", $H277&lt;=0), 0, IF(AND($C277="Passing", $G$3&lt;=0), 0,IF(AND($C277="Receiving",$I277&lt;=0),0,SUMIFS(Table2[Stat],Table2[Week],Table1[[#This Row],[Week]],Table2[Athlete],Table1[[#This Row],[Pick]],Table2[Stat Category],"receiving",Table2[Stat Type],"TD"))))</f>
        <v>0</v>
      </c>
      <c r="M2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7" s="61">
        <f>SUMIFS(Data!$J:$J,Data!$A:$A,Info!$B277,Data!$G:$G,Info!$C277,Data!$I:$I,Info!$D277,Data!$H:$H,"TOT")</f>
        <v>0</v>
      </c>
      <c r="O277" s="61">
        <f>IF(C277="Defensive",SUMIFS(Data!$J:$J,Data!$A:$A,Info!$B277,Data!$I:$I,Info!$D277,Data!$H:$H,"INT"),0)</f>
        <v>0</v>
      </c>
      <c r="P277" s="61">
        <f>IF(Table1[[#This Row],[Role]]="Defensive",SUMIFS(Data!$J:$J,Data!$A:$A,Info!$B277,Data!$I:$I,Info!$D277,Data!$H:$H,$P$1),0)</f>
        <v>0</v>
      </c>
      <c r="Q277" s="65" t="str">
        <f>IF(Table1[[#This Row],[Pick]]="","",IF(S277&gt;1,400,IF(G277="","",IF(C277="Passing",(400-Table1[[#This Row],[Passing Yards]]-(30*Table1[[#This Row],[Passing TDs]])-(50*SUM(Table1[[#This Row],[Rushing TDs]:[Other TD''s]]))),IF(C277="Rushing",2*(200-Table1[[#This Row],[Rushing Yards]]-(30*Table1[[#This Row],[Passing TDs]])-50*(Table1[[#This Row],[Rushing TDs]]+Table1[[#This Row],[Receiving TDs]]+Table1[[#This Row],[Other TD''s]])),IF(C277="Receiving",2*(200-Table1[[#This Row],[Receiving Yards]]-(30*Table1[[#This Row],[Passing TDs]])-50*(Table1[[#This Row],[Rushing TDs]]+Table1[[#This Row],[Receiving TDs]]+Table1[[#This Row],[Other TD''s]])),IF(C277="Defensive",(25*(16-Table1[[#This Row],[Tackles]]-(8*(Table1[[#This Row],[Other TD''s]]+Table1[[#This Row],[Interceptions]]+Table1[[#This Row],[Fumbles Recovered]])))))))))))</f>
        <v/>
      </c>
      <c r="R277" s="3" t="str">
        <f t="shared" si="10"/>
        <v/>
      </c>
      <c r="S277" s="4">
        <f t="shared" si="9"/>
        <v>1048507</v>
      </c>
      <c r="T2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8" spans="1:20" hidden="1" x14ac:dyDescent="0.25">
      <c r="A278" t="s">
        <v>68</v>
      </c>
      <c r="B278" s="28" t="s">
        <v>47</v>
      </c>
      <c r="C278" t="s">
        <v>20</v>
      </c>
      <c r="D278" t="str">
        <f>_xlfn.XLOOKUP(Table1[[#This Row],[Player]]&amp;Table1[[#This Row],[Week]]&amp;Table1[[#This Row],[Role]],'Google Form Transform'!$A:$A,'Google Form Transform'!E:E,"")</f>
        <v/>
      </c>
      <c r="E278" t="str">
        <f>_xlfn.XLOOKUP(Table1[[#This Row],[Player]]&amp;Table1[[#This Row],[Week]]&amp;Table1[[#This Row],[Role]],'Google Form Transform'!$A:$A,'Google Form Transform'!F:F,"")</f>
        <v/>
      </c>
      <c r="F278" t="str">
        <f>_xlfn.XLOOKUP(Table1[[#This Row],[Player]]&amp;Table1[[#This Row],[Week]]&amp;Table1[[#This Row],[Role]],'Google Form Transform'!$A:$A,'Google Form Transform'!G:G,"")</f>
        <v/>
      </c>
      <c r="G278" s="59">
        <f>SUMIFS(Table2[Stat],Table2[Stat Category],"passing",Table2[Stat Type],"YDS",Table2[Athlete],Table1[[#This Row],[Pick]],Table2[Week],Table1[[#This Row],[Week]])</f>
        <v>0</v>
      </c>
      <c r="H278" s="59">
        <f>SUMIFS(Table2[Stat],Table2[Stat Category],"rushing",Table2[Stat Type],"YDS",Table2[Athlete],Table1[[#This Row],[Pick]],Table2[Week],Table1[[#This Row],[Week]])</f>
        <v>0</v>
      </c>
      <c r="I278" s="59">
        <f>SUMIFS(Table2[Stat],Table2[Stat Category],"receiving",Table2[Stat Type],"YDS",Table2[Athlete],Table1[[#This Row],[Pick]],Table2[Week],Table1[[#This Row],[Week]])</f>
        <v>0</v>
      </c>
      <c r="J278" s="6">
        <f>IF(AND($C278="Rushing", $H278&lt;=0), 0, IF(AND($C278="Passing", $G$3&lt;=0), 0,IF(AND($C278="Receiving",$I278&lt;=0), 0,SUMIFS(Table2[Stat],Table2[Week],Table1[[#This Row],[Week]],Table2[Athlete],Table1[[#This Row],[Pick]],Table2[Stat Category],"passing",Table2[Stat Type],"TD"))))</f>
        <v>0</v>
      </c>
      <c r="K278" s="6">
        <f>IF(AND($C278="Rushing", $H278&lt;=0), 0, IF(AND($C278="Passing", $G$3&lt;=0), 0,IF(AND($C278="Receiving",$I278&lt;=0),0,SUMIFS(Table2[Stat],Table2[Week],Table1[[#This Row],[Week]],Table2[Athlete],Table1[[#This Row],[Pick]],Table2[Stat Category],"rushing",Table2[Stat Type],"TD"))))</f>
        <v>0</v>
      </c>
      <c r="L278" s="6">
        <f>IF(AND($C278="Rushing", $H278&lt;=0), 0, IF(AND($C278="Passing", $G$3&lt;=0), 0,IF(AND($C278="Receiving",$I278&lt;=0),0,SUMIFS(Table2[Stat],Table2[Week],Table1[[#This Row],[Week]],Table2[Athlete],Table1[[#This Row],[Pick]],Table2[Stat Category],"receiving",Table2[Stat Type],"TD"))))</f>
        <v>0</v>
      </c>
      <c r="M2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8" s="61">
        <f>SUMIFS(Data!$J:$J,Data!$A:$A,Info!$B278,Data!$G:$G,Info!$C278,Data!$I:$I,Info!$D278,Data!$H:$H,"TOT")</f>
        <v>0</v>
      </c>
      <c r="O278" s="61">
        <f>IF(C278="Defensive",SUMIFS(Data!$J:$J,Data!$A:$A,Info!$B278,Data!$I:$I,Info!$D278,Data!$H:$H,"INT"),0)</f>
        <v>0</v>
      </c>
      <c r="P278" s="61">
        <f>IF(Table1[[#This Row],[Role]]="Defensive",SUMIFS(Data!$J:$J,Data!$A:$A,Info!$B278,Data!$I:$I,Info!$D278,Data!$H:$H,$P$1),0)</f>
        <v>0</v>
      </c>
      <c r="Q278" s="65" t="str">
        <f>IF(Table1[[#This Row],[Pick]]="","",IF(S278&gt;1,400,IF(G278="","",IF(C278="Passing",(400-Table1[[#This Row],[Passing Yards]]-(30*Table1[[#This Row],[Passing TDs]])-(50*SUM(Table1[[#This Row],[Rushing TDs]:[Other TD''s]]))),IF(C278="Rushing",2*(200-Table1[[#This Row],[Rushing Yards]]-(30*Table1[[#This Row],[Passing TDs]])-50*(Table1[[#This Row],[Rushing TDs]]+Table1[[#This Row],[Receiving TDs]]+Table1[[#This Row],[Other TD''s]])),IF(C278="Receiving",2*(200-Table1[[#This Row],[Receiving Yards]]-(30*Table1[[#This Row],[Passing TDs]])-50*(Table1[[#This Row],[Rushing TDs]]+Table1[[#This Row],[Receiving TDs]]+Table1[[#This Row],[Other TD''s]])),IF(C278="Defensive",(25*(16-Table1[[#This Row],[Tackles]]-(8*(Table1[[#This Row],[Other TD''s]]+Table1[[#This Row],[Interceptions]]+Table1[[#This Row],[Fumbles Recovered]])))))))))))</f>
        <v/>
      </c>
      <c r="R278" s="3" t="str">
        <f t="shared" si="10"/>
        <v/>
      </c>
      <c r="S278" s="4">
        <f t="shared" si="9"/>
        <v>1048507</v>
      </c>
      <c r="T2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9" spans="1:20" hidden="1" x14ac:dyDescent="0.25">
      <c r="A279" t="s">
        <v>5</v>
      </c>
      <c r="B279" s="28" t="s">
        <v>47</v>
      </c>
      <c r="C279" t="s">
        <v>16</v>
      </c>
      <c r="D279" t="str">
        <f>_xlfn.XLOOKUP(Table1[[#This Row],[Player]]&amp;Table1[[#This Row],[Week]]&amp;Table1[[#This Row],[Role]],'Google Form Transform'!$A:$A,'Google Form Transform'!E:E,"")</f>
        <v/>
      </c>
      <c r="E279" t="str">
        <f>_xlfn.XLOOKUP(Table1[[#This Row],[Player]]&amp;Table1[[#This Row],[Week]]&amp;Table1[[#This Row],[Role]],'Google Form Transform'!$A:$A,'Google Form Transform'!F:F,"")</f>
        <v/>
      </c>
      <c r="F279" t="str">
        <f>_xlfn.XLOOKUP(Table1[[#This Row],[Player]]&amp;Table1[[#This Row],[Week]]&amp;Table1[[#This Row],[Role]],'Google Form Transform'!$A:$A,'Google Form Transform'!G:G,"")</f>
        <v/>
      </c>
      <c r="G279" s="59">
        <f>SUMIFS(Table2[Stat],Table2[Stat Category],"passing",Table2[Stat Type],"YDS",Table2[Athlete],Table1[[#This Row],[Pick]],Table2[Week],Table1[[#This Row],[Week]])</f>
        <v>0</v>
      </c>
      <c r="H279" s="59">
        <f>SUMIFS(Table2[Stat],Table2[Stat Category],"rushing",Table2[Stat Type],"YDS",Table2[Athlete],Table1[[#This Row],[Pick]],Table2[Week],Table1[[#This Row],[Week]])</f>
        <v>0</v>
      </c>
      <c r="I279" s="59">
        <f>SUMIFS(Table2[Stat],Table2[Stat Category],"receiving",Table2[Stat Type],"YDS",Table2[Athlete],Table1[[#This Row],[Pick]],Table2[Week],Table1[[#This Row],[Week]])</f>
        <v>0</v>
      </c>
      <c r="J279" s="6">
        <f>IF(AND($C279="Rushing", $H279&lt;=0), 0, IF(AND($C279="Passing", $G$3&lt;=0), 0,IF(AND($C279="Receiving",$I279&lt;=0), 0,SUMIFS(Table2[Stat],Table2[Week],Table1[[#This Row],[Week]],Table2[Athlete],Table1[[#This Row],[Pick]],Table2[Stat Category],"passing",Table2[Stat Type],"TD"))))</f>
        <v>0</v>
      </c>
      <c r="K279" s="6">
        <f>IF(AND($C279="Rushing", $H279&lt;=0), 0, IF(AND($C279="Passing", $G$3&lt;=0), 0,IF(AND($C279="Receiving",$I279&lt;=0),0,SUMIFS(Table2[Stat],Table2[Week],Table1[[#This Row],[Week]],Table2[Athlete],Table1[[#This Row],[Pick]],Table2[Stat Category],"rushing",Table2[Stat Type],"TD"))))</f>
        <v>0</v>
      </c>
      <c r="L279" s="6">
        <f>IF(AND($C279="Rushing", $H279&lt;=0), 0, IF(AND($C279="Passing", $G$3&lt;=0), 0,IF(AND($C279="Receiving",$I279&lt;=0),0,SUMIFS(Table2[Stat],Table2[Week],Table1[[#This Row],[Week]],Table2[Athlete],Table1[[#This Row],[Pick]],Table2[Stat Category],"receiving",Table2[Stat Type],"TD"))))</f>
        <v>0</v>
      </c>
      <c r="M2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9" s="61">
        <f>SUMIFS(Data!$J:$J,Data!$A:$A,Info!$B279,Data!$G:$G,Info!$C279,Data!$I:$I,Info!$D279,Data!$H:$H,"TOT")</f>
        <v>0</v>
      </c>
      <c r="O279" s="61">
        <f>IF(C279="Defensive",SUMIFS(Data!$J:$J,Data!$A:$A,Info!$B279,Data!$I:$I,Info!$D279,Data!$H:$H,"INT"),0)</f>
        <v>0</v>
      </c>
      <c r="P279" s="61">
        <f>IF(Table1[[#This Row],[Role]]="Defensive",SUMIFS(Data!$J:$J,Data!$A:$A,Info!$B279,Data!$I:$I,Info!$D279,Data!$H:$H,$P$1),0)</f>
        <v>0</v>
      </c>
      <c r="Q279" s="65" t="str">
        <f>IF(Table1[[#This Row],[Pick]]="","",IF(S279&gt;1,400,IF(G279="","",IF(C279="Passing",(400-Table1[[#This Row],[Passing Yards]]-(30*Table1[[#This Row],[Passing TDs]])-(50*SUM(Table1[[#This Row],[Rushing TDs]:[Other TD''s]]))),IF(C279="Rushing",2*(200-Table1[[#This Row],[Rushing Yards]]-(30*Table1[[#This Row],[Passing TDs]])-50*(Table1[[#This Row],[Rushing TDs]]+Table1[[#This Row],[Receiving TDs]]+Table1[[#This Row],[Other TD''s]])),IF(C279="Receiving",2*(200-Table1[[#This Row],[Receiving Yards]]-(30*Table1[[#This Row],[Passing TDs]])-50*(Table1[[#This Row],[Rushing TDs]]+Table1[[#This Row],[Receiving TDs]]+Table1[[#This Row],[Other TD''s]])),IF(C279="Defensive",(25*(16-Table1[[#This Row],[Tackles]]-(8*(Table1[[#This Row],[Other TD''s]]+Table1[[#This Row],[Interceptions]]+Table1[[#This Row],[Fumbles Recovered]])))))))))))</f>
        <v/>
      </c>
      <c r="R279" s="3" t="str">
        <f t="shared" si="10"/>
        <v/>
      </c>
      <c r="S279" s="4">
        <f t="shared" si="9"/>
        <v>1048507</v>
      </c>
      <c r="T2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0" spans="1:20" hidden="1" x14ac:dyDescent="0.25">
      <c r="A280" t="s">
        <v>5</v>
      </c>
      <c r="B280" s="28" t="s">
        <v>47</v>
      </c>
      <c r="C280" t="s">
        <v>6</v>
      </c>
      <c r="D280" t="str">
        <f>_xlfn.XLOOKUP(Table1[[#This Row],[Player]]&amp;Table1[[#This Row],[Week]]&amp;Table1[[#This Row],[Role]],'Google Form Transform'!$A:$A,'Google Form Transform'!E:E,"")</f>
        <v/>
      </c>
      <c r="E280" t="str">
        <f>_xlfn.XLOOKUP(Table1[[#This Row],[Player]]&amp;Table1[[#This Row],[Week]]&amp;Table1[[#This Row],[Role]],'Google Form Transform'!$A:$A,'Google Form Transform'!F:F,"")</f>
        <v/>
      </c>
      <c r="F280" t="str">
        <f>_xlfn.XLOOKUP(Table1[[#This Row],[Player]]&amp;Table1[[#This Row],[Week]]&amp;Table1[[#This Row],[Role]],'Google Form Transform'!$A:$A,'Google Form Transform'!G:G,"")</f>
        <v/>
      </c>
      <c r="G280" s="59">
        <f>SUMIFS(Table2[Stat],Table2[Stat Category],"passing",Table2[Stat Type],"YDS",Table2[Athlete],Table1[[#This Row],[Pick]],Table2[Week],Table1[[#This Row],[Week]])</f>
        <v>0</v>
      </c>
      <c r="H280" s="59">
        <f>SUMIFS(Table2[Stat],Table2[Stat Category],"rushing",Table2[Stat Type],"YDS",Table2[Athlete],Table1[[#This Row],[Pick]],Table2[Week],Table1[[#This Row],[Week]])</f>
        <v>0</v>
      </c>
      <c r="I280" s="59">
        <f>SUMIFS(Table2[Stat],Table2[Stat Category],"receiving",Table2[Stat Type],"YDS",Table2[Athlete],Table1[[#This Row],[Pick]],Table2[Week],Table1[[#This Row],[Week]])</f>
        <v>0</v>
      </c>
      <c r="J280" s="6">
        <f>IF(AND($C280="Rushing", $H280&lt;=0), 0, IF(AND($C280="Passing", $G$3&lt;=0), 0,IF(AND($C280="Receiving",$I280&lt;=0), 0,SUMIFS(Table2[Stat],Table2[Week],Table1[[#This Row],[Week]],Table2[Athlete],Table1[[#This Row],[Pick]],Table2[Stat Category],"passing",Table2[Stat Type],"TD"))))</f>
        <v>0</v>
      </c>
      <c r="K280" s="6">
        <f>IF(AND($C280="Rushing", $H280&lt;=0), 0, IF(AND($C280="Passing", $G$3&lt;=0), 0,IF(AND($C280="Receiving",$I280&lt;=0),0,SUMIFS(Table2[Stat],Table2[Week],Table1[[#This Row],[Week]],Table2[Athlete],Table1[[#This Row],[Pick]],Table2[Stat Category],"rushing",Table2[Stat Type],"TD"))))</f>
        <v>0</v>
      </c>
      <c r="L280" s="6">
        <f>IF(AND($C280="Rushing", $H280&lt;=0), 0, IF(AND($C280="Passing", $G$3&lt;=0), 0,IF(AND($C280="Receiving",$I280&lt;=0),0,SUMIFS(Table2[Stat],Table2[Week],Table1[[#This Row],[Week]],Table2[Athlete],Table1[[#This Row],[Pick]],Table2[Stat Category],"receiving",Table2[Stat Type],"TD"))))</f>
        <v>0</v>
      </c>
      <c r="M2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0" s="61">
        <f>SUMIFS(Data!$J:$J,Data!$A:$A,Info!$B280,Data!$G:$G,Info!$C280,Data!$I:$I,Info!$D280,Data!$H:$H,"TOT")</f>
        <v>0</v>
      </c>
      <c r="O280" s="61">
        <f>IF(C280="Defensive",SUMIFS(Data!$J:$J,Data!$A:$A,Info!$B280,Data!$I:$I,Info!$D280,Data!$H:$H,"INT"),0)</f>
        <v>0</v>
      </c>
      <c r="P280" s="61">
        <f>IF(Table1[[#This Row],[Role]]="Defensive",SUMIFS(Data!$J:$J,Data!$A:$A,Info!$B280,Data!$I:$I,Info!$D280,Data!$H:$H,$P$1),0)</f>
        <v>0</v>
      </c>
      <c r="Q280" s="65" t="str">
        <f>IF(Table1[[#This Row],[Pick]]="","",IF(S280&gt;1,400,IF(G280="","",IF(C280="Passing",(400-Table1[[#This Row],[Passing Yards]]-(30*Table1[[#This Row],[Passing TDs]])-(50*SUM(Table1[[#This Row],[Rushing TDs]:[Other TD''s]]))),IF(C280="Rushing",2*(200-Table1[[#This Row],[Rushing Yards]]-(30*Table1[[#This Row],[Passing TDs]])-50*(Table1[[#This Row],[Rushing TDs]]+Table1[[#This Row],[Receiving TDs]]+Table1[[#This Row],[Other TD''s]])),IF(C280="Receiving",2*(200-Table1[[#This Row],[Receiving Yards]]-(30*Table1[[#This Row],[Passing TDs]])-50*(Table1[[#This Row],[Rushing TDs]]+Table1[[#This Row],[Receiving TDs]]+Table1[[#This Row],[Other TD''s]])),IF(C280="Defensive",(25*(16-Table1[[#This Row],[Tackles]]-(8*(Table1[[#This Row],[Other TD''s]]+Table1[[#This Row],[Interceptions]]+Table1[[#This Row],[Fumbles Recovered]])))))))))))</f>
        <v/>
      </c>
      <c r="R280" s="3" t="str">
        <f t="shared" si="10"/>
        <v/>
      </c>
      <c r="S280" s="4">
        <f t="shared" si="9"/>
        <v>1048507</v>
      </c>
      <c r="T2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1" spans="1:20" hidden="1" x14ac:dyDescent="0.25">
      <c r="A281" t="s">
        <v>5</v>
      </c>
      <c r="B281" s="28" t="s">
        <v>47</v>
      </c>
      <c r="C281" t="s">
        <v>17</v>
      </c>
      <c r="D281" t="str">
        <f>_xlfn.XLOOKUP(Table1[[#This Row],[Player]]&amp;Table1[[#This Row],[Week]]&amp;Table1[[#This Row],[Role]],'Google Form Transform'!$A:$A,'Google Form Transform'!E:E,"")</f>
        <v/>
      </c>
      <c r="E281" t="str">
        <f>_xlfn.XLOOKUP(Table1[[#This Row],[Player]]&amp;Table1[[#This Row],[Week]]&amp;Table1[[#This Row],[Role]],'Google Form Transform'!$A:$A,'Google Form Transform'!F:F,"")</f>
        <v/>
      </c>
      <c r="F281" t="str">
        <f>_xlfn.XLOOKUP(Table1[[#This Row],[Player]]&amp;Table1[[#This Row],[Week]]&amp;Table1[[#This Row],[Role]],'Google Form Transform'!$A:$A,'Google Form Transform'!G:G,"")</f>
        <v/>
      </c>
      <c r="G281" s="59">
        <f>SUMIFS(Table2[Stat],Table2[Stat Category],"passing",Table2[Stat Type],"YDS",Table2[Athlete],Table1[[#This Row],[Pick]],Table2[Week],Table1[[#This Row],[Week]])</f>
        <v>0</v>
      </c>
      <c r="H281" s="59">
        <f>SUMIFS(Table2[Stat],Table2[Stat Category],"rushing",Table2[Stat Type],"YDS",Table2[Athlete],Table1[[#This Row],[Pick]],Table2[Week],Table1[[#This Row],[Week]])</f>
        <v>0</v>
      </c>
      <c r="I281" s="59">
        <f>SUMIFS(Table2[Stat],Table2[Stat Category],"receiving",Table2[Stat Type],"YDS",Table2[Athlete],Table1[[#This Row],[Pick]],Table2[Week],Table1[[#This Row],[Week]])</f>
        <v>0</v>
      </c>
      <c r="J281" s="6">
        <f>IF(AND($C281="Rushing", $H281&lt;=0), 0, IF(AND($C281="Passing", $G$3&lt;=0), 0,IF(AND($C281="Receiving",$I281&lt;=0), 0,SUMIFS(Table2[Stat],Table2[Week],Table1[[#This Row],[Week]],Table2[Athlete],Table1[[#This Row],[Pick]],Table2[Stat Category],"passing",Table2[Stat Type],"TD"))))</f>
        <v>0</v>
      </c>
      <c r="K281" s="6">
        <f>IF(AND($C281="Rushing", $H281&lt;=0), 0, IF(AND($C281="Passing", $G$3&lt;=0), 0,IF(AND($C281="Receiving",$I281&lt;=0),0,SUMIFS(Table2[Stat],Table2[Week],Table1[[#This Row],[Week]],Table2[Athlete],Table1[[#This Row],[Pick]],Table2[Stat Category],"rushing",Table2[Stat Type],"TD"))))</f>
        <v>0</v>
      </c>
      <c r="L281" s="6">
        <f>IF(AND($C281="Rushing", $H281&lt;=0), 0, IF(AND($C281="Passing", $G$3&lt;=0), 0,IF(AND($C281="Receiving",$I281&lt;=0),0,SUMIFS(Table2[Stat],Table2[Week],Table1[[#This Row],[Week]],Table2[Athlete],Table1[[#This Row],[Pick]],Table2[Stat Category],"receiving",Table2[Stat Type],"TD"))))</f>
        <v>0</v>
      </c>
      <c r="M2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1" s="61">
        <f>SUMIFS(Data!$J:$J,Data!$A:$A,Info!$B281,Data!$G:$G,Info!$C281,Data!$I:$I,Info!$D281,Data!$H:$H,"TOT")</f>
        <v>0</v>
      </c>
      <c r="O281" s="61">
        <f>IF(C281="Defensive",SUMIFS(Data!$J:$J,Data!$A:$A,Info!$B281,Data!$I:$I,Info!$D281,Data!$H:$H,"INT"),0)</f>
        <v>0</v>
      </c>
      <c r="P281" s="61">
        <f>IF(Table1[[#This Row],[Role]]="Defensive",SUMIFS(Data!$J:$J,Data!$A:$A,Info!$B281,Data!$I:$I,Info!$D281,Data!$H:$H,$P$1),0)</f>
        <v>0</v>
      </c>
      <c r="Q281" s="65" t="str">
        <f>IF(Table1[[#This Row],[Pick]]="","",IF(S281&gt;1,400,IF(G281="","",IF(C281="Passing",(400-Table1[[#This Row],[Passing Yards]]-(30*Table1[[#This Row],[Passing TDs]])-(50*SUM(Table1[[#This Row],[Rushing TDs]:[Other TD''s]]))),IF(C281="Rushing",2*(200-Table1[[#This Row],[Rushing Yards]]-(30*Table1[[#This Row],[Passing TDs]])-50*(Table1[[#This Row],[Rushing TDs]]+Table1[[#This Row],[Receiving TDs]]+Table1[[#This Row],[Other TD''s]])),IF(C281="Receiving",2*(200-Table1[[#This Row],[Receiving Yards]]-(30*Table1[[#This Row],[Passing TDs]])-50*(Table1[[#This Row],[Rushing TDs]]+Table1[[#This Row],[Receiving TDs]]+Table1[[#This Row],[Other TD''s]])),IF(C281="Defensive",(25*(16-Table1[[#This Row],[Tackles]]-(8*(Table1[[#This Row],[Other TD''s]]+Table1[[#This Row],[Interceptions]]+Table1[[#This Row],[Fumbles Recovered]])))))))))))</f>
        <v/>
      </c>
      <c r="R281" s="3" t="str">
        <f t="shared" si="10"/>
        <v/>
      </c>
      <c r="S281" s="4">
        <f t="shared" si="9"/>
        <v>1048507</v>
      </c>
      <c r="T2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2" spans="1:20" hidden="1" x14ac:dyDescent="0.25">
      <c r="A282" t="s">
        <v>5</v>
      </c>
      <c r="B282" s="28" t="s">
        <v>47</v>
      </c>
      <c r="C282" t="s">
        <v>20</v>
      </c>
      <c r="D282" t="str">
        <f>_xlfn.XLOOKUP(Table1[[#This Row],[Player]]&amp;Table1[[#This Row],[Week]]&amp;Table1[[#This Row],[Role]],'Google Form Transform'!$A:$A,'Google Form Transform'!E:E,"")</f>
        <v/>
      </c>
      <c r="E282" t="str">
        <f>_xlfn.XLOOKUP(Table1[[#This Row],[Player]]&amp;Table1[[#This Row],[Week]]&amp;Table1[[#This Row],[Role]],'Google Form Transform'!$A:$A,'Google Form Transform'!F:F,"")</f>
        <v/>
      </c>
      <c r="F282" t="str">
        <f>_xlfn.XLOOKUP(Table1[[#This Row],[Player]]&amp;Table1[[#This Row],[Week]]&amp;Table1[[#This Row],[Role]],'Google Form Transform'!$A:$A,'Google Form Transform'!G:G,"")</f>
        <v/>
      </c>
      <c r="G282" s="59">
        <f>SUMIFS(Table2[Stat],Table2[Stat Category],"passing",Table2[Stat Type],"YDS",Table2[Athlete],Table1[[#This Row],[Pick]],Table2[Week],Table1[[#This Row],[Week]])</f>
        <v>0</v>
      </c>
      <c r="H282" s="59">
        <f>SUMIFS(Table2[Stat],Table2[Stat Category],"rushing",Table2[Stat Type],"YDS",Table2[Athlete],Table1[[#This Row],[Pick]],Table2[Week],Table1[[#This Row],[Week]])</f>
        <v>0</v>
      </c>
      <c r="I282" s="59">
        <f>SUMIFS(Table2[Stat],Table2[Stat Category],"receiving",Table2[Stat Type],"YDS",Table2[Athlete],Table1[[#This Row],[Pick]],Table2[Week],Table1[[#This Row],[Week]])</f>
        <v>0</v>
      </c>
      <c r="J282" s="6">
        <f>IF(AND($C282="Rushing", $H282&lt;=0), 0, IF(AND($C282="Passing", $G$3&lt;=0), 0,IF(AND($C282="Receiving",$I282&lt;=0), 0,SUMIFS(Table2[Stat],Table2[Week],Table1[[#This Row],[Week]],Table2[Athlete],Table1[[#This Row],[Pick]],Table2[Stat Category],"passing",Table2[Stat Type],"TD"))))</f>
        <v>0</v>
      </c>
      <c r="K282" s="6">
        <f>IF(AND($C282="Rushing", $H282&lt;=0), 0, IF(AND($C282="Passing", $G$3&lt;=0), 0,IF(AND($C282="Receiving",$I282&lt;=0),0,SUMIFS(Table2[Stat],Table2[Week],Table1[[#This Row],[Week]],Table2[Athlete],Table1[[#This Row],[Pick]],Table2[Stat Category],"rushing",Table2[Stat Type],"TD"))))</f>
        <v>0</v>
      </c>
      <c r="L282" s="6">
        <f>IF(AND($C282="Rushing", $H282&lt;=0), 0, IF(AND($C282="Passing", $G$3&lt;=0), 0,IF(AND($C282="Receiving",$I282&lt;=0),0,SUMIFS(Table2[Stat],Table2[Week],Table1[[#This Row],[Week]],Table2[Athlete],Table1[[#This Row],[Pick]],Table2[Stat Category],"receiving",Table2[Stat Type],"TD"))))</f>
        <v>0</v>
      </c>
      <c r="M2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2" s="61">
        <f>SUMIFS(Data!$J:$J,Data!$A:$A,Info!$B282,Data!$G:$G,Info!$C282,Data!$I:$I,Info!$D282,Data!$H:$H,"TOT")</f>
        <v>0</v>
      </c>
      <c r="O282" s="61">
        <f>IF(C282="Defensive",SUMIFS(Data!$J:$J,Data!$A:$A,Info!$B282,Data!$I:$I,Info!$D282,Data!$H:$H,"INT"),0)</f>
        <v>0</v>
      </c>
      <c r="P282" s="61">
        <f>IF(Table1[[#This Row],[Role]]="Defensive",SUMIFS(Data!$J:$J,Data!$A:$A,Info!$B282,Data!$I:$I,Info!$D282,Data!$H:$H,$P$1),0)</f>
        <v>0</v>
      </c>
      <c r="Q282" s="65" t="str">
        <f>IF(Table1[[#This Row],[Pick]]="","",IF(S282&gt;1,400,IF(G282="","",IF(C282="Passing",(400-Table1[[#This Row],[Passing Yards]]-(30*Table1[[#This Row],[Passing TDs]])-(50*SUM(Table1[[#This Row],[Rushing TDs]:[Other TD''s]]))),IF(C282="Rushing",2*(200-Table1[[#This Row],[Rushing Yards]]-(30*Table1[[#This Row],[Passing TDs]])-50*(Table1[[#This Row],[Rushing TDs]]+Table1[[#This Row],[Receiving TDs]]+Table1[[#This Row],[Other TD''s]])),IF(C282="Receiving",2*(200-Table1[[#This Row],[Receiving Yards]]-(30*Table1[[#This Row],[Passing TDs]])-50*(Table1[[#This Row],[Rushing TDs]]+Table1[[#This Row],[Receiving TDs]]+Table1[[#This Row],[Other TD''s]])),IF(C282="Defensive",(25*(16-Table1[[#This Row],[Tackles]]-(8*(Table1[[#This Row],[Other TD''s]]+Table1[[#This Row],[Interceptions]]+Table1[[#This Row],[Fumbles Recovered]])))))))))))</f>
        <v/>
      </c>
      <c r="R282" s="3" t="str">
        <f t="shared" si="10"/>
        <v/>
      </c>
      <c r="S282" s="4">
        <f t="shared" si="9"/>
        <v>1048507</v>
      </c>
      <c r="T2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3" spans="1:20" hidden="1" x14ac:dyDescent="0.25">
      <c r="A283" t="s">
        <v>18</v>
      </c>
      <c r="B283" s="28" t="s">
        <v>47</v>
      </c>
      <c r="C283" t="s">
        <v>16</v>
      </c>
      <c r="D283" t="str">
        <f>_xlfn.XLOOKUP(Table1[[#This Row],[Player]]&amp;Table1[[#This Row],[Week]]&amp;Table1[[#This Row],[Role]],'Google Form Transform'!$A:$A,'Google Form Transform'!E:E,"")</f>
        <v/>
      </c>
      <c r="E283" t="str">
        <f>_xlfn.XLOOKUP(Table1[[#This Row],[Player]]&amp;Table1[[#This Row],[Week]]&amp;Table1[[#This Row],[Role]],'Google Form Transform'!$A:$A,'Google Form Transform'!F:F,"")</f>
        <v/>
      </c>
      <c r="F283" t="str">
        <f>_xlfn.XLOOKUP(Table1[[#This Row],[Player]]&amp;Table1[[#This Row],[Week]]&amp;Table1[[#This Row],[Role]],'Google Form Transform'!$A:$A,'Google Form Transform'!G:G,"")</f>
        <v/>
      </c>
      <c r="G283" s="59">
        <f>SUMIFS(Table2[Stat],Table2[Stat Category],"passing",Table2[Stat Type],"YDS",Table2[Athlete],Table1[[#This Row],[Pick]],Table2[Week],Table1[[#This Row],[Week]])</f>
        <v>0</v>
      </c>
      <c r="H283" s="59">
        <f>SUMIFS(Table2[Stat],Table2[Stat Category],"rushing",Table2[Stat Type],"YDS",Table2[Athlete],Table1[[#This Row],[Pick]],Table2[Week],Table1[[#This Row],[Week]])</f>
        <v>0</v>
      </c>
      <c r="I283" s="59">
        <f>SUMIFS(Table2[Stat],Table2[Stat Category],"receiving",Table2[Stat Type],"YDS",Table2[Athlete],Table1[[#This Row],[Pick]],Table2[Week],Table1[[#This Row],[Week]])</f>
        <v>0</v>
      </c>
      <c r="J283" s="6">
        <f>IF(AND($C283="Rushing", $H283&lt;=0), 0, IF(AND($C283="Passing", $G$3&lt;=0), 0,IF(AND($C283="Receiving",$I283&lt;=0), 0,SUMIFS(Table2[Stat],Table2[Week],Table1[[#This Row],[Week]],Table2[Athlete],Table1[[#This Row],[Pick]],Table2[Stat Category],"passing",Table2[Stat Type],"TD"))))</f>
        <v>0</v>
      </c>
      <c r="K283" s="6">
        <f>IF(AND($C283="Rushing", $H283&lt;=0), 0, IF(AND($C283="Passing", $G$3&lt;=0), 0,IF(AND($C283="Receiving",$I283&lt;=0),0,SUMIFS(Table2[Stat],Table2[Week],Table1[[#This Row],[Week]],Table2[Athlete],Table1[[#This Row],[Pick]],Table2[Stat Category],"rushing",Table2[Stat Type],"TD"))))</f>
        <v>0</v>
      </c>
      <c r="L283" s="6">
        <f>IF(AND($C283="Rushing", $H283&lt;=0), 0, IF(AND($C283="Passing", $G$3&lt;=0), 0,IF(AND($C283="Receiving",$I283&lt;=0),0,SUMIFS(Table2[Stat],Table2[Week],Table1[[#This Row],[Week]],Table2[Athlete],Table1[[#This Row],[Pick]],Table2[Stat Category],"receiving",Table2[Stat Type],"TD"))))</f>
        <v>0</v>
      </c>
      <c r="M2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3" s="61">
        <f>SUMIFS(Data!$J:$J,Data!$A:$A,Info!$B283,Data!$G:$G,Info!$C283,Data!$I:$I,Info!$D283,Data!$H:$H,"TOT")</f>
        <v>0</v>
      </c>
      <c r="O283" s="61">
        <f>IF(C283="Defensive",SUMIFS(Data!$J:$J,Data!$A:$A,Info!$B283,Data!$I:$I,Info!$D283,Data!$H:$H,"INT"),0)</f>
        <v>0</v>
      </c>
      <c r="P283" s="61">
        <f>IF(Table1[[#This Row],[Role]]="Defensive",SUMIFS(Data!$J:$J,Data!$A:$A,Info!$B283,Data!$I:$I,Info!$D283,Data!$H:$H,$P$1),0)</f>
        <v>0</v>
      </c>
      <c r="Q283" s="65" t="str">
        <f>IF(Table1[[#This Row],[Pick]]="","",IF(S283&gt;1,400,IF(G283="","",IF(C283="Passing",(400-Table1[[#This Row],[Passing Yards]]-(30*Table1[[#This Row],[Passing TDs]])-(50*SUM(Table1[[#This Row],[Rushing TDs]:[Other TD''s]]))),IF(C283="Rushing",2*(200-Table1[[#This Row],[Rushing Yards]]-(30*Table1[[#This Row],[Passing TDs]])-50*(Table1[[#This Row],[Rushing TDs]]+Table1[[#This Row],[Receiving TDs]]+Table1[[#This Row],[Other TD''s]])),IF(C283="Receiving",2*(200-Table1[[#This Row],[Receiving Yards]]-(30*Table1[[#This Row],[Passing TDs]])-50*(Table1[[#This Row],[Rushing TDs]]+Table1[[#This Row],[Receiving TDs]]+Table1[[#This Row],[Other TD''s]])),IF(C283="Defensive",(25*(16-Table1[[#This Row],[Tackles]]-(8*(Table1[[#This Row],[Other TD''s]]+Table1[[#This Row],[Interceptions]]+Table1[[#This Row],[Fumbles Recovered]])))))))))))</f>
        <v/>
      </c>
      <c r="R283" s="3" t="str">
        <f t="shared" si="10"/>
        <v/>
      </c>
      <c r="S283" s="4">
        <f t="shared" si="9"/>
        <v>1048507</v>
      </c>
      <c r="T2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4" spans="1:20" hidden="1" x14ac:dyDescent="0.25">
      <c r="A284" t="s">
        <v>18</v>
      </c>
      <c r="B284" s="28" t="s">
        <v>47</v>
      </c>
      <c r="C284" t="s">
        <v>6</v>
      </c>
      <c r="D284" t="str">
        <f>_xlfn.XLOOKUP(Table1[[#This Row],[Player]]&amp;Table1[[#This Row],[Week]]&amp;Table1[[#This Row],[Role]],'Google Form Transform'!$A:$A,'Google Form Transform'!E:E,"")</f>
        <v/>
      </c>
      <c r="E284" t="str">
        <f>_xlfn.XLOOKUP(Table1[[#This Row],[Player]]&amp;Table1[[#This Row],[Week]]&amp;Table1[[#This Row],[Role]],'Google Form Transform'!$A:$A,'Google Form Transform'!F:F,"")</f>
        <v/>
      </c>
      <c r="F284" t="str">
        <f>_xlfn.XLOOKUP(Table1[[#This Row],[Player]]&amp;Table1[[#This Row],[Week]]&amp;Table1[[#This Row],[Role]],'Google Form Transform'!$A:$A,'Google Form Transform'!G:G,"")</f>
        <v/>
      </c>
      <c r="G284" s="59">
        <f>SUMIFS(Table2[Stat],Table2[Stat Category],"passing",Table2[Stat Type],"YDS",Table2[Athlete],Table1[[#This Row],[Pick]],Table2[Week],Table1[[#This Row],[Week]])</f>
        <v>0</v>
      </c>
      <c r="H284" s="59">
        <f>SUMIFS(Table2[Stat],Table2[Stat Category],"rushing",Table2[Stat Type],"YDS",Table2[Athlete],Table1[[#This Row],[Pick]],Table2[Week],Table1[[#This Row],[Week]])</f>
        <v>0</v>
      </c>
      <c r="I284" s="59">
        <f>SUMIFS(Table2[Stat],Table2[Stat Category],"receiving",Table2[Stat Type],"YDS",Table2[Athlete],Table1[[#This Row],[Pick]],Table2[Week],Table1[[#This Row],[Week]])</f>
        <v>0</v>
      </c>
      <c r="J284" s="6">
        <f>IF(AND($C284="Rushing", $H284&lt;=0), 0, IF(AND($C284="Passing", $G$3&lt;=0), 0,IF(AND($C284="Receiving",$I284&lt;=0), 0,SUMIFS(Table2[Stat],Table2[Week],Table1[[#This Row],[Week]],Table2[Athlete],Table1[[#This Row],[Pick]],Table2[Stat Category],"passing",Table2[Stat Type],"TD"))))</f>
        <v>0</v>
      </c>
      <c r="K284" s="6">
        <f>IF(AND($C284="Rushing", $H284&lt;=0), 0, IF(AND($C284="Passing", $G$3&lt;=0), 0,IF(AND($C284="Receiving",$I284&lt;=0),0,SUMIFS(Table2[Stat],Table2[Week],Table1[[#This Row],[Week]],Table2[Athlete],Table1[[#This Row],[Pick]],Table2[Stat Category],"rushing",Table2[Stat Type],"TD"))))</f>
        <v>0</v>
      </c>
      <c r="L284" s="6">
        <f>IF(AND($C284="Rushing", $H284&lt;=0), 0, IF(AND($C284="Passing", $G$3&lt;=0), 0,IF(AND($C284="Receiving",$I284&lt;=0),0,SUMIFS(Table2[Stat],Table2[Week],Table1[[#This Row],[Week]],Table2[Athlete],Table1[[#This Row],[Pick]],Table2[Stat Category],"receiving",Table2[Stat Type],"TD"))))</f>
        <v>0</v>
      </c>
      <c r="M2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4" s="61">
        <f>SUMIFS(Data!$J:$J,Data!$A:$A,Info!$B284,Data!$G:$G,Info!$C284,Data!$I:$I,Info!$D284,Data!$H:$H,"TOT")</f>
        <v>0</v>
      </c>
      <c r="O284" s="61">
        <f>IF(C284="Defensive",SUMIFS(Data!$J:$J,Data!$A:$A,Info!$B284,Data!$I:$I,Info!$D284,Data!$H:$H,"INT"),0)</f>
        <v>0</v>
      </c>
      <c r="P284" s="61">
        <f>IF(Table1[[#This Row],[Role]]="Defensive",SUMIFS(Data!$J:$J,Data!$A:$A,Info!$B284,Data!$I:$I,Info!$D284,Data!$H:$H,$P$1),0)</f>
        <v>0</v>
      </c>
      <c r="Q284" s="65" t="str">
        <f>IF(Table1[[#This Row],[Pick]]="","",IF(S284&gt;1,400,IF(G284="","",IF(C284="Passing",(400-Table1[[#This Row],[Passing Yards]]-(30*Table1[[#This Row],[Passing TDs]])-(50*SUM(Table1[[#This Row],[Rushing TDs]:[Other TD''s]]))),IF(C284="Rushing",2*(200-Table1[[#This Row],[Rushing Yards]]-(30*Table1[[#This Row],[Passing TDs]])-50*(Table1[[#This Row],[Rushing TDs]]+Table1[[#This Row],[Receiving TDs]]+Table1[[#This Row],[Other TD''s]])),IF(C284="Receiving",2*(200-Table1[[#This Row],[Receiving Yards]]-(30*Table1[[#This Row],[Passing TDs]])-50*(Table1[[#This Row],[Rushing TDs]]+Table1[[#This Row],[Receiving TDs]]+Table1[[#This Row],[Other TD''s]])),IF(C284="Defensive",(25*(16-Table1[[#This Row],[Tackles]]-(8*(Table1[[#This Row],[Other TD''s]]+Table1[[#This Row],[Interceptions]]+Table1[[#This Row],[Fumbles Recovered]])))))))))))</f>
        <v/>
      </c>
      <c r="R284" s="3" t="str">
        <f t="shared" si="10"/>
        <v/>
      </c>
      <c r="S284" s="4">
        <f t="shared" si="9"/>
        <v>1048507</v>
      </c>
      <c r="T2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5" spans="1:20" hidden="1" x14ac:dyDescent="0.25">
      <c r="A285" t="s">
        <v>18</v>
      </c>
      <c r="B285" s="28" t="s">
        <v>47</v>
      </c>
      <c r="C285" t="s">
        <v>17</v>
      </c>
      <c r="D285" t="str">
        <f>_xlfn.XLOOKUP(Table1[[#This Row],[Player]]&amp;Table1[[#This Row],[Week]]&amp;Table1[[#This Row],[Role]],'Google Form Transform'!$A:$A,'Google Form Transform'!E:E,"")</f>
        <v/>
      </c>
      <c r="E285" t="str">
        <f>_xlfn.XLOOKUP(Table1[[#This Row],[Player]]&amp;Table1[[#This Row],[Week]]&amp;Table1[[#This Row],[Role]],'Google Form Transform'!$A:$A,'Google Form Transform'!F:F,"")</f>
        <v/>
      </c>
      <c r="F285" t="str">
        <f>_xlfn.XLOOKUP(Table1[[#This Row],[Player]]&amp;Table1[[#This Row],[Week]]&amp;Table1[[#This Row],[Role]],'Google Form Transform'!$A:$A,'Google Form Transform'!G:G,"")</f>
        <v/>
      </c>
      <c r="G285" s="59">
        <f>SUMIFS(Table2[Stat],Table2[Stat Category],"passing",Table2[Stat Type],"YDS",Table2[Athlete],Table1[[#This Row],[Pick]],Table2[Week],Table1[[#This Row],[Week]])</f>
        <v>0</v>
      </c>
      <c r="H285" s="59">
        <f>SUMIFS(Table2[Stat],Table2[Stat Category],"rushing",Table2[Stat Type],"YDS",Table2[Athlete],Table1[[#This Row],[Pick]],Table2[Week],Table1[[#This Row],[Week]])</f>
        <v>0</v>
      </c>
      <c r="I285" s="59">
        <f>SUMIFS(Table2[Stat],Table2[Stat Category],"receiving",Table2[Stat Type],"YDS",Table2[Athlete],Table1[[#This Row],[Pick]],Table2[Week],Table1[[#This Row],[Week]])</f>
        <v>0</v>
      </c>
      <c r="J285" s="6">
        <f>IF(AND($C285="Rushing", $H285&lt;=0), 0, IF(AND($C285="Passing", $G$3&lt;=0), 0,IF(AND($C285="Receiving",$I285&lt;=0), 0,SUMIFS(Table2[Stat],Table2[Week],Table1[[#This Row],[Week]],Table2[Athlete],Table1[[#This Row],[Pick]],Table2[Stat Category],"passing",Table2[Stat Type],"TD"))))</f>
        <v>0</v>
      </c>
      <c r="K285" s="6">
        <f>IF(AND($C285="Rushing", $H285&lt;=0), 0, IF(AND($C285="Passing", $G$3&lt;=0), 0,IF(AND($C285="Receiving",$I285&lt;=0),0,SUMIFS(Table2[Stat],Table2[Week],Table1[[#This Row],[Week]],Table2[Athlete],Table1[[#This Row],[Pick]],Table2[Stat Category],"rushing",Table2[Stat Type],"TD"))))</f>
        <v>0</v>
      </c>
      <c r="L285" s="6">
        <f>IF(AND($C285="Rushing", $H285&lt;=0), 0, IF(AND($C285="Passing", $G$3&lt;=0), 0,IF(AND($C285="Receiving",$I285&lt;=0),0,SUMIFS(Table2[Stat],Table2[Week],Table1[[#This Row],[Week]],Table2[Athlete],Table1[[#This Row],[Pick]],Table2[Stat Category],"receiving",Table2[Stat Type],"TD"))))</f>
        <v>0</v>
      </c>
      <c r="M2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5" s="61">
        <f>SUMIFS(Data!$J:$J,Data!$A:$A,Info!$B285,Data!$G:$G,Info!$C285,Data!$I:$I,Info!$D285,Data!$H:$H,"TOT")</f>
        <v>0</v>
      </c>
      <c r="O285" s="61">
        <f>IF(C285="Defensive",SUMIFS(Data!$J:$J,Data!$A:$A,Info!$B285,Data!$I:$I,Info!$D285,Data!$H:$H,"INT"),0)</f>
        <v>0</v>
      </c>
      <c r="P285" s="61">
        <f>IF(Table1[[#This Row],[Role]]="Defensive",SUMIFS(Data!$J:$J,Data!$A:$A,Info!$B285,Data!$I:$I,Info!$D285,Data!$H:$H,$P$1),0)</f>
        <v>0</v>
      </c>
      <c r="Q285" s="65" t="str">
        <f>IF(Table1[[#This Row],[Pick]]="","",IF(S285&gt;1,400,IF(G285="","",IF(C285="Passing",(400-Table1[[#This Row],[Passing Yards]]-(30*Table1[[#This Row],[Passing TDs]])-(50*SUM(Table1[[#This Row],[Rushing TDs]:[Other TD''s]]))),IF(C285="Rushing",2*(200-Table1[[#This Row],[Rushing Yards]]-(30*Table1[[#This Row],[Passing TDs]])-50*(Table1[[#This Row],[Rushing TDs]]+Table1[[#This Row],[Receiving TDs]]+Table1[[#This Row],[Other TD''s]])),IF(C285="Receiving",2*(200-Table1[[#This Row],[Receiving Yards]]-(30*Table1[[#This Row],[Passing TDs]])-50*(Table1[[#This Row],[Rushing TDs]]+Table1[[#This Row],[Receiving TDs]]+Table1[[#This Row],[Other TD''s]])),IF(C285="Defensive",(25*(16-Table1[[#This Row],[Tackles]]-(8*(Table1[[#This Row],[Other TD''s]]+Table1[[#This Row],[Interceptions]]+Table1[[#This Row],[Fumbles Recovered]])))))))))))</f>
        <v/>
      </c>
      <c r="R285" s="3" t="str">
        <f t="shared" si="10"/>
        <v/>
      </c>
      <c r="S285" s="4">
        <f t="shared" si="9"/>
        <v>1048507</v>
      </c>
      <c r="T2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6" spans="1:20" hidden="1" x14ac:dyDescent="0.25">
      <c r="A286" t="s">
        <v>18</v>
      </c>
      <c r="B286" s="28" t="s">
        <v>47</v>
      </c>
      <c r="C286" t="s">
        <v>20</v>
      </c>
      <c r="D286" t="str">
        <f>_xlfn.XLOOKUP(Table1[[#This Row],[Player]]&amp;Table1[[#This Row],[Week]]&amp;Table1[[#This Row],[Role]],'Google Form Transform'!$A:$A,'Google Form Transform'!E:E,"")</f>
        <v/>
      </c>
      <c r="E286" t="str">
        <f>_xlfn.XLOOKUP(Table1[[#This Row],[Player]]&amp;Table1[[#This Row],[Week]]&amp;Table1[[#This Row],[Role]],'Google Form Transform'!$A:$A,'Google Form Transform'!F:F,"")</f>
        <v/>
      </c>
      <c r="F286" t="str">
        <f>_xlfn.XLOOKUP(Table1[[#This Row],[Player]]&amp;Table1[[#This Row],[Week]]&amp;Table1[[#This Row],[Role]],'Google Form Transform'!$A:$A,'Google Form Transform'!G:G,"")</f>
        <v/>
      </c>
      <c r="G286" s="59">
        <f>SUMIFS(Table2[Stat],Table2[Stat Category],"passing",Table2[Stat Type],"YDS",Table2[Athlete],Table1[[#This Row],[Pick]],Table2[Week],Table1[[#This Row],[Week]])</f>
        <v>0</v>
      </c>
      <c r="H286" s="59">
        <f>SUMIFS(Table2[Stat],Table2[Stat Category],"rushing",Table2[Stat Type],"YDS",Table2[Athlete],Table1[[#This Row],[Pick]],Table2[Week],Table1[[#This Row],[Week]])</f>
        <v>0</v>
      </c>
      <c r="I286" s="59">
        <f>SUMIFS(Table2[Stat],Table2[Stat Category],"receiving",Table2[Stat Type],"YDS",Table2[Athlete],Table1[[#This Row],[Pick]],Table2[Week],Table1[[#This Row],[Week]])</f>
        <v>0</v>
      </c>
      <c r="J286" s="6">
        <f>IF(AND($C286="Rushing", $H286&lt;=0), 0, IF(AND($C286="Passing", $G$3&lt;=0), 0,IF(AND($C286="Receiving",$I286&lt;=0), 0,SUMIFS(Table2[Stat],Table2[Week],Table1[[#This Row],[Week]],Table2[Athlete],Table1[[#This Row],[Pick]],Table2[Stat Category],"passing",Table2[Stat Type],"TD"))))</f>
        <v>0</v>
      </c>
      <c r="K286" s="6">
        <f>IF(AND($C286="Rushing", $H286&lt;=0), 0, IF(AND($C286="Passing", $G$3&lt;=0), 0,IF(AND($C286="Receiving",$I286&lt;=0),0,SUMIFS(Table2[Stat],Table2[Week],Table1[[#This Row],[Week]],Table2[Athlete],Table1[[#This Row],[Pick]],Table2[Stat Category],"rushing",Table2[Stat Type],"TD"))))</f>
        <v>0</v>
      </c>
      <c r="L286" s="6">
        <f>IF(AND($C286="Rushing", $H286&lt;=0), 0, IF(AND($C286="Passing", $G$3&lt;=0), 0,IF(AND($C286="Receiving",$I286&lt;=0),0,SUMIFS(Table2[Stat],Table2[Week],Table1[[#This Row],[Week]],Table2[Athlete],Table1[[#This Row],[Pick]],Table2[Stat Category],"receiving",Table2[Stat Type],"TD"))))</f>
        <v>0</v>
      </c>
      <c r="M2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6" s="61">
        <f>SUMIFS(Data!$J:$J,Data!$A:$A,Info!$B286,Data!$G:$G,Info!$C286,Data!$I:$I,Info!$D286,Data!$H:$H,"TOT")</f>
        <v>0</v>
      </c>
      <c r="O286" s="61">
        <f>IF(C286="Defensive",SUMIFS(Data!$J:$J,Data!$A:$A,Info!$B286,Data!$I:$I,Info!$D286,Data!$H:$H,"INT"),0)</f>
        <v>0</v>
      </c>
      <c r="P286" s="61">
        <f>IF(Table1[[#This Row],[Role]]="Defensive",SUMIFS(Data!$J:$J,Data!$A:$A,Info!$B286,Data!$I:$I,Info!$D286,Data!$H:$H,$P$1),0)</f>
        <v>0</v>
      </c>
      <c r="Q286" s="65" t="str">
        <f>IF(Table1[[#This Row],[Pick]]="","",IF(S286&gt;1,400,IF(G286="","",IF(C286="Passing",(400-Table1[[#This Row],[Passing Yards]]-(30*Table1[[#This Row],[Passing TDs]])-(50*SUM(Table1[[#This Row],[Rushing TDs]:[Other TD''s]]))),IF(C286="Rushing",2*(200-Table1[[#This Row],[Rushing Yards]]-(30*Table1[[#This Row],[Passing TDs]])-50*(Table1[[#This Row],[Rushing TDs]]+Table1[[#This Row],[Receiving TDs]]+Table1[[#This Row],[Other TD''s]])),IF(C286="Receiving",2*(200-Table1[[#This Row],[Receiving Yards]]-(30*Table1[[#This Row],[Passing TDs]])-50*(Table1[[#This Row],[Rushing TDs]]+Table1[[#This Row],[Receiving TDs]]+Table1[[#This Row],[Other TD''s]])),IF(C286="Defensive",(25*(16-Table1[[#This Row],[Tackles]]-(8*(Table1[[#This Row],[Other TD''s]]+Table1[[#This Row],[Interceptions]]+Table1[[#This Row],[Fumbles Recovered]])))))))))))</f>
        <v/>
      </c>
      <c r="R286" s="3" t="str">
        <f t="shared" si="10"/>
        <v/>
      </c>
      <c r="S286" s="4">
        <f t="shared" si="9"/>
        <v>1048507</v>
      </c>
      <c r="T2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7" spans="1:20" hidden="1" x14ac:dyDescent="0.25">
      <c r="A287" t="s">
        <v>19</v>
      </c>
      <c r="B287" s="28" t="s">
        <v>47</v>
      </c>
      <c r="C287" t="s">
        <v>16</v>
      </c>
      <c r="D287" t="str">
        <f>_xlfn.XLOOKUP(Table1[[#This Row],[Player]]&amp;Table1[[#This Row],[Week]]&amp;Table1[[#This Row],[Role]],'Google Form Transform'!$A:$A,'Google Form Transform'!E:E,"")</f>
        <v/>
      </c>
      <c r="E287" t="str">
        <f>_xlfn.XLOOKUP(Table1[[#This Row],[Player]]&amp;Table1[[#This Row],[Week]]&amp;Table1[[#This Row],[Role]],'Google Form Transform'!$A:$A,'Google Form Transform'!F:F,"")</f>
        <v/>
      </c>
      <c r="F287" t="str">
        <f>_xlfn.XLOOKUP(Table1[[#This Row],[Player]]&amp;Table1[[#This Row],[Week]]&amp;Table1[[#This Row],[Role]],'Google Form Transform'!$A:$A,'Google Form Transform'!G:G,"")</f>
        <v/>
      </c>
      <c r="G287" s="59">
        <f>SUMIFS(Table2[Stat],Table2[Stat Category],"passing",Table2[Stat Type],"YDS",Table2[Athlete],Table1[[#This Row],[Pick]],Table2[Week],Table1[[#This Row],[Week]])</f>
        <v>0</v>
      </c>
      <c r="H287" s="59">
        <f>SUMIFS(Table2[Stat],Table2[Stat Category],"rushing",Table2[Stat Type],"YDS",Table2[Athlete],Table1[[#This Row],[Pick]],Table2[Week],Table1[[#This Row],[Week]])</f>
        <v>0</v>
      </c>
      <c r="I287" s="59">
        <f>SUMIFS(Table2[Stat],Table2[Stat Category],"receiving",Table2[Stat Type],"YDS",Table2[Athlete],Table1[[#This Row],[Pick]],Table2[Week],Table1[[#This Row],[Week]])</f>
        <v>0</v>
      </c>
      <c r="J287" s="6">
        <f>IF(AND($C287="Rushing", $H287&lt;=0), 0, IF(AND($C287="Passing", $G$3&lt;=0), 0,IF(AND($C287="Receiving",$I287&lt;=0), 0,SUMIFS(Table2[Stat],Table2[Week],Table1[[#This Row],[Week]],Table2[Athlete],Table1[[#This Row],[Pick]],Table2[Stat Category],"passing",Table2[Stat Type],"TD"))))</f>
        <v>0</v>
      </c>
      <c r="K287" s="6">
        <f>IF(AND($C287="Rushing", $H287&lt;=0), 0, IF(AND($C287="Passing", $G$3&lt;=0), 0,IF(AND($C287="Receiving",$I287&lt;=0),0,SUMIFS(Table2[Stat],Table2[Week],Table1[[#This Row],[Week]],Table2[Athlete],Table1[[#This Row],[Pick]],Table2[Stat Category],"rushing",Table2[Stat Type],"TD"))))</f>
        <v>0</v>
      </c>
      <c r="L287" s="6">
        <f>IF(AND($C287="Rushing", $H287&lt;=0), 0, IF(AND($C287="Passing", $G$3&lt;=0), 0,IF(AND($C287="Receiving",$I287&lt;=0),0,SUMIFS(Table2[Stat],Table2[Week],Table1[[#This Row],[Week]],Table2[Athlete],Table1[[#This Row],[Pick]],Table2[Stat Category],"receiving",Table2[Stat Type],"TD"))))</f>
        <v>0</v>
      </c>
      <c r="M2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7" s="61">
        <f>SUMIFS(Data!$J:$J,Data!$A:$A,Info!$B287,Data!$G:$G,Info!$C287,Data!$I:$I,Info!$D287,Data!$H:$H,"TOT")</f>
        <v>0</v>
      </c>
      <c r="O287" s="61">
        <f>IF(C287="Defensive",SUMIFS(Data!$J:$J,Data!$A:$A,Info!$B287,Data!$I:$I,Info!$D287,Data!$H:$H,"INT"),0)</f>
        <v>0</v>
      </c>
      <c r="P287" s="61">
        <f>IF(Table1[[#This Row],[Role]]="Defensive",SUMIFS(Data!$J:$J,Data!$A:$A,Info!$B287,Data!$I:$I,Info!$D287,Data!$H:$H,$P$1),0)</f>
        <v>0</v>
      </c>
      <c r="Q287" s="65" t="str">
        <f>IF(Table1[[#This Row],[Pick]]="","",IF(S287&gt;1,400,IF(G287="","",IF(C287="Passing",(400-Table1[[#This Row],[Passing Yards]]-(30*Table1[[#This Row],[Passing TDs]])-(50*SUM(Table1[[#This Row],[Rushing TDs]:[Other TD''s]]))),IF(C287="Rushing",2*(200-Table1[[#This Row],[Rushing Yards]]-(30*Table1[[#This Row],[Passing TDs]])-50*(Table1[[#This Row],[Rushing TDs]]+Table1[[#This Row],[Receiving TDs]]+Table1[[#This Row],[Other TD''s]])),IF(C287="Receiving",2*(200-Table1[[#This Row],[Receiving Yards]]-(30*Table1[[#This Row],[Passing TDs]])-50*(Table1[[#This Row],[Rushing TDs]]+Table1[[#This Row],[Receiving TDs]]+Table1[[#This Row],[Other TD''s]])),IF(C287="Defensive",(25*(16-Table1[[#This Row],[Tackles]]-(8*(Table1[[#This Row],[Other TD''s]]+Table1[[#This Row],[Interceptions]]+Table1[[#This Row],[Fumbles Recovered]])))))))))))</f>
        <v/>
      </c>
      <c r="R287" s="3" t="str">
        <f t="shared" si="10"/>
        <v/>
      </c>
      <c r="S287" s="4">
        <f t="shared" si="9"/>
        <v>1048507</v>
      </c>
      <c r="T2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8" spans="1:20" hidden="1" x14ac:dyDescent="0.25">
      <c r="A288" t="s">
        <v>19</v>
      </c>
      <c r="B288" s="28" t="s">
        <v>47</v>
      </c>
      <c r="C288" t="s">
        <v>6</v>
      </c>
      <c r="D288" t="str">
        <f>_xlfn.XLOOKUP(Table1[[#This Row],[Player]]&amp;Table1[[#This Row],[Week]]&amp;Table1[[#This Row],[Role]],'Google Form Transform'!$A:$A,'Google Form Transform'!E:E,"")</f>
        <v/>
      </c>
      <c r="E288" t="str">
        <f>_xlfn.XLOOKUP(Table1[[#This Row],[Player]]&amp;Table1[[#This Row],[Week]]&amp;Table1[[#This Row],[Role]],'Google Form Transform'!$A:$A,'Google Form Transform'!F:F,"")</f>
        <v/>
      </c>
      <c r="F288" t="str">
        <f>_xlfn.XLOOKUP(Table1[[#This Row],[Player]]&amp;Table1[[#This Row],[Week]]&amp;Table1[[#This Row],[Role]],'Google Form Transform'!$A:$A,'Google Form Transform'!G:G,"")</f>
        <v/>
      </c>
      <c r="G288" s="59">
        <f>SUMIFS(Table2[Stat],Table2[Stat Category],"passing",Table2[Stat Type],"YDS",Table2[Athlete],Table1[[#This Row],[Pick]],Table2[Week],Table1[[#This Row],[Week]])</f>
        <v>0</v>
      </c>
      <c r="H288" s="59">
        <f>SUMIFS(Table2[Stat],Table2[Stat Category],"rushing",Table2[Stat Type],"YDS",Table2[Athlete],Table1[[#This Row],[Pick]],Table2[Week],Table1[[#This Row],[Week]])</f>
        <v>0</v>
      </c>
      <c r="I288" s="59">
        <f>SUMIFS(Table2[Stat],Table2[Stat Category],"receiving",Table2[Stat Type],"YDS",Table2[Athlete],Table1[[#This Row],[Pick]],Table2[Week],Table1[[#This Row],[Week]])</f>
        <v>0</v>
      </c>
      <c r="J288" s="6">
        <f>IF(AND($C288="Rushing", $H288&lt;=0), 0, IF(AND($C288="Passing", $G$3&lt;=0), 0,IF(AND($C288="Receiving",$I288&lt;=0), 0,SUMIFS(Table2[Stat],Table2[Week],Table1[[#This Row],[Week]],Table2[Athlete],Table1[[#This Row],[Pick]],Table2[Stat Category],"passing",Table2[Stat Type],"TD"))))</f>
        <v>0</v>
      </c>
      <c r="K288" s="6">
        <f>IF(AND($C288="Rushing", $H288&lt;=0), 0, IF(AND($C288="Passing", $G$3&lt;=0), 0,IF(AND($C288="Receiving",$I288&lt;=0),0,SUMIFS(Table2[Stat],Table2[Week],Table1[[#This Row],[Week]],Table2[Athlete],Table1[[#This Row],[Pick]],Table2[Stat Category],"rushing",Table2[Stat Type],"TD"))))</f>
        <v>0</v>
      </c>
      <c r="L288" s="6">
        <f>IF(AND($C288="Rushing", $H288&lt;=0), 0, IF(AND($C288="Passing", $G$3&lt;=0), 0,IF(AND($C288="Receiving",$I288&lt;=0),0,SUMIFS(Table2[Stat],Table2[Week],Table1[[#This Row],[Week]],Table2[Athlete],Table1[[#This Row],[Pick]],Table2[Stat Category],"receiving",Table2[Stat Type],"TD"))))</f>
        <v>0</v>
      </c>
      <c r="M2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8" s="61">
        <f>SUMIFS(Data!$J:$J,Data!$A:$A,Info!$B288,Data!$G:$G,Info!$C288,Data!$I:$I,Info!$D288,Data!$H:$H,"TOT")</f>
        <v>0</v>
      </c>
      <c r="O288" s="61">
        <f>IF(C288="Defensive",SUMIFS(Data!$J:$J,Data!$A:$A,Info!$B288,Data!$I:$I,Info!$D288,Data!$H:$H,"INT"),0)</f>
        <v>0</v>
      </c>
      <c r="P288" s="61">
        <f>IF(Table1[[#This Row],[Role]]="Defensive",SUMIFS(Data!$J:$J,Data!$A:$A,Info!$B288,Data!$I:$I,Info!$D288,Data!$H:$H,$P$1),0)</f>
        <v>0</v>
      </c>
      <c r="Q288" s="65" t="str">
        <f>IF(Table1[[#This Row],[Pick]]="","",IF(S288&gt;1,400,IF(G288="","",IF(C288="Passing",(400-Table1[[#This Row],[Passing Yards]]-(30*Table1[[#This Row],[Passing TDs]])-(50*SUM(Table1[[#This Row],[Rushing TDs]:[Other TD''s]]))),IF(C288="Rushing",2*(200-Table1[[#This Row],[Rushing Yards]]-(30*Table1[[#This Row],[Passing TDs]])-50*(Table1[[#This Row],[Rushing TDs]]+Table1[[#This Row],[Receiving TDs]]+Table1[[#This Row],[Other TD''s]])),IF(C288="Receiving",2*(200-Table1[[#This Row],[Receiving Yards]]-(30*Table1[[#This Row],[Passing TDs]])-50*(Table1[[#This Row],[Rushing TDs]]+Table1[[#This Row],[Receiving TDs]]+Table1[[#This Row],[Other TD''s]])),IF(C288="Defensive",(25*(16-Table1[[#This Row],[Tackles]]-(8*(Table1[[#This Row],[Other TD''s]]+Table1[[#This Row],[Interceptions]]+Table1[[#This Row],[Fumbles Recovered]])))))))))))</f>
        <v/>
      </c>
      <c r="R288" s="3" t="str">
        <f t="shared" si="10"/>
        <v/>
      </c>
      <c r="S288" s="4">
        <f t="shared" si="9"/>
        <v>1048507</v>
      </c>
      <c r="T2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9" spans="1:20" hidden="1" x14ac:dyDescent="0.25">
      <c r="A289" t="s">
        <v>19</v>
      </c>
      <c r="B289" s="28" t="s">
        <v>47</v>
      </c>
      <c r="C289" t="s">
        <v>17</v>
      </c>
      <c r="D289" t="str">
        <f>_xlfn.XLOOKUP(Table1[[#This Row],[Player]]&amp;Table1[[#This Row],[Week]]&amp;Table1[[#This Row],[Role]],'Google Form Transform'!$A:$A,'Google Form Transform'!E:E,"")</f>
        <v/>
      </c>
      <c r="E289" t="str">
        <f>_xlfn.XLOOKUP(Table1[[#This Row],[Player]]&amp;Table1[[#This Row],[Week]]&amp;Table1[[#This Row],[Role]],'Google Form Transform'!$A:$A,'Google Form Transform'!F:F,"")</f>
        <v/>
      </c>
      <c r="F289" t="str">
        <f>_xlfn.XLOOKUP(Table1[[#This Row],[Player]]&amp;Table1[[#This Row],[Week]]&amp;Table1[[#This Row],[Role]],'Google Form Transform'!$A:$A,'Google Form Transform'!G:G,"")</f>
        <v/>
      </c>
      <c r="G289" s="59">
        <f>SUMIFS(Table2[Stat],Table2[Stat Category],"passing",Table2[Stat Type],"YDS",Table2[Athlete],Table1[[#This Row],[Pick]],Table2[Week],Table1[[#This Row],[Week]])</f>
        <v>0</v>
      </c>
      <c r="H289" s="59">
        <f>SUMIFS(Table2[Stat],Table2[Stat Category],"rushing",Table2[Stat Type],"YDS",Table2[Athlete],Table1[[#This Row],[Pick]],Table2[Week],Table1[[#This Row],[Week]])</f>
        <v>0</v>
      </c>
      <c r="I289" s="59">
        <f>SUMIFS(Table2[Stat],Table2[Stat Category],"receiving",Table2[Stat Type],"YDS",Table2[Athlete],Table1[[#This Row],[Pick]],Table2[Week],Table1[[#This Row],[Week]])</f>
        <v>0</v>
      </c>
      <c r="J289" s="6">
        <f>IF(AND($C289="Rushing", $H289&lt;=0), 0, IF(AND($C289="Passing", $G$3&lt;=0), 0,IF(AND($C289="Receiving",$I289&lt;=0), 0,SUMIFS(Table2[Stat],Table2[Week],Table1[[#This Row],[Week]],Table2[Athlete],Table1[[#This Row],[Pick]],Table2[Stat Category],"passing",Table2[Stat Type],"TD"))))</f>
        <v>0</v>
      </c>
      <c r="K289" s="6">
        <f>IF(AND($C289="Rushing", $H289&lt;=0), 0, IF(AND($C289="Passing", $G$3&lt;=0), 0,IF(AND($C289="Receiving",$I289&lt;=0),0,SUMIFS(Table2[Stat],Table2[Week],Table1[[#This Row],[Week]],Table2[Athlete],Table1[[#This Row],[Pick]],Table2[Stat Category],"rushing",Table2[Stat Type],"TD"))))</f>
        <v>0</v>
      </c>
      <c r="L289" s="6">
        <f>IF(AND($C289="Rushing", $H289&lt;=0), 0, IF(AND($C289="Passing", $G$3&lt;=0), 0,IF(AND($C289="Receiving",$I289&lt;=0),0,SUMIFS(Table2[Stat],Table2[Week],Table1[[#This Row],[Week]],Table2[Athlete],Table1[[#This Row],[Pick]],Table2[Stat Category],"receiving",Table2[Stat Type],"TD"))))</f>
        <v>0</v>
      </c>
      <c r="M2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9" s="61">
        <f>SUMIFS(Data!$J:$J,Data!$A:$A,Info!$B289,Data!$G:$G,Info!$C289,Data!$I:$I,Info!$D289,Data!$H:$H,"TOT")</f>
        <v>0</v>
      </c>
      <c r="O289" s="61">
        <f>IF(C289="Defensive",SUMIFS(Data!$J:$J,Data!$A:$A,Info!$B289,Data!$I:$I,Info!$D289,Data!$H:$H,"INT"),0)</f>
        <v>0</v>
      </c>
      <c r="P289" s="61">
        <f>IF(Table1[[#This Row],[Role]]="Defensive",SUMIFS(Data!$J:$J,Data!$A:$A,Info!$B289,Data!$I:$I,Info!$D289,Data!$H:$H,$P$1),0)</f>
        <v>0</v>
      </c>
      <c r="Q289" s="65" t="str">
        <f>IF(Table1[[#This Row],[Pick]]="","",IF(S289&gt;1,400,IF(G289="","",IF(C289="Passing",(400-Table1[[#This Row],[Passing Yards]]-(30*Table1[[#This Row],[Passing TDs]])-(50*SUM(Table1[[#This Row],[Rushing TDs]:[Other TD''s]]))),IF(C289="Rushing",2*(200-Table1[[#This Row],[Rushing Yards]]-(30*Table1[[#This Row],[Passing TDs]])-50*(Table1[[#This Row],[Rushing TDs]]+Table1[[#This Row],[Receiving TDs]]+Table1[[#This Row],[Other TD''s]])),IF(C289="Receiving",2*(200-Table1[[#This Row],[Receiving Yards]]-(30*Table1[[#This Row],[Passing TDs]])-50*(Table1[[#This Row],[Rushing TDs]]+Table1[[#This Row],[Receiving TDs]]+Table1[[#This Row],[Other TD''s]])),IF(C289="Defensive",(25*(16-Table1[[#This Row],[Tackles]]-(8*(Table1[[#This Row],[Other TD''s]]+Table1[[#This Row],[Interceptions]]+Table1[[#This Row],[Fumbles Recovered]])))))))))))</f>
        <v/>
      </c>
      <c r="R289" s="3" t="str">
        <f t="shared" si="10"/>
        <v/>
      </c>
      <c r="S289" s="4">
        <f t="shared" si="9"/>
        <v>1048507</v>
      </c>
      <c r="T2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0" spans="1:20" hidden="1" x14ac:dyDescent="0.25">
      <c r="A290" t="s">
        <v>19</v>
      </c>
      <c r="B290" s="28" t="s">
        <v>47</v>
      </c>
      <c r="C290" t="s">
        <v>20</v>
      </c>
      <c r="D290" t="str">
        <f>_xlfn.XLOOKUP(Table1[[#This Row],[Player]]&amp;Table1[[#This Row],[Week]]&amp;Table1[[#This Row],[Role]],'Google Form Transform'!$A:$A,'Google Form Transform'!E:E,"")</f>
        <v/>
      </c>
      <c r="E290" t="str">
        <f>_xlfn.XLOOKUP(Table1[[#This Row],[Player]]&amp;Table1[[#This Row],[Week]]&amp;Table1[[#This Row],[Role]],'Google Form Transform'!$A:$A,'Google Form Transform'!F:F,"")</f>
        <v/>
      </c>
      <c r="F290" t="str">
        <f>_xlfn.XLOOKUP(Table1[[#This Row],[Player]]&amp;Table1[[#This Row],[Week]]&amp;Table1[[#This Row],[Role]],'Google Form Transform'!$A:$A,'Google Form Transform'!G:G,"")</f>
        <v/>
      </c>
      <c r="G290" s="59">
        <f>SUMIFS(Table2[Stat],Table2[Stat Category],"passing",Table2[Stat Type],"YDS",Table2[Athlete],Table1[[#This Row],[Pick]],Table2[Week],Table1[[#This Row],[Week]])</f>
        <v>0</v>
      </c>
      <c r="H290" s="59">
        <f>SUMIFS(Table2[Stat],Table2[Stat Category],"rushing",Table2[Stat Type],"YDS",Table2[Athlete],Table1[[#This Row],[Pick]],Table2[Week],Table1[[#This Row],[Week]])</f>
        <v>0</v>
      </c>
      <c r="I290" s="59">
        <f>SUMIFS(Table2[Stat],Table2[Stat Category],"receiving",Table2[Stat Type],"YDS",Table2[Athlete],Table1[[#This Row],[Pick]],Table2[Week],Table1[[#This Row],[Week]])</f>
        <v>0</v>
      </c>
      <c r="J290" s="6">
        <f>IF(AND($C290="Rushing", $H290&lt;=0), 0, IF(AND($C290="Passing", $G$3&lt;=0), 0,IF(AND($C290="Receiving",$I290&lt;=0), 0,SUMIFS(Table2[Stat],Table2[Week],Table1[[#This Row],[Week]],Table2[Athlete],Table1[[#This Row],[Pick]],Table2[Stat Category],"passing",Table2[Stat Type],"TD"))))</f>
        <v>0</v>
      </c>
      <c r="K290" s="6">
        <f>IF(AND($C290="Rushing", $H290&lt;=0), 0, IF(AND($C290="Passing", $G$3&lt;=0), 0,IF(AND($C290="Receiving",$I290&lt;=0),0,SUMIFS(Table2[Stat],Table2[Week],Table1[[#This Row],[Week]],Table2[Athlete],Table1[[#This Row],[Pick]],Table2[Stat Category],"rushing",Table2[Stat Type],"TD"))))</f>
        <v>0</v>
      </c>
      <c r="L290" s="6">
        <f>IF(AND($C290="Rushing", $H290&lt;=0), 0, IF(AND($C290="Passing", $G$3&lt;=0), 0,IF(AND($C290="Receiving",$I290&lt;=0),0,SUMIFS(Table2[Stat],Table2[Week],Table1[[#This Row],[Week]],Table2[Athlete],Table1[[#This Row],[Pick]],Table2[Stat Category],"receiving",Table2[Stat Type],"TD"))))</f>
        <v>0</v>
      </c>
      <c r="M2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0" s="61">
        <f>SUMIFS(Data!$J:$J,Data!$A:$A,Info!$B290,Data!$G:$G,Info!$C290,Data!$I:$I,Info!$D290,Data!$H:$H,"TOT")</f>
        <v>0</v>
      </c>
      <c r="O290" s="61">
        <f>IF(C290="Defensive",SUMIFS(Data!$J:$J,Data!$A:$A,Info!$B290,Data!$I:$I,Info!$D290,Data!$H:$H,"INT"),0)</f>
        <v>0</v>
      </c>
      <c r="P290" s="61">
        <f>IF(Table1[[#This Row],[Role]]="Defensive",SUMIFS(Data!$J:$J,Data!$A:$A,Info!$B290,Data!$I:$I,Info!$D290,Data!$H:$H,$P$1),0)</f>
        <v>0</v>
      </c>
      <c r="Q290" s="65" t="str">
        <f>IF(Table1[[#This Row],[Pick]]="","",IF(S290&gt;1,400,IF(G290="","",IF(C290="Passing",(400-Table1[[#This Row],[Passing Yards]]-(30*Table1[[#This Row],[Passing TDs]])-(50*SUM(Table1[[#This Row],[Rushing TDs]:[Other TD''s]]))),IF(C290="Rushing",2*(200-Table1[[#This Row],[Rushing Yards]]-(30*Table1[[#This Row],[Passing TDs]])-50*(Table1[[#This Row],[Rushing TDs]]+Table1[[#This Row],[Receiving TDs]]+Table1[[#This Row],[Other TD''s]])),IF(C290="Receiving",2*(200-Table1[[#This Row],[Receiving Yards]]-(30*Table1[[#This Row],[Passing TDs]])-50*(Table1[[#This Row],[Rushing TDs]]+Table1[[#This Row],[Receiving TDs]]+Table1[[#This Row],[Other TD''s]])),IF(C290="Defensive",(25*(16-Table1[[#This Row],[Tackles]]-(8*(Table1[[#This Row],[Other TD''s]]+Table1[[#This Row],[Interceptions]]+Table1[[#This Row],[Fumbles Recovered]])))))))))))</f>
        <v/>
      </c>
      <c r="R290" s="3" t="str">
        <f t="shared" si="10"/>
        <v/>
      </c>
      <c r="S290" s="4">
        <f t="shared" si="9"/>
        <v>1048507</v>
      </c>
      <c r="T2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1" spans="1:20" hidden="1" x14ac:dyDescent="0.25">
      <c r="A291" t="s">
        <v>26</v>
      </c>
      <c r="B291" s="28" t="s">
        <v>47</v>
      </c>
      <c r="C291" t="s">
        <v>16</v>
      </c>
      <c r="D291" t="str">
        <f>_xlfn.XLOOKUP(Table1[[#This Row],[Player]]&amp;Table1[[#This Row],[Week]]&amp;Table1[[#This Row],[Role]],'Google Form Transform'!$A:$A,'Google Form Transform'!E:E,"")</f>
        <v/>
      </c>
      <c r="E291" t="str">
        <f>_xlfn.XLOOKUP(Table1[[#This Row],[Player]]&amp;Table1[[#This Row],[Week]]&amp;Table1[[#This Row],[Role]],'Google Form Transform'!$A:$A,'Google Form Transform'!F:F,"")</f>
        <v/>
      </c>
      <c r="F291" t="str">
        <f>_xlfn.XLOOKUP(Table1[[#This Row],[Player]]&amp;Table1[[#This Row],[Week]]&amp;Table1[[#This Row],[Role]],'Google Form Transform'!$A:$A,'Google Form Transform'!G:G,"")</f>
        <v/>
      </c>
      <c r="G291" s="59">
        <f>SUMIFS(Table2[Stat],Table2[Stat Category],"passing",Table2[Stat Type],"YDS",Table2[Athlete],Table1[[#This Row],[Pick]],Table2[Week],Table1[[#This Row],[Week]])</f>
        <v>0</v>
      </c>
      <c r="H291" s="59">
        <f>SUMIFS(Table2[Stat],Table2[Stat Category],"rushing",Table2[Stat Type],"YDS",Table2[Athlete],Table1[[#This Row],[Pick]],Table2[Week],Table1[[#This Row],[Week]])</f>
        <v>0</v>
      </c>
      <c r="I291" s="59">
        <f>SUMIFS(Table2[Stat],Table2[Stat Category],"receiving",Table2[Stat Type],"YDS",Table2[Athlete],Table1[[#This Row],[Pick]],Table2[Week],Table1[[#This Row],[Week]])</f>
        <v>0</v>
      </c>
      <c r="J291" s="6">
        <f>IF(AND($C291="Rushing", $H291&lt;=0), 0, IF(AND($C291="Passing", $G$3&lt;=0), 0,IF(AND($C291="Receiving",$I291&lt;=0), 0,SUMIFS(Table2[Stat],Table2[Week],Table1[[#This Row],[Week]],Table2[Athlete],Table1[[#This Row],[Pick]],Table2[Stat Category],"passing",Table2[Stat Type],"TD"))))</f>
        <v>0</v>
      </c>
      <c r="K291" s="6">
        <f>IF(AND($C291="Rushing", $H291&lt;=0), 0, IF(AND($C291="Passing", $G$3&lt;=0), 0,IF(AND($C291="Receiving",$I291&lt;=0),0,SUMIFS(Table2[Stat],Table2[Week],Table1[[#This Row],[Week]],Table2[Athlete],Table1[[#This Row],[Pick]],Table2[Stat Category],"rushing",Table2[Stat Type],"TD"))))</f>
        <v>0</v>
      </c>
      <c r="L291" s="6">
        <f>IF(AND($C291="Rushing", $H291&lt;=0), 0, IF(AND($C291="Passing", $G$3&lt;=0), 0,IF(AND($C291="Receiving",$I291&lt;=0),0,SUMIFS(Table2[Stat],Table2[Week],Table1[[#This Row],[Week]],Table2[Athlete],Table1[[#This Row],[Pick]],Table2[Stat Category],"receiving",Table2[Stat Type],"TD"))))</f>
        <v>0</v>
      </c>
      <c r="M2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1" s="61">
        <f>SUMIFS(Data!$J:$J,Data!$A:$A,Info!$B291,Data!$G:$G,Info!$C291,Data!$I:$I,Info!$D291,Data!$H:$H,"TOT")</f>
        <v>0</v>
      </c>
      <c r="O291" s="61">
        <f>IF(C291="Defensive",SUMIFS(Data!$J:$J,Data!$A:$A,Info!$B291,Data!$I:$I,Info!$D291,Data!$H:$H,"INT"),0)</f>
        <v>0</v>
      </c>
      <c r="P291" s="61">
        <f>IF(Table1[[#This Row],[Role]]="Defensive",SUMIFS(Data!$J:$J,Data!$A:$A,Info!$B291,Data!$I:$I,Info!$D291,Data!$H:$H,$P$1),0)</f>
        <v>0</v>
      </c>
      <c r="Q291" s="65" t="str">
        <f>IF(Table1[[#This Row],[Pick]]="","",IF(S291&gt;1,400,IF(G291="","",IF(C291="Passing",(400-Table1[[#This Row],[Passing Yards]]-(30*Table1[[#This Row],[Passing TDs]])-(50*SUM(Table1[[#This Row],[Rushing TDs]:[Other TD''s]]))),IF(C291="Rushing",2*(200-Table1[[#This Row],[Rushing Yards]]-(30*Table1[[#This Row],[Passing TDs]])-50*(Table1[[#This Row],[Rushing TDs]]+Table1[[#This Row],[Receiving TDs]]+Table1[[#This Row],[Other TD''s]])),IF(C291="Receiving",2*(200-Table1[[#This Row],[Receiving Yards]]-(30*Table1[[#This Row],[Passing TDs]])-50*(Table1[[#This Row],[Rushing TDs]]+Table1[[#This Row],[Receiving TDs]]+Table1[[#This Row],[Other TD''s]])),IF(C291="Defensive",(25*(16-Table1[[#This Row],[Tackles]]-(8*(Table1[[#This Row],[Other TD''s]]+Table1[[#This Row],[Interceptions]]+Table1[[#This Row],[Fumbles Recovered]])))))))))))</f>
        <v/>
      </c>
      <c r="R291" s="3" t="str">
        <f t="shared" si="10"/>
        <v/>
      </c>
      <c r="S291" s="4">
        <f t="shared" si="9"/>
        <v>1048507</v>
      </c>
      <c r="T2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2" spans="1:20" hidden="1" x14ac:dyDescent="0.25">
      <c r="A292" t="s">
        <v>26</v>
      </c>
      <c r="B292" s="28" t="s">
        <v>47</v>
      </c>
      <c r="C292" t="s">
        <v>6</v>
      </c>
      <c r="D292" t="str">
        <f>_xlfn.XLOOKUP(Table1[[#This Row],[Player]]&amp;Table1[[#This Row],[Week]]&amp;Table1[[#This Row],[Role]],'Google Form Transform'!$A:$A,'Google Form Transform'!E:E,"")</f>
        <v/>
      </c>
      <c r="E292" t="str">
        <f>_xlfn.XLOOKUP(Table1[[#This Row],[Player]]&amp;Table1[[#This Row],[Week]]&amp;Table1[[#This Row],[Role]],'Google Form Transform'!$A:$A,'Google Form Transform'!F:F,"")</f>
        <v/>
      </c>
      <c r="F292" t="str">
        <f>_xlfn.XLOOKUP(Table1[[#This Row],[Player]]&amp;Table1[[#This Row],[Week]]&amp;Table1[[#This Row],[Role]],'Google Form Transform'!$A:$A,'Google Form Transform'!G:G,"")</f>
        <v/>
      </c>
      <c r="G292" s="59">
        <f>SUMIFS(Table2[Stat],Table2[Stat Category],"passing",Table2[Stat Type],"YDS",Table2[Athlete],Table1[[#This Row],[Pick]],Table2[Week],Table1[[#This Row],[Week]])</f>
        <v>0</v>
      </c>
      <c r="H292" s="59">
        <f>SUMIFS(Table2[Stat],Table2[Stat Category],"rushing",Table2[Stat Type],"YDS",Table2[Athlete],Table1[[#This Row],[Pick]],Table2[Week],Table1[[#This Row],[Week]])</f>
        <v>0</v>
      </c>
      <c r="I292" s="59">
        <f>SUMIFS(Table2[Stat],Table2[Stat Category],"receiving",Table2[Stat Type],"YDS",Table2[Athlete],Table1[[#This Row],[Pick]],Table2[Week],Table1[[#This Row],[Week]])</f>
        <v>0</v>
      </c>
      <c r="J292" s="6">
        <f>IF(AND($C292="Rushing", $H292&lt;=0), 0, IF(AND($C292="Passing", $G$3&lt;=0), 0,IF(AND($C292="Receiving",$I292&lt;=0), 0,SUMIFS(Table2[Stat],Table2[Week],Table1[[#This Row],[Week]],Table2[Athlete],Table1[[#This Row],[Pick]],Table2[Stat Category],"passing",Table2[Stat Type],"TD"))))</f>
        <v>0</v>
      </c>
      <c r="K292" s="6">
        <f>IF(AND($C292="Rushing", $H292&lt;=0), 0, IF(AND($C292="Passing", $G$3&lt;=0), 0,IF(AND($C292="Receiving",$I292&lt;=0),0,SUMIFS(Table2[Stat],Table2[Week],Table1[[#This Row],[Week]],Table2[Athlete],Table1[[#This Row],[Pick]],Table2[Stat Category],"rushing",Table2[Stat Type],"TD"))))</f>
        <v>0</v>
      </c>
      <c r="L292" s="6">
        <f>IF(AND($C292="Rushing", $H292&lt;=0), 0, IF(AND($C292="Passing", $G$3&lt;=0), 0,IF(AND($C292="Receiving",$I292&lt;=0),0,SUMIFS(Table2[Stat],Table2[Week],Table1[[#This Row],[Week]],Table2[Athlete],Table1[[#This Row],[Pick]],Table2[Stat Category],"receiving",Table2[Stat Type],"TD"))))</f>
        <v>0</v>
      </c>
      <c r="M2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2" s="61">
        <f>SUMIFS(Data!$J:$J,Data!$A:$A,Info!$B292,Data!$G:$G,Info!$C292,Data!$I:$I,Info!$D292,Data!$H:$H,"TOT")</f>
        <v>0</v>
      </c>
      <c r="O292" s="61">
        <f>IF(C292="Defensive",SUMIFS(Data!$J:$J,Data!$A:$A,Info!$B292,Data!$I:$I,Info!$D292,Data!$H:$H,"INT"),0)</f>
        <v>0</v>
      </c>
      <c r="P292" s="61">
        <f>IF(Table1[[#This Row],[Role]]="Defensive",SUMIFS(Data!$J:$J,Data!$A:$A,Info!$B292,Data!$I:$I,Info!$D292,Data!$H:$H,$P$1),0)</f>
        <v>0</v>
      </c>
      <c r="Q292" s="65" t="str">
        <f>IF(Table1[[#This Row],[Pick]]="","",IF(S292&gt;1,400,IF(G292="","",IF(C292="Passing",(400-Table1[[#This Row],[Passing Yards]]-(30*Table1[[#This Row],[Passing TDs]])-(50*SUM(Table1[[#This Row],[Rushing TDs]:[Other TD''s]]))),IF(C292="Rushing",2*(200-Table1[[#This Row],[Rushing Yards]]-(30*Table1[[#This Row],[Passing TDs]])-50*(Table1[[#This Row],[Rushing TDs]]+Table1[[#This Row],[Receiving TDs]]+Table1[[#This Row],[Other TD''s]])),IF(C292="Receiving",2*(200-Table1[[#This Row],[Receiving Yards]]-(30*Table1[[#This Row],[Passing TDs]])-50*(Table1[[#This Row],[Rushing TDs]]+Table1[[#This Row],[Receiving TDs]]+Table1[[#This Row],[Other TD''s]])),IF(C292="Defensive",(25*(16-Table1[[#This Row],[Tackles]]-(8*(Table1[[#This Row],[Other TD''s]]+Table1[[#This Row],[Interceptions]]+Table1[[#This Row],[Fumbles Recovered]])))))))))))</f>
        <v/>
      </c>
      <c r="R292" s="3" t="str">
        <f t="shared" si="10"/>
        <v/>
      </c>
      <c r="S292" s="4">
        <f t="shared" si="9"/>
        <v>1048507</v>
      </c>
      <c r="T2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3" spans="1:20" hidden="1" x14ac:dyDescent="0.25">
      <c r="A293" t="s">
        <v>26</v>
      </c>
      <c r="B293" s="28" t="s">
        <v>47</v>
      </c>
      <c r="C293" t="s">
        <v>17</v>
      </c>
      <c r="D293" t="str">
        <f>_xlfn.XLOOKUP(Table1[[#This Row],[Player]]&amp;Table1[[#This Row],[Week]]&amp;Table1[[#This Row],[Role]],'Google Form Transform'!$A:$A,'Google Form Transform'!E:E,"")</f>
        <v/>
      </c>
      <c r="E293" t="str">
        <f>_xlfn.XLOOKUP(Table1[[#This Row],[Player]]&amp;Table1[[#This Row],[Week]]&amp;Table1[[#This Row],[Role]],'Google Form Transform'!$A:$A,'Google Form Transform'!F:F,"")</f>
        <v/>
      </c>
      <c r="F293" t="str">
        <f>_xlfn.XLOOKUP(Table1[[#This Row],[Player]]&amp;Table1[[#This Row],[Week]]&amp;Table1[[#This Row],[Role]],'Google Form Transform'!$A:$A,'Google Form Transform'!G:G,"")</f>
        <v/>
      </c>
      <c r="G293" s="59">
        <f>SUMIFS(Table2[Stat],Table2[Stat Category],"passing",Table2[Stat Type],"YDS",Table2[Athlete],Table1[[#This Row],[Pick]],Table2[Week],Table1[[#This Row],[Week]])</f>
        <v>0</v>
      </c>
      <c r="H293" s="59">
        <f>SUMIFS(Table2[Stat],Table2[Stat Category],"rushing",Table2[Stat Type],"YDS",Table2[Athlete],Table1[[#This Row],[Pick]],Table2[Week],Table1[[#This Row],[Week]])</f>
        <v>0</v>
      </c>
      <c r="I293" s="59">
        <f>SUMIFS(Table2[Stat],Table2[Stat Category],"receiving",Table2[Stat Type],"YDS",Table2[Athlete],Table1[[#This Row],[Pick]],Table2[Week],Table1[[#This Row],[Week]])</f>
        <v>0</v>
      </c>
      <c r="J293" s="6">
        <f>IF(AND($C293="Rushing", $H293&lt;=0), 0, IF(AND($C293="Passing", $G$3&lt;=0), 0,IF(AND($C293="Receiving",$I293&lt;=0), 0,SUMIFS(Table2[Stat],Table2[Week],Table1[[#This Row],[Week]],Table2[Athlete],Table1[[#This Row],[Pick]],Table2[Stat Category],"passing",Table2[Stat Type],"TD"))))</f>
        <v>0</v>
      </c>
      <c r="K293" s="6">
        <f>IF(AND($C293="Rushing", $H293&lt;=0), 0, IF(AND($C293="Passing", $G$3&lt;=0), 0,IF(AND($C293="Receiving",$I293&lt;=0),0,SUMIFS(Table2[Stat],Table2[Week],Table1[[#This Row],[Week]],Table2[Athlete],Table1[[#This Row],[Pick]],Table2[Stat Category],"rushing",Table2[Stat Type],"TD"))))</f>
        <v>0</v>
      </c>
      <c r="L293" s="6">
        <f>IF(AND($C293="Rushing", $H293&lt;=0), 0, IF(AND($C293="Passing", $G$3&lt;=0), 0,IF(AND($C293="Receiving",$I293&lt;=0),0,SUMIFS(Table2[Stat],Table2[Week],Table1[[#This Row],[Week]],Table2[Athlete],Table1[[#This Row],[Pick]],Table2[Stat Category],"receiving",Table2[Stat Type],"TD"))))</f>
        <v>0</v>
      </c>
      <c r="M2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3" s="61">
        <f>SUMIFS(Data!$J:$J,Data!$A:$A,Info!$B293,Data!$G:$G,Info!$C293,Data!$I:$I,Info!$D293,Data!$H:$H,"TOT")</f>
        <v>0</v>
      </c>
      <c r="O293" s="61">
        <f>IF(C293="Defensive",SUMIFS(Data!$J:$J,Data!$A:$A,Info!$B293,Data!$I:$I,Info!$D293,Data!$H:$H,"INT"),0)</f>
        <v>0</v>
      </c>
      <c r="P293" s="61">
        <f>IF(Table1[[#This Row],[Role]]="Defensive",SUMIFS(Data!$J:$J,Data!$A:$A,Info!$B293,Data!$I:$I,Info!$D293,Data!$H:$H,$P$1),0)</f>
        <v>0</v>
      </c>
      <c r="Q293" s="65" t="str">
        <f>IF(Table1[[#This Row],[Pick]]="","",IF(S293&gt;1,400,IF(G293="","",IF(C293="Passing",(400-Table1[[#This Row],[Passing Yards]]-(30*Table1[[#This Row],[Passing TDs]])-(50*SUM(Table1[[#This Row],[Rushing TDs]:[Other TD''s]]))),IF(C293="Rushing",2*(200-Table1[[#This Row],[Rushing Yards]]-(30*Table1[[#This Row],[Passing TDs]])-50*(Table1[[#This Row],[Rushing TDs]]+Table1[[#This Row],[Receiving TDs]]+Table1[[#This Row],[Other TD''s]])),IF(C293="Receiving",2*(200-Table1[[#This Row],[Receiving Yards]]-(30*Table1[[#This Row],[Passing TDs]])-50*(Table1[[#This Row],[Rushing TDs]]+Table1[[#This Row],[Receiving TDs]]+Table1[[#This Row],[Other TD''s]])),IF(C293="Defensive",(25*(16-Table1[[#This Row],[Tackles]]-(8*(Table1[[#This Row],[Other TD''s]]+Table1[[#This Row],[Interceptions]]+Table1[[#This Row],[Fumbles Recovered]])))))))))))</f>
        <v/>
      </c>
      <c r="R293" s="3" t="str">
        <f t="shared" si="10"/>
        <v/>
      </c>
      <c r="S293" s="4">
        <f t="shared" si="9"/>
        <v>1048507</v>
      </c>
      <c r="T2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4" spans="1:20" hidden="1" x14ac:dyDescent="0.25">
      <c r="A294" t="s">
        <v>26</v>
      </c>
      <c r="B294" s="28" t="s">
        <v>47</v>
      </c>
      <c r="C294" t="s">
        <v>20</v>
      </c>
      <c r="D294" t="str">
        <f>_xlfn.XLOOKUP(Table1[[#This Row],[Player]]&amp;Table1[[#This Row],[Week]]&amp;Table1[[#This Row],[Role]],'Google Form Transform'!$A:$A,'Google Form Transform'!E:E,"")</f>
        <v/>
      </c>
      <c r="E294" t="str">
        <f>_xlfn.XLOOKUP(Table1[[#This Row],[Player]]&amp;Table1[[#This Row],[Week]]&amp;Table1[[#This Row],[Role]],'Google Form Transform'!$A:$A,'Google Form Transform'!F:F,"")</f>
        <v/>
      </c>
      <c r="F294" t="str">
        <f>_xlfn.XLOOKUP(Table1[[#This Row],[Player]]&amp;Table1[[#This Row],[Week]]&amp;Table1[[#This Row],[Role]],'Google Form Transform'!$A:$A,'Google Form Transform'!G:G,"")</f>
        <v/>
      </c>
      <c r="G294" s="59">
        <f>SUMIFS(Table2[Stat],Table2[Stat Category],"passing",Table2[Stat Type],"YDS",Table2[Athlete],Table1[[#This Row],[Pick]],Table2[Week],Table1[[#This Row],[Week]])</f>
        <v>0</v>
      </c>
      <c r="H294" s="59">
        <f>SUMIFS(Table2[Stat],Table2[Stat Category],"rushing",Table2[Stat Type],"YDS",Table2[Athlete],Table1[[#This Row],[Pick]],Table2[Week],Table1[[#This Row],[Week]])</f>
        <v>0</v>
      </c>
      <c r="I294" s="59">
        <f>SUMIFS(Table2[Stat],Table2[Stat Category],"receiving",Table2[Stat Type],"YDS",Table2[Athlete],Table1[[#This Row],[Pick]],Table2[Week],Table1[[#This Row],[Week]])</f>
        <v>0</v>
      </c>
      <c r="J294" s="6">
        <f>IF(AND($C294="Rushing", $H294&lt;=0), 0, IF(AND($C294="Passing", $G$3&lt;=0), 0,IF(AND($C294="Receiving",$I294&lt;=0), 0,SUMIFS(Table2[Stat],Table2[Week],Table1[[#This Row],[Week]],Table2[Athlete],Table1[[#This Row],[Pick]],Table2[Stat Category],"passing",Table2[Stat Type],"TD"))))</f>
        <v>0</v>
      </c>
      <c r="K294" s="6">
        <f>IF(AND($C294="Rushing", $H294&lt;=0), 0, IF(AND($C294="Passing", $G$3&lt;=0), 0,IF(AND($C294="Receiving",$I294&lt;=0),0,SUMIFS(Table2[Stat],Table2[Week],Table1[[#This Row],[Week]],Table2[Athlete],Table1[[#This Row],[Pick]],Table2[Stat Category],"rushing",Table2[Stat Type],"TD"))))</f>
        <v>0</v>
      </c>
      <c r="L294" s="6">
        <f>IF(AND($C294="Rushing", $H294&lt;=0), 0, IF(AND($C294="Passing", $G$3&lt;=0), 0,IF(AND($C294="Receiving",$I294&lt;=0),0,SUMIFS(Table2[Stat],Table2[Week],Table1[[#This Row],[Week]],Table2[Athlete],Table1[[#This Row],[Pick]],Table2[Stat Category],"receiving",Table2[Stat Type],"TD"))))</f>
        <v>0</v>
      </c>
      <c r="M2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4" s="61">
        <f>SUMIFS(Data!$J:$J,Data!$A:$A,Info!$B294,Data!$G:$G,Info!$C294,Data!$I:$I,Info!$D294,Data!$H:$H,"TOT")</f>
        <v>0</v>
      </c>
      <c r="O294" s="61">
        <f>IF(C294="Defensive",SUMIFS(Data!$J:$J,Data!$A:$A,Info!$B294,Data!$I:$I,Info!$D294,Data!$H:$H,"INT"),0)</f>
        <v>0</v>
      </c>
      <c r="P294" s="61">
        <f>IF(Table1[[#This Row],[Role]]="Defensive",SUMIFS(Data!$J:$J,Data!$A:$A,Info!$B294,Data!$I:$I,Info!$D294,Data!$H:$H,$P$1),0)</f>
        <v>0</v>
      </c>
      <c r="Q294" s="65" t="str">
        <f>IF(Table1[[#This Row],[Pick]]="","",IF(S294&gt;1,400,IF(G294="","",IF(C294="Passing",(400-Table1[[#This Row],[Passing Yards]]-(30*Table1[[#This Row],[Passing TDs]])-(50*SUM(Table1[[#This Row],[Rushing TDs]:[Other TD''s]]))),IF(C294="Rushing",2*(200-Table1[[#This Row],[Rushing Yards]]-(30*Table1[[#This Row],[Passing TDs]])-50*(Table1[[#This Row],[Rushing TDs]]+Table1[[#This Row],[Receiving TDs]]+Table1[[#This Row],[Other TD''s]])),IF(C294="Receiving",2*(200-Table1[[#This Row],[Receiving Yards]]-(30*Table1[[#This Row],[Passing TDs]])-50*(Table1[[#This Row],[Rushing TDs]]+Table1[[#This Row],[Receiving TDs]]+Table1[[#This Row],[Other TD''s]])),IF(C294="Defensive",(25*(16-Table1[[#This Row],[Tackles]]-(8*(Table1[[#This Row],[Other TD''s]]+Table1[[#This Row],[Interceptions]]+Table1[[#This Row],[Fumbles Recovered]])))))))))))</f>
        <v/>
      </c>
      <c r="R294" s="3" t="str">
        <f t="shared" si="10"/>
        <v/>
      </c>
      <c r="S294" s="4">
        <f t="shared" si="9"/>
        <v>1048507</v>
      </c>
      <c r="T2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5" spans="1:20" hidden="1" x14ac:dyDescent="0.25">
      <c r="A295" t="s">
        <v>43</v>
      </c>
      <c r="B295" s="28" t="s">
        <v>47</v>
      </c>
      <c r="C295" t="s">
        <v>16</v>
      </c>
      <c r="D295" t="str">
        <f>_xlfn.XLOOKUP(Table1[[#This Row],[Player]]&amp;Table1[[#This Row],[Week]]&amp;Table1[[#This Row],[Role]],'Google Form Transform'!$A:$A,'Google Form Transform'!E:E,"")</f>
        <v/>
      </c>
      <c r="E295" t="str">
        <f>_xlfn.XLOOKUP(Table1[[#This Row],[Player]]&amp;Table1[[#This Row],[Week]]&amp;Table1[[#This Row],[Role]],'Google Form Transform'!$A:$A,'Google Form Transform'!F:F,"")</f>
        <v/>
      </c>
      <c r="F295" t="str">
        <f>_xlfn.XLOOKUP(Table1[[#This Row],[Player]]&amp;Table1[[#This Row],[Week]]&amp;Table1[[#This Row],[Role]],'Google Form Transform'!$A:$A,'Google Form Transform'!G:G,"")</f>
        <v/>
      </c>
      <c r="G295" s="59">
        <f>SUMIFS(Table2[Stat],Table2[Stat Category],"passing",Table2[Stat Type],"YDS",Table2[Athlete],Table1[[#This Row],[Pick]],Table2[Week],Table1[[#This Row],[Week]])</f>
        <v>0</v>
      </c>
      <c r="H295" s="59">
        <f>SUMIFS(Table2[Stat],Table2[Stat Category],"rushing",Table2[Stat Type],"YDS",Table2[Athlete],Table1[[#This Row],[Pick]],Table2[Week],Table1[[#This Row],[Week]])</f>
        <v>0</v>
      </c>
      <c r="I295" s="59">
        <f>SUMIFS(Table2[Stat],Table2[Stat Category],"receiving",Table2[Stat Type],"YDS",Table2[Athlete],Table1[[#This Row],[Pick]],Table2[Week],Table1[[#This Row],[Week]])</f>
        <v>0</v>
      </c>
      <c r="J295" s="6">
        <f>IF(AND($C295="Rushing", $H295&lt;=0), 0, IF(AND($C295="Passing", $G$3&lt;=0), 0,IF(AND($C295="Receiving",$I295&lt;=0), 0,SUMIFS(Table2[Stat],Table2[Week],Table1[[#This Row],[Week]],Table2[Athlete],Table1[[#This Row],[Pick]],Table2[Stat Category],"passing",Table2[Stat Type],"TD"))))</f>
        <v>0</v>
      </c>
      <c r="K295" s="6">
        <f>IF(AND($C295="Rushing", $H295&lt;=0), 0, IF(AND($C295="Passing", $G$3&lt;=0), 0,IF(AND($C295="Receiving",$I295&lt;=0),0,SUMIFS(Table2[Stat],Table2[Week],Table1[[#This Row],[Week]],Table2[Athlete],Table1[[#This Row],[Pick]],Table2[Stat Category],"rushing",Table2[Stat Type],"TD"))))</f>
        <v>0</v>
      </c>
      <c r="L295" s="6">
        <f>IF(AND($C295="Rushing", $H295&lt;=0), 0, IF(AND($C295="Passing", $G$3&lt;=0), 0,IF(AND($C295="Receiving",$I295&lt;=0),0,SUMIFS(Table2[Stat],Table2[Week],Table1[[#This Row],[Week]],Table2[Athlete],Table1[[#This Row],[Pick]],Table2[Stat Category],"receiving",Table2[Stat Type],"TD"))))</f>
        <v>0</v>
      </c>
      <c r="M2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5" s="61">
        <f>SUMIFS(Data!$J:$J,Data!$A:$A,Info!$B295,Data!$G:$G,Info!$C295,Data!$I:$I,Info!$D295,Data!$H:$H,"TOT")</f>
        <v>0</v>
      </c>
      <c r="O295" s="61">
        <f>IF(C295="Defensive",SUMIFS(Data!$J:$J,Data!$A:$A,Info!$B295,Data!$I:$I,Info!$D295,Data!$H:$H,"INT"),0)</f>
        <v>0</v>
      </c>
      <c r="P295" s="61">
        <f>IF(Table1[[#This Row],[Role]]="Defensive",SUMIFS(Data!$J:$J,Data!$A:$A,Info!$B295,Data!$I:$I,Info!$D295,Data!$H:$H,$P$1),0)</f>
        <v>0</v>
      </c>
      <c r="Q295" s="65" t="str">
        <f>IF(Table1[[#This Row],[Pick]]="","",IF(S295&gt;1,400,IF(G295="","",IF(C295="Passing",(400-Table1[[#This Row],[Passing Yards]]-(30*Table1[[#This Row],[Passing TDs]])-(50*SUM(Table1[[#This Row],[Rushing TDs]:[Other TD''s]]))),IF(C295="Rushing",2*(200-Table1[[#This Row],[Rushing Yards]]-(30*Table1[[#This Row],[Passing TDs]])-50*(Table1[[#This Row],[Rushing TDs]]+Table1[[#This Row],[Receiving TDs]]+Table1[[#This Row],[Other TD''s]])),IF(C295="Receiving",2*(200-Table1[[#This Row],[Receiving Yards]]-(30*Table1[[#This Row],[Passing TDs]])-50*(Table1[[#This Row],[Rushing TDs]]+Table1[[#This Row],[Receiving TDs]]+Table1[[#This Row],[Other TD''s]])),IF(C295="Defensive",(25*(16-Table1[[#This Row],[Tackles]]-(8*(Table1[[#This Row],[Other TD''s]]+Table1[[#This Row],[Interceptions]]+Table1[[#This Row],[Fumbles Recovered]])))))))))))</f>
        <v/>
      </c>
      <c r="R295" s="3" t="str">
        <f t="shared" si="10"/>
        <v/>
      </c>
      <c r="S295" s="4">
        <f t="shared" si="9"/>
        <v>1048507</v>
      </c>
      <c r="T2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6" spans="1:20" hidden="1" x14ac:dyDescent="0.25">
      <c r="A296" t="s">
        <v>43</v>
      </c>
      <c r="B296" s="28" t="s">
        <v>47</v>
      </c>
      <c r="C296" t="s">
        <v>6</v>
      </c>
      <c r="D296" t="str">
        <f>_xlfn.XLOOKUP(Table1[[#This Row],[Player]]&amp;Table1[[#This Row],[Week]]&amp;Table1[[#This Row],[Role]],'Google Form Transform'!$A:$A,'Google Form Transform'!E:E,"")</f>
        <v/>
      </c>
      <c r="E296" t="str">
        <f>_xlfn.XLOOKUP(Table1[[#This Row],[Player]]&amp;Table1[[#This Row],[Week]]&amp;Table1[[#This Row],[Role]],'Google Form Transform'!$A:$A,'Google Form Transform'!F:F,"")</f>
        <v/>
      </c>
      <c r="F296" t="str">
        <f>_xlfn.XLOOKUP(Table1[[#This Row],[Player]]&amp;Table1[[#This Row],[Week]]&amp;Table1[[#This Row],[Role]],'Google Form Transform'!$A:$A,'Google Form Transform'!G:G,"")</f>
        <v/>
      </c>
      <c r="G296" s="59">
        <f>SUMIFS(Table2[Stat],Table2[Stat Category],"passing",Table2[Stat Type],"YDS",Table2[Athlete],Table1[[#This Row],[Pick]],Table2[Week],Table1[[#This Row],[Week]])</f>
        <v>0</v>
      </c>
      <c r="H296" s="59">
        <f>SUMIFS(Table2[Stat],Table2[Stat Category],"rushing",Table2[Stat Type],"YDS",Table2[Athlete],Table1[[#This Row],[Pick]],Table2[Week],Table1[[#This Row],[Week]])</f>
        <v>0</v>
      </c>
      <c r="I296" s="59">
        <f>SUMIFS(Table2[Stat],Table2[Stat Category],"receiving",Table2[Stat Type],"YDS",Table2[Athlete],Table1[[#This Row],[Pick]],Table2[Week],Table1[[#This Row],[Week]])</f>
        <v>0</v>
      </c>
      <c r="J296" s="6">
        <f>IF(AND($C296="Rushing", $H296&lt;=0), 0, IF(AND($C296="Passing", $G$3&lt;=0), 0,IF(AND($C296="Receiving",$I296&lt;=0), 0,SUMIFS(Table2[Stat],Table2[Week],Table1[[#This Row],[Week]],Table2[Athlete],Table1[[#This Row],[Pick]],Table2[Stat Category],"passing",Table2[Stat Type],"TD"))))</f>
        <v>0</v>
      </c>
      <c r="K296" s="6">
        <f>IF(AND($C296="Rushing", $H296&lt;=0), 0, IF(AND($C296="Passing", $G$3&lt;=0), 0,IF(AND($C296="Receiving",$I296&lt;=0),0,SUMIFS(Table2[Stat],Table2[Week],Table1[[#This Row],[Week]],Table2[Athlete],Table1[[#This Row],[Pick]],Table2[Stat Category],"rushing",Table2[Stat Type],"TD"))))</f>
        <v>0</v>
      </c>
      <c r="L296" s="6">
        <f>IF(AND($C296="Rushing", $H296&lt;=0), 0, IF(AND($C296="Passing", $G$3&lt;=0), 0,IF(AND($C296="Receiving",$I296&lt;=0),0,SUMIFS(Table2[Stat],Table2[Week],Table1[[#This Row],[Week]],Table2[Athlete],Table1[[#This Row],[Pick]],Table2[Stat Category],"receiving",Table2[Stat Type],"TD"))))</f>
        <v>0</v>
      </c>
      <c r="M2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6" s="61">
        <f>SUMIFS(Data!$J:$J,Data!$A:$A,Info!$B296,Data!$G:$G,Info!$C296,Data!$I:$I,Info!$D296,Data!$H:$H,"TOT")</f>
        <v>0</v>
      </c>
      <c r="O296" s="61">
        <f>IF(C296="Defensive",SUMIFS(Data!$J:$J,Data!$A:$A,Info!$B296,Data!$I:$I,Info!$D296,Data!$H:$H,"INT"),0)</f>
        <v>0</v>
      </c>
      <c r="P296" s="61">
        <f>IF(Table1[[#This Row],[Role]]="Defensive",SUMIFS(Data!$J:$J,Data!$A:$A,Info!$B296,Data!$I:$I,Info!$D296,Data!$H:$H,$P$1),0)</f>
        <v>0</v>
      </c>
      <c r="Q296" s="65" t="str">
        <f>IF(Table1[[#This Row],[Pick]]="","",IF(S296&gt;1,400,IF(G296="","",IF(C296="Passing",(400-Table1[[#This Row],[Passing Yards]]-(30*Table1[[#This Row],[Passing TDs]])-(50*SUM(Table1[[#This Row],[Rushing TDs]:[Other TD''s]]))),IF(C296="Rushing",2*(200-Table1[[#This Row],[Rushing Yards]]-(30*Table1[[#This Row],[Passing TDs]])-50*(Table1[[#This Row],[Rushing TDs]]+Table1[[#This Row],[Receiving TDs]]+Table1[[#This Row],[Other TD''s]])),IF(C296="Receiving",2*(200-Table1[[#This Row],[Receiving Yards]]-(30*Table1[[#This Row],[Passing TDs]])-50*(Table1[[#This Row],[Rushing TDs]]+Table1[[#This Row],[Receiving TDs]]+Table1[[#This Row],[Other TD''s]])),IF(C296="Defensive",(25*(16-Table1[[#This Row],[Tackles]]-(8*(Table1[[#This Row],[Other TD''s]]+Table1[[#This Row],[Interceptions]]+Table1[[#This Row],[Fumbles Recovered]])))))))))))</f>
        <v/>
      </c>
      <c r="R296" s="3" t="str">
        <f t="shared" si="10"/>
        <v/>
      </c>
      <c r="S296" s="4">
        <f t="shared" si="9"/>
        <v>1048507</v>
      </c>
      <c r="T2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7" spans="1:20" hidden="1" x14ac:dyDescent="0.25">
      <c r="A297" t="s">
        <v>43</v>
      </c>
      <c r="B297" s="28" t="s">
        <v>47</v>
      </c>
      <c r="C297" t="s">
        <v>17</v>
      </c>
      <c r="D297" t="str">
        <f>_xlfn.XLOOKUP(Table1[[#This Row],[Player]]&amp;Table1[[#This Row],[Week]]&amp;Table1[[#This Row],[Role]],'Google Form Transform'!$A:$A,'Google Form Transform'!E:E,"")</f>
        <v/>
      </c>
      <c r="E297" t="str">
        <f>_xlfn.XLOOKUP(Table1[[#This Row],[Player]]&amp;Table1[[#This Row],[Week]]&amp;Table1[[#This Row],[Role]],'Google Form Transform'!$A:$A,'Google Form Transform'!F:F,"")</f>
        <v/>
      </c>
      <c r="F297" t="str">
        <f>_xlfn.XLOOKUP(Table1[[#This Row],[Player]]&amp;Table1[[#This Row],[Week]]&amp;Table1[[#This Row],[Role]],'Google Form Transform'!$A:$A,'Google Form Transform'!G:G,"")</f>
        <v/>
      </c>
      <c r="G297" s="59">
        <f>SUMIFS(Table2[Stat],Table2[Stat Category],"passing",Table2[Stat Type],"YDS",Table2[Athlete],Table1[[#This Row],[Pick]],Table2[Week],Table1[[#This Row],[Week]])</f>
        <v>0</v>
      </c>
      <c r="H297" s="59">
        <f>SUMIFS(Table2[Stat],Table2[Stat Category],"rushing",Table2[Stat Type],"YDS",Table2[Athlete],Table1[[#This Row],[Pick]],Table2[Week],Table1[[#This Row],[Week]])</f>
        <v>0</v>
      </c>
      <c r="I297" s="59">
        <f>SUMIFS(Table2[Stat],Table2[Stat Category],"receiving",Table2[Stat Type],"YDS",Table2[Athlete],Table1[[#This Row],[Pick]],Table2[Week],Table1[[#This Row],[Week]])</f>
        <v>0</v>
      </c>
      <c r="J297" s="6">
        <f>IF(AND($C297="Rushing", $H297&lt;=0), 0, IF(AND($C297="Passing", $G$3&lt;=0), 0,IF(AND($C297="Receiving",$I297&lt;=0), 0,SUMIFS(Table2[Stat],Table2[Week],Table1[[#This Row],[Week]],Table2[Athlete],Table1[[#This Row],[Pick]],Table2[Stat Category],"passing",Table2[Stat Type],"TD"))))</f>
        <v>0</v>
      </c>
      <c r="K297" s="6">
        <f>IF(AND($C297="Rushing", $H297&lt;=0), 0, IF(AND($C297="Passing", $G$3&lt;=0), 0,IF(AND($C297="Receiving",$I297&lt;=0),0,SUMIFS(Table2[Stat],Table2[Week],Table1[[#This Row],[Week]],Table2[Athlete],Table1[[#This Row],[Pick]],Table2[Stat Category],"rushing",Table2[Stat Type],"TD"))))</f>
        <v>0</v>
      </c>
      <c r="L297" s="6">
        <f>IF(AND($C297="Rushing", $H297&lt;=0), 0, IF(AND($C297="Passing", $G$3&lt;=0), 0,IF(AND($C297="Receiving",$I297&lt;=0),0,SUMIFS(Table2[Stat],Table2[Week],Table1[[#This Row],[Week]],Table2[Athlete],Table1[[#This Row],[Pick]],Table2[Stat Category],"receiving",Table2[Stat Type],"TD"))))</f>
        <v>0</v>
      </c>
      <c r="M2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7" s="61">
        <f>SUMIFS(Data!$J:$J,Data!$A:$A,Info!$B297,Data!$G:$G,Info!$C297,Data!$I:$I,Info!$D297,Data!$H:$H,"TOT")</f>
        <v>0</v>
      </c>
      <c r="O297" s="61">
        <f>IF(C297="Defensive",SUMIFS(Data!$J:$J,Data!$A:$A,Info!$B297,Data!$I:$I,Info!$D297,Data!$H:$H,"INT"),0)</f>
        <v>0</v>
      </c>
      <c r="P297" s="61">
        <f>IF(Table1[[#This Row],[Role]]="Defensive",SUMIFS(Data!$J:$J,Data!$A:$A,Info!$B297,Data!$I:$I,Info!$D297,Data!$H:$H,$P$1),0)</f>
        <v>0</v>
      </c>
      <c r="Q297" s="65" t="str">
        <f>IF(Table1[[#This Row],[Pick]]="","",IF(S297&gt;1,400,IF(G297="","",IF(C297="Passing",(400-Table1[[#This Row],[Passing Yards]]-(30*Table1[[#This Row],[Passing TDs]])-(50*SUM(Table1[[#This Row],[Rushing TDs]:[Other TD''s]]))),IF(C297="Rushing",2*(200-Table1[[#This Row],[Rushing Yards]]-(30*Table1[[#This Row],[Passing TDs]])-50*(Table1[[#This Row],[Rushing TDs]]+Table1[[#This Row],[Receiving TDs]]+Table1[[#This Row],[Other TD''s]])),IF(C297="Receiving",2*(200-Table1[[#This Row],[Receiving Yards]]-(30*Table1[[#This Row],[Passing TDs]])-50*(Table1[[#This Row],[Rushing TDs]]+Table1[[#This Row],[Receiving TDs]]+Table1[[#This Row],[Other TD''s]])),IF(C297="Defensive",(25*(16-Table1[[#This Row],[Tackles]]-(8*(Table1[[#This Row],[Other TD''s]]+Table1[[#This Row],[Interceptions]]+Table1[[#This Row],[Fumbles Recovered]])))))))))))</f>
        <v/>
      </c>
      <c r="R297" s="3" t="str">
        <f t="shared" si="10"/>
        <v/>
      </c>
      <c r="S297" s="4">
        <f t="shared" si="9"/>
        <v>1048507</v>
      </c>
      <c r="T2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8" spans="1:20" hidden="1" x14ac:dyDescent="0.25">
      <c r="A298" t="s">
        <v>43</v>
      </c>
      <c r="B298" s="28" t="s">
        <v>47</v>
      </c>
      <c r="C298" t="s">
        <v>20</v>
      </c>
      <c r="D298" t="str">
        <f>_xlfn.XLOOKUP(Table1[[#This Row],[Player]]&amp;Table1[[#This Row],[Week]]&amp;Table1[[#This Row],[Role]],'Google Form Transform'!$A:$A,'Google Form Transform'!E:E,"")</f>
        <v/>
      </c>
      <c r="E298" t="str">
        <f>_xlfn.XLOOKUP(Table1[[#This Row],[Player]]&amp;Table1[[#This Row],[Week]]&amp;Table1[[#This Row],[Role]],'Google Form Transform'!$A:$A,'Google Form Transform'!F:F,"")</f>
        <v/>
      </c>
      <c r="F298" t="str">
        <f>_xlfn.XLOOKUP(Table1[[#This Row],[Player]]&amp;Table1[[#This Row],[Week]]&amp;Table1[[#This Row],[Role]],'Google Form Transform'!$A:$A,'Google Form Transform'!G:G,"")</f>
        <v/>
      </c>
      <c r="G298" s="59">
        <f>SUMIFS(Table2[Stat],Table2[Stat Category],"passing",Table2[Stat Type],"YDS",Table2[Athlete],Table1[[#This Row],[Pick]],Table2[Week],Table1[[#This Row],[Week]])</f>
        <v>0</v>
      </c>
      <c r="H298" s="59">
        <f>SUMIFS(Table2[Stat],Table2[Stat Category],"rushing",Table2[Stat Type],"YDS",Table2[Athlete],Table1[[#This Row],[Pick]],Table2[Week],Table1[[#This Row],[Week]])</f>
        <v>0</v>
      </c>
      <c r="I298" s="59">
        <f>SUMIFS(Table2[Stat],Table2[Stat Category],"receiving",Table2[Stat Type],"YDS",Table2[Athlete],Table1[[#This Row],[Pick]],Table2[Week],Table1[[#This Row],[Week]])</f>
        <v>0</v>
      </c>
      <c r="J298" s="6">
        <f>IF(AND($C298="Rushing", $H298&lt;=0), 0, IF(AND($C298="Passing", $G$3&lt;=0), 0,IF(AND($C298="Receiving",$I298&lt;=0), 0,SUMIFS(Table2[Stat],Table2[Week],Table1[[#This Row],[Week]],Table2[Athlete],Table1[[#This Row],[Pick]],Table2[Stat Category],"passing",Table2[Stat Type],"TD"))))</f>
        <v>0</v>
      </c>
      <c r="K298" s="6">
        <f>IF(AND($C298="Rushing", $H298&lt;=0), 0, IF(AND($C298="Passing", $G$3&lt;=0), 0,IF(AND($C298="Receiving",$I298&lt;=0),0,SUMIFS(Table2[Stat],Table2[Week],Table1[[#This Row],[Week]],Table2[Athlete],Table1[[#This Row],[Pick]],Table2[Stat Category],"rushing",Table2[Stat Type],"TD"))))</f>
        <v>0</v>
      </c>
      <c r="L298" s="6">
        <f>IF(AND($C298="Rushing", $H298&lt;=0), 0, IF(AND($C298="Passing", $G$3&lt;=0), 0,IF(AND($C298="Receiving",$I298&lt;=0),0,SUMIFS(Table2[Stat],Table2[Week],Table1[[#This Row],[Week]],Table2[Athlete],Table1[[#This Row],[Pick]],Table2[Stat Category],"receiving",Table2[Stat Type],"TD"))))</f>
        <v>0</v>
      </c>
      <c r="M2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8" s="61">
        <f>SUMIFS(Data!$J:$J,Data!$A:$A,Info!$B298,Data!$G:$G,Info!$C298,Data!$I:$I,Info!$D298,Data!$H:$H,"TOT")</f>
        <v>0</v>
      </c>
      <c r="O298" s="61">
        <f>IF(C298="Defensive",SUMIFS(Data!$J:$J,Data!$A:$A,Info!$B298,Data!$I:$I,Info!$D298,Data!$H:$H,"INT"),0)</f>
        <v>0</v>
      </c>
      <c r="P298" s="61">
        <f>IF(Table1[[#This Row],[Role]]="Defensive",SUMIFS(Data!$J:$J,Data!$A:$A,Info!$B298,Data!$I:$I,Info!$D298,Data!$H:$H,$P$1),0)</f>
        <v>0</v>
      </c>
      <c r="Q298" s="65" t="str">
        <f>IF(Table1[[#This Row],[Pick]]="","",IF(S298&gt;1,400,IF(G298="","",IF(C298="Passing",(400-Table1[[#This Row],[Passing Yards]]-(30*Table1[[#This Row],[Passing TDs]])-(50*SUM(Table1[[#This Row],[Rushing TDs]:[Other TD''s]]))),IF(C298="Rushing",2*(200-Table1[[#This Row],[Rushing Yards]]-(30*Table1[[#This Row],[Passing TDs]])-50*(Table1[[#This Row],[Rushing TDs]]+Table1[[#This Row],[Receiving TDs]]+Table1[[#This Row],[Other TD''s]])),IF(C298="Receiving",2*(200-Table1[[#This Row],[Receiving Yards]]-(30*Table1[[#This Row],[Passing TDs]])-50*(Table1[[#This Row],[Rushing TDs]]+Table1[[#This Row],[Receiving TDs]]+Table1[[#This Row],[Other TD''s]])),IF(C298="Defensive",(25*(16-Table1[[#This Row],[Tackles]]-(8*(Table1[[#This Row],[Other TD''s]]+Table1[[#This Row],[Interceptions]]+Table1[[#This Row],[Fumbles Recovered]])))))))))))</f>
        <v/>
      </c>
      <c r="R298" s="3" t="str">
        <f t="shared" si="10"/>
        <v/>
      </c>
      <c r="S298" s="4">
        <f t="shared" si="9"/>
        <v>1048507</v>
      </c>
      <c r="T2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9" spans="1:20" hidden="1" x14ac:dyDescent="0.25">
      <c r="A299" t="s">
        <v>7</v>
      </c>
      <c r="B299" s="28" t="s">
        <v>47</v>
      </c>
      <c r="C299" t="s">
        <v>16</v>
      </c>
      <c r="D299" t="str">
        <f>_xlfn.XLOOKUP(Table1[[#This Row],[Player]]&amp;Table1[[#This Row],[Week]]&amp;Table1[[#This Row],[Role]],'Google Form Transform'!$A:$A,'Google Form Transform'!E:E,"")</f>
        <v/>
      </c>
      <c r="E299" t="str">
        <f>_xlfn.XLOOKUP(Table1[[#This Row],[Player]]&amp;Table1[[#This Row],[Week]]&amp;Table1[[#This Row],[Role]],'Google Form Transform'!$A:$A,'Google Form Transform'!F:F,"")</f>
        <v/>
      </c>
      <c r="F299" t="str">
        <f>_xlfn.XLOOKUP(Table1[[#This Row],[Player]]&amp;Table1[[#This Row],[Week]]&amp;Table1[[#This Row],[Role]],'Google Form Transform'!$A:$A,'Google Form Transform'!G:G,"")</f>
        <v/>
      </c>
      <c r="G299" s="59">
        <f>SUMIFS(Table2[Stat],Table2[Stat Category],"passing",Table2[Stat Type],"YDS",Table2[Athlete],Table1[[#This Row],[Pick]],Table2[Week],Table1[[#This Row],[Week]])</f>
        <v>0</v>
      </c>
      <c r="H299" s="59">
        <f>SUMIFS(Table2[Stat],Table2[Stat Category],"rushing",Table2[Stat Type],"YDS",Table2[Athlete],Table1[[#This Row],[Pick]],Table2[Week],Table1[[#This Row],[Week]])</f>
        <v>0</v>
      </c>
      <c r="I299" s="59">
        <f>SUMIFS(Table2[Stat],Table2[Stat Category],"receiving",Table2[Stat Type],"YDS",Table2[Athlete],Table1[[#This Row],[Pick]],Table2[Week],Table1[[#This Row],[Week]])</f>
        <v>0</v>
      </c>
      <c r="J299" s="6">
        <f>IF(AND($C299="Rushing", $H299&lt;=0), 0, IF(AND($C299="Passing", $G$3&lt;=0), 0,IF(AND($C299="Receiving",$I299&lt;=0), 0,SUMIFS(Table2[Stat],Table2[Week],Table1[[#This Row],[Week]],Table2[Athlete],Table1[[#This Row],[Pick]],Table2[Stat Category],"passing",Table2[Stat Type],"TD"))))</f>
        <v>0</v>
      </c>
      <c r="K299" s="6">
        <f>IF(AND($C299="Rushing", $H299&lt;=0), 0, IF(AND($C299="Passing", $G$3&lt;=0), 0,IF(AND($C299="Receiving",$I299&lt;=0),0,SUMIFS(Table2[Stat],Table2[Week],Table1[[#This Row],[Week]],Table2[Athlete],Table1[[#This Row],[Pick]],Table2[Stat Category],"rushing",Table2[Stat Type],"TD"))))</f>
        <v>0</v>
      </c>
      <c r="L299" s="6">
        <f>IF(AND($C299="Rushing", $H299&lt;=0), 0, IF(AND($C299="Passing", $G$3&lt;=0), 0,IF(AND($C299="Receiving",$I299&lt;=0),0,SUMIFS(Table2[Stat],Table2[Week],Table1[[#This Row],[Week]],Table2[Athlete],Table1[[#This Row],[Pick]],Table2[Stat Category],"receiving",Table2[Stat Type],"TD"))))</f>
        <v>0</v>
      </c>
      <c r="M2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9" s="61">
        <f>SUMIFS(Data!$J:$J,Data!$A:$A,Info!$B299,Data!$G:$G,Info!$C299,Data!$I:$I,Info!$D299,Data!$H:$H,"TOT")</f>
        <v>0</v>
      </c>
      <c r="O299" s="61">
        <f>IF(C299="Defensive",SUMIFS(Data!$J:$J,Data!$A:$A,Info!$B299,Data!$I:$I,Info!$D299,Data!$H:$H,"INT"),0)</f>
        <v>0</v>
      </c>
      <c r="P299" s="61">
        <f>IF(Table1[[#This Row],[Role]]="Defensive",SUMIFS(Data!$J:$J,Data!$A:$A,Info!$B299,Data!$I:$I,Info!$D299,Data!$H:$H,$P$1),0)</f>
        <v>0</v>
      </c>
      <c r="Q299" s="65" t="str">
        <f>IF(Table1[[#This Row],[Pick]]="","",IF(S299&gt;1,400,IF(G299="","",IF(C299="Passing",(400-Table1[[#This Row],[Passing Yards]]-(30*Table1[[#This Row],[Passing TDs]])-(50*SUM(Table1[[#This Row],[Rushing TDs]:[Other TD''s]]))),IF(C299="Rushing",2*(200-Table1[[#This Row],[Rushing Yards]]-(30*Table1[[#This Row],[Passing TDs]])-50*(Table1[[#This Row],[Rushing TDs]]+Table1[[#This Row],[Receiving TDs]]+Table1[[#This Row],[Other TD''s]])),IF(C299="Receiving",2*(200-Table1[[#This Row],[Receiving Yards]]-(30*Table1[[#This Row],[Passing TDs]])-50*(Table1[[#This Row],[Rushing TDs]]+Table1[[#This Row],[Receiving TDs]]+Table1[[#This Row],[Other TD''s]])),IF(C299="Defensive",(25*(16-Table1[[#This Row],[Tackles]]-(8*(Table1[[#This Row],[Other TD''s]]+Table1[[#This Row],[Interceptions]]+Table1[[#This Row],[Fumbles Recovered]])))))))))))</f>
        <v/>
      </c>
      <c r="R299" s="3" t="str">
        <f t="shared" si="10"/>
        <v/>
      </c>
      <c r="S299" s="4">
        <f t="shared" si="9"/>
        <v>1048507</v>
      </c>
      <c r="T2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0" spans="1:20" hidden="1" x14ac:dyDescent="0.25">
      <c r="A300" t="s">
        <v>7</v>
      </c>
      <c r="B300" s="28" t="s">
        <v>47</v>
      </c>
      <c r="C300" t="s">
        <v>6</v>
      </c>
      <c r="D300" t="str">
        <f>_xlfn.XLOOKUP(Table1[[#This Row],[Player]]&amp;Table1[[#This Row],[Week]]&amp;Table1[[#This Row],[Role]],'Google Form Transform'!$A:$A,'Google Form Transform'!E:E,"")</f>
        <v/>
      </c>
      <c r="E300" t="str">
        <f>_xlfn.XLOOKUP(Table1[[#This Row],[Player]]&amp;Table1[[#This Row],[Week]]&amp;Table1[[#This Row],[Role]],'Google Form Transform'!$A:$A,'Google Form Transform'!F:F,"")</f>
        <v/>
      </c>
      <c r="F300" t="str">
        <f>_xlfn.XLOOKUP(Table1[[#This Row],[Player]]&amp;Table1[[#This Row],[Week]]&amp;Table1[[#This Row],[Role]],'Google Form Transform'!$A:$A,'Google Form Transform'!G:G,"")</f>
        <v/>
      </c>
      <c r="G300" s="59">
        <f>SUMIFS(Table2[Stat],Table2[Stat Category],"passing",Table2[Stat Type],"YDS",Table2[Athlete],Table1[[#This Row],[Pick]],Table2[Week],Table1[[#This Row],[Week]])</f>
        <v>0</v>
      </c>
      <c r="H300" s="59">
        <f>SUMIFS(Table2[Stat],Table2[Stat Category],"rushing",Table2[Stat Type],"YDS",Table2[Athlete],Table1[[#This Row],[Pick]],Table2[Week],Table1[[#This Row],[Week]])</f>
        <v>0</v>
      </c>
      <c r="I300" s="59">
        <f>SUMIFS(Table2[Stat],Table2[Stat Category],"receiving",Table2[Stat Type],"YDS",Table2[Athlete],Table1[[#This Row],[Pick]],Table2[Week],Table1[[#This Row],[Week]])</f>
        <v>0</v>
      </c>
      <c r="J300" s="6">
        <f>IF(AND($C300="Rushing", $H300&lt;=0), 0, IF(AND($C300="Passing", $G$3&lt;=0), 0,IF(AND($C300="Receiving",$I300&lt;=0), 0,SUMIFS(Table2[Stat],Table2[Week],Table1[[#This Row],[Week]],Table2[Athlete],Table1[[#This Row],[Pick]],Table2[Stat Category],"passing",Table2[Stat Type],"TD"))))</f>
        <v>0</v>
      </c>
      <c r="K300" s="6">
        <f>IF(AND($C300="Rushing", $H300&lt;=0), 0, IF(AND($C300="Passing", $G$3&lt;=0), 0,IF(AND($C300="Receiving",$I300&lt;=0),0,SUMIFS(Table2[Stat],Table2[Week],Table1[[#This Row],[Week]],Table2[Athlete],Table1[[#This Row],[Pick]],Table2[Stat Category],"rushing",Table2[Stat Type],"TD"))))</f>
        <v>0</v>
      </c>
      <c r="L300" s="6">
        <f>IF(AND($C300="Rushing", $H300&lt;=0), 0, IF(AND($C300="Passing", $G$3&lt;=0), 0,IF(AND($C300="Receiving",$I300&lt;=0),0,SUMIFS(Table2[Stat],Table2[Week],Table1[[#This Row],[Week]],Table2[Athlete],Table1[[#This Row],[Pick]],Table2[Stat Category],"receiving",Table2[Stat Type],"TD"))))</f>
        <v>0</v>
      </c>
      <c r="M3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0" s="61">
        <f>SUMIFS(Data!$J:$J,Data!$A:$A,Info!$B300,Data!$G:$G,Info!$C300,Data!$I:$I,Info!$D300,Data!$H:$H,"TOT")</f>
        <v>0</v>
      </c>
      <c r="O300" s="61">
        <f>IF(C300="Defensive",SUMIFS(Data!$J:$J,Data!$A:$A,Info!$B300,Data!$I:$I,Info!$D300,Data!$H:$H,"INT"),0)</f>
        <v>0</v>
      </c>
      <c r="P300" s="61">
        <f>IF(Table1[[#This Row],[Role]]="Defensive",SUMIFS(Data!$J:$J,Data!$A:$A,Info!$B300,Data!$I:$I,Info!$D300,Data!$H:$H,$P$1),0)</f>
        <v>0</v>
      </c>
      <c r="Q300" s="65" t="str">
        <f>IF(Table1[[#This Row],[Pick]]="","",IF(S300&gt;1,400,IF(G300="","",IF(C300="Passing",(400-Table1[[#This Row],[Passing Yards]]-(30*Table1[[#This Row],[Passing TDs]])-(50*SUM(Table1[[#This Row],[Rushing TDs]:[Other TD''s]]))),IF(C300="Rushing",2*(200-Table1[[#This Row],[Rushing Yards]]-(30*Table1[[#This Row],[Passing TDs]])-50*(Table1[[#This Row],[Rushing TDs]]+Table1[[#This Row],[Receiving TDs]]+Table1[[#This Row],[Other TD''s]])),IF(C300="Receiving",2*(200-Table1[[#This Row],[Receiving Yards]]-(30*Table1[[#This Row],[Passing TDs]])-50*(Table1[[#This Row],[Rushing TDs]]+Table1[[#This Row],[Receiving TDs]]+Table1[[#This Row],[Other TD''s]])),IF(C300="Defensive",(25*(16-Table1[[#This Row],[Tackles]]-(8*(Table1[[#This Row],[Other TD''s]]+Table1[[#This Row],[Interceptions]]+Table1[[#This Row],[Fumbles Recovered]])))))))))))</f>
        <v/>
      </c>
      <c r="R300" s="3" t="str">
        <f t="shared" si="10"/>
        <v/>
      </c>
      <c r="S300" s="4">
        <f t="shared" si="9"/>
        <v>1048507</v>
      </c>
      <c r="T3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1" spans="1:20" hidden="1" x14ac:dyDescent="0.25">
      <c r="A301" t="s">
        <v>7</v>
      </c>
      <c r="B301" s="28" t="s">
        <v>47</v>
      </c>
      <c r="C301" t="s">
        <v>17</v>
      </c>
      <c r="D301" t="str">
        <f>_xlfn.XLOOKUP(Table1[[#This Row],[Player]]&amp;Table1[[#This Row],[Week]]&amp;Table1[[#This Row],[Role]],'Google Form Transform'!$A:$A,'Google Form Transform'!E:E,"")</f>
        <v/>
      </c>
      <c r="E301" t="str">
        <f>_xlfn.XLOOKUP(Table1[[#This Row],[Player]]&amp;Table1[[#This Row],[Week]]&amp;Table1[[#This Row],[Role]],'Google Form Transform'!$A:$A,'Google Form Transform'!F:F,"")</f>
        <v/>
      </c>
      <c r="F301" t="str">
        <f>_xlfn.XLOOKUP(Table1[[#This Row],[Player]]&amp;Table1[[#This Row],[Week]]&amp;Table1[[#This Row],[Role]],'Google Form Transform'!$A:$A,'Google Form Transform'!G:G,"")</f>
        <v/>
      </c>
      <c r="G301" s="59">
        <f>SUMIFS(Table2[Stat],Table2[Stat Category],"passing",Table2[Stat Type],"YDS",Table2[Athlete],Table1[[#This Row],[Pick]],Table2[Week],Table1[[#This Row],[Week]])</f>
        <v>0</v>
      </c>
      <c r="H301" s="59">
        <f>SUMIFS(Table2[Stat],Table2[Stat Category],"rushing",Table2[Stat Type],"YDS",Table2[Athlete],Table1[[#This Row],[Pick]],Table2[Week],Table1[[#This Row],[Week]])</f>
        <v>0</v>
      </c>
      <c r="I301" s="59">
        <f>SUMIFS(Table2[Stat],Table2[Stat Category],"receiving",Table2[Stat Type],"YDS",Table2[Athlete],Table1[[#This Row],[Pick]],Table2[Week],Table1[[#This Row],[Week]])</f>
        <v>0</v>
      </c>
      <c r="J301" s="6">
        <f>IF(AND($C301="Rushing", $H301&lt;=0), 0, IF(AND($C301="Passing", $G$3&lt;=0), 0,IF(AND($C301="Receiving",$I301&lt;=0), 0,SUMIFS(Table2[Stat],Table2[Week],Table1[[#This Row],[Week]],Table2[Athlete],Table1[[#This Row],[Pick]],Table2[Stat Category],"passing",Table2[Stat Type],"TD"))))</f>
        <v>0</v>
      </c>
      <c r="K301" s="6">
        <f>IF(AND($C301="Rushing", $H301&lt;=0), 0, IF(AND($C301="Passing", $G$3&lt;=0), 0,IF(AND($C301="Receiving",$I301&lt;=0),0,SUMIFS(Table2[Stat],Table2[Week],Table1[[#This Row],[Week]],Table2[Athlete],Table1[[#This Row],[Pick]],Table2[Stat Category],"rushing",Table2[Stat Type],"TD"))))</f>
        <v>0</v>
      </c>
      <c r="L301" s="6">
        <f>IF(AND($C301="Rushing", $H301&lt;=0), 0, IF(AND($C301="Passing", $G$3&lt;=0), 0,IF(AND($C301="Receiving",$I301&lt;=0),0,SUMIFS(Table2[Stat],Table2[Week],Table1[[#This Row],[Week]],Table2[Athlete],Table1[[#This Row],[Pick]],Table2[Stat Category],"receiving",Table2[Stat Type],"TD"))))</f>
        <v>0</v>
      </c>
      <c r="M3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1" s="61">
        <f>SUMIFS(Data!$J:$J,Data!$A:$A,Info!$B301,Data!$G:$G,Info!$C301,Data!$I:$I,Info!$D301,Data!$H:$H,"TOT")</f>
        <v>0</v>
      </c>
      <c r="O301" s="61">
        <f>IF(C301="Defensive",SUMIFS(Data!$J:$J,Data!$A:$A,Info!$B301,Data!$I:$I,Info!$D301,Data!$H:$H,"INT"),0)</f>
        <v>0</v>
      </c>
      <c r="P301" s="61">
        <f>IF(Table1[[#This Row],[Role]]="Defensive",SUMIFS(Data!$J:$J,Data!$A:$A,Info!$B301,Data!$I:$I,Info!$D301,Data!$H:$H,$P$1),0)</f>
        <v>0</v>
      </c>
      <c r="Q301" s="65" t="str">
        <f>IF(Table1[[#This Row],[Pick]]="","",IF(S301&gt;1,400,IF(G301="","",IF(C301="Passing",(400-Table1[[#This Row],[Passing Yards]]-(30*Table1[[#This Row],[Passing TDs]])-(50*SUM(Table1[[#This Row],[Rushing TDs]:[Other TD''s]]))),IF(C301="Rushing",2*(200-Table1[[#This Row],[Rushing Yards]]-(30*Table1[[#This Row],[Passing TDs]])-50*(Table1[[#This Row],[Rushing TDs]]+Table1[[#This Row],[Receiving TDs]]+Table1[[#This Row],[Other TD''s]])),IF(C301="Receiving",2*(200-Table1[[#This Row],[Receiving Yards]]-(30*Table1[[#This Row],[Passing TDs]])-50*(Table1[[#This Row],[Rushing TDs]]+Table1[[#This Row],[Receiving TDs]]+Table1[[#This Row],[Other TD''s]])),IF(C301="Defensive",(25*(16-Table1[[#This Row],[Tackles]]-(8*(Table1[[#This Row],[Other TD''s]]+Table1[[#This Row],[Interceptions]]+Table1[[#This Row],[Fumbles Recovered]])))))))))))</f>
        <v/>
      </c>
      <c r="R301" s="3" t="str">
        <f t="shared" si="10"/>
        <v/>
      </c>
      <c r="S301" s="4">
        <f t="shared" si="9"/>
        <v>1048507</v>
      </c>
      <c r="T3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2" spans="1:20" hidden="1" x14ac:dyDescent="0.25">
      <c r="A302" t="s">
        <v>7</v>
      </c>
      <c r="B302" s="28" t="s">
        <v>47</v>
      </c>
      <c r="C302" t="s">
        <v>20</v>
      </c>
      <c r="D302" t="str">
        <f>_xlfn.XLOOKUP(Table1[[#This Row],[Player]]&amp;Table1[[#This Row],[Week]]&amp;Table1[[#This Row],[Role]],'Google Form Transform'!$A:$A,'Google Form Transform'!E:E,"")</f>
        <v/>
      </c>
      <c r="E302" t="str">
        <f>_xlfn.XLOOKUP(Table1[[#This Row],[Player]]&amp;Table1[[#This Row],[Week]]&amp;Table1[[#This Row],[Role]],'Google Form Transform'!$A:$A,'Google Form Transform'!F:F,"")</f>
        <v/>
      </c>
      <c r="F302" t="str">
        <f>_xlfn.XLOOKUP(Table1[[#This Row],[Player]]&amp;Table1[[#This Row],[Week]]&amp;Table1[[#This Row],[Role]],'Google Form Transform'!$A:$A,'Google Form Transform'!G:G,"")</f>
        <v/>
      </c>
      <c r="G302" s="59">
        <f>SUMIFS(Table2[Stat],Table2[Stat Category],"passing",Table2[Stat Type],"YDS",Table2[Athlete],Table1[[#This Row],[Pick]],Table2[Week],Table1[[#This Row],[Week]])</f>
        <v>0</v>
      </c>
      <c r="H302" s="59">
        <f>SUMIFS(Table2[Stat],Table2[Stat Category],"rushing",Table2[Stat Type],"YDS",Table2[Athlete],Table1[[#This Row],[Pick]],Table2[Week],Table1[[#This Row],[Week]])</f>
        <v>0</v>
      </c>
      <c r="I302" s="59">
        <f>SUMIFS(Table2[Stat],Table2[Stat Category],"receiving",Table2[Stat Type],"YDS",Table2[Athlete],Table1[[#This Row],[Pick]],Table2[Week],Table1[[#This Row],[Week]])</f>
        <v>0</v>
      </c>
      <c r="J302" s="6">
        <f>IF(AND($C302="Rushing", $H302&lt;=0), 0, IF(AND($C302="Passing", $G$3&lt;=0), 0,IF(AND($C302="Receiving",$I302&lt;=0), 0,SUMIFS(Table2[Stat],Table2[Week],Table1[[#This Row],[Week]],Table2[Athlete],Table1[[#This Row],[Pick]],Table2[Stat Category],"passing",Table2[Stat Type],"TD"))))</f>
        <v>0</v>
      </c>
      <c r="K302" s="6">
        <f>IF(AND($C302="Rushing", $H302&lt;=0), 0, IF(AND($C302="Passing", $G$3&lt;=0), 0,IF(AND($C302="Receiving",$I302&lt;=0),0,SUMIFS(Table2[Stat],Table2[Week],Table1[[#This Row],[Week]],Table2[Athlete],Table1[[#This Row],[Pick]],Table2[Stat Category],"rushing",Table2[Stat Type],"TD"))))</f>
        <v>0</v>
      </c>
      <c r="L302" s="6">
        <f>IF(AND($C302="Rushing", $H302&lt;=0), 0, IF(AND($C302="Passing", $G$3&lt;=0), 0,IF(AND($C302="Receiving",$I302&lt;=0),0,SUMIFS(Table2[Stat],Table2[Week],Table1[[#This Row],[Week]],Table2[Athlete],Table1[[#This Row],[Pick]],Table2[Stat Category],"receiving",Table2[Stat Type],"TD"))))</f>
        <v>0</v>
      </c>
      <c r="M3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2" s="61">
        <f>SUMIFS(Data!$J:$J,Data!$A:$A,Info!$B302,Data!$G:$G,Info!$C302,Data!$I:$I,Info!$D302,Data!$H:$H,"TOT")</f>
        <v>0</v>
      </c>
      <c r="O302" s="61">
        <f>IF(C302="Defensive",SUMIFS(Data!$J:$J,Data!$A:$A,Info!$B302,Data!$I:$I,Info!$D302,Data!$H:$H,"INT"),0)</f>
        <v>0</v>
      </c>
      <c r="P302" s="61">
        <f>IF(Table1[[#This Row],[Role]]="Defensive",SUMIFS(Data!$J:$J,Data!$A:$A,Info!$B302,Data!$I:$I,Info!$D302,Data!$H:$H,$P$1),0)</f>
        <v>0</v>
      </c>
      <c r="Q302" s="65" t="str">
        <f>IF(Table1[[#This Row],[Pick]]="","",IF(S302&gt;1,400,IF(G302="","",IF(C302="Passing",(400-Table1[[#This Row],[Passing Yards]]-(30*Table1[[#This Row],[Passing TDs]])-(50*SUM(Table1[[#This Row],[Rushing TDs]:[Other TD''s]]))),IF(C302="Rushing",2*(200-Table1[[#This Row],[Rushing Yards]]-(30*Table1[[#This Row],[Passing TDs]])-50*(Table1[[#This Row],[Rushing TDs]]+Table1[[#This Row],[Receiving TDs]]+Table1[[#This Row],[Other TD''s]])),IF(C302="Receiving",2*(200-Table1[[#This Row],[Receiving Yards]]-(30*Table1[[#This Row],[Passing TDs]])-50*(Table1[[#This Row],[Rushing TDs]]+Table1[[#This Row],[Receiving TDs]]+Table1[[#This Row],[Other TD''s]])),IF(C302="Defensive",(25*(16-Table1[[#This Row],[Tackles]]-(8*(Table1[[#This Row],[Other TD''s]]+Table1[[#This Row],[Interceptions]]+Table1[[#This Row],[Fumbles Recovered]])))))))))))</f>
        <v/>
      </c>
      <c r="R302" s="3" t="str">
        <f t="shared" si="10"/>
        <v/>
      </c>
      <c r="S302" s="4">
        <f t="shared" si="9"/>
        <v>1048507</v>
      </c>
      <c r="T3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3" spans="1:20" hidden="1" x14ac:dyDescent="0.25">
      <c r="A303" t="s">
        <v>2</v>
      </c>
      <c r="B303" s="28" t="s">
        <v>48</v>
      </c>
      <c r="C303" t="s">
        <v>16</v>
      </c>
      <c r="D303" t="str">
        <f>_xlfn.XLOOKUP(Table1[[#This Row],[Player]]&amp;Table1[[#This Row],[Week]]&amp;Table1[[#This Row],[Role]],'Google Form Transform'!$A:$A,'Google Form Transform'!E:E,"")</f>
        <v/>
      </c>
      <c r="E303" t="str">
        <f>_xlfn.XLOOKUP(Table1[[#This Row],[Player]]&amp;Table1[[#This Row],[Week]]&amp;Table1[[#This Row],[Role]],'Google Form Transform'!$A:$A,'Google Form Transform'!F:F,"")</f>
        <v/>
      </c>
      <c r="F303" t="str">
        <f>_xlfn.XLOOKUP(Table1[[#This Row],[Player]]&amp;Table1[[#This Row],[Week]]&amp;Table1[[#This Row],[Role]],'Google Form Transform'!$A:$A,'Google Form Transform'!G:G,"")</f>
        <v/>
      </c>
      <c r="G303" s="59">
        <f>SUMIFS(Table2[Stat],Table2[Stat Category],"passing",Table2[Stat Type],"YDS",Table2[Athlete],Table1[[#This Row],[Pick]],Table2[Week],Table1[[#This Row],[Week]])</f>
        <v>0</v>
      </c>
      <c r="H303" s="59">
        <f>SUMIFS(Table2[Stat],Table2[Stat Category],"rushing",Table2[Stat Type],"YDS",Table2[Athlete],Table1[[#This Row],[Pick]],Table2[Week],Table1[[#This Row],[Week]])</f>
        <v>0</v>
      </c>
      <c r="I303" s="59">
        <f>SUMIFS(Table2[Stat],Table2[Stat Category],"receiving",Table2[Stat Type],"YDS",Table2[Athlete],Table1[[#This Row],[Pick]],Table2[Week],Table1[[#This Row],[Week]])</f>
        <v>0</v>
      </c>
      <c r="J303" s="6">
        <f>IF(AND($C303="Rushing", $H303&lt;=0), 0, IF(AND($C303="Passing", $G$3&lt;=0), 0,IF(AND($C303="Receiving",$I303&lt;=0), 0,SUMIFS(Table2[Stat],Table2[Week],Table1[[#This Row],[Week]],Table2[Athlete],Table1[[#This Row],[Pick]],Table2[Stat Category],"passing",Table2[Stat Type],"TD"))))</f>
        <v>0</v>
      </c>
      <c r="K303" s="6">
        <f>IF(AND($C303="Rushing", $H303&lt;=0), 0, IF(AND($C303="Passing", $G$3&lt;=0), 0,IF(AND($C303="Receiving",$I303&lt;=0),0,SUMIFS(Table2[Stat],Table2[Week],Table1[[#This Row],[Week]],Table2[Athlete],Table1[[#This Row],[Pick]],Table2[Stat Category],"rushing",Table2[Stat Type],"TD"))))</f>
        <v>0</v>
      </c>
      <c r="L303" s="6">
        <f>IF(AND($C303="Rushing", $H303&lt;=0), 0, IF(AND($C303="Passing", $G$3&lt;=0), 0,IF(AND($C303="Receiving",$I303&lt;=0),0,SUMIFS(Table2[Stat],Table2[Week],Table1[[#This Row],[Week]],Table2[Athlete],Table1[[#This Row],[Pick]],Table2[Stat Category],"receiving",Table2[Stat Type],"TD"))))</f>
        <v>0</v>
      </c>
      <c r="M3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3" s="61">
        <f>SUMIFS(Data!$J:$J,Data!$A:$A,Info!$B303,Data!$G:$G,Info!$C303,Data!$I:$I,Info!$D303,Data!$H:$H,"TOT")</f>
        <v>0</v>
      </c>
      <c r="O303" s="61">
        <f>IF(C303="Defensive",SUMIFS(Data!$J:$J,Data!$A:$A,Info!$B303,Data!$I:$I,Info!$D303,Data!$H:$H,"INT"),0)</f>
        <v>0</v>
      </c>
      <c r="P303" s="61">
        <f>IF(Table1[[#This Row],[Role]]="Defensive",SUMIFS(Data!$J:$J,Data!$A:$A,Info!$B303,Data!$I:$I,Info!$D303,Data!$H:$H,$P$1),0)</f>
        <v>0</v>
      </c>
      <c r="Q303" s="65" t="str">
        <f>IF(Table1[[#This Row],[Pick]]="","",IF(S303&gt;1,400,IF(G303="","",IF(C303="Passing",(400-Table1[[#This Row],[Passing Yards]]-(30*Table1[[#This Row],[Passing TDs]])-(50*SUM(Table1[[#This Row],[Rushing TDs]:[Other TD''s]]))),IF(C303="Rushing",2*(200-Table1[[#This Row],[Rushing Yards]]-(30*Table1[[#This Row],[Passing TDs]])-50*(Table1[[#This Row],[Rushing TDs]]+Table1[[#This Row],[Receiving TDs]]+Table1[[#This Row],[Other TD''s]])),IF(C303="Receiving",2*(200-Table1[[#This Row],[Receiving Yards]]-(30*Table1[[#This Row],[Passing TDs]])-50*(Table1[[#This Row],[Rushing TDs]]+Table1[[#This Row],[Receiving TDs]]+Table1[[#This Row],[Other TD''s]])),IF(C303="Defensive",(25*(16-Table1[[#This Row],[Tackles]]-(8*(Table1[[#This Row],[Other TD''s]]+Table1[[#This Row],[Interceptions]]+Table1[[#This Row],[Fumbles Recovered]])))))))))))</f>
        <v/>
      </c>
      <c r="R303" s="3" t="str">
        <f t="shared" si="10"/>
        <v/>
      </c>
      <c r="S303" s="4">
        <f t="shared" si="9"/>
        <v>1048507</v>
      </c>
      <c r="T3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4" spans="1:20" hidden="1" x14ac:dyDescent="0.25">
      <c r="A304" t="s">
        <v>2</v>
      </c>
      <c r="B304" s="28" t="s">
        <v>48</v>
      </c>
      <c r="C304" t="s">
        <v>6</v>
      </c>
      <c r="D304" t="str">
        <f>_xlfn.XLOOKUP(Table1[[#This Row],[Player]]&amp;Table1[[#This Row],[Week]]&amp;Table1[[#This Row],[Role]],'Google Form Transform'!$A:$A,'Google Form Transform'!E:E,"")</f>
        <v/>
      </c>
      <c r="E304" t="str">
        <f>_xlfn.XLOOKUP(Table1[[#This Row],[Player]]&amp;Table1[[#This Row],[Week]]&amp;Table1[[#This Row],[Role]],'Google Form Transform'!$A:$A,'Google Form Transform'!F:F,"")</f>
        <v/>
      </c>
      <c r="F304" t="str">
        <f>_xlfn.XLOOKUP(Table1[[#This Row],[Player]]&amp;Table1[[#This Row],[Week]]&amp;Table1[[#This Row],[Role]],'Google Form Transform'!$A:$A,'Google Form Transform'!G:G,"")</f>
        <v/>
      </c>
      <c r="G304" s="59">
        <f>SUMIFS(Table2[Stat],Table2[Stat Category],"passing",Table2[Stat Type],"YDS",Table2[Athlete],Table1[[#This Row],[Pick]],Table2[Week],Table1[[#This Row],[Week]])</f>
        <v>0</v>
      </c>
      <c r="H304" s="59">
        <f>SUMIFS(Table2[Stat],Table2[Stat Category],"rushing",Table2[Stat Type],"YDS",Table2[Athlete],Table1[[#This Row],[Pick]],Table2[Week],Table1[[#This Row],[Week]])</f>
        <v>0</v>
      </c>
      <c r="I304" s="59">
        <f>SUMIFS(Table2[Stat],Table2[Stat Category],"receiving",Table2[Stat Type],"YDS",Table2[Athlete],Table1[[#This Row],[Pick]],Table2[Week],Table1[[#This Row],[Week]])</f>
        <v>0</v>
      </c>
      <c r="J304" s="6">
        <f>IF(AND($C304="Rushing", $H304&lt;=0), 0, IF(AND($C304="Passing", $G$3&lt;=0), 0,IF(AND($C304="Receiving",$I304&lt;=0), 0,SUMIFS(Table2[Stat],Table2[Week],Table1[[#This Row],[Week]],Table2[Athlete],Table1[[#This Row],[Pick]],Table2[Stat Category],"passing",Table2[Stat Type],"TD"))))</f>
        <v>0</v>
      </c>
      <c r="K304" s="6">
        <f>IF(AND($C304="Rushing", $H304&lt;=0), 0, IF(AND($C304="Passing", $G$3&lt;=0), 0,IF(AND($C304="Receiving",$I304&lt;=0),0,SUMIFS(Table2[Stat],Table2[Week],Table1[[#This Row],[Week]],Table2[Athlete],Table1[[#This Row],[Pick]],Table2[Stat Category],"rushing",Table2[Stat Type],"TD"))))</f>
        <v>0</v>
      </c>
      <c r="L304" s="6">
        <f>IF(AND($C304="Rushing", $H304&lt;=0), 0, IF(AND($C304="Passing", $G$3&lt;=0), 0,IF(AND($C304="Receiving",$I304&lt;=0),0,SUMIFS(Table2[Stat],Table2[Week],Table1[[#This Row],[Week]],Table2[Athlete],Table1[[#This Row],[Pick]],Table2[Stat Category],"receiving",Table2[Stat Type],"TD"))))</f>
        <v>0</v>
      </c>
      <c r="M3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4" s="61">
        <f>SUMIFS(Data!$J:$J,Data!$A:$A,Info!$B304,Data!$G:$G,Info!$C304,Data!$I:$I,Info!$D304,Data!$H:$H,"TOT")</f>
        <v>0</v>
      </c>
      <c r="O304" s="61">
        <f>IF(C304="Defensive",SUMIFS(Data!$J:$J,Data!$A:$A,Info!$B304,Data!$I:$I,Info!$D304,Data!$H:$H,"INT"),0)</f>
        <v>0</v>
      </c>
      <c r="P304" s="61">
        <f>IF(Table1[[#This Row],[Role]]="Defensive",SUMIFS(Data!$J:$J,Data!$A:$A,Info!$B304,Data!$I:$I,Info!$D304,Data!$H:$H,$P$1),0)</f>
        <v>0</v>
      </c>
      <c r="Q304" s="65" t="str">
        <f>IF(Table1[[#This Row],[Pick]]="","",IF(S304&gt;1,400,IF(G304="","",IF(C304="Passing",(400-Table1[[#This Row],[Passing Yards]]-(30*Table1[[#This Row],[Passing TDs]])-(50*SUM(Table1[[#This Row],[Rushing TDs]:[Other TD''s]]))),IF(C304="Rushing",2*(200-Table1[[#This Row],[Rushing Yards]]-(30*Table1[[#This Row],[Passing TDs]])-50*(Table1[[#This Row],[Rushing TDs]]+Table1[[#This Row],[Receiving TDs]]+Table1[[#This Row],[Other TD''s]])),IF(C304="Receiving",2*(200-Table1[[#This Row],[Receiving Yards]]-(30*Table1[[#This Row],[Passing TDs]])-50*(Table1[[#This Row],[Rushing TDs]]+Table1[[#This Row],[Receiving TDs]]+Table1[[#This Row],[Other TD''s]])),IF(C304="Defensive",(25*(16-Table1[[#This Row],[Tackles]]-(8*(Table1[[#This Row],[Other TD''s]]+Table1[[#This Row],[Interceptions]]+Table1[[#This Row],[Fumbles Recovered]])))))))))))</f>
        <v/>
      </c>
      <c r="R304" s="3" t="str">
        <f t="shared" si="10"/>
        <v/>
      </c>
      <c r="S304" s="4">
        <f t="shared" si="9"/>
        <v>1048507</v>
      </c>
      <c r="T3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5" spans="1:20" hidden="1" x14ac:dyDescent="0.25">
      <c r="A305" t="s">
        <v>2</v>
      </c>
      <c r="B305" s="28" t="s">
        <v>48</v>
      </c>
      <c r="C305" t="s">
        <v>17</v>
      </c>
      <c r="D305" t="str">
        <f>_xlfn.XLOOKUP(Table1[[#This Row],[Player]]&amp;Table1[[#This Row],[Week]]&amp;Table1[[#This Row],[Role]],'Google Form Transform'!$A:$A,'Google Form Transform'!E:E,"")</f>
        <v/>
      </c>
      <c r="E305" t="str">
        <f>_xlfn.XLOOKUP(Table1[[#This Row],[Player]]&amp;Table1[[#This Row],[Week]]&amp;Table1[[#This Row],[Role]],'Google Form Transform'!$A:$A,'Google Form Transform'!F:F,"")</f>
        <v/>
      </c>
      <c r="F305" t="str">
        <f>_xlfn.XLOOKUP(Table1[[#This Row],[Player]]&amp;Table1[[#This Row],[Week]]&amp;Table1[[#This Row],[Role]],'Google Form Transform'!$A:$A,'Google Form Transform'!G:G,"")</f>
        <v/>
      </c>
      <c r="G305" s="59">
        <f>SUMIFS(Table2[Stat],Table2[Stat Category],"passing",Table2[Stat Type],"YDS",Table2[Athlete],Table1[[#This Row],[Pick]],Table2[Week],Table1[[#This Row],[Week]])</f>
        <v>0</v>
      </c>
      <c r="H305" s="59">
        <f>SUMIFS(Table2[Stat],Table2[Stat Category],"rushing",Table2[Stat Type],"YDS",Table2[Athlete],Table1[[#This Row],[Pick]],Table2[Week],Table1[[#This Row],[Week]])</f>
        <v>0</v>
      </c>
      <c r="I305" s="59">
        <f>SUMIFS(Table2[Stat],Table2[Stat Category],"receiving",Table2[Stat Type],"YDS",Table2[Athlete],Table1[[#This Row],[Pick]],Table2[Week],Table1[[#This Row],[Week]])</f>
        <v>0</v>
      </c>
      <c r="J305" s="6">
        <f>IF(AND($C305="Rushing", $H305&lt;=0), 0, IF(AND($C305="Passing", $G$3&lt;=0), 0,IF(AND($C305="Receiving",$I305&lt;=0), 0,SUMIFS(Table2[Stat],Table2[Week],Table1[[#This Row],[Week]],Table2[Athlete],Table1[[#This Row],[Pick]],Table2[Stat Category],"passing",Table2[Stat Type],"TD"))))</f>
        <v>0</v>
      </c>
      <c r="K305" s="6">
        <f>IF(AND($C305="Rushing", $H305&lt;=0), 0, IF(AND($C305="Passing", $G$3&lt;=0), 0,IF(AND($C305="Receiving",$I305&lt;=0),0,SUMIFS(Table2[Stat],Table2[Week],Table1[[#This Row],[Week]],Table2[Athlete],Table1[[#This Row],[Pick]],Table2[Stat Category],"rushing",Table2[Stat Type],"TD"))))</f>
        <v>0</v>
      </c>
      <c r="L305" s="6">
        <f>IF(AND($C305="Rushing", $H305&lt;=0), 0, IF(AND($C305="Passing", $G$3&lt;=0), 0,IF(AND($C305="Receiving",$I305&lt;=0),0,SUMIFS(Table2[Stat],Table2[Week],Table1[[#This Row],[Week]],Table2[Athlete],Table1[[#This Row],[Pick]],Table2[Stat Category],"receiving",Table2[Stat Type],"TD"))))</f>
        <v>0</v>
      </c>
      <c r="M3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5" s="61">
        <f>SUMIFS(Data!$J:$J,Data!$A:$A,Info!$B305,Data!$G:$G,Info!$C305,Data!$I:$I,Info!$D305,Data!$H:$H,"TOT")</f>
        <v>0</v>
      </c>
      <c r="O305" s="61">
        <f>IF(C305="Defensive",SUMIFS(Data!$J:$J,Data!$A:$A,Info!$B305,Data!$I:$I,Info!$D305,Data!$H:$H,"INT"),0)</f>
        <v>0</v>
      </c>
      <c r="P305" s="61">
        <f>IF(Table1[[#This Row],[Role]]="Defensive",SUMIFS(Data!$J:$J,Data!$A:$A,Info!$B305,Data!$I:$I,Info!$D305,Data!$H:$H,$P$1),0)</f>
        <v>0</v>
      </c>
      <c r="Q305" s="65" t="str">
        <f>IF(Table1[[#This Row],[Pick]]="","",IF(S305&gt;1,400,IF(G305="","",IF(C305="Passing",(400-Table1[[#This Row],[Passing Yards]]-(30*Table1[[#This Row],[Passing TDs]])-(50*SUM(Table1[[#This Row],[Rushing TDs]:[Other TD''s]]))),IF(C305="Rushing",2*(200-Table1[[#This Row],[Rushing Yards]]-(30*Table1[[#This Row],[Passing TDs]])-50*(Table1[[#This Row],[Rushing TDs]]+Table1[[#This Row],[Receiving TDs]]+Table1[[#This Row],[Other TD''s]])),IF(C305="Receiving",2*(200-Table1[[#This Row],[Receiving Yards]]-(30*Table1[[#This Row],[Passing TDs]])-50*(Table1[[#This Row],[Rushing TDs]]+Table1[[#This Row],[Receiving TDs]]+Table1[[#This Row],[Other TD''s]])),IF(C305="Defensive",(25*(16-Table1[[#This Row],[Tackles]]-(8*(Table1[[#This Row],[Other TD''s]]+Table1[[#This Row],[Interceptions]]+Table1[[#This Row],[Fumbles Recovered]])))))))))))</f>
        <v/>
      </c>
      <c r="R305" s="3" t="str">
        <f t="shared" si="10"/>
        <v/>
      </c>
      <c r="S305" s="4">
        <f t="shared" si="9"/>
        <v>1048507</v>
      </c>
      <c r="T3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6" spans="1:20" hidden="1" x14ac:dyDescent="0.25">
      <c r="A306" t="s">
        <v>2</v>
      </c>
      <c r="B306" s="28" t="s">
        <v>48</v>
      </c>
      <c r="C306" t="s">
        <v>20</v>
      </c>
      <c r="D306" t="str">
        <f>_xlfn.XLOOKUP(Table1[[#This Row],[Player]]&amp;Table1[[#This Row],[Week]]&amp;Table1[[#This Row],[Role]],'Google Form Transform'!$A:$A,'Google Form Transform'!E:E,"")</f>
        <v/>
      </c>
      <c r="E306" t="str">
        <f>_xlfn.XLOOKUP(Table1[[#This Row],[Player]]&amp;Table1[[#This Row],[Week]]&amp;Table1[[#This Row],[Role]],'Google Form Transform'!$A:$A,'Google Form Transform'!F:F,"")</f>
        <v/>
      </c>
      <c r="F306" t="str">
        <f>_xlfn.XLOOKUP(Table1[[#This Row],[Player]]&amp;Table1[[#This Row],[Week]]&amp;Table1[[#This Row],[Role]],'Google Form Transform'!$A:$A,'Google Form Transform'!G:G,"")</f>
        <v/>
      </c>
      <c r="G306" s="59">
        <f>SUMIFS(Table2[Stat],Table2[Stat Category],"passing",Table2[Stat Type],"YDS",Table2[Athlete],Table1[[#This Row],[Pick]],Table2[Week],Table1[[#This Row],[Week]])</f>
        <v>0</v>
      </c>
      <c r="H306" s="59">
        <f>SUMIFS(Table2[Stat],Table2[Stat Category],"rushing",Table2[Stat Type],"YDS",Table2[Athlete],Table1[[#This Row],[Pick]],Table2[Week],Table1[[#This Row],[Week]])</f>
        <v>0</v>
      </c>
      <c r="I306" s="59">
        <f>SUMIFS(Table2[Stat],Table2[Stat Category],"receiving",Table2[Stat Type],"YDS",Table2[Athlete],Table1[[#This Row],[Pick]],Table2[Week],Table1[[#This Row],[Week]])</f>
        <v>0</v>
      </c>
      <c r="J306" s="6">
        <f>IF(AND($C306="Rushing", $H306&lt;=0), 0, IF(AND($C306="Passing", $G$3&lt;=0), 0,IF(AND($C306="Receiving",$I306&lt;=0), 0,SUMIFS(Table2[Stat],Table2[Week],Table1[[#This Row],[Week]],Table2[Athlete],Table1[[#This Row],[Pick]],Table2[Stat Category],"passing",Table2[Stat Type],"TD"))))</f>
        <v>0</v>
      </c>
      <c r="K306" s="6">
        <f>IF(AND($C306="Rushing", $H306&lt;=0), 0, IF(AND($C306="Passing", $G$3&lt;=0), 0,IF(AND($C306="Receiving",$I306&lt;=0),0,SUMIFS(Table2[Stat],Table2[Week],Table1[[#This Row],[Week]],Table2[Athlete],Table1[[#This Row],[Pick]],Table2[Stat Category],"rushing",Table2[Stat Type],"TD"))))</f>
        <v>0</v>
      </c>
      <c r="L306" s="6">
        <f>IF(AND($C306="Rushing", $H306&lt;=0), 0, IF(AND($C306="Passing", $G$3&lt;=0), 0,IF(AND($C306="Receiving",$I306&lt;=0),0,SUMIFS(Table2[Stat],Table2[Week],Table1[[#This Row],[Week]],Table2[Athlete],Table1[[#This Row],[Pick]],Table2[Stat Category],"receiving",Table2[Stat Type],"TD"))))</f>
        <v>0</v>
      </c>
      <c r="M3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6" s="61">
        <f>SUMIFS(Data!$J:$J,Data!$A:$A,Info!$B306,Data!$G:$G,Info!$C306,Data!$I:$I,Info!$D306,Data!$H:$H,"TOT")</f>
        <v>0</v>
      </c>
      <c r="O306" s="61">
        <f>IF(C306="Defensive",SUMIFS(Data!$J:$J,Data!$A:$A,Info!$B306,Data!$I:$I,Info!$D306,Data!$H:$H,"INT"),0)</f>
        <v>0</v>
      </c>
      <c r="P306" s="61">
        <f>IF(Table1[[#This Row],[Role]]="Defensive",SUMIFS(Data!$J:$J,Data!$A:$A,Info!$B306,Data!$I:$I,Info!$D306,Data!$H:$H,$P$1),0)</f>
        <v>0</v>
      </c>
      <c r="Q306" s="65" t="str">
        <f>IF(Table1[[#This Row],[Pick]]="","",IF(S306&gt;1,400,IF(G306="","",IF(C306="Passing",(400-Table1[[#This Row],[Passing Yards]]-(30*Table1[[#This Row],[Passing TDs]])-(50*SUM(Table1[[#This Row],[Rushing TDs]:[Other TD''s]]))),IF(C306="Rushing",2*(200-Table1[[#This Row],[Rushing Yards]]-(30*Table1[[#This Row],[Passing TDs]])-50*(Table1[[#This Row],[Rushing TDs]]+Table1[[#This Row],[Receiving TDs]]+Table1[[#This Row],[Other TD''s]])),IF(C306="Receiving",2*(200-Table1[[#This Row],[Receiving Yards]]-(30*Table1[[#This Row],[Passing TDs]])-50*(Table1[[#This Row],[Rushing TDs]]+Table1[[#This Row],[Receiving TDs]]+Table1[[#This Row],[Other TD''s]])),IF(C306="Defensive",(25*(16-Table1[[#This Row],[Tackles]]-(8*(Table1[[#This Row],[Other TD''s]]+Table1[[#This Row],[Interceptions]]+Table1[[#This Row],[Fumbles Recovered]])))))))))))</f>
        <v/>
      </c>
      <c r="R306" s="3" t="str">
        <f t="shared" si="10"/>
        <v/>
      </c>
      <c r="S306" s="4">
        <f t="shared" si="9"/>
        <v>1048507</v>
      </c>
      <c r="T3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7" spans="1:20" hidden="1" x14ac:dyDescent="0.25">
      <c r="A307" t="s">
        <v>4</v>
      </c>
      <c r="B307" s="28" t="s">
        <v>48</v>
      </c>
      <c r="C307" t="s">
        <v>16</v>
      </c>
      <c r="D307" t="str">
        <f>_xlfn.XLOOKUP(Table1[[#This Row],[Player]]&amp;Table1[[#This Row],[Week]]&amp;Table1[[#This Row],[Role]],'Google Form Transform'!$A:$A,'Google Form Transform'!E:E,"")</f>
        <v/>
      </c>
      <c r="E307" t="str">
        <f>_xlfn.XLOOKUP(Table1[[#This Row],[Player]]&amp;Table1[[#This Row],[Week]]&amp;Table1[[#This Row],[Role]],'Google Form Transform'!$A:$A,'Google Form Transform'!F:F,"")</f>
        <v/>
      </c>
      <c r="F307" t="str">
        <f>_xlfn.XLOOKUP(Table1[[#This Row],[Player]]&amp;Table1[[#This Row],[Week]]&amp;Table1[[#This Row],[Role]],'Google Form Transform'!$A:$A,'Google Form Transform'!G:G,"")</f>
        <v/>
      </c>
      <c r="G307" s="59">
        <f>SUMIFS(Table2[Stat],Table2[Stat Category],"passing",Table2[Stat Type],"YDS",Table2[Athlete],Table1[[#This Row],[Pick]],Table2[Week],Table1[[#This Row],[Week]])</f>
        <v>0</v>
      </c>
      <c r="H307" s="59">
        <f>SUMIFS(Table2[Stat],Table2[Stat Category],"rushing",Table2[Stat Type],"YDS",Table2[Athlete],Table1[[#This Row],[Pick]],Table2[Week],Table1[[#This Row],[Week]])</f>
        <v>0</v>
      </c>
      <c r="I307" s="59">
        <f>SUMIFS(Table2[Stat],Table2[Stat Category],"receiving",Table2[Stat Type],"YDS",Table2[Athlete],Table1[[#This Row],[Pick]],Table2[Week],Table1[[#This Row],[Week]])</f>
        <v>0</v>
      </c>
      <c r="J307" s="6">
        <f>IF(AND($C307="Rushing", $H307&lt;=0), 0, IF(AND($C307="Passing", $G$3&lt;=0), 0,IF(AND($C307="Receiving",$I307&lt;=0), 0,SUMIFS(Table2[Stat],Table2[Week],Table1[[#This Row],[Week]],Table2[Athlete],Table1[[#This Row],[Pick]],Table2[Stat Category],"passing",Table2[Stat Type],"TD"))))</f>
        <v>0</v>
      </c>
      <c r="K307" s="6">
        <f>IF(AND($C307="Rushing", $H307&lt;=0), 0, IF(AND($C307="Passing", $G$3&lt;=0), 0,IF(AND($C307="Receiving",$I307&lt;=0),0,SUMIFS(Table2[Stat],Table2[Week],Table1[[#This Row],[Week]],Table2[Athlete],Table1[[#This Row],[Pick]],Table2[Stat Category],"rushing",Table2[Stat Type],"TD"))))</f>
        <v>0</v>
      </c>
      <c r="L307" s="6">
        <f>IF(AND($C307="Rushing", $H307&lt;=0), 0, IF(AND($C307="Passing", $G$3&lt;=0), 0,IF(AND($C307="Receiving",$I307&lt;=0),0,SUMIFS(Table2[Stat],Table2[Week],Table1[[#This Row],[Week]],Table2[Athlete],Table1[[#This Row],[Pick]],Table2[Stat Category],"receiving",Table2[Stat Type],"TD"))))</f>
        <v>0</v>
      </c>
      <c r="M3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7" s="61">
        <f>SUMIFS(Data!$J:$J,Data!$A:$A,Info!$B307,Data!$G:$G,Info!$C307,Data!$I:$I,Info!$D307,Data!$H:$H,"TOT")</f>
        <v>0</v>
      </c>
      <c r="O307" s="61">
        <f>IF(C307="Defensive",SUMIFS(Data!$J:$J,Data!$A:$A,Info!$B307,Data!$I:$I,Info!$D307,Data!$H:$H,"INT"),0)</f>
        <v>0</v>
      </c>
      <c r="P307" s="61">
        <f>IF(Table1[[#This Row],[Role]]="Defensive",SUMIFS(Data!$J:$J,Data!$A:$A,Info!$B307,Data!$I:$I,Info!$D307,Data!$H:$H,$P$1),0)</f>
        <v>0</v>
      </c>
      <c r="Q307" s="65" t="str">
        <f>IF(Table1[[#This Row],[Pick]]="","",IF(S307&gt;1,400,IF(G307="","",IF(C307="Passing",(400-Table1[[#This Row],[Passing Yards]]-(30*Table1[[#This Row],[Passing TDs]])-(50*SUM(Table1[[#This Row],[Rushing TDs]:[Other TD''s]]))),IF(C307="Rushing",2*(200-Table1[[#This Row],[Rushing Yards]]-(30*Table1[[#This Row],[Passing TDs]])-50*(Table1[[#This Row],[Rushing TDs]]+Table1[[#This Row],[Receiving TDs]]+Table1[[#This Row],[Other TD''s]])),IF(C307="Receiving",2*(200-Table1[[#This Row],[Receiving Yards]]-(30*Table1[[#This Row],[Passing TDs]])-50*(Table1[[#This Row],[Rushing TDs]]+Table1[[#This Row],[Receiving TDs]]+Table1[[#This Row],[Other TD''s]])),IF(C307="Defensive",(25*(16-Table1[[#This Row],[Tackles]]-(8*(Table1[[#This Row],[Other TD''s]]+Table1[[#This Row],[Interceptions]]+Table1[[#This Row],[Fumbles Recovered]])))))))))))</f>
        <v/>
      </c>
      <c r="R307" s="3" t="str">
        <f t="shared" si="10"/>
        <v/>
      </c>
      <c r="S307" s="4">
        <f t="shared" si="9"/>
        <v>1048507</v>
      </c>
      <c r="T3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8" spans="1:20" hidden="1" x14ac:dyDescent="0.25">
      <c r="A308" t="s">
        <v>4</v>
      </c>
      <c r="B308" s="28" t="s">
        <v>48</v>
      </c>
      <c r="C308" t="s">
        <v>6</v>
      </c>
      <c r="D308" t="str">
        <f>_xlfn.XLOOKUP(Table1[[#This Row],[Player]]&amp;Table1[[#This Row],[Week]]&amp;Table1[[#This Row],[Role]],'Google Form Transform'!$A:$A,'Google Form Transform'!E:E,"")</f>
        <v/>
      </c>
      <c r="E308" t="str">
        <f>_xlfn.XLOOKUP(Table1[[#This Row],[Player]]&amp;Table1[[#This Row],[Week]]&amp;Table1[[#This Row],[Role]],'Google Form Transform'!$A:$A,'Google Form Transform'!F:F,"")</f>
        <v/>
      </c>
      <c r="F308" t="str">
        <f>_xlfn.XLOOKUP(Table1[[#This Row],[Player]]&amp;Table1[[#This Row],[Week]]&amp;Table1[[#This Row],[Role]],'Google Form Transform'!$A:$A,'Google Form Transform'!G:G,"")</f>
        <v/>
      </c>
      <c r="G308" s="59">
        <f>SUMIFS(Table2[Stat],Table2[Stat Category],"passing",Table2[Stat Type],"YDS",Table2[Athlete],Table1[[#This Row],[Pick]],Table2[Week],Table1[[#This Row],[Week]])</f>
        <v>0</v>
      </c>
      <c r="H308" s="59">
        <f>SUMIFS(Table2[Stat],Table2[Stat Category],"rushing",Table2[Stat Type],"YDS",Table2[Athlete],Table1[[#This Row],[Pick]],Table2[Week],Table1[[#This Row],[Week]])</f>
        <v>0</v>
      </c>
      <c r="I308" s="59">
        <f>SUMIFS(Table2[Stat],Table2[Stat Category],"receiving",Table2[Stat Type],"YDS",Table2[Athlete],Table1[[#This Row],[Pick]],Table2[Week],Table1[[#This Row],[Week]])</f>
        <v>0</v>
      </c>
      <c r="J308" s="6">
        <f>IF(AND($C308="Rushing", $H308&lt;=0), 0, IF(AND($C308="Passing", $G$3&lt;=0), 0,IF(AND($C308="Receiving",$I308&lt;=0), 0,SUMIFS(Table2[Stat],Table2[Week],Table1[[#This Row],[Week]],Table2[Athlete],Table1[[#This Row],[Pick]],Table2[Stat Category],"passing",Table2[Stat Type],"TD"))))</f>
        <v>0</v>
      </c>
      <c r="K308" s="6">
        <f>IF(AND($C308="Rushing", $H308&lt;=0), 0, IF(AND($C308="Passing", $G$3&lt;=0), 0,IF(AND($C308="Receiving",$I308&lt;=0),0,SUMIFS(Table2[Stat],Table2[Week],Table1[[#This Row],[Week]],Table2[Athlete],Table1[[#This Row],[Pick]],Table2[Stat Category],"rushing",Table2[Stat Type],"TD"))))</f>
        <v>0</v>
      </c>
      <c r="L308" s="6">
        <f>IF(AND($C308="Rushing", $H308&lt;=0), 0, IF(AND($C308="Passing", $G$3&lt;=0), 0,IF(AND($C308="Receiving",$I308&lt;=0),0,SUMIFS(Table2[Stat],Table2[Week],Table1[[#This Row],[Week]],Table2[Athlete],Table1[[#This Row],[Pick]],Table2[Stat Category],"receiving",Table2[Stat Type],"TD"))))</f>
        <v>0</v>
      </c>
      <c r="M3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8" s="61">
        <f>SUMIFS(Data!$J:$J,Data!$A:$A,Info!$B308,Data!$G:$G,Info!$C308,Data!$I:$I,Info!$D308,Data!$H:$H,"TOT")</f>
        <v>0</v>
      </c>
      <c r="O308" s="61">
        <f>IF(C308="Defensive",SUMIFS(Data!$J:$J,Data!$A:$A,Info!$B308,Data!$I:$I,Info!$D308,Data!$H:$H,"INT"),0)</f>
        <v>0</v>
      </c>
      <c r="P308" s="61">
        <f>IF(Table1[[#This Row],[Role]]="Defensive",SUMIFS(Data!$J:$J,Data!$A:$A,Info!$B308,Data!$I:$I,Info!$D308,Data!$H:$H,$P$1),0)</f>
        <v>0</v>
      </c>
      <c r="Q308" s="65" t="str">
        <f>IF(Table1[[#This Row],[Pick]]="","",IF(S308&gt;1,400,IF(G308="","",IF(C308="Passing",(400-Table1[[#This Row],[Passing Yards]]-(30*Table1[[#This Row],[Passing TDs]])-(50*SUM(Table1[[#This Row],[Rushing TDs]:[Other TD''s]]))),IF(C308="Rushing",2*(200-Table1[[#This Row],[Rushing Yards]]-(30*Table1[[#This Row],[Passing TDs]])-50*(Table1[[#This Row],[Rushing TDs]]+Table1[[#This Row],[Receiving TDs]]+Table1[[#This Row],[Other TD''s]])),IF(C308="Receiving",2*(200-Table1[[#This Row],[Receiving Yards]]-(30*Table1[[#This Row],[Passing TDs]])-50*(Table1[[#This Row],[Rushing TDs]]+Table1[[#This Row],[Receiving TDs]]+Table1[[#This Row],[Other TD''s]])),IF(C308="Defensive",(25*(16-Table1[[#This Row],[Tackles]]-(8*(Table1[[#This Row],[Other TD''s]]+Table1[[#This Row],[Interceptions]]+Table1[[#This Row],[Fumbles Recovered]])))))))))))</f>
        <v/>
      </c>
      <c r="R308" s="3" t="str">
        <f t="shared" si="10"/>
        <v/>
      </c>
      <c r="S308" s="4">
        <f t="shared" si="9"/>
        <v>1048507</v>
      </c>
      <c r="T3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9" spans="1:20" hidden="1" x14ac:dyDescent="0.25">
      <c r="A309" t="s">
        <v>4</v>
      </c>
      <c r="B309" s="28" t="s">
        <v>48</v>
      </c>
      <c r="C309" t="s">
        <v>17</v>
      </c>
      <c r="D309" t="str">
        <f>_xlfn.XLOOKUP(Table1[[#This Row],[Player]]&amp;Table1[[#This Row],[Week]]&amp;Table1[[#This Row],[Role]],'Google Form Transform'!$A:$A,'Google Form Transform'!E:E,"")</f>
        <v/>
      </c>
      <c r="E309" t="str">
        <f>_xlfn.XLOOKUP(Table1[[#This Row],[Player]]&amp;Table1[[#This Row],[Week]]&amp;Table1[[#This Row],[Role]],'Google Form Transform'!$A:$A,'Google Form Transform'!F:F,"")</f>
        <v/>
      </c>
      <c r="F309" t="str">
        <f>_xlfn.XLOOKUP(Table1[[#This Row],[Player]]&amp;Table1[[#This Row],[Week]]&amp;Table1[[#This Row],[Role]],'Google Form Transform'!$A:$A,'Google Form Transform'!G:G,"")</f>
        <v/>
      </c>
      <c r="G309" s="59">
        <f>SUMIFS(Table2[Stat],Table2[Stat Category],"passing",Table2[Stat Type],"YDS",Table2[Athlete],Table1[[#This Row],[Pick]],Table2[Week],Table1[[#This Row],[Week]])</f>
        <v>0</v>
      </c>
      <c r="H309" s="59">
        <f>SUMIFS(Table2[Stat],Table2[Stat Category],"rushing",Table2[Stat Type],"YDS",Table2[Athlete],Table1[[#This Row],[Pick]],Table2[Week],Table1[[#This Row],[Week]])</f>
        <v>0</v>
      </c>
      <c r="I309" s="59">
        <f>SUMIFS(Table2[Stat],Table2[Stat Category],"receiving",Table2[Stat Type],"YDS",Table2[Athlete],Table1[[#This Row],[Pick]],Table2[Week],Table1[[#This Row],[Week]])</f>
        <v>0</v>
      </c>
      <c r="J309" s="6">
        <f>IF(AND($C309="Rushing", $H309&lt;=0), 0, IF(AND($C309="Passing", $G$3&lt;=0), 0,IF(AND($C309="Receiving",$I309&lt;=0), 0,SUMIFS(Table2[Stat],Table2[Week],Table1[[#This Row],[Week]],Table2[Athlete],Table1[[#This Row],[Pick]],Table2[Stat Category],"passing",Table2[Stat Type],"TD"))))</f>
        <v>0</v>
      </c>
      <c r="K309" s="6">
        <f>IF(AND($C309="Rushing", $H309&lt;=0), 0, IF(AND($C309="Passing", $G$3&lt;=0), 0,IF(AND($C309="Receiving",$I309&lt;=0),0,SUMIFS(Table2[Stat],Table2[Week],Table1[[#This Row],[Week]],Table2[Athlete],Table1[[#This Row],[Pick]],Table2[Stat Category],"rushing",Table2[Stat Type],"TD"))))</f>
        <v>0</v>
      </c>
      <c r="L309" s="6">
        <f>IF(AND($C309="Rushing", $H309&lt;=0), 0, IF(AND($C309="Passing", $G$3&lt;=0), 0,IF(AND($C309="Receiving",$I309&lt;=0),0,SUMIFS(Table2[Stat],Table2[Week],Table1[[#This Row],[Week]],Table2[Athlete],Table1[[#This Row],[Pick]],Table2[Stat Category],"receiving",Table2[Stat Type],"TD"))))</f>
        <v>0</v>
      </c>
      <c r="M3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9" s="61">
        <f>SUMIFS(Data!$J:$J,Data!$A:$A,Info!$B309,Data!$G:$G,Info!$C309,Data!$I:$I,Info!$D309,Data!$H:$H,"TOT")</f>
        <v>0</v>
      </c>
      <c r="O309" s="61">
        <f>IF(C309="Defensive",SUMIFS(Data!$J:$J,Data!$A:$A,Info!$B309,Data!$I:$I,Info!$D309,Data!$H:$H,"INT"),0)</f>
        <v>0</v>
      </c>
      <c r="P309" s="61">
        <f>IF(Table1[[#This Row],[Role]]="Defensive",SUMIFS(Data!$J:$J,Data!$A:$A,Info!$B309,Data!$I:$I,Info!$D309,Data!$H:$H,$P$1),0)</f>
        <v>0</v>
      </c>
      <c r="Q309" s="65" t="str">
        <f>IF(Table1[[#This Row],[Pick]]="","",IF(S309&gt;1,400,IF(G309="","",IF(C309="Passing",(400-Table1[[#This Row],[Passing Yards]]-(30*Table1[[#This Row],[Passing TDs]])-(50*SUM(Table1[[#This Row],[Rushing TDs]:[Other TD''s]]))),IF(C309="Rushing",2*(200-Table1[[#This Row],[Rushing Yards]]-(30*Table1[[#This Row],[Passing TDs]])-50*(Table1[[#This Row],[Rushing TDs]]+Table1[[#This Row],[Receiving TDs]]+Table1[[#This Row],[Other TD''s]])),IF(C309="Receiving",2*(200-Table1[[#This Row],[Receiving Yards]]-(30*Table1[[#This Row],[Passing TDs]])-50*(Table1[[#This Row],[Rushing TDs]]+Table1[[#This Row],[Receiving TDs]]+Table1[[#This Row],[Other TD''s]])),IF(C309="Defensive",(25*(16-Table1[[#This Row],[Tackles]]-(8*(Table1[[#This Row],[Other TD''s]]+Table1[[#This Row],[Interceptions]]+Table1[[#This Row],[Fumbles Recovered]])))))))))))</f>
        <v/>
      </c>
      <c r="R309" s="3" t="str">
        <f t="shared" si="10"/>
        <v/>
      </c>
      <c r="S309" s="4">
        <f t="shared" si="9"/>
        <v>1048507</v>
      </c>
      <c r="T3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0" spans="1:20" hidden="1" x14ac:dyDescent="0.25">
      <c r="A310" t="s">
        <v>4</v>
      </c>
      <c r="B310" s="28" t="s">
        <v>48</v>
      </c>
      <c r="C310" t="s">
        <v>20</v>
      </c>
      <c r="D310" t="str">
        <f>_xlfn.XLOOKUP(Table1[[#This Row],[Player]]&amp;Table1[[#This Row],[Week]]&amp;Table1[[#This Row],[Role]],'Google Form Transform'!$A:$A,'Google Form Transform'!E:E,"")</f>
        <v/>
      </c>
      <c r="E310" t="str">
        <f>_xlfn.XLOOKUP(Table1[[#This Row],[Player]]&amp;Table1[[#This Row],[Week]]&amp;Table1[[#This Row],[Role]],'Google Form Transform'!$A:$A,'Google Form Transform'!F:F,"")</f>
        <v/>
      </c>
      <c r="F310" t="str">
        <f>_xlfn.XLOOKUP(Table1[[#This Row],[Player]]&amp;Table1[[#This Row],[Week]]&amp;Table1[[#This Row],[Role]],'Google Form Transform'!$A:$A,'Google Form Transform'!G:G,"")</f>
        <v/>
      </c>
      <c r="G310" s="59">
        <f>SUMIFS(Table2[Stat],Table2[Stat Category],"passing",Table2[Stat Type],"YDS",Table2[Athlete],Table1[[#This Row],[Pick]],Table2[Week],Table1[[#This Row],[Week]])</f>
        <v>0</v>
      </c>
      <c r="H310" s="59">
        <f>SUMIFS(Table2[Stat],Table2[Stat Category],"rushing",Table2[Stat Type],"YDS",Table2[Athlete],Table1[[#This Row],[Pick]],Table2[Week],Table1[[#This Row],[Week]])</f>
        <v>0</v>
      </c>
      <c r="I310" s="59">
        <f>SUMIFS(Table2[Stat],Table2[Stat Category],"receiving",Table2[Stat Type],"YDS",Table2[Athlete],Table1[[#This Row],[Pick]],Table2[Week],Table1[[#This Row],[Week]])</f>
        <v>0</v>
      </c>
      <c r="J310" s="6">
        <f>IF(AND($C310="Rushing", $H310&lt;=0), 0, IF(AND($C310="Passing", $G$3&lt;=0), 0,IF(AND($C310="Receiving",$I310&lt;=0), 0,SUMIFS(Table2[Stat],Table2[Week],Table1[[#This Row],[Week]],Table2[Athlete],Table1[[#This Row],[Pick]],Table2[Stat Category],"passing",Table2[Stat Type],"TD"))))</f>
        <v>0</v>
      </c>
      <c r="K310" s="6">
        <f>IF(AND($C310="Rushing", $H310&lt;=0), 0, IF(AND($C310="Passing", $G$3&lt;=0), 0,IF(AND($C310="Receiving",$I310&lt;=0),0,SUMIFS(Table2[Stat],Table2[Week],Table1[[#This Row],[Week]],Table2[Athlete],Table1[[#This Row],[Pick]],Table2[Stat Category],"rushing",Table2[Stat Type],"TD"))))</f>
        <v>0</v>
      </c>
      <c r="L310" s="6">
        <f>IF(AND($C310="Rushing", $H310&lt;=0), 0, IF(AND($C310="Passing", $G$3&lt;=0), 0,IF(AND($C310="Receiving",$I310&lt;=0),0,SUMIFS(Table2[Stat],Table2[Week],Table1[[#This Row],[Week]],Table2[Athlete],Table1[[#This Row],[Pick]],Table2[Stat Category],"receiving",Table2[Stat Type],"TD"))))</f>
        <v>0</v>
      </c>
      <c r="M3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0" s="61">
        <f>SUMIFS(Data!$J:$J,Data!$A:$A,Info!$B310,Data!$G:$G,Info!$C310,Data!$I:$I,Info!$D310,Data!$H:$H,"TOT")</f>
        <v>0</v>
      </c>
      <c r="O310" s="61">
        <f>IF(C310="Defensive",SUMIFS(Data!$J:$J,Data!$A:$A,Info!$B310,Data!$I:$I,Info!$D310,Data!$H:$H,"INT"),0)</f>
        <v>0</v>
      </c>
      <c r="P310" s="61">
        <f>IF(Table1[[#This Row],[Role]]="Defensive",SUMIFS(Data!$J:$J,Data!$A:$A,Info!$B310,Data!$I:$I,Info!$D310,Data!$H:$H,$P$1),0)</f>
        <v>0</v>
      </c>
      <c r="Q310" s="65" t="str">
        <f>IF(Table1[[#This Row],[Pick]]="","",IF(S310&gt;1,400,IF(G310="","",IF(C310="Passing",(400-Table1[[#This Row],[Passing Yards]]-(30*Table1[[#This Row],[Passing TDs]])-(50*SUM(Table1[[#This Row],[Rushing TDs]:[Other TD''s]]))),IF(C310="Rushing",2*(200-Table1[[#This Row],[Rushing Yards]]-(30*Table1[[#This Row],[Passing TDs]])-50*(Table1[[#This Row],[Rushing TDs]]+Table1[[#This Row],[Receiving TDs]]+Table1[[#This Row],[Other TD''s]])),IF(C310="Receiving",2*(200-Table1[[#This Row],[Receiving Yards]]-(30*Table1[[#This Row],[Passing TDs]])-50*(Table1[[#This Row],[Rushing TDs]]+Table1[[#This Row],[Receiving TDs]]+Table1[[#This Row],[Other TD''s]])),IF(C310="Defensive",(25*(16-Table1[[#This Row],[Tackles]]-(8*(Table1[[#This Row],[Other TD''s]]+Table1[[#This Row],[Interceptions]]+Table1[[#This Row],[Fumbles Recovered]])))))))))))</f>
        <v/>
      </c>
      <c r="R310" s="3" t="str">
        <f t="shared" si="10"/>
        <v/>
      </c>
      <c r="S310" s="4">
        <f t="shared" si="9"/>
        <v>1048507</v>
      </c>
      <c r="T3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1" spans="1:20" hidden="1" x14ac:dyDescent="0.25">
      <c r="A311" t="s">
        <v>79</v>
      </c>
      <c r="B311" s="28" t="s">
        <v>48</v>
      </c>
      <c r="C311" t="s">
        <v>16</v>
      </c>
      <c r="D311" t="str">
        <f>_xlfn.XLOOKUP(Table1[[#This Row],[Player]]&amp;Table1[[#This Row],[Week]]&amp;Table1[[#This Row],[Role]],'Google Form Transform'!$A:$A,'Google Form Transform'!E:E,"")</f>
        <v/>
      </c>
      <c r="E311" t="str">
        <f>_xlfn.XLOOKUP(Table1[[#This Row],[Player]]&amp;Table1[[#This Row],[Week]]&amp;Table1[[#This Row],[Role]],'Google Form Transform'!$A:$A,'Google Form Transform'!F:F,"")</f>
        <v/>
      </c>
      <c r="F311" t="str">
        <f>_xlfn.XLOOKUP(Table1[[#This Row],[Player]]&amp;Table1[[#This Row],[Week]]&amp;Table1[[#This Row],[Role]],'Google Form Transform'!$A:$A,'Google Form Transform'!G:G,"")</f>
        <v/>
      </c>
      <c r="G311" s="59">
        <f>SUMIFS(Table2[Stat],Table2[Stat Category],"passing",Table2[Stat Type],"YDS",Table2[Athlete],Table1[[#This Row],[Pick]],Table2[Week],Table1[[#This Row],[Week]])</f>
        <v>0</v>
      </c>
      <c r="H311" s="59">
        <f>SUMIFS(Table2[Stat],Table2[Stat Category],"rushing",Table2[Stat Type],"YDS",Table2[Athlete],Table1[[#This Row],[Pick]],Table2[Week],Table1[[#This Row],[Week]])</f>
        <v>0</v>
      </c>
      <c r="I311" s="59">
        <f>SUMIFS(Table2[Stat],Table2[Stat Category],"receiving",Table2[Stat Type],"YDS",Table2[Athlete],Table1[[#This Row],[Pick]],Table2[Week],Table1[[#This Row],[Week]])</f>
        <v>0</v>
      </c>
      <c r="J311" s="6">
        <f>IF(AND($C311="Rushing", $H311&lt;=0), 0, IF(AND($C311="Passing", $G$3&lt;=0), 0,IF(AND($C311="Receiving",$I311&lt;=0), 0,SUMIFS(Table2[Stat],Table2[Week],Table1[[#This Row],[Week]],Table2[Athlete],Table1[[#This Row],[Pick]],Table2[Stat Category],"passing",Table2[Stat Type],"TD"))))</f>
        <v>0</v>
      </c>
      <c r="K311" s="6">
        <f>IF(AND($C311="Rushing", $H311&lt;=0), 0, IF(AND($C311="Passing", $G$3&lt;=0), 0,IF(AND($C311="Receiving",$I311&lt;=0),0,SUMIFS(Table2[Stat],Table2[Week],Table1[[#This Row],[Week]],Table2[Athlete],Table1[[#This Row],[Pick]],Table2[Stat Category],"rushing",Table2[Stat Type],"TD"))))</f>
        <v>0</v>
      </c>
      <c r="L311" s="6">
        <f>IF(AND($C311="Rushing", $H311&lt;=0), 0, IF(AND($C311="Passing", $G$3&lt;=0), 0,IF(AND($C311="Receiving",$I311&lt;=0),0,SUMIFS(Table2[Stat],Table2[Week],Table1[[#This Row],[Week]],Table2[Athlete],Table1[[#This Row],[Pick]],Table2[Stat Category],"receiving",Table2[Stat Type],"TD"))))</f>
        <v>0</v>
      </c>
      <c r="M3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1" s="61">
        <f>SUMIFS(Data!$J:$J,Data!$A:$A,Info!$B311,Data!$G:$G,Info!$C311,Data!$I:$I,Info!$D311,Data!$H:$H,"TOT")</f>
        <v>0</v>
      </c>
      <c r="O311" s="61">
        <f>IF(C311="Defensive",SUMIFS(Data!$J:$J,Data!$A:$A,Info!$B311,Data!$I:$I,Info!$D311,Data!$H:$H,"INT"),0)</f>
        <v>0</v>
      </c>
      <c r="P311" s="61">
        <f>IF(Table1[[#This Row],[Role]]="Defensive",SUMIFS(Data!$J:$J,Data!$A:$A,Info!$B311,Data!$I:$I,Info!$D311,Data!$H:$H,$P$1),0)</f>
        <v>0</v>
      </c>
      <c r="Q311" s="65" t="str">
        <f>IF(Table1[[#This Row],[Pick]]="","",IF(S311&gt;1,400,IF(G311="","",IF(C311="Passing",(400-Table1[[#This Row],[Passing Yards]]-(30*Table1[[#This Row],[Passing TDs]])-(50*SUM(Table1[[#This Row],[Rushing TDs]:[Other TD''s]]))),IF(C311="Rushing",2*(200-Table1[[#This Row],[Rushing Yards]]-(30*Table1[[#This Row],[Passing TDs]])-50*(Table1[[#This Row],[Rushing TDs]]+Table1[[#This Row],[Receiving TDs]]+Table1[[#This Row],[Other TD''s]])),IF(C311="Receiving",2*(200-Table1[[#This Row],[Receiving Yards]]-(30*Table1[[#This Row],[Passing TDs]])-50*(Table1[[#This Row],[Rushing TDs]]+Table1[[#This Row],[Receiving TDs]]+Table1[[#This Row],[Other TD''s]])),IF(C311="Defensive",(25*(16-Table1[[#This Row],[Tackles]]-(8*(Table1[[#This Row],[Other TD''s]]+Table1[[#This Row],[Interceptions]]+Table1[[#This Row],[Fumbles Recovered]])))))))))))</f>
        <v/>
      </c>
      <c r="R311" s="3" t="str">
        <f t="shared" si="10"/>
        <v/>
      </c>
      <c r="S311" s="4">
        <f t="shared" si="9"/>
        <v>1048507</v>
      </c>
      <c r="T3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2" spans="1:20" hidden="1" x14ac:dyDescent="0.25">
      <c r="A312" t="s">
        <v>79</v>
      </c>
      <c r="B312" s="28" t="s">
        <v>48</v>
      </c>
      <c r="C312" t="s">
        <v>6</v>
      </c>
      <c r="D312" t="str">
        <f>_xlfn.XLOOKUP(Table1[[#This Row],[Player]]&amp;Table1[[#This Row],[Week]]&amp;Table1[[#This Row],[Role]],'Google Form Transform'!$A:$A,'Google Form Transform'!E:E,"")</f>
        <v/>
      </c>
      <c r="E312" t="str">
        <f>_xlfn.XLOOKUP(Table1[[#This Row],[Player]]&amp;Table1[[#This Row],[Week]]&amp;Table1[[#This Row],[Role]],'Google Form Transform'!$A:$A,'Google Form Transform'!F:F,"")</f>
        <v/>
      </c>
      <c r="F312" t="str">
        <f>_xlfn.XLOOKUP(Table1[[#This Row],[Player]]&amp;Table1[[#This Row],[Week]]&amp;Table1[[#This Row],[Role]],'Google Form Transform'!$A:$A,'Google Form Transform'!G:G,"")</f>
        <v/>
      </c>
      <c r="G312" s="59">
        <f>SUMIFS(Table2[Stat],Table2[Stat Category],"passing",Table2[Stat Type],"YDS",Table2[Athlete],Table1[[#This Row],[Pick]],Table2[Week],Table1[[#This Row],[Week]])</f>
        <v>0</v>
      </c>
      <c r="H312" s="59">
        <f>SUMIFS(Table2[Stat],Table2[Stat Category],"rushing",Table2[Stat Type],"YDS",Table2[Athlete],Table1[[#This Row],[Pick]],Table2[Week],Table1[[#This Row],[Week]])</f>
        <v>0</v>
      </c>
      <c r="I312" s="59">
        <f>SUMIFS(Table2[Stat],Table2[Stat Category],"receiving",Table2[Stat Type],"YDS",Table2[Athlete],Table1[[#This Row],[Pick]],Table2[Week],Table1[[#This Row],[Week]])</f>
        <v>0</v>
      </c>
      <c r="J312" s="6">
        <f>IF(AND($C312="Rushing", $H312&lt;=0), 0, IF(AND($C312="Passing", $G$3&lt;=0), 0,IF(AND($C312="Receiving",$I312&lt;=0), 0,SUMIFS(Table2[Stat],Table2[Week],Table1[[#This Row],[Week]],Table2[Athlete],Table1[[#This Row],[Pick]],Table2[Stat Category],"passing",Table2[Stat Type],"TD"))))</f>
        <v>0</v>
      </c>
      <c r="K312" s="6">
        <f>IF(AND($C312="Rushing", $H312&lt;=0), 0, IF(AND($C312="Passing", $G$3&lt;=0), 0,IF(AND($C312="Receiving",$I312&lt;=0),0,SUMIFS(Table2[Stat],Table2[Week],Table1[[#This Row],[Week]],Table2[Athlete],Table1[[#This Row],[Pick]],Table2[Stat Category],"rushing",Table2[Stat Type],"TD"))))</f>
        <v>0</v>
      </c>
      <c r="L312" s="6">
        <f>IF(AND($C312="Rushing", $H312&lt;=0), 0, IF(AND($C312="Passing", $G$3&lt;=0), 0,IF(AND($C312="Receiving",$I312&lt;=0),0,SUMIFS(Table2[Stat],Table2[Week],Table1[[#This Row],[Week]],Table2[Athlete],Table1[[#This Row],[Pick]],Table2[Stat Category],"receiving",Table2[Stat Type],"TD"))))</f>
        <v>0</v>
      </c>
      <c r="M3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2" s="61">
        <f>SUMIFS(Data!$J:$J,Data!$A:$A,Info!$B312,Data!$G:$G,Info!$C312,Data!$I:$I,Info!$D312,Data!$H:$H,"TOT")</f>
        <v>0</v>
      </c>
      <c r="O312" s="61">
        <f>IF(C312="Defensive",SUMIFS(Data!$J:$J,Data!$A:$A,Info!$B312,Data!$I:$I,Info!$D312,Data!$H:$H,"INT"),0)</f>
        <v>0</v>
      </c>
      <c r="P312" s="61">
        <f>IF(Table1[[#This Row],[Role]]="Defensive",SUMIFS(Data!$J:$J,Data!$A:$A,Info!$B312,Data!$I:$I,Info!$D312,Data!$H:$H,$P$1),0)</f>
        <v>0</v>
      </c>
      <c r="Q312" s="65" t="str">
        <f>IF(Table1[[#This Row],[Pick]]="","",IF(S312&gt;1,400,IF(G312="","",IF(C312="Passing",(400-Table1[[#This Row],[Passing Yards]]-(30*Table1[[#This Row],[Passing TDs]])-(50*SUM(Table1[[#This Row],[Rushing TDs]:[Other TD''s]]))),IF(C312="Rushing",2*(200-Table1[[#This Row],[Rushing Yards]]-(30*Table1[[#This Row],[Passing TDs]])-50*(Table1[[#This Row],[Rushing TDs]]+Table1[[#This Row],[Receiving TDs]]+Table1[[#This Row],[Other TD''s]])),IF(C312="Receiving",2*(200-Table1[[#This Row],[Receiving Yards]]-(30*Table1[[#This Row],[Passing TDs]])-50*(Table1[[#This Row],[Rushing TDs]]+Table1[[#This Row],[Receiving TDs]]+Table1[[#This Row],[Other TD''s]])),IF(C312="Defensive",(25*(16-Table1[[#This Row],[Tackles]]-(8*(Table1[[#This Row],[Other TD''s]]+Table1[[#This Row],[Interceptions]]+Table1[[#This Row],[Fumbles Recovered]])))))))))))</f>
        <v/>
      </c>
      <c r="R312" s="3" t="str">
        <f t="shared" si="10"/>
        <v/>
      </c>
      <c r="S312" s="4">
        <f t="shared" si="9"/>
        <v>1048507</v>
      </c>
      <c r="T3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3" spans="1:20" hidden="1" x14ac:dyDescent="0.25">
      <c r="A313" t="s">
        <v>79</v>
      </c>
      <c r="B313" s="28" t="s">
        <v>48</v>
      </c>
      <c r="C313" t="s">
        <v>17</v>
      </c>
      <c r="D313" t="str">
        <f>_xlfn.XLOOKUP(Table1[[#This Row],[Player]]&amp;Table1[[#This Row],[Week]]&amp;Table1[[#This Row],[Role]],'Google Form Transform'!$A:$A,'Google Form Transform'!E:E,"")</f>
        <v/>
      </c>
      <c r="E313" t="str">
        <f>_xlfn.XLOOKUP(Table1[[#This Row],[Player]]&amp;Table1[[#This Row],[Week]]&amp;Table1[[#This Row],[Role]],'Google Form Transform'!$A:$A,'Google Form Transform'!F:F,"")</f>
        <v/>
      </c>
      <c r="F313" t="str">
        <f>_xlfn.XLOOKUP(Table1[[#This Row],[Player]]&amp;Table1[[#This Row],[Week]]&amp;Table1[[#This Row],[Role]],'Google Form Transform'!$A:$A,'Google Form Transform'!G:G,"")</f>
        <v/>
      </c>
      <c r="G313" s="59">
        <f>SUMIFS(Table2[Stat],Table2[Stat Category],"passing",Table2[Stat Type],"YDS",Table2[Athlete],Table1[[#This Row],[Pick]],Table2[Week],Table1[[#This Row],[Week]])</f>
        <v>0</v>
      </c>
      <c r="H313" s="59">
        <f>SUMIFS(Table2[Stat],Table2[Stat Category],"rushing",Table2[Stat Type],"YDS",Table2[Athlete],Table1[[#This Row],[Pick]],Table2[Week],Table1[[#This Row],[Week]])</f>
        <v>0</v>
      </c>
      <c r="I313" s="59">
        <f>SUMIFS(Table2[Stat],Table2[Stat Category],"receiving",Table2[Stat Type],"YDS",Table2[Athlete],Table1[[#This Row],[Pick]],Table2[Week],Table1[[#This Row],[Week]])</f>
        <v>0</v>
      </c>
      <c r="J313" s="6">
        <f>IF(AND($C313="Rushing", $H313&lt;=0), 0, IF(AND($C313="Passing", $G$3&lt;=0), 0,IF(AND($C313="Receiving",$I313&lt;=0), 0,SUMIFS(Table2[Stat],Table2[Week],Table1[[#This Row],[Week]],Table2[Athlete],Table1[[#This Row],[Pick]],Table2[Stat Category],"passing",Table2[Stat Type],"TD"))))</f>
        <v>0</v>
      </c>
      <c r="K313" s="6">
        <f>IF(AND($C313="Rushing", $H313&lt;=0), 0, IF(AND($C313="Passing", $G$3&lt;=0), 0,IF(AND($C313="Receiving",$I313&lt;=0),0,SUMIFS(Table2[Stat],Table2[Week],Table1[[#This Row],[Week]],Table2[Athlete],Table1[[#This Row],[Pick]],Table2[Stat Category],"rushing",Table2[Stat Type],"TD"))))</f>
        <v>0</v>
      </c>
      <c r="L313" s="6">
        <f>IF(AND($C313="Rushing", $H313&lt;=0), 0, IF(AND($C313="Passing", $G$3&lt;=0), 0,IF(AND($C313="Receiving",$I313&lt;=0),0,SUMIFS(Table2[Stat],Table2[Week],Table1[[#This Row],[Week]],Table2[Athlete],Table1[[#This Row],[Pick]],Table2[Stat Category],"receiving",Table2[Stat Type],"TD"))))</f>
        <v>0</v>
      </c>
      <c r="M3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3" s="61">
        <f>SUMIFS(Data!$J:$J,Data!$A:$A,Info!$B313,Data!$G:$G,Info!$C313,Data!$I:$I,Info!$D313,Data!$H:$H,"TOT")</f>
        <v>0</v>
      </c>
      <c r="O313" s="61">
        <f>IF(C313="Defensive",SUMIFS(Data!$J:$J,Data!$A:$A,Info!$B313,Data!$I:$I,Info!$D313,Data!$H:$H,"INT"),0)</f>
        <v>0</v>
      </c>
      <c r="P313" s="61">
        <f>IF(Table1[[#This Row],[Role]]="Defensive",SUMIFS(Data!$J:$J,Data!$A:$A,Info!$B313,Data!$I:$I,Info!$D313,Data!$H:$H,$P$1),0)</f>
        <v>0</v>
      </c>
      <c r="Q313" s="65" t="str">
        <f>IF(Table1[[#This Row],[Pick]]="","",IF(S313&gt;1,400,IF(G313="","",IF(C313="Passing",(400-Table1[[#This Row],[Passing Yards]]-(30*Table1[[#This Row],[Passing TDs]])-(50*SUM(Table1[[#This Row],[Rushing TDs]:[Other TD''s]]))),IF(C313="Rushing",2*(200-Table1[[#This Row],[Rushing Yards]]-(30*Table1[[#This Row],[Passing TDs]])-50*(Table1[[#This Row],[Rushing TDs]]+Table1[[#This Row],[Receiving TDs]]+Table1[[#This Row],[Other TD''s]])),IF(C313="Receiving",2*(200-Table1[[#This Row],[Receiving Yards]]-(30*Table1[[#This Row],[Passing TDs]])-50*(Table1[[#This Row],[Rushing TDs]]+Table1[[#This Row],[Receiving TDs]]+Table1[[#This Row],[Other TD''s]])),IF(C313="Defensive",(25*(16-Table1[[#This Row],[Tackles]]-(8*(Table1[[#This Row],[Other TD''s]]+Table1[[#This Row],[Interceptions]]+Table1[[#This Row],[Fumbles Recovered]])))))))))))</f>
        <v/>
      </c>
      <c r="R313" s="3" t="str">
        <f t="shared" si="10"/>
        <v/>
      </c>
      <c r="S313" s="4">
        <f t="shared" si="9"/>
        <v>1048507</v>
      </c>
      <c r="T3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4" spans="1:20" hidden="1" x14ac:dyDescent="0.25">
      <c r="A314" t="s">
        <v>79</v>
      </c>
      <c r="B314" s="28" t="s">
        <v>48</v>
      </c>
      <c r="C314" t="s">
        <v>20</v>
      </c>
      <c r="D314" t="str">
        <f>_xlfn.XLOOKUP(Table1[[#This Row],[Player]]&amp;Table1[[#This Row],[Week]]&amp;Table1[[#This Row],[Role]],'Google Form Transform'!$A:$A,'Google Form Transform'!E:E,"")</f>
        <v/>
      </c>
      <c r="E314" t="str">
        <f>_xlfn.XLOOKUP(Table1[[#This Row],[Player]]&amp;Table1[[#This Row],[Week]]&amp;Table1[[#This Row],[Role]],'Google Form Transform'!$A:$A,'Google Form Transform'!F:F,"")</f>
        <v/>
      </c>
      <c r="F314" t="str">
        <f>_xlfn.XLOOKUP(Table1[[#This Row],[Player]]&amp;Table1[[#This Row],[Week]]&amp;Table1[[#This Row],[Role]],'Google Form Transform'!$A:$A,'Google Form Transform'!G:G,"")</f>
        <v/>
      </c>
      <c r="G314" s="59">
        <f>SUMIFS(Table2[Stat],Table2[Stat Category],"passing",Table2[Stat Type],"YDS",Table2[Athlete],Table1[[#This Row],[Pick]],Table2[Week],Table1[[#This Row],[Week]])</f>
        <v>0</v>
      </c>
      <c r="H314" s="59">
        <f>SUMIFS(Table2[Stat],Table2[Stat Category],"rushing",Table2[Stat Type],"YDS",Table2[Athlete],Table1[[#This Row],[Pick]],Table2[Week],Table1[[#This Row],[Week]])</f>
        <v>0</v>
      </c>
      <c r="I314" s="59">
        <f>SUMIFS(Table2[Stat],Table2[Stat Category],"receiving",Table2[Stat Type],"YDS",Table2[Athlete],Table1[[#This Row],[Pick]],Table2[Week],Table1[[#This Row],[Week]])</f>
        <v>0</v>
      </c>
      <c r="J314" s="6">
        <f>IF(AND($C314="Rushing", $H314&lt;=0), 0, IF(AND($C314="Passing", $G$3&lt;=0), 0,IF(AND($C314="Receiving",$I314&lt;=0), 0,SUMIFS(Table2[Stat],Table2[Week],Table1[[#This Row],[Week]],Table2[Athlete],Table1[[#This Row],[Pick]],Table2[Stat Category],"passing",Table2[Stat Type],"TD"))))</f>
        <v>0</v>
      </c>
      <c r="K314" s="6">
        <f>IF(AND($C314="Rushing", $H314&lt;=0), 0, IF(AND($C314="Passing", $G$3&lt;=0), 0,IF(AND($C314="Receiving",$I314&lt;=0),0,SUMIFS(Table2[Stat],Table2[Week],Table1[[#This Row],[Week]],Table2[Athlete],Table1[[#This Row],[Pick]],Table2[Stat Category],"rushing",Table2[Stat Type],"TD"))))</f>
        <v>0</v>
      </c>
      <c r="L314" s="6">
        <f>IF(AND($C314="Rushing", $H314&lt;=0), 0, IF(AND($C314="Passing", $G$3&lt;=0), 0,IF(AND($C314="Receiving",$I314&lt;=0),0,SUMIFS(Table2[Stat],Table2[Week],Table1[[#This Row],[Week]],Table2[Athlete],Table1[[#This Row],[Pick]],Table2[Stat Category],"receiving",Table2[Stat Type],"TD"))))</f>
        <v>0</v>
      </c>
      <c r="M3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4" s="61">
        <f>SUMIFS(Data!$J:$J,Data!$A:$A,Info!$B314,Data!$G:$G,Info!$C314,Data!$I:$I,Info!$D314,Data!$H:$H,"TOT")</f>
        <v>0</v>
      </c>
      <c r="O314" s="61">
        <f>IF(C314="Defensive",SUMIFS(Data!$J:$J,Data!$A:$A,Info!$B314,Data!$I:$I,Info!$D314,Data!$H:$H,"INT"),0)</f>
        <v>0</v>
      </c>
      <c r="P314" s="61">
        <f>IF(Table1[[#This Row],[Role]]="Defensive",SUMIFS(Data!$J:$J,Data!$A:$A,Info!$B314,Data!$I:$I,Info!$D314,Data!$H:$H,$P$1),0)</f>
        <v>0</v>
      </c>
      <c r="Q314" s="65" t="str">
        <f>IF(Table1[[#This Row],[Pick]]="","",IF(S314&gt;1,400,IF(G314="","",IF(C314="Passing",(400-Table1[[#This Row],[Passing Yards]]-(30*Table1[[#This Row],[Passing TDs]])-(50*SUM(Table1[[#This Row],[Rushing TDs]:[Other TD''s]]))),IF(C314="Rushing",2*(200-Table1[[#This Row],[Rushing Yards]]-(30*Table1[[#This Row],[Passing TDs]])-50*(Table1[[#This Row],[Rushing TDs]]+Table1[[#This Row],[Receiving TDs]]+Table1[[#This Row],[Other TD''s]])),IF(C314="Receiving",2*(200-Table1[[#This Row],[Receiving Yards]]-(30*Table1[[#This Row],[Passing TDs]])-50*(Table1[[#This Row],[Rushing TDs]]+Table1[[#This Row],[Receiving TDs]]+Table1[[#This Row],[Other TD''s]])),IF(C314="Defensive",(25*(16-Table1[[#This Row],[Tackles]]-(8*(Table1[[#This Row],[Other TD''s]]+Table1[[#This Row],[Interceptions]]+Table1[[#This Row],[Fumbles Recovered]])))))))))))</f>
        <v/>
      </c>
      <c r="R314" s="3" t="str">
        <f t="shared" si="10"/>
        <v/>
      </c>
      <c r="S314" s="4">
        <f t="shared" si="9"/>
        <v>1048507</v>
      </c>
      <c r="T3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5" spans="1:20" hidden="1" x14ac:dyDescent="0.25">
      <c r="A315" t="s">
        <v>58</v>
      </c>
      <c r="B315" s="28" t="s">
        <v>48</v>
      </c>
      <c r="C315" t="s">
        <v>16</v>
      </c>
      <c r="D315" t="str">
        <f>_xlfn.XLOOKUP(Table1[[#This Row],[Player]]&amp;Table1[[#This Row],[Week]]&amp;Table1[[#This Row],[Role]],'Google Form Transform'!$A:$A,'Google Form Transform'!E:E,"")</f>
        <v/>
      </c>
      <c r="E315" t="str">
        <f>_xlfn.XLOOKUP(Table1[[#This Row],[Player]]&amp;Table1[[#This Row],[Week]]&amp;Table1[[#This Row],[Role]],'Google Form Transform'!$A:$A,'Google Form Transform'!F:F,"")</f>
        <v/>
      </c>
      <c r="F315" t="str">
        <f>_xlfn.XLOOKUP(Table1[[#This Row],[Player]]&amp;Table1[[#This Row],[Week]]&amp;Table1[[#This Row],[Role]],'Google Form Transform'!$A:$A,'Google Form Transform'!G:G,"")</f>
        <v/>
      </c>
      <c r="G315" s="59">
        <f>SUMIFS(Table2[Stat],Table2[Stat Category],"passing",Table2[Stat Type],"YDS",Table2[Athlete],Table1[[#This Row],[Pick]],Table2[Week],Table1[[#This Row],[Week]])</f>
        <v>0</v>
      </c>
      <c r="H315" s="59">
        <f>SUMIFS(Table2[Stat],Table2[Stat Category],"rushing",Table2[Stat Type],"YDS",Table2[Athlete],Table1[[#This Row],[Pick]],Table2[Week],Table1[[#This Row],[Week]])</f>
        <v>0</v>
      </c>
      <c r="I315" s="59">
        <f>SUMIFS(Table2[Stat],Table2[Stat Category],"receiving",Table2[Stat Type],"YDS",Table2[Athlete],Table1[[#This Row],[Pick]],Table2[Week],Table1[[#This Row],[Week]])</f>
        <v>0</v>
      </c>
      <c r="J315" s="6">
        <f>IF(AND($C315="Rushing", $H315&lt;=0), 0, IF(AND($C315="Passing", $G$3&lt;=0), 0,IF(AND($C315="Receiving",$I315&lt;=0), 0,SUMIFS(Table2[Stat],Table2[Week],Table1[[#This Row],[Week]],Table2[Athlete],Table1[[#This Row],[Pick]],Table2[Stat Category],"passing",Table2[Stat Type],"TD"))))</f>
        <v>0</v>
      </c>
      <c r="K315" s="6">
        <f>IF(AND($C315="Rushing", $H315&lt;=0), 0, IF(AND($C315="Passing", $G$3&lt;=0), 0,IF(AND($C315="Receiving",$I315&lt;=0),0,SUMIFS(Table2[Stat],Table2[Week],Table1[[#This Row],[Week]],Table2[Athlete],Table1[[#This Row],[Pick]],Table2[Stat Category],"rushing",Table2[Stat Type],"TD"))))</f>
        <v>0</v>
      </c>
      <c r="L315" s="6">
        <f>IF(AND($C315="Rushing", $H315&lt;=0), 0, IF(AND($C315="Passing", $G$3&lt;=0), 0,IF(AND($C315="Receiving",$I315&lt;=0),0,SUMIFS(Table2[Stat],Table2[Week],Table1[[#This Row],[Week]],Table2[Athlete],Table1[[#This Row],[Pick]],Table2[Stat Category],"receiving",Table2[Stat Type],"TD"))))</f>
        <v>0</v>
      </c>
      <c r="M3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5" s="61">
        <f>SUMIFS(Data!$J:$J,Data!$A:$A,Info!$B315,Data!$G:$G,Info!$C315,Data!$I:$I,Info!$D315,Data!$H:$H,"TOT")</f>
        <v>0</v>
      </c>
      <c r="O315" s="61">
        <f>IF(C315="Defensive",SUMIFS(Data!$J:$J,Data!$A:$A,Info!$B315,Data!$I:$I,Info!$D315,Data!$H:$H,"INT"),0)</f>
        <v>0</v>
      </c>
      <c r="P315" s="61">
        <f>IF(Table1[[#This Row],[Role]]="Defensive",SUMIFS(Data!$J:$J,Data!$A:$A,Info!$B315,Data!$I:$I,Info!$D315,Data!$H:$H,$P$1),0)</f>
        <v>0</v>
      </c>
      <c r="Q315" s="65" t="str">
        <f>IF(Table1[[#This Row],[Pick]]="","",IF(S315&gt;1,400,IF(G315="","",IF(C315="Passing",(400-Table1[[#This Row],[Passing Yards]]-(30*Table1[[#This Row],[Passing TDs]])-(50*SUM(Table1[[#This Row],[Rushing TDs]:[Other TD''s]]))),IF(C315="Rushing",2*(200-Table1[[#This Row],[Rushing Yards]]-(30*Table1[[#This Row],[Passing TDs]])-50*(Table1[[#This Row],[Rushing TDs]]+Table1[[#This Row],[Receiving TDs]]+Table1[[#This Row],[Other TD''s]])),IF(C315="Receiving",2*(200-Table1[[#This Row],[Receiving Yards]]-(30*Table1[[#This Row],[Passing TDs]])-50*(Table1[[#This Row],[Rushing TDs]]+Table1[[#This Row],[Receiving TDs]]+Table1[[#This Row],[Other TD''s]])),IF(C315="Defensive",(25*(16-Table1[[#This Row],[Tackles]]-(8*(Table1[[#This Row],[Other TD''s]]+Table1[[#This Row],[Interceptions]]+Table1[[#This Row],[Fumbles Recovered]])))))))))))</f>
        <v/>
      </c>
      <c r="R315" s="3" t="str">
        <f t="shared" si="10"/>
        <v/>
      </c>
      <c r="S315" s="4">
        <f t="shared" si="9"/>
        <v>1048507</v>
      </c>
      <c r="T3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6" spans="1:20" hidden="1" x14ac:dyDescent="0.25">
      <c r="A316" t="s">
        <v>58</v>
      </c>
      <c r="B316" s="28" t="s">
        <v>48</v>
      </c>
      <c r="C316" t="s">
        <v>6</v>
      </c>
      <c r="D316" t="str">
        <f>_xlfn.XLOOKUP(Table1[[#This Row],[Player]]&amp;Table1[[#This Row],[Week]]&amp;Table1[[#This Row],[Role]],'Google Form Transform'!$A:$A,'Google Form Transform'!E:E,"")</f>
        <v/>
      </c>
      <c r="E316" t="str">
        <f>_xlfn.XLOOKUP(Table1[[#This Row],[Player]]&amp;Table1[[#This Row],[Week]]&amp;Table1[[#This Row],[Role]],'Google Form Transform'!$A:$A,'Google Form Transform'!F:F,"")</f>
        <v/>
      </c>
      <c r="F316" t="str">
        <f>_xlfn.XLOOKUP(Table1[[#This Row],[Player]]&amp;Table1[[#This Row],[Week]]&amp;Table1[[#This Row],[Role]],'Google Form Transform'!$A:$A,'Google Form Transform'!G:G,"")</f>
        <v/>
      </c>
      <c r="G316" s="59">
        <f>SUMIFS(Table2[Stat],Table2[Stat Category],"passing",Table2[Stat Type],"YDS",Table2[Athlete],Table1[[#This Row],[Pick]],Table2[Week],Table1[[#This Row],[Week]])</f>
        <v>0</v>
      </c>
      <c r="H316" s="59">
        <f>SUMIFS(Table2[Stat],Table2[Stat Category],"rushing",Table2[Stat Type],"YDS",Table2[Athlete],Table1[[#This Row],[Pick]],Table2[Week],Table1[[#This Row],[Week]])</f>
        <v>0</v>
      </c>
      <c r="I316" s="59">
        <f>SUMIFS(Table2[Stat],Table2[Stat Category],"receiving",Table2[Stat Type],"YDS",Table2[Athlete],Table1[[#This Row],[Pick]],Table2[Week],Table1[[#This Row],[Week]])</f>
        <v>0</v>
      </c>
      <c r="J316" s="6">
        <f>IF(AND($C316="Rushing", $H316&lt;=0), 0, IF(AND($C316="Passing", $G$3&lt;=0), 0,IF(AND($C316="Receiving",$I316&lt;=0), 0,SUMIFS(Table2[Stat],Table2[Week],Table1[[#This Row],[Week]],Table2[Athlete],Table1[[#This Row],[Pick]],Table2[Stat Category],"passing",Table2[Stat Type],"TD"))))</f>
        <v>0</v>
      </c>
      <c r="K316" s="6">
        <f>IF(AND($C316="Rushing", $H316&lt;=0), 0, IF(AND($C316="Passing", $G$3&lt;=0), 0,IF(AND($C316="Receiving",$I316&lt;=0),0,SUMIFS(Table2[Stat],Table2[Week],Table1[[#This Row],[Week]],Table2[Athlete],Table1[[#This Row],[Pick]],Table2[Stat Category],"rushing",Table2[Stat Type],"TD"))))</f>
        <v>0</v>
      </c>
      <c r="L316" s="6">
        <f>IF(AND($C316="Rushing", $H316&lt;=0), 0, IF(AND($C316="Passing", $G$3&lt;=0), 0,IF(AND($C316="Receiving",$I316&lt;=0),0,SUMIFS(Table2[Stat],Table2[Week],Table1[[#This Row],[Week]],Table2[Athlete],Table1[[#This Row],[Pick]],Table2[Stat Category],"receiving",Table2[Stat Type],"TD"))))</f>
        <v>0</v>
      </c>
      <c r="M3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6" s="61">
        <f>SUMIFS(Data!$J:$J,Data!$A:$A,Info!$B316,Data!$G:$G,Info!$C316,Data!$I:$I,Info!$D316,Data!$H:$H,"TOT")</f>
        <v>0</v>
      </c>
      <c r="O316" s="61">
        <f>IF(C316="Defensive",SUMIFS(Data!$J:$J,Data!$A:$A,Info!$B316,Data!$I:$I,Info!$D316,Data!$H:$H,"INT"),0)</f>
        <v>0</v>
      </c>
      <c r="P316" s="61">
        <f>IF(Table1[[#This Row],[Role]]="Defensive",SUMIFS(Data!$J:$J,Data!$A:$A,Info!$B316,Data!$I:$I,Info!$D316,Data!$H:$H,$P$1),0)</f>
        <v>0</v>
      </c>
      <c r="Q316" s="65" t="str">
        <f>IF(Table1[[#This Row],[Pick]]="","",IF(S316&gt;1,400,IF(G316="","",IF(C316="Passing",(400-Table1[[#This Row],[Passing Yards]]-(30*Table1[[#This Row],[Passing TDs]])-(50*SUM(Table1[[#This Row],[Rushing TDs]:[Other TD''s]]))),IF(C316="Rushing",2*(200-Table1[[#This Row],[Rushing Yards]]-(30*Table1[[#This Row],[Passing TDs]])-50*(Table1[[#This Row],[Rushing TDs]]+Table1[[#This Row],[Receiving TDs]]+Table1[[#This Row],[Other TD''s]])),IF(C316="Receiving",2*(200-Table1[[#This Row],[Receiving Yards]]-(30*Table1[[#This Row],[Passing TDs]])-50*(Table1[[#This Row],[Rushing TDs]]+Table1[[#This Row],[Receiving TDs]]+Table1[[#This Row],[Other TD''s]])),IF(C316="Defensive",(25*(16-Table1[[#This Row],[Tackles]]-(8*(Table1[[#This Row],[Other TD''s]]+Table1[[#This Row],[Interceptions]]+Table1[[#This Row],[Fumbles Recovered]])))))))))))</f>
        <v/>
      </c>
      <c r="R316" s="3" t="str">
        <f t="shared" si="10"/>
        <v/>
      </c>
      <c r="S316" s="4">
        <f t="shared" si="9"/>
        <v>1048507</v>
      </c>
      <c r="T3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7" spans="1:20" hidden="1" x14ac:dyDescent="0.25">
      <c r="A317" t="s">
        <v>58</v>
      </c>
      <c r="B317" s="28" t="s">
        <v>48</v>
      </c>
      <c r="C317" t="s">
        <v>17</v>
      </c>
      <c r="D317" t="str">
        <f>_xlfn.XLOOKUP(Table1[[#This Row],[Player]]&amp;Table1[[#This Row],[Week]]&amp;Table1[[#This Row],[Role]],'Google Form Transform'!$A:$A,'Google Form Transform'!E:E,"")</f>
        <v/>
      </c>
      <c r="E317" t="str">
        <f>_xlfn.XLOOKUP(Table1[[#This Row],[Player]]&amp;Table1[[#This Row],[Week]]&amp;Table1[[#This Row],[Role]],'Google Form Transform'!$A:$A,'Google Form Transform'!F:F,"")</f>
        <v/>
      </c>
      <c r="F317" t="str">
        <f>_xlfn.XLOOKUP(Table1[[#This Row],[Player]]&amp;Table1[[#This Row],[Week]]&amp;Table1[[#This Row],[Role]],'Google Form Transform'!$A:$A,'Google Form Transform'!G:G,"")</f>
        <v/>
      </c>
      <c r="G317" s="59">
        <f>SUMIFS(Table2[Stat],Table2[Stat Category],"passing",Table2[Stat Type],"YDS",Table2[Athlete],Table1[[#This Row],[Pick]],Table2[Week],Table1[[#This Row],[Week]])</f>
        <v>0</v>
      </c>
      <c r="H317" s="59">
        <f>SUMIFS(Table2[Stat],Table2[Stat Category],"rushing",Table2[Stat Type],"YDS",Table2[Athlete],Table1[[#This Row],[Pick]],Table2[Week],Table1[[#This Row],[Week]])</f>
        <v>0</v>
      </c>
      <c r="I317" s="59">
        <f>SUMIFS(Table2[Stat],Table2[Stat Category],"receiving",Table2[Stat Type],"YDS",Table2[Athlete],Table1[[#This Row],[Pick]],Table2[Week],Table1[[#This Row],[Week]])</f>
        <v>0</v>
      </c>
      <c r="J317" s="6">
        <f>IF(AND($C317="Rushing", $H317&lt;=0), 0, IF(AND($C317="Passing", $G$3&lt;=0), 0,IF(AND($C317="Receiving",$I317&lt;=0), 0,SUMIFS(Table2[Stat],Table2[Week],Table1[[#This Row],[Week]],Table2[Athlete],Table1[[#This Row],[Pick]],Table2[Stat Category],"passing",Table2[Stat Type],"TD"))))</f>
        <v>0</v>
      </c>
      <c r="K317" s="6">
        <f>IF(AND($C317="Rushing", $H317&lt;=0), 0, IF(AND($C317="Passing", $G$3&lt;=0), 0,IF(AND($C317="Receiving",$I317&lt;=0),0,SUMIFS(Table2[Stat],Table2[Week],Table1[[#This Row],[Week]],Table2[Athlete],Table1[[#This Row],[Pick]],Table2[Stat Category],"rushing",Table2[Stat Type],"TD"))))</f>
        <v>0</v>
      </c>
      <c r="L317" s="6">
        <f>IF(AND($C317="Rushing", $H317&lt;=0), 0, IF(AND($C317="Passing", $G$3&lt;=0), 0,IF(AND($C317="Receiving",$I317&lt;=0),0,SUMIFS(Table2[Stat],Table2[Week],Table1[[#This Row],[Week]],Table2[Athlete],Table1[[#This Row],[Pick]],Table2[Stat Category],"receiving",Table2[Stat Type],"TD"))))</f>
        <v>0</v>
      </c>
      <c r="M3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7" s="61">
        <f>SUMIFS(Data!$J:$J,Data!$A:$A,Info!$B317,Data!$G:$G,Info!$C317,Data!$I:$I,Info!$D317,Data!$H:$H,"TOT")</f>
        <v>0</v>
      </c>
      <c r="O317" s="61">
        <f>IF(C317="Defensive",SUMIFS(Data!$J:$J,Data!$A:$A,Info!$B317,Data!$I:$I,Info!$D317,Data!$H:$H,"INT"),0)</f>
        <v>0</v>
      </c>
      <c r="P317" s="61">
        <f>IF(Table1[[#This Row],[Role]]="Defensive",SUMIFS(Data!$J:$J,Data!$A:$A,Info!$B317,Data!$I:$I,Info!$D317,Data!$H:$H,$P$1),0)</f>
        <v>0</v>
      </c>
      <c r="Q317" s="65" t="str">
        <f>IF(Table1[[#This Row],[Pick]]="","",IF(S317&gt;1,400,IF(G317="","",IF(C317="Passing",(400-Table1[[#This Row],[Passing Yards]]-(30*Table1[[#This Row],[Passing TDs]])-(50*SUM(Table1[[#This Row],[Rushing TDs]:[Other TD''s]]))),IF(C317="Rushing",2*(200-Table1[[#This Row],[Rushing Yards]]-(30*Table1[[#This Row],[Passing TDs]])-50*(Table1[[#This Row],[Rushing TDs]]+Table1[[#This Row],[Receiving TDs]]+Table1[[#This Row],[Other TD''s]])),IF(C317="Receiving",2*(200-Table1[[#This Row],[Receiving Yards]]-(30*Table1[[#This Row],[Passing TDs]])-50*(Table1[[#This Row],[Rushing TDs]]+Table1[[#This Row],[Receiving TDs]]+Table1[[#This Row],[Other TD''s]])),IF(C317="Defensive",(25*(16-Table1[[#This Row],[Tackles]]-(8*(Table1[[#This Row],[Other TD''s]]+Table1[[#This Row],[Interceptions]]+Table1[[#This Row],[Fumbles Recovered]])))))))))))</f>
        <v/>
      </c>
      <c r="R317" s="3" t="str">
        <f t="shared" si="10"/>
        <v/>
      </c>
      <c r="S317" s="4">
        <f t="shared" si="9"/>
        <v>1048507</v>
      </c>
      <c r="T3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8" spans="1:20" hidden="1" x14ac:dyDescent="0.25">
      <c r="A318" t="s">
        <v>58</v>
      </c>
      <c r="B318" s="28" t="s">
        <v>48</v>
      </c>
      <c r="C318" t="s">
        <v>20</v>
      </c>
      <c r="D318" t="str">
        <f>_xlfn.XLOOKUP(Table1[[#This Row],[Player]]&amp;Table1[[#This Row],[Week]]&amp;Table1[[#This Row],[Role]],'Google Form Transform'!$A:$A,'Google Form Transform'!E:E,"")</f>
        <v/>
      </c>
      <c r="E318" t="str">
        <f>_xlfn.XLOOKUP(Table1[[#This Row],[Player]]&amp;Table1[[#This Row],[Week]]&amp;Table1[[#This Row],[Role]],'Google Form Transform'!$A:$A,'Google Form Transform'!F:F,"")</f>
        <v/>
      </c>
      <c r="F318" t="str">
        <f>_xlfn.XLOOKUP(Table1[[#This Row],[Player]]&amp;Table1[[#This Row],[Week]]&amp;Table1[[#This Row],[Role]],'Google Form Transform'!$A:$A,'Google Form Transform'!G:G,"")</f>
        <v/>
      </c>
      <c r="G318" s="59">
        <f>SUMIFS(Table2[Stat],Table2[Stat Category],"passing",Table2[Stat Type],"YDS",Table2[Athlete],Table1[[#This Row],[Pick]],Table2[Week],Table1[[#This Row],[Week]])</f>
        <v>0</v>
      </c>
      <c r="H318" s="59">
        <f>SUMIFS(Table2[Stat],Table2[Stat Category],"rushing",Table2[Stat Type],"YDS",Table2[Athlete],Table1[[#This Row],[Pick]],Table2[Week],Table1[[#This Row],[Week]])</f>
        <v>0</v>
      </c>
      <c r="I318" s="59">
        <f>SUMIFS(Table2[Stat],Table2[Stat Category],"receiving",Table2[Stat Type],"YDS",Table2[Athlete],Table1[[#This Row],[Pick]],Table2[Week],Table1[[#This Row],[Week]])</f>
        <v>0</v>
      </c>
      <c r="J318" s="6">
        <f>IF(AND($C318="Rushing", $H318&lt;=0), 0, IF(AND($C318="Passing", $G$3&lt;=0), 0,IF(AND($C318="Receiving",$I318&lt;=0), 0,SUMIFS(Table2[Stat],Table2[Week],Table1[[#This Row],[Week]],Table2[Athlete],Table1[[#This Row],[Pick]],Table2[Stat Category],"passing",Table2[Stat Type],"TD"))))</f>
        <v>0</v>
      </c>
      <c r="K318" s="6">
        <f>IF(AND($C318="Rushing", $H318&lt;=0), 0, IF(AND($C318="Passing", $G$3&lt;=0), 0,IF(AND($C318="Receiving",$I318&lt;=0),0,SUMIFS(Table2[Stat],Table2[Week],Table1[[#This Row],[Week]],Table2[Athlete],Table1[[#This Row],[Pick]],Table2[Stat Category],"rushing",Table2[Stat Type],"TD"))))</f>
        <v>0</v>
      </c>
      <c r="L318" s="6">
        <f>IF(AND($C318="Rushing", $H318&lt;=0), 0, IF(AND($C318="Passing", $G$3&lt;=0), 0,IF(AND($C318="Receiving",$I318&lt;=0),0,SUMIFS(Table2[Stat],Table2[Week],Table1[[#This Row],[Week]],Table2[Athlete],Table1[[#This Row],[Pick]],Table2[Stat Category],"receiving",Table2[Stat Type],"TD"))))</f>
        <v>0</v>
      </c>
      <c r="M3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8" s="61">
        <f>SUMIFS(Data!$J:$J,Data!$A:$A,Info!$B318,Data!$G:$G,Info!$C318,Data!$I:$I,Info!$D318,Data!$H:$H,"TOT")</f>
        <v>0</v>
      </c>
      <c r="O318" s="61">
        <f>IF(C318="Defensive",SUMIFS(Data!$J:$J,Data!$A:$A,Info!$B318,Data!$I:$I,Info!$D318,Data!$H:$H,"INT"),0)</f>
        <v>0</v>
      </c>
      <c r="P318" s="61">
        <f>IF(Table1[[#This Row],[Role]]="Defensive",SUMIFS(Data!$J:$J,Data!$A:$A,Info!$B318,Data!$I:$I,Info!$D318,Data!$H:$H,$P$1),0)</f>
        <v>0</v>
      </c>
      <c r="Q318" s="65" t="str">
        <f>IF(Table1[[#This Row],[Pick]]="","",IF(S318&gt;1,400,IF(G318="","",IF(C318="Passing",(400-Table1[[#This Row],[Passing Yards]]-(30*Table1[[#This Row],[Passing TDs]])-(50*SUM(Table1[[#This Row],[Rushing TDs]:[Other TD''s]]))),IF(C318="Rushing",2*(200-Table1[[#This Row],[Rushing Yards]]-(30*Table1[[#This Row],[Passing TDs]])-50*(Table1[[#This Row],[Rushing TDs]]+Table1[[#This Row],[Receiving TDs]]+Table1[[#This Row],[Other TD''s]])),IF(C318="Receiving",2*(200-Table1[[#This Row],[Receiving Yards]]-(30*Table1[[#This Row],[Passing TDs]])-50*(Table1[[#This Row],[Rushing TDs]]+Table1[[#This Row],[Receiving TDs]]+Table1[[#This Row],[Other TD''s]])),IF(C318="Defensive",(25*(16-Table1[[#This Row],[Tackles]]-(8*(Table1[[#This Row],[Other TD''s]]+Table1[[#This Row],[Interceptions]]+Table1[[#This Row],[Fumbles Recovered]])))))))))))</f>
        <v/>
      </c>
      <c r="R318" s="3" t="str">
        <f t="shared" si="10"/>
        <v/>
      </c>
      <c r="S318" s="4">
        <f t="shared" si="9"/>
        <v>1048507</v>
      </c>
      <c r="T3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9" spans="1:20" hidden="1" x14ac:dyDescent="0.25">
      <c r="A319" t="s">
        <v>61</v>
      </c>
      <c r="B319" s="28" t="s">
        <v>48</v>
      </c>
      <c r="C319" t="s">
        <v>16</v>
      </c>
      <c r="D319" t="str">
        <f>_xlfn.XLOOKUP(Table1[[#This Row],[Player]]&amp;Table1[[#This Row],[Week]]&amp;Table1[[#This Row],[Role]],'Google Form Transform'!$A:$A,'Google Form Transform'!E:E,"")</f>
        <v/>
      </c>
      <c r="E319" t="str">
        <f>_xlfn.XLOOKUP(Table1[[#This Row],[Player]]&amp;Table1[[#This Row],[Week]]&amp;Table1[[#This Row],[Role]],'Google Form Transform'!$A:$A,'Google Form Transform'!F:F,"")</f>
        <v/>
      </c>
      <c r="F319" t="str">
        <f>_xlfn.XLOOKUP(Table1[[#This Row],[Player]]&amp;Table1[[#This Row],[Week]]&amp;Table1[[#This Row],[Role]],'Google Form Transform'!$A:$A,'Google Form Transform'!G:G,"")</f>
        <v/>
      </c>
      <c r="G319" s="59">
        <f>SUMIFS(Table2[Stat],Table2[Stat Category],"passing",Table2[Stat Type],"YDS",Table2[Athlete],Table1[[#This Row],[Pick]],Table2[Week],Table1[[#This Row],[Week]])</f>
        <v>0</v>
      </c>
      <c r="H319" s="59">
        <f>SUMIFS(Table2[Stat],Table2[Stat Category],"rushing",Table2[Stat Type],"YDS",Table2[Athlete],Table1[[#This Row],[Pick]],Table2[Week],Table1[[#This Row],[Week]])</f>
        <v>0</v>
      </c>
      <c r="I319" s="59">
        <f>SUMIFS(Table2[Stat],Table2[Stat Category],"receiving",Table2[Stat Type],"YDS",Table2[Athlete],Table1[[#This Row],[Pick]],Table2[Week],Table1[[#This Row],[Week]])</f>
        <v>0</v>
      </c>
      <c r="J319" s="6">
        <f>IF(AND($C319="Rushing", $H319&lt;=0), 0, IF(AND($C319="Passing", $G$3&lt;=0), 0,IF(AND($C319="Receiving",$I319&lt;=0), 0,SUMIFS(Table2[Stat],Table2[Week],Table1[[#This Row],[Week]],Table2[Athlete],Table1[[#This Row],[Pick]],Table2[Stat Category],"passing",Table2[Stat Type],"TD"))))</f>
        <v>0</v>
      </c>
      <c r="K319" s="6">
        <f>IF(AND($C319="Rushing", $H319&lt;=0), 0, IF(AND($C319="Passing", $G$3&lt;=0), 0,IF(AND($C319="Receiving",$I319&lt;=0),0,SUMIFS(Table2[Stat],Table2[Week],Table1[[#This Row],[Week]],Table2[Athlete],Table1[[#This Row],[Pick]],Table2[Stat Category],"rushing",Table2[Stat Type],"TD"))))</f>
        <v>0</v>
      </c>
      <c r="L319" s="6">
        <f>IF(AND($C319="Rushing", $H319&lt;=0), 0, IF(AND($C319="Passing", $G$3&lt;=0), 0,IF(AND($C319="Receiving",$I319&lt;=0),0,SUMIFS(Table2[Stat],Table2[Week],Table1[[#This Row],[Week]],Table2[Athlete],Table1[[#This Row],[Pick]],Table2[Stat Category],"receiving",Table2[Stat Type],"TD"))))</f>
        <v>0</v>
      </c>
      <c r="M3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9" s="61">
        <f>SUMIFS(Data!$J:$J,Data!$A:$A,Info!$B319,Data!$G:$G,Info!$C319,Data!$I:$I,Info!$D319,Data!$H:$H,"TOT")</f>
        <v>0</v>
      </c>
      <c r="O319" s="61">
        <f>IF(C319="Defensive",SUMIFS(Data!$J:$J,Data!$A:$A,Info!$B319,Data!$I:$I,Info!$D319,Data!$H:$H,"INT"),0)</f>
        <v>0</v>
      </c>
      <c r="P319" s="61">
        <f>IF(Table1[[#This Row],[Role]]="Defensive",SUMIFS(Data!$J:$J,Data!$A:$A,Info!$B319,Data!$I:$I,Info!$D319,Data!$H:$H,$P$1),0)</f>
        <v>0</v>
      </c>
      <c r="Q319" s="65" t="str">
        <f>IF(Table1[[#This Row],[Pick]]="","",IF(S319&gt;1,400,IF(G319="","",IF(C319="Passing",(400-Table1[[#This Row],[Passing Yards]]-(30*Table1[[#This Row],[Passing TDs]])-(50*SUM(Table1[[#This Row],[Rushing TDs]:[Other TD''s]]))),IF(C319="Rushing",2*(200-Table1[[#This Row],[Rushing Yards]]-(30*Table1[[#This Row],[Passing TDs]])-50*(Table1[[#This Row],[Rushing TDs]]+Table1[[#This Row],[Receiving TDs]]+Table1[[#This Row],[Other TD''s]])),IF(C319="Receiving",2*(200-Table1[[#This Row],[Receiving Yards]]-(30*Table1[[#This Row],[Passing TDs]])-50*(Table1[[#This Row],[Rushing TDs]]+Table1[[#This Row],[Receiving TDs]]+Table1[[#This Row],[Other TD''s]])),IF(C319="Defensive",(25*(16-Table1[[#This Row],[Tackles]]-(8*(Table1[[#This Row],[Other TD''s]]+Table1[[#This Row],[Interceptions]]+Table1[[#This Row],[Fumbles Recovered]])))))))))))</f>
        <v/>
      </c>
      <c r="R319" s="3" t="str">
        <f t="shared" si="10"/>
        <v/>
      </c>
      <c r="S319" s="4">
        <f t="shared" si="9"/>
        <v>1048507</v>
      </c>
      <c r="T3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0" spans="1:20" hidden="1" x14ac:dyDescent="0.25">
      <c r="A320" t="s">
        <v>61</v>
      </c>
      <c r="B320" s="28" t="s">
        <v>48</v>
      </c>
      <c r="C320" t="s">
        <v>6</v>
      </c>
      <c r="D320" t="str">
        <f>_xlfn.XLOOKUP(Table1[[#This Row],[Player]]&amp;Table1[[#This Row],[Week]]&amp;Table1[[#This Row],[Role]],'Google Form Transform'!$A:$A,'Google Form Transform'!E:E,"")</f>
        <v/>
      </c>
      <c r="E320" t="str">
        <f>_xlfn.XLOOKUP(Table1[[#This Row],[Player]]&amp;Table1[[#This Row],[Week]]&amp;Table1[[#This Row],[Role]],'Google Form Transform'!$A:$A,'Google Form Transform'!F:F,"")</f>
        <v/>
      </c>
      <c r="F320" t="str">
        <f>_xlfn.XLOOKUP(Table1[[#This Row],[Player]]&amp;Table1[[#This Row],[Week]]&amp;Table1[[#This Row],[Role]],'Google Form Transform'!$A:$A,'Google Form Transform'!G:G,"")</f>
        <v/>
      </c>
      <c r="G320" s="59">
        <f>SUMIFS(Table2[Stat],Table2[Stat Category],"passing",Table2[Stat Type],"YDS",Table2[Athlete],Table1[[#This Row],[Pick]],Table2[Week],Table1[[#This Row],[Week]])</f>
        <v>0</v>
      </c>
      <c r="H320" s="59">
        <f>SUMIFS(Table2[Stat],Table2[Stat Category],"rushing",Table2[Stat Type],"YDS",Table2[Athlete],Table1[[#This Row],[Pick]],Table2[Week],Table1[[#This Row],[Week]])</f>
        <v>0</v>
      </c>
      <c r="I320" s="59">
        <f>SUMIFS(Table2[Stat],Table2[Stat Category],"receiving",Table2[Stat Type],"YDS",Table2[Athlete],Table1[[#This Row],[Pick]],Table2[Week],Table1[[#This Row],[Week]])</f>
        <v>0</v>
      </c>
      <c r="J320" s="6">
        <f>IF(AND($C320="Rushing", $H320&lt;=0), 0, IF(AND($C320="Passing", $G$3&lt;=0), 0,IF(AND($C320="Receiving",$I320&lt;=0), 0,SUMIFS(Table2[Stat],Table2[Week],Table1[[#This Row],[Week]],Table2[Athlete],Table1[[#This Row],[Pick]],Table2[Stat Category],"passing",Table2[Stat Type],"TD"))))</f>
        <v>0</v>
      </c>
      <c r="K320" s="6">
        <f>IF(AND($C320="Rushing", $H320&lt;=0), 0, IF(AND($C320="Passing", $G$3&lt;=0), 0,IF(AND($C320="Receiving",$I320&lt;=0),0,SUMIFS(Table2[Stat],Table2[Week],Table1[[#This Row],[Week]],Table2[Athlete],Table1[[#This Row],[Pick]],Table2[Stat Category],"rushing",Table2[Stat Type],"TD"))))</f>
        <v>0</v>
      </c>
      <c r="L320" s="6">
        <f>IF(AND($C320="Rushing", $H320&lt;=0), 0, IF(AND($C320="Passing", $G$3&lt;=0), 0,IF(AND($C320="Receiving",$I320&lt;=0),0,SUMIFS(Table2[Stat],Table2[Week],Table1[[#This Row],[Week]],Table2[Athlete],Table1[[#This Row],[Pick]],Table2[Stat Category],"receiving",Table2[Stat Type],"TD"))))</f>
        <v>0</v>
      </c>
      <c r="M3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0" s="61">
        <f>SUMIFS(Data!$J:$J,Data!$A:$A,Info!$B320,Data!$G:$G,Info!$C320,Data!$I:$I,Info!$D320,Data!$H:$H,"TOT")</f>
        <v>0</v>
      </c>
      <c r="O320" s="61">
        <f>IF(C320="Defensive",SUMIFS(Data!$J:$J,Data!$A:$A,Info!$B320,Data!$I:$I,Info!$D320,Data!$H:$H,"INT"),0)</f>
        <v>0</v>
      </c>
      <c r="P320" s="61">
        <f>IF(Table1[[#This Row],[Role]]="Defensive",SUMIFS(Data!$J:$J,Data!$A:$A,Info!$B320,Data!$I:$I,Info!$D320,Data!$H:$H,$P$1),0)</f>
        <v>0</v>
      </c>
      <c r="Q320" s="65" t="str">
        <f>IF(Table1[[#This Row],[Pick]]="","",IF(S320&gt;1,400,IF(G320="","",IF(C320="Passing",(400-Table1[[#This Row],[Passing Yards]]-(30*Table1[[#This Row],[Passing TDs]])-(50*SUM(Table1[[#This Row],[Rushing TDs]:[Other TD''s]]))),IF(C320="Rushing",2*(200-Table1[[#This Row],[Rushing Yards]]-(30*Table1[[#This Row],[Passing TDs]])-50*(Table1[[#This Row],[Rushing TDs]]+Table1[[#This Row],[Receiving TDs]]+Table1[[#This Row],[Other TD''s]])),IF(C320="Receiving",2*(200-Table1[[#This Row],[Receiving Yards]]-(30*Table1[[#This Row],[Passing TDs]])-50*(Table1[[#This Row],[Rushing TDs]]+Table1[[#This Row],[Receiving TDs]]+Table1[[#This Row],[Other TD''s]])),IF(C320="Defensive",(25*(16-Table1[[#This Row],[Tackles]]-(8*(Table1[[#This Row],[Other TD''s]]+Table1[[#This Row],[Interceptions]]+Table1[[#This Row],[Fumbles Recovered]])))))))))))</f>
        <v/>
      </c>
      <c r="R320" s="3" t="str">
        <f t="shared" si="10"/>
        <v/>
      </c>
      <c r="S320" s="4">
        <f t="shared" si="9"/>
        <v>1048507</v>
      </c>
      <c r="T3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1" spans="1:20" hidden="1" x14ac:dyDescent="0.25">
      <c r="A321" t="s">
        <v>61</v>
      </c>
      <c r="B321" s="28" t="s">
        <v>48</v>
      </c>
      <c r="C321" t="s">
        <v>17</v>
      </c>
      <c r="D321" t="str">
        <f>_xlfn.XLOOKUP(Table1[[#This Row],[Player]]&amp;Table1[[#This Row],[Week]]&amp;Table1[[#This Row],[Role]],'Google Form Transform'!$A:$A,'Google Form Transform'!E:E,"")</f>
        <v/>
      </c>
      <c r="E321" t="str">
        <f>_xlfn.XLOOKUP(Table1[[#This Row],[Player]]&amp;Table1[[#This Row],[Week]]&amp;Table1[[#This Row],[Role]],'Google Form Transform'!$A:$A,'Google Form Transform'!F:F,"")</f>
        <v/>
      </c>
      <c r="F321" t="str">
        <f>_xlfn.XLOOKUP(Table1[[#This Row],[Player]]&amp;Table1[[#This Row],[Week]]&amp;Table1[[#This Row],[Role]],'Google Form Transform'!$A:$A,'Google Form Transform'!G:G,"")</f>
        <v/>
      </c>
      <c r="G321" s="59">
        <f>SUMIFS(Table2[Stat],Table2[Stat Category],"passing",Table2[Stat Type],"YDS",Table2[Athlete],Table1[[#This Row],[Pick]],Table2[Week],Table1[[#This Row],[Week]])</f>
        <v>0</v>
      </c>
      <c r="H321" s="59">
        <f>SUMIFS(Table2[Stat],Table2[Stat Category],"rushing",Table2[Stat Type],"YDS",Table2[Athlete],Table1[[#This Row],[Pick]],Table2[Week],Table1[[#This Row],[Week]])</f>
        <v>0</v>
      </c>
      <c r="I321" s="59">
        <f>SUMIFS(Table2[Stat],Table2[Stat Category],"receiving",Table2[Stat Type],"YDS",Table2[Athlete],Table1[[#This Row],[Pick]],Table2[Week],Table1[[#This Row],[Week]])</f>
        <v>0</v>
      </c>
      <c r="J321" s="6">
        <f>IF(AND($C321="Rushing", $H321&lt;=0), 0, IF(AND($C321="Passing", $G$3&lt;=0), 0,IF(AND($C321="Receiving",$I321&lt;=0), 0,SUMIFS(Table2[Stat],Table2[Week],Table1[[#This Row],[Week]],Table2[Athlete],Table1[[#This Row],[Pick]],Table2[Stat Category],"passing",Table2[Stat Type],"TD"))))</f>
        <v>0</v>
      </c>
      <c r="K321" s="6">
        <f>IF(AND($C321="Rushing", $H321&lt;=0), 0, IF(AND($C321="Passing", $G$3&lt;=0), 0,IF(AND($C321="Receiving",$I321&lt;=0),0,SUMIFS(Table2[Stat],Table2[Week],Table1[[#This Row],[Week]],Table2[Athlete],Table1[[#This Row],[Pick]],Table2[Stat Category],"rushing",Table2[Stat Type],"TD"))))</f>
        <v>0</v>
      </c>
      <c r="L321" s="6">
        <f>IF(AND($C321="Rushing", $H321&lt;=0), 0, IF(AND($C321="Passing", $G$3&lt;=0), 0,IF(AND($C321="Receiving",$I321&lt;=0),0,SUMIFS(Table2[Stat],Table2[Week],Table1[[#This Row],[Week]],Table2[Athlete],Table1[[#This Row],[Pick]],Table2[Stat Category],"receiving",Table2[Stat Type],"TD"))))</f>
        <v>0</v>
      </c>
      <c r="M3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1" s="61">
        <f>SUMIFS(Data!$J:$J,Data!$A:$A,Info!$B321,Data!$G:$G,Info!$C321,Data!$I:$I,Info!$D321,Data!$H:$H,"TOT")</f>
        <v>0</v>
      </c>
      <c r="O321" s="61">
        <f>IF(C321="Defensive",SUMIFS(Data!$J:$J,Data!$A:$A,Info!$B321,Data!$I:$I,Info!$D321,Data!$H:$H,"INT"),0)</f>
        <v>0</v>
      </c>
      <c r="P321" s="61">
        <f>IF(Table1[[#This Row],[Role]]="Defensive",SUMIFS(Data!$J:$J,Data!$A:$A,Info!$B321,Data!$I:$I,Info!$D321,Data!$H:$H,$P$1),0)</f>
        <v>0</v>
      </c>
      <c r="Q321" s="65" t="str">
        <f>IF(Table1[[#This Row],[Pick]]="","",IF(S321&gt;1,400,IF(G321="","",IF(C321="Passing",(400-Table1[[#This Row],[Passing Yards]]-(30*Table1[[#This Row],[Passing TDs]])-(50*SUM(Table1[[#This Row],[Rushing TDs]:[Other TD''s]]))),IF(C321="Rushing",2*(200-Table1[[#This Row],[Rushing Yards]]-(30*Table1[[#This Row],[Passing TDs]])-50*(Table1[[#This Row],[Rushing TDs]]+Table1[[#This Row],[Receiving TDs]]+Table1[[#This Row],[Other TD''s]])),IF(C321="Receiving",2*(200-Table1[[#This Row],[Receiving Yards]]-(30*Table1[[#This Row],[Passing TDs]])-50*(Table1[[#This Row],[Rushing TDs]]+Table1[[#This Row],[Receiving TDs]]+Table1[[#This Row],[Other TD''s]])),IF(C321="Defensive",(25*(16-Table1[[#This Row],[Tackles]]-(8*(Table1[[#This Row],[Other TD''s]]+Table1[[#This Row],[Interceptions]]+Table1[[#This Row],[Fumbles Recovered]])))))))))))</f>
        <v/>
      </c>
      <c r="R321" s="3" t="str">
        <f t="shared" si="10"/>
        <v/>
      </c>
      <c r="S321" s="4">
        <f t="shared" si="9"/>
        <v>1048507</v>
      </c>
      <c r="T3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2" spans="1:20" hidden="1" x14ac:dyDescent="0.25">
      <c r="A322" t="s">
        <v>61</v>
      </c>
      <c r="B322" s="28" t="s">
        <v>48</v>
      </c>
      <c r="C322" t="s">
        <v>20</v>
      </c>
      <c r="D322" t="str">
        <f>_xlfn.XLOOKUP(Table1[[#This Row],[Player]]&amp;Table1[[#This Row],[Week]]&amp;Table1[[#This Row],[Role]],'Google Form Transform'!$A:$A,'Google Form Transform'!E:E,"")</f>
        <v/>
      </c>
      <c r="E322" t="str">
        <f>_xlfn.XLOOKUP(Table1[[#This Row],[Player]]&amp;Table1[[#This Row],[Week]]&amp;Table1[[#This Row],[Role]],'Google Form Transform'!$A:$A,'Google Form Transform'!F:F,"")</f>
        <v/>
      </c>
      <c r="F322" t="str">
        <f>_xlfn.XLOOKUP(Table1[[#This Row],[Player]]&amp;Table1[[#This Row],[Week]]&amp;Table1[[#This Row],[Role]],'Google Form Transform'!$A:$A,'Google Form Transform'!G:G,"")</f>
        <v/>
      </c>
      <c r="G322" s="59">
        <f>SUMIFS(Table2[Stat],Table2[Stat Category],"passing",Table2[Stat Type],"YDS",Table2[Athlete],Table1[[#This Row],[Pick]],Table2[Week],Table1[[#This Row],[Week]])</f>
        <v>0</v>
      </c>
      <c r="H322" s="59">
        <f>SUMIFS(Table2[Stat],Table2[Stat Category],"rushing",Table2[Stat Type],"YDS",Table2[Athlete],Table1[[#This Row],[Pick]],Table2[Week],Table1[[#This Row],[Week]])</f>
        <v>0</v>
      </c>
      <c r="I322" s="59">
        <f>SUMIFS(Table2[Stat],Table2[Stat Category],"receiving",Table2[Stat Type],"YDS",Table2[Athlete],Table1[[#This Row],[Pick]],Table2[Week],Table1[[#This Row],[Week]])</f>
        <v>0</v>
      </c>
      <c r="J322" s="6">
        <f>IF(AND($C322="Rushing", $H322&lt;=0), 0, IF(AND($C322="Passing", $G$3&lt;=0), 0,IF(AND($C322="Receiving",$I322&lt;=0), 0,SUMIFS(Table2[Stat],Table2[Week],Table1[[#This Row],[Week]],Table2[Athlete],Table1[[#This Row],[Pick]],Table2[Stat Category],"passing",Table2[Stat Type],"TD"))))</f>
        <v>0</v>
      </c>
      <c r="K322" s="6">
        <f>IF(AND($C322="Rushing", $H322&lt;=0), 0, IF(AND($C322="Passing", $G$3&lt;=0), 0,IF(AND($C322="Receiving",$I322&lt;=0),0,SUMIFS(Table2[Stat],Table2[Week],Table1[[#This Row],[Week]],Table2[Athlete],Table1[[#This Row],[Pick]],Table2[Stat Category],"rushing",Table2[Stat Type],"TD"))))</f>
        <v>0</v>
      </c>
      <c r="L322" s="6">
        <f>IF(AND($C322="Rushing", $H322&lt;=0), 0, IF(AND($C322="Passing", $G$3&lt;=0), 0,IF(AND($C322="Receiving",$I322&lt;=0),0,SUMIFS(Table2[Stat],Table2[Week],Table1[[#This Row],[Week]],Table2[Athlete],Table1[[#This Row],[Pick]],Table2[Stat Category],"receiving",Table2[Stat Type],"TD"))))</f>
        <v>0</v>
      </c>
      <c r="M3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2" s="61">
        <f>SUMIFS(Data!$J:$J,Data!$A:$A,Info!$B322,Data!$G:$G,Info!$C322,Data!$I:$I,Info!$D322,Data!$H:$H,"TOT")</f>
        <v>0</v>
      </c>
      <c r="O322" s="61">
        <f>IF(C322="Defensive",SUMIFS(Data!$J:$J,Data!$A:$A,Info!$B322,Data!$I:$I,Info!$D322,Data!$H:$H,"INT"),0)</f>
        <v>0</v>
      </c>
      <c r="P322" s="61">
        <f>IF(Table1[[#This Row],[Role]]="Defensive",SUMIFS(Data!$J:$J,Data!$A:$A,Info!$B322,Data!$I:$I,Info!$D322,Data!$H:$H,$P$1),0)</f>
        <v>0</v>
      </c>
      <c r="Q322" s="65" t="str">
        <f>IF(Table1[[#This Row],[Pick]]="","",IF(S322&gt;1,400,IF(G322="","",IF(C322="Passing",(400-Table1[[#This Row],[Passing Yards]]-(30*Table1[[#This Row],[Passing TDs]])-(50*SUM(Table1[[#This Row],[Rushing TDs]:[Other TD''s]]))),IF(C322="Rushing",2*(200-Table1[[#This Row],[Rushing Yards]]-(30*Table1[[#This Row],[Passing TDs]])-50*(Table1[[#This Row],[Rushing TDs]]+Table1[[#This Row],[Receiving TDs]]+Table1[[#This Row],[Other TD''s]])),IF(C322="Receiving",2*(200-Table1[[#This Row],[Receiving Yards]]-(30*Table1[[#This Row],[Passing TDs]])-50*(Table1[[#This Row],[Rushing TDs]]+Table1[[#This Row],[Receiving TDs]]+Table1[[#This Row],[Other TD''s]])),IF(C322="Defensive",(25*(16-Table1[[#This Row],[Tackles]]-(8*(Table1[[#This Row],[Other TD''s]]+Table1[[#This Row],[Interceptions]]+Table1[[#This Row],[Fumbles Recovered]])))))))))))</f>
        <v/>
      </c>
      <c r="R322" s="3" t="str">
        <f t="shared" si="10"/>
        <v/>
      </c>
      <c r="S322" s="4">
        <f t="shared" si="9"/>
        <v>1048507</v>
      </c>
      <c r="T3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3" spans="1:20" hidden="1" x14ac:dyDescent="0.25">
      <c r="A323" t="s">
        <v>60</v>
      </c>
      <c r="B323" s="28" t="s">
        <v>48</v>
      </c>
      <c r="C323" t="s">
        <v>16</v>
      </c>
      <c r="D323" t="str">
        <f>_xlfn.XLOOKUP(Table1[[#This Row],[Player]]&amp;Table1[[#This Row],[Week]]&amp;Table1[[#This Row],[Role]],'Google Form Transform'!$A:$A,'Google Form Transform'!E:E,"")</f>
        <v/>
      </c>
      <c r="E323" t="str">
        <f>_xlfn.XLOOKUP(Table1[[#This Row],[Player]]&amp;Table1[[#This Row],[Week]]&amp;Table1[[#This Row],[Role]],'Google Form Transform'!$A:$A,'Google Form Transform'!F:F,"")</f>
        <v/>
      </c>
      <c r="F323" t="str">
        <f>_xlfn.XLOOKUP(Table1[[#This Row],[Player]]&amp;Table1[[#This Row],[Week]]&amp;Table1[[#This Row],[Role]],'Google Form Transform'!$A:$A,'Google Form Transform'!G:G,"")</f>
        <v/>
      </c>
      <c r="G323" s="59">
        <f>SUMIFS(Table2[Stat],Table2[Stat Category],"passing",Table2[Stat Type],"YDS",Table2[Athlete],Table1[[#This Row],[Pick]],Table2[Week],Table1[[#This Row],[Week]])</f>
        <v>0</v>
      </c>
      <c r="H323" s="59">
        <f>SUMIFS(Table2[Stat],Table2[Stat Category],"rushing",Table2[Stat Type],"YDS",Table2[Athlete],Table1[[#This Row],[Pick]],Table2[Week],Table1[[#This Row],[Week]])</f>
        <v>0</v>
      </c>
      <c r="I323" s="59">
        <f>SUMIFS(Table2[Stat],Table2[Stat Category],"receiving",Table2[Stat Type],"YDS",Table2[Athlete],Table1[[#This Row],[Pick]],Table2[Week],Table1[[#This Row],[Week]])</f>
        <v>0</v>
      </c>
      <c r="J323" s="6">
        <f>IF(AND($C323="Rushing", $H323&lt;=0), 0, IF(AND($C323="Passing", $G$3&lt;=0), 0,IF(AND($C323="Receiving",$I323&lt;=0), 0,SUMIFS(Table2[Stat],Table2[Week],Table1[[#This Row],[Week]],Table2[Athlete],Table1[[#This Row],[Pick]],Table2[Stat Category],"passing",Table2[Stat Type],"TD"))))</f>
        <v>0</v>
      </c>
      <c r="K323" s="6">
        <f>IF(AND($C323="Rushing", $H323&lt;=0), 0, IF(AND($C323="Passing", $G$3&lt;=0), 0,IF(AND($C323="Receiving",$I323&lt;=0),0,SUMIFS(Table2[Stat],Table2[Week],Table1[[#This Row],[Week]],Table2[Athlete],Table1[[#This Row],[Pick]],Table2[Stat Category],"rushing",Table2[Stat Type],"TD"))))</f>
        <v>0</v>
      </c>
      <c r="L323" s="6">
        <f>IF(AND($C323="Rushing", $H323&lt;=0), 0, IF(AND($C323="Passing", $G$3&lt;=0), 0,IF(AND($C323="Receiving",$I323&lt;=0),0,SUMIFS(Table2[Stat],Table2[Week],Table1[[#This Row],[Week]],Table2[Athlete],Table1[[#This Row],[Pick]],Table2[Stat Category],"receiving",Table2[Stat Type],"TD"))))</f>
        <v>0</v>
      </c>
      <c r="M3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3" s="61">
        <f>SUMIFS(Data!$J:$J,Data!$A:$A,Info!$B323,Data!$G:$G,Info!$C323,Data!$I:$I,Info!$D323,Data!$H:$H,"TOT")</f>
        <v>0</v>
      </c>
      <c r="O323" s="61">
        <f>IF(C323="Defensive",SUMIFS(Data!$J:$J,Data!$A:$A,Info!$B323,Data!$I:$I,Info!$D323,Data!$H:$H,"INT"),0)</f>
        <v>0</v>
      </c>
      <c r="P323" s="61">
        <f>IF(Table1[[#This Row],[Role]]="Defensive",SUMIFS(Data!$J:$J,Data!$A:$A,Info!$B323,Data!$I:$I,Info!$D323,Data!$H:$H,$P$1),0)</f>
        <v>0</v>
      </c>
      <c r="Q323" s="65" t="str">
        <f>IF(Table1[[#This Row],[Pick]]="","",IF(S323&gt;1,400,IF(G323="","",IF(C323="Passing",(400-Table1[[#This Row],[Passing Yards]]-(30*Table1[[#This Row],[Passing TDs]])-(50*SUM(Table1[[#This Row],[Rushing TDs]:[Other TD''s]]))),IF(C323="Rushing",2*(200-Table1[[#This Row],[Rushing Yards]]-(30*Table1[[#This Row],[Passing TDs]])-50*(Table1[[#This Row],[Rushing TDs]]+Table1[[#This Row],[Receiving TDs]]+Table1[[#This Row],[Other TD''s]])),IF(C323="Receiving",2*(200-Table1[[#This Row],[Receiving Yards]]-(30*Table1[[#This Row],[Passing TDs]])-50*(Table1[[#This Row],[Rushing TDs]]+Table1[[#This Row],[Receiving TDs]]+Table1[[#This Row],[Other TD''s]])),IF(C323="Defensive",(25*(16-Table1[[#This Row],[Tackles]]-(8*(Table1[[#This Row],[Other TD''s]]+Table1[[#This Row],[Interceptions]]+Table1[[#This Row],[Fumbles Recovered]])))))))))))</f>
        <v/>
      </c>
      <c r="R323" s="3" t="str">
        <f t="shared" si="10"/>
        <v/>
      </c>
      <c r="S323" s="4">
        <f t="shared" ref="S323:S386" si="11">COUNTIF(R:R,R323)</f>
        <v>1048507</v>
      </c>
      <c r="T3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4" spans="1:20" hidden="1" x14ac:dyDescent="0.25">
      <c r="A324" t="s">
        <v>60</v>
      </c>
      <c r="B324" s="28" t="s">
        <v>48</v>
      </c>
      <c r="C324" t="s">
        <v>6</v>
      </c>
      <c r="D324" t="str">
        <f>_xlfn.XLOOKUP(Table1[[#This Row],[Player]]&amp;Table1[[#This Row],[Week]]&amp;Table1[[#This Row],[Role]],'Google Form Transform'!$A:$A,'Google Form Transform'!E:E,"")</f>
        <v/>
      </c>
      <c r="E324" t="str">
        <f>_xlfn.XLOOKUP(Table1[[#This Row],[Player]]&amp;Table1[[#This Row],[Week]]&amp;Table1[[#This Row],[Role]],'Google Form Transform'!$A:$A,'Google Form Transform'!F:F,"")</f>
        <v/>
      </c>
      <c r="F324" t="str">
        <f>_xlfn.XLOOKUP(Table1[[#This Row],[Player]]&amp;Table1[[#This Row],[Week]]&amp;Table1[[#This Row],[Role]],'Google Form Transform'!$A:$A,'Google Form Transform'!G:G,"")</f>
        <v/>
      </c>
      <c r="G324" s="59">
        <f>SUMIFS(Table2[Stat],Table2[Stat Category],"passing",Table2[Stat Type],"YDS",Table2[Athlete],Table1[[#This Row],[Pick]],Table2[Week],Table1[[#This Row],[Week]])</f>
        <v>0</v>
      </c>
      <c r="H324" s="59">
        <f>SUMIFS(Table2[Stat],Table2[Stat Category],"rushing",Table2[Stat Type],"YDS",Table2[Athlete],Table1[[#This Row],[Pick]],Table2[Week],Table1[[#This Row],[Week]])</f>
        <v>0</v>
      </c>
      <c r="I324" s="59">
        <f>SUMIFS(Table2[Stat],Table2[Stat Category],"receiving",Table2[Stat Type],"YDS",Table2[Athlete],Table1[[#This Row],[Pick]],Table2[Week],Table1[[#This Row],[Week]])</f>
        <v>0</v>
      </c>
      <c r="J324" s="6">
        <f>IF(AND($C324="Rushing", $H324&lt;=0), 0, IF(AND($C324="Passing", $G$3&lt;=0), 0,IF(AND($C324="Receiving",$I324&lt;=0), 0,SUMIFS(Table2[Stat],Table2[Week],Table1[[#This Row],[Week]],Table2[Athlete],Table1[[#This Row],[Pick]],Table2[Stat Category],"passing",Table2[Stat Type],"TD"))))</f>
        <v>0</v>
      </c>
      <c r="K324" s="6">
        <f>IF(AND($C324="Rushing", $H324&lt;=0), 0, IF(AND($C324="Passing", $G$3&lt;=0), 0,IF(AND($C324="Receiving",$I324&lt;=0),0,SUMIFS(Table2[Stat],Table2[Week],Table1[[#This Row],[Week]],Table2[Athlete],Table1[[#This Row],[Pick]],Table2[Stat Category],"rushing",Table2[Stat Type],"TD"))))</f>
        <v>0</v>
      </c>
      <c r="L324" s="6">
        <f>IF(AND($C324="Rushing", $H324&lt;=0), 0, IF(AND($C324="Passing", $G$3&lt;=0), 0,IF(AND($C324="Receiving",$I324&lt;=0),0,SUMIFS(Table2[Stat],Table2[Week],Table1[[#This Row],[Week]],Table2[Athlete],Table1[[#This Row],[Pick]],Table2[Stat Category],"receiving",Table2[Stat Type],"TD"))))</f>
        <v>0</v>
      </c>
      <c r="M3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4" s="61">
        <f>SUMIFS(Data!$J:$J,Data!$A:$A,Info!$B324,Data!$G:$G,Info!$C324,Data!$I:$I,Info!$D324,Data!$H:$H,"TOT")</f>
        <v>0</v>
      </c>
      <c r="O324" s="61">
        <f>IF(C324="Defensive",SUMIFS(Data!$J:$J,Data!$A:$A,Info!$B324,Data!$I:$I,Info!$D324,Data!$H:$H,"INT"),0)</f>
        <v>0</v>
      </c>
      <c r="P324" s="61">
        <f>IF(Table1[[#This Row],[Role]]="Defensive",SUMIFS(Data!$J:$J,Data!$A:$A,Info!$B324,Data!$I:$I,Info!$D324,Data!$H:$H,$P$1),0)</f>
        <v>0</v>
      </c>
      <c r="Q324" s="65" t="str">
        <f>IF(Table1[[#This Row],[Pick]]="","",IF(S324&gt;1,400,IF(G324="","",IF(C324="Passing",(400-Table1[[#This Row],[Passing Yards]]-(30*Table1[[#This Row],[Passing TDs]])-(50*SUM(Table1[[#This Row],[Rushing TDs]:[Other TD''s]]))),IF(C324="Rushing",2*(200-Table1[[#This Row],[Rushing Yards]]-(30*Table1[[#This Row],[Passing TDs]])-50*(Table1[[#This Row],[Rushing TDs]]+Table1[[#This Row],[Receiving TDs]]+Table1[[#This Row],[Other TD''s]])),IF(C324="Receiving",2*(200-Table1[[#This Row],[Receiving Yards]]-(30*Table1[[#This Row],[Passing TDs]])-50*(Table1[[#This Row],[Rushing TDs]]+Table1[[#This Row],[Receiving TDs]]+Table1[[#This Row],[Other TD''s]])),IF(C324="Defensive",(25*(16-Table1[[#This Row],[Tackles]]-(8*(Table1[[#This Row],[Other TD''s]]+Table1[[#This Row],[Interceptions]]+Table1[[#This Row],[Fumbles Recovered]])))))))))))</f>
        <v/>
      </c>
      <c r="R324" s="3" t="str">
        <f t="shared" ref="R324:R387" si="12">IF(D324="","",A324&amp;C324&amp;D324)</f>
        <v/>
      </c>
      <c r="S324" s="4">
        <f t="shared" si="11"/>
        <v>1048507</v>
      </c>
      <c r="T3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5" spans="1:20" hidden="1" x14ac:dyDescent="0.25">
      <c r="A325" t="s">
        <v>60</v>
      </c>
      <c r="B325" s="28" t="s">
        <v>48</v>
      </c>
      <c r="C325" t="s">
        <v>17</v>
      </c>
      <c r="D325" t="str">
        <f>_xlfn.XLOOKUP(Table1[[#This Row],[Player]]&amp;Table1[[#This Row],[Week]]&amp;Table1[[#This Row],[Role]],'Google Form Transform'!$A:$A,'Google Form Transform'!E:E,"")</f>
        <v/>
      </c>
      <c r="E325" t="str">
        <f>_xlfn.XLOOKUP(Table1[[#This Row],[Player]]&amp;Table1[[#This Row],[Week]]&amp;Table1[[#This Row],[Role]],'Google Form Transform'!$A:$A,'Google Form Transform'!F:F,"")</f>
        <v/>
      </c>
      <c r="F325" t="str">
        <f>_xlfn.XLOOKUP(Table1[[#This Row],[Player]]&amp;Table1[[#This Row],[Week]]&amp;Table1[[#This Row],[Role]],'Google Form Transform'!$A:$A,'Google Form Transform'!G:G,"")</f>
        <v/>
      </c>
      <c r="G325" s="59">
        <f>SUMIFS(Table2[Stat],Table2[Stat Category],"passing",Table2[Stat Type],"YDS",Table2[Athlete],Table1[[#This Row],[Pick]],Table2[Week],Table1[[#This Row],[Week]])</f>
        <v>0</v>
      </c>
      <c r="H325" s="59">
        <f>SUMIFS(Table2[Stat],Table2[Stat Category],"rushing",Table2[Stat Type],"YDS",Table2[Athlete],Table1[[#This Row],[Pick]],Table2[Week],Table1[[#This Row],[Week]])</f>
        <v>0</v>
      </c>
      <c r="I325" s="59">
        <f>SUMIFS(Table2[Stat],Table2[Stat Category],"receiving",Table2[Stat Type],"YDS",Table2[Athlete],Table1[[#This Row],[Pick]],Table2[Week],Table1[[#This Row],[Week]])</f>
        <v>0</v>
      </c>
      <c r="J325" s="6">
        <f>IF(AND($C325="Rushing", $H325&lt;=0), 0, IF(AND($C325="Passing", $G$3&lt;=0), 0,IF(AND($C325="Receiving",$I325&lt;=0), 0,SUMIFS(Table2[Stat],Table2[Week],Table1[[#This Row],[Week]],Table2[Athlete],Table1[[#This Row],[Pick]],Table2[Stat Category],"passing",Table2[Stat Type],"TD"))))</f>
        <v>0</v>
      </c>
      <c r="K325" s="6">
        <f>IF(AND($C325="Rushing", $H325&lt;=0), 0, IF(AND($C325="Passing", $G$3&lt;=0), 0,IF(AND($C325="Receiving",$I325&lt;=0),0,SUMIFS(Table2[Stat],Table2[Week],Table1[[#This Row],[Week]],Table2[Athlete],Table1[[#This Row],[Pick]],Table2[Stat Category],"rushing",Table2[Stat Type],"TD"))))</f>
        <v>0</v>
      </c>
      <c r="L325" s="6">
        <f>IF(AND($C325="Rushing", $H325&lt;=0), 0, IF(AND($C325="Passing", $G$3&lt;=0), 0,IF(AND($C325="Receiving",$I325&lt;=0),0,SUMIFS(Table2[Stat],Table2[Week],Table1[[#This Row],[Week]],Table2[Athlete],Table1[[#This Row],[Pick]],Table2[Stat Category],"receiving",Table2[Stat Type],"TD"))))</f>
        <v>0</v>
      </c>
      <c r="M3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5" s="61">
        <f>SUMIFS(Data!$J:$J,Data!$A:$A,Info!$B325,Data!$G:$G,Info!$C325,Data!$I:$I,Info!$D325,Data!$H:$H,"TOT")</f>
        <v>0</v>
      </c>
      <c r="O325" s="61">
        <f>IF(C325="Defensive",SUMIFS(Data!$J:$J,Data!$A:$A,Info!$B325,Data!$I:$I,Info!$D325,Data!$H:$H,"INT"),0)</f>
        <v>0</v>
      </c>
      <c r="P325" s="61">
        <f>IF(Table1[[#This Row],[Role]]="Defensive",SUMIFS(Data!$J:$J,Data!$A:$A,Info!$B325,Data!$I:$I,Info!$D325,Data!$H:$H,$P$1),0)</f>
        <v>0</v>
      </c>
      <c r="Q325" s="65" t="str">
        <f>IF(Table1[[#This Row],[Pick]]="","",IF(S325&gt;1,400,IF(G325="","",IF(C325="Passing",(400-Table1[[#This Row],[Passing Yards]]-(30*Table1[[#This Row],[Passing TDs]])-(50*SUM(Table1[[#This Row],[Rushing TDs]:[Other TD''s]]))),IF(C325="Rushing",2*(200-Table1[[#This Row],[Rushing Yards]]-(30*Table1[[#This Row],[Passing TDs]])-50*(Table1[[#This Row],[Rushing TDs]]+Table1[[#This Row],[Receiving TDs]]+Table1[[#This Row],[Other TD''s]])),IF(C325="Receiving",2*(200-Table1[[#This Row],[Receiving Yards]]-(30*Table1[[#This Row],[Passing TDs]])-50*(Table1[[#This Row],[Rushing TDs]]+Table1[[#This Row],[Receiving TDs]]+Table1[[#This Row],[Other TD''s]])),IF(C325="Defensive",(25*(16-Table1[[#This Row],[Tackles]]-(8*(Table1[[#This Row],[Other TD''s]]+Table1[[#This Row],[Interceptions]]+Table1[[#This Row],[Fumbles Recovered]])))))))))))</f>
        <v/>
      </c>
      <c r="R325" s="3" t="str">
        <f t="shared" si="12"/>
        <v/>
      </c>
      <c r="S325" s="4">
        <f t="shared" si="11"/>
        <v>1048507</v>
      </c>
      <c r="T3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6" spans="1:20" hidden="1" x14ac:dyDescent="0.25">
      <c r="A326" t="s">
        <v>60</v>
      </c>
      <c r="B326" s="28" t="s">
        <v>48</v>
      </c>
      <c r="C326" t="s">
        <v>20</v>
      </c>
      <c r="D326" t="str">
        <f>_xlfn.XLOOKUP(Table1[[#This Row],[Player]]&amp;Table1[[#This Row],[Week]]&amp;Table1[[#This Row],[Role]],'Google Form Transform'!$A:$A,'Google Form Transform'!E:E,"")</f>
        <v/>
      </c>
      <c r="E326" t="str">
        <f>_xlfn.XLOOKUP(Table1[[#This Row],[Player]]&amp;Table1[[#This Row],[Week]]&amp;Table1[[#This Row],[Role]],'Google Form Transform'!$A:$A,'Google Form Transform'!F:F,"")</f>
        <v/>
      </c>
      <c r="F326" t="str">
        <f>_xlfn.XLOOKUP(Table1[[#This Row],[Player]]&amp;Table1[[#This Row],[Week]]&amp;Table1[[#This Row],[Role]],'Google Form Transform'!$A:$A,'Google Form Transform'!G:G,"")</f>
        <v/>
      </c>
      <c r="G326" s="59">
        <f>SUMIFS(Table2[Stat],Table2[Stat Category],"passing",Table2[Stat Type],"YDS",Table2[Athlete],Table1[[#This Row],[Pick]],Table2[Week],Table1[[#This Row],[Week]])</f>
        <v>0</v>
      </c>
      <c r="H326" s="59">
        <f>SUMIFS(Table2[Stat],Table2[Stat Category],"rushing",Table2[Stat Type],"YDS",Table2[Athlete],Table1[[#This Row],[Pick]],Table2[Week],Table1[[#This Row],[Week]])</f>
        <v>0</v>
      </c>
      <c r="I326" s="59">
        <f>SUMIFS(Table2[Stat],Table2[Stat Category],"receiving",Table2[Stat Type],"YDS",Table2[Athlete],Table1[[#This Row],[Pick]],Table2[Week],Table1[[#This Row],[Week]])</f>
        <v>0</v>
      </c>
      <c r="J326" s="6">
        <f>IF(AND($C326="Rushing", $H326&lt;=0), 0, IF(AND($C326="Passing", $G$3&lt;=0), 0,IF(AND($C326="Receiving",$I326&lt;=0), 0,SUMIFS(Table2[Stat],Table2[Week],Table1[[#This Row],[Week]],Table2[Athlete],Table1[[#This Row],[Pick]],Table2[Stat Category],"passing",Table2[Stat Type],"TD"))))</f>
        <v>0</v>
      </c>
      <c r="K326" s="6">
        <f>IF(AND($C326="Rushing", $H326&lt;=0), 0, IF(AND($C326="Passing", $G$3&lt;=0), 0,IF(AND($C326="Receiving",$I326&lt;=0),0,SUMIFS(Table2[Stat],Table2[Week],Table1[[#This Row],[Week]],Table2[Athlete],Table1[[#This Row],[Pick]],Table2[Stat Category],"rushing",Table2[Stat Type],"TD"))))</f>
        <v>0</v>
      </c>
      <c r="L326" s="6">
        <f>IF(AND($C326="Rushing", $H326&lt;=0), 0, IF(AND($C326="Passing", $G$3&lt;=0), 0,IF(AND($C326="Receiving",$I326&lt;=0),0,SUMIFS(Table2[Stat],Table2[Week],Table1[[#This Row],[Week]],Table2[Athlete],Table1[[#This Row],[Pick]],Table2[Stat Category],"receiving",Table2[Stat Type],"TD"))))</f>
        <v>0</v>
      </c>
      <c r="M3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6" s="61">
        <f>SUMIFS(Data!$J:$J,Data!$A:$A,Info!$B326,Data!$G:$G,Info!$C326,Data!$I:$I,Info!$D326,Data!$H:$H,"TOT")</f>
        <v>0</v>
      </c>
      <c r="O326" s="61">
        <f>IF(C326="Defensive",SUMIFS(Data!$J:$J,Data!$A:$A,Info!$B326,Data!$I:$I,Info!$D326,Data!$H:$H,"INT"),0)</f>
        <v>0</v>
      </c>
      <c r="P326" s="61">
        <f>IF(Table1[[#This Row],[Role]]="Defensive",SUMIFS(Data!$J:$J,Data!$A:$A,Info!$B326,Data!$I:$I,Info!$D326,Data!$H:$H,$P$1),0)</f>
        <v>0</v>
      </c>
      <c r="Q326" s="65" t="str">
        <f>IF(Table1[[#This Row],[Pick]]="","",IF(S326&gt;1,400,IF(G326="","",IF(C326="Passing",(400-Table1[[#This Row],[Passing Yards]]-(30*Table1[[#This Row],[Passing TDs]])-(50*SUM(Table1[[#This Row],[Rushing TDs]:[Other TD''s]]))),IF(C326="Rushing",2*(200-Table1[[#This Row],[Rushing Yards]]-(30*Table1[[#This Row],[Passing TDs]])-50*(Table1[[#This Row],[Rushing TDs]]+Table1[[#This Row],[Receiving TDs]]+Table1[[#This Row],[Other TD''s]])),IF(C326="Receiving",2*(200-Table1[[#This Row],[Receiving Yards]]-(30*Table1[[#This Row],[Passing TDs]])-50*(Table1[[#This Row],[Rushing TDs]]+Table1[[#This Row],[Receiving TDs]]+Table1[[#This Row],[Other TD''s]])),IF(C326="Defensive",(25*(16-Table1[[#This Row],[Tackles]]-(8*(Table1[[#This Row],[Other TD''s]]+Table1[[#This Row],[Interceptions]]+Table1[[#This Row],[Fumbles Recovered]])))))))))))</f>
        <v/>
      </c>
      <c r="R326" s="3" t="str">
        <f t="shared" si="12"/>
        <v/>
      </c>
      <c r="S326" s="4">
        <f t="shared" si="11"/>
        <v>1048507</v>
      </c>
      <c r="T3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7" spans="1:20" hidden="1" x14ac:dyDescent="0.25">
      <c r="A327" t="s">
        <v>62</v>
      </c>
      <c r="B327" s="28" t="s">
        <v>48</v>
      </c>
      <c r="C327" t="s">
        <v>16</v>
      </c>
      <c r="D327" t="str">
        <f>_xlfn.XLOOKUP(Table1[[#This Row],[Player]]&amp;Table1[[#This Row],[Week]]&amp;Table1[[#This Row],[Role]],'Google Form Transform'!$A:$A,'Google Form Transform'!E:E,"")</f>
        <v/>
      </c>
      <c r="E327" t="str">
        <f>_xlfn.XLOOKUP(Table1[[#This Row],[Player]]&amp;Table1[[#This Row],[Week]]&amp;Table1[[#This Row],[Role]],'Google Form Transform'!$A:$A,'Google Form Transform'!F:F,"")</f>
        <v/>
      </c>
      <c r="F327" t="str">
        <f>_xlfn.XLOOKUP(Table1[[#This Row],[Player]]&amp;Table1[[#This Row],[Week]]&amp;Table1[[#This Row],[Role]],'Google Form Transform'!$A:$A,'Google Form Transform'!G:G,"")</f>
        <v/>
      </c>
      <c r="G327" s="59">
        <f>SUMIFS(Table2[Stat],Table2[Stat Category],"passing",Table2[Stat Type],"YDS",Table2[Athlete],Table1[[#This Row],[Pick]],Table2[Week],Table1[[#This Row],[Week]])</f>
        <v>0</v>
      </c>
      <c r="H327" s="59">
        <f>SUMIFS(Table2[Stat],Table2[Stat Category],"rushing",Table2[Stat Type],"YDS",Table2[Athlete],Table1[[#This Row],[Pick]],Table2[Week],Table1[[#This Row],[Week]])</f>
        <v>0</v>
      </c>
      <c r="I327" s="59">
        <f>SUMIFS(Table2[Stat],Table2[Stat Category],"receiving",Table2[Stat Type],"YDS",Table2[Athlete],Table1[[#This Row],[Pick]],Table2[Week],Table1[[#This Row],[Week]])</f>
        <v>0</v>
      </c>
      <c r="J327" s="6">
        <f>IF(AND($C327="Rushing", $H327&lt;=0), 0, IF(AND($C327="Passing", $G$3&lt;=0), 0,IF(AND($C327="Receiving",$I327&lt;=0), 0,SUMIFS(Table2[Stat],Table2[Week],Table1[[#This Row],[Week]],Table2[Athlete],Table1[[#This Row],[Pick]],Table2[Stat Category],"passing",Table2[Stat Type],"TD"))))</f>
        <v>0</v>
      </c>
      <c r="K327" s="6">
        <f>IF(AND($C327="Rushing", $H327&lt;=0), 0, IF(AND($C327="Passing", $G$3&lt;=0), 0,IF(AND($C327="Receiving",$I327&lt;=0),0,SUMIFS(Table2[Stat],Table2[Week],Table1[[#This Row],[Week]],Table2[Athlete],Table1[[#This Row],[Pick]],Table2[Stat Category],"rushing",Table2[Stat Type],"TD"))))</f>
        <v>0</v>
      </c>
      <c r="L327" s="6">
        <f>IF(AND($C327="Rushing", $H327&lt;=0), 0, IF(AND($C327="Passing", $G$3&lt;=0), 0,IF(AND($C327="Receiving",$I327&lt;=0),0,SUMIFS(Table2[Stat],Table2[Week],Table1[[#This Row],[Week]],Table2[Athlete],Table1[[#This Row],[Pick]],Table2[Stat Category],"receiving",Table2[Stat Type],"TD"))))</f>
        <v>0</v>
      </c>
      <c r="M3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7" s="61">
        <f>SUMIFS(Data!$J:$J,Data!$A:$A,Info!$B327,Data!$G:$G,Info!$C327,Data!$I:$I,Info!$D327,Data!$H:$H,"TOT")</f>
        <v>0</v>
      </c>
      <c r="O327" s="61">
        <f>IF(C327="Defensive",SUMIFS(Data!$J:$J,Data!$A:$A,Info!$B327,Data!$I:$I,Info!$D327,Data!$H:$H,"INT"),0)</f>
        <v>0</v>
      </c>
      <c r="P327" s="61">
        <f>IF(Table1[[#This Row],[Role]]="Defensive",SUMIFS(Data!$J:$J,Data!$A:$A,Info!$B327,Data!$I:$I,Info!$D327,Data!$H:$H,$P$1),0)</f>
        <v>0</v>
      </c>
      <c r="Q327" s="65" t="str">
        <f>IF(Table1[[#This Row],[Pick]]="","",IF(S327&gt;1,400,IF(G327="","",IF(C327="Passing",(400-Table1[[#This Row],[Passing Yards]]-(30*Table1[[#This Row],[Passing TDs]])-(50*SUM(Table1[[#This Row],[Rushing TDs]:[Other TD''s]]))),IF(C327="Rushing",2*(200-Table1[[#This Row],[Rushing Yards]]-(30*Table1[[#This Row],[Passing TDs]])-50*(Table1[[#This Row],[Rushing TDs]]+Table1[[#This Row],[Receiving TDs]]+Table1[[#This Row],[Other TD''s]])),IF(C327="Receiving",2*(200-Table1[[#This Row],[Receiving Yards]]-(30*Table1[[#This Row],[Passing TDs]])-50*(Table1[[#This Row],[Rushing TDs]]+Table1[[#This Row],[Receiving TDs]]+Table1[[#This Row],[Other TD''s]])),IF(C327="Defensive",(25*(16-Table1[[#This Row],[Tackles]]-(8*(Table1[[#This Row],[Other TD''s]]+Table1[[#This Row],[Interceptions]]+Table1[[#This Row],[Fumbles Recovered]])))))))))))</f>
        <v/>
      </c>
      <c r="R327" s="3" t="str">
        <f t="shared" si="12"/>
        <v/>
      </c>
      <c r="S327" s="4">
        <f t="shared" si="11"/>
        <v>1048507</v>
      </c>
      <c r="T3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8" spans="1:20" hidden="1" x14ac:dyDescent="0.25">
      <c r="A328" t="s">
        <v>62</v>
      </c>
      <c r="B328" s="28" t="s">
        <v>48</v>
      </c>
      <c r="C328" t="s">
        <v>6</v>
      </c>
      <c r="D328" t="str">
        <f>_xlfn.XLOOKUP(Table1[[#This Row],[Player]]&amp;Table1[[#This Row],[Week]]&amp;Table1[[#This Row],[Role]],'Google Form Transform'!$A:$A,'Google Form Transform'!E:E,"")</f>
        <v/>
      </c>
      <c r="E328" t="str">
        <f>_xlfn.XLOOKUP(Table1[[#This Row],[Player]]&amp;Table1[[#This Row],[Week]]&amp;Table1[[#This Row],[Role]],'Google Form Transform'!$A:$A,'Google Form Transform'!F:F,"")</f>
        <v/>
      </c>
      <c r="F328" t="str">
        <f>_xlfn.XLOOKUP(Table1[[#This Row],[Player]]&amp;Table1[[#This Row],[Week]]&amp;Table1[[#This Row],[Role]],'Google Form Transform'!$A:$A,'Google Form Transform'!G:G,"")</f>
        <v/>
      </c>
      <c r="G328" s="59">
        <f>SUMIFS(Table2[Stat],Table2[Stat Category],"passing",Table2[Stat Type],"YDS",Table2[Athlete],Table1[[#This Row],[Pick]],Table2[Week],Table1[[#This Row],[Week]])</f>
        <v>0</v>
      </c>
      <c r="H328" s="59">
        <f>SUMIFS(Table2[Stat],Table2[Stat Category],"rushing",Table2[Stat Type],"YDS",Table2[Athlete],Table1[[#This Row],[Pick]],Table2[Week],Table1[[#This Row],[Week]])</f>
        <v>0</v>
      </c>
      <c r="I328" s="59">
        <f>SUMIFS(Table2[Stat],Table2[Stat Category],"receiving",Table2[Stat Type],"YDS",Table2[Athlete],Table1[[#This Row],[Pick]],Table2[Week],Table1[[#This Row],[Week]])</f>
        <v>0</v>
      </c>
      <c r="J328" s="6">
        <f>IF(AND($C328="Rushing", $H328&lt;=0), 0, IF(AND($C328="Passing", $G$3&lt;=0), 0,IF(AND($C328="Receiving",$I328&lt;=0), 0,SUMIFS(Table2[Stat],Table2[Week],Table1[[#This Row],[Week]],Table2[Athlete],Table1[[#This Row],[Pick]],Table2[Stat Category],"passing",Table2[Stat Type],"TD"))))</f>
        <v>0</v>
      </c>
      <c r="K328" s="6">
        <f>IF(AND($C328="Rushing", $H328&lt;=0), 0, IF(AND($C328="Passing", $G$3&lt;=0), 0,IF(AND($C328="Receiving",$I328&lt;=0),0,SUMIFS(Table2[Stat],Table2[Week],Table1[[#This Row],[Week]],Table2[Athlete],Table1[[#This Row],[Pick]],Table2[Stat Category],"rushing",Table2[Stat Type],"TD"))))</f>
        <v>0</v>
      </c>
      <c r="L328" s="6">
        <f>IF(AND($C328="Rushing", $H328&lt;=0), 0, IF(AND($C328="Passing", $G$3&lt;=0), 0,IF(AND($C328="Receiving",$I328&lt;=0),0,SUMIFS(Table2[Stat],Table2[Week],Table1[[#This Row],[Week]],Table2[Athlete],Table1[[#This Row],[Pick]],Table2[Stat Category],"receiving",Table2[Stat Type],"TD"))))</f>
        <v>0</v>
      </c>
      <c r="M3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8" s="61">
        <f>SUMIFS(Data!$J:$J,Data!$A:$A,Info!$B328,Data!$G:$G,Info!$C328,Data!$I:$I,Info!$D328,Data!$H:$H,"TOT")</f>
        <v>0</v>
      </c>
      <c r="O328" s="61">
        <f>IF(C328="Defensive",SUMIFS(Data!$J:$J,Data!$A:$A,Info!$B328,Data!$I:$I,Info!$D328,Data!$H:$H,"INT"),0)</f>
        <v>0</v>
      </c>
      <c r="P328" s="61">
        <f>IF(Table1[[#This Row],[Role]]="Defensive",SUMIFS(Data!$J:$J,Data!$A:$A,Info!$B328,Data!$I:$I,Info!$D328,Data!$H:$H,$P$1),0)</f>
        <v>0</v>
      </c>
      <c r="Q328" s="65" t="str">
        <f>IF(Table1[[#This Row],[Pick]]="","",IF(S328&gt;1,400,IF(G328="","",IF(C328="Passing",(400-Table1[[#This Row],[Passing Yards]]-(30*Table1[[#This Row],[Passing TDs]])-(50*SUM(Table1[[#This Row],[Rushing TDs]:[Other TD''s]]))),IF(C328="Rushing",2*(200-Table1[[#This Row],[Rushing Yards]]-(30*Table1[[#This Row],[Passing TDs]])-50*(Table1[[#This Row],[Rushing TDs]]+Table1[[#This Row],[Receiving TDs]]+Table1[[#This Row],[Other TD''s]])),IF(C328="Receiving",2*(200-Table1[[#This Row],[Receiving Yards]]-(30*Table1[[#This Row],[Passing TDs]])-50*(Table1[[#This Row],[Rushing TDs]]+Table1[[#This Row],[Receiving TDs]]+Table1[[#This Row],[Other TD''s]])),IF(C328="Defensive",(25*(16-Table1[[#This Row],[Tackles]]-(8*(Table1[[#This Row],[Other TD''s]]+Table1[[#This Row],[Interceptions]]+Table1[[#This Row],[Fumbles Recovered]])))))))))))</f>
        <v/>
      </c>
      <c r="R328" s="3" t="str">
        <f t="shared" si="12"/>
        <v/>
      </c>
      <c r="S328" s="4">
        <f t="shared" si="11"/>
        <v>1048507</v>
      </c>
      <c r="T3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9" spans="1:20" hidden="1" x14ac:dyDescent="0.25">
      <c r="A329" t="s">
        <v>62</v>
      </c>
      <c r="B329" s="28" t="s">
        <v>48</v>
      </c>
      <c r="C329" t="s">
        <v>17</v>
      </c>
      <c r="D329" t="str">
        <f>_xlfn.XLOOKUP(Table1[[#This Row],[Player]]&amp;Table1[[#This Row],[Week]]&amp;Table1[[#This Row],[Role]],'Google Form Transform'!$A:$A,'Google Form Transform'!E:E,"")</f>
        <v/>
      </c>
      <c r="E329" t="str">
        <f>_xlfn.XLOOKUP(Table1[[#This Row],[Player]]&amp;Table1[[#This Row],[Week]]&amp;Table1[[#This Row],[Role]],'Google Form Transform'!$A:$A,'Google Form Transform'!F:F,"")</f>
        <v/>
      </c>
      <c r="F329" t="str">
        <f>_xlfn.XLOOKUP(Table1[[#This Row],[Player]]&amp;Table1[[#This Row],[Week]]&amp;Table1[[#This Row],[Role]],'Google Form Transform'!$A:$A,'Google Form Transform'!G:G,"")</f>
        <v/>
      </c>
      <c r="G329" s="59">
        <f>SUMIFS(Table2[Stat],Table2[Stat Category],"passing",Table2[Stat Type],"YDS",Table2[Athlete],Table1[[#This Row],[Pick]],Table2[Week],Table1[[#This Row],[Week]])</f>
        <v>0</v>
      </c>
      <c r="H329" s="59">
        <f>SUMIFS(Table2[Stat],Table2[Stat Category],"rushing",Table2[Stat Type],"YDS",Table2[Athlete],Table1[[#This Row],[Pick]],Table2[Week],Table1[[#This Row],[Week]])</f>
        <v>0</v>
      </c>
      <c r="I329" s="59">
        <f>SUMIFS(Table2[Stat],Table2[Stat Category],"receiving",Table2[Stat Type],"YDS",Table2[Athlete],Table1[[#This Row],[Pick]],Table2[Week],Table1[[#This Row],[Week]])</f>
        <v>0</v>
      </c>
      <c r="J329" s="6">
        <f>IF(AND($C329="Rushing", $H329&lt;=0), 0, IF(AND($C329="Passing", $G$3&lt;=0), 0,IF(AND($C329="Receiving",$I329&lt;=0), 0,SUMIFS(Table2[Stat],Table2[Week],Table1[[#This Row],[Week]],Table2[Athlete],Table1[[#This Row],[Pick]],Table2[Stat Category],"passing",Table2[Stat Type],"TD"))))</f>
        <v>0</v>
      </c>
      <c r="K329" s="6">
        <f>IF(AND($C329="Rushing", $H329&lt;=0), 0, IF(AND($C329="Passing", $G$3&lt;=0), 0,IF(AND($C329="Receiving",$I329&lt;=0),0,SUMIFS(Table2[Stat],Table2[Week],Table1[[#This Row],[Week]],Table2[Athlete],Table1[[#This Row],[Pick]],Table2[Stat Category],"rushing",Table2[Stat Type],"TD"))))</f>
        <v>0</v>
      </c>
      <c r="L329" s="6">
        <f>IF(AND($C329="Rushing", $H329&lt;=0), 0, IF(AND($C329="Passing", $G$3&lt;=0), 0,IF(AND($C329="Receiving",$I329&lt;=0),0,SUMIFS(Table2[Stat],Table2[Week],Table1[[#This Row],[Week]],Table2[Athlete],Table1[[#This Row],[Pick]],Table2[Stat Category],"receiving",Table2[Stat Type],"TD"))))</f>
        <v>0</v>
      </c>
      <c r="M3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9" s="61">
        <f>SUMIFS(Data!$J:$J,Data!$A:$A,Info!$B329,Data!$G:$G,Info!$C329,Data!$I:$I,Info!$D329,Data!$H:$H,"TOT")</f>
        <v>0</v>
      </c>
      <c r="O329" s="61">
        <f>IF(C329="Defensive",SUMIFS(Data!$J:$J,Data!$A:$A,Info!$B329,Data!$I:$I,Info!$D329,Data!$H:$H,"INT"),0)</f>
        <v>0</v>
      </c>
      <c r="P329" s="61">
        <f>IF(Table1[[#This Row],[Role]]="Defensive",SUMIFS(Data!$J:$J,Data!$A:$A,Info!$B329,Data!$I:$I,Info!$D329,Data!$H:$H,$P$1),0)</f>
        <v>0</v>
      </c>
      <c r="Q329" s="65" t="str">
        <f>IF(Table1[[#This Row],[Pick]]="","",IF(S329&gt;1,400,IF(G329="","",IF(C329="Passing",(400-Table1[[#This Row],[Passing Yards]]-(30*Table1[[#This Row],[Passing TDs]])-(50*SUM(Table1[[#This Row],[Rushing TDs]:[Other TD''s]]))),IF(C329="Rushing",2*(200-Table1[[#This Row],[Rushing Yards]]-(30*Table1[[#This Row],[Passing TDs]])-50*(Table1[[#This Row],[Rushing TDs]]+Table1[[#This Row],[Receiving TDs]]+Table1[[#This Row],[Other TD''s]])),IF(C329="Receiving",2*(200-Table1[[#This Row],[Receiving Yards]]-(30*Table1[[#This Row],[Passing TDs]])-50*(Table1[[#This Row],[Rushing TDs]]+Table1[[#This Row],[Receiving TDs]]+Table1[[#This Row],[Other TD''s]])),IF(C329="Defensive",(25*(16-Table1[[#This Row],[Tackles]]-(8*(Table1[[#This Row],[Other TD''s]]+Table1[[#This Row],[Interceptions]]+Table1[[#This Row],[Fumbles Recovered]])))))))))))</f>
        <v/>
      </c>
      <c r="R329" s="3" t="str">
        <f t="shared" si="12"/>
        <v/>
      </c>
      <c r="S329" s="4">
        <f t="shared" si="11"/>
        <v>1048507</v>
      </c>
      <c r="T3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0" spans="1:20" hidden="1" x14ac:dyDescent="0.25">
      <c r="A330" t="s">
        <v>62</v>
      </c>
      <c r="B330" s="28" t="s">
        <v>48</v>
      </c>
      <c r="C330" t="s">
        <v>20</v>
      </c>
      <c r="D330" t="str">
        <f>_xlfn.XLOOKUP(Table1[[#This Row],[Player]]&amp;Table1[[#This Row],[Week]]&amp;Table1[[#This Row],[Role]],'Google Form Transform'!$A:$A,'Google Form Transform'!E:E,"")</f>
        <v/>
      </c>
      <c r="E330" t="str">
        <f>_xlfn.XLOOKUP(Table1[[#This Row],[Player]]&amp;Table1[[#This Row],[Week]]&amp;Table1[[#This Row],[Role]],'Google Form Transform'!$A:$A,'Google Form Transform'!F:F,"")</f>
        <v/>
      </c>
      <c r="F330" t="str">
        <f>_xlfn.XLOOKUP(Table1[[#This Row],[Player]]&amp;Table1[[#This Row],[Week]]&amp;Table1[[#This Row],[Role]],'Google Form Transform'!$A:$A,'Google Form Transform'!G:G,"")</f>
        <v/>
      </c>
      <c r="G330" s="59">
        <f>SUMIFS(Table2[Stat],Table2[Stat Category],"passing",Table2[Stat Type],"YDS",Table2[Athlete],Table1[[#This Row],[Pick]],Table2[Week],Table1[[#This Row],[Week]])</f>
        <v>0</v>
      </c>
      <c r="H330" s="59">
        <f>SUMIFS(Table2[Stat],Table2[Stat Category],"rushing",Table2[Stat Type],"YDS",Table2[Athlete],Table1[[#This Row],[Pick]],Table2[Week],Table1[[#This Row],[Week]])</f>
        <v>0</v>
      </c>
      <c r="I330" s="59">
        <f>SUMIFS(Table2[Stat],Table2[Stat Category],"receiving",Table2[Stat Type],"YDS",Table2[Athlete],Table1[[#This Row],[Pick]],Table2[Week],Table1[[#This Row],[Week]])</f>
        <v>0</v>
      </c>
      <c r="J330" s="6">
        <f>IF(AND($C330="Rushing", $H330&lt;=0), 0, IF(AND($C330="Passing", $G$3&lt;=0), 0,IF(AND($C330="Receiving",$I330&lt;=0), 0,SUMIFS(Table2[Stat],Table2[Week],Table1[[#This Row],[Week]],Table2[Athlete],Table1[[#This Row],[Pick]],Table2[Stat Category],"passing",Table2[Stat Type],"TD"))))</f>
        <v>0</v>
      </c>
      <c r="K330" s="6">
        <f>IF(AND($C330="Rushing", $H330&lt;=0), 0, IF(AND($C330="Passing", $G$3&lt;=0), 0,IF(AND($C330="Receiving",$I330&lt;=0),0,SUMIFS(Table2[Stat],Table2[Week],Table1[[#This Row],[Week]],Table2[Athlete],Table1[[#This Row],[Pick]],Table2[Stat Category],"rushing",Table2[Stat Type],"TD"))))</f>
        <v>0</v>
      </c>
      <c r="L330" s="6">
        <f>IF(AND($C330="Rushing", $H330&lt;=0), 0, IF(AND($C330="Passing", $G$3&lt;=0), 0,IF(AND($C330="Receiving",$I330&lt;=0),0,SUMIFS(Table2[Stat],Table2[Week],Table1[[#This Row],[Week]],Table2[Athlete],Table1[[#This Row],[Pick]],Table2[Stat Category],"receiving",Table2[Stat Type],"TD"))))</f>
        <v>0</v>
      </c>
      <c r="M3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0" s="61">
        <f>SUMIFS(Data!$J:$J,Data!$A:$A,Info!$B330,Data!$G:$G,Info!$C330,Data!$I:$I,Info!$D330,Data!$H:$H,"TOT")</f>
        <v>0</v>
      </c>
      <c r="O330" s="61">
        <f>IF(C330="Defensive",SUMIFS(Data!$J:$J,Data!$A:$A,Info!$B330,Data!$I:$I,Info!$D330,Data!$H:$H,"INT"),0)</f>
        <v>0</v>
      </c>
      <c r="P330" s="61">
        <f>IF(Table1[[#This Row],[Role]]="Defensive",SUMIFS(Data!$J:$J,Data!$A:$A,Info!$B330,Data!$I:$I,Info!$D330,Data!$H:$H,$P$1),0)</f>
        <v>0</v>
      </c>
      <c r="Q330" s="65" t="str">
        <f>IF(Table1[[#This Row],[Pick]]="","",IF(S330&gt;1,400,IF(G330="","",IF(C330="Passing",(400-Table1[[#This Row],[Passing Yards]]-(30*Table1[[#This Row],[Passing TDs]])-(50*SUM(Table1[[#This Row],[Rushing TDs]:[Other TD''s]]))),IF(C330="Rushing",2*(200-Table1[[#This Row],[Rushing Yards]]-(30*Table1[[#This Row],[Passing TDs]])-50*(Table1[[#This Row],[Rushing TDs]]+Table1[[#This Row],[Receiving TDs]]+Table1[[#This Row],[Other TD''s]])),IF(C330="Receiving",2*(200-Table1[[#This Row],[Receiving Yards]]-(30*Table1[[#This Row],[Passing TDs]])-50*(Table1[[#This Row],[Rushing TDs]]+Table1[[#This Row],[Receiving TDs]]+Table1[[#This Row],[Other TD''s]])),IF(C330="Defensive",(25*(16-Table1[[#This Row],[Tackles]]-(8*(Table1[[#This Row],[Other TD''s]]+Table1[[#This Row],[Interceptions]]+Table1[[#This Row],[Fumbles Recovered]])))))))))))</f>
        <v/>
      </c>
      <c r="R330" s="3" t="str">
        <f t="shared" si="12"/>
        <v/>
      </c>
      <c r="S330" s="4">
        <f t="shared" si="11"/>
        <v>1048507</v>
      </c>
      <c r="T3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1" spans="1:20" hidden="1" x14ac:dyDescent="0.25">
      <c r="A331" t="s">
        <v>59</v>
      </c>
      <c r="B331" s="28" t="s">
        <v>48</v>
      </c>
      <c r="C331" t="s">
        <v>16</v>
      </c>
      <c r="D331" t="str">
        <f>_xlfn.XLOOKUP(Table1[[#This Row],[Player]]&amp;Table1[[#This Row],[Week]]&amp;Table1[[#This Row],[Role]],'Google Form Transform'!$A:$A,'Google Form Transform'!E:E,"")</f>
        <v/>
      </c>
      <c r="E331" t="str">
        <f>_xlfn.XLOOKUP(Table1[[#This Row],[Player]]&amp;Table1[[#This Row],[Week]]&amp;Table1[[#This Row],[Role]],'Google Form Transform'!$A:$A,'Google Form Transform'!F:F,"")</f>
        <v/>
      </c>
      <c r="F331" t="str">
        <f>_xlfn.XLOOKUP(Table1[[#This Row],[Player]]&amp;Table1[[#This Row],[Week]]&amp;Table1[[#This Row],[Role]],'Google Form Transform'!$A:$A,'Google Form Transform'!G:G,"")</f>
        <v/>
      </c>
      <c r="G331" s="59">
        <f>SUMIFS(Table2[Stat],Table2[Stat Category],"passing",Table2[Stat Type],"YDS",Table2[Athlete],Table1[[#This Row],[Pick]],Table2[Week],Table1[[#This Row],[Week]])</f>
        <v>0</v>
      </c>
      <c r="H331" s="59">
        <f>SUMIFS(Table2[Stat],Table2[Stat Category],"rushing",Table2[Stat Type],"YDS",Table2[Athlete],Table1[[#This Row],[Pick]],Table2[Week],Table1[[#This Row],[Week]])</f>
        <v>0</v>
      </c>
      <c r="I331" s="59">
        <f>SUMIFS(Table2[Stat],Table2[Stat Category],"receiving",Table2[Stat Type],"YDS",Table2[Athlete],Table1[[#This Row],[Pick]],Table2[Week],Table1[[#This Row],[Week]])</f>
        <v>0</v>
      </c>
      <c r="J331" s="6">
        <f>IF(AND($C331="Rushing", $H331&lt;=0), 0, IF(AND($C331="Passing", $G$3&lt;=0), 0,IF(AND($C331="Receiving",$I331&lt;=0), 0,SUMIFS(Table2[Stat],Table2[Week],Table1[[#This Row],[Week]],Table2[Athlete],Table1[[#This Row],[Pick]],Table2[Stat Category],"passing",Table2[Stat Type],"TD"))))</f>
        <v>0</v>
      </c>
      <c r="K331" s="6">
        <f>IF(AND($C331="Rushing", $H331&lt;=0), 0, IF(AND($C331="Passing", $G$3&lt;=0), 0,IF(AND($C331="Receiving",$I331&lt;=0),0,SUMIFS(Table2[Stat],Table2[Week],Table1[[#This Row],[Week]],Table2[Athlete],Table1[[#This Row],[Pick]],Table2[Stat Category],"rushing",Table2[Stat Type],"TD"))))</f>
        <v>0</v>
      </c>
      <c r="L331" s="6">
        <f>IF(AND($C331="Rushing", $H331&lt;=0), 0, IF(AND($C331="Passing", $G$3&lt;=0), 0,IF(AND($C331="Receiving",$I331&lt;=0),0,SUMIFS(Table2[Stat],Table2[Week],Table1[[#This Row],[Week]],Table2[Athlete],Table1[[#This Row],[Pick]],Table2[Stat Category],"receiving",Table2[Stat Type],"TD"))))</f>
        <v>0</v>
      </c>
      <c r="M3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1" s="61">
        <f>SUMIFS(Data!$J:$J,Data!$A:$A,Info!$B331,Data!$G:$G,Info!$C331,Data!$I:$I,Info!$D331,Data!$H:$H,"TOT")</f>
        <v>0</v>
      </c>
      <c r="O331" s="61">
        <f>IF(C331="Defensive",SUMIFS(Data!$J:$J,Data!$A:$A,Info!$B331,Data!$I:$I,Info!$D331,Data!$H:$H,"INT"),0)</f>
        <v>0</v>
      </c>
      <c r="P331" s="61">
        <f>IF(Table1[[#This Row],[Role]]="Defensive",SUMIFS(Data!$J:$J,Data!$A:$A,Info!$B331,Data!$I:$I,Info!$D331,Data!$H:$H,$P$1),0)</f>
        <v>0</v>
      </c>
      <c r="Q331" s="65" t="str">
        <f>IF(Table1[[#This Row],[Pick]]="","",IF(S331&gt;1,400,IF(G331="","",IF(C331="Passing",(400-Table1[[#This Row],[Passing Yards]]-(30*Table1[[#This Row],[Passing TDs]])-(50*SUM(Table1[[#This Row],[Rushing TDs]:[Other TD''s]]))),IF(C331="Rushing",2*(200-Table1[[#This Row],[Rushing Yards]]-(30*Table1[[#This Row],[Passing TDs]])-50*(Table1[[#This Row],[Rushing TDs]]+Table1[[#This Row],[Receiving TDs]]+Table1[[#This Row],[Other TD''s]])),IF(C331="Receiving",2*(200-Table1[[#This Row],[Receiving Yards]]-(30*Table1[[#This Row],[Passing TDs]])-50*(Table1[[#This Row],[Rushing TDs]]+Table1[[#This Row],[Receiving TDs]]+Table1[[#This Row],[Other TD''s]])),IF(C331="Defensive",(25*(16-Table1[[#This Row],[Tackles]]-(8*(Table1[[#This Row],[Other TD''s]]+Table1[[#This Row],[Interceptions]]+Table1[[#This Row],[Fumbles Recovered]])))))))))))</f>
        <v/>
      </c>
      <c r="R331" s="3" t="str">
        <f t="shared" si="12"/>
        <v/>
      </c>
      <c r="S331" s="4">
        <f t="shared" si="11"/>
        <v>1048507</v>
      </c>
      <c r="T3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2" spans="1:20" hidden="1" x14ac:dyDescent="0.25">
      <c r="A332" t="s">
        <v>59</v>
      </c>
      <c r="B332" s="28" t="s">
        <v>48</v>
      </c>
      <c r="C332" t="s">
        <v>6</v>
      </c>
      <c r="D332" t="str">
        <f>_xlfn.XLOOKUP(Table1[[#This Row],[Player]]&amp;Table1[[#This Row],[Week]]&amp;Table1[[#This Row],[Role]],'Google Form Transform'!$A:$A,'Google Form Transform'!E:E,"")</f>
        <v/>
      </c>
      <c r="E332" t="str">
        <f>_xlfn.XLOOKUP(Table1[[#This Row],[Player]]&amp;Table1[[#This Row],[Week]]&amp;Table1[[#This Row],[Role]],'Google Form Transform'!$A:$A,'Google Form Transform'!F:F,"")</f>
        <v/>
      </c>
      <c r="F332" t="str">
        <f>_xlfn.XLOOKUP(Table1[[#This Row],[Player]]&amp;Table1[[#This Row],[Week]]&amp;Table1[[#This Row],[Role]],'Google Form Transform'!$A:$A,'Google Form Transform'!G:G,"")</f>
        <v/>
      </c>
      <c r="G332" s="59">
        <f>SUMIFS(Table2[Stat],Table2[Stat Category],"passing",Table2[Stat Type],"YDS",Table2[Athlete],Table1[[#This Row],[Pick]],Table2[Week],Table1[[#This Row],[Week]])</f>
        <v>0</v>
      </c>
      <c r="H332" s="59">
        <f>SUMIFS(Table2[Stat],Table2[Stat Category],"rushing",Table2[Stat Type],"YDS",Table2[Athlete],Table1[[#This Row],[Pick]],Table2[Week],Table1[[#This Row],[Week]])</f>
        <v>0</v>
      </c>
      <c r="I332" s="59">
        <f>SUMIFS(Table2[Stat],Table2[Stat Category],"receiving",Table2[Stat Type],"YDS",Table2[Athlete],Table1[[#This Row],[Pick]],Table2[Week],Table1[[#This Row],[Week]])</f>
        <v>0</v>
      </c>
      <c r="J332" s="6">
        <f>IF(AND($C332="Rushing", $H332&lt;=0), 0, IF(AND($C332="Passing", $G$3&lt;=0), 0,IF(AND($C332="Receiving",$I332&lt;=0), 0,SUMIFS(Table2[Stat],Table2[Week],Table1[[#This Row],[Week]],Table2[Athlete],Table1[[#This Row],[Pick]],Table2[Stat Category],"passing",Table2[Stat Type],"TD"))))</f>
        <v>0</v>
      </c>
      <c r="K332" s="6">
        <f>IF(AND($C332="Rushing", $H332&lt;=0), 0, IF(AND($C332="Passing", $G$3&lt;=0), 0,IF(AND($C332="Receiving",$I332&lt;=0),0,SUMIFS(Table2[Stat],Table2[Week],Table1[[#This Row],[Week]],Table2[Athlete],Table1[[#This Row],[Pick]],Table2[Stat Category],"rushing",Table2[Stat Type],"TD"))))</f>
        <v>0</v>
      </c>
      <c r="L332" s="6">
        <f>IF(AND($C332="Rushing", $H332&lt;=0), 0, IF(AND($C332="Passing", $G$3&lt;=0), 0,IF(AND($C332="Receiving",$I332&lt;=0),0,SUMIFS(Table2[Stat],Table2[Week],Table1[[#This Row],[Week]],Table2[Athlete],Table1[[#This Row],[Pick]],Table2[Stat Category],"receiving",Table2[Stat Type],"TD"))))</f>
        <v>0</v>
      </c>
      <c r="M3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2" s="61">
        <f>SUMIFS(Data!$J:$J,Data!$A:$A,Info!$B332,Data!$G:$G,Info!$C332,Data!$I:$I,Info!$D332,Data!$H:$H,"TOT")</f>
        <v>0</v>
      </c>
      <c r="O332" s="61">
        <f>IF(C332="Defensive",SUMIFS(Data!$J:$J,Data!$A:$A,Info!$B332,Data!$I:$I,Info!$D332,Data!$H:$H,"INT"),0)</f>
        <v>0</v>
      </c>
      <c r="P332" s="61">
        <f>IF(Table1[[#This Row],[Role]]="Defensive",SUMIFS(Data!$J:$J,Data!$A:$A,Info!$B332,Data!$I:$I,Info!$D332,Data!$H:$H,$P$1),0)</f>
        <v>0</v>
      </c>
      <c r="Q332" s="65" t="str">
        <f>IF(Table1[[#This Row],[Pick]]="","",IF(S332&gt;1,400,IF(G332="","",IF(C332="Passing",(400-Table1[[#This Row],[Passing Yards]]-(30*Table1[[#This Row],[Passing TDs]])-(50*SUM(Table1[[#This Row],[Rushing TDs]:[Other TD''s]]))),IF(C332="Rushing",2*(200-Table1[[#This Row],[Rushing Yards]]-(30*Table1[[#This Row],[Passing TDs]])-50*(Table1[[#This Row],[Rushing TDs]]+Table1[[#This Row],[Receiving TDs]]+Table1[[#This Row],[Other TD''s]])),IF(C332="Receiving",2*(200-Table1[[#This Row],[Receiving Yards]]-(30*Table1[[#This Row],[Passing TDs]])-50*(Table1[[#This Row],[Rushing TDs]]+Table1[[#This Row],[Receiving TDs]]+Table1[[#This Row],[Other TD''s]])),IF(C332="Defensive",(25*(16-Table1[[#This Row],[Tackles]]-(8*(Table1[[#This Row],[Other TD''s]]+Table1[[#This Row],[Interceptions]]+Table1[[#This Row],[Fumbles Recovered]])))))))))))</f>
        <v/>
      </c>
      <c r="R332" s="3" t="str">
        <f t="shared" si="12"/>
        <v/>
      </c>
      <c r="S332" s="4">
        <f t="shared" si="11"/>
        <v>1048507</v>
      </c>
      <c r="T3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3" spans="1:20" hidden="1" x14ac:dyDescent="0.25">
      <c r="A333" t="s">
        <v>59</v>
      </c>
      <c r="B333" s="28" t="s">
        <v>48</v>
      </c>
      <c r="C333" t="s">
        <v>17</v>
      </c>
      <c r="D333" t="str">
        <f>_xlfn.XLOOKUP(Table1[[#This Row],[Player]]&amp;Table1[[#This Row],[Week]]&amp;Table1[[#This Row],[Role]],'Google Form Transform'!$A:$A,'Google Form Transform'!E:E,"")</f>
        <v/>
      </c>
      <c r="E333" t="str">
        <f>_xlfn.XLOOKUP(Table1[[#This Row],[Player]]&amp;Table1[[#This Row],[Week]]&amp;Table1[[#This Row],[Role]],'Google Form Transform'!$A:$A,'Google Form Transform'!F:F,"")</f>
        <v/>
      </c>
      <c r="F333" t="str">
        <f>_xlfn.XLOOKUP(Table1[[#This Row],[Player]]&amp;Table1[[#This Row],[Week]]&amp;Table1[[#This Row],[Role]],'Google Form Transform'!$A:$A,'Google Form Transform'!G:G,"")</f>
        <v/>
      </c>
      <c r="G333" s="59">
        <f>SUMIFS(Table2[Stat],Table2[Stat Category],"passing",Table2[Stat Type],"YDS",Table2[Athlete],Table1[[#This Row],[Pick]],Table2[Week],Table1[[#This Row],[Week]])</f>
        <v>0</v>
      </c>
      <c r="H333" s="59">
        <f>SUMIFS(Table2[Stat],Table2[Stat Category],"rushing",Table2[Stat Type],"YDS",Table2[Athlete],Table1[[#This Row],[Pick]],Table2[Week],Table1[[#This Row],[Week]])</f>
        <v>0</v>
      </c>
      <c r="I333" s="59">
        <f>SUMIFS(Table2[Stat],Table2[Stat Category],"receiving",Table2[Stat Type],"YDS",Table2[Athlete],Table1[[#This Row],[Pick]],Table2[Week],Table1[[#This Row],[Week]])</f>
        <v>0</v>
      </c>
      <c r="J333" s="6">
        <f>IF(AND($C333="Rushing", $H333&lt;=0), 0, IF(AND($C333="Passing", $G$3&lt;=0), 0,IF(AND($C333="Receiving",$I333&lt;=0), 0,SUMIFS(Table2[Stat],Table2[Week],Table1[[#This Row],[Week]],Table2[Athlete],Table1[[#This Row],[Pick]],Table2[Stat Category],"passing",Table2[Stat Type],"TD"))))</f>
        <v>0</v>
      </c>
      <c r="K333" s="6">
        <f>IF(AND($C333="Rushing", $H333&lt;=0), 0, IF(AND($C333="Passing", $G$3&lt;=0), 0,IF(AND($C333="Receiving",$I333&lt;=0),0,SUMIFS(Table2[Stat],Table2[Week],Table1[[#This Row],[Week]],Table2[Athlete],Table1[[#This Row],[Pick]],Table2[Stat Category],"rushing",Table2[Stat Type],"TD"))))</f>
        <v>0</v>
      </c>
      <c r="L333" s="6">
        <f>IF(AND($C333="Rushing", $H333&lt;=0), 0, IF(AND($C333="Passing", $G$3&lt;=0), 0,IF(AND($C333="Receiving",$I333&lt;=0),0,SUMIFS(Table2[Stat],Table2[Week],Table1[[#This Row],[Week]],Table2[Athlete],Table1[[#This Row],[Pick]],Table2[Stat Category],"receiving",Table2[Stat Type],"TD"))))</f>
        <v>0</v>
      </c>
      <c r="M3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3" s="61">
        <f>SUMIFS(Data!$J:$J,Data!$A:$A,Info!$B333,Data!$G:$G,Info!$C333,Data!$I:$I,Info!$D333,Data!$H:$H,"TOT")</f>
        <v>0</v>
      </c>
      <c r="O333" s="61">
        <f>IF(C333="Defensive",SUMIFS(Data!$J:$J,Data!$A:$A,Info!$B333,Data!$I:$I,Info!$D333,Data!$H:$H,"INT"),0)</f>
        <v>0</v>
      </c>
      <c r="P333" s="61">
        <f>IF(Table1[[#This Row],[Role]]="Defensive",SUMIFS(Data!$J:$J,Data!$A:$A,Info!$B333,Data!$I:$I,Info!$D333,Data!$H:$H,$P$1),0)</f>
        <v>0</v>
      </c>
      <c r="Q333" s="65" t="str">
        <f>IF(Table1[[#This Row],[Pick]]="","",IF(S333&gt;1,400,IF(G333="","",IF(C333="Passing",(400-Table1[[#This Row],[Passing Yards]]-(30*Table1[[#This Row],[Passing TDs]])-(50*SUM(Table1[[#This Row],[Rushing TDs]:[Other TD''s]]))),IF(C333="Rushing",2*(200-Table1[[#This Row],[Rushing Yards]]-(30*Table1[[#This Row],[Passing TDs]])-50*(Table1[[#This Row],[Rushing TDs]]+Table1[[#This Row],[Receiving TDs]]+Table1[[#This Row],[Other TD''s]])),IF(C333="Receiving",2*(200-Table1[[#This Row],[Receiving Yards]]-(30*Table1[[#This Row],[Passing TDs]])-50*(Table1[[#This Row],[Rushing TDs]]+Table1[[#This Row],[Receiving TDs]]+Table1[[#This Row],[Other TD''s]])),IF(C333="Defensive",(25*(16-Table1[[#This Row],[Tackles]]-(8*(Table1[[#This Row],[Other TD''s]]+Table1[[#This Row],[Interceptions]]+Table1[[#This Row],[Fumbles Recovered]])))))))))))</f>
        <v/>
      </c>
      <c r="R333" s="3" t="str">
        <f t="shared" si="12"/>
        <v/>
      </c>
      <c r="S333" s="4">
        <f t="shared" si="11"/>
        <v>1048507</v>
      </c>
      <c r="T3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4" spans="1:20" hidden="1" x14ac:dyDescent="0.25">
      <c r="A334" t="s">
        <v>59</v>
      </c>
      <c r="B334" s="28" t="s">
        <v>48</v>
      </c>
      <c r="C334" t="s">
        <v>20</v>
      </c>
      <c r="D334" t="str">
        <f>_xlfn.XLOOKUP(Table1[[#This Row],[Player]]&amp;Table1[[#This Row],[Week]]&amp;Table1[[#This Row],[Role]],'Google Form Transform'!$A:$A,'Google Form Transform'!E:E,"")</f>
        <v/>
      </c>
      <c r="E334" t="str">
        <f>_xlfn.XLOOKUP(Table1[[#This Row],[Player]]&amp;Table1[[#This Row],[Week]]&amp;Table1[[#This Row],[Role]],'Google Form Transform'!$A:$A,'Google Form Transform'!F:F,"")</f>
        <v/>
      </c>
      <c r="F334" t="str">
        <f>_xlfn.XLOOKUP(Table1[[#This Row],[Player]]&amp;Table1[[#This Row],[Week]]&amp;Table1[[#This Row],[Role]],'Google Form Transform'!$A:$A,'Google Form Transform'!G:G,"")</f>
        <v/>
      </c>
      <c r="G334" s="59">
        <f>SUMIFS(Table2[Stat],Table2[Stat Category],"passing",Table2[Stat Type],"YDS",Table2[Athlete],Table1[[#This Row],[Pick]],Table2[Week],Table1[[#This Row],[Week]])</f>
        <v>0</v>
      </c>
      <c r="H334" s="59">
        <f>SUMIFS(Table2[Stat],Table2[Stat Category],"rushing",Table2[Stat Type],"YDS",Table2[Athlete],Table1[[#This Row],[Pick]],Table2[Week],Table1[[#This Row],[Week]])</f>
        <v>0</v>
      </c>
      <c r="I334" s="59">
        <f>SUMIFS(Table2[Stat],Table2[Stat Category],"receiving",Table2[Stat Type],"YDS",Table2[Athlete],Table1[[#This Row],[Pick]],Table2[Week],Table1[[#This Row],[Week]])</f>
        <v>0</v>
      </c>
      <c r="J334" s="6">
        <f>IF(AND($C334="Rushing", $H334&lt;=0), 0, IF(AND($C334="Passing", $G$3&lt;=0), 0,IF(AND($C334="Receiving",$I334&lt;=0), 0,SUMIFS(Table2[Stat],Table2[Week],Table1[[#This Row],[Week]],Table2[Athlete],Table1[[#This Row],[Pick]],Table2[Stat Category],"passing",Table2[Stat Type],"TD"))))</f>
        <v>0</v>
      </c>
      <c r="K334" s="6">
        <f>IF(AND($C334="Rushing", $H334&lt;=0), 0, IF(AND($C334="Passing", $G$3&lt;=0), 0,IF(AND($C334="Receiving",$I334&lt;=0),0,SUMIFS(Table2[Stat],Table2[Week],Table1[[#This Row],[Week]],Table2[Athlete],Table1[[#This Row],[Pick]],Table2[Stat Category],"rushing",Table2[Stat Type],"TD"))))</f>
        <v>0</v>
      </c>
      <c r="L334" s="6">
        <f>IF(AND($C334="Rushing", $H334&lt;=0), 0, IF(AND($C334="Passing", $G$3&lt;=0), 0,IF(AND($C334="Receiving",$I334&lt;=0),0,SUMIFS(Table2[Stat],Table2[Week],Table1[[#This Row],[Week]],Table2[Athlete],Table1[[#This Row],[Pick]],Table2[Stat Category],"receiving",Table2[Stat Type],"TD"))))</f>
        <v>0</v>
      </c>
      <c r="M3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4" s="61">
        <f>SUMIFS(Data!$J:$J,Data!$A:$A,Info!$B334,Data!$G:$G,Info!$C334,Data!$I:$I,Info!$D334,Data!$H:$H,"TOT")</f>
        <v>0</v>
      </c>
      <c r="O334" s="61">
        <f>IF(C334="Defensive",SUMIFS(Data!$J:$J,Data!$A:$A,Info!$B334,Data!$I:$I,Info!$D334,Data!$H:$H,"INT"),0)</f>
        <v>0</v>
      </c>
      <c r="P334" s="61">
        <f>IF(Table1[[#This Row],[Role]]="Defensive",SUMIFS(Data!$J:$J,Data!$A:$A,Info!$B334,Data!$I:$I,Info!$D334,Data!$H:$H,$P$1),0)</f>
        <v>0</v>
      </c>
      <c r="Q334" s="65" t="str">
        <f>IF(Table1[[#This Row],[Pick]]="","",IF(S334&gt;1,400,IF(G334="","",IF(C334="Passing",(400-Table1[[#This Row],[Passing Yards]]-(30*Table1[[#This Row],[Passing TDs]])-(50*SUM(Table1[[#This Row],[Rushing TDs]:[Other TD''s]]))),IF(C334="Rushing",2*(200-Table1[[#This Row],[Rushing Yards]]-(30*Table1[[#This Row],[Passing TDs]])-50*(Table1[[#This Row],[Rushing TDs]]+Table1[[#This Row],[Receiving TDs]]+Table1[[#This Row],[Other TD''s]])),IF(C334="Receiving",2*(200-Table1[[#This Row],[Receiving Yards]]-(30*Table1[[#This Row],[Passing TDs]])-50*(Table1[[#This Row],[Rushing TDs]]+Table1[[#This Row],[Receiving TDs]]+Table1[[#This Row],[Other TD''s]])),IF(C334="Defensive",(25*(16-Table1[[#This Row],[Tackles]]-(8*(Table1[[#This Row],[Other TD''s]]+Table1[[#This Row],[Interceptions]]+Table1[[#This Row],[Fumbles Recovered]])))))))))))</f>
        <v/>
      </c>
      <c r="R334" s="3" t="str">
        <f t="shared" si="12"/>
        <v/>
      </c>
      <c r="S334" s="4">
        <f t="shared" si="11"/>
        <v>1048507</v>
      </c>
      <c r="T3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5" spans="1:20" hidden="1" x14ac:dyDescent="0.25">
      <c r="A335" t="s">
        <v>68</v>
      </c>
      <c r="B335" s="28" t="s">
        <v>48</v>
      </c>
      <c r="C335" t="s">
        <v>16</v>
      </c>
      <c r="D335" t="str">
        <f>_xlfn.XLOOKUP(Table1[[#This Row],[Player]]&amp;Table1[[#This Row],[Week]]&amp;Table1[[#This Row],[Role]],'Google Form Transform'!$A:$A,'Google Form Transform'!E:E,"")</f>
        <v/>
      </c>
      <c r="E335" t="str">
        <f>_xlfn.XLOOKUP(Table1[[#This Row],[Player]]&amp;Table1[[#This Row],[Week]]&amp;Table1[[#This Row],[Role]],'Google Form Transform'!$A:$A,'Google Form Transform'!F:F,"")</f>
        <v/>
      </c>
      <c r="F335" t="str">
        <f>_xlfn.XLOOKUP(Table1[[#This Row],[Player]]&amp;Table1[[#This Row],[Week]]&amp;Table1[[#This Row],[Role]],'Google Form Transform'!$A:$A,'Google Form Transform'!G:G,"")</f>
        <v/>
      </c>
      <c r="G335" s="59">
        <f>SUMIFS(Table2[Stat],Table2[Stat Category],"passing",Table2[Stat Type],"YDS",Table2[Athlete],Table1[[#This Row],[Pick]],Table2[Week],Table1[[#This Row],[Week]])</f>
        <v>0</v>
      </c>
      <c r="H335" s="59">
        <f>SUMIFS(Table2[Stat],Table2[Stat Category],"rushing",Table2[Stat Type],"YDS",Table2[Athlete],Table1[[#This Row],[Pick]],Table2[Week],Table1[[#This Row],[Week]])</f>
        <v>0</v>
      </c>
      <c r="I335" s="59">
        <f>SUMIFS(Table2[Stat],Table2[Stat Category],"receiving",Table2[Stat Type],"YDS",Table2[Athlete],Table1[[#This Row],[Pick]],Table2[Week],Table1[[#This Row],[Week]])</f>
        <v>0</v>
      </c>
      <c r="J335" s="6">
        <f>IF(AND($C335="Rushing", $H335&lt;=0), 0, IF(AND($C335="Passing", $G$3&lt;=0), 0,IF(AND($C335="Receiving",$I335&lt;=0), 0,SUMIFS(Table2[Stat],Table2[Week],Table1[[#This Row],[Week]],Table2[Athlete],Table1[[#This Row],[Pick]],Table2[Stat Category],"passing",Table2[Stat Type],"TD"))))</f>
        <v>0</v>
      </c>
      <c r="K335" s="6">
        <f>IF(AND($C335="Rushing", $H335&lt;=0), 0, IF(AND($C335="Passing", $G$3&lt;=0), 0,IF(AND($C335="Receiving",$I335&lt;=0),0,SUMIFS(Table2[Stat],Table2[Week],Table1[[#This Row],[Week]],Table2[Athlete],Table1[[#This Row],[Pick]],Table2[Stat Category],"rushing",Table2[Stat Type],"TD"))))</f>
        <v>0</v>
      </c>
      <c r="L335" s="6">
        <f>IF(AND($C335="Rushing", $H335&lt;=0), 0, IF(AND($C335="Passing", $G$3&lt;=0), 0,IF(AND($C335="Receiving",$I335&lt;=0),0,SUMIFS(Table2[Stat],Table2[Week],Table1[[#This Row],[Week]],Table2[Athlete],Table1[[#This Row],[Pick]],Table2[Stat Category],"receiving",Table2[Stat Type],"TD"))))</f>
        <v>0</v>
      </c>
      <c r="M3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5" s="61">
        <f>SUMIFS(Data!$J:$J,Data!$A:$A,Info!$B335,Data!$G:$G,Info!$C335,Data!$I:$I,Info!$D335,Data!$H:$H,"TOT")</f>
        <v>0</v>
      </c>
      <c r="O335" s="61">
        <f>IF(C335="Defensive",SUMIFS(Data!$J:$J,Data!$A:$A,Info!$B335,Data!$I:$I,Info!$D335,Data!$H:$H,"INT"),0)</f>
        <v>0</v>
      </c>
      <c r="P335" s="61">
        <f>IF(Table1[[#This Row],[Role]]="Defensive",SUMIFS(Data!$J:$J,Data!$A:$A,Info!$B335,Data!$I:$I,Info!$D335,Data!$H:$H,$P$1),0)</f>
        <v>0</v>
      </c>
      <c r="Q335" s="65" t="str">
        <f>IF(Table1[[#This Row],[Pick]]="","",IF(S335&gt;1,400,IF(G335="","",IF(C335="Passing",(400-Table1[[#This Row],[Passing Yards]]-(30*Table1[[#This Row],[Passing TDs]])-(50*SUM(Table1[[#This Row],[Rushing TDs]:[Other TD''s]]))),IF(C335="Rushing",2*(200-Table1[[#This Row],[Rushing Yards]]-(30*Table1[[#This Row],[Passing TDs]])-50*(Table1[[#This Row],[Rushing TDs]]+Table1[[#This Row],[Receiving TDs]]+Table1[[#This Row],[Other TD''s]])),IF(C335="Receiving",2*(200-Table1[[#This Row],[Receiving Yards]]-(30*Table1[[#This Row],[Passing TDs]])-50*(Table1[[#This Row],[Rushing TDs]]+Table1[[#This Row],[Receiving TDs]]+Table1[[#This Row],[Other TD''s]])),IF(C335="Defensive",(25*(16-Table1[[#This Row],[Tackles]]-(8*(Table1[[#This Row],[Other TD''s]]+Table1[[#This Row],[Interceptions]]+Table1[[#This Row],[Fumbles Recovered]])))))))))))</f>
        <v/>
      </c>
      <c r="R335" s="3" t="str">
        <f t="shared" si="12"/>
        <v/>
      </c>
      <c r="S335" s="4">
        <f t="shared" si="11"/>
        <v>1048507</v>
      </c>
      <c r="T3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6" spans="1:20" hidden="1" x14ac:dyDescent="0.25">
      <c r="A336" t="s">
        <v>68</v>
      </c>
      <c r="B336" s="28" t="s">
        <v>48</v>
      </c>
      <c r="C336" t="s">
        <v>6</v>
      </c>
      <c r="D336" t="str">
        <f>_xlfn.XLOOKUP(Table1[[#This Row],[Player]]&amp;Table1[[#This Row],[Week]]&amp;Table1[[#This Row],[Role]],'Google Form Transform'!$A:$A,'Google Form Transform'!E:E,"")</f>
        <v/>
      </c>
      <c r="E336" t="str">
        <f>_xlfn.XLOOKUP(Table1[[#This Row],[Player]]&amp;Table1[[#This Row],[Week]]&amp;Table1[[#This Row],[Role]],'Google Form Transform'!$A:$A,'Google Form Transform'!F:F,"")</f>
        <v/>
      </c>
      <c r="F336" t="str">
        <f>_xlfn.XLOOKUP(Table1[[#This Row],[Player]]&amp;Table1[[#This Row],[Week]]&amp;Table1[[#This Row],[Role]],'Google Form Transform'!$A:$A,'Google Form Transform'!G:G,"")</f>
        <v/>
      </c>
      <c r="G336" s="59">
        <f>SUMIFS(Table2[Stat],Table2[Stat Category],"passing",Table2[Stat Type],"YDS",Table2[Athlete],Table1[[#This Row],[Pick]],Table2[Week],Table1[[#This Row],[Week]])</f>
        <v>0</v>
      </c>
      <c r="H336" s="59">
        <f>SUMIFS(Table2[Stat],Table2[Stat Category],"rushing",Table2[Stat Type],"YDS",Table2[Athlete],Table1[[#This Row],[Pick]],Table2[Week],Table1[[#This Row],[Week]])</f>
        <v>0</v>
      </c>
      <c r="I336" s="59">
        <f>SUMIFS(Table2[Stat],Table2[Stat Category],"receiving",Table2[Stat Type],"YDS",Table2[Athlete],Table1[[#This Row],[Pick]],Table2[Week],Table1[[#This Row],[Week]])</f>
        <v>0</v>
      </c>
      <c r="J336" s="6">
        <f>IF(AND($C336="Rushing", $H336&lt;=0), 0, IF(AND($C336="Passing", $G$3&lt;=0), 0,IF(AND($C336="Receiving",$I336&lt;=0), 0,SUMIFS(Table2[Stat],Table2[Week],Table1[[#This Row],[Week]],Table2[Athlete],Table1[[#This Row],[Pick]],Table2[Stat Category],"passing",Table2[Stat Type],"TD"))))</f>
        <v>0</v>
      </c>
      <c r="K336" s="6">
        <f>IF(AND($C336="Rushing", $H336&lt;=0), 0, IF(AND($C336="Passing", $G$3&lt;=0), 0,IF(AND($C336="Receiving",$I336&lt;=0),0,SUMIFS(Table2[Stat],Table2[Week],Table1[[#This Row],[Week]],Table2[Athlete],Table1[[#This Row],[Pick]],Table2[Stat Category],"rushing",Table2[Stat Type],"TD"))))</f>
        <v>0</v>
      </c>
      <c r="L336" s="6">
        <f>IF(AND($C336="Rushing", $H336&lt;=0), 0, IF(AND($C336="Passing", $G$3&lt;=0), 0,IF(AND($C336="Receiving",$I336&lt;=0),0,SUMIFS(Table2[Stat],Table2[Week],Table1[[#This Row],[Week]],Table2[Athlete],Table1[[#This Row],[Pick]],Table2[Stat Category],"receiving",Table2[Stat Type],"TD"))))</f>
        <v>0</v>
      </c>
      <c r="M3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6" s="61">
        <f>SUMIFS(Data!$J:$J,Data!$A:$A,Info!$B336,Data!$G:$G,Info!$C336,Data!$I:$I,Info!$D336,Data!$H:$H,"TOT")</f>
        <v>0</v>
      </c>
      <c r="O336" s="61">
        <f>IF(C336="Defensive",SUMIFS(Data!$J:$J,Data!$A:$A,Info!$B336,Data!$I:$I,Info!$D336,Data!$H:$H,"INT"),0)</f>
        <v>0</v>
      </c>
      <c r="P336" s="61">
        <f>IF(Table1[[#This Row],[Role]]="Defensive",SUMIFS(Data!$J:$J,Data!$A:$A,Info!$B336,Data!$I:$I,Info!$D336,Data!$H:$H,$P$1),0)</f>
        <v>0</v>
      </c>
      <c r="Q336" s="65" t="str">
        <f>IF(Table1[[#This Row],[Pick]]="","",IF(S336&gt;1,400,IF(G336="","",IF(C336="Passing",(400-Table1[[#This Row],[Passing Yards]]-(30*Table1[[#This Row],[Passing TDs]])-(50*SUM(Table1[[#This Row],[Rushing TDs]:[Other TD''s]]))),IF(C336="Rushing",2*(200-Table1[[#This Row],[Rushing Yards]]-(30*Table1[[#This Row],[Passing TDs]])-50*(Table1[[#This Row],[Rushing TDs]]+Table1[[#This Row],[Receiving TDs]]+Table1[[#This Row],[Other TD''s]])),IF(C336="Receiving",2*(200-Table1[[#This Row],[Receiving Yards]]-(30*Table1[[#This Row],[Passing TDs]])-50*(Table1[[#This Row],[Rushing TDs]]+Table1[[#This Row],[Receiving TDs]]+Table1[[#This Row],[Other TD''s]])),IF(C336="Defensive",(25*(16-Table1[[#This Row],[Tackles]]-(8*(Table1[[#This Row],[Other TD''s]]+Table1[[#This Row],[Interceptions]]+Table1[[#This Row],[Fumbles Recovered]])))))))))))</f>
        <v/>
      </c>
      <c r="R336" s="3" t="str">
        <f t="shared" si="12"/>
        <v/>
      </c>
      <c r="S336" s="4">
        <f t="shared" si="11"/>
        <v>1048507</v>
      </c>
      <c r="T3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7" spans="1:20" hidden="1" x14ac:dyDescent="0.25">
      <c r="A337" t="s">
        <v>68</v>
      </c>
      <c r="B337" s="28" t="s">
        <v>48</v>
      </c>
      <c r="C337" t="s">
        <v>17</v>
      </c>
      <c r="D337" t="str">
        <f>_xlfn.XLOOKUP(Table1[[#This Row],[Player]]&amp;Table1[[#This Row],[Week]]&amp;Table1[[#This Row],[Role]],'Google Form Transform'!$A:$A,'Google Form Transform'!E:E,"")</f>
        <v/>
      </c>
      <c r="E337" t="str">
        <f>_xlfn.XLOOKUP(Table1[[#This Row],[Player]]&amp;Table1[[#This Row],[Week]]&amp;Table1[[#This Row],[Role]],'Google Form Transform'!$A:$A,'Google Form Transform'!F:F,"")</f>
        <v/>
      </c>
      <c r="F337" t="str">
        <f>_xlfn.XLOOKUP(Table1[[#This Row],[Player]]&amp;Table1[[#This Row],[Week]]&amp;Table1[[#This Row],[Role]],'Google Form Transform'!$A:$A,'Google Form Transform'!G:G,"")</f>
        <v/>
      </c>
      <c r="G337" s="59">
        <f>SUMIFS(Table2[Stat],Table2[Stat Category],"passing",Table2[Stat Type],"YDS",Table2[Athlete],Table1[[#This Row],[Pick]],Table2[Week],Table1[[#This Row],[Week]])</f>
        <v>0</v>
      </c>
      <c r="H337" s="59">
        <f>SUMIFS(Table2[Stat],Table2[Stat Category],"rushing",Table2[Stat Type],"YDS",Table2[Athlete],Table1[[#This Row],[Pick]],Table2[Week],Table1[[#This Row],[Week]])</f>
        <v>0</v>
      </c>
      <c r="I337" s="59">
        <f>SUMIFS(Table2[Stat],Table2[Stat Category],"receiving",Table2[Stat Type],"YDS",Table2[Athlete],Table1[[#This Row],[Pick]],Table2[Week],Table1[[#This Row],[Week]])</f>
        <v>0</v>
      </c>
      <c r="J337" s="6">
        <f>IF(AND($C337="Rushing", $H337&lt;=0), 0, IF(AND($C337="Passing", $G$3&lt;=0), 0,IF(AND($C337="Receiving",$I337&lt;=0), 0,SUMIFS(Table2[Stat],Table2[Week],Table1[[#This Row],[Week]],Table2[Athlete],Table1[[#This Row],[Pick]],Table2[Stat Category],"passing",Table2[Stat Type],"TD"))))</f>
        <v>0</v>
      </c>
      <c r="K337" s="6">
        <f>IF(AND($C337="Rushing", $H337&lt;=0), 0, IF(AND($C337="Passing", $G$3&lt;=0), 0,IF(AND($C337="Receiving",$I337&lt;=0),0,SUMIFS(Table2[Stat],Table2[Week],Table1[[#This Row],[Week]],Table2[Athlete],Table1[[#This Row],[Pick]],Table2[Stat Category],"rushing",Table2[Stat Type],"TD"))))</f>
        <v>0</v>
      </c>
      <c r="L337" s="6">
        <f>IF(AND($C337="Rushing", $H337&lt;=0), 0, IF(AND($C337="Passing", $G$3&lt;=0), 0,IF(AND($C337="Receiving",$I337&lt;=0),0,SUMIFS(Table2[Stat],Table2[Week],Table1[[#This Row],[Week]],Table2[Athlete],Table1[[#This Row],[Pick]],Table2[Stat Category],"receiving",Table2[Stat Type],"TD"))))</f>
        <v>0</v>
      </c>
      <c r="M3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7" s="61">
        <f>SUMIFS(Data!$J:$J,Data!$A:$A,Info!$B337,Data!$G:$G,Info!$C337,Data!$I:$I,Info!$D337,Data!$H:$H,"TOT")</f>
        <v>0</v>
      </c>
      <c r="O337" s="61">
        <f>IF(C337="Defensive",SUMIFS(Data!$J:$J,Data!$A:$A,Info!$B337,Data!$I:$I,Info!$D337,Data!$H:$H,"INT"),0)</f>
        <v>0</v>
      </c>
      <c r="P337" s="61">
        <f>IF(Table1[[#This Row],[Role]]="Defensive",SUMIFS(Data!$J:$J,Data!$A:$A,Info!$B337,Data!$I:$I,Info!$D337,Data!$H:$H,$P$1),0)</f>
        <v>0</v>
      </c>
      <c r="Q337" s="65" t="str">
        <f>IF(Table1[[#This Row],[Pick]]="","",IF(S337&gt;1,400,IF(G337="","",IF(C337="Passing",(400-Table1[[#This Row],[Passing Yards]]-(30*Table1[[#This Row],[Passing TDs]])-(50*SUM(Table1[[#This Row],[Rushing TDs]:[Other TD''s]]))),IF(C337="Rushing",2*(200-Table1[[#This Row],[Rushing Yards]]-(30*Table1[[#This Row],[Passing TDs]])-50*(Table1[[#This Row],[Rushing TDs]]+Table1[[#This Row],[Receiving TDs]]+Table1[[#This Row],[Other TD''s]])),IF(C337="Receiving",2*(200-Table1[[#This Row],[Receiving Yards]]-(30*Table1[[#This Row],[Passing TDs]])-50*(Table1[[#This Row],[Rushing TDs]]+Table1[[#This Row],[Receiving TDs]]+Table1[[#This Row],[Other TD''s]])),IF(C337="Defensive",(25*(16-Table1[[#This Row],[Tackles]]-(8*(Table1[[#This Row],[Other TD''s]]+Table1[[#This Row],[Interceptions]]+Table1[[#This Row],[Fumbles Recovered]])))))))))))</f>
        <v/>
      </c>
      <c r="R337" s="3" t="str">
        <f t="shared" si="12"/>
        <v/>
      </c>
      <c r="S337" s="4">
        <f t="shared" si="11"/>
        <v>1048507</v>
      </c>
      <c r="T3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8" spans="1:20" hidden="1" x14ac:dyDescent="0.25">
      <c r="A338" t="s">
        <v>68</v>
      </c>
      <c r="B338" s="28" t="s">
        <v>48</v>
      </c>
      <c r="C338" t="s">
        <v>20</v>
      </c>
      <c r="D338" t="str">
        <f>_xlfn.XLOOKUP(Table1[[#This Row],[Player]]&amp;Table1[[#This Row],[Week]]&amp;Table1[[#This Row],[Role]],'Google Form Transform'!$A:$A,'Google Form Transform'!E:E,"")</f>
        <v/>
      </c>
      <c r="E338" t="str">
        <f>_xlfn.XLOOKUP(Table1[[#This Row],[Player]]&amp;Table1[[#This Row],[Week]]&amp;Table1[[#This Row],[Role]],'Google Form Transform'!$A:$A,'Google Form Transform'!F:F,"")</f>
        <v/>
      </c>
      <c r="F338" t="str">
        <f>_xlfn.XLOOKUP(Table1[[#This Row],[Player]]&amp;Table1[[#This Row],[Week]]&amp;Table1[[#This Row],[Role]],'Google Form Transform'!$A:$A,'Google Form Transform'!G:G,"")</f>
        <v/>
      </c>
      <c r="G338" s="59">
        <f>SUMIFS(Table2[Stat],Table2[Stat Category],"passing",Table2[Stat Type],"YDS",Table2[Athlete],Table1[[#This Row],[Pick]],Table2[Week],Table1[[#This Row],[Week]])</f>
        <v>0</v>
      </c>
      <c r="H338" s="59">
        <f>SUMIFS(Table2[Stat],Table2[Stat Category],"rushing",Table2[Stat Type],"YDS",Table2[Athlete],Table1[[#This Row],[Pick]],Table2[Week],Table1[[#This Row],[Week]])</f>
        <v>0</v>
      </c>
      <c r="I338" s="59">
        <f>SUMIFS(Table2[Stat],Table2[Stat Category],"receiving",Table2[Stat Type],"YDS",Table2[Athlete],Table1[[#This Row],[Pick]],Table2[Week],Table1[[#This Row],[Week]])</f>
        <v>0</v>
      </c>
      <c r="J338" s="6">
        <f>IF(AND($C338="Rushing", $H338&lt;=0), 0, IF(AND($C338="Passing", $G$3&lt;=0), 0,IF(AND($C338="Receiving",$I338&lt;=0), 0,SUMIFS(Table2[Stat],Table2[Week],Table1[[#This Row],[Week]],Table2[Athlete],Table1[[#This Row],[Pick]],Table2[Stat Category],"passing",Table2[Stat Type],"TD"))))</f>
        <v>0</v>
      </c>
      <c r="K338" s="6">
        <f>IF(AND($C338="Rushing", $H338&lt;=0), 0, IF(AND($C338="Passing", $G$3&lt;=0), 0,IF(AND($C338="Receiving",$I338&lt;=0),0,SUMIFS(Table2[Stat],Table2[Week],Table1[[#This Row],[Week]],Table2[Athlete],Table1[[#This Row],[Pick]],Table2[Stat Category],"rushing",Table2[Stat Type],"TD"))))</f>
        <v>0</v>
      </c>
      <c r="L338" s="6">
        <f>IF(AND($C338="Rushing", $H338&lt;=0), 0, IF(AND($C338="Passing", $G$3&lt;=0), 0,IF(AND($C338="Receiving",$I338&lt;=0),0,SUMIFS(Table2[Stat],Table2[Week],Table1[[#This Row],[Week]],Table2[Athlete],Table1[[#This Row],[Pick]],Table2[Stat Category],"receiving",Table2[Stat Type],"TD"))))</f>
        <v>0</v>
      </c>
      <c r="M3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8" s="61">
        <f>SUMIFS(Data!$J:$J,Data!$A:$A,Info!$B338,Data!$G:$G,Info!$C338,Data!$I:$I,Info!$D338,Data!$H:$H,"TOT")</f>
        <v>0</v>
      </c>
      <c r="O338" s="61">
        <f>IF(C338="Defensive",SUMIFS(Data!$J:$J,Data!$A:$A,Info!$B338,Data!$I:$I,Info!$D338,Data!$H:$H,"INT"),0)</f>
        <v>0</v>
      </c>
      <c r="P338" s="61">
        <f>IF(Table1[[#This Row],[Role]]="Defensive",SUMIFS(Data!$J:$J,Data!$A:$A,Info!$B338,Data!$I:$I,Info!$D338,Data!$H:$H,$P$1),0)</f>
        <v>0</v>
      </c>
      <c r="Q338" s="65" t="str">
        <f>IF(Table1[[#This Row],[Pick]]="","",IF(S338&gt;1,400,IF(G338="","",IF(C338="Passing",(400-Table1[[#This Row],[Passing Yards]]-(30*Table1[[#This Row],[Passing TDs]])-(50*SUM(Table1[[#This Row],[Rushing TDs]:[Other TD''s]]))),IF(C338="Rushing",2*(200-Table1[[#This Row],[Rushing Yards]]-(30*Table1[[#This Row],[Passing TDs]])-50*(Table1[[#This Row],[Rushing TDs]]+Table1[[#This Row],[Receiving TDs]]+Table1[[#This Row],[Other TD''s]])),IF(C338="Receiving",2*(200-Table1[[#This Row],[Receiving Yards]]-(30*Table1[[#This Row],[Passing TDs]])-50*(Table1[[#This Row],[Rushing TDs]]+Table1[[#This Row],[Receiving TDs]]+Table1[[#This Row],[Other TD''s]])),IF(C338="Defensive",(25*(16-Table1[[#This Row],[Tackles]]-(8*(Table1[[#This Row],[Other TD''s]]+Table1[[#This Row],[Interceptions]]+Table1[[#This Row],[Fumbles Recovered]])))))))))))</f>
        <v/>
      </c>
      <c r="R338" s="3" t="str">
        <f t="shared" si="12"/>
        <v/>
      </c>
      <c r="S338" s="4">
        <f t="shared" si="11"/>
        <v>1048507</v>
      </c>
      <c r="T3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9" spans="1:20" hidden="1" x14ac:dyDescent="0.25">
      <c r="A339" t="s">
        <v>5</v>
      </c>
      <c r="B339" s="28" t="s">
        <v>48</v>
      </c>
      <c r="C339" t="s">
        <v>16</v>
      </c>
      <c r="D339" t="str">
        <f>_xlfn.XLOOKUP(Table1[[#This Row],[Player]]&amp;Table1[[#This Row],[Week]]&amp;Table1[[#This Row],[Role]],'Google Form Transform'!$A:$A,'Google Form Transform'!E:E,"")</f>
        <v/>
      </c>
      <c r="E339" t="str">
        <f>_xlfn.XLOOKUP(Table1[[#This Row],[Player]]&amp;Table1[[#This Row],[Week]]&amp;Table1[[#This Row],[Role]],'Google Form Transform'!$A:$A,'Google Form Transform'!F:F,"")</f>
        <v/>
      </c>
      <c r="F339" t="str">
        <f>_xlfn.XLOOKUP(Table1[[#This Row],[Player]]&amp;Table1[[#This Row],[Week]]&amp;Table1[[#This Row],[Role]],'Google Form Transform'!$A:$A,'Google Form Transform'!G:G,"")</f>
        <v/>
      </c>
      <c r="G339" s="59">
        <f>SUMIFS(Table2[Stat],Table2[Stat Category],"passing",Table2[Stat Type],"YDS",Table2[Athlete],Table1[[#This Row],[Pick]],Table2[Week],Table1[[#This Row],[Week]])</f>
        <v>0</v>
      </c>
      <c r="H339" s="59">
        <f>SUMIFS(Table2[Stat],Table2[Stat Category],"rushing",Table2[Stat Type],"YDS",Table2[Athlete],Table1[[#This Row],[Pick]],Table2[Week],Table1[[#This Row],[Week]])</f>
        <v>0</v>
      </c>
      <c r="I339" s="59">
        <f>SUMIFS(Table2[Stat],Table2[Stat Category],"receiving",Table2[Stat Type],"YDS",Table2[Athlete],Table1[[#This Row],[Pick]],Table2[Week],Table1[[#This Row],[Week]])</f>
        <v>0</v>
      </c>
      <c r="J339" s="6">
        <f>IF(AND($C339="Rushing", $H339&lt;=0), 0, IF(AND($C339="Passing", $G$3&lt;=0), 0,IF(AND($C339="Receiving",$I339&lt;=0), 0,SUMIFS(Table2[Stat],Table2[Week],Table1[[#This Row],[Week]],Table2[Athlete],Table1[[#This Row],[Pick]],Table2[Stat Category],"passing",Table2[Stat Type],"TD"))))</f>
        <v>0</v>
      </c>
      <c r="K339" s="6">
        <f>IF(AND($C339="Rushing", $H339&lt;=0), 0, IF(AND($C339="Passing", $G$3&lt;=0), 0,IF(AND($C339="Receiving",$I339&lt;=0),0,SUMIFS(Table2[Stat],Table2[Week],Table1[[#This Row],[Week]],Table2[Athlete],Table1[[#This Row],[Pick]],Table2[Stat Category],"rushing",Table2[Stat Type],"TD"))))</f>
        <v>0</v>
      </c>
      <c r="L339" s="6">
        <f>IF(AND($C339="Rushing", $H339&lt;=0), 0, IF(AND($C339="Passing", $G$3&lt;=0), 0,IF(AND($C339="Receiving",$I339&lt;=0),0,SUMIFS(Table2[Stat],Table2[Week],Table1[[#This Row],[Week]],Table2[Athlete],Table1[[#This Row],[Pick]],Table2[Stat Category],"receiving",Table2[Stat Type],"TD"))))</f>
        <v>0</v>
      </c>
      <c r="M3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9" s="61">
        <f>SUMIFS(Data!$J:$J,Data!$A:$A,Info!$B339,Data!$G:$G,Info!$C339,Data!$I:$I,Info!$D339,Data!$H:$H,"TOT")</f>
        <v>0</v>
      </c>
      <c r="O339" s="61">
        <f>IF(C339="Defensive",SUMIFS(Data!$J:$J,Data!$A:$A,Info!$B339,Data!$I:$I,Info!$D339,Data!$H:$H,"INT"),0)</f>
        <v>0</v>
      </c>
      <c r="P339" s="61">
        <f>IF(Table1[[#This Row],[Role]]="Defensive",SUMIFS(Data!$J:$J,Data!$A:$A,Info!$B339,Data!$I:$I,Info!$D339,Data!$H:$H,$P$1),0)</f>
        <v>0</v>
      </c>
      <c r="Q339" s="65" t="str">
        <f>IF(Table1[[#This Row],[Pick]]="","",IF(S339&gt;1,400,IF(G339="","",IF(C339="Passing",(400-Table1[[#This Row],[Passing Yards]]-(30*Table1[[#This Row],[Passing TDs]])-(50*SUM(Table1[[#This Row],[Rushing TDs]:[Other TD''s]]))),IF(C339="Rushing",2*(200-Table1[[#This Row],[Rushing Yards]]-(30*Table1[[#This Row],[Passing TDs]])-50*(Table1[[#This Row],[Rushing TDs]]+Table1[[#This Row],[Receiving TDs]]+Table1[[#This Row],[Other TD''s]])),IF(C339="Receiving",2*(200-Table1[[#This Row],[Receiving Yards]]-(30*Table1[[#This Row],[Passing TDs]])-50*(Table1[[#This Row],[Rushing TDs]]+Table1[[#This Row],[Receiving TDs]]+Table1[[#This Row],[Other TD''s]])),IF(C339="Defensive",(25*(16-Table1[[#This Row],[Tackles]]-(8*(Table1[[#This Row],[Other TD''s]]+Table1[[#This Row],[Interceptions]]+Table1[[#This Row],[Fumbles Recovered]])))))))))))</f>
        <v/>
      </c>
      <c r="R339" s="3" t="str">
        <f t="shared" si="12"/>
        <v/>
      </c>
      <c r="S339" s="4">
        <f t="shared" si="11"/>
        <v>1048507</v>
      </c>
      <c r="T3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0" spans="1:20" hidden="1" x14ac:dyDescent="0.25">
      <c r="A340" t="s">
        <v>5</v>
      </c>
      <c r="B340" s="28" t="s">
        <v>48</v>
      </c>
      <c r="C340" t="s">
        <v>6</v>
      </c>
      <c r="D340" t="str">
        <f>_xlfn.XLOOKUP(Table1[[#This Row],[Player]]&amp;Table1[[#This Row],[Week]]&amp;Table1[[#This Row],[Role]],'Google Form Transform'!$A:$A,'Google Form Transform'!E:E,"")</f>
        <v/>
      </c>
      <c r="E340" t="str">
        <f>_xlfn.XLOOKUP(Table1[[#This Row],[Player]]&amp;Table1[[#This Row],[Week]]&amp;Table1[[#This Row],[Role]],'Google Form Transform'!$A:$A,'Google Form Transform'!F:F,"")</f>
        <v/>
      </c>
      <c r="F340" t="str">
        <f>_xlfn.XLOOKUP(Table1[[#This Row],[Player]]&amp;Table1[[#This Row],[Week]]&amp;Table1[[#This Row],[Role]],'Google Form Transform'!$A:$A,'Google Form Transform'!G:G,"")</f>
        <v/>
      </c>
      <c r="G340" s="59">
        <f>SUMIFS(Table2[Stat],Table2[Stat Category],"passing",Table2[Stat Type],"YDS",Table2[Athlete],Table1[[#This Row],[Pick]],Table2[Week],Table1[[#This Row],[Week]])</f>
        <v>0</v>
      </c>
      <c r="H340" s="59">
        <f>SUMIFS(Table2[Stat],Table2[Stat Category],"rushing",Table2[Stat Type],"YDS",Table2[Athlete],Table1[[#This Row],[Pick]],Table2[Week],Table1[[#This Row],[Week]])</f>
        <v>0</v>
      </c>
      <c r="I340" s="59">
        <f>SUMIFS(Table2[Stat],Table2[Stat Category],"receiving",Table2[Stat Type],"YDS",Table2[Athlete],Table1[[#This Row],[Pick]],Table2[Week],Table1[[#This Row],[Week]])</f>
        <v>0</v>
      </c>
      <c r="J340" s="6">
        <f>IF(AND($C340="Rushing", $H340&lt;=0), 0, IF(AND($C340="Passing", $G$3&lt;=0), 0,IF(AND($C340="Receiving",$I340&lt;=0), 0,SUMIFS(Table2[Stat],Table2[Week],Table1[[#This Row],[Week]],Table2[Athlete],Table1[[#This Row],[Pick]],Table2[Stat Category],"passing",Table2[Stat Type],"TD"))))</f>
        <v>0</v>
      </c>
      <c r="K340" s="6">
        <f>IF(AND($C340="Rushing", $H340&lt;=0), 0, IF(AND($C340="Passing", $G$3&lt;=0), 0,IF(AND($C340="Receiving",$I340&lt;=0),0,SUMIFS(Table2[Stat],Table2[Week],Table1[[#This Row],[Week]],Table2[Athlete],Table1[[#This Row],[Pick]],Table2[Stat Category],"rushing",Table2[Stat Type],"TD"))))</f>
        <v>0</v>
      </c>
      <c r="L340" s="6">
        <f>IF(AND($C340="Rushing", $H340&lt;=0), 0, IF(AND($C340="Passing", $G$3&lt;=0), 0,IF(AND($C340="Receiving",$I340&lt;=0),0,SUMIFS(Table2[Stat],Table2[Week],Table1[[#This Row],[Week]],Table2[Athlete],Table1[[#This Row],[Pick]],Table2[Stat Category],"receiving",Table2[Stat Type],"TD"))))</f>
        <v>0</v>
      </c>
      <c r="M3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0" s="61">
        <f>SUMIFS(Data!$J:$J,Data!$A:$A,Info!$B340,Data!$G:$G,Info!$C340,Data!$I:$I,Info!$D340,Data!$H:$H,"TOT")</f>
        <v>0</v>
      </c>
      <c r="O340" s="61">
        <f>IF(C340="Defensive",SUMIFS(Data!$J:$J,Data!$A:$A,Info!$B340,Data!$I:$I,Info!$D340,Data!$H:$H,"INT"),0)</f>
        <v>0</v>
      </c>
      <c r="P340" s="61">
        <f>IF(Table1[[#This Row],[Role]]="Defensive",SUMIFS(Data!$J:$J,Data!$A:$A,Info!$B340,Data!$I:$I,Info!$D340,Data!$H:$H,$P$1),0)</f>
        <v>0</v>
      </c>
      <c r="Q340" s="65" t="str">
        <f>IF(Table1[[#This Row],[Pick]]="","",IF(S340&gt;1,400,IF(G340="","",IF(C340="Passing",(400-Table1[[#This Row],[Passing Yards]]-(30*Table1[[#This Row],[Passing TDs]])-(50*SUM(Table1[[#This Row],[Rushing TDs]:[Other TD''s]]))),IF(C340="Rushing",2*(200-Table1[[#This Row],[Rushing Yards]]-(30*Table1[[#This Row],[Passing TDs]])-50*(Table1[[#This Row],[Rushing TDs]]+Table1[[#This Row],[Receiving TDs]]+Table1[[#This Row],[Other TD''s]])),IF(C340="Receiving",2*(200-Table1[[#This Row],[Receiving Yards]]-(30*Table1[[#This Row],[Passing TDs]])-50*(Table1[[#This Row],[Rushing TDs]]+Table1[[#This Row],[Receiving TDs]]+Table1[[#This Row],[Other TD''s]])),IF(C340="Defensive",(25*(16-Table1[[#This Row],[Tackles]]-(8*(Table1[[#This Row],[Other TD''s]]+Table1[[#This Row],[Interceptions]]+Table1[[#This Row],[Fumbles Recovered]])))))))))))</f>
        <v/>
      </c>
      <c r="R340" s="3" t="str">
        <f t="shared" si="12"/>
        <v/>
      </c>
      <c r="S340" s="4">
        <f t="shared" si="11"/>
        <v>1048507</v>
      </c>
      <c r="T3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1" spans="1:20" hidden="1" x14ac:dyDescent="0.25">
      <c r="A341" t="s">
        <v>5</v>
      </c>
      <c r="B341" s="28" t="s">
        <v>48</v>
      </c>
      <c r="C341" t="s">
        <v>17</v>
      </c>
      <c r="D341" t="str">
        <f>_xlfn.XLOOKUP(Table1[[#This Row],[Player]]&amp;Table1[[#This Row],[Week]]&amp;Table1[[#This Row],[Role]],'Google Form Transform'!$A:$A,'Google Form Transform'!E:E,"")</f>
        <v/>
      </c>
      <c r="E341" t="str">
        <f>_xlfn.XLOOKUP(Table1[[#This Row],[Player]]&amp;Table1[[#This Row],[Week]]&amp;Table1[[#This Row],[Role]],'Google Form Transform'!$A:$A,'Google Form Transform'!F:F,"")</f>
        <v/>
      </c>
      <c r="F341" t="str">
        <f>_xlfn.XLOOKUP(Table1[[#This Row],[Player]]&amp;Table1[[#This Row],[Week]]&amp;Table1[[#This Row],[Role]],'Google Form Transform'!$A:$A,'Google Form Transform'!G:G,"")</f>
        <v/>
      </c>
      <c r="G341" s="59">
        <f>SUMIFS(Table2[Stat],Table2[Stat Category],"passing",Table2[Stat Type],"YDS",Table2[Athlete],Table1[[#This Row],[Pick]],Table2[Week],Table1[[#This Row],[Week]])</f>
        <v>0</v>
      </c>
      <c r="H341" s="59">
        <f>SUMIFS(Table2[Stat],Table2[Stat Category],"rushing",Table2[Stat Type],"YDS",Table2[Athlete],Table1[[#This Row],[Pick]],Table2[Week],Table1[[#This Row],[Week]])</f>
        <v>0</v>
      </c>
      <c r="I341" s="59">
        <f>SUMIFS(Table2[Stat],Table2[Stat Category],"receiving",Table2[Stat Type],"YDS",Table2[Athlete],Table1[[#This Row],[Pick]],Table2[Week],Table1[[#This Row],[Week]])</f>
        <v>0</v>
      </c>
      <c r="J341" s="6">
        <f>IF(AND($C341="Rushing", $H341&lt;=0), 0, IF(AND($C341="Passing", $G$3&lt;=0), 0,IF(AND($C341="Receiving",$I341&lt;=0), 0,SUMIFS(Table2[Stat],Table2[Week],Table1[[#This Row],[Week]],Table2[Athlete],Table1[[#This Row],[Pick]],Table2[Stat Category],"passing",Table2[Stat Type],"TD"))))</f>
        <v>0</v>
      </c>
      <c r="K341" s="6">
        <f>IF(AND($C341="Rushing", $H341&lt;=0), 0, IF(AND($C341="Passing", $G$3&lt;=0), 0,IF(AND($C341="Receiving",$I341&lt;=0),0,SUMIFS(Table2[Stat],Table2[Week],Table1[[#This Row],[Week]],Table2[Athlete],Table1[[#This Row],[Pick]],Table2[Stat Category],"rushing",Table2[Stat Type],"TD"))))</f>
        <v>0</v>
      </c>
      <c r="L341" s="6">
        <f>IF(AND($C341="Rushing", $H341&lt;=0), 0, IF(AND($C341="Passing", $G$3&lt;=0), 0,IF(AND($C341="Receiving",$I341&lt;=0),0,SUMIFS(Table2[Stat],Table2[Week],Table1[[#This Row],[Week]],Table2[Athlete],Table1[[#This Row],[Pick]],Table2[Stat Category],"receiving",Table2[Stat Type],"TD"))))</f>
        <v>0</v>
      </c>
      <c r="M3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1" s="61">
        <f>SUMIFS(Data!$J:$J,Data!$A:$A,Info!$B341,Data!$G:$G,Info!$C341,Data!$I:$I,Info!$D341,Data!$H:$H,"TOT")</f>
        <v>0</v>
      </c>
      <c r="O341" s="61">
        <f>IF(C341="Defensive",SUMIFS(Data!$J:$J,Data!$A:$A,Info!$B341,Data!$I:$I,Info!$D341,Data!$H:$H,"INT"),0)</f>
        <v>0</v>
      </c>
      <c r="P341" s="61">
        <f>IF(Table1[[#This Row],[Role]]="Defensive",SUMIFS(Data!$J:$J,Data!$A:$A,Info!$B341,Data!$I:$I,Info!$D341,Data!$H:$H,$P$1),0)</f>
        <v>0</v>
      </c>
      <c r="Q341" s="65" t="str">
        <f>IF(Table1[[#This Row],[Pick]]="","",IF(S341&gt;1,400,IF(G341="","",IF(C341="Passing",(400-Table1[[#This Row],[Passing Yards]]-(30*Table1[[#This Row],[Passing TDs]])-(50*SUM(Table1[[#This Row],[Rushing TDs]:[Other TD''s]]))),IF(C341="Rushing",2*(200-Table1[[#This Row],[Rushing Yards]]-(30*Table1[[#This Row],[Passing TDs]])-50*(Table1[[#This Row],[Rushing TDs]]+Table1[[#This Row],[Receiving TDs]]+Table1[[#This Row],[Other TD''s]])),IF(C341="Receiving",2*(200-Table1[[#This Row],[Receiving Yards]]-(30*Table1[[#This Row],[Passing TDs]])-50*(Table1[[#This Row],[Rushing TDs]]+Table1[[#This Row],[Receiving TDs]]+Table1[[#This Row],[Other TD''s]])),IF(C341="Defensive",(25*(16-Table1[[#This Row],[Tackles]]-(8*(Table1[[#This Row],[Other TD''s]]+Table1[[#This Row],[Interceptions]]+Table1[[#This Row],[Fumbles Recovered]])))))))))))</f>
        <v/>
      </c>
      <c r="R341" s="3" t="str">
        <f t="shared" si="12"/>
        <v/>
      </c>
      <c r="S341" s="4">
        <f t="shared" si="11"/>
        <v>1048507</v>
      </c>
      <c r="T3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2" spans="1:20" hidden="1" x14ac:dyDescent="0.25">
      <c r="A342" t="s">
        <v>5</v>
      </c>
      <c r="B342" s="28" t="s">
        <v>48</v>
      </c>
      <c r="C342" t="s">
        <v>20</v>
      </c>
      <c r="D342" t="str">
        <f>_xlfn.XLOOKUP(Table1[[#This Row],[Player]]&amp;Table1[[#This Row],[Week]]&amp;Table1[[#This Row],[Role]],'Google Form Transform'!$A:$A,'Google Form Transform'!E:E,"")</f>
        <v/>
      </c>
      <c r="E342" t="str">
        <f>_xlfn.XLOOKUP(Table1[[#This Row],[Player]]&amp;Table1[[#This Row],[Week]]&amp;Table1[[#This Row],[Role]],'Google Form Transform'!$A:$A,'Google Form Transform'!F:F,"")</f>
        <v/>
      </c>
      <c r="F342" t="str">
        <f>_xlfn.XLOOKUP(Table1[[#This Row],[Player]]&amp;Table1[[#This Row],[Week]]&amp;Table1[[#This Row],[Role]],'Google Form Transform'!$A:$A,'Google Form Transform'!G:G,"")</f>
        <v/>
      </c>
      <c r="G342" s="59">
        <f>SUMIFS(Table2[Stat],Table2[Stat Category],"passing",Table2[Stat Type],"YDS",Table2[Athlete],Table1[[#This Row],[Pick]],Table2[Week],Table1[[#This Row],[Week]])</f>
        <v>0</v>
      </c>
      <c r="H342" s="59">
        <f>SUMIFS(Table2[Stat],Table2[Stat Category],"rushing",Table2[Stat Type],"YDS",Table2[Athlete],Table1[[#This Row],[Pick]],Table2[Week],Table1[[#This Row],[Week]])</f>
        <v>0</v>
      </c>
      <c r="I342" s="59">
        <f>SUMIFS(Table2[Stat],Table2[Stat Category],"receiving",Table2[Stat Type],"YDS",Table2[Athlete],Table1[[#This Row],[Pick]],Table2[Week],Table1[[#This Row],[Week]])</f>
        <v>0</v>
      </c>
      <c r="J342" s="6">
        <f>IF(AND($C342="Rushing", $H342&lt;=0), 0, IF(AND($C342="Passing", $G$3&lt;=0), 0,IF(AND($C342="Receiving",$I342&lt;=0), 0,SUMIFS(Table2[Stat],Table2[Week],Table1[[#This Row],[Week]],Table2[Athlete],Table1[[#This Row],[Pick]],Table2[Stat Category],"passing",Table2[Stat Type],"TD"))))</f>
        <v>0</v>
      </c>
      <c r="K342" s="6">
        <f>IF(AND($C342="Rushing", $H342&lt;=0), 0, IF(AND($C342="Passing", $G$3&lt;=0), 0,IF(AND($C342="Receiving",$I342&lt;=0),0,SUMIFS(Table2[Stat],Table2[Week],Table1[[#This Row],[Week]],Table2[Athlete],Table1[[#This Row],[Pick]],Table2[Stat Category],"rushing",Table2[Stat Type],"TD"))))</f>
        <v>0</v>
      </c>
      <c r="L342" s="6">
        <f>IF(AND($C342="Rushing", $H342&lt;=0), 0, IF(AND($C342="Passing", $G$3&lt;=0), 0,IF(AND($C342="Receiving",$I342&lt;=0),0,SUMIFS(Table2[Stat],Table2[Week],Table1[[#This Row],[Week]],Table2[Athlete],Table1[[#This Row],[Pick]],Table2[Stat Category],"receiving",Table2[Stat Type],"TD"))))</f>
        <v>0</v>
      </c>
      <c r="M3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2" s="61">
        <f>SUMIFS(Data!$J:$J,Data!$A:$A,Info!$B342,Data!$G:$G,Info!$C342,Data!$I:$I,Info!$D342,Data!$H:$H,"TOT")</f>
        <v>0</v>
      </c>
      <c r="O342" s="61">
        <f>IF(C342="Defensive",SUMIFS(Data!$J:$J,Data!$A:$A,Info!$B342,Data!$I:$I,Info!$D342,Data!$H:$H,"INT"),0)</f>
        <v>0</v>
      </c>
      <c r="P342" s="61">
        <f>IF(Table1[[#This Row],[Role]]="Defensive",SUMIFS(Data!$J:$J,Data!$A:$A,Info!$B342,Data!$I:$I,Info!$D342,Data!$H:$H,$P$1),0)</f>
        <v>0</v>
      </c>
      <c r="Q342" s="65" t="str">
        <f>IF(Table1[[#This Row],[Pick]]="","",IF(S342&gt;1,400,IF(G342="","",IF(C342="Passing",(400-Table1[[#This Row],[Passing Yards]]-(30*Table1[[#This Row],[Passing TDs]])-(50*SUM(Table1[[#This Row],[Rushing TDs]:[Other TD''s]]))),IF(C342="Rushing",2*(200-Table1[[#This Row],[Rushing Yards]]-(30*Table1[[#This Row],[Passing TDs]])-50*(Table1[[#This Row],[Rushing TDs]]+Table1[[#This Row],[Receiving TDs]]+Table1[[#This Row],[Other TD''s]])),IF(C342="Receiving",2*(200-Table1[[#This Row],[Receiving Yards]]-(30*Table1[[#This Row],[Passing TDs]])-50*(Table1[[#This Row],[Rushing TDs]]+Table1[[#This Row],[Receiving TDs]]+Table1[[#This Row],[Other TD''s]])),IF(C342="Defensive",(25*(16-Table1[[#This Row],[Tackles]]-(8*(Table1[[#This Row],[Other TD''s]]+Table1[[#This Row],[Interceptions]]+Table1[[#This Row],[Fumbles Recovered]])))))))))))</f>
        <v/>
      </c>
      <c r="R342" s="3" t="str">
        <f t="shared" si="12"/>
        <v/>
      </c>
      <c r="S342" s="4">
        <f t="shared" si="11"/>
        <v>1048507</v>
      </c>
      <c r="T3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3" spans="1:20" hidden="1" x14ac:dyDescent="0.25">
      <c r="A343" t="s">
        <v>18</v>
      </c>
      <c r="B343" s="28" t="s">
        <v>48</v>
      </c>
      <c r="C343" t="s">
        <v>16</v>
      </c>
      <c r="D343" t="str">
        <f>_xlfn.XLOOKUP(Table1[[#This Row],[Player]]&amp;Table1[[#This Row],[Week]]&amp;Table1[[#This Row],[Role]],'Google Form Transform'!$A:$A,'Google Form Transform'!E:E,"")</f>
        <v/>
      </c>
      <c r="E343" t="str">
        <f>_xlfn.XLOOKUP(Table1[[#This Row],[Player]]&amp;Table1[[#This Row],[Week]]&amp;Table1[[#This Row],[Role]],'Google Form Transform'!$A:$A,'Google Form Transform'!F:F,"")</f>
        <v/>
      </c>
      <c r="F343" t="str">
        <f>_xlfn.XLOOKUP(Table1[[#This Row],[Player]]&amp;Table1[[#This Row],[Week]]&amp;Table1[[#This Row],[Role]],'Google Form Transform'!$A:$A,'Google Form Transform'!G:G,"")</f>
        <v/>
      </c>
      <c r="G343" s="59">
        <f>SUMIFS(Table2[Stat],Table2[Stat Category],"passing",Table2[Stat Type],"YDS",Table2[Athlete],Table1[[#This Row],[Pick]],Table2[Week],Table1[[#This Row],[Week]])</f>
        <v>0</v>
      </c>
      <c r="H343" s="59">
        <f>SUMIFS(Table2[Stat],Table2[Stat Category],"rushing",Table2[Stat Type],"YDS",Table2[Athlete],Table1[[#This Row],[Pick]],Table2[Week],Table1[[#This Row],[Week]])</f>
        <v>0</v>
      </c>
      <c r="I343" s="59">
        <f>SUMIFS(Table2[Stat],Table2[Stat Category],"receiving",Table2[Stat Type],"YDS",Table2[Athlete],Table1[[#This Row],[Pick]],Table2[Week],Table1[[#This Row],[Week]])</f>
        <v>0</v>
      </c>
      <c r="J343" s="6">
        <f>IF(AND($C343="Rushing", $H343&lt;=0), 0, IF(AND($C343="Passing", $G$3&lt;=0), 0,IF(AND($C343="Receiving",$I343&lt;=0), 0,SUMIFS(Table2[Stat],Table2[Week],Table1[[#This Row],[Week]],Table2[Athlete],Table1[[#This Row],[Pick]],Table2[Stat Category],"passing",Table2[Stat Type],"TD"))))</f>
        <v>0</v>
      </c>
      <c r="K343" s="6">
        <f>IF(AND($C343="Rushing", $H343&lt;=0), 0, IF(AND($C343="Passing", $G$3&lt;=0), 0,IF(AND($C343="Receiving",$I343&lt;=0),0,SUMIFS(Table2[Stat],Table2[Week],Table1[[#This Row],[Week]],Table2[Athlete],Table1[[#This Row],[Pick]],Table2[Stat Category],"rushing",Table2[Stat Type],"TD"))))</f>
        <v>0</v>
      </c>
      <c r="L343" s="6">
        <f>IF(AND($C343="Rushing", $H343&lt;=0), 0, IF(AND($C343="Passing", $G$3&lt;=0), 0,IF(AND($C343="Receiving",$I343&lt;=0),0,SUMIFS(Table2[Stat],Table2[Week],Table1[[#This Row],[Week]],Table2[Athlete],Table1[[#This Row],[Pick]],Table2[Stat Category],"receiving",Table2[Stat Type],"TD"))))</f>
        <v>0</v>
      </c>
      <c r="M3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3" s="61">
        <f>SUMIFS(Data!$J:$J,Data!$A:$A,Info!$B343,Data!$G:$G,Info!$C343,Data!$I:$I,Info!$D343,Data!$H:$H,"TOT")</f>
        <v>0</v>
      </c>
      <c r="O343" s="61">
        <f>IF(C343="Defensive",SUMIFS(Data!$J:$J,Data!$A:$A,Info!$B343,Data!$I:$I,Info!$D343,Data!$H:$H,"INT"),0)</f>
        <v>0</v>
      </c>
      <c r="P343" s="61">
        <f>IF(Table1[[#This Row],[Role]]="Defensive",SUMIFS(Data!$J:$J,Data!$A:$A,Info!$B343,Data!$I:$I,Info!$D343,Data!$H:$H,$P$1),0)</f>
        <v>0</v>
      </c>
      <c r="Q343" s="65" t="str">
        <f>IF(Table1[[#This Row],[Pick]]="","",IF(S343&gt;1,400,IF(G343="","",IF(C343="Passing",(400-Table1[[#This Row],[Passing Yards]]-(30*Table1[[#This Row],[Passing TDs]])-(50*SUM(Table1[[#This Row],[Rushing TDs]:[Other TD''s]]))),IF(C343="Rushing",2*(200-Table1[[#This Row],[Rushing Yards]]-(30*Table1[[#This Row],[Passing TDs]])-50*(Table1[[#This Row],[Rushing TDs]]+Table1[[#This Row],[Receiving TDs]]+Table1[[#This Row],[Other TD''s]])),IF(C343="Receiving",2*(200-Table1[[#This Row],[Receiving Yards]]-(30*Table1[[#This Row],[Passing TDs]])-50*(Table1[[#This Row],[Rushing TDs]]+Table1[[#This Row],[Receiving TDs]]+Table1[[#This Row],[Other TD''s]])),IF(C343="Defensive",(25*(16-Table1[[#This Row],[Tackles]]-(8*(Table1[[#This Row],[Other TD''s]]+Table1[[#This Row],[Interceptions]]+Table1[[#This Row],[Fumbles Recovered]])))))))))))</f>
        <v/>
      </c>
      <c r="R343" s="3" t="str">
        <f t="shared" si="12"/>
        <v/>
      </c>
      <c r="S343" s="4">
        <f t="shared" si="11"/>
        <v>1048507</v>
      </c>
      <c r="T3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4" spans="1:20" hidden="1" x14ac:dyDescent="0.25">
      <c r="A344" t="s">
        <v>18</v>
      </c>
      <c r="B344" s="28" t="s">
        <v>48</v>
      </c>
      <c r="C344" t="s">
        <v>6</v>
      </c>
      <c r="D344" t="str">
        <f>_xlfn.XLOOKUP(Table1[[#This Row],[Player]]&amp;Table1[[#This Row],[Week]]&amp;Table1[[#This Row],[Role]],'Google Form Transform'!$A:$A,'Google Form Transform'!E:E,"")</f>
        <v/>
      </c>
      <c r="E344" t="str">
        <f>_xlfn.XLOOKUP(Table1[[#This Row],[Player]]&amp;Table1[[#This Row],[Week]]&amp;Table1[[#This Row],[Role]],'Google Form Transform'!$A:$A,'Google Form Transform'!F:F,"")</f>
        <v/>
      </c>
      <c r="F344" t="str">
        <f>_xlfn.XLOOKUP(Table1[[#This Row],[Player]]&amp;Table1[[#This Row],[Week]]&amp;Table1[[#This Row],[Role]],'Google Form Transform'!$A:$A,'Google Form Transform'!G:G,"")</f>
        <v/>
      </c>
      <c r="G344" s="59">
        <f>SUMIFS(Table2[Stat],Table2[Stat Category],"passing",Table2[Stat Type],"YDS",Table2[Athlete],Table1[[#This Row],[Pick]],Table2[Week],Table1[[#This Row],[Week]])</f>
        <v>0</v>
      </c>
      <c r="H344" s="59">
        <f>SUMIFS(Table2[Stat],Table2[Stat Category],"rushing",Table2[Stat Type],"YDS",Table2[Athlete],Table1[[#This Row],[Pick]],Table2[Week],Table1[[#This Row],[Week]])</f>
        <v>0</v>
      </c>
      <c r="I344" s="59">
        <f>SUMIFS(Table2[Stat],Table2[Stat Category],"receiving",Table2[Stat Type],"YDS",Table2[Athlete],Table1[[#This Row],[Pick]],Table2[Week],Table1[[#This Row],[Week]])</f>
        <v>0</v>
      </c>
      <c r="J344" s="6">
        <f>IF(AND($C344="Rushing", $H344&lt;=0), 0, IF(AND($C344="Passing", $G$3&lt;=0), 0,IF(AND($C344="Receiving",$I344&lt;=0), 0,SUMIFS(Table2[Stat],Table2[Week],Table1[[#This Row],[Week]],Table2[Athlete],Table1[[#This Row],[Pick]],Table2[Stat Category],"passing",Table2[Stat Type],"TD"))))</f>
        <v>0</v>
      </c>
      <c r="K344" s="6">
        <f>IF(AND($C344="Rushing", $H344&lt;=0), 0, IF(AND($C344="Passing", $G$3&lt;=0), 0,IF(AND($C344="Receiving",$I344&lt;=0),0,SUMIFS(Table2[Stat],Table2[Week],Table1[[#This Row],[Week]],Table2[Athlete],Table1[[#This Row],[Pick]],Table2[Stat Category],"rushing",Table2[Stat Type],"TD"))))</f>
        <v>0</v>
      </c>
      <c r="L344" s="6">
        <f>IF(AND($C344="Rushing", $H344&lt;=0), 0, IF(AND($C344="Passing", $G$3&lt;=0), 0,IF(AND($C344="Receiving",$I344&lt;=0),0,SUMIFS(Table2[Stat],Table2[Week],Table1[[#This Row],[Week]],Table2[Athlete],Table1[[#This Row],[Pick]],Table2[Stat Category],"receiving",Table2[Stat Type],"TD"))))</f>
        <v>0</v>
      </c>
      <c r="M3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4" s="61">
        <f>SUMIFS(Data!$J:$J,Data!$A:$A,Info!$B344,Data!$G:$G,Info!$C344,Data!$I:$I,Info!$D344,Data!$H:$H,"TOT")</f>
        <v>0</v>
      </c>
      <c r="O344" s="61">
        <f>IF(C344="Defensive",SUMIFS(Data!$J:$J,Data!$A:$A,Info!$B344,Data!$I:$I,Info!$D344,Data!$H:$H,"INT"),0)</f>
        <v>0</v>
      </c>
      <c r="P344" s="61">
        <f>IF(Table1[[#This Row],[Role]]="Defensive",SUMIFS(Data!$J:$J,Data!$A:$A,Info!$B344,Data!$I:$I,Info!$D344,Data!$H:$H,$P$1),0)</f>
        <v>0</v>
      </c>
      <c r="Q344" s="65" t="str">
        <f>IF(Table1[[#This Row],[Pick]]="","",IF(S344&gt;1,400,IF(G344="","",IF(C344="Passing",(400-Table1[[#This Row],[Passing Yards]]-(30*Table1[[#This Row],[Passing TDs]])-(50*SUM(Table1[[#This Row],[Rushing TDs]:[Other TD''s]]))),IF(C344="Rushing",2*(200-Table1[[#This Row],[Rushing Yards]]-(30*Table1[[#This Row],[Passing TDs]])-50*(Table1[[#This Row],[Rushing TDs]]+Table1[[#This Row],[Receiving TDs]]+Table1[[#This Row],[Other TD''s]])),IF(C344="Receiving",2*(200-Table1[[#This Row],[Receiving Yards]]-(30*Table1[[#This Row],[Passing TDs]])-50*(Table1[[#This Row],[Rushing TDs]]+Table1[[#This Row],[Receiving TDs]]+Table1[[#This Row],[Other TD''s]])),IF(C344="Defensive",(25*(16-Table1[[#This Row],[Tackles]]-(8*(Table1[[#This Row],[Other TD''s]]+Table1[[#This Row],[Interceptions]]+Table1[[#This Row],[Fumbles Recovered]])))))))))))</f>
        <v/>
      </c>
      <c r="R344" s="3" t="str">
        <f t="shared" si="12"/>
        <v/>
      </c>
      <c r="S344" s="4">
        <f t="shared" si="11"/>
        <v>1048507</v>
      </c>
      <c r="T3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5" spans="1:20" hidden="1" x14ac:dyDescent="0.25">
      <c r="A345" t="s">
        <v>18</v>
      </c>
      <c r="B345" s="28" t="s">
        <v>48</v>
      </c>
      <c r="C345" t="s">
        <v>17</v>
      </c>
      <c r="D345" t="str">
        <f>_xlfn.XLOOKUP(Table1[[#This Row],[Player]]&amp;Table1[[#This Row],[Week]]&amp;Table1[[#This Row],[Role]],'Google Form Transform'!$A:$A,'Google Form Transform'!E:E,"")</f>
        <v/>
      </c>
      <c r="E345" t="str">
        <f>_xlfn.XLOOKUP(Table1[[#This Row],[Player]]&amp;Table1[[#This Row],[Week]]&amp;Table1[[#This Row],[Role]],'Google Form Transform'!$A:$A,'Google Form Transform'!F:F,"")</f>
        <v/>
      </c>
      <c r="F345" t="str">
        <f>_xlfn.XLOOKUP(Table1[[#This Row],[Player]]&amp;Table1[[#This Row],[Week]]&amp;Table1[[#This Row],[Role]],'Google Form Transform'!$A:$A,'Google Form Transform'!G:G,"")</f>
        <v/>
      </c>
      <c r="G345" s="59">
        <f>SUMIFS(Table2[Stat],Table2[Stat Category],"passing",Table2[Stat Type],"YDS",Table2[Athlete],Table1[[#This Row],[Pick]],Table2[Week],Table1[[#This Row],[Week]])</f>
        <v>0</v>
      </c>
      <c r="H345" s="59">
        <f>SUMIFS(Table2[Stat],Table2[Stat Category],"rushing",Table2[Stat Type],"YDS",Table2[Athlete],Table1[[#This Row],[Pick]],Table2[Week],Table1[[#This Row],[Week]])</f>
        <v>0</v>
      </c>
      <c r="I345" s="59">
        <f>SUMIFS(Table2[Stat],Table2[Stat Category],"receiving",Table2[Stat Type],"YDS",Table2[Athlete],Table1[[#This Row],[Pick]],Table2[Week],Table1[[#This Row],[Week]])</f>
        <v>0</v>
      </c>
      <c r="J345" s="6">
        <f>IF(AND($C345="Rushing", $H345&lt;=0), 0, IF(AND($C345="Passing", $G$3&lt;=0), 0,IF(AND($C345="Receiving",$I345&lt;=0), 0,SUMIFS(Table2[Stat],Table2[Week],Table1[[#This Row],[Week]],Table2[Athlete],Table1[[#This Row],[Pick]],Table2[Stat Category],"passing",Table2[Stat Type],"TD"))))</f>
        <v>0</v>
      </c>
      <c r="K345" s="6">
        <f>IF(AND($C345="Rushing", $H345&lt;=0), 0, IF(AND($C345="Passing", $G$3&lt;=0), 0,IF(AND($C345="Receiving",$I345&lt;=0),0,SUMIFS(Table2[Stat],Table2[Week],Table1[[#This Row],[Week]],Table2[Athlete],Table1[[#This Row],[Pick]],Table2[Stat Category],"rushing",Table2[Stat Type],"TD"))))</f>
        <v>0</v>
      </c>
      <c r="L345" s="6">
        <f>IF(AND($C345="Rushing", $H345&lt;=0), 0, IF(AND($C345="Passing", $G$3&lt;=0), 0,IF(AND($C345="Receiving",$I345&lt;=0),0,SUMIFS(Table2[Stat],Table2[Week],Table1[[#This Row],[Week]],Table2[Athlete],Table1[[#This Row],[Pick]],Table2[Stat Category],"receiving",Table2[Stat Type],"TD"))))</f>
        <v>0</v>
      </c>
      <c r="M3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5" s="61">
        <f>SUMIFS(Data!$J:$J,Data!$A:$A,Info!$B345,Data!$G:$G,Info!$C345,Data!$I:$I,Info!$D345,Data!$H:$H,"TOT")</f>
        <v>0</v>
      </c>
      <c r="O345" s="61">
        <f>IF(C345="Defensive",SUMIFS(Data!$J:$J,Data!$A:$A,Info!$B345,Data!$I:$I,Info!$D345,Data!$H:$H,"INT"),0)</f>
        <v>0</v>
      </c>
      <c r="P345" s="61">
        <f>IF(Table1[[#This Row],[Role]]="Defensive",SUMIFS(Data!$J:$J,Data!$A:$A,Info!$B345,Data!$I:$I,Info!$D345,Data!$H:$H,$P$1),0)</f>
        <v>0</v>
      </c>
      <c r="Q345" s="65" t="str">
        <f>IF(Table1[[#This Row],[Pick]]="","",IF(S345&gt;1,400,IF(G345="","",IF(C345="Passing",(400-Table1[[#This Row],[Passing Yards]]-(30*Table1[[#This Row],[Passing TDs]])-(50*SUM(Table1[[#This Row],[Rushing TDs]:[Other TD''s]]))),IF(C345="Rushing",2*(200-Table1[[#This Row],[Rushing Yards]]-(30*Table1[[#This Row],[Passing TDs]])-50*(Table1[[#This Row],[Rushing TDs]]+Table1[[#This Row],[Receiving TDs]]+Table1[[#This Row],[Other TD''s]])),IF(C345="Receiving",2*(200-Table1[[#This Row],[Receiving Yards]]-(30*Table1[[#This Row],[Passing TDs]])-50*(Table1[[#This Row],[Rushing TDs]]+Table1[[#This Row],[Receiving TDs]]+Table1[[#This Row],[Other TD''s]])),IF(C345="Defensive",(25*(16-Table1[[#This Row],[Tackles]]-(8*(Table1[[#This Row],[Other TD''s]]+Table1[[#This Row],[Interceptions]]+Table1[[#This Row],[Fumbles Recovered]])))))))))))</f>
        <v/>
      </c>
      <c r="R345" s="3" t="str">
        <f t="shared" si="12"/>
        <v/>
      </c>
      <c r="S345" s="4">
        <f t="shared" si="11"/>
        <v>1048507</v>
      </c>
      <c r="T3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6" spans="1:20" hidden="1" x14ac:dyDescent="0.25">
      <c r="A346" t="s">
        <v>18</v>
      </c>
      <c r="B346" s="28" t="s">
        <v>48</v>
      </c>
      <c r="C346" t="s">
        <v>20</v>
      </c>
      <c r="D346" t="str">
        <f>_xlfn.XLOOKUP(Table1[[#This Row],[Player]]&amp;Table1[[#This Row],[Week]]&amp;Table1[[#This Row],[Role]],'Google Form Transform'!$A:$A,'Google Form Transform'!E:E,"")</f>
        <v/>
      </c>
      <c r="E346" t="str">
        <f>_xlfn.XLOOKUP(Table1[[#This Row],[Player]]&amp;Table1[[#This Row],[Week]]&amp;Table1[[#This Row],[Role]],'Google Form Transform'!$A:$A,'Google Form Transform'!F:F,"")</f>
        <v/>
      </c>
      <c r="F346" t="str">
        <f>_xlfn.XLOOKUP(Table1[[#This Row],[Player]]&amp;Table1[[#This Row],[Week]]&amp;Table1[[#This Row],[Role]],'Google Form Transform'!$A:$A,'Google Form Transform'!G:G,"")</f>
        <v/>
      </c>
      <c r="G346" s="59">
        <f>SUMIFS(Table2[Stat],Table2[Stat Category],"passing",Table2[Stat Type],"YDS",Table2[Athlete],Table1[[#This Row],[Pick]],Table2[Week],Table1[[#This Row],[Week]])</f>
        <v>0</v>
      </c>
      <c r="H346" s="59">
        <f>SUMIFS(Table2[Stat],Table2[Stat Category],"rushing",Table2[Stat Type],"YDS",Table2[Athlete],Table1[[#This Row],[Pick]],Table2[Week],Table1[[#This Row],[Week]])</f>
        <v>0</v>
      </c>
      <c r="I346" s="59">
        <f>SUMIFS(Table2[Stat],Table2[Stat Category],"receiving",Table2[Stat Type],"YDS",Table2[Athlete],Table1[[#This Row],[Pick]],Table2[Week],Table1[[#This Row],[Week]])</f>
        <v>0</v>
      </c>
      <c r="J346" s="6">
        <f>IF(AND($C346="Rushing", $H346&lt;=0), 0, IF(AND($C346="Passing", $G$3&lt;=0), 0,IF(AND($C346="Receiving",$I346&lt;=0), 0,SUMIFS(Table2[Stat],Table2[Week],Table1[[#This Row],[Week]],Table2[Athlete],Table1[[#This Row],[Pick]],Table2[Stat Category],"passing",Table2[Stat Type],"TD"))))</f>
        <v>0</v>
      </c>
      <c r="K346" s="6">
        <f>IF(AND($C346="Rushing", $H346&lt;=0), 0, IF(AND($C346="Passing", $G$3&lt;=0), 0,IF(AND($C346="Receiving",$I346&lt;=0),0,SUMIFS(Table2[Stat],Table2[Week],Table1[[#This Row],[Week]],Table2[Athlete],Table1[[#This Row],[Pick]],Table2[Stat Category],"rushing",Table2[Stat Type],"TD"))))</f>
        <v>0</v>
      </c>
      <c r="L346" s="6">
        <f>IF(AND($C346="Rushing", $H346&lt;=0), 0, IF(AND($C346="Passing", $G$3&lt;=0), 0,IF(AND($C346="Receiving",$I346&lt;=0),0,SUMIFS(Table2[Stat],Table2[Week],Table1[[#This Row],[Week]],Table2[Athlete],Table1[[#This Row],[Pick]],Table2[Stat Category],"receiving",Table2[Stat Type],"TD"))))</f>
        <v>0</v>
      </c>
      <c r="M3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6" s="61">
        <f>SUMIFS(Data!$J:$J,Data!$A:$A,Info!$B346,Data!$G:$G,Info!$C346,Data!$I:$I,Info!$D346,Data!$H:$H,"TOT")</f>
        <v>0</v>
      </c>
      <c r="O346" s="61">
        <f>IF(C346="Defensive",SUMIFS(Data!$J:$J,Data!$A:$A,Info!$B346,Data!$I:$I,Info!$D346,Data!$H:$H,"INT"),0)</f>
        <v>0</v>
      </c>
      <c r="P346" s="61">
        <f>IF(Table1[[#This Row],[Role]]="Defensive",SUMIFS(Data!$J:$J,Data!$A:$A,Info!$B346,Data!$I:$I,Info!$D346,Data!$H:$H,$P$1),0)</f>
        <v>0</v>
      </c>
      <c r="Q346" s="65" t="str">
        <f>IF(Table1[[#This Row],[Pick]]="","",IF(S346&gt;1,400,IF(G346="","",IF(C346="Passing",(400-Table1[[#This Row],[Passing Yards]]-(30*Table1[[#This Row],[Passing TDs]])-(50*SUM(Table1[[#This Row],[Rushing TDs]:[Other TD''s]]))),IF(C346="Rushing",2*(200-Table1[[#This Row],[Rushing Yards]]-(30*Table1[[#This Row],[Passing TDs]])-50*(Table1[[#This Row],[Rushing TDs]]+Table1[[#This Row],[Receiving TDs]]+Table1[[#This Row],[Other TD''s]])),IF(C346="Receiving",2*(200-Table1[[#This Row],[Receiving Yards]]-(30*Table1[[#This Row],[Passing TDs]])-50*(Table1[[#This Row],[Rushing TDs]]+Table1[[#This Row],[Receiving TDs]]+Table1[[#This Row],[Other TD''s]])),IF(C346="Defensive",(25*(16-Table1[[#This Row],[Tackles]]-(8*(Table1[[#This Row],[Other TD''s]]+Table1[[#This Row],[Interceptions]]+Table1[[#This Row],[Fumbles Recovered]])))))))))))</f>
        <v/>
      </c>
      <c r="R346" s="3" t="str">
        <f t="shared" si="12"/>
        <v/>
      </c>
      <c r="S346" s="4">
        <f t="shared" si="11"/>
        <v>1048507</v>
      </c>
      <c r="T3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7" spans="1:20" hidden="1" x14ac:dyDescent="0.25">
      <c r="A347" t="s">
        <v>19</v>
      </c>
      <c r="B347" s="28" t="s">
        <v>48</v>
      </c>
      <c r="C347" t="s">
        <v>16</v>
      </c>
      <c r="D347" t="str">
        <f>_xlfn.XLOOKUP(Table1[[#This Row],[Player]]&amp;Table1[[#This Row],[Week]]&amp;Table1[[#This Row],[Role]],'Google Form Transform'!$A:$A,'Google Form Transform'!E:E,"")</f>
        <v/>
      </c>
      <c r="E347" t="str">
        <f>_xlfn.XLOOKUP(Table1[[#This Row],[Player]]&amp;Table1[[#This Row],[Week]]&amp;Table1[[#This Row],[Role]],'Google Form Transform'!$A:$A,'Google Form Transform'!F:F,"")</f>
        <v/>
      </c>
      <c r="F347" t="str">
        <f>_xlfn.XLOOKUP(Table1[[#This Row],[Player]]&amp;Table1[[#This Row],[Week]]&amp;Table1[[#This Row],[Role]],'Google Form Transform'!$A:$A,'Google Form Transform'!G:G,"")</f>
        <v/>
      </c>
      <c r="G347" s="59">
        <f>SUMIFS(Table2[Stat],Table2[Stat Category],"passing",Table2[Stat Type],"YDS",Table2[Athlete],Table1[[#This Row],[Pick]],Table2[Week],Table1[[#This Row],[Week]])</f>
        <v>0</v>
      </c>
      <c r="H347" s="59">
        <f>SUMIFS(Table2[Stat],Table2[Stat Category],"rushing",Table2[Stat Type],"YDS",Table2[Athlete],Table1[[#This Row],[Pick]],Table2[Week],Table1[[#This Row],[Week]])</f>
        <v>0</v>
      </c>
      <c r="I347" s="59">
        <f>SUMIFS(Table2[Stat],Table2[Stat Category],"receiving",Table2[Stat Type],"YDS",Table2[Athlete],Table1[[#This Row],[Pick]],Table2[Week],Table1[[#This Row],[Week]])</f>
        <v>0</v>
      </c>
      <c r="J347" s="6">
        <f>IF(AND($C347="Rushing", $H347&lt;=0), 0, IF(AND($C347="Passing", $G$3&lt;=0), 0,IF(AND($C347="Receiving",$I347&lt;=0), 0,SUMIFS(Table2[Stat],Table2[Week],Table1[[#This Row],[Week]],Table2[Athlete],Table1[[#This Row],[Pick]],Table2[Stat Category],"passing",Table2[Stat Type],"TD"))))</f>
        <v>0</v>
      </c>
      <c r="K347" s="6">
        <f>IF(AND($C347="Rushing", $H347&lt;=0), 0, IF(AND($C347="Passing", $G$3&lt;=0), 0,IF(AND($C347="Receiving",$I347&lt;=0),0,SUMIFS(Table2[Stat],Table2[Week],Table1[[#This Row],[Week]],Table2[Athlete],Table1[[#This Row],[Pick]],Table2[Stat Category],"rushing",Table2[Stat Type],"TD"))))</f>
        <v>0</v>
      </c>
      <c r="L347" s="6">
        <f>IF(AND($C347="Rushing", $H347&lt;=0), 0, IF(AND($C347="Passing", $G$3&lt;=0), 0,IF(AND($C347="Receiving",$I347&lt;=0),0,SUMIFS(Table2[Stat],Table2[Week],Table1[[#This Row],[Week]],Table2[Athlete],Table1[[#This Row],[Pick]],Table2[Stat Category],"receiving",Table2[Stat Type],"TD"))))</f>
        <v>0</v>
      </c>
      <c r="M3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7" s="61">
        <f>SUMIFS(Data!$J:$J,Data!$A:$A,Info!$B347,Data!$G:$G,Info!$C347,Data!$I:$I,Info!$D347,Data!$H:$H,"TOT")</f>
        <v>0</v>
      </c>
      <c r="O347" s="61">
        <f>IF(C347="Defensive",SUMIFS(Data!$J:$J,Data!$A:$A,Info!$B347,Data!$I:$I,Info!$D347,Data!$H:$H,"INT"),0)</f>
        <v>0</v>
      </c>
      <c r="P347" s="61">
        <f>IF(Table1[[#This Row],[Role]]="Defensive",SUMIFS(Data!$J:$J,Data!$A:$A,Info!$B347,Data!$I:$I,Info!$D347,Data!$H:$H,$P$1),0)</f>
        <v>0</v>
      </c>
      <c r="Q347" s="65" t="str">
        <f>IF(Table1[[#This Row],[Pick]]="","",IF(S347&gt;1,400,IF(G347="","",IF(C347="Passing",(400-Table1[[#This Row],[Passing Yards]]-(30*Table1[[#This Row],[Passing TDs]])-(50*SUM(Table1[[#This Row],[Rushing TDs]:[Other TD''s]]))),IF(C347="Rushing",2*(200-Table1[[#This Row],[Rushing Yards]]-(30*Table1[[#This Row],[Passing TDs]])-50*(Table1[[#This Row],[Rushing TDs]]+Table1[[#This Row],[Receiving TDs]]+Table1[[#This Row],[Other TD''s]])),IF(C347="Receiving",2*(200-Table1[[#This Row],[Receiving Yards]]-(30*Table1[[#This Row],[Passing TDs]])-50*(Table1[[#This Row],[Rushing TDs]]+Table1[[#This Row],[Receiving TDs]]+Table1[[#This Row],[Other TD''s]])),IF(C347="Defensive",(25*(16-Table1[[#This Row],[Tackles]]-(8*(Table1[[#This Row],[Other TD''s]]+Table1[[#This Row],[Interceptions]]+Table1[[#This Row],[Fumbles Recovered]])))))))))))</f>
        <v/>
      </c>
      <c r="R347" s="3" t="str">
        <f t="shared" si="12"/>
        <v/>
      </c>
      <c r="S347" s="4">
        <f t="shared" si="11"/>
        <v>1048507</v>
      </c>
      <c r="T3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8" spans="1:20" hidden="1" x14ac:dyDescent="0.25">
      <c r="A348" t="s">
        <v>19</v>
      </c>
      <c r="B348" s="28" t="s">
        <v>48</v>
      </c>
      <c r="C348" t="s">
        <v>6</v>
      </c>
      <c r="D348" t="str">
        <f>_xlfn.XLOOKUP(Table1[[#This Row],[Player]]&amp;Table1[[#This Row],[Week]]&amp;Table1[[#This Row],[Role]],'Google Form Transform'!$A:$A,'Google Form Transform'!E:E,"")</f>
        <v/>
      </c>
      <c r="E348" t="str">
        <f>_xlfn.XLOOKUP(Table1[[#This Row],[Player]]&amp;Table1[[#This Row],[Week]]&amp;Table1[[#This Row],[Role]],'Google Form Transform'!$A:$A,'Google Form Transform'!F:F,"")</f>
        <v/>
      </c>
      <c r="F348" t="str">
        <f>_xlfn.XLOOKUP(Table1[[#This Row],[Player]]&amp;Table1[[#This Row],[Week]]&amp;Table1[[#This Row],[Role]],'Google Form Transform'!$A:$A,'Google Form Transform'!G:G,"")</f>
        <v/>
      </c>
      <c r="G348" s="59">
        <f>SUMIFS(Table2[Stat],Table2[Stat Category],"passing",Table2[Stat Type],"YDS",Table2[Athlete],Table1[[#This Row],[Pick]],Table2[Week],Table1[[#This Row],[Week]])</f>
        <v>0</v>
      </c>
      <c r="H348" s="59">
        <f>SUMIFS(Table2[Stat],Table2[Stat Category],"rushing",Table2[Stat Type],"YDS",Table2[Athlete],Table1[[#This Row],[Pick]],Table2[Week],Table1[[#This Row],[Week]])</f>
        <v>0</v>
      </c>
      <c r="I348" s="59">
        <f>SUMIFS(Table2[Stat],Table2[Stat Category],"receiving",Table2[Stat Type],"YDS",Table2[Athlete],Table1[[#This Row],[Pick]],Table2[Week],Table1[[#This Row],[Week]])</f>
        <v>0</v>
      </c>
      <c r="J348" s="6">
        <f>IF(AND($C348="Rushing", $H348&lt;=0), 0, IF(AND($C348="Passing", $G$3&lt;=0), 0,IF(AND($C348="Receiving",$I348&lt;=0), 0,SUMIFS(Table2[Stat],Table2[Week],Table1[[#This Row],[Week]],Table2[Athlete],Table1[[#This Row],[Pick]],Table2[Stat Category],"passing",Table2[Stat Type],"TD"))))</f>
        <v>0</v>
      </c>
      <c r="K348" s="6">
        <f>IF(AND($C348="Rushing", $H348&lt;=0), 0, IF(AND($C348="Passing", $G$3&lt;=0), 0,IF(AND($C348="Receiving",$I348&lt;=0),0,SUMIFS(Table2[Stat],Table2[Week],Table1[[#This Row],[Week]],Table2[Athlete],Table1[[#This Row],[Pick]],Table2[Stat Category],"rushing",Table2[Stat Type],"TD"))))</f>
        <v>0</v>
      </c>
      <c r="L348" s="6">
        <f>IF(AND($C348="Rushing", $H348&lt;=0), 0, IF(AND($C348="Passing", $G$3&lt;=0), 0,IF(AND($C348="Receiving",$I348&lt;=0),0,SUMIFS(Table2[Stat],Table2[Week],Table1[[#This Row],[Week]],Table2[Athlete],Table1[[#This Row],[Pick]],Table2[Stat Category],"receiving",Table2[Stat Type],"TD"))))</f>
        <v>0</v>
      </c>
      <c r="M3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8" s="61">
        <f>SUMIFS(Data!$J:$J,Data!$A:$A,Info!$B348,Data!$G:$G,Info!$C348,Data!$I:$I,Info!$D348,Data!$H:$H,"TOT")</f>
        <v>0</v>
      </c>
      <c r="O348" s="61">
        <f>IF(C348="Defensive",SUMIFS(Data!$J:$J,Data!$A:$A,Info!$B348,Data!$I:$I,Info!$D348,Data!$H:$H,"INT"),0)</f>
        <v>0</v>
      </c>
      <c r="P348" s="61">
        <f>IF(Table1[[#This Row],[Role]]="Defensive",SUMIFS(Data!$J:$J,Data!$A:$A,Info!$B348,Data!$I:$I,Info!$D348,Data!$H:$H,$P$1),0)</f>
        <v>0</v>
      </c>
      <c r="Q348" s="65" t="str">
        <f>IF(Table1[[#This Row],[Pick]]="","",IF(S348&gt;1,400,IF(G348="","",IF(C348="Passing",(400-Table1[[#This Row],[Passing Yards]]-(30*Table1[[#This Row],[Passing TDs]])-(50*SUM(Table1[[#This Row],[Rushing TDs]:[Other TD''s]]))),IF(C348="Rushing",2*(200-Table1[[#This Row],[Rushing Yards]]-(30*Table1[[#This Row],[Passing TDs]])-50*(Table1[[#This Row],[Rushing TDs]]+Table1[[#This Row],[Receiving TDs]]+Table1[[#This Row],[Other TD''s]])),IF(C348="Receiving",2*(200-Table1[[#This Row],[Receiving Yards]]-(30*Table1[[#This Row],[Passing TDs]])-50*(Table1[[#This Row],[Rushing TDs]]+Table1[[#This Row],[Receiving TDs]]+Table1[[#This Row],[Other TD''s]])),IF(C348="Defensive",(25*(16-Table1[[#This Row],[Tackles]]-(8*(Table1[[#This Row],[Other TD''s]]+Table1[[#This Row],[Interceptions]]+Table1[[#This Row],[Fumbles Recovered]])))))))))))</f>
        <v/>
      </c>
      <c r="R348" s="3" t="str">
        <f t="shared" si="12"/>
        <v/>
      </c>
      <c r="S348" s="4">
        <f t="shared" si="11"/>
        <v>1048507</v>
      </c>
      <c r="T3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9" spans="1:20" hidden="1" x14ac:dyDescent="0.25">
      <c r="A349" t="s">
        <v>19</v>
      </c>
      <c r="B349" s="28" t="s">
        <v>48</v>
      </c>
      <c r="C349" t="s">
        <v>17</v>
      </c>
      <c r="D349" t="str">
        <f>_xlfn.XLOOKUP(Table1[[#This Row],[Player]]&amp;Table1[[#This Row],[Week]]&amp;Table1[[#This Row],[Role]],'Google Form Transform'!$A:$A,'Google Form Transform'!E:E,"")</f>
        <v/>
      </c>
      <c r="E349" t="str">
        <f>_xlfn.XLOOKUP(Table1[[#This Row],[Player]]&amp;Table1[[#This Row],[Week]]&amp;Table1[[#This Row],[Role]],'Google Form Transform'!$A:$A,'Google Form Transform'!F:F,"")</f>
        <v/>
      </c>
      <c r="F349" t="str">
        <f>_xlfn.XLOOKUP(Table1[[#This Row],[Player]]&amp;Table1[[#This Row],[Week]]&amp;Table1[[#This Row],[Role]],'Google Form Transform'!$A:$A,'Google Form Transform'!G:G,"")</f>
        <v/>
      </c>
      <c r="G349" s="59">
        <f>SUMIFS(Table2[Stat],Table2[Stat Category],"passing",Table2[Stat Type],"YDS",Table2[Athlete],Table1[[#This Row],[Pick]],Table2[Week],Table1[[#This Row],[Week]])</f>
        <v>0</v>
      </c>
      <c r="H349" s="59">
        <f>SUMIFS(Table2[Stat],Table2[Stat Category],"rushing",Table2[Stat Type],"YDS",Table2[Athlete],Table1[[#This Row],[Pick]],Table2[Week],Table1[[#This Row],[Week]])</f>
        <v>0</v>
      </c>
      <c r="I349" s="59">
        <f>SUMIFS(Table2[Stat],Table2[Stat Category],"receiving",Table2[Stat Type],"YDS",Table2[Athlete],Table1[[#This Row],[Pick]],Table2[Week],Table1[[#This Row],[Week]])</f>
        <v>0</v>
      </c>
      <c r="J349" s="6">
        <f>IF(AND($C349="Rushing", $H349&lt;=0), 0, IF(AND($C349="Passing", $G$3&lt;=0), 0,IF(AND($C349="Receiving",$I349&lt;=0), 0,SUMIFS(Table2[Stat],Table2[Week],Table1[[#This Row],[Week]],Table2[Athlete],Table1[[#This Row],[Pick]],Table2[Stat Category],"passing",Table2[Stat Type],"TD"))))</f>
        <v>0</v>
      </c>
      <c r="K349" s="6">
        <f>IF(AND($C349="Rushing", $H349&lt;=0), 0, IF(AND($C349="Passing", $G$3&lt;=0), 0,IF(AND($C349="Receiving",$I349&lt;=0),0,SUMIFS(Table2[Stat],Table2[Week],Table1[[#This Row],[Week]],Table2[Athlete],Table1[[#This Row],[Pick]],Table2[Stat Category],"rushing",Table2[Stat Type],"TD"))))</f>
        <v>0</v>
      </c>
      <c r="L349" s="6">
        <f>IF(AND($C349="Rushing", $H349&lt;=0), 0, IF(AND($C349="Passing", $G$3&lt;=0), 0,IF(AND($C349="Receiving",$I349&lt;=0),0,SUMIFS(Table2[Stat],Table2[Week],Table1[[#This Row],[Week]],Table2[Athlete],Table1[[#This Row],[Pick]],Table2[Stat Category],"receiving",Table2[Stat Type],"TD"))))</f>
        <v>0</v>
      </c>
      <c r="M3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9" s="61">
        <f>SUMIFS(Data!$J:$J,Data!$A:$A,Info!$B349,Data!$G:$G,Info!$C349,Data!$I:$I,Info!$D349,Data!$H:$H,"TOT")</f>
        <v>0</v>
      </c>
      <c r="O349" s="61">
        <f>IF(C349="Defensive",SUMIFS(Data!$J:$J,Data!$A:$A,Info!$B349,Data!$I:$I,Info!$D349,Data!$H:$H,"INT"),0)</f>
        <v>0</v>
      </c>
      <c r="P349" s="61">
        <f>IF(Table1[[#This Row],[Role]]="Defensive",SUMIFS(Data!$J:$J,Data!$A:$A,Info!$B349,Data!$I:$I,Info!$D349,Data!$H:$H,$P$1),0)</f>
        <v>0</v>
      </c>
      <c r="Q349" s="65" t="str">
        <f>IF(Table1[[#This Row],[Pick]]="","",IF(S349&gt;1,400,IF(G349="","",IF(C349="Passing",(400-Table1[[#This Row],[Passing Yards]]-(30*Table1[[#This Row],[Passing TDs]])-(50*SUM(Table1[[#This Row],[Rushing TDs]:[Other TD''s]]))),IF(C349="Rushing",2*(200-Table1[[#This Row],[Rushing Yards]]-(30*Table1[[#This Row],[Passing TDs]])-50*(Table1[[#This Row],[Rushing TDs]]+Table1[[#This Row],[Receiving TDs]]+Table1[[#This Row],[Other TD''s]])),IF(C349="Receiving",2*(200-Table1[[#This Row],[Receiving Yards]]-(30*Table1[[#This Row],[Passing TDs]])-50*(Table1[[#This Row],[Rushing TDs]]+Table1[[#This Row],[Receiving TDs]]+Table1[[#This Row],[Other TD''s]])),IF(C349="Defensive",(25*(16-Table1[[#This Row],[Tackles]]-(8*(Table1[[#This Row],[Other TD''s]]+Table1[[#This Row],[Interceptions]]+Table1[[#This Row],[Fumbles Recovered]])))))))))))</f>
        <v/>
      </c>
      <c r="R349" s="3" t="str">
        <f t="shared" si="12"/>
        <v/>
      </c>
      <c r="S349" s="4">
        <f t="shared" si="11"/>
        <v>1048507</v>
      </c>
      <c r="T3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0" spans="1:20" hidden="1" x14ac:dyDescent="0.25">
      <c r="A350" t="s">
        <v>19</v>
      </c>
      <c r="B350" s="28" t="s">
        <v>48</v>
      </c>
      <c r="C350" t="s">
        <v>20</v>
      </c>
      <c r="D350" t="str">
        <f>_xlfn.XLOOKUP(Table1[[#This Row],[Player]]&amp;Table1[[#This Row],[Week]]&amp;Table1[[#This Row],[Role]],'Google Form Transform'!$A:$A,'Google Form Transform'!E:E,"")</f>
        <v/>
      </c>
      <c r="E350" t="str">
        <f>_xlfn.XLOOKUP(Table1[[#This Row],[Player]]&amp;Table1[[#This Row],[Week]]&amp;Table1[[#This Row],[Role]],'Google Form Transform'!$A:$A,'Google Form Transform'!F:F,"")</f>
        <v/>
      </c>
      <c r="F350" t="str">
        <f>_xlfn.XLOOKUP(Table1[[#This Row],[Player]]&amp;Table1[[#This Row],[Week]]&amp;Table1[[#This Row],[Role]],'Google Form Transform'!$A:$A,'Google Form Transform'!G:G,"")</f>
        <v/>
      </c>
      <c r="G350" s="59">
        <f>SUMIFS(Table2[Stat],Table2[Stat Category],"passing",Table2[Stat Type],"YDS",Table2[Athlete],Table1[[#This Row],[Pick]],Table2[Week],Table1[[#This Row],[Week]])</f>
        <v>0</v>
      </c>
      <c r="H350" s="59">
        <f>SUMIFS(Table2[Stat],Table2[Stat Category],"rushing",Table2[Stat Type],"YDS",Table2[Athlete],Table1[[#This Row],[Pick]],Table2[Week],Table1[[#This Row],[Week]])</f>
        <v>0</v>
      </c>
      <c r="I350" s="59">
        <f>SUMIFS(Table2[Stat],Table2[Stat Category],"receiving",Table2[Stat Type],"YDS",Table2[Athlete],Table1[[#This Row],[Pick]],Table2[Week],Table1[[#This Row],[Week]])</f>
        <v>0</v>
      </c>
      <c r="J350" s="6">
        <f>IF(AND($C350="Rushing", $H350&lt;=0), 0, IF(AND($C350="Passing", $G$3&lt;=0), 0,IF(AND($C350="Receiving",$I350&lt;=0), 0,SUMIFS(Table2[Stat],Table2[Week],Table1[[#This Row],[Week]],Table2[Athlete],Table1[[#This Row],[Pick]],Table2[Stat Category],"passing",Table2[Stat Type],"TD"))))</f>
        <v>0</v>
      </c>
      <c r="K350" s="6">
        <f>IF(AND($C350="Rushing", $H350&lt;=0), 0, IF(AND($C350="Passing", $G$3&lt;=0), 0,IF(AND($C350="Receiving",$I350&lt;=0),0,SUMIFS(Table2[Stat],Table2[Week],Table1[[#This Row],[Week]],Table2[Athlete],Table1[[#This Row],[Pick]],Table2[Stat Category],"rushing",Table2[Stat Type],"TD"))))</f>
        <v>0</v>
      </c>
      <c r="L350" s="6">
        <f>IF(AND($C350="Rushing", $H350&lt;=0), 0, IF(AND($C350="Passing", $G$3&lt;=0), 0,IF(AND($C350="Receiving",$I350&lt;=0),0,SUMIFS(Table2[Stat],Table2[Week],Table1[[#This Row],[Week]],Table2[Athlete],Table1[[#This Row],[Pick]],Table2[Stat Category],"receiving",Table2[Stat Type],"TD"))))</f>
        <v>0</v>
      </c>
      <c r="M3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0" s="61">
        <f>SUMIFS(Data!$J:$J,Data!$A:$A,Info!$B350,Data!$G:$G,Info!$C350,Data!$I:$I,Info!$D350,Data!$H:$H,"TOT")</f>
        <v>0</v>
      </c>
      <c r="O350" s="61">
        <f>IF(C350="Defensive",SUMIFS(Data!$J:$J,Data!$A:$A,Info!$B350,Data!$I:$I,Info!$D350,Data!$H:$H,"INT"),0)</f>
        <v>0</v>
      </c>
      <c r="P350" s="61">
        <f>IF(Table1[[#This Row],[Role]]="Defensive",SUMIFS(Data!$J:$J,Data!$A:$A,Info!$B350,Data!$I:$I,Info!$D350,Data!$H:$H,$P$1),0)</f>
        <v>0</v>
      </c>
      <c r="Q350" s="65" t="str">
        <f>IF(Table1[[#This Row],[Pick]]="","",IF(S350&gt;1,400,IF(G350="","",IF(C350="Passing",(400-Table1[[#This Row],[Passing Yards]]-(30*Table1[[#This Row],[Passing TDs]])-(50*SUM(Table1[[#This Row],[Rushing TDs]:[Other TD''s]]))),IF(C350="Rushing",2*(200-Table1[[#This Row],[Rushing Yards]]-(30*Table1[[#This Row],[Passing TDs]])-50*(Table1[[#This Row],[Rushing TDs]]+Table1[[#This Row],[Receiving TDs]]+Table1[[#This Row],[Other TD''s]])),IF(C350="Receiving",2*(200-Table1[[#This Row],[Receiving Yards]]-(30*Table1[[#This Row],[Passing TDs]])-50*(Table1[[#This Row],[Rushing TDs]]+Table1[[#This Row],[Receiving TDs]]+Table1[[#This Row],[Other TD''s]])),IF(C350="Defensive",(25*(16-Table1[[#This Row],[Tackles]]-(8*(Table1[[#This Row],[Other TD''s]]+Table1[[#This Row],[Interceptions]]+Table1[[#This Row],[Fumbles Recovered]])))))))))))</f>
        <v/>
      </c>
      <c r="R350" s="3" t="str">
        <f t="shared" si="12"/>
        <v/>
      </c>
      <c r="S350" s="4">
        <f t="shared" si="11"/>
        <v>1048507</v>
      </c>
      <c r="T3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1" spans="1:20" hidden="1" x14ac:dyDescent="0.25">
      <c r="A351" t="s">
        <v>26</v>
      </c>
      <c r="B351" s="28" t="s">
        <v>48</v>
      </c>
      <c r="C351" t="s">
        <v>16</v>
      </c>
      <c r="D351" t="str">
        <f>_xlfn.XLOOKUP(Table1[[#This Row],[Player]]&amp;Table1[[#This Row],[Week]]&amp;Table1[[#This Row],[Role]],'Google Form Transform'!$A:$A,'Google Form Transform'!E:E,"")</f>
        <v/>
      </c>
      <c r="E351" t="str">
        <f>_xlfn.XLOOKUP(Table1[[#This Row],[Player]]&amp;Table1[[#This Row],[Week]]&amp;Table1[[#This Row],[Role]],'Google Form Transform'!$A:$A,'Google Form Transform'!F:F,"")</f>
        <v/>
      </c>
      <c r="F351" t="str">
        <f>_xlfn.XLOOKUP(Table1[[#This Row],[Player]]&amp;Table1[[#This Row],[Week]]&amp;Table1[[#This Row],[Role]],'Google Form Transform'!$A:$A,'Google Form Transform'!G:G,"")</f>
        <v/>
      </c>
      <c r="G351" s="59">
        <f>SUMIFS(Table2[Stat],Table2[Stat Category],"passing",Table2[Stat Type],"YDS",Table2[Athlete],Table1[[#This Row],[Pick]],Table2[Week],Table1[[#This Row],[Week]])</f>
        <v>0</v>
      </c>
      <c r="H351" s="59">
        <f>SUMIFS(Table2[Stat],Table2[Stat Category],"rushing",Table2[Stat Type],"YDS",Table2[Athlete],Table1[[#This Row],[Pick]],Table2[Week],Table1[[#This Row],[Week]])</f>
        <v>0</v>
      </c>
      <c r="I351" s="59">
        <f>SUMIFS(Table2[Stat],Table2[Stat Category],"receiving",Table2[Stat Type],"YDS",Table2[Athlete],Table1[[#This Row],[Pick]],Table2[Week],Table1[[#This Row],[Week]])</f>
        <v>0</v>
      </c>
      <c r="J351" s="6">
        <f>IF(AND($C351="Rushing", $H351&lt;=0), 0, IF(AND($C351="Passing", $G$3&lt;=0), 0,IF(AND($C351="Receiving",$I351&lt;=0), 0,SUMIFS(Table2[Stat],Table2[Week],Table1[[#This Row],[Week]],Table2[Athlete],Table1[[#This Row],[Pick]],Table2[Stat Category],"passing",Table2[Stat Type],"TD"))))</f>
        <v>0</v>
      </c>
      <c r="K351" s="6">
        <f>IF(AND($C351="Rushing", $H351&lt;=0), 0, IF(AND($C351="Passing", $G$3&lt;=0), 0,IF(AND($C351="Receiving",$I351&lt;=0),0,SUMIFS(Table2[Stat],Table2[Week],Table1[[#This Row],[Week]],Table2[Athlete],Table1[[#This Row],[Pick]],Table2[Stat Category],"rushing",Table2[Stat Type],"TD"))))</f>
        <v>0</v>
      </c>
      <c r="L351" s="6">
        <f>IF(AND($C351="Rushing", $H351&lt;=0), 0, IF(AND($C351="Passing", $G$3&lt;=0), 0,IF(AND($C351="Receiving",$I351&lt;=0),0,SUMIFS(Table2[Stat],Table2[Week],Table1[[#This Row],[Week]],Table2[Athlete],Table1[[#This Row],[Pick]],Table2[Stat Category],"receiving",Table2[Stat Type],"TD"))))</f>
        <v>0</v>
      </c>
      <c r="M3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1" s="61">
        <f>SUMIFS(Data!$J:$J,Data!$A:$A,Info!$B351,Data!$G:$G,Info!$C351,Data!$I:$I,Info!$D351,Data!$H:$H,"TOT")</f>
        <v>0</v>
      </c>
      <c r="O351" s="61">
        <f>IF(C351="Defensive",SUMIFS(Data!$J:$J,Data!$A:$A,Info!$B351,Data!$I:$I,Info!$D351,Data!$H:$H,"INT"),0)</f>
        <v>0</v>
      </c>
      <c r="P351" s="61">
        <f>IF(Table1[[#This Row],[Role]]="Defensive",SUMIFS(Data!$J:$J,Data!$A:$A,Info!$B351,Data!$I:$I,Info!$D351,Data!$H:$H,$P$1),0)</f>
        <v>0</v>
      </c>
      <c r="Q351" s="65" t="str">
        <f>IF(Table1[[#This Row],[Pick]]="","",IF(S351&gt;1,400,IF(G351="","",IF(C351="Passing",(400-Table1[[#This Row],[Passing Yards]]-(30*Table1[[#This Row],[Passing TDs]])-(50*SUM(Table1[[#This Row],[Rushing TDs]:[Other TD''s]]))),IF(C351="Rushing",2*(200-Table1[[#This Row],[Rushing Yards]]-(30*Table1[[#This Row],[Passing TDs]])-50*(Table1[[#This Row],[Rushing TDs]]+Table1[[#This Row],[Receiving TDs]]+Table1[[#This Row],[Other TD''s]])),IF(C351="Receiving",2*(200-Table1[[#This Row],[Receiving Yards]]-(30*Table1[[#This Row],[Passing TDs]])-50*(Table1[[#This Row],[Rushing TDs]]+Table1[[#This Row],[Receiving TDs]]+Table1[[#This Row],[Other TD''s]])),IF(C351="Defensive",(25*(16-Table1[[#This Row],[Tackles]]-(8*(Table1[[#This Row],[Other TD''s]]+Table1[[#This Row],[Interceptions]]+Table1[[#This Row],[Fumbles Recovered]])))))))))))</f>
        <v/>
      </c>
      <c r="R351" s="3" t="str">
        <f t="shared" si="12"/>
        <v/>
      </c>
      <c r="S351" s="4">
        <f t="shared" si="11"/>
        <v>1048507</v>
      </c>
      <c r="T3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2" spans="1:20" hidden="1" x14ac:dyDescent="0.25">
      <c r="A352" t="s">
        <v>26</v>
      </c>
      <c r="B352" s="28" t="s">
        <v>48</v>
      </c>
      <c r="C352" t="s">
        <v>6</v>
      </c>
      <c r="D352" t="str">
        <f>_xlfn.XLOOKUP(Table1[[#This Row],[Player]]&amp;Table1[[#This Row],[Week]]&amp;Table1[[#This Row],[Role]],'Google Form Transform'!$A:$A,'Google Form Transform'!E:E,"")</f>
        <v/>
      </c>
      <c r="E352" t="str">
        <f>_xlfn.XLOOKUP(Table1[[#This Row],[Player]]&amp;Table1[[#This Row],[Week]]&amp;Table1[[#This Row],[Role]],'Google Form Transform'!$A:$A,'Google Form Transform'!F:F,"")</f>
        <v/>
      </c>
      <c r="F352" t="str">
        <f>_xlfn.XLOOKUP(Table1[[#This Row],[Player]]&amp;Table1[[#This Row],[Week]]&amp;Table1[[#This Row],[Role]],'Google Form Transform'!$A:$A,'Google Form Transform'!G:G,"")</f>
        <v/>
      </c>
      <c r="G352" s="59">
        <f>SUMIFS(Table2[Stat],Table2[Stat Category],"passing",Table2[Stat Type],"YDS",Table2[Athlete],Table1[[#This Row],[Pick]],Table2[Week],Table1[[#This Row],[Week]])</f>
        <v>0</v>
      </c>
      <c r="H352" s="59">
        <f>SUMIFS(Table2[Stat],Table2[Stat Category],"rushing",Table2[Stat Type],"YDS",Table2[Athlete],Table1[[#This Row],[Pick]],Table2[Week],Table1[[#This Row],[Week]])</f>
        <v>0</v>
      </c>
      <c r="I352" s="59">
        <f>SUMIFS(Table2[Stat],Table2[Stat Category],"receiving",Table2[Stat Type],"YDS",Table2[Athlete],Table1[[#This Row],[Pick]],Table2[Week],Table1[[#This Row],[Week]])</f>
        <v>0</v>
      </c>
      <c r="J352" s="6">
        <f>IF(AND($C352="Rushing", $H352&lt;=0), 0, IF(AND($C352="Passing", $G$3&lt;=0), 0,IF(AND($C352="Receiving",$I352&lt;=0), 0,SUMIFS(Table2[Stat],Table2[Week],Table1[[#This Row],[Week]],Table2[Athlete],Table1[[#This Row],[Pick]],Table2[Stat Category],"passing",Table2[Stat Type],"TD"))))</f>
        <v>0</v>
      </c>
      <c r="K352" s="6">
        <f>IF(AND($C352="Rushing", $H352&lt;=0), 0, IF(AND($C352="Passing", $G$3&lt;=0), 0,IF(AND($C352="Receiving",$I352&lt;=0),0,SUMIFS(Table2[Stat],Table2[Week],Table1[[#This Row],[Week]],Table2[Athlete],Table1[[#This Row],[Pick]],Table2[Stat Category],"rushing",Table2[Stat Type],"TD"))))</f>
        <v>0</v>
      </c>
      <c r="L352" s="6">
        <f>IF(AND($C352="Rushing", $H352&lt;=0), 0, IF(AND($C352="Passing", $G$3&lt;=0), 0,IF(AND($C352="Receiving",$I352&lt;=0),0,SUMIFS(Table2[Stat],Table2[Week],Table1[[#This Row],[Week]],Table2[Athlete],Table1[[#This Row],[Pick]],Table2[Stat Category],"receiving",Table2[Stat Type],"TD"))))</f>
        <v>0</v>
      </c>
      <c r="M3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2" s="61">
        <f>SUMIFS(Data!$J:$J,Data!$A:$A,Info!$B352,Data!$G:$G,Info!$C352,Data!$I:$I,Info!$D352,Data!$H:$H,"TOT")</f>
        <v>0</v>
      </c>
      <c r="O352" s="61">
        <f>IF(C352="Defensive",SUMIFS(Data!$J:$J,Data!$A:$A,Info!$B352,Data!$I:$I,Info!$D352,Data!$H:$H,"INT"),0)</f>
        <v>0</v>
      </c>
      <c r="P352" s="61">
        <f>IF(Table1[[#This Row],[Role]]="Defensive",SUMIFS(Data!$J:$J,Data!$A:$A,Info!$B352,Data!$I:$I,Info!$D352,Data!$H:$H,$P$1),0)</f>
        <v>0</v>
      </c>
      <c r="Q352" s="65" t="str">
        <f>IF(Table1[[#This Row],[Pick]]="","",IF(S352&gt;1,400,IF(G352="","",IF(C352="Passing",(400-Table1[[#This Row],[Passing Yards]]-(30*Table1[[#This Row],[Passing TDs]])-(50*SUM(Table1[[#This Row],[Rushing TDs]:[Other TD''s]]))),IF(C352="Rushing",2*(200-Table1[[#This Row],[Rushing Yards]]-(30*Table1[[#This Row],[Passing TDs]])-50*(Table1[[#This Row],[Rushing TDs]]+Table1[[#This Row],[Receiving TDs]]+Table1[[#This Row],[Other TD''s]])),IF(C352="Receiving",2*(200-Table1[[#This Row],[Receiving Yards]]-(30*Table1[[#This Row],[Passing TDs]])-50*(Table1[[#This Row],[Rushing TDs]]+Table1[[#This Row],[Receiving TDs]]+Table1[[#This Row],[Other TD''s]])),IF(C352="Defensive",(25*(16-Table1[[#This Row],[Tackles]]-(8*(Table1[[#This Row],[Other TD''s]]+Table1[[#This Row],[Interceptions]]+Table1[[#This Row],[Fumbles Recovered]])))))))))))</f>
        <v/>
      </c>
      <c r="R352" s="3" t="str">
        <f t="shared" si="12"/>
        <v/>
      </c>
      <c r="S352" s="4">
        <f t="shared" si="11"/>
        <v>1048507</v>
      </c>
      <c r="T3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3" spans="1:20" hidden="1" x14ac:dyDescent="0.25">
      <c r="A353" t="s">
        <v>26</v>
      </c>
      <c r="B353" s="28" t="s">
        <v>48</v>
      </c>
      <c r="C353" t="s">
        <v>17</v>
      </c>
      <c r="D353" t="str">
        <f>_xlfn.XLOOKUP(Table1[[#This Row],[Player]]&amp;Table1[[#This Row],[Week]]&amp;Table1[[#This Row],[Role]],'Google Form Transform'!$A:$A,'Google Form Transform'!E:E,"")</f>
        <v/>
      </c>
      <c r="E353" t="str">
        <f>_xlfn.XLOOKUP(Table1[[#This Row],[Player]]&amp;Table1[[#This Row],[Week]]&amp;Table1[[#This Row],[Role]],'Google Form Transform'!$A:$A,'Google Form Transform'!F:F,"")</f>
        <v/>
      </c>
      <c r="F353" t="str">
        <f>_xlfn.XLOOKUP(Table1[[#This Row],[Player]]&amp;Table1[[#This Row],[Week]]&amp;Table1[[#This Row],[Role]],'Google Form Transform'!$A:$A,'Google Form Transform'!G:G,"")</f>
        <v/>
      </c>
      <c r="G353" s="59">
        <f>SUMIFS(Table2[Stat],Table2[Stat Category],"passing",Table2[Stat Type],"YDS",Table2[Athlete],Table1[[#This Row],[Pick]],Table2[Week],Table1[[#This Row],[Week]])</f>
        <v>0</v>
      </c>
      <c r="H353" s="59">
        <f>SUMIFS(Table2[Stat],Table2[Stat Category],"rushing",Table2[Stat Type],"YDS",Table2[Athlete],Table1[[#This Row],[Pick]],Table2[Week],Table1[[#This Row],[Week]])</f>
        <v>0</v>
      </c>
      <c r="I353" s="59">
        <f>SUMIFS(Table2[Stat],Table2[Stat Category],"receiving",Table2[Stat Type],"YDS",Table2[Athlete],Table1[[#This Row],[Pick]],Table2[Week],Table1[[#This Row],[Week]])</f>
        <v>0</v>
      </c>
      <c r="J353" s="6">
        <f>IF(AND($C353="Rushing", $H353&lt;=0), 0, IF(AND($C353="Passing", $G$3&lt;=0), 0,IF(AND($C353="Receiving",$I353&lt;=0), 0,SUMIFS(Table2[Stat],Table2[Week],Table1[[#This Row],[Week]],Table2[Athlete],Table1[[#This Row],[Pick]],Table2[Stat Category],"passing",Table2[Stat Type],"TD"))))</f>
        <v>0</v>
      </c>
      <c r="K353" s="6">
        <f>IF(AND($C353="Rushing", $H353&lt;=0), 0, IF(AND($C353="Passing", $G$3&lt;=0), 0,IF(AND($C353="Receiving",$I353&lt;=0),0,SUMIFS(Table2[Stat],Table2[Week],Table1[[#This Row],[Week]],Table2[Athlete],Table1[[#This Row],[Pick]],Table2[Stat Category],"rushing",Table2[Stat Type],"TD"))))</f>
        <v>0</v>
      </c>
      <c r="L353" s="6">
        <f>IF(AND($C353="Rushing", $H353&lt;=0), 0, IF(AND($C353="Passing", $G$3&lt;=0), 0,IF(AND($C353="Receiving",$I353&lt;=0),0,SUMIFS(Table2[Stat],Table2[Week],Table1[[#This Row],[Week]],Table2[Athlete],Table1[[#This Row],[Pick]],Table2[Stat Category],"receiving",Table2[Stat Type],"TD"))))</f>
        <v>0</v>
      </c>
      <c r="M3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3" s="61">
        <f>SUMIFS(Data!$J:$J,Data!$A:$A,Info!$B353,Data!$G:$G,Info!$C353,Data!$I:$I,Info!$D353,Data!$H:$H,"TOT")</f>
        <v>0</v>
      </c>
      <c r="O353" s="61">
        <f>IF(C353="Defensive",SUMIFS(Data!$J:$J,Data!$A:$A,Info!$B353,Data!$I:$I,Info!$D353,Data!$H:$H,"INT"),0)</f>
        <v>0</v>
      </c>
      <c r="P353" s="61">
        <f>IF(Table1[[#This Row],[Role]]="Defensive",SUMIFS(Data!$J:$J,Data!$A:$A,Info!$B353,Data!$I:$I,Info!$D353,Data!$H:$H,$P$1),0)</f>
        <v>0</v>
      </c>
      <c r="Q353" s="65" t="str">
        <f>IF(Table1[[#This Row],[Pick]]="","",IF(S353&gt;1,400,IF(G353="","",IF(C353="Passing",(400-Table1[[#This Row],[Passing Yards]]-(30*Table1[[#This Row],[Passing TDs]])-(50*SUM(Table1[[#This Row],[Rushing TDs]:[Other TD''s]]))),IF(C353="Rushing",2*(200-Table1[[#This Row],[Rushing Yards]]-(30*Table1[[#This Row],[Passing TDs]])-50*(Table1[[#This Row],[Rushing TDs]]+Table1[[#This Row],[Receiving TDs]]+Table1[[#This Row],[Other TD''s]])),IF(C353="Receiving",2*(200-Table1[[#This Row],[Receiving Yards]]-(30*Table1[[#This Row],[Passing TDs]])-50*(Table1[[#This Row],[Rushing TDs]]+Table1[[#This Row],[Receiving TDs]]+Table1[[#This Row],[Other TD''s]])),IF(C353="Defensive",(25*(16-Table1[[#This Row],[Tackles]]-(8*(Table1[[#This Row],[Other TD''s]]+Table1[[#This Row],[Interceptions]]+Table1[[#This Row],[Fumbles Recovered]])))))))))))</f>
        <v/>
      </c>
      <c r="R353" s="3" t="str">
        <f t="shared" si="12"/>
        <v/>
      </c>
      <c r="S353" s="4">
        <f t="shared" si="11"/>
        <v>1048507</v>
      </c>
      <c r="T3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4" spans="1:20" hidden="1" x14ac:dyDescent="0.25">
      <c r="A354" t="s">
        <v>26</v>
      </c>
      <c r="B354" s="28" t="s">
        <v>48</v>
      </c>
      <c r="C354" t="s">
        <v>20</v>
      </c>
      <c r="D354" t="str">
        <f>_xlfn.XLOOKUP(Table1[[#This Row],[Player]]&amp;Table1[[#This Row],[Week]]&amp;Table1[[#This Row],[Role]],'Google Form Transform'!$A:$A,'Google Form Transform'!E:E,"")</f>
        <v/>
      </c>
      <c r="E354" t="str">
        <f>_xlfn.XLOOKUP(Table1[[#This Row],[Player]]&amp;Table1[[#This Row],[Week]]&amp;Table1[[#This Row],[Role]],'Google Form Transform'!$A:$A,'Google Form Transform'!F:F,"")</f>
        <v/>
      </c>
      <c r="F354" t="str">
        <f>_xlfn.XLOOKUP(Table1[[#This Row],[Player]]&amp;Table1[[#This Row],[Week]]&amp;Table1[[#This Row],[Role]],'Google Form Transform'!$A:$A,'Google Form Transform'!G:G,"")</f>
        <v/>
      </c>
      <c r="G354" s="59">
        <f>SUMIFS(Table2[Stat],Table2[Stat Category],"passing",Table2[Stat Type],"YDS",Table2[Athlete],Table1[[#This Row],[Pick]],Table2[Week],Table1[[#This Row],[Week]])</f>
        <v>0</v>
      </c>
      <c r="H354" s="59">
        <f>SUMIFS(Table2[Stat],Table2[Stat Category],"rushing",Table2[Stat Type],"YDS",Table2[Athlete],Table1[[#This Row],[Pick]],Table2[Week],Table1[[#This Row],[Week]])</f>
        <v>0</v>
      </c>
      <c r="I354" s="59">
        <f>SUMIFS(Table2[Stat],Table2[Stat Category],"receiving",Table2[Stat Type],"YDS",Table2[Athlete],Table1[[#This Row],[Pick]],Table2[Week],Table1[[#This Row],[Week]])</f>
        <v>0</v>
      </c>
      <c r="J354" s="6">
        <f>IF(AND($C354="Rushing", $H354&lt;=0), 0, IF(AND($C354="Passing", $G$3&lt;=0), 0,IF(AND($C354="Receiving",$I354&lt;=0), 0,SUMIFS(Table2[Stat],Table2[Week],Table1[[#This Row],[Week]],Table2[Athlete],Table1[[#This Row],[Pick]],Table2[Stat Category],"passing",Table2[Stat Type],"TD"))))</f>
        <v>0</v>
      </c>
      <c r="K354" s="6">
        <f>IF(AND($C354="Rushing", $H354&lt;=0), 0, IF(AND($C354="Passing", $G$3&lt;=0), 0,IF(AND($C354="Receiving",$I354&lt;=0),0,SUMIFS(Table2[Stat],Table2[Week],Table1[[#This Row],[Week]],Table2[Athlete],Table1[[#This Row],[Pick]],Table2[Stat Category],"rushing",Table2[Stat Type],"TD"))))</f>
        <v>0</v>
      </c>
      <c r="L354" s="6">
        <f>IF(AND($C354="Rushing", $H354&lt;=0), 0, IF(AND($C354="Passing", $G$3&lt;=0), 0,IF(AND($C354="Receiving",$I354&lt;=0),0,SUMIFS(Table2[Stat],Table2[Week],Table1[[#This Row],[Week]],Table2[Athlete],Table1[[#This Row],[Pick]],Table2[Stat Category],"receiving",Table2[Stat Type],"TD"))))</f>
        <v>0</v>
      </c>
      <c r="M3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4" s="61">
        <f>SUMIFS(Data!$J:$J,Data!$A:$A,Info!$B354,Data!$G:$G,Info!$C354,Data!$I:$I,Info!$D354,Data!$H:$H,"TOT")</f>
        <v>0</v>
      </c>
      <c r="O354" s="61">
        <f>IF(C354="Defensive",SUMIFS(Data!$J:$J,Data!$A:$A,Info!$B354,Data!$I:$I,Info!$D354,Data!$H:$H,"INT"),0)</f>
        <v>0</v>
      </c>
      <c r="P354" s="61">
        <f>IF(Table1[[#This Row],[Role]]="Defensive",SUMIFS(Data!$J:$J,Data!$A:$A,Info!$B354,Data!$I:$I,Info!$D354,Data!$H:$H,$P$1),0)</f>
        <v>0</v>
      </c>
      <c r="Q354" s="65" t="str">
        <f>IF(Table1[[#This Row],[Pick]]="","",IF(S354&gt;1,400,IF(G354="","",IF(C354="Passing",(400-Table1[[#This Row],[Passing Yards]]-(30*Table1[[#This Row],[Passing TDs]])-(50*SUM(Table1[[#This Row],[Rushing TDs]:[Other TD''s]]))),IF(C354="Rushing",2*(200-Table1[[#This Row],[Rushing Yards]]-(30*Table1[[#This Row],[Passing TDs]])-50*(Table1[[#This Row],[Rushing TDs]]+Table1[[#This Row],[Receiving TDs]]+Table1[[#This Row],[Other TD''s]])),IF(C354="Receiving",2*(200-Table1[[#This Row],[Receiving Yards]]-(30*Table1[[#This Row],[Passing TDs]])-50*(Table1[[#This Row],[Rushing TDs]]+Table1[[#This Row],[Receiving TDs]]+Table1[[#This Row],[Other TD''s]])),IF(C354="Defensive",(25*(16-Table1[[#This Row],[Tackles]]-(8*(Table1[[#This Row],[Other TD''s]]+Table1[[#This Row],[Interceptions]]+Table1[[#This Row],[Fumbles Recovered]])))))))))))</f>
        <v/>
      </c>
      <c r="R354" s="3" t="str">
        <f t="shared" si="12"/>
        <v/>
      </c>
      <c r="S354" s="4">
        <f t="shared" si="11"/>
        <v>1048507</v>
      </c>
      <c r="T3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5" spans="1:20" hidden="1" x14ac:dyDescent="0.25">
      <c r="A355" t="s">
        <v>43</v>
      </c>
      <c r="B355" s="28" t="s">
        <v>48</v>
      </c>
      <c r="C355" t="s">
        <v>16</v>
      </c>
      <c r="D355" t="str">
        <f>_xlfn.XLOOKUP(Table1[[#This Row],[Player]]&amp;Table1[[#This Row],[Week]]&amp;Table1[[#This Row],[Role]],'Google Form Transform'!$A:$A,'Google Form Transform'!E:E,"")</f>
        <v/>
      </c>
      <c r="E355" t="str">
        <f>_xlfn.XLOOKUP(Table1[[#This Row],[Player]]&amp;Table1[[#This Row],[Week]]&amp;Table1[[#This Row],[Role]],'Google Form Transform'!$A:$A,'Google Form Transform'!F:F,"")</f>
        <v/>
      </c>
      <c r="F355" t="str">
        <f>_xlfn.XLOOKUP(Table1[[#This Row],[Player]]&amp;Table1[[#This Row],[Week]]&amp;Table1[[#This Row],[Role]],'Google Form Transform'!$A:$A,'Google Form Transform'!G:G,"")</f>
        <v/>
      </c>
      <c r="G355" s="59">
        <f>SUMIFS(Table2[Stat],Table2[Stat Category],"passing",Table2[Stat Type],"YDS",Table2[Athlete],Table1[[#This Row],[Pick]],Table2[Week],Table1[[#This Row],[Week]])</f>
        <v>0</v>
      </c>
      <c r="H355" s="59">
        <f>SUMIFS(Table2[Stat],Table2[Stat Category],"rushing",Table2[Stat Type],"YDS",Table2[Athlete],Table1[[#This Row],[Pick]],Table2[Week],Table1[[#This Row],[Week]])</f>
        <v>0</v>
      </c>
      <c r="I355" s="59">
        <f>SUMIFS(Table2[Stat],Table2[Stat Category],"receiving",Table2[Stat Type],"YDS",Table2[Athlete],Table1[[#This Row],[Pick]],Table2[Week],Table1[[#This Row],[Week]])</f>
        <v>0</v>
      </c>
      <c r="J355" s="6">
        <f>IF(AND($C355="Rushing", $H355&lt;=0), 0, IF(AND($C355="Passing", $G$3&lt;=0), 0,IF(AND($C355="Receiving",$I355&lt;=0), 0,SUMIFS(Table2[Stat],Table2[Week],Table1[[#This Row],[Week]],Table2[Athlete],Table1[[#This Row],[Pick]],Table2[Stat Category],"passing",Table2[Stat Type],"TD"))))</f>
        <v>0</v>
      </c>
      <c r="K355" s="6">
        <f>IF(AND($C355="Rushing", $H355&lt;=0), 0, IF(AND($C355="Passing", $G$3&lt;=0), 0,IF(AND($C355="Receiving",$I355&lt;=0),0,SUMIFS(Table2[Stat],Table2[Week],Table1[[#This Row],[Week]],Table2[Athlete],Table1[[#This Row],[Pick]],Table2[Stat Category],"rushing",Table2[Stat Type],"TD"))))</f>
        <v>0</v>
      </c>
      <c r="L355" s="6">
        <f>IF(AND($C355="Rushing", $H355&lt;=0), 0, IF(AND($C355="Passing", $G$3&lt;=0), 0,IF(AND($C355="Receiving",$I355&lt;=0),0,SUMIFS(Table2[Stat],Table2[Week],Table1[[#This Row],[Week]],Table2[Athlete],Table1[[#This Row],[Pick]],Table2[Stat Category],"receiving",Table2[Stat Type],"TD"))))</f>
        <v>0</v>
      </c>
      <c r="M3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5" s="61">
        <f>SUMIFS(Data!$J:$J,Data!$A:$A,Info!$B355,Data!$G:$G,Info!$C355,Data!$I:$I,Info!$D355,Data!$H:$H,"TOT")</f>
        <v>0</v>
      </c>
      <c r="O355" s="61">
        <f>IF(C355="Defensive",SUMIFS(Data!$J:$J,Data!$A:$A,Info!$B355,Data!$I:$I,Info!$D355,Data!$H:$H,"INT"),0)</f>
        <v>0</v>
      </c>
      <c r="P355" s="61">
        <f>IF(Table1[[#This Row],[Role]]="Defensive",SUMIFS(Data!$J:$J,Data!$A:$A,Info!$B355,Data!$I:$I,Info!$D355,Data!$H:$H,$P$1),0)</f>
        <v>0</v>
      </c>
      <c r="Q355" s="65" t="str">
        <f>IF(Table1[[#This Row],[Pick]]="","",IF(S355&gt;1,400,IF(G355="","",IF(C355="Passing",(400-Table1[[#This Row],[Passing Yards]]-(30*Table1[[#This Row],[Passing TDs]])-(50*SUM(Table1[[#This Row],[Rushing TDs]:[Other TD''s]]))),IF(C355="Rushing",2*(200-Table1[[#This Row],[Rushing Yards]]-(30*Table1[[#This Row],[Passing TDs]])-50*(Table1[[#This Row],[Rushing TDs]]+Table1[[#This Row],[Receiving TDs]]+Table1[[#This Row],[Other TD''s]])),IF(C355="Receiving",2*(200-Table1[[#This Row],[Receiving Yards]]-(30*Table1[[#This Row],[Passing TDs]])-50*(Table1[[#This Row],[Rushing TDs]]+Table1[[#This Row],[Receiving TDs]]+Table1[[#This Row],[Other TD''s]])),IF(C355="Defensive",(25*(16-Table1[[#This Row],[Tackles]]-(8*(Table1[[#This Row],[Other TD''s]]+Table1[[#This Row],[Interceptions]]+Table1[[#This Row],[Fumbles Recovered]])))))))))))</f>
        <v/>
      </c>
      <c r="R355" s="3" t="str">
        <f t="shared" si="12"/>
        <v/>
      </c>
      <c r="S355" s="4">
        <f t="shared" si="11"/>
        <v>1048507</v>
      </c>
      <c r="T3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6" spans="1:20" hidden="1" x14ac:dyDescent="0.25">
      <c r="A356" t="s">
        <v>43</v>
      </c>
      <c r="B356" s="28" t="s">
        <v>48</v>
      </c>
      <c r="C356" t="s">
        <v>6</v>
      </c>
      <c r="D356" t="str">
        <f>_xlfn.XLOOKUP(Table1[[#This Row],[Player]]&amp;Table1[[#This Row],[Week]]&amp;Table1[[#This Row],[Role]],'Google Form Transform'!$A:$A,'Google Form Transform'!E:E,"")</f>
        <v/>
      </c>
      <c r="E356" t="str">
        <f>_xlfn.XLOOKUP(Table1[[#This Row],[Player]]&amp;Table1[[#This Row],[Week]]&amp;Table1[[#This Row],[Role]],'Google Form Transform'!$A:$A,'Google Form Transform'!F:F,"")</f>
        <v/>
      </c>
      <c r="F356" t="str">
        <f>_xlfn.XLOOKUP(Table1[[#This Row],[Player]]&amp;Table1[[#This Row],[Week]]&amp;Table1[[#This Row],[Role]],'Google Form Transform'!$A:$A,'Google Form Transform'!G:G,"")</f>
        <v/>
      </c>
      <c r="G356" s="59">
        <f>SUMIFS(Table2[Stat],Table2[Stat Category],"passing",Table2[Stat Type],"YDS",Table2[Athlete],Table1[[#This Row],[Pick]],Table2[Week],Table1[[#This Row],[Week]])</f>
        <v>0</v>
      </c>
      <c r="H356" s="59">
        <f>SUMIFS(Table2[Stat],Table2[Stat Category],"rushing",Table2[Stat Type],"YDS",Table2[Athlete],Table1[[#This Row],[Pick]],Table2[Week],Table1[[#This Row],[Week]])</f>
        <v>0</v>
      </c>
      <c r="I356" s="59">
        <f>SUMIFS(Table2[Stat],Table2[Stat Category],"receiving",Table2[Stat Type],"YDS",Table2[Athlete],Table1[[#This Row],[Pick]],Table2[Week],Table1[[#This Row],[Week]])</f>
        <v>0</v>
      </c>
      <c r="J356" s="6">
        <f>IF(AND($C356="Rushing", $H356&lt;=0), 0, IF(AND($C356="Passing", $G$3&lt;=0), 0,IF(AND($C356="Receiving",$I356&lt;=0), 0,SUMIFS(Table2[Stat],Table2[Week],Table1[[#This Row],[Week]],Table2[Athlete],Table1[[#This Row],[Pick]],Table2[Stat Category],"passing",Table2[Stat Type],"TD"))))</f>
        <v>0</v>
      </c>
      <c r="K356" s="6">
        <f>IF(AND($C356="Rushing", $H356&lt;=0), 0, IF(AND($C356="Passing", $G$3&lt;=0), 0,IF(AND($C356="Receiving",$I356&lt;=0),0,SUMIFS(Table2[Stat],Table2[Week],Table1[[#This Row],[Week]],Table2[Athlete],Table1[[#This Row],[Pick]],Table2[Stat Category],"rushing",Table2[Stat Type],"TD"))))</f>
        <v>0</v>
      </c>
      <c r="L356" s="6">
        <f>IF(AND($C356="Rushing", $H356&lt;=0), 0, IF(AND($C356="Passing", $G$3&lt;=0), 0,IF(AND($C356="Receiving",$I356&lt;=0),0,SUMIFS(Table2[Stat],Table2[Week],Table1[[#This Row],[Week]],Table2[Athlete],Table1[[#This Row],[Pick]],Table2[Stat Category],"receiving",Table2[Stat Type],"TD"))))</f>
        <v>0</v>
      </c>
      <c r="M3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6" s="61">
        <f>SUMIFS(Data!$J:$J,Data!$A:$A,Info!$B356,Data!$G:$G,Info!$C356,Data!$I:$I,Info!$D356,Data!$H:$H,"TOT")</f>
        <v>0</v>
      </c>
      <c r="O356" s="61">
        <f>IF(C356="Defensive",SUMIFS(Data!$J:$J,Data!$A:$A,Info!$B356,Data!$I:$I,Info!$D356,Data!$H:$H,"INT"),0)</f>
        <v>0</v>
      </c>
      <c r="P356" s="61">
        <f>IF(Table1[[#This Row],[Role]]="Defensive",SUMIFS(Data!$J:$J,Data!$A:$A,Info!$B356,Data!$I:$I,Info!$D356,Data!$H:$H,$P$1),0)</f>
        <v>0</v>
      </c>
      <c r="Q356" s="65" t="str">
        <f>IF(Table1[[#This Row],[Pick]]="","",IF(S356&gt;1,400,IF(G356="","",IF(C356="Passing",(400-Table1[[#This Row],[Passing Yards]]-(30*Table1[[#This Row],[Passing TDs]])-(50*SUM(Table1[[#This Row],[Rushing TDs]:[Other TD''s]]))),IF(C356="Rushing",2*(200-Table1[[#This Row],[Rushing Yards]]-(30*Table1[[#This Row],[Passing TDs]])-50*(Table1[[#This Row],[Rushing TDs]]+Table1[[#This Row],[Receiving TDs]]+Table1[[#This Row],[Other TD''s]])),IF(C356="Receiving",2*(200-Table1[[#This Row],[Receiving Yards]]-(30*Table1[[#This Row],[Passing TDs]])-50*(Table1[[#This Row],[Rushing TDs]]+Table1[[#This Row],[Receiving TDs]]+Table1[[#This Row],[Other TD''s]])),IF(C356="Defensive",(25*(16-Table1[[#This Row],[Tackles]]-(8*(Table1[[#This Row],[Other TD''s]]+Table1[[#This Row],[Interceptions]]+Table1[[#This Row],[Fumbles Recovered]])))))))))))</f>
        <v/>
      </c>
      <c r="R356" s="3" t="str">
        <f t="shared" si="12"/>
        <v/>
      </c>
      <c r="S356" s="4">
        <f t="shared" si="11"/>
        <v>1048507</v>
      </c>
      <c r="T3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7" spans="1:20" hidden="1" x14ac:dyDescent="0.25">
      <c r="A357" t="s">
        <v>43</v>
      </c>
      <c r="B357" s="28" t="s">
        <v>48</v>
      </c>
      <c r="C357" t="s">
        <v>17</v>
      </c>
      <c r="D357" t="str">
        <f>_xlfn.XLOOKUP(Table1[[#This Row],[Player]]&amp;Table1[[#This Row],[Week]]&amp;Table1[[#This Row],[Role]],'Google Form Transform'!$A:$A,'Google Form Transform'!E:E,"")</f>
        <v/>
      </c>
      <c r="E357" t="str">
        <f>_xlfn.XLOOKUP(Table1[[#This Row],[Player]]&amp;Table1[[#This Row],[Week]]&amp;Table1[[#This Row],[Role]],'Google Form Transform'!$A:$A,'Google Form Transform'!F:F,"")</f>
        <v/>
      </c>
      <c r="F357" t="str">
        <f>_xlfn.XLOOKUP(Table1[[#This Row],[Player]]&amp;Table1[[#This Row],[Week]]&amp;Table1[[#This Row],[Role]],'Google Form Transform'!$A:$A,'Google Form Transform'!G:G,"")</f>
        <v/>
      </c>
      <c r="G357" s="59">
        <f>SUMIFS(Table2[Stat],Table2[Stat Category],"passing",Table2[Stat Type],"YDS",Table2[Athlete],Table1[[#This Row],[Pick]],Table2[Week],Table1[[#This Row],[Week]])</f>
        <v>0</v>
      </c>
      <c r="H357" s="59">
        <f>SUMIFS(Table2[Stat],Table2[Stat Category],"rushing",Table2[Stat Type],"YDS",Table2[Athlete],Table1[[#This Row],[Pick]],Table2[Week],Table1[[#This Row],[Week]])</f>
        <v>0</v>
      </c>
      <c r="I357" s="59">
        <f>SUMIFS(Table2[Stat],Table2[Stat Category],"receiving",Table2[Stat Type],"YDS",Table2[Athlete],Table1[[#This Row],[Pick]],Table2[Week],Table1[[#This Row],[Week]])</f>
        <v>0</v>
      </c>
      <c r="J357" s="6">
        <f>IF(AND($C357="Rushing", $H357&lt;=0), 0, IF(AND($C357="Passing", $G$3&lt;=0), 0,IF(AND($C357="Receiving",$I357&lt;=0), 0,SUMIFS(Table2[Stat],Table2[Week],Table1[[#This Row],[Week]],Table2[Athlete],Table1[[#This Row],[Pick]],Table2[Stat Category],"passing",Table2[Stat Type],"TD"))))</f>
        <v>0</v>
      </c>
      <c r="K357" s="6">
        <f>IF(AND($C357="Rushing", $H357&lt;=0), 0, IF(AND($C357="Passing", $G$3&lt;=0), 0,IF(AND($C357="Receiving",$I357&lt;=0),0,SUMIFS(Table2[Stat],Table2[Week],Table1[[#This Row],[Week]],Table2[Athlete],Table1[[#This Row],[Pick]],Table2[Stat Category],"rushing",Table2[Stat Type],"TD"))))</f>
        <v>0</v>
      </c>
      <c r="L357" s="6">
        <f>IF(AND($C357="Rushing", $H357&lt;=0), 0, IF(AND($C357="Passing", $G$3&lt;=0), 0,IF(AND($C357="Receiving",$I357&lt;=0),0,SUMIFS(Table2[Stat],Table2[Week],Table1[[#This Row],[Week]],Table2[Athlete],Table1[[#This Row],[Pick]],Table2[Stat Category],"receiving",Table2[Stat Type],"TD"))))</f>
        <v>0</v>
      </c>
      <c r="M3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7" s="61">
        <f>SUMIFS(Data!$J:$J,Data!$A:$A,Info!$B357,Data!$G:$G,Info!$C357,Data!$I:$I,Info!$D357,Data!$H:$H,"TOT")</f>
        <v>0</v>
      </c>
      <c r="O357" s="61">
        <f>IF(C357="Defensive",SUMIFS(Data!$J:$J,Data!$A:$A,Info!$B357,Data!$I:$I,Info!$D357,Data!$H:$H,"INT"),0)</f>
        <v>0</v>
      </c>
      <c r="P357" s="61">
        <f>IF(Table1[[#This Row],[Role]]="Defensive",SUMIFS(Data!$J:$J,Data!$A:$A,Info!$B357,Data!$I:$I,Info!$D357,Data!$H:$H,$P$1),0)</f>
        <v>0</v>
      </c>
      <c r="Q357" s="65" t="str">
        <f>IF(Table1[[#This Row],[Pick]]="","",IF(S357&gt;1,400,IF(G357="","",IF(C357="Passing",(400-Table1[[#This Row],[Passing Yards]]-(30*Table1[[#This Row],[Passing TDs]])-(50*SUM(Table1[[#This Row],[Rushing TDs]:[Other TD''s]]))),IF(C357="Rushing",2*(200-Table1[[#This Row],[Rushing Yards]]-(30*Table1[[#This Row],[Passing TDs]])-50*(Table1[[#This Row],[Rushing TDs]]+Table1[[#This Row],[Receiving TDs]]+Table1[[#This Row],[Other TD''s]])),IF(C357="Receiving",2*(200-Table1[[#This Row],[Receiving Yards]]-(30*Table1[[#This Row],[Passing TDs]])-50*(Table1[[#This Row],[Rushing TDs]]+Table1[[#This Row],[Receiving TDs]]+Table1[[#This Row],[Other TD''s]])),IF(C357="Defensive",(25*(16-Table1[[#This Row],[Tackles]]-(8*(Table1[[#This Row],[Other TD''s]]+Table1[[#This Row],[Interceptions]]+Table1[[#This Row],[Fumbles Recovered]])))))))))))</f>
        <v/>
      </c>
      <c r="R357" s="3" t="str">
        <f t="shared" si="12"/>
        <v/>
      </c>
      <c r="S357" s="4">
        <f t="shared" si="11"/>
        <v>1048507</v>
      </c>
      <c r="T3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8" spans="1:20" hidden="1" x14ac:dyDescent="0.25">
      <c r="A358" t="s">
        <v>43</v>
      </c>
      <c r="B358" s="28" t="s">
        <v>48</v>
      </c>
      <c r="C358" t="s">
        <v>20</v>
      </c>
      <c r="D358" t="str">
        <f>_xlfn.XLOOKUP(Table1[[#This Row],[Player]]&amp;Table1[[#This Row],[Week]]&amp;Table1[[#This Row],[Role]],'Google Form Transform'!$A:$A,'Google Form Transform'!E:E,"")</f>
        <v/>
      </c>
      <c r="E358" t="str">
        <f>_xlfn.XLOOKUP(Table1[[#This Row],[Player]]&amp;Table1[[#This Row],[Week]]&amp;Table1[[#This Row],[Role]],'Google Form Transform'!$A:$A,'Google Form Transform'!F:F,"")</f>
        <v/>
      </c>
      <c r="F358" t="str">
        <f>_xlfn.XLOOKUP(Table1[[#This Row],[Player]]&amp;Table1[[#This Row],[Week]]&amp;Table1[[#This Row],[Role]],'Google Form Transform'!$A:$A,'Google Form Transform'!G:G,"")</f>
        <v/>
      </c>
      <c r="G358" s="59">
        <f>SUMIFS(Table2[Stat],Table2[Stat Category],"passing",Table2[Stat Type],"YDS",Table2[Athlete],Table1[[#This Row],[Pick]],Table2[Week],Table1[[#This Row],[Week]])</f>
        <v>0</v>
      </c>
      <c r="H358" s="59">
        <f>SUMIFS(Table2[Stat],Table2[Stat Category],"rushing",Table2[Stat Type],"YDS",Table2[Athlete],Table1[[#This Row],[Pick]],Table2[Week],Table1[[#This Row],[Week]])</f>
        <v>0</v>
      </c>
      <c r="I358" s="59">
        <f>SUMIFS(Table2[Stat],Table2[Stat Category],"receiving",Table2[Stat Type],"YDS",Table2[Athlete],Table1[[#This Row],[Pick]],Table2[Week],Table1[[#This Row],[Week]])</f>
        <v>0</v>
      </c>
      <c r="J358" s="6">
        <f>IF(AND($C358="Rushing", $H358&lt;=0), 0, IF(AND($C358="Passing", $G$3&lt;=0), 0,IF(AND($C358="Receiving",$I358&lt;=0), 0,SUMIFS(Table2[Stat],Table2[Week],Table1[[#This Row],[Week]],Table2[Athlete],Table1[[#This Row],[Pick]],Table2[Stat Category],"passing",Table2[Stat Type],"TD"))))</f>
        <v>0</v>
      </c>
      <c r="K358" s="6">
        <f>IF(AND($C358="Rushing", $H358&lt;=0), 0, IF(AND($C358="Passing", $G$3&lt;=0), 0,IF(AND($C358="Receiving",$I358&lt;=0),0,SUMIFS(Table2[Stat],Table2[Week],Table1[[#This Row],[Week]],Table2[Athlete],Table1[[#This Row],[Pick]],Table2[Stat Category],"rushing",Table2[Stat Type],"TD"))))</f>
        <v>0</v>
      </c>
      <c r="L358" s="6">
        <f>IF(AND($C358="Rushing", $H358&lt;=0), 0, IF(AND($C358="Passing", $G$3&lt;=0), 0,IF(AND($C358="Receiving",$I358&lt;=0),0,SUMIFS(Table2[Stat],Table2[Week],Table1[[#This Row],[Week]],Table2[Athlete],Table1[[#This Row],[Pick]],Table2[Stat Category],"receiving",Table2[Stat Type],"TD"))))</f>
        <v>0</v>
      </c>
      <c r="M3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8" s="61">
        <f>SUMIFS(Data!$J:$J,Data!$A:$A,Info!$B358,Data!$G:$G,Info!$C358,Data!$I:$I,Info!$D358,Data!$H:$H,"TOT")</f>
        <v>0</v>
      </c>
      <c r="O358" s="61">
        <f>IF(C358="Defensive",SUMIFS(Data!$J:$J,Data!$A:$A,Info!$B358,Data!$I:$I,Info!$D358,Data!$H:$H,"INT"),0)</f>
        <v>0</v>
      </c>
      <c r="P358" s="61">
        <f>IF(Table1[[#This Row],[Role]]="Defensive",SUMIFS(Data!$J:$J,Data!$A:$A,Info!$B358,Data!$I:$I,Info!$D358,Data!$H:$H,$P$1),0)</f>
        <v>0</v>
      </c>
      <c r="Q358" s="65" t="str">
        <f>IF(Table1[[#This Row],[Pick]]="","",IF(S358&gt;1,400,IF(G358="","",IF(C358="Passing",(400-Table1[[#This Row],[Passing Yards]]-(30*Table1[[#This Row],[Passing TDs]])-(50*SUM(Table1[[#This Row],[Rushing TDs]:[Other TD''s]]))),IF(C358="Rushing",2*(200-Table1[[#This Row],[Rushing Yards]]-(30*Table1[[#This Row],[Passing TDs]])-50*(Table1[[#This Row],[Rushing TDs]]+Table1[[#This Row],[Receiving TDs]]+Table1[[#This Row],[Other TD''s]])),IF(C358="Receiving",2*(200-Table1[[#This Row],[Receiving Yards]]-(30*Table1[[#This Row],[Passing TDs]])-50*(Table1[[#This Row],[Rushing TDs]]+Table1[[#This Row],[Receiving TDs]]+Table1[[#This Row],[Other TD''s]])),IF(C358="Defensive",(25*(16-Table1[[#This Row],[Tackles]]-(8*(Table1[[#This Row],[Other TD''s]]+Table1[[#This Row],[Interceptions]]+Table1[[#This Row],[Fumbles Recovered]])))))))))))</f>
        <v/>
      </c>
      <c r="R358" s="3" t="str">
        <f t="shared" si="12"/>
        <v/>
      </c>
      <c r="S358" s="4">
        <f t="shared" si="11"/>
        <v>1048507</v>
      </c>
      <c r="T3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9" spans="1:20" hidden="1" x14ac:dyDescent="0.25">
      <c r="A359" t="s">
        <v>7</v>
      </c>
      <c r="B359" s="28" t="s">
        <v>48</v>
      </c>
      <c r="C359" t="s">
        <v>16</v>
      </c>
      <c r="D359" t="str">
        <f>_xlfn.XLOOKUP(Table1[[#This Row],[Player]]&amp;Table1[[#This Row],[Week]]&amp;Table1[[#This Row],[Role]],'Google Form Transform'!$A:$A,'Google Form Transform'!E:E,"")</f>
        <v/>
      </c>
      <c r="E359" t="str">
        <f>_xlfn.XLOOKUP(Table1[[#This Row],[Player]]&amp;Table1[[#This Row],[Week]]&amp;Table1[[#This Row],[Role]],'Google Form Transform'!$A:$A,'Google Form Transform'!F:F,"")</f>
        <v/>
      </c>
      <c r="F359" t="str">
        <f>_xlfn.XLOOKUP(Table1[[#This Row],[Player]]&amp;Table1[[#This Row],[Week]]&amp;Table1[[#This Row],[Role]],'Google Form Transform'!$A:$A,'Google Form Transform'!G:G,"")</f>
        <v/>
      </c>
      <c r="G359" s="59">
        <f>SUMIFS(Table2[Stat],Table2[Stat Category],"passing",Table2[Stat Type],"YDS",Table2[Athlete],Table1[[#This Row],[Pick]],Table2[Week],Table1[[#This Row],[Week]])</f>
        <v>0</v>
      </c>
      <c r="H359" s="59">
        <f>SUMIFS(Table2[Stat],Table2[Stat Category],"rushing",Table2[Stat Type],"YDS",Table2[Athlete],Table1[[#This Row],[Pick]],Table2[Week],Table1[[#This Row],[Week]])</f>
        <v>0</v>
      </c>
      <c r="I359" s="59">
        <f>SUMIFS(Table2[Stat],Table2[Stat Category],"receiving",Table2[Stat Type],"YDS",Table2[Athlete],Table1[[#This Row],[Pick]],Table2[Week],Table1[[#This Row],[Week]])</f>
        <v>0</v>
      </c>
      <c r="J359" s="6">
        <f>IF(AND($C359="Rushing", $H359&lt;=0), 0, IF(AND($C359="Passing", $G$3&lt;=0), 0,IF(AND($C359="Receiving",$I359&lt;=0), 0,SUMIFS(Table2[Stat],Table2[Week],Table1[[#This Row],[Week]],Table2[Athlete],Table1[[#This Row],[Pick]],Table2[Stat Category],"passing",Table2[Stat Type],"TD"))))</f>
        <v>0</v>
      </c>
      <c r="K359" s="6">
        <f>IF(AND($C359="Rushing", $H359&lt;=0), 0, IF(AND($C359="Passing", $G$3&lt;=0), 0,IF(AND($C359="Receiving",$I359&lt;=0),0,SUMIFS(Table2[Stat],Table2[Week],Table1[[#This Row],[Week]],Table2[Athlete],Table1[[#This Row],[Pick]],Table2[Stat Category],"rushing",Table2[Stat Type],"TD"))))</f>
        <v>0</v>
      </c>
      <c r="L359" s="6">
        <f>IF(AND($C359="Rushing", $H359&lt;=0), 0, IF(AND($C359="Passing", $G$3&lt;=0), 0,IF(AND($C359="Receiving",$I359&lt;=0),0,SUMIFS(Table2[Stat],Table2[Week],Table1[[#This Row],[Week]],Table2[Athlete],Table1[[#This Row],[Pick]],Table2[Stat Category],"receiving",Table2[Stat Type],"TD"))))</f>
        <v>0</v>
      </c>
      <c r="M3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9" s="61">
        <f>SUMIFS(Data!$J:$J,Data!$A:$A,Info!$B359,Data!$G:$G,Info!$C359,Data!$I:$I,Info!$D359,Data!$H:$H,"TOT")</f>
        <v>0</v>
      </c>
      <c r="O359" s="61">
        <f>IF(C359="Defensive",SUMIFS(Data!$J:$J,Data!$A:$A,Info!$B359,Data!$I:$I,Info!$D359,Data!$H:$H,"INT"),0)</f>
        <v>0</v>
      </c>
      <c r="P359" s="61">
        <f>IF(Table1[[#This Row],[Role]]="Defensive",SUMIFS(Data!$J:$J,Data!$A:$A,Info!$B359,Data!$I:$I,Info!$D359,Data!$H:$H,$P$1),0)</f>
        <v>0</v>
      </c>
      <c r="Q359" s="65" t="str">
        <f>IF(Table1[[#This Row],[Pick]]="","",IF(S359&gt;1,400,IF(G359="","",IF(C359="Passing",(400-Table1[[#This Row],[Passing Yards]]-(30*Table1[[#This Row],[Passing TDs]])-(50*SUM(Table1[[#This Row],[Rushing TDs]:[Other TD''s]]))),IF(C359="Rushing",2*(200-Table1[[#This Row],[Rushing Yards]]-(30*Table1[[#This Row],[Passing TDs]])-50*(Table1[[#This Row],[Rushing TDs]]+Table1[[#This Row],[Receiving TDs]]+Table1[[#This Row],[Other TD''s]])),IF(C359="Receiving",2*(200-Table1[[#This Row],[Receiving Yards]]-(30*Table1[[#This Row],[Passing TDs]])-50*(Table1[[#This Row],[Rushing TDs]]+Table1[[#This Row],[Receiving TDs]]+Table1[[#This Row],[Other TD''s]])),IF(C359="Defensive",(25*(16-Table1[[#This Row],[Tackles]]-(8*(Table1[[#This Row],[Other TD''s]]+Table1[[#This Row],[Interceptions]]+Table1[[#This Row],[Fumbles Recovered]])))))))))))</f>
        <v/>
      </c>
      <c r="R359" s="3" t="str">
        <f t="shared" si="12"/>
        <v/>
      </c>
      <c r="S359" s="4">
        <f t="shared" si="11"/>
        <v>1048507</v>
      </c>
      <c r="T3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0" spans="1:20" hidden="1" x14ac:dyDescent="0.25">
      <c r="A360" t="s">
        <v>7</v>
      </c>
      <c r="B360" s="28" t="s">
        <v>48</v>
      </c>
      <c r="C360" t="s">
        <v>6</v>
      </c>
      <c r="D360" t="str">
        <f>_xlfn.XLOOKUP(Table1[[#This Row],[Player]]&amp;Table1[[#This Row],[Week]]&amp;Table1[[#This Row],[Role]],'Google Form Transform'!$A:$A,'Google Form Transform'!E:E,"")</f>
        <v/>
      </c>
      <c r="E360" t="str">
        <f>_xlfn.XLOOKUP(Table1[[#This Row],[Player]]&amp;Table1[[#This Row],[Week]]&amp;Table1[[#This Row],[Role]],'Google Form Transform'!$A:$A,'Google Form Transform'!F:F,"")</f>
        <v/>
      </c>
      <c r="F360" t="str">
        <f>_xlfn.XLOOKUP(Table1[[#This Row],[Player]]&amp;Table1[[#This Row],[Week]]&amp;Table1[[#This Row],[Role]],'Google Form Transform'!$A:$A,'Google Form Transform'!G:G,"")</f>
        <v/>
      </c>
      <c r="G360" s="59">
        <f>SUMIFS(Table2[Stat],Table2[Stat Category],"passing",Table2[Stat Type],"YDS",Table2[Athlete],Table1[[#This Row],[Pick]],Table2[Week],Table1[[#This Row],[Week]])</f>
        <v>0</v>
      </c>
      <c r="H360" s="59">
        <f>SUMIFS(Table2[Stat],Table2[Stat Category],"rushing",Table2[Stat Type],"YDS",Table2[Athlete],Table1[[#This Row],[Pick]],Table2[Week],Table1[[#This Row],[Week]])</f>
        <v>0</v>
      </c>
      <c r="I360" s="59">
        <f>SUMIFS(Table2[Stat],Table2[Stat Category],"receiving",Table2[Stat Type],"YDS",Table2[Athlete],Table1[[#This Row],[Pick]],Table2[Week],Table1[[#This Row],[Week]])</f>
        <v>0</v>
      </c>
      <c r="J360" s="6">
        <f>IF(AND($C360="Rushing", $H360&lt;=0), 0, IF(AND($C360="Passing", $G$3&lt;=0), 0,IF(AND($C360="Receiving",$I360&lt;=0), 0,SUMIFS(Table2[Stat],Table2[Week],Table1[[#This Row],[Week]],Table2[Athlete],Table1[[#This Row],[Pick]],Table2[Stat Category],"passing",Table2[Stat Type],"TD"))))</f>
        <v>0</v>
      </c>
      <c r="K360" s="6">
        <f>IF(AND($C360="Rushing", $H360&lt;=0), 0, IF(AND($C360="Passing", $G$3&lt;=0), 0,IF(AND($C360="Receiving",$I360&lt;=0),0,SUMIFS(Table2[Stat],Table2[Week],Table1[[#This Row],[Week]],Table2[Athlete],Table1[[#This Row],[Pick]],Table2[Stat Category],"rushing",Table2[Stat Type],"TD"))))</f>
        <v>0</v>
      </c>
      <c r="L360" s="6">
        <f>IF(AND($C360="Rushing", $H360&lt;=0), 0, IF(AND($C360="Passing", $G$3&lt;=0), 0,IF(AND($C360="Receiving",$I360&lt;=0),0,SUMIFS(Table2[Stat],Table2[Week],Table1[[#This Row],[Week]],Table2[Athlete],Table1[[#This Row],[Pick]],Table2[Stat Category],"receiving",Table2[Stat Type],"TD"))))</f>
        <v>0</v>
      </c>
      <c r="M3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0" s="61">
        <f>SUMIFS(Data!$J:$J,Data!$A:$A,Info!$B360,Data!$G:$G,Info!$C360,Data!$I:$I,Info!$D360,Data!$H:$H,"TOT")</f>
        <v>0</v>
      </c>
      <c r="O360" s="61">
        <f>IF(C360="Defensive",SUMIFS(Data!$J:$J,Data!$A:$A,Info!$B360,Data!$I:$I,Info!$D360,Data!$H:$H,"INT"),0)</f>
        <v>0</v>
      </c>
      <c r="P360" s="61">
        <f>IF(Table1[[#This Row],[Role]]="Defensive",SUMIFS(Data!$J:$J,Data!$A:$A,Info!$B360,Data!$I:$I,Info!$D360,Data!$H:$H,$P$1),0)</f>
        <v>0</v>
      </c>
      <c r="Q360" s="65" t="str">
        <f>IF(Table1[[#This Row],[Pick]]="","",IF(S360&gt;1,400,IF(G360="","",IF(C360="Passing",(400-Table1[[#This Row],[Passing Yards]]-(30*Table1[[#This Row],[Passing TDs]])-(50*SUM(Table1[[#This Row],[Rushing TDs]:[Other TD''s]]))),IF(C360="Rushing",2*(200-Table1[[#This Row],[Rushing Yards]]-(30*Table1[[#This Row],[Passing TDs]])-50*(Table1[[#This Row],[Rushing TDs]]+Table1[[#This Row],[Receiving TDs]]+Table1[[#This Row],[Other TD''s]])),IF(C360="Receiving",2*(200-Table1[[#This Row],[Receiving Yards]]-(30*Table1[[#This Row],[Passing TDs]])-50*(Table1[[#This Row],[Rushing TDs]]+Table1[[#This Row],[Receiving TDs]]+Table1[[#This Row],[Other TD''s]])),IF(C360="Defensive",(25*(16-Table1[[#This Row],[Tackles]]-(8*(Table1[[#This Row],[Other TD''s]]+Table1[[#This Row],[Interceptions]]+Table1[[#This Row],[Fumbles Recovered]])))))))))))</f>
        <v/>
      </c>
      <c r="R360" s="3" t="str">
        <f t="shared" si="12"/>
        <v/>
      </c>
      <c r="S360" s="4">
        <f t="shared" si="11"/>
        <v>1048507</v>
      </c>
      <c r="T3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1" spans="1:20" hidden="1" x14ac:dyDescent="0.25">
      <c r="A361" t="s">
        <v>7</v>
      </c>
      <c r="B361" s="28" t="s">
        <v>48</v>
      </c>
      <c r="C361" t="s">
        <v>17</v>
      </c>
      <c r="D361" t="str">
        <f>_xlfn.XLOOKUP(Table1[[#This Row],[Player]]&amp;Table1[[#This Row],[Week]]&amp;Table1[[#This Row],[Role]],'Google Form Transform'!$A:$A,'Google Form Transform'!E:E,"")</f>
        <v/>
      </c>
      <c r="E361" t="str">
        <f>_xlfn.XLOOKUP(Table1[[#This Row],[Player]]&amp;Table1[[#This Row],[Week]]&amp;Table1[[#This Row],[Role]],'Google Form Transform'!$A:$A,'Google Form Transform'!F:F,"")</f>
        <v/>
      </c>
      <c r="F361" t="str">
        <f>_xlfn.XLOOKUP(Table1[[#This Row],[Player]]&amp;Table1[[#This Row],[Week]]&amp;Table1[[#This Row],[Role]],'Google Form Transform'!$A:$A,'Google Form Transform'!G:G,"")</f>
        <v/>
      </c>
      <c r="G361" s="59">
        <f>SUMIFS(Table2[Stat],Table2[Stat Category],"passing",Table2[Stat Type],"YDS",Table2[Athlete],Table1[[#This Row],[Pick]],Table2[Week],Table1[[#This Row],[Week]])</f>
        <v>0</v>
      </c>
      <c r="H361" s="59">
        <f>SUMIFS(Table2[Stat],Table2[Stat Category],"rushing",Table2[Stat Type],"YDS",Table2[Athlete],Table1[[#This Row],[Pick]],Table2[Week],Table1[[#This Row],[Week]])</f>
        <v>0</v>
      </c>
      <c r="I361" s="59">
        <f>SUMIFS(Table2[Stat],Table2[Stat Category],"receiving",Table2[Stat Type],"YDS",Table2[Athlete],Table1[[#This Row],[Pick]],Table2[Week],Table1[[#This Row],[Week]])</f>
        <v>0</v>
      </c>
      <c r="J361" s="6">
        <f>IF(AND($C361="Rushing", $H361&lt;=0), 0, IF(AND($C361="Passing", $G$3&lt;=0), 0,IF(AND($C361="Receiving",$I361&lt;=0), 0,SUMIFS(Table2[Stat],Table2[Week],Table1[[#This Row],[Week]],Table2[Athlete],Table1[[#This Row],[Pick]],Table2[Stat Category],"passing",Table2[Stat Type],"TD"))))</f>
        <v>0</v>
      </c>
      <c r="K361" s="6">
        <f>IF(AND($C361="Rushing", $H361&lt;=0), 0, IF(AND($C361="Passing", $G$3&lt;=0), 0,IF(AND($C361="Receiving",$I361&lt;=0),0,SUMIFS(Table2[Stat],Table2[Week],Table1[[#This Row],[Week]],Table2[Athlete],Table1[[#This Row],[Pick]],Table2[Stat Category],"rushing",Table2[Stat Type],"TD"))))</f>
        <v>0</v>
      </c>
      <c r="L361" s="6">
        <f>IF(AND($C361="Rushing", $H361&lt;=0), 0, IF(AND($C361="Passing", $G$3&lt;=0), 0,IF(AND($C361="Receiving",$I361&lt;=0),0,SUMIFS(Table2[Stat],Table2[Week],Table1[[#This Row],[Week]],Table2[Athlete],Table1[[#This Row],[Pick]],Table2[Stat Category],"receiving",Table2[Stat Type],"TD"))))</f>
        <v>0</v>
      </c>
      <c r="M3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1" s="61">
        <f>SUMIFS(Data!$J:$J,Data!$A:$A,Info!$B361,Data!$G:$G,Info!$C361,Data!$I:$I,Info!$D361,Data!$H:$H,"TOT")</f>
        <v>0</v>
      </c>
      <c r="O361" s="61">
        <f>IF(C361="Defensive",SUMIFS(Data!$J:$J,Data!$A:$A,Info!$B361,Data!$I:$I,Info!$D361,Data!$H:$H,"INT"),0)</f>
        <v>0</v>
      </c>
      <c r="P361" s="61">
        <f>IF(Table1[[#This Row],[Role]]="Defensive",SUMIFS(Data!$J:$J,Data!$A:$A,Info!$B361,Data!$I:$I,Info!$D361,Data!$H:$H,$P$1),0)</f>
        <v>0</v>
      </c>
      <c r="Q361" s="65" t="str">
        <f>IF(Table1[[#This Row],[Pick]]="","",IF(S361&gt;1,400,IF(G361="","",IF(C361="Passing",(400-Table1[[#This Row],[Passing Yards]]-(30*Table1[[#This Row],[Passing TDs]])-(50*SUM(Table1[[#This Row],[Rushing TDs]:[Other TD''s]]))),IF(C361="Rushing",2*(200-Table1[[#This Row],[Rushing Yards]]-(30*Table1[[#This Row],[Passing TDs]])-50*(Table1[[#This Row],[Rushing TDs]]+Table1[[#This Row],[Receiving TDs]]+Table1[[#This Row],[Other TD''s]])),IF(C361="Receiving",2*(200-Table1[[#This Row],[Receiving Yards]]-(30*Table1[[#This Row],[Passing TDs]])-50*(Table1[[#This Row],[Rushing TDs]]+Table1[[#This Row],[Receiving TDs]]+Table1[[#This Row],[Other TD''s]])),IF(C361="Defensive",(25*(16-Table1[[#This Row],[Tackles]]-(8*(Table1[[#This Row],[Other TD''s]]+Table1[[#This Row],[Interceptions]]+Table1[[#This Row],[Fumbles Recovered]])))))))))))</f>
        <v/>
      </c>
      <c r="R361" s="3" t="str">
        <f t="shared" si="12"/>
        <v/>
      </c>
      <c r="S361" s="4">
        <f t="shared" si="11"/>
        <v>1048507</v>
      </c>
      <c r="T3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2" spans="1:20" hidden="1" x14ac:dyDescent="0.25">
      <c r="A362" t="s">
        <v>7</v>
      </c>
      <c r="B362" s="28" t="s">
        <v>48</v>
      </c>
      <c r="C362" t="s">
        <v>20</v>
      </c>
      <c r="D362" t="str">
        <f>_xlfn.XLOOKUP(Table1[[#This Row],[Player]]&amp;Table1[[#This Row],[Week]]&amp;Table1[[#This Row],[Role]],'Google Form Transform'!$A:$A,'Google Form Transform'!E:E,"")</f>
        <v/>
      </c>
      <c r="E362" t="str">
        <f>_xlfn.XLOOKUP(Table1[[#This Row],[Player]]&amp;Table1[[#This Row],[Week]]&amp;Table1[[#This Row],[Role]],'Google Form Transform'!$A:$A,'Google Form Transform'!F:F,"")</f>
        <v/>
      </c>
      <c r="F362" t="str">
        <f>_xlfn.XLOOKUP(Table1[[#This Row],[Player]]&amp;Table1[[#This Row],[Week]]&amp;Table1[[#This Row],[Role]],'Google Form Transform'!$A:$A,'Google Form Transform'!G:G,"")</f>
        <v/>
      </c>
      <c r="G362" s="59">
        <f>SUMIFS(Table2[Stat],Table2[Stat Category],"passing",Table2[Stat Type],"YDS",Table2[Athlete],Table1[[#This Row],[Pick]],Table2[Week],Table1[[#This Row],[Week]])</f>
        <v>0</v>
      </c>
      <c r="H362" s="59">
        <f>SUMIFS(Table2[Stat],Table2[Stat Category],"rushing",Table2[Stat Type],"YDS",Table2[Athlete],Table1[[#This Row],[Pick]],Table2[Week],Table1[[#This Row],[Week]])</f>
        <v>0</v>
      </c>
      <c r="I362" s="59">
        <f>SUMIFS(Table2[Stat],Table2[Stat Category],"receiving",Table2[Stat Type],"YDS",Table2[Athlete],Table1[[#This Row],[Pick]],Table2[Week],Table1[[#This Row],[Week]])</f>
        <v>0</v>
      </c>
      <c r="J362" s="6">
        <f>IF(AND($C362="Rushing", $H362&lt;=0), 0, IF(AND($C362="Passing", $G$3&lt;=0), 0,IF(AND($C362="Receiving",$I362&lt;=0), 0,SUMIFS(Table2[Stat],Table2[Week],Table1[[#This Row],[Week]],Table2[Athlete],Table1[[#This Row],[Pick]],Table2[Stat Category],"passing",Table2[Stat Type],"TD"))))</f>
        <v>0</v>
      </c>
      <c r="K362" s="6">
        <f>IF(AND($C362="Rushing", $H362&lt;=0), 0, IF(AND($C362="Passing", $G$3&lt;=0), 0,IF(AND($C362="Receiving",$I362&lt;=0),0,SUMIFS(Table2[Stat],Table2[Week],Table1[[#This Row],[Week]],Table2[Athlete],Table1[[#This Row],[Pick]],Table2[Stat Category],"rushing",Table2[Stat Type],"TD"))))</f>
        <v>0</v>
      </c>
      <c r="L362" s="6">
        <f>IF(AND($C362="Rushing", $H362&lt;=0), 0, IF(AND($C362="Passing", $G$3&lt;=0), 0,IF(AND($C362="Receiving",$I362&lt;=0),0,SUMIFS(Table2[Stat],Table2[Week],Table1[[#This Row],[Week]],Table2[Athlete],Table1[[#This Row],[Pick]],Table2[Stat Category],"receiving",Table2[Stat Type],"TD"))))</f>
        <v>0</v>
      </c>
      <c r="M3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2" s="61">
        <f>SUMIFS(Data!$J:$J,Data!$A:$A,Info!$B362,Data!$G:$G,Info!$C362,Data!$I:$I,Info!$D362,Data!$H:$H,"TOT")</f>
        <v>0</v>
      </c>
      <c r="O362" s="61">
        <f>IF(C362="Defensive",SUMIFS(Data!$J:$J,Data!$A:$A,Info!$B362,Data!$I:$I,Info!$D362,Data!$H:$H,"INT"),0)</f>
        <v>0</v>
      </c>
      <c r="P362" s="61">
        <f>IF(Table1[[#This Row],[Role]]="Defensive",SUMIFS(Data!$J:$J,Data!$A:$A,Info!$B362,Data!$I:$I,Info!$D362,Data!$H:$H,$P$1),0)</f>
        <v>0</v>
      </c>
      <c r="Q362" s="65" t="str">
        <f>IF(Table1[[#This Row],[Pick]]="","",IF(S362&gt;1,400,IF(G362="","",IF(C362="Passing",(400-Table1[[#This Row],[Passing Yards]]-(30*Table1[[#This Row],[Passing TDs]])-(50*SUM(Table1[[#This Row],[Rushing TDs]:[Other TD''s]]))),IF(C362="Rushing",2*(200-Table1[[#This Row],[Rushing Yards]]-(30*Table1[[#This Row],[Passing TDs]])-50*(Table1[[#This Row],[Rushing TDs]]+Table1[[#This Row],[Receiving TDs]]+Table1[[#This Row],[Other TD''s]])),IF(C362="Receiving",2*(200-Table1[[#This Row],[Receiving Yards]]-(30*Table1[[#This Row],[Passing TDs]])-50*(Table1[[#This Row],[Rushing TDs]]+Table1[[#This Row],[Receiving TDs]]+Table1[[#This Row],[Other TD''s]])),IF(C362="Defensive",(25*(16-Table1[[#This Row],[Tackles]]-(8*(Table1[[#This Row],[Other TD''s]]+Table1[[#This Row],[Interceptions]]+Table1[[#This Row],[Fumbles Recovered]])))))))))))</f>
        <v/>
      </c>
      <c r="R362" s="3" t="str">
        <f t="shared" si="12"/>
        <v/>
      </c>
      <c r="S362" s="4">
        <f t="shared" si="11"/>
        <v>1048507</v>
      </c>
      <c r="T3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3" spans="1:20" hidden="1" x14ac:dyDescent="0.25">
      <c r="A363" t="s">
        <v>2</v>
      </c>
      <c r="B363" s="28" t="s">
        <v>49</v>
      </c>
      <c r="C363" t="s">
        <v>16</v>
      </c>
      <c r="D363" t="str">
        <f>_xlfn.XLOOKUP(Table1[[#This Row],[Player]]&amp;Table1[[#This Row],[Week]]&amp;Table1[[#This Row],[Role]],'Google Form Transform'!$A:$A,'Google Form Transform'!E:E,"")</f>
        <v/>
      </c>
      <c r="E363" t="str">
        <f>_xlfn.XLOOKUP(Table1[[#This Row],[Player]]&amp;Table1[[#This Row],[Week]]&amp;Table1[[#This Row],[Role]],'Google Form Transform'!$A:$A,'Google Form Transform'!F:F,"")</f>
        <v/>
      </c>
      <c r="F363" t="str">
        <f>_xlfn.XLOOKUP(Table1[[#This Row],[Player]]&amp;Table1[[#This Row],[Week]]&amp;Table1[[#This Row],[Role]],'Google Form Transform'!$A:$A,'Google Form Transform'!G:G,"")</f>
        <v/>
      </c>
      <c r="G363" s="59">
        <f>SUMIFS(Table2[Stat],Table2[Stat Category],"passing",Table2[Stat Type],"YDS",Table2[Athlete],Table1[[#This Row],[Pick]],Table2[Week],Table1[[#This Row],[Week]])</f>
        <v>0</v>
      </c>
      <c r="H363" s="59">
        <f>SUMIFS(Table2[Stat],Table2[Stat Category],"rushing",Table2[Stat Type],"YDS",Table2[Athlete],Table1[[#This Row],[Pick]],Table2[Week],Table1[[#This Row],[Week]])</f>
        <v>0</v>
      </c>
      <c r="I363" s="59">
        <f>SUMIFS(Table2[Stat],Table2[Stat Category],"receiving",Table2[Stat Type],"YDS",Table2[Athlete],Table1[[#This Row],[Pick]],Table2[Week],Table1[[#This Row],[Week]])</f>
        <v>0</v>
      </c>
      <c r="J363" s="6">
        <f>IF(AND($C363="Rushing", $H363&lt;=0), 0, IF(AND($C363="Passing", $G$3&lt;=0), 0,IF(AND($C363="Receiving",$I363&lt;=0), 0,SUMIFS(Table2[Stat],Table2[Week],Table1[[#This Row],[Week]],Table2[Athlete],Table1[[#This Row],[Pick]],Table2[Stat Category],"passing",Table2[Stat Type],"TD"))))</f>
        <v>0</v>
      </c>
      <c r="K363" s="6">
        <f>IF(AND($C363="Rushing", $H363&lt;=0), 0, IF(AND($C363="Passing", $G$3&lt;=0), 0,IF(AND($C363="Receiving",$I363&lt;=0),0,SUMIFS(Table2[Stat],Table2[Week],Table1[[#This Row],[Week]],Table2[Athlete],Table1[[#This Row],[Pick]],Table2[Stat Category],"rushing",Table2[Stat Type],"TD"))))</f>
        <v>0</v>
      </c>
      <c r="L363" s="6">
        <f>IF(AND($C363="Rushing", $H363&lt;=0), 0, IF(AND($C363="Passing", $G$3&lt;=0), 0,IF(AND($C363="Receiving",$I363&lt;=0),0,SUMIFS(Table2[Stat],Table2[Week],Table1[[#This Row],[Week]],Table2[Athlete],Table1[[#This Row],[Pick]],Table2[Stat Category],"receiving",Table2[Stat Type],"TD"))))</f>
        <v>0</v>
      </c>
      <c r="M3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3" s="61">
        <f>SUMIFS(Data!$J:$J,Data!$A:$A,Info!$B363,Data!$G:$G,Info!$C363,Data!$I:$I,Info!$D363,Data!$H:$H,"TOT")</f>
        <v>0</v>
      </c>
      <c r="O363" s="61">
        <f>IF(C363="Defensive",SUMIFS(Data!$J:$J,Data!$A:$A,Info!$B363,Data!$I:$I,Info!$D363,Data!$H:$H,"INT"),0)</f>
        <v>0</v>
      </c>
      <c r="P363" s="61">
        <f>IF(Table1[[#This Row],[Role]]="Defensive",SUMIFS(Data!$J:$J,Data!$A:$A,Info!$B363,Data!$I:$I,Info!$D363,Data!$H:$H,$P$1),0)</f>
        <v>0</v>
      </c>
      <c r="Q363" s="65" t="str">
        <f>IF(Table1[[#This Row],[Pick]]="","",IF(S363&gt;1,400,IF(G363="","",IF(C363="Passing",(400-Table1[[#This Row],[Passing Yards]]-(30*Table1[[#This Row],[Passing TDs]])-(50*SUM(Table1[[#This Row],[Rushing TDs]:[Other TD''s]]))),IF(C363="Rushing",2*(200-Table1[[#This Row],[Rushing Yards]]-(30*Table1[[#This Row],[Passing TDs]])-50*(Table1[[#This Row],[Rushing TDs]]+Table1[[#This Row],[Receiving TDs]]+Table1[[#This Row],[Other TD''s]])),IF(C363="Receiving",2*(200-Table1[[#This Row],[Receiving Yards]]-(30*Table1[[#This Row],[Passing TDs]])-50*(Table1[[#This Row],[Rushing TDs]]+Table1[[#This Row],[Receiving TDs]]+Table1[[#This Row],[Other TD''s]])),IF(C363="Defensive",(25*(16-Table1[[#This Row],[Tackles]]-(8*(Table1[[#This Row],[Other TD''s]]+Table1[[#This Row],[Interceptions]]+Table1[[#This Row],[Fumbles Recovered]])))))))))))</f>
        <v/>
      </c>
      <c r="R363" s="3" t="str">
        <f t="shared" si="12"/>
        <v/>
      </c>
      <c r="S363" s="4">
        <f t="shared" si="11"/>
        <v>1048507</v>
      </c>
      <c r="T3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4" spans="1:20" hidden="1" x14ac:dyDescent="0.25">
      <c r="A364" t="s">
        <v>2</v>
      </c>
      <c r="B364" s="28" t="s">
        <v>49</v>
      </c>
      <c r="C364" t="s">
        <v>6</v>
      </c>
      <c r="D364" t="str">
        <f>_xlfn.XLOOKUP(Table1[[#This Row],[Player]]&amp;Table1[[#This Row],[Week]]&amp;Table1[[#This Row],[Role]],'Google Form Transform'!$A:$A,'Google Form Transform'!E:E,"")</f>
        <v/>
      </c>
      <c r="E364" t="str">
        <f>_xlfn.XLOOKUP(Table1[[#This Row],[Player]]&amp;Table1[[#This Row],[Week]]&amp;Table1[[#This Row],[Role]],'Google Form Transform'!$A:$A,'Google Form Transform'!F:F,"")</f>
        <v/>
      </c>
      <c r="F364" t="str">
        <f>_xlfn.XLOOKUP(Table1[[#This Row],[Player]]&amp;Table1[[#This Row],[Week]]&amp;Table1[[#This Row],[Role]],'Google Form Transform'!$A:$A,'Google Form Transform'!G:G,"")</f>
        <v/>
      </c>
      <c r="G364" s="59">
        <f>SUMIFS(Table2[Stat],Table2[Stat Category],"passing",Table2[Stat Type],"YDS",Table2[Athlete],Table1[[#This Row],[Pick]],Table2[Week],Table1[[#This Row],[Week]])</f>
        <v>0</v>
      </c>
      <c r="H364" s="59">
        <f>SUMIFS(Table2[Stat],Table2[Stat Category],"rushing",Table2[Stat Type],"YDS",Table2[Athlete],Table1[[#This Row],[Pick]],Table2[Week],Table1[[#This Row],[Week]])</f>
        <v>0</v>
      </c>
      <c r="I364" s="59">
        <f>SUMIFS(Table2[Stat],Table2[Stat Category],"receiving",Table2[Stat Type],"YDS",Table2[Athlete],Table1[[#This Row],[Pick]],Table2[Week],Table1[[#This Row],[Week]])</f>
        <v>0</v>
      </c>
      <c r="J364" s="6">
        <f>IF(AND($C364="Rushing", $H364&lt;=0), 0, IF(AND($C364="Passing", $G$3&lt;=0), 0,IF(AND($C364="Receiving",$I364&lt;=0), 0,SUMIFS(Table2[Stat],Table2[Week],Table1[[#This Row],[Week]],Table2[Athlete],Table1[[#This Row],[Pick]],Table2[Stat Category],"passing",Table2[Stat Type],"TD"))))</f>
        <v>0</v>
      </c>
      <c r="K364" s="6">
        <f>IF(AND($C364="Rushing", $H364&lt;=0), 0, IF(AND($C364="Passing", $G$3&lt;=0), 0,IF(AND($C364="Receiving",$I364&lt;=0),0,SUMIFS(Table2[Stat],Table2[Week],Table1[[#This Row],[Week]],Table2[Athlete],Table1[[#This Row],[Pick]],Table2[Stat Category],"rushing",Table2[Stat Type],"TD"))))</f>
        <v>0</v>
      </c>
      <c r="L364" s="6">
        <f>IF(AND($C364="Rushing", $H364&lt;=0), 0, IF(AND($C364="Passing", $G$3&lt;=0), 0,IF(AND($C364="Receiving",$I364&lt;=0),0,SUMIFS(Table2[Stat],Table2[Week],Table1[[#This Row],[Week]],Table2[Athlete],Table1[[#This Row],[Pick]],Table2[Stat Category],"receiving",Table2[Stat Type],"TD"))))</f>
        <v>0</v>
      </c>
      <c r="M3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4" s="61">
        <f>SUMIFS(Data!$J:$J,Data!$A:$A,Info!$B364,Data!$G:$G,Info!$C364,Data!$I:$I,Info!$D364,Data!$H:$H,"TOT")</f>
        <v>0</v>
      </c>
      <c r="O364" s="61">
        <f>IF(C364="Defensive",SUMIFS(Data!$J:$J,Data!$A:$A,Info!$B364,Data!$I:$I,Info!$D364,Data!$H:$H,"INT"),0)</f>
        <v>0</v>
      </c>
      <c r="P364" s="61">
        <f>IF(Table1[[#This Row],[Role]]="Defensive",SUMIFS(Data!$J:$J,Data!$A:$A,Info!$B364,Data!$I:$I,Info!$D364,Data!$H:$H,$P$1),0)</f>
        <v>0</v>
      </c>
      <c r="Q364" s="65" t="str">
        <f>IF(Table1[[#This Row],[Pick]]="","",IF(S364&gt;1,400,IF(G364="","",IF(C364="Passing",(400-Table1[[#This Row],[Passing Yards]]-(30*Table1[[#This Row],[Passing TDs]])-(50*SUM(Table1[[#This Row],[Rushing TDs]:[Other TD''s]]))),IF(C364="Rushing",2*(200-Table1[[#This Row],[Rushing Yards]]-(30*Table1[[#This Row],[Passing TDs]])-50*(Table1[[#This Row],[Rushing TDs]]+Table1[[#This Row],[Receiving TDs]]+Table1[[#This Row],[Other TD''s]])),IF(C364="Receiving",2*(200-Table1[[#This Row],[Receiving Yards]]-(30*Table1[[#This Row],[Passing TDs]])-50*(Table1[[#This Row],[Rushing TDs]]+Table1[[#This Row],[Receiving TDs]]+Table1[[#This Row],[Other TD''s]])),IF(C364="Defensive",(25*(16-Table1[[#This Row],[Tackles]]-(8*(Table1[[#This Row],[Other TD''s]]+Table1[[#This Row],[Interceptions]]+Table1[[#This Row],[Fumbles Recovered]])))))))))))</f>
        <v/>
      </c>
      <c r="R364" s="3" t="str">
        <f t="shared" si="12"/>
        <v/>
      </c>
      <c r="S364" s="4">
        <f t="shared" si="11"/>
        <v>1048507</v>
      </c>
      <c r="T3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5" spans="1:20" hidden="1" x14ac:dyDescent="0.25">
      <c r="A365" t="s">
        <v>2</v>
      </c>
      <c r="B365" s="28" t="s">
        <v>49</v>
      </c>
      <c r="C365" t="s">
        <v>17</v>
      </c>
      <c r="D365" t="str">
        <f>_xlfn.XLOOKUP(Table1[[#This Row],[Player]]&amp;Table1[[#This Row],[Week]]&amp;Table1[[#This Row],[Role]],'Google Form Transform'!$A:$A,'Google Form Transform'!E:E,"")</f>
        <v/>
      </c>
      <c r="E365" t="str">
        <f>_xlfn.XLOOKUP(Table1[[#This Row],[Player]]&amp;Table1[[#This Row],[Week]]&amp;Table1[[#This Row],[Role]],'Google Form Transform'!$A:$A,'Google Form Transform'!F:F,"")</f>
        <v/>
      </c>
      <c r="F365" t="str">
        <f>_xlfn.XLOOKUP(Table1[[#This Row],[Player]]&amp;Table1[[#This Row],[Week]]&amp;Table1[[#This Row],[Role]],'Google Form Transform'!$A:$A,'Google Form Transform'!G:G,"")</f>
        <v/>
      </c>
      <c r="G365" s="59">
        <f>SUMIFS(Table2[Stat],Table2[Stat Category],"passing",Table2[Stat Type],"YDS",Table2[Athlete],Table1[[#This Row],[Pick]],Table2[Week],Table1[[#This Row],[Week]])</f>
        <v>0</v>
      </c>
      <c r="H365" s="59">
        <f>SUMIFS(Table2[Stat],Table2[Stat Category],"rushing",Table2[Stat Type],"YDS",Table2[Athlete],Table1[[#This Row],[Pick]],Table2[Week],Table1[[#This Row],[Week]])</f>
        <v>0</v>
      </c>
      <c r="I365" s="59">
        <f>SUMIFS(Table2[Stat],Table2[Stat Category],"receiving",Table2[Stat Type],"YDS",Table2[Athlete],Table1[[#This Row],[Pick]],Table2[Week],Table1[[#This Row],[Week]])</f>
        <v>0</v>
      </c>
      <c r="J365" s="6">
        <f>IF(AND($C365="Rushing", $H365&lt;=0), 0, IF(AND($C365="Passing", $G$3&lt;=0), 0,IF(AND($C365="Receiving",$I365&lt;=0), 0,SUMIFS(Table2[Stat],Table2[Week],Table1[[#This Row],[Week]],Table2[Athlete],Table1[[#This Row],[Pick]],Table2[Stat Category],"passing",Table2[Stat Type],"TD"))))</f>
        <v>0</v>
      </c>
      <c r="K365" s="6">
        <f>IF(AND($C365="Rushing", $H365&lt;=0), 0, IF(AND($C365="Passing", $G$3&lt;=0), 0,IF(AND($C365="Receiving",$I365&lt;=0),0,SUMIFS(Table2[Stat],Table2[Week],Table1[[#This Row],[Week]],Table2[Athlete],Table1[[#This Row],[Pick]],Table2[Stat Category],"rushing",Table2[Stat Type],"TD"))))</f>
        <v>0</v>
      </c>
      <c r="L365" s="6">
        <f>IF(AND($C365="Rushing", $H365&lt;=0), 0, IF(AND($C365="Passing", $G$3&lt;=0), 0,IF(AND($C365="Receiving",$I365&lt;=0),0,SUMIFS(Table2[Stat],Table2[Week],Table1[[#This Row],[Week]],Table2[Athlete],Table1[[#This Row],[Pick]],Table2[Stat Category],"receiving",Table2[Stat Type],"TD"))))</f>
        <v>0</v>
      </c>
      <c r="M3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5" s="61">
        <f>SUMIFS(Data!$J:$J,Data!$A:$A,Info!$B365,Data!$G:$G,Info!$C365,Data!$I:$I,Info!$D365,Data!$H:$H,"TOT")</f>
        <v>0</v>
      </c>
      <c r="O365" s="61">
        <f>IF(C365="Defensive",SUMIFS(Data!$J:$J,Data!$A:$A,Info!$B365,Data!$I:$I,Info!$D365,Data!$H:$H,"INT"),0)</f>
        <v>0</v>
      </c>
      <c r="P365" s="61">
        <f>IF(Table1[[#This Row],[Role]]="Defensive",SUMIFS(Data!$J:$J,Data!$A:$A,Info!$B365,Data!$I:$I,Info!$D365,Data!$H:$H,$P$1),0)</f>
        <v>0</v>
      </c>
      <c r="Q365" s="65" t="str">
        <f>IF(Table1[[#This Row],[Pick]]="","",IF(S365&gt;1,400,IF(G365="","",IF(C365="Passing",(400-Table1[[#This Row],[Passing Yards]]-(30*Table1[[#This Row],[Passing TDs]])-(50*SUM(Table1[[#This Row],[Rushing TDs]:[Other TD''s]]))),IF(C365="Rushing",2*(200-Table1[[#This Row],[Rushing Yards]]-(30*Table1[[#This Row],[Passing TDs]])-50*(Table1[[#This Row],[Rushing TDs]]+Table1[[#This Row],[Receiving TDs]]+Table1[[#This Row],[Other TD''s]])),IF(C365="Receiving",2*(200-Table1[[#This Row],[Receiving Yards]]-(30*Table1[[#This Row],[Passing TDs]])-50*(Table1[[#This Row],[Rushing TDs]]+Table1[[#This Row],[Receiving TDs]]+Table1[[#This Row],[Other TD''s]])),IF(C365="Defensive",(25*(16-Table1[[#This Row],[Tackles]]-(8*(Table1[[#This Row],[Other TD''s]]+Table1[[#This Row],[Interceptions]]+Table1[[#This Row],[Fumbles Recovered]])))))))))))</f>
        <v/>
      </c>
      <c r="R365" s="3" t="str">
        <f t="shared" si="12"/>
        <v/>
      </c>
      <c r="S365" s="4">
        <f t="shared" si="11"/>
        <v>1048507</v>
      </c>
      <c r="T3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6" spans="1:20" hidden="1" x14ac:dyDescent="0.25">
      <c r="A366" t="s">
        <v>2</v>
      </c>
      <c r="B366" s="28" t="s">
        <v>49</v>
      </c>
      <c r="C366" t="s">
        <v>20</v>
      </c>
      <c r="D366" t="str">
        <f>_xlfn.XLOOKUP(Table1[[#This Row],[Player]]&amp;Table1[[#This Row],[Week]]&amp;Table1[[#This Row],[Role]],'Google Form Transform'!$A:$A,'Google Form Transform'!E:E,"")</f>
        <v/>
      </c>
      <c r="E366" t="str">
        <f>_xlfn.XLOOKUP(Table1[[#This Row],[Player]]&amp;Table1[[#This Row],[Week]]&amp;Table1[[#This Row],[Role]],'Google Form Transform'!$A:$A,'Google Form Transform'!F:F,"")</f>
        <v/>
      </c>
      <c r="F366" t="str">
        <f>_xlfn.XLOOKUP(Table1[[#This Row],[Player]]&amp;Table1[[#This Row],[Week]]&amp;Table1[[#This Row],[Role]],'Google Form Transform'!$A:$A,'Google Form Transform'!G:G,"")</f>
        <v/>
      </c>
      <c r="G366" s="59">
        <f>SUMIFS(Table2[Stat],Table2[Stat Category],"passing",Table2[Stat Type],"YDS",Table2[Athlete],Table1[[#This Row],[Pick]],Table2[Week],Table1[[#This Row],[Week]])</f>
        <v>0</v>
      </c>
      <c r="H366" s="59">
        <f>SUMIFS(Table2[Stat],Table2[Stat Category],"rushing",Table2[Stat Type],"YDS",Table2[Athlete],Table1[[#This Row],[Pick]],Table2[Week],Table1[[#This Row],[Week]])</f>
        <v>0</v>
      </c>
      <c r="I366" s="59">
        <f>SUMIFS(Table2[Stat],Table2[Stat Category],"receiving",Table2[Stat Type],"YDS",Table2[Athlete],Table1[[#This Row],[Pick]],Table2[Week],Table1[[#This Row],[Week]])</f>
        <v>0</v>
      </c>
      <c r="J366" s="6">
        <f>IF(AND($C366="Rushing", $H366&lt;=0), 0, IF(AND($C366="Passing", $G$3&lt;=0), 0,IF(AND($C366="Receiving",$I366&lt;=0), 0,SUMIFS(Table2[Stat],Table2[Week],Table1[[#This Row],[Week]],Table2[Athlete],Table1[[#This Row],[Pick]],Table2[Stat Category],"passing",Table2[Stat Type],"TD"))))</f>
        <v>0</v>
      </c>
      <c r="K366" s="6">
        <f>IF(AND($C366="Rushing", $H366&lt;=0), 0, IF(AND($C366="Passing", $G$3&lt;=0), 0,IF(AND($C366="Receiving",$I366&lt;=0),0,SUMIFS(Table2[Stat],Table2[Week],Table1[[#This Row],[Week]],Table2[Athlete],Table1[[#This Row],[Pick]],Table2[Stat Category],"rushing",Table2[Stat Type],"TD"))))</f>
        <v>0</v>
      </c>
      <c r="L366" s="6">
        <f>IF(AND($C366="Rushing", $H366&lt;=0), 0, IF(AND($C366="Passing", $G$3&lt;=0), 0,IF(AND($C366="Receiving",$I366&lt;=0),0,SUMIFS(Table2[Stat],Table2[Week],Table1[[#This Row],[Week]],Table2[Athlete],Table1[[#This Row],[Pick]],Table2[Stat Category],"receiving",Table2[Stat Type],"TD"))))</f>
        <v>0</v>
      </c>
      <c r="M3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6" s="61">
        <f>SUMIFS(Data!$J:$J,Data!$A:$A,Info!$B366,Data!$G:$G,Info!$C366,Data!$I:$I,Info!$D366,Data!$H:$H,"TOT")</f>
        <v>0</v>
      </c>
      <c r="O366" s="61">
        <f>IF(C366="Defensive",SUMIFS(Data!$J:$J,Data!$A:$A,Info!$B366,Data!$I:$I,Info!$D366,Data!$H:$H,"INT"),0)</f>
        <v>0</v>
      </c>
      <c r="P366" s="61">
        <f>IF(Table1[[#This Row],[Role]]="Defensive",SUMIFS(Data!$J:$J,Data!$A:$A,Info!$B366,Data!$I:$I,Info!$D366,Data!$H:$H,$P$1),0)</f>
        <v>0</v>
      </c>
      <c r="Q366" s="65" t="str">
        <f>IF(Table1[[#This Row],[Pick]]="","",IF(S366&gt;1,400,IF(G366="","",IF(C366="Passing",(400-Table1[[#This Row],[Passing Yards]]-(30*Table1[[#This Row],[Passing TDs]])-(50*SUM(Table1[[#This Row],[Rushing TDs]:[Other TD''s]]))),IF(C366="Rushing",2*(200-Table1[[#This Row],[Rushing Yards]]-(30*Table1[[#This Row],[Passing TDs]])-50*(Table1[[#This Row],[Rushing TDs]]+Table1[[#This Row],[Receiving TDs]]+Table1[[#This Row],[Other TD''s]])),IF(C366="Receiving",2*(200-Table1[[#This Row],[Receiving Yards]]-(30*Table1[[#This Row],[Passing TDs]])-50*(Table1[[#This Row],[Rushing TDs]]+Table1[[#This Row],[Receiving TDs]]+Table1[[#This Row],[Other TD''s]])),IF(C366="Defensive",(25*(16-Table1[[#This Row],[Tackles]]-(8*(Table1[[#This Row],[Other TD''s]]+Table1[[#This Row],[Interceptions]]+Table1[[#This Row],[Fumbles Recovered]])))))))))))</f>
        <v/>
      </c>
      <c r="R366" s="3" t="str">
        <f t="shared" si="12"/>
        <v/>
      </c>
      <c r="S366" s="4">
        <f t="shared" si="11"/>
        <v>1048507</v>
      </c>
      <c r="T3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7" spans="1:20" hidden="1" x14ac:dyDescent="0.25">
      <c r="A367" t="s">
        <v>4</v>
      </c>
      <c r="B367" s="28" t="s">
        <v>49</v>
      </c>
      <c r="C367" t="s">
        <v>16</v>
      </c>
      <c r="D367" t="str">
        <f>_xlfn.XLOOKUP(Table1[[#This Row],[Player]]&amp;Table1[[#This Row],[Week]]&amp;Table1[[#This Row],[Role]],'Google Form Transform'!$A:$A,'Google Form Transform'!E:E,"")</f>
        <v/>
      </c>
      <c r="E367" t="str">
        <f>_xlfn.XLOOKUP(Table1[[#This Row],[Player]]&amp;Table1[[#This Row],[Week]]&amp;Table1[[#This Row],[Role]],'Google Form Transform'!$A:$A,'Google Form Transform'!F:F,"")</f>
        <v/>
      </c>
      <c r="F367" t="str">
        <f>_xlfn.XLOOKUP(Table1[[#This Row],[Player]]&amp;Table1[[#This Row],[Week]]&amp;Table1[[#This Row],[Role]],'Google Form Transform'!$A:$A,'Google Form Transform'!G:G,"")</f>
        <v/>
      </c>
      <c r="G367" s="59">
        <f>SUMIFS(Table2[Stat],Table2[Stat Category],"passing",Table2[Stat Type],"YDS",Table2[Athlete],Table1[[#This Row],[Pick]],Table2[Week],Table1[[#This Row],[Week]])</f>
        <v>0</v>
      </c>
      <c r="H367" s="59">
        <f>SUMIFS(Table2[Stat],Table2[Stat Category],"rushing",Table2[Stat Type],"YDS",Table2[Athlete],Table1[[#This Row],[Pick]],Table2[Week],Table1[[#This Row],[Week]])</f>
        <v>0</v>
      </c>
      <c r="I367" s="59">
        <f>SUMIFS(Table2[Stat],Table2[Stat Category],"receiving",Table2[Stat Type],"YDS",Table2[Athlete],Table1[[#This Row],[Pick]],Table2[Week],Table1[[#This Row],[Week]])</f>
        <v>0</v>
      </c>
      <c r="J367" s="6">
        <f>IF(AND($C367="Rushing", $H367&lt;=0), 0, IF(AND($C367="Passing", $G$3&lt;=0), 0,IF(AND($C367="Receiving",$I367&lt;=0), 0,SUMIFS(Table2[Stat],Table2[Week],Table1[[#This Row],[Week]],Table2[Athlete],Table1[[#This Row],[Pick]],Table2[Stat Category],"passing",Table2[Stat Type],"TD"))))</f>
        <v>0</v>
      </c>
      <c r="K367" s="6">
        <f>IF(AND($C367="Rushing", $H367&lt;=0), 0, IF(AND($C367="Passing", $G$3&lt;=0), 0,IF(AND($C367="Receiving",$I367&lt;=0),0,SUMIFS(Table2[Stat],Table2[Week],Table1[[#This Row],[Week]],Table2[Athlete],Table1[[#This Row],[Pick]],Table2[Stat Category],"rushing",Table2[Stat Type],"TD"))))</f>
        <v>0</v>
      </c>
      <c r="L367" s="6">
        <f>IF(AND($C367="Rushing", $H367&lt;=0), 0, IF(AND($C367="Passing", $G$3&lt;=0), 0,IF(AND($C367="Receiving",$I367&lt;=0),0,SUMIFS(Table2[Stat],Table2[Week],Table1[[#This Row],[Week]],Table2[Athlete],Table1[[#This Row],[Pick]],Table2[Stat Category],"receiving",Table2[Stat Type],"TD"))))</f>
        <v>0</v>
      </c>
      <c r="M3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7" s="61">
        <f>SUMIFS(Data!$J:$J,Data!$A:$A,Info!$B367,Data!$G:$G,Info!$C367,Data!$I:$I,Info!$D367,Data!$H:$H,"TOT")</f>
        <v>0</v>
      </c>
      <c r="O367" s="61">
        <f>IF(C367="Defensive",SUMIFS(Data!$J:$J,Data!$A:$A,Info!$B367,Data!$I:$I,Info!$D367,Data!$H:$H,"INT"),0)</f>
        <v>0</v>
      </c>
      <c r="P367" s="61">
        <f>IF(Table1[[#This Row],[Role]]="Defensive",SUMIFS(Data!$J:$J,Data!$A:$A,Info!$B367,Data!$I:$I,Info!$D367,Data!$H:$H,$P$1),0)</f>
        <v>0</v>
      </c>
      <c r="Q367" s="65" t="str">
        <f>IF(Table1[[#This Row],[Pick]]="","",IF(S367&gt;1,400,IF(G367="","",IF(C367="Passing",(400-Table1[[#This Row],[Passing Yards]]-(30*Table1[[#This Row],[Passing TDs]])-(50*SUM(Table1[[#This Row],[Rushing TDs]:[Other TD''s]]))),IF(C367="Rushing",2*(200-Table1[[#This Row],[Rushing Yards]]-(30*Table1[[#This Row],[Passing TDs]])-50*(Table1[[#This Row],[Rushing TDs]]+Table1[[#This Row],[Receiving TDs]]+Table1[[#This Row],[Other TD''s]])),IF(C367="Receiving",2*(200-Table1[[#This Row],[Receiving Yards]]-(30*Table1[[#This Row],[Passing TDs]])-50*(Table1[[#This Row],[Rushing TDs]]+Table1[[#This Row],[Receiving TDs]]+Table1[[#This Row],[Other TD''s]])),IF(C367="Defensive",(25*(16-Table1[[#This Row],[Tackles]]-(8*(Table1[[#This Row],[Other TD''s]]+Table1[[#This Row],[Interceptions]]+Table1[[#This Row],[Fumbles Recovered]])))))))))))</f>
        <v/>
      </c>
      <c r="R367" s="3" t="str">
        <f t="shared" si="12"/>
        <v/>
      </c>
      <c r="S367" s="4">
        <f t="shared" si="11"/>
        <v>1048507</v>
      </c>
      <c r="T3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8" spans="1:20" hidden="1" x14ac:dyDescent="0.25">
      <c r="A368" t="s">
        <v>4</v>
      </c>
      <c r="B368" s="28" t="s">
        <v>49</v>
      </c>
      <c r="C368" t="s">
        <v>6</v>
      </c>
      <c r="D368" t="str">
        <f>_xlfn.XLOOKUP(Table1[[#This Row],[Player]]&amp;Table1[[#This Row],[Week]]&amp;Table1[[#This Row],[Role]],'Google Form Transform'!$A:$A,'Google Form Transform'!E:E,"")</f>
        <v/>
      </c>
      <c r="E368" t="str">
        <f>_xlfn.XLOOKUP(Table1[[#This Row],[Player]]&amp;Table1[[#This Row],[Week]]&amp;Table1[[#This Row],[Role]],'Google Form Transform'!$A:$A,'Google Form Transform'!F:F,"")</f>
        <v/>
      </c>
      <c r="F368" t="str">
        <f>_xlfn.XLOOKUP(Table1[[#This Row],[Player]]&amp;Table1[[#This Row],[Week]]&amp;Table1[[#This Row],[Role]],'Google Form Transform'!$A:$A,'Google Form Transform'!G:G,"")</f>
        <v/>
      </c>
      <c r="G368" s="59">
        <f>SUMIFS(Table2[Stat],Table2[Stat Category],"passing",Table2[Stat Type],"YDS",Table2[Athlete],Table1[[#This Row],[Pick]],Table2[Week],Table1[[#This Row],[Week]])</f>
        <v>0</v>
      </c>
      <c r="H368" s="59">
        <f>SUMIFS(Table2[Stat],Table2[Stat Category],"rushing",Table2[Stat Type],"YDS",Table2[Athlete],Table1[[#This Row],[Pick]],Table2[Week],Table1[[#This Row],[Week]])</f>
        <v>0</v>
      </c>
      <c r="I368" s="59">
        <f>SUMIFS(Table2[Stat],Table2[Stat Category],"receiving",Table2[Stat Type],"YDS",Table2[Athlete],Table1[[#This Row],[Pick]],Table2[Week],Table1[[#This Row],[Week]])</f>
        <v>0</v>
      </c>
      <c r="J368" s="6">
        <f>IF(AND($C368="Rushing", $H368&lt;=0), 0, IF(AND($C368="Passing", $G$3&lt;=0), 0,IF(AND($C368="Receiving",$I368&lt;=0), 0,SUMIFS(Table2[Stat],Table2[Week],Table1[[#This Row],[Week]],Table2[Athlete],Table1[[#This Row],[Pick]],Table2[Stat Category],"passing",Table2[Stat Type],"TD"))))</f>
        <v>0</v>
      </c>
      <c r="K368" s="6">
        <f>IF(AND($C368="Rushing", $H368&lt;=0), 0, IF(AND($C368="Passing", $G$3&lt;=0), 0,IF(AND($C368="Receiving",$I368&lt;=0),0,SUMIFS(Table2[Stat],Table2[Week],Table1[[#This Row],[Week]],Table2[Athlete],Table1[[#This Row],[Pick]],Table2[Stat Category],"rushing",Table2[Stat Type],"TD"))))</f>
        <v>0</v>
      </c>
      <c r="L368" s="6">
        <f>IF(AND($C368="Rushing", $H368&lt;=0), 0, IF(AND($C368="Passing", $G$3&lt;=0), 0,IF(AND($C368="Receiving",$I368&lt;=0),0,SUMIFS(Table2[Stat],Table2[Week],Table1[[#This Row],[Week]],Table2[Athlete],Table1[[#This Row],[Pick]],Table2[Stat Category],"receiving",Table2[Stat Type],"TD"))))</f>
        <v>0</v>
      </c>
      <c r="M3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8" s="61">
        <f>SUMIFS(Data!$J:$J,Data!$A:$A,Info!$B368,Data!$G:$G,Info!$C368,Data!$I:$I,Info!$D368,Data!$H:$H,"TOT")</f>
        <v>0</v>
      </c>
      <c r="O368" s="61">
        <f>IF(C368="Defensive",SUMIFS(Data!$J:$J,Data!$A:$A,Info!$B368,Data!$I:$I,Info!$D368,Data!$H:$H,"INT"),0)</f>
        <v>0</v>
      </c>
      <c r="P368" s="61">
        <f>IF(Table1[[#This Row],[Role]]="Defensive",SUMIFS(Data!$J:$J,Data!$A:$A,Info!$B368,Data!$I:$I,Info!$D368,Data!$H:$H,$P$1),0)</f>
        <v>0</v>
      </c>
      <c r="Q368" s="65" t="str">
        <f>IF(Table1[[#This Row],[Pick]]="","",IF(S368&gt;1,400,IF(G368="","",IF(C368="Passing",(400-Table1[[#This Row],[Passing Yards]]-(30*Table1[[#This Row],[Passing TDs]])-(50*SUM(Table1[[#This Row],[Rushing TDs]:[Other TD''s]]))),IF(C368="Rushing",2*(200-Table1[[#This Row],[Rushing Yards]]-(30*Table1[[#This Row],[Passing TDs]])-50*(Table1[[#This Row],[Rushing TDs]]+Table1[[#This Row],[Receiving TDs]]+Table1[[#This Row],[Other TD''s]])),IF(C368="Receiving",2*(200-Table1[[#This Row],[Receiving Yards]]-(30*Table1[[#This Row],[Passing TDs]])-50*(Table1[[#This Row],[Rushing TDs]]+Table1[[#This Row],[Receiving TDs]]+Table1[[#This Row],[Other TD''s]])),IF(C368="Defensive",(25*(16-Table1[[#This Row],[Tackles]]-(8*(Table1[[#This Row],[Other TD''s]]+Table1[[#This Row],[Interceptions]]+Table1[[#This Row],[Fumbles Recovered]])))))))))))</f>
        <v/>
      </c>
      <c r="R368" s="3" t="str">
        <f t="shared" si="12"/>
        <v/>
      </c>
      <c r="S368" s="4">
        <f t="shared" si="11"/>
        <v>1048507</v>
      </c>
      <c r="T3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9" spans="1:20" hidden="1" x14ac:dyDescent="0.25">
      <c r="A369" t="s">
        <v>4</v>
      </c>
      <c r="B369" s="28" t="s">
        <v>49</v>
      </c>
      <c r="C369" t="s">
        <v>17</v>
      </c>
      <c r="D369" t="str">
        <f>_xlfn.XLOOKUP(Table1[[#This Row],[Player]]&amp;Table1[[#This Row],[Week]]&amp;Table1[[#This Row],[Role]],'Google Form Transform'!$A:$A,'Google Form Transform'!E:E,"")</f>
        <v/>
      </c>
      <c r="E369" t="str">
        <f>_xlfn.XLOOKUP(Table1[[#This Row],[Player]]&amp;Table1[[#This Row],[Week]]&amp;Table1[[#This Row],[Role]],'Google Form Transform'!$A:$A,'Google Form Transform'!F:F,"")</f>
        <v/>
      </c>
      <c r="F369" t="str">
        <f>_xlfn.XLOOKUP(Table1[[#This Row],[Player]]&amp;Table1[[#This Row],[Week]]&amp;Table1[[#This Row],[Role]],'Google Form Transform'!$A:$A,'Google Form Transform'!G:G,"")</f>
        <v/>
      </c>
      <c r="G369" s="59">
        <f>SUMIFS(Table2[Stat],Table2[Stat Category],"passing",Table2[Stat Type],"YDS",Table2[Athlete],Table1[[#This Row],[Pick]],Table2[Week],Table1[[#This Row],[Week]])</f>
        <v>0</v>
      </c>
      <c r="H369" s="59">
        <f>SUMIFS(Table2[Stat],Table2[Stat Category],"rushing",Table2[Stat Type],"YDS",Table2[Athlete],Table1[[#This Row],[Pick]],Table2[Week],Table1[[#This Row],[Week]])</f>
        <v>0</v>
      </c>
      <c r="I369" s="59">
        <f>SUMIFS(Table2[Stat],Table2[Stat Category],"receiving",Table2[Stat Type],"YDS",Table2[Athlete],Table1[[#This Row],[Pick]],Table2[Week],Table1[[#This Row],[Week]])</f>
        <v>0</v>
      </c>
      <c r="J369" s="6">
        <f>IF(AND($C369="Rushing", $H369&lt;=0), 0, IF(AND($C369="Passing", $G$3&lt;=0), 0,IF(AND($C369="Receiving",$I369&lt;=0), 0,SUMIFS(Table2[Stat],Table2[Week],Table1[[#This Row],[Week]],Table2[Athlete],Table1[[#This Row],[Pick]],Table2[Stat Category],"passing",Table2[Stat Type],"TD"))))</f>
        <v>0</v>
      </c>
      <c r="K369" s="6">
        <f>IF(AND($C369="Rushing", $H369&lt;=0), 0, IF(AND($C369="Passing", $G$3&lt;=0), 0,IF(AND($C369="Receiving",$I369&lt;=0),0,SUMIFS(Table2[Stat],Table2[Week],Table1[[#This Row],[Week]],Table2[Athlete],Table1[[#This Row],[Pick]],Table2[Stat Category],"rushing",Table2[Stat Type],"TD"))))</f>
        <v>0</v>
      </c>
      <c r="L369" s="6">
        <f>IF(AND($C369="Rushing", $H369&lt;=0), 0, IF(AND($C369="Passing", $G$3&lt;=0), 0,IF(AND($C369="Receiving",$I369&lt;=0),0,SUMIFS(Table2[Stat],Table2[Week],Table1[[#This Row],[Week]],Table2[Athlete],Table1[[#This Row],[Pick]],Table2[Stat Category],"receiving",Table2[Stat Type],"TD"))))</f>
        <v>0</v>
      </c>
      <c r="M3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9" s="61">
        <f>SUMIFS(Data!$J:$J,Data!$A:$A,Info!$B369,Data!$G:$G,Info!$C369,Data!$I:$I,Info!$D369,Data!$H:$H,"TOT")</f>
        <v>0</v>
      </c>
      <c r="O369" s="61">
        <f>IF(C369="Defensive",SUMIFS(Data!$J:$J,Data!$A:$A,Info!$B369,Data!$I:$I,Info!$D369,Data!$H:$H,"INT"),0)</f>
        <v>0</v>
      </c>
      <c r="P369" s="61">
        <f>IF(Table1[[#This Row],[Role]]="Defensive",SUMIFS(Data!$J:$J,Data!$A:$A,Info!$B369,Data!$I:$I,Info!$D369,Data!$H:$H,$P$1),0)</f>
        <v>0</v>
      </c>
      <c r="Q369" s="65" t="str">
        <f>IF(Table1[[#This Row],[Pick]]="","",IF(S369&gt;1,400,IF(G369="","",IF(C369="Passing",(400-Table1[[#This Row],[Passing Yards]]-(30*Table1[[#This Row],[Passing TDs]])-(50*SUM(Table1[[#This Row],[Rushing TDs]:[Other TD''s]]))),IF(C369="Rushing",2*(200-Table1[[#This Row],[Rushing Yards]]-(30*Table1[[#This Row],[Passing TDs]])-50*(Table1[[#This Row],[Rushing TDs]]+Table1[[#This Row],[Receiving TDs]]+Table1[[#This Row],[Other TD''s]])),IF(C369="Receiving",2*(200-Table1[[#This Row],[Receiving Yards]]-(30*Table1[[#This Row],[Passing TDs]])-50*(Table1[[#This Row],[Rushing TDs]]+Table1[[#This Row],[Receiving TDs]]+Table1[[#This Row],[Other TD''s]])),IF(C369="Defensive",(25*(16-Table1[[#This Row],[Tackles]]-(8*(Table1[[#This Row],[Other TD''s]]+Table1[[#This Row],[Interceptions]]+Table1[[#This Row],[Fumbles Recovered]])))))))))))</f>
        <v/>
      </c>
      <c r="R369" s="3" t="str">
        <f t="shared" si="12"/>
        <v/>
      </c>
      <c r="S369" s="4">
        <f t="shared" si="11"/>
        <v>1048507</v>
      </c>
      <c r="T3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0" spans="1:20" hidden="1" x14ac:dyDescent="0.25">
      <c r="A370" t="s">
        <v>4</v>
      </c>
      <c r="B370" s="28" t="s">
        <v>49</v>
      </c>
      <c r="C370" t="s">
        <v>20</v>
      </c>
      <c r="D370" t="str">
        <f>_xlfn.XLOOKUP(Table1[[#This Row],[Player]]&amp;Table1[[#This Row],[Week]]&amp;Table1[[#This Row],[Role]],'Google Form Transform'!$A:$A,'Google Form Transform'!E:E,"")</f>
        <v/>
      </c>
      <c r="E370" t="str">
        <f>_xlfn.XLOOKUP(Table1[[#This Row],[Player]]&amp;Table1[[#This Row],[Week]]&amp;Table1[[#This Row],[Role]],'Google Form Transform'!$A:$A,'Google Form Transform'!F:F,"")</f>
        <v/>
      </c>
      <c r="F370" t="str">
        <f>_xlfn.XLOOKUP(Table1[[#This Row],[Player]]&amp;Table1[[#This Row],[Week]]&amp;Table1[[#This Row],[Role]],'Google Form Transform'!$A:$A,'Google Form Transform'!G:G,"")</f>
        <v/>
      </c>
      <c r="G370" s="59">
        <f>SUMIFS(Table2[Stat],Table2[Stat Category],"passing",Table2[Stat Type],"YDS",Table2[Athlete],Table1[[#This Row],[Pick]],Table2[Week],Table1[[#This Row],[Week]])</f>
        <v>0</v>
      </c>
      <c r="H370" s="59">
        <f>SUMIFS(Table2[Stat],Table2[Stat Category],"rushing",Table2[Stat Type],"YDS",Table2[Athlete],Table1[[#This Row],[Pick]],Table2[Week],Table1[[#This Row],[Week]])</f>
        <v>0</v>
      </c>
      <c r="I370" s="59">
        <f>SUMIFS(Table2[Stat],Table2[Stat Category],"receiving",Table2[Stat Type],"YDS",Table2[Athlete],Table1[[#This Row],[Pick]],Table2[Week],Table1[[#This Row],[Week]])</f>
        <v>0</v>
      </c>
      <c r="J370" s="6">
        <f>IF(AND($C370="Rushing", $H370&lt;=0), 0, IF(AND($C370="Passing", $G$3&lt;=0), 0,IF(AND($C370="Receiving",$I370&lt;=0), 0,SUMIFS(Table2[Stat],Table2[Week],Table1[[#This Row],[Week]],Table2[Athlete],Table1[[#This Row],[Pick]],Table2[Stat Category],"passing",Table2[Stat Type],"TD"))))</f>
        <v>0</v>
      </c>
      <c r="K370" s="6">
        <f>IF(AND($C370="Rushing", $H370&lt;=0), 0, IF(AND($C370="Passing", $G$3&lt;=0), 0,IF(AND($C370="Receiving",$I370&lt;=0),0,SUMIFS(Table2[Stat],Table2[Week],Table1[[#This Row],[Week]],Table2[Athlete],Table1[[#This Row],[Pick]],Table2[Stat Category],"rushing",Table2[Stat Type],"TD"))))</f>
        <v>0</v>
      </c>
      <c r="L370" s="6">
        <f>IF(AND($C370="Rushing", $H370&lt;=0), 0, IF(AND($C370="Passing", $G$3&lt;=0), 0,IF(AND($C370="Receiving",$I370&lt;=0),0,SUMIFS(Table2[Stat],Table2[Week],Table1[[#This Row],[Week]],Table2[Athlete],Table1[[#This Row],[Pick]],Table2[Stat Category],"receiving",Table2[Stat Type],"TD"))))</f>
        <v>0</v>
      </c>
      <c r="M3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0" s="61">
        <f>SUMIFS(Data!$J:$J,Data!$A:$A,Info!$B370,Data!$G:$G,Info!$C370,Data!$I:$I,Info!$D370,Data!$H:$H,"TOT")</f>
        <v>0</v>
      </c>
      <c r="O370" s="61">
        <f>IF(C370="Defensive",SUMIFS(Data!$J:$J,Data!$A:$A,Info!$B370,Data!$I:$I,Info!$D370,Data!$H:$H,"INT"),0)</f>
        <v>0</v>
      </c>
      <c r="P370" s="61">
        <f>IF(Table1[[#This Row],[Role]]="Defensive",SUMIFS(Data!$J:$J,Data!$A:$A,Info!$B370,Data!$I:$I,Info!$D370,Data!$H:$H,$P$1),0)</f>
        <v>0</v>
      </c>
      <c r="Q370" s="65" t="str">
        <f>IF(Table1[[#This Row],[Pick]]="","",IF(S370&gt;1,400,IF(G370="","",IF(C370="Passing",(400-Table1[[#This Row],[Passing Yards]]-(30*Table1[[#This Row],[Passing TDs]])-(50*SUM(Table1[[#This Row],[Rushing TDs]:[Other TD''s]]))),IF(C370="Rushing",2*(200-Table1[[#This Row],[Rushing Yards]]-(30*Table1[[#This Row],[Passing TDs]])-50*(Table1[[#This Row],[Rushing TDs]]+Table1[[#This Row],[Receiving TDs]]+Table1[[#This Row],[Other TD''s]])),IF(C370="Receiving",2*(200-Table1[[#This Row],[Receiving Yards]]-(30*Table1[[#This Row],[Passing TDs]])-50*(Table1[[#This Row],[Rushing TDs]]+Table1[[#This Row],[Receiving TDs]]+Table1[[#This Row],[Other TD''s]])),IF(C370="Defensive",(25*(16-Table1[[#This Row],[Tackles]]-(8*(Table1[[#This Row],[Other TD''s]]+Table1[[#This Row],[Interceptions]]+Table1[[#This Row],[Fumbles Recovered]])))))))))))</f>
        <v/>
      </c>
      <c r="R370" s="3" t="str">
        <f t="shared" si="12"/>
        <v/>
      </c>
      <c r="S370" s="4">
        <f t="shared" si="11"/>
        <v>1048507</v>
      </c>
      <c r="T3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1" spans="1:20" hidden="1" x14ac:dyDescent="0.25">
      <c r="A371" t="s">
        <v>79</v>
      </c>
      <c r="B371" s="28" t="s">
        <v>49</v>
      </c>
      <c r="C371" t="s">
        <v>16</v>
      </c>
      <c r="D371" t="str">
        <f>_xlfn.XLOOKUP(Table1[[#This Row],[Player]]&amp;Table1[[#This Row],[Week]]&amp;Table1[[#This Row],[Role]],'Google Form Transform'!$A:$A,'Google Form Transform'!E:E,"")</f>
        <v/>
      </c>
      <c r="E371" t="str">
        <f>_xlfn.XLOOKUP(Table1[[#This Row],[Player]]&amp;Table1[[#This Row],[Week]]&amp;Table1[[#This Row],[Role]],'Google Form Transform'!$A:$A,'Google Form Transform'!F:F,"")</f>
        <v/>
      </c>
      <c r="F371" t="str">
        <f>_xlfn.XLOOKUP(Table1[[#This Row],[Player]]&amp;Table1[[#This Row],[Week]]&amp;Table1[[#This Row],[Role]],'Google Form Transform'!$A:$A,'Google Form Transform'!G:G,"")</f>
        <v/>
      </c>
      <c r="G371" s="59">
        <f>SUMIFS(Table2[Stat],Table2[Stat Category],"passing",Table2[Stat Type],"YDS",Table2[Athlete],Table1[[#This Row],[Pick]],Table2[Week],Table1[[#This Row],[Week]])</f>
        <v>0</v>
      </c>
      <c r="H371" s="59">
        <f>SUMIFS(Table2[Stat],Table2[Stat Category],"rushing",Table2[Stat Type],"YDS",Table2[Athlete],Table1[[#This Row],[Pick]],Table2[Week],Table1[[#This Row],[Week]])</f>
        <v>0</v>
      </c>
      <c r="I371" s="59">
        <f>SUMIFS(Table2[Stat],Table2[Stat Category],"receiving",Table2[Stat Type],"YDS",Table2[Athlete],Table1[[#This Row],[Pick]],Table2[Week],Table1[[#This Row],[Week]])</f>
        <v>0</v>
      </c>
      <c r="J371" s="6">
        <f>IF(AND($C371="Rushing", $H371&lt;=0), 0, IF(AND($C371="Passing", $G$3&lt;=0), 0,IF(AND($C371="Receiving",$I371&lt;=0), 0,SUMIFS(Table2[Stat],Table2[Week],Table1[[#This Row],[Week]],Table2[Athlete],Table1[[#This Row],[Pick]],Table2[Stat Category],"passing",Table2[Stat Type],"TD"))))</f>
        <v>0</v>
      </c>
      <c r="K371" s="6">
        <f>IF(AND($C371="Rushing", $H371&lt;=0), 0, IF(AND($C371="Passing", $G$3&lt;=0), 0,IF(AND($C371="Receiving",$I371&lt;=0),0,SUMIFS(Table2[Stat],Table2[Week],Table1[[#This Row],[Week]],Table2[Athlete],Table1[[#This Row],[Pick]],Table2[Stat Category],"rushing",Table2[Stat Type],"TD"))))</f>
        <v>0</v>
      </c>
      <c r="L371" s="6">
        <f>IF(AND($C371="Rushing", $H371&lt;=0), 0, IF(AND($C371="Passing", $G$3&lt;=0), 0,IF(AND($C371="Receiving",$I371&lt;=0),0,SUMIFS(Table2[Stat],Table2[Week],Table1[[#This Row],[Week]],Table2[Athlete],Table1[[#This Row],[Pick]],Table2[Stat Category],"receiving",Table2[Stat Type],"TD"))))</f>
        <v>0</v>
      </c>
      <c r="M3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1" s="61">
        <f>SUMIFS(Data!$J:$J,Data!$A:$A,Info!$B371,Data!$G:$G,Info!$C371,Data!$I:$I,Info!$D371,Data!$H:$H,"TOT")</f>
        <v>0</v>
      </c>
      <c r="O371" s="61">
        <f>IF(C371="Defensive",SUMIFS(Data!$J:$J,Data!$A:$A,Info!$B371,Data!$I:$I,Info!$D371,Data!$H:$H,"INT"),0)</f>
        <v>0</v>
      </c>
      <c r="P371" s="61">
        <f>IF(Table1[[#This Row],[Role]]="Defensive",SUMIFS(Data!$J:$J,Data!$A:$A,Info!$B371,Data!$I:$I,Info!$D371,Data!$H:$H,$P$1),0)</f>
        <v>0</v>
      </c>
      <c r="Q371" s="65" t="str">
        <f>IF(Table1[[#This Row],[Pick]]="","",IF(S371&gt;1,400,IF(G371="","",IF(C371="Passing",(400-Table1[[#This Row],[Passing Yards]]-(30*Table1[[#This Row],[Passing TDs]])-(50*SUM(Table1[[#This Row],[Rushing TDs]:[Other TD''s]]))),IF(C371="Rushing",2*(200-Table1[[#This Row],[Rushing Yards]]-(30*Table1[[#This Row],[Passing TDs]])-50*(Table1[[#This Row],[Rushing TDs]]+Table1[[#This Row],[Receiving TDs]]+Table1[[#This Row],[Other TD''s]])),IF(C371="Receiving",2*(200-Table1[[#This Row],[Receiving Yards]]-(30*Table1[[#This Row],[Passing TDs]])-50*(Table1[[#This Row],[Rushing TDs]]+Table1[[#This Row],[Receiving TDs]]+Table1[[#This Row],[Other TD''s]])),IF(C371="Defensive",(25*(16-Table1[[#This Row],[Tackles]]-(8*(Table1[[#This Row],[Other TD''s]]+Table1[[#This Row],[Interceptions]]+Table1[[#This Row],[Fumbles Recovered]])))))))))))</f>
        <v/>
      </c>
      <c r="R371" s="3" t="str">
        <f t="shared" si="12"/>
        <v/>
      </c>
      <c r="S371" s="4">
        <f t="shared" si="11"/>
        <v>1048507</v>
      </c>
      <c r="T3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2" spans="1:20" hidden="1" x14ac:dyDescent="0.25">
      <c r="A372" t="s">
        <v>79</v>
      </c>
      <c r="B372" s="28" t="s">
        <v>49</v>
      </c>
      <c r="C372" t="s">
        <v>6</v>
      </c>
      <c r="D372" t="str">
        <f>_xlfn.XLOOKUP(Table1[[#This Row],[Player]]&amp;Table1[[#This Row],[Week]]&amp;Table1[[#This Row],[Role]],'Google Form Transform'!$A:$A,'Google Form Transform'!E:E,"")</f>
        <v/>
      </c>
      <c r="E372" t="str">
        <f>_xlfn.XLOOKUP(Table1[[#This Row],[Player]]&amp;Table1[[#This Row],[Week]]&amp;Table1[[#This Row],[Role]],'Google Form Transform'!$A:$A,'Google Form Transform'!F:F,"")</f>
        <v/>
      </c>
      <c r="F372" t="str">
        <f>_xlfn.XLOOKUP(Table1[[#This Row],[Player]]&amp;Table1[[#This Row],[Week]]&amp;Table1[[#This Row],[Role]],'Google Form Transform'!$A:$A,'Google Form Transform'!G:G,"")</f>
        <v/>
      </c>
      <c r="G372" s="59">
        <f>SUMIFS(Table2[Stat],Table2[Stat Category],"passing",Table2[Stat Type],"YDS",Table2[Athlete],Table1[[#This Row],[Pick]],Table2[Week],Table1[[#This Row],[Week]])</f>
        <v>0</v>
      </c>
      <c r="H372" s="59">
        <f>SUMIFS(Table2[Stat],Table2[Stat Category],"rushing",Table2[Stat Type],"YDS",Table2[Athlete],Table1[[#This Row],[Pick]],Table2[Week],Table1[[#This Row],[Week]])</f>
        <v>0</v>
      </c>
      <c r="I372" s="59">
        <f>SUMIFS(Table2[Stat],Table2[Stat Category],"receiving",Table2[Stat Type],"YDS",Table2[Athlete],Table1[[#This Row],[Pick]],Table2[Week],Table1[[#This Row],[Week]])</f>
        <v>0</v>
      </c>
      <c r="J372" s="6">
        <f>IF(AND($C372="Rushing", $H372&lt;=0), 0, IF(AND($C372="Passing", $G$3&lt;=0), 0,IF(AND($C372="Receiving",$I372&lt;=0), 0,SUMIFS(Table2[Stat],Table2[Week],Table1[[#This Row],[Week]],Table2[Athlete],Table1[[#This Row],[Pick]],Table2[Stat Category],"passing",Table2[Stat Type],"TD"))))</f>
        <v>0</v>
      </c>
      <c r="K372" s="6">
        <f>IF(AND($C372="Rushing", $H372&lt;=0), 0, IF(AND($C372="Passing", $G$3&lt;=0), 0,IF(AND($C372="Receiving",$I372&lt;=0),0,SUMIFS(Table2[Stat],Table2[Week],Table1[[#This Row],[Week]],Table2[Athlete],Table1[[#This Row],[Pick]],Table2[Stat Category],"rushing",Table2[Stat Type],"TD"))))</f>
        <v>0</v>
      </c>
      <c r="L372" s="6">
        <f>IF(AND($C372="Rushing", $H372&lt;=0), 0, IF(AND($C372="Passing", $G$3&lt;=0), 0,IF(AND($C372="Receiving",$I372&lt;=0),0,SUMIFS(Table2[Stat],Table2[Week],Table1[[#This Row],[Week]],Table2[Athlete],Table1[[#This Row],[Pick]],Table2[Stat Category],"receiving",Table2[Stat Type],"TD"))))</f>
        <v>0</v>
      </c>
      <c r="M3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2" s="61">
        <f>SUMIFS(Data!$J:$J,Data!$A:$A,Info!$B372,Data!$G:$G,Info!$C372,Data!$I:$I,Info!$D372,Data!$H:$H,"TOT")</f>
        <v>0</v>
      </c>
      <c r="O372" s="61">
        <f>IF(C372="Defensive",SUMIFS(Data!$J:$J,Data!$A:$A,Info!$B372,Data!$I:$I,Info!$D372,Data!$H:$H,"INT"),0)</f>
        <v>0</v>
      </c>
      <c r="P372" s="61">
        <f>IF(Table1[[#This Row],[Role]]="Defensive",SUMIFS(Data!$J:$J,Data!$A:$A,Info!$B372,Data!$I:$I,Info!$D372,Data!$H:$H,$P$1),0)</f>
        <v>0</v>
      </c>
      <c r="Q372" s="65" t="str">
        <f>IF(Table1[[#This Row],[Pick]]="","",IF(S372&gt;1,400,IF(G372="","",IF(C372="Passing",(400-Table1[[#This Row],[Passing Yards]]-(30*Table1[[#This Row],[Passing TDs]])-(50*SUM(Table1[[#This Row],[Rushing TDs]:[Other TD''s]]))),IF(C372="Rushing",2*(200-Table1[[#This Row],[Rushing Yards]]-(30*Table1[[#This Row],[Passing TDs]])-50*(Table1[[#This Row],[Rushing TDs]]+Table1[[#This Row],[Receiving TDs]]+Table1[[#This Row],[Other TD''s]])),IF(C372="Receiving",2*(200-Table1[[#This Row],[Receiving Yards]]-(30*Table1[[#This Row],[Passing TDs]])-50*(Table1[[#This Row],[Rushing TDs]]+Table1[[#This Row],[Receiving TDs]]+Table1[[#This Row],[Other TD''s]])),IF(C372="Defensive",(25*(16-Table1[[#This Row],[Tackles]]-(8*(Table1[[#This Row],[Other TD''s]]+Table1[[#This Row],[Interceptions]]+Table1[[#This Row],[Fumbles Recovered]])))))))))))</f>
        <v/>
      </c>
      <c r="R372" s="3" t="str">
        <f t="shared" si="12"/>
        <v/>
      </c>
      <c r="S372" s="4">
        <f t="shared" si="11"/>
        <v>1048507</v>
      </c>
      <c r="T3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3" spans="1:20" hidden="1" x14ac:dyDescent="0.25">
      <c r="A373" t="s">
        <v>79</v>
      </c>
      <c r="B373" s="28" t="s">
        <v>49</v>
      </c>
      <c r="C373" t="s">
        <v>17</v>
      </c>
      <c r="D373" t="str">
        <f>_xlfn.XLOOKUP(Table1[[#This Row],[Player]]&amp;Table1[[#This Row],[Week]]&amp;Table1[[#This Row],[Role]],'Google Form Transform'!$A:$A,'Google Form Transform'!E:E,"")</f>
        <v/>
      </c>
      <c r="E373" t="str">
        <f>_xlfn.XLOOKUP(Table1[[#This Row],[Player]]&amp;Table1[[#This Row],[Week]]&amp;Table1[[#This Row],[Role]],'Google Form Transform'!$A:$A,'Google Form Transform'!F:F,"")</f>
        <v/>
      </c>
      <c r="F373" t="str">
        <f>_xlfn.XLOOKUP(Table1[[#This Row],[Player]]&amp;Table1[[#This Row],[Week]]&amp;Table1[[#This Row],[Role]],'Google Form Transform'!$A:$A,'Google Form Transform'!G:G,"")</f>
        <v/>
      </c>
      <c r="G373" s="59">
        <f>SUMIFS(Table2[Stat],Table2[Stat Category],"passing",Table2[Stat Type],"YDS",Table2[Athlete],Table1[[#This Row],[Pick]],Table2[Week],Table1[[#This Row],[Week]])</f>
        <v>0</v>
      </c>
      <c r="H373" s="59">
        <f>SUMIFS(Table2[Stat],Table2[Stat Category],"rushing",Table2[Stat Type],"YDS",Table2[Athlete],Table1[[#This Row],[Pick]],Table2[Week],Table1[[#This Row],[Week]])</f>
        <v>0</v>
      </c>
      <c r="I373" s="59">
        <f>SUMIFS(Table2[Stat],Table2[Stat Category],"receiving",Table2[Stat Type],"YDS",Table2[Athlete],Table1[[#This Row],[Pick]],Table2[Week],Table1[[#This Row],[Week]])</f>
        <v>0</v>
      </c>
      <c r="J373" s="6">
        <f>IF(AND($C373="Rushing", $H373&lt;=0), 0, IF(AND($C373="Passing", $G$3&lt;=0), 0,IF(AND($C373="Receiving",$I373&lt;=0), 0,SUMIFS(Table2[Stat],Table2[Week],Table1[[#This Row],[Week]],Table2[Athlete],Table1[[#This Row],[Pick]],Table2[Stat Category],"passing",Table2[Stat Type],"TD"))))</f>
        <v>0</v>
      </c>
      <c r="K373" s="6">
        <f>IF(AND($C373="Rushing", $H373&lt;=0), 0, IF(AND($C373="Passing", $G$3&lt;=0), 0,IF(AND($C373="Receiving",$I373&lt;=0),0,SUMIFS(Table2[Stat],Table2[Week],Table1[[#This Row],[Week]],Table2[Athlete],Table1[[#This Row],[Pick]],Table2[Stat Category],"rushing",Table2[Stat Type],"TD"))))</f>
        <v>0</v>
      </c>
      <c r="L373" s="6">
        <f>IF(AND($C373="Rushing", $H373&lt;=0), 0, IF(AND($C373="Passing", $G$3&lt;=0), 0,IF(AND($C373="Receiving",$I373&lt;=0),0,SUMIFS(Table2[Stat],Table2[Week],Table1[[#This Row],[Week]],Table2[Athlete],Table1[[#This Row],[Pick]],Table2[Stat Category],"receiving",Table2[Stat Type],"TD"))))</f>
        <v>0</v>
      </c>
      <c r="M3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3" s="61">
        <f>SUMIFS(Data!$J:$J,Data!$A:$A,Info!$B373,Data!$G:$G,Info!$C373,Data!$I:$I,Info!$D373,Data!$H:$H,"TOT")</f>
        <v>0</v>
      </c>
      <c r="O373" s="61">
        <f>IF(C373="Defensive",SUMIFS(Data!$J:$J,Data!$A:$A,Info!$B373,Data!$I:$I,Info!$D373,Data!$H:$H,"INT"),0)</f>
        <v>0</v>
      </c>
      <c r="P373" s="61">
        <f>IF(Table1[[#This Row],[Role]]="Defensive",SUMIFS(Data!$J:$J,Data!$A:$A,Info!$B373,Data!$I:$I,Info!$D373,Data!$H:$H,$P$1),0)</f>
        <v>0</v>
      </c>
      <c r="Q373" s="65" t="str">
        <f>IF(Table1[[#This Row],[Pick]]="","",IF(S373&gt;1,400,IF(G373="","",IF(C373="Passing",(400-Table1[[#This Row],[Passing Yards]]-(30*Table1[[#This Row],[Passing TDs]])-(50*SUM(Table1[[#This Row],[Rushing TDs]:[Other TD''s]]))),IF(C373="Rushing",2*(200-Table1[[#This Row],[Rushing Yards]]-(30*Table1[[#This Row],[Passing TDs]])-50*(Table1[[#This Row],[Rushing TDs]]+Table1[[#This Row],[Receiving TDs]]+Table1[[#This Row],[Other TD''s]])),IF(C373="Receiving",2*(200-Table1[[#This Row],[Receiving Yards]]-(30*Table1[[#This Row],[Passing TDs]])-50*(Table1[[#This Row],[Rushing TDs]]+Table1[[#This Row],[Receiving TDs]]+Table1[[#This Row],[Other TD''s]])),IF(C373="Defensive",(25*(16-Table1[[#This Row],[Tackles]]-(8*(Table1[[#This Row],[Other TD''s]]+Table1[[#This Row],[Interceptions]]+Table1[[#This Row],[Fumbles Recovered]])))))))))))</f>
        <v/>
      </c>
      <c r="R373" s="3" t="str">
        <f t="shared" si="12"/>
        <v/>
      </c>
      <c r="S373" s="4">
        <f t="shared" si="11"/>
        <v>1048507</v>
      </c>
      <c r="T3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4" spans="1:20" hidden="1" x14ac:dyDescent="0.25">
      <c r="A374" t="s">
        <v>79</v>
      </c>
      <c r="B374" s="28" t="s">
        <v>49</v>
      </c>
      <c r="C374" t="s">
        <v>20</v>
      </c>
      <c r="D374" t="str">
        <f>_xlfn.XLOOKUP(Table1[[#This Row],[Player]]&amp;Table1[[#This Row],[Week]]&amp;Table1[[#This Row],[Role]],'Google Form Transform'!$A:$A,'Google Form Transform'!E:E,"")</f>
        <v/>
      </c>
      <c r="E374" t="str">
        <f>_xlfn.XLOOKUP(Table1[[#This Row],[Player]]&amp;Table1[[#This Row],[Week]]&amp;Table1[[#This Row],[Role]],'Google Form Transform'!$A:$A,'Google Form Transform'!F:F,"")</f>
        <v/>
      </c>
      <c r="F374" t="str">
        <f>_xlfn.XLOOKUP(Table1[[#This Row],[Player]]&amp;Table1[[#This Row],[Week]]&amp;Table1[[#This Row],[Role]],'Google Form Transform'!$A:$A,'Google Form Transform'!G:G,"")</f>
        <v/>
      </c>
      <c r="G374" s="59">
        <f>SUMIFS(Table2[Stat],Table2[Stat Category],"passing",Table2[Stat Type],"YDS",Table2[Athlete],Table1[[#This Row],[Pick]],Table2[Week],Table1[[#This Row],[Week]])</f>
        <v>0</v>
      </c>
      <c r="H374" s="59">
        <f>SUMIFS(Table2[Stat],Table2[Stat Category],"rushing",Table2[Stat Type],"YDS",Table2[Athlete],Table1[[#This Row],[Pick]],Table2[Week],Table1[[#This Row],[Week]])</f>
        <v>0</v>
      </c>
      <c r="I374" s="59">
        <f>SUMIFS(Table2[Stat],Table2[Stat Category],"receiving",Table2[Stat Type],"YDS",Table2[Athlete],Table1[[#This Row],[Pick]],Table2[Week],Table1[[#This Row],[Week]])</f>
        <v>0</v>
      </c>
      <c r="J374" s="6">
        <f>IF(AND($C374="Rushing", $H374&lt;=0), 0, IF(AND($C374="Passing", $G$3&lt;=0), 0,IF(AND($C374="Receiving",$I374&lt;=0), 0,SUMIFS(Table2[Stat],Table2[Week],Table1[[#This Row],[Week]],Table2[Athlete],Table1[[#This Row],[Pick]],Table2[Stat Category],"passing",Table2[Stat Type],"TD"))))</f>
        <v>0</v>
      </c>
      <c r="K374" s="6">
        <f>IF(AND($C374="Rushing", $H374&lt;=0), 0, IF(AND($C374="Passing", $G$3&lt;=0), 0,IF(AND($C374="Receiving",$I374&lt;=0),0,SUMIFS(Table2[Stat],Table2[Week],Table1[[#This Row],[Week]],Table2[Athlete],Table1[[#This Row],[Pick]],Table2[Stat Category],"rushing",Table2[Stat Type],"TD"))))</f>
        <v>0</v>
      </c>
      <c r="L374" s="6">
        <f>IF(AND($C374="Rushing", $H374&lt;=0), 0, IF(AND($C374="Passing", $G$3&lt;=0), 0,IF(AND($C374="Receiving",$I374&lt;=0),0,SUMIFS(Table2[Stat],Table2[Week],Table1[[#This Row],[Week]],Table2[Athlete],Table1[[#This Row],[Pick]],Table2[Stat Category],"receiving",Table2[Stat Type],"TD"))))</f>
        <v>0</v>
      </c>
      <c r="M3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4" s="61">
        <f>SUMIFS(Data!$J:$J,Data!$A:$A,Info!$B374,Data!$G:$G,Info!$C374,Data!$I:$I,Info!$D374,Data!$H:$H,"TOT")</f>
        <v>0</v>
      </c>
      <c r="O374" s="61">
        <f>IF(C374="Defensive",SUMIFS(Data!$J:$J,Data!$A:$A,Info!$B374,Data!$I:$I,Info!$D374,Data!$H:$H,"INT"),0)</f>
        <v>0</v>
      </c>
      <c r="P374" s="61">
        <f>IF(Table1[[#This Row],[Role]]="Defensive",SUMIFS(Data!$J:$J,Data!$A:$A,Info!$B374,Data!$I:$I,Info!$D374,Data!$H:$H,$P$1),0)</f>
        <v>0</v>
      </c>
      <c r="Q374" s="65" t="str">
        <f>IF(Table1[[#This Row],[Pick]]="","",IF(S374&gt;1,400,IF(G374="","",IF(C374="Passing",(400-Table1[[#This Row],[Passing Yards]]-(30*Table1[[#This Row],[Passing TDs]])-(50*SUM(Table1[[#This Row],[Rushing TDs]:[Other TD''s]]))),IF(C374="Rushing",2*(200-Table1[[#This Row],[Rushing Yards]]-(30*Table1[[#This Row],[Passing TDs]])-50*(Table1[[#This Row],[Rushing TDs]]+Table1[[#This Row],[Receiving TDs]]+Table1[[#This Row],[Other TD''s]])),IF(C374="Receiving",2*(200-Table1[[#This Row],[Receiving Yards]]-(30*Table1[[#This Row],[Passing TDs]])-50*(Table1[[#This Row],[Rushing TDs]]+Table1[[#This Row],[Receiving TDs]]+Table1[[#This Row],[Other TD''s]])),IF(C374="Defensive",(25*(16-Table1[[#This Row],[Tackles]]-(8*(Table1[[#This Row],[Other TD''s]]+Table1[[#This Row],[Interceptions]]+Table1[[#This Row],[Fumbles Recovered]])))))))))))</f>
        <v/>
      </c>
      <c r="R374" s="3" t="str">
        <f t="shared" si="12"/>
        <v/>
      </c>
      <c r="S374" s="4">
        <f t="shared" si="11"/>
        <v>1048507</v>
      </c>
      <c r="T3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5" spans="1:20" hidden="1" x14ac:dyDescent="0.25">
      <c r="A375" t="s">
        <v>58</v>
      </c>
      <c r="B375" s="28" t="s">
        <v>49</v>
      </c>
      <c r="C375" t="s">
        <v>16</v>
      </c>
      <c r="D375" t="str">
        <f>_xlfn.XLOOKUP(Table1[[#This Row],[Player]]&amp;Table1[[#This Row],[Week]]&amp;Table1[[#This Row],[Role]],'Google Form Transform'!$A:$A,'Google Form Transform'!E:E,"")</f>
        <v/>
      </c>
      <c r="E375" t="str">
        <f>_xlfn.XLOOKUP(Table1[[#This Row],[Player]]&amp;Table1[[#This Row],[Week]]&amp;Table1[[#This Row],[Role]],'Google Form Transform'!$A:$A,'Google Form Transform'!F:F,"")</f>
        <v/>
      </c>
      <c r="F375" t="str">
        <f>_xlfn.XLOOKUP(Table1[[#This Row],[Player]]&amp;Table1[[#This Row],[Week]]&amp;Table1[[#This Row],[Role]],'Google Form Transform'!$A:$A,'Google Form Transform'!G:G,"")</f>
        <v/>
      </c>
      <c r="G375" s="59">
        <f>SUMIFS(Table2[Stat],Table2[Stat Category],"passing",Table2[Stat Type],"YDS",Table2[Athlete],Table1[[#This Row],[Pick]],Table2[Week],Table1[[#This Row],[Week]])</f>
        <v>0</v>
      </c>
      <c r="H375" s="59">
        <f>SUMIFS(Table2[Stat],Table2[Stat Category],"rushing",Table2[Stat Type],"YDS",Table2[Athlete],Table1[[#This Row],[Pick]],Table2[Week],Table1[[#This Row],[Week]])</f>
        <v>0</v>
      </c>
      <c r="I375" s="59">
        <f>SUMIFS(Table2[Stat],Table2[Stat Category],"receiving",Table2[Stat Type],"YDS",Table2[Athlete],Table1[[#This Row],[Pick]],Table2[Week],Table1[[#This Row],[Week]])</f>
        <v>0</v>
      </c>
      <c r="J375" s="6">
        <f>IF(AND($C375="Rushing", $H375&lt;=0), 0, IF(AND($C375="Passing", $G$3&lt;=0), 0,IF(AND($C375="Receiving",$I375&lt;=0), 0,SUMIFS(Table2[Stat],Table2[Week],Table1[[#This Row],[Week]],Table2[Athlete],Table1[[#This Row],[Pick]],Table2[Stat Category],"passing",Table2[Stat Type],"TD"))))</f>
        <v>0</v>
      </c>
      <c r="K375" s="6">
        <f>IF(AND($C375="Rushing", $H375&lt;=0), 0, IF(AND($C375="Passing", $G$3&lt;=0), 0,IF(AND($C375="Receiving",$I375&lt;=0),0,SUMIFS(Table2[Stat],Table2[Week],Table1[[#This Row],[Week]],Table2[Athlete],Table1[[#This Row],[Pick]],Table2[Stat Category],"rushing",Table2[Stat Type],"TD"))))</f>
        <v>0</v>
      </c>
      <c r="L375" s="6">
        <f>IF(AND($C375="Rushing", $H375&lt;=0), 0, IF(AND($C375="Passing", $G$3&lt;=0), 0,IF(AND($C375="Receiving",$I375&lt;=0),0,SUMIFS(Table2[Stat],Table2[Week],Table1[[#This Row],[Week]],Table2[Athlete],Table1[[#This Row],[Pick]],Table2[Stat Category],"receiving",Table2[Stat Type],"TD"))))</f>
        <v>0</v>
      </c>
      <c r="M3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5" s="61">
        <f>SUMIFS(Data!$J:$J,Data!$A:$A,Info!$B375,Data!$G:$G,Info!$C375,Data!$I:$I,Info!$D375,Data!$H:$H,"TOT")</f>
        <v>0</v>
      </c>
      <c r="O375" s="61">
        <f>IF(C375="Defensive",SUMIFS(Data!$J:$J,Data!$A:$A,Info!$B375,Data!$I:$I,Info!$D375,Data!$H:$H,"INT"),0)</f>
        <v>0</v>
      </c>
      <c r="P375" s="61">
        <f>IF(Table1[[#This Row],[Role]]="Defensive",SUMIFS(Data!$J:$J,Data!$A:$A,Info!$B375,Data!$I:$I,Info!$D375,Data!$H:$H,$P$1),0)</f>
        <v>0</v>
      </c>
      <c r="Q375" s="65" t="str">
        <f>IF(Table1[[#This Row],[Pick]]="","",IF(S375&gt;1,400,IF(G375="","",IF(C375="Passing",(400-Table1[[#This Row],[Passing Yards]]-(30*Table1[[#This Row],[Passing TDs]])-(50*SUM(Table1[[#This Row],[Rushing TDs]:[Other TD''s]]))),IF(C375="Rushing",2*(200-Table1[[#This Row],[Rushing Yards]]-(30*Table1[[#This Row],[Passing TDs]])-50*(Table1[[#This Row],[Rushing TDs]]+Table1[[#This Row],[Receiving TDs]]+Table1[[#This Row],[Other TD''s]])),IF(C375="Receiving",2*(200-Table1[[#This Row],[Receiving Yards]]-(30*Table1[[#This Row],[Passing TDs]])-50*(Table1[[#This Row],[Rushing TDs]]+Table1[[#This Row],[Receiving TDs]]+Table1[[#This Row],[Other TD''s]])),IF(C375="Defensive",(25*(16-Table1[[#This Row],[Tackles]]-(8*(Table1[[#This Row],[Other TD''s]]+Table1[[#This Row],[Interceptions]]+Table1[[#This Row],[Fumbles Recovered]])))))))))))</f>
        <v/>
      </c>
      <c r="R375" s="3" t="str">
        <f t="shared" si="12"/>
        <v/>
      </c>
      <c r="S375" s="4">
        <f t="shared" si="11"/>
        <v>1048507</v>
      </c>
      <c r="T3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6" spans="1:20" hidden="1" x14ac:dyDescent="0.25">
      <c r="A376" t="s">
        <v>58</v>
      </c>
      <c r="B376" s="28" t="s">
        <v>49</v>
      </c>
      <c r="C376" t="s">
        <v>6</v>
      </c>
      <c r="D376" t="str">
        <f>_xlfn.XLOOKUP(Table1[[#This Row],[Player]]&amp;Table1[[#This Row],[Week]]&amp;Table1[[#This Row],[Role]],'Google Form Transform'!$A:$A,'Google Form Transform'!E:E,"")</f>
        <v/>
      </c>
      <c r="E376" t="str">
        <f>_xlfn.XLOOKUP(Table1[[#This Row],[Player]]&amp;Table1[[#This Row],[Week]]&amp;Table1[[#This Row],[Role]],'Google Form Transform'!$A:$A,'Google Form Transform'!F:F,"")</f>
        <v/>
      </c>
      <c r="F376" t="str">
        <f>_xlfn.XLOOKUP(Table1[[#This Row],[Player]]&amp;Table1[[#This Row],[Week]]&amp;Table1[[#This Row],[Role]],'Google Form Transform'!$A:$A,'Google Form Transform'!G:G,"")</f>
        <v/>
      </c>
      <c r="G376" s="59">
        <f>SUMIFS(Table2[Stat],Table2[Stat Category],"passing",Table2[Stat Type],"YDS",Table2[Athlete],Table1[[#This Row],[Pick]],Table2[Week],Table1[[#This Row],[Week]])</f>
        <v>0</v>
      </c>
      <c r="H376" s="59">
        <f>SUMIFS(Table2[Stat],Table2[Stat Category],"rushing",Table2[Stat Type],"YDS",Table2[Athlete],Table1[[#This Row],[Pick]],Table2[Week],Table1[[#This Row],[Week]])</f>
        <v>0</v>
      </c>
      <c r="I376" s="59">
        <f>SUMIFS(Table2[Stat],Table2[Stat Category],"receiving",Table2[Stat Type],"YDS",Table2[Athlete],Table1[[#This Row],[Pick]],Table2[Week],Table1[[#This Row],[Week]])</f>
        <v>0</v>
      </c>
      <c r="J376" s="6">
        <f>IF(AND($C376="Rushing", $H376&lt;=0), 0, IF(AND($C376="Passing", $G$3&lt;=0), 0,IF(AND($C376="Receiving",$I376&lt;=0), 0,SUMIFS(Table2[Stat],Table2[Week],Table1[[#This Row],[Week]],Table2[Athlete],Table1[[#This Row],[Pick]],Table2[Stat Category],"passing",Table2[Stat Type],"TD"))))</f>
        <v>0</v>
      </c>
      <c r="K376" s="6">
        <f>IF(AND($C376="Rushing", $H376&lt;=0), 0, IF(AND($C376="Passing", $G$3&lt;=0), 0,IF(AND($C376="Receiving",$I376&lt;=0),0,SUMIFS(Table2[Stat],Table2[Week],Table1[[#This Row],[Week]],Table2[Athlete],Table1[[#This Row],[Pick]],Table2[Stat Category],"rushing",Table2[Stat Type],"TD"))))</f>
        <v>0</v>
      </c>
      <c r="L376" s="6">
        <f>IF(AND($C376="Rushing", $H376&lt;=0), 0, IF(AND($C376="Passing", $G$3&lt;=0), 0,IF(AND($C376="Receiving",$I376&lt;=0),0,SUMIFS(Table2[Stat],Table2[Week],Table1[[#This Row],[Week]],Table2[Athlete],Table1[[#This Row],[Pick]],Table2[Stat Category],"receiving",Table2[Stat Type],"TD"))))</f>
        <v>0</v>
      </c>
      <c r="M3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6" s="61">
        <f>SUMIFS(Data!$J:$J,Data!$A:$A,Info!$B376,Data!$G:$G,Info!$C376,Data!$I:$I,Info!$D376,Data!$H:$H,"TOT")</f>
        <v>0</v>
      </c>
      <c r="O376" s="61">
        <f>IF(C376="Defensive",SUMIFS(Data!$J:$J,Data!$A:$A,Info!$B376,Data!$I:$I,Info!$D376,Data!$H:$H,"INT"),0)</f>
        <v>0</v>
      </c>
      <c r="P376" s="61">
        <f>IF(Table1[[#This Row],[Role]]="Defensive",SUMIFS(Data!$J:$J,Data!$A:$A,Info!$B376,Data!$I:$I,Info!$D376,Data!$H:$H,$P$1),0)</f>
        <v>0</v>
      </c>
      <c r="Q376" s="65" t="str">
        <f>IF(Table1[[#This Row],[Pick]]="","",IF(S376&gt;1,400,IF(G376="","",IF(C376="Passing",(400-Table1[[#This Row],[Passing Yards]]-(30*Table1[[#This Row],[Passing TDs]])-(50*SUM(Table1[[#This Row],[Rushing TDs]:[Other TD''s]]))),IF(C376="Rushing",2*(200-Table1[[#This Row],[Rushing Yards]]-(30*Table1[[#This Row],[Passing TDs]])-50*(Table1[[#This Row],[Rushing TDs]]+Table1[[#This Row],[Receiving TDs]]+Table1[[#This Row],[Other TD''s]])),IF(C376="Receiving",2*(200-Table1[[#This Row],[Receiving Yards]]-(30*Table1[[#This Row],[Passing TDs]])-50*(Table1[[#This Row],[Rushing TDs]]+Table1[[#This Row],[Receiving TDs]]+Table1[[#This Row],[Other TD''s]])),IF(C376="Defensive",(25*(16-Table1[[#This Row],[Tackles]]-(8*(Table1[[#This Row],[Other TD''s]]+Table1[[#This Row],[Interceptions]]+Table1[[#This Row],[Fumbles Recovered]])))))))))))</f>
        <v/>
      </c>
      <c r="R376" s="3" t="str">
        <f t="shared" si="12"/>
        <v/>
      </c>
      <c r="S376" s="4">
        <f t="shared" si="11"/>
        <v>1048507</v>
      </c>
      <c r="T3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7" spans="1:20" hidden="1" x14ac:dyDescent="0.25">
      <c r="A377" t="s">
        <v>58</v>
      </c>
      <c r="B377" s="28" t="s">
        <v>49</v>
      </c>
      <c r="C377" t="s">
        <v>17</v>
      </c>
      <c r="D377" t="str">
        <f>_xlfn.XLOOKUP(Table1[[#This Row],[Player]]&amp;Table1[[#This Row],[Week]]&amp;Table1[[#This Row],[Role]],'Google Form Transform'!$A:$A,'Google Form Transform'!E:E,"")</f>
        <v/>
      </c>
      <c r="E377" t="str">
        <f>_xlfn.XLOOKUP(Table1[[#This Row],[Player]]&amp;Table1[[#This Row],[Week]]&amp;Table1[[#This Row],[Role]],'Google Form Transform'!$A:$A,'Google Form Transform'!F:F,"")</f>
        <v/>
      </c>
      <c r="F377" t="str">
        <f>_xlfn.XLOOKUP(Table1[[#This Row],[Player]]&amp;Table1[[#This Row],[Week]]&amp;Table1[[#This Row],[Role]],'Google Form Transform'!$A:$A,'Google Form Transform'!G:G,"")</f>
        <v/>
      </c>
      <c r="G377" s="59">
        <f>SUMIFS(Table2[Stat],Table2[Stat Category],"passing",Table2[Stat Type],"YDS",Table2[Athlete],Table1[[#This Row],[Pick]],Table2[Week],Table1[[#This Row],[Week]])</f>
        <v>0</v>
      </c>
      <c r="H377" s="59">
        <f>SUMIFS(Table2[Stat],Table2[Stat Category],"rushing",Table2[Stat Type],"YDS",Table2[Athlete],Table1[[#This Row],[Pick]],Table2[Week],Table1[[#This Row],[Week]])</f>
        <v>0</v>
      </c>
      <c r="I377" s="59">
        <f>SUMIFS(Table2[Stat],Table2[Stat Category],"receiving",Table2[Stat Type],"YDS",Table2[Athlete],Table1[[#This Row],[Pick]],Table2[Week],Table1[[#This Row],[Week]])</f>
        <v>0</v>
      </c>
      <c r="J377" s="6">
        <f>IF(AND($C377="Rushing", $H377&lt;=0), 0, IF(AND($C377="Passing", $G$3&lt;=0), 0,IF(AND($C377="Receiving",$I377&lt;=0), 0,SUMIFS(Table2[Stat],Table2[Week],Table1[[#This Row],[Week]],Table2[Athlete],Table1[[#This Row],[Pick]],Table2[Stat Category],"passing",Table2[Stat Type],"TD"))))</f>
        <v>0</v>
      </c>
      <c r="K377" s="6">
        <f>IF(AND($C377="Rushing", $H377&lt;=0), 0, IF(AND($C377="Passing", $G$3&lt;=0), 0,IF(AND($C377="Receiving",$I377&lt;=0),0,SUMIFS(Table2[Stat],Table2[Week],Table1[[#This Row],[Week]],Table2[Athlete],Table1[[#This Row],[Pick]],Table2[Stat Category],"rushing",Table2[Stat Type],"TD"))))</f>
        <v>0</v>
      </c>
      <c r="L377" s="6">
        <f>IF(AND($C377="Rushing", $H377&lt;=0), 0, IF(AND($C377="Passing", $G$3&lt;=0), 0,IF(AND($C377="Receiving",$I377&lt;=0),0,SUMIFS(Table2[Stat],Table2[Week],Table1[[#This Row],[Week]],Table2[Athlete],Table1[[#This Row],[Pick]],Table2[Stat Category],"receiving",Table2[Stat Type],"TD"))))</f>
        <v>0</v>
      </c>
      <c r="M3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7" s="61">
        <f>SUMIFS(Data!$J:$J,Data!$A:$A,Info!$B377,Data!$G:$G,Info!$C377,Data!$I:$I,Info!$D377,Data!$H:$H,"TOT")</f>
        <v>0</v>
      </c>
      <c r="O377" s="61">
        <f>IF(C377="Defensive",SUMIFS(Data!$J:$J,Data!$A:$A,Info!$B377,Data!$I:$I,Info!$D377,Data!$H:$H,"INT"),0)</f>
        <v>0</v>
      </c>
      <c r="P377" s="61">
        <f>IF(Table1[[#This Row],[Role]]="Defensive",SUMIFS(Data!$J:$J,Data!$A:$A,Info!$B377,Data!$I:$I,Info!$D377,Data!$H:$H,$P$1),0)</f>
        <v>0</v>
      </c>
      <c r="Q377" s="65" t="str">
        <f>IF(Table1[[#This Row],[Pick]]="","",IF(S377&gt;1,400,IF(G377="","",IF(C377="Passing",(400-Table1[[#This Row],[Passing Yards]]-(30*Table1[[#This Row],[Passing TDs]])-(50*SUM(Table1[[#This Row],[Rushing TDs]:[Other TD''s]]))),IF(C377="Rushing",2*(200-Table1[[#This Row],[Rushing Yards]]-(30*Table1[[#This Row],[Passing TDs]])-50*(Table1[[#This Row],[Rushing TDs]]+Table1[[#This Row],[Receiving TDs]]+Table1[[#This Row],[Other TD''s]])),IF(C377="Receiving",2*(200-Table1[[#This Row],[Receiving Yards]]-(30*Table1[[#This Row],[Passing TDs]])-50*(Table1[[#This Row],[Rushing TDs]]+Table1[[#This Row],[Receiving TDs]]+Table1[[#This Row],[Other TD''s]])),IF(C377="Defensive",(25*(16-Table1[[#This Row],[Tackles]]-(8*(Table1[[#This Row],[Other TD''s]]+Table1[[#This Row],[Interceptions]]+Table1[[#This Row],[Fumbles Recovered]])))))))))))</f>
        <v/>
      </c>
      <c r="R377" s="3" t="str">
        <f t="shared" si="12"/>
        <v/>
      </c>
      <c r="S377" s="4">
        <f t="shared" si="11"/>
        <v>1048507</v>
      </c>
      <c r="T3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8" spans="1:20" hidden="1" x14ac:dyDescent="0.25">
      <c r="A378" t="s">
        <v>58</v>
      </c>
      <c r="B378" s="28" t="s">
        <v>49</v>
      </c>
      <c r="C378" t="s">
        <v>20</v>
      </c>
      <c r="D378" t="str">
        <f>_xlfn.XLOOKUP(Table1[[#This Row],[Player]]&amp;Table1[[#This Row],[Week]]&amp;Table1[[#This Row],[Role]],'Google Form Transform'!$A:$A,'Google Form Transform'!E:E,"")</f>
        <v/>
      </c>
      <c r="E378" t="str">
        <f>_xlfn.XLOOKUP(Table1[[#This Row],[Player]]&amp;Table1[[#This Row],[Week]]&amp;Table1[[#This Row],[Role]],'Google Form Transform'!$A:$A,'Google Form Transform'!F:F,"")</f>
        <v/>
      </c>
      <c r="F378" t="str">
        <f>_xlfn.XLOOKUP(Table1[[#This Row],[Player]]&amp;Table1[[#This Row],[Week]]&amp;Table1[[#This Row],[Role]],'Google Form Transform'!$A:$A,'Google Form Transform'!G:G,"")</f>
        <v/>
      </c>
      <c r="G378" s="59">
        <f>SUMIFS(Table2[Stat],Table2[Stat Category],"passing",Table2[Stat Type],"YDS",Table2[Athlete],Table1[[#This Row],[Pick]],Table2[Week],Table1[[#This Row],[Week]])</f>
        <v>0</v>
      </c>
      <c r="H378" s="59">
        <f>SUMIFS(Table2[Stat],Table2[Stat Category],"rushing",Table2[Stat Type],"YDS",Table2[Athlete],Table1[[#This Row],[Pick]],Table2[Week],Table1[[#This Row],[Week]])</f>
        <v>0</v>
      </c>
      <c r="I378" s="59">
        <f>SUMIFS(Table2[Stat],Table2[Stat Category],"receiving",Table2[Stat Type],"YDS",Table2[Athlete],Table1[[#This Row],[Pick]],Table2[Week],Table1[[#This Row],[Week]])</f>
        <v>0</v>
      </c>
      <c r="J378" s="6">
        <f>IF(AND($C378="Rushing", $H378&lt;=0), 0, IF(AND($C378="Passing", $G$3&lt;=0), 0,IF(AND($C378="Receiving",$I378&lt;=0), 0,SUMIFS(Table2[Stat],Table2[Week],Table1[[#This Row],[Week]],Table2[Athlete],Table1[[#This Row],[Pick]],Table2[Stat Category],"passing",Table2[Stat Type],"TD"))))</f>
        <v>0</v>
      </c>
      <c r="K378" s="6">
        <f>IF(AND($C378="Rushing", $H378&lt;=0), 0, IF(AND($C378="Passing", $G$3&lt;=0), 0,IF(AND($C378="Receiving",$I378&lt;=0),0,SUMIFS(Table2[Stat],Table2[Week],Table1[[#This Row],[Week]],Table2[Athlete],Table1[[#This Row],[Pick]],Table2[Stat Category],"rushing",Table2[Stat Type],"TD"))))</f>
        <v>0</v>
      </c>
      <c r="L378" s="6">
        <f>IF(AND($C378="Rushing", $H378&lt;=0), 0, IF(AND($C378="Passing", $G$3&lt;=0), 0,IF(AND($C378="Receiving",$I378&lt;=0),0,SUMIFS(Table2[Stat],Table2[Week],Table1[[#This Row],[Week]],Table2[Athlete],Table1[[#This Row],[Pick]],Table2[Stat Category],"receiving",Table2[Stat Type],"TD"))))</f>
        <v>0</v>
      </c>
      <c r="M3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8" s="61">
        <f>SUMIFS(Data!$J:$J,Data!$A:$A,Info!$B378,Data!$G:$G,Info!$C378,Data!$I:$I,Info!$D378,Data!$H:$H,"TOT")</f>
        <v>0</v>
      </c>
      <c r="O378" s="61">
        <f>IF(C378="Defensive",SUMIFS(Data!$J:$J,Data!$A:$A,Info!$B378,Data!$I:$I,Info!$D378,Data!$H:$H,"INT"),0)</f>
        <v>0</v>
      </c>
      <c r="P378" s="61">
        <f>IF(Table1[[#This Row],[Role]]="Defensive",SUMIFS(Data!$J:$J,Data!$A:$A,Info!$B378,Data!$I:$I,Info!$D378,Data!$H:$H,$P$1),0)</f>
        <v>0</v>
      </c>
      <c r="Q378" s="65" t="str">
        <f>IF(Table1[[#This Row],[Pick]]="","",IF(S378&gt;1,400,IF(G378="","",IF(C378="Passing",(400-Table1[[#This Row],[Passing Yards]]-(30*Table1[[#This Row],[Passing TDs]])-(50*SUM(Table1[[#This Row],[Rushing TDs]:[Other TD''s]]))),IF(C378="Rushing",2*(200-Table1[[#This Row],[Rushing Yards]]-(30*Table1[[#This Row],[Passing TDs]])-50*(Table1[[#This Row],[Rushing TDs]]+Table1[[#This Row],[Receiving TDs]]+Table1[[#This Row],[Other TD''s]])),IF(C378="Receiving",2*(200-Table1[[#This Row],[Receiving Yards]]-(30*Table1[[#This Row],[Passing TDs]])-50*(Table1[[#This Row],[Rushing TDs]]+Table1[[#This Row],[Receiving TDs]]+Table1[[#This Row],[Other TD''s]])),IF(C378="Defensive",(25*(16-Table1[[#This Row],[Tackles]]-(8*(Table1[[#This Row],[Other TD''s]]+Table1[[#This Row],[Interceptions]]+Table1[[#This Row],[Fumbles Recovered]])))))))))))</f>
        <v/>
      </c>
      <c r="R378" s="3" t="str">
        <f t="shared" si="12"/>
        <v/>
      </c>
      <c r="S378" s="4">
        <f t="shared" si="11"/>
        <v>1048507</v>
      </c>
      <c r="T3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9" spans="1:20" hidden="1" x14ac:dyDescent="0.25">
      <c r="A379" t="s">
        <v>61</v>
      </c>
      <c r="B379" s="28" t="s">
        <v>49</v>
      </c>
      <c r="C379" t="s">
        <v>16</v>
      </c>
      <c r="D379" t="str">
        <f>_xlfn.XLOOKUP(Table1[[#This Row],[Player]]&amp;Table1[[#This Row],[Week]]&amp;Table1[[#This Row],[Role]],'Google Form Transform'!$A:$A,'Google Form Transform'!E:E,"")</f>
        <v/>
      </c>
      <c r="E379" t="str">
        <f>_xlfn.XLOOKUP(Table1[[#This Row],[Player]]&amp;Table1[[#This Row],[Week]]&amp;Table1[[#This Row],[Role]],'Google Form Transform'!$A:$A,'Google Form Transform'!F:F,"")</f>
        <v/>
      </c>
      <c r="F379" t="str">
        <f>_xlfn.XLOOKUP(Table1[[#This Row],[Player]]&amp;Table1[[#This Row],[Week]]&amp;Table1[[#This Row],[Role]],'Google Form Transform'!$A:$A,'Google Form Transform'!G:G,"")</f>
        <v/>
      </c>
      <c r="G379" s="59">
        <f>SUMIFS(Table2[Stat],Table2[Stat Category],"passing",Table2[Stat Type],"YDS",Table2[Athlete],Table1[[#This Row],[Pick]],Table2[Week],Table1[[#This Row],[Week]])</f>
        <v>0</v>
      </c>
      <c r="H379" s="59">
        <f>SUMIFS(Table2[Stat],Table2[Stat Category],"rushing",Table2[Stat Type],"YDS",Table2[Athlete],Table1[[#This Row],[Pick]],Table2[Week],Table1[[#This Row],[Week]])</f>
        <v>0</v>
      </c>
      <c r="I379" s="59">
        <f>SUMIFS(Table2[Stat],Table2[Stat Category],"receiving",Table2[Stat Type],"YDS",Table2[Athlete],Table1[[#This Row],[Pick]],Table2[Week],Table1[[#This Row],[Week]])</f>
        <v>0</v>
      </c>
      <c r="J379" s="6">
        <f>IF(AND($C379="Rushing", $H379&lt;=0), 0, IF(AND($C379="Passing", $G$3&lt;=0), 0,IF(AND($C379="Receiving",$I379&lt;=0), 0,SUMIFS(Table2[Stat],Table2[Week],Table1[[#This Row],[Week]],Table2[Athlete],Table1[[#This Row],[Pick]],Table2[Stat Category],"passing",Table2[Stat Type],"TD"))))</f>
        <v>0</v>
      </c>
      <c r="K379" s="6">
        <f>IF(AND($C379="Rushing", $H379&lt;=0), 0, IF(AND($C379="Passing", $G$3&lt;=0), 0,IF(AND($C379="Receiving",$I379&lt;=0),0,SUMIFS(Table2[Stat],Table2[Week],Table1[[#This Row],[Week]],Table2[Athlete],Table1[[#This Row],[Pick]],Table2[Stat Category],"rushing",Table2[Stat Type],"TD"))))</f>
        <v>0</v>
      </c>
      <c r="L379" s="6">
        <f>IF(AND($C379="Rushing", $H379&lt;=0), 0, IF(AND($C379="Passing", $G$3&lt;=0), 0,IF(AND($C379="Receiving",$I379&lt;=0),0,SUMIFS(Table2[Stat],Table2[Week],Table1[[#This Row],[Week]],Table2[Athlete],Table1[[#This Row],[Pick]],Table2[Stat Category],"receiving",Table2[Stat Type],"TD"))))</f>
        <v>0</v>
      </c>
      <c r="M3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9" s="61">
        <f>SUMIFS(Data!$J:$J,Data!$A:$A,Info!$B379,Data!$G:$G,Info!$C379,Data!$I:$I,Info!$D379,Data!$H:$H,"TOT")</f>
        <v>0</v>
      </c>
      <c r="O379" s="61">
        <f>IF(C379="Defensive",SUMIFS(Data!$J:$J,Data!$A:$A,Info!$B379,Data!$I:$I,Info!$D379,Data!$H:$H,"INT"),0)</f>
        <v>0</v>
      </c>
      <c r="P379" s="61">
        <f>IF(Table1[[#This Row],[Role]]="Defensive",SUMIFS(Data!$J:$J,Data!$A:$A,Info!$B379,Data!$I:$I,Info!$D379,Data!$H:$H,$P$1),0)</f>
        <v>0</v>
      </c>
      <c r="Q379" s="65" t="str">
        <f>IF(Table1[[#This Row],[Pick]]="","",IF(S379&gt;1,400,IF(G379="","",IF(C379="Passing",(400-Table1[[#This Row],[Passing Yards]]-(30*Table1[[#This Row],[Passing TDs]])-(50*SUM(Table1[[#This Row],[Rushing TDs]:[Other TD''s]]))),IF(C379="Rushing",2*(200-Table1[[#This Row],[Rushing Yards]]-(30*Table1[[#This Row],[Passing TDs]])-50*(Table1[[#This Row],[Rushing TDs]]+Table1[[#This Row],[Receiving TDs]]+Table1[[#This Row],[Other TD''s]])),IF(C379="Receiving",2*(200-Table1[[#This Row],[Receiving Yards]]-(30*Table1[[#This Row],[Passing TDs]])-50*(Table1[[#This Row],[Rushing TDs]]+Table1[[#This Row],[Receiving TDs]]+Table1[[#This Row],[Other TD''s]])),IF(C379="Defensive",(25*(16-Table1[[#This Row],[Tackles]]-(8*(Table1[[#This Row],[Other TD''s]]+Table1[[#This Row],[Interceptions]]+Table1[[#This Row],[Fumbles Recovered]])))))))))))</f>
        <v/>
      </c>
      <c r="R379" s="3" t="str">
        <f t="shared" si="12"/>
        <v/>
      </c>
      <c r="S379" s="4">
        <f t="shared" si="11"/>
        <v>1048507</v>
      </c>
      <c r="T3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0" spans="1:20" hidden="1" x14ac:dyDescent="0.25">
      <c r="A380" t="s">
        <v>61</v>
      </c>
      <c r="B380" s="28" t="s">
        <v>49</v>
      </c>
      <c r="C380" t="s">
        <v>6</v>
      </c>
      <c r="D380" t="str">
        <f>_xlfn.XLOOKUP(Table1[[#This Row],[Player]]&amp;Table1[[#This Row],[Week]]&amp;Table1[[#This Row],[Role]],'Google Form Transform'!$A:$A,'Google Form Transform'!E:E,"")</f>
        <v/>
      </c>
      <c r="E380" t="str">
        <f>_xlfn.XLOOKUP(Table1[[#This Row],[Player]]&amp;Table1[[#This Row],[Week]]&amp;Table1[[#This Row],[Role]],'Google Form Transform'!$A:$A,'Google Form Transform'!F:F,"")</f>
        <v/>
      </c>
      <c r="F380" t="str">
        <f>_xlfn.XLOOKUP(Table1[[#This Row],[Player]]&amp;Table1[[#This Row],[Week]]&amp;Table1[[#This Row],[Role]],'Google Form Transform'!$A:$A,'Google Form Transform'!G:G,"")</f>
        <v/>
      </c>
      <c r="G380" s="59">
        <f>SUMIFS(Table2[Stat],Table2[Stat Category],"passing",Table2[Stat Type],"YDS",Table2[Athlete],Table1[[#This Row],[Pick]],Table2[Week],Table1[[#This Row],[Week]])</f>
        <v>0</v>
      </c>
      <c r="H380" s="59">
        <f>SUMIFS(Table2[Stat],Table2[Stat Category],"rushing",Table2[Stat Type],"YDS",Table2[Athlete],Table1[[#This Row],[Pick]],Table2[Week],Table1[[#This Row],[Week]])</f>
        <v>0</v>
      </c>
      <c r="I380" s="59">
        <f>SUMIFS(Table2[Stat],Table2[Stat Category],"receiving",Table2[Stat Type],"YDS",Table2[Athlete],Table1[[#This Row],[Pick]],Table2[Week],Table1[[#This Row],[Week]])</f>
        <v>0</v>
      </c>
      <c r="J380" s="6">
        <f>IF(AND($C380="Rushing", $H380&lt;=0), 0, IF(AND($C380="Passing", $G$3&lt;=0), 0,IF(AND($C380="Receiving",$I380&lt;=0), 0,SUMIFS(Table2[Stat],Table2[Week],Table1[[#This Row],[Week]],Table2[Athlete],Table1[[#This Row],[Pick]],Table2[Stat Category],"passing",Table2[Stat Type],"TD"))))</f>
        <v>0</v>
      </c>
      <c r="K380" s="6">
        <f>IF(AND($C380="Rushing", $H380&lt;=0), 0, IF(AND($C380="Passing", $G$3&lt;=0), 0,IF(AND($C380="Receiving",$I380&lt;=0),0,SUMIFS(Table2[Stat],Table2[Week],Table1[[#This Row],[Week]],Table2[Athlete],Table1[[#This Row],[Pick]],Table2[Stat Category],"rushing",Table2[Stat Type],"TD"))))</f>
        <v>0</v>
      </c>
      <c r="L380" s="6">
        <f>IF(AND($C380="Rushing", $H380&lt;=0), 0, IF(AND($C380="Passing", $G$3&lt;=0), 0,IF(AND($C380="Receiving",$I380&lt;=0),0,SUMIFS(Table2[Stat],Table2[Week],Table1[[#This Row],[Week]],Table2[Athlete],Table1[[#This Row],[Pick]],Table2[Stat Category],"receiving",Table2[Stat Type],"TD"))))</f>
        <v>0</v>
      </c>
      <c r="M3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0" s="61">
        <f>SUMIFS(Data!$J:$J,Data!$A:$A,Info!$B380,Data!$G:$G,Info!$C380,Data!$I:$I,Info!$D380,Data!$H:$H,"TOT")</f>
        <v>0</v>
      </c>
      <c r="O380" s="61">
        <f>IF(C380="Defensive",SUMIFS(Data!$J:$J,Data!$A:$A,Info!$B380,Data!$I:$I,Info!$D380,Data!$H:$H,"INT"),0)</f>
        <v>0</v>
      </c>
      <c r="P380" s="61">
        <f>IF(Table1[[#This Row],[Role]]="Defensive",SUMIFS(Data!$J:$J,Data!$A:$A,Info!$B380,Data!$I:$I,Info!$D380,Data!$H:$H,$P$1),0)</f>
        <v>0</v>
      </c>
      <c r="Q380" s="65" t="str">
        <f>IF(Table1[[#This Row],[Pick]]="","",IF(S380&gt;1,400,IF(G380="","",IF(C380="Passing",(400-Table1[[#This Row],[Passing Yards]]-(30*Table1[[#This Row],[Passing TDs]])-(50*SUM(Table1[[#This Row],[Rushing TDs]:[Other TD''s]]))),IF(C380="Rushing",2*(200-Table1[[#This Row],[Rushing Yards]]-(30*Table1[[#This Row],[Passing TDs]])-50*(Table1[[#This Row],[Rushing TDs]]+Table1[[#This Row],[Receiving TDs]]+Table1[[#This Row],[Other TD''s]])),IF(C380="Receiving",2*(200-Table1[[#This Row],[Receiving Yards]]-(30*Table1[[#This Row],[Passing TDs]])-50*(Table1[[#This Row],[Rushing TDs]]+Table1[[#This Row],[Receiving TDs]]+Table1[[#This Row],[Other TD''s]])),IF(C380="Defensive",(25*(16-Table1[[#This Row],[Tackles]]-(8*(Table1[[#This Row],[Other TD''s]]+Table1[[#This Row],[Interceptions]]+Table1[[#This Row],[Fumbles Recovered]])))))))))))</f>
        <v/>
      </c>
      <c r="R380" s="3" t="str">
        <f t="shared" si="12"/>
        <v/>
      </c>
      <c r="S380" s="4">
        <f t="shared" si="11"/>
        <v>1048507</v>
      </c>
      <c r="T3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1" spans="1:20" hidden="1" x14ac:dyDescent="0.25">
      <c r="A381" t="s">
        <v>61</v>
      </c>
      <c r="B381" s="28" t="s">
        <v>49</v>
      </c>
      <c r="C381" t="s">
        <v>17</v>
      </c>
      <c r="D381" t="str">
        <f>_xlfn.XLOOKUP(Table1[[#This Row],[Player]]&amp;Table1[[#This Row],[Week]]&amp;Table1[[#This Row],[Role]],'Google Form Transform'!$A:$A,'Google Form Transform'!E:E,"")</f>
        <v/>
      </c>
      <c r="E381" t="str">
        <f>_xlfn.XLOOKUP(Table1[[#This Row],[Player]]&amp;Table1[[#This Row],[Week]]&amp;Table1[[#This Row],[Role]],'Google Form Transform'!$A:$A,'Google Form Transform'!F:F,"")</f>
        <v/>
      </c>
      <c r="F381" t="str">
        <f>_xlfn.XLOOKUP(Table1[[#This Row],[Player]]&amp;Table1[[#This Row],[Week]]&amp;Table1[[#This Row],[Role]],'Google Form Transform'!$A:$A,'Google Form Transform'!G:G,"")</f>
        <v/>
      </c>
      <c r="G381" s="59">
        <f>SUMIFS(Table2[Stat],Table2[Stat Category],"passing",Table2[Stat Type],"YDS",Table2[Athlete],Table1[[#This Row],[Pick]],Table2[Week],Table1[[#This Row],[Week]])</f>
        <v>0</v>
      </c>
      <c r="H381" s="59">
        <f>SUMIFS(Table2[Stat],Table2[Stat Category],"rushing",Table2[Stat Type],"YDS",Table2[Athlete],Table1[[#This Row],[Pick]],Table2[Week],Table1[[#This Row],[Week]])</f>
        <v>0</v>
      </c>
      <c r="I381" s="59">
        <f>SUMIFS(Table2[Stat],Table2[Stat Category],"receiving",Table2[Stat Type],"YDS",Table2[Athlete],Table1[[#This Row],[Pick]],Table2[Week],Table1[[#This Row],[Week]])</f>
        <v>0</v>
      </c>
      <c r="J381" s="6">
        <f>IF(AND($C381="Rushing", $H381&lt;=0), 0, IF(AND($C381="Passing", $G$3&lt;=0), 0,IF(AND($C381="Receiving",$I381&lt;=0), 0,SUMIFS(Table2[Stat],Table2[Week],Table1[[#This Row],[Week]],Table2[Athlete],Table1[[#This Row],[Pick]],Table2[Stat Category],"passing",Table2[Stat Type],"TD"))))</f>
        <v>0</v>
      </c>
      <c r="K381" s="6">
        <f>IF(AND($C381="Rushing", $H381&lt;=0), 0, IF(AND($C381="Passing", $G$3&lt;=0), 0,IF(AND($C381="Receiving",$I381&lt;=0),0,SUMIFS(Table2[Stat],Table2[Week],Table1[[#This Row],[Week]],Table2[Athlete],Table1[[#This Row],[Pick]],Table2[Stat Category],"rushing",Table2[Stat Type],"TD"))))</f>
        <v>0</v>
      </c>
      <c r="L381" s="6">
        <f>IF(AND($C381="Rushing", $H381&lt;=0), 0, IF(AND($C381="Passing", $G$3&lt;=0), 0,IF(AND($C381="Receiving",$I381&lt;=0),0,SUMIFS(Table2[Stat],Table2[Week],Table1[[#This Row],[Week]],Table2[Athlete],Table1[[#This Row],[Pick]],Table2[Stat Category],"receiving",Table2[Stat Type],"TD"))))</f>
        <v>0</v>
      </c>
      <c r="M3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1" s="61">
        <f>SUMIFS(Data!$J:$J,Data!$A:$A,Info!$B381,Data!$G:$G,Info!$C381,Data!$I:$I,Info!$D381,Data!$H:$H,"TOT")</f>
        <v>0</v>
      </c>
      <c r="O381" s="61">
        <f>IF(C381="Defensive",SUMIFS(Data!$J:$J,Data!$A:$A,Info!$B381,Data!$I:$I,Info!$D381,Data!$H:$H,"INT"),0)</f>
        <v>0</v>
      </c>
      <c r="P381" s="61">
        <f>IF(Table1[[#This Row],[Role]]="Defensive",SUMIFS(Data!$J:$J,Data!$A:$A,Info!$B381,Data!$I:$I,Info!$D381,Data!$H:$H,$P$1),0)</f>
        <v>0</v>
      </c>
      <c r="Q381" s="65" t="str">
        <f>IF(Table1[[#This Row],[Pick]]="","",IF(S381&gt;1,400,IF(G381="","",IF(C381="Passing",(400-Table1[[#This Row],[Passing Yards]]-(30*Table1[[#This Row],[Passing TDs]])-(50*SUM(Table1[[#This Row],[Rushing TDs]:[Other TD''s]]))),IF(C381="Rushing",2*(200-Table1[[#This Row],[Rushing Yards]]-(30*Table1[[#This Row],[Passing TDs]])-50*(Table1[[#This Row],[Rushing TDs]]+Table1[[#This Row],[Receiving TDs]]+Table1[[#This Row],[Other TD''s]])),IF(C381="Receiving",2*(200-Table1[[#This Row],[Receiving Yards]]-(30*Table1[[#This Row],[Passing TDs]])-50*(Table1[[#This Row],[Rushing TDs]]+Table1[[#This Row],[Receiving TDs]]+Table1[[#This Row],[Other TD''s]])),IF(C381="Defensive",(25*(16-Table1[[#This Row],[Tackles]]-(8*(Table1[[#This Row],[Other TD''s]]+Table1[[#This Row],[Interceptions]]+Table1[[#This Row],[Fumbles Recovered]])))))))))))</f>
        <v/>
      </c>
      <c r="R381" s="3" t="str">
        <f t="shared" si="12"/>
        <v/>
      </c>
      <c r="S381" s="4">
        <f t="shared" si="11"/>
        <v>1048507</v>
      </c>
      <c r="T3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2" spans="1:20" hidden="1" x14ac:dyDescent="0.25">
      <c r="A382" t="s">
        <v>61</v>
      </c>
      <c r="B382" s="28" t="s">
        <v>49</v>
      </c>
      <c r="C382" t="s">
        <v>20</v>
      </c>
      <c r="D382" t="str">
        <f>_xlfn.XLOOKUP(Table1[[#This Row],[Player]]&amp;Table1[[#This Row],[Week]]&amp;Table1[[#This Row],[Role]],'Google Form Transform'!$A:$A,'Google Form Transform'!E:E,"")</f>
        <v/>
      </c>
      <c r="E382" t="str">
        <f>_xlfn.XLOOKUP(Table1[[#This Row],[Player]]&amp;Table1[[#This Row],[Week]]&amp;Table1[[#This Row],[Role]],'Google Form Transform'!$A:$A,'Google Form Transform'!F:F,"")</f>
        <v/>
      </c>
      <c r="F382" t="str">
        <f>_xlfn.XLOOKUP(Table1[[#This Row],[Player]]&amp;Table1[[#This Row],[Week]]&amp;Table1[[#This Row],[Role]],'Google Form Transform'!$A:$A,'Google Form Transform'!G:G,"")</f>
        <v/>
      </c>
      <c r="G382" s="59">
        <f>SUMIFS(Table2[Stat],Table2[Stat Category],"passing",Table2[Stat Type],"YDS",Table2[Athlete],Table1[[#This Row],[Pick]],Table2[Week],Table1[[#This Row],[Week]])</f>
        <v>0</v>
      </c>
      <c r="H382" s="59">
        <f>SUMIFS(Table2[Stat],Table2[Stat Category],"rushing",Table2[Stat Type],"YDS",Table2[Athlete],Table1[[#This Row],[Pick]],Table2[Week],Table1[[#This Row],[Week]])</f>
        <v>0</v>
      </c>
      <c r="I382" s="59">
        <f>SUMIFS(Table2[Stat],Table2[Stat Category],"receiving",Table2[Stat Type],"YDS",Table2[Athlete],Table1[[#This Row],[Pick]],Table2[Week],Table1[[#This Row],[Week]])</f>
        <v>0</v>
      </c>
      <c r="J382" s="6">
        <f>IF(AND($C382="Rushing", $H382&lt;=0), 0, IF(AND($C382="Passing", $G$3&lt;=0), 0,IF(AND($C382="Receiving",$I382&lt;=0), 0,SUMIFS(Table2[Stat],Table2[Week],Table1[[#This Row],[Week]],Table2[Athlete],Table1[[#This Row],[Pick]],Table2[Stat Category],"passing",Table2[Stat Type],"TD"))))</f>
        <v>0</v>
      </c>
      <c r="K382" s="6">
        <f>IF(AND($C382="Rushing", $H382&lt;=0), 0, IF(AND($C382="Passing", $G$3&lt;=0), 0,IF(AND($C382="Receiving",$I382&lt;=0),0,SUMIFS(Table2[Stat],Table2[Week],Table1[[#This Row],[Week]],Table2[Athlete],Table1[[#This Row],[Pick]],Table2[Stat Category],"rushing",Table2[Stat Type],"TD"))))</f>
        <v>0</v>
      </c>
      <c r="L382" s="6">
        <f>IF(AND($C382="Rushing", $H382&lt;=0), 0, IF(AND($C382="Passing", $G$3&lt;=0), 0,IF(AND($C382="Receiving",$I382&lt;=0),0,SUMIFS(Table2[Stat],Table2[Week],Table1[[#This Row],[Week]],Table2[Athlete],Table1[[#This Row],[Pick]],Table2[Stat Category],"receiving",Table2[Stat Type],"TD"))))</f>
        <v>0</v>
      </c>
      <c r="M3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2" s="61">
        <f>SUMIFS(Data!$J:$J,Data!$A:$A,Info!$B382,Data!$G:$G,Info!$C382,Data!$I:$I,Info!$D382,Data!$H:$H,"TOT")</f>
        <v>0</v>
      </c>
      <c r="O382" s="61">
        <f>IF(C382="Defensive",SUMIFS(Data!$J:$J,Data!$A:$A,Info!$B382,Data!$I:$I,Info!$D382,Data!$H:$H,"INT"),0)</f>
        <v>0</v>
      </c>
      <c r="P382" s="61">
        <f>IF(Table1[[#This Row],[Role]]="Defensive",SUMIFS(Data!$J:$J,Data!$A:$A,Info!$B382,Data!$I:$I,Info!$D382,Data!$H:$H,$P$1),0)</f>
        <v>0</v>
      </c>
      <c r="Q382" s="65" t="str">
        <f>IF(Table1[[#This Row],[Pick]]="","",IF(S382&gt;1,400,IF(G382="","",IF(C382="Passing",(400-Table1[[#This Row],[Passing Yards]]-(30*Table1[[#This Row],[Passing TDs]])-(50*SUM(Table1[[#This Row],[Rushing TDs]:[Other TD''s]]))),IF(C382="Rushing",2*(200-Table1[[#This Row],[Rushing Yards]]-(30*Table1[[#This Row],[Passing TDs]])-50*(Table1[[#This Row],[Rushing TDs]]+Table1[[#This Row],[Receiving TDs]]+Table1[[#This Row],[Other TD''s]])),IF(C382="Receiving",2*(200-Table1[[#This Row],[Receiving Yards]]-(30*Table1[[#This Row],[Passing TDs]])-50*(Table1[[#This Row],[Rushing TDs]]+Table1[[#This Row],[Receiving TDs]]+Table1[[#This Row],[Other TD''s]])),IF(C382="Defensive",(25*(16-Table1[[#This Row],[Tackles]]-(8*(Table1[[#This Row],[Other TD''s]]+Table1[[#This Row],[Interceptions]]+Table1[[#This Row],[Fumbles Recovered]])))))))))))</f>
        <v/>
      </c>
      <c r="R382" s="3" t="str">
        <f t="shared" si="12"/>
        <v/>
      </c>
      <c r="S382" s="4">
        <f t="shared" si="11"/>
        <v>1048507</v>
      </c>
      <c r="T3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3" spans="1:20" hidden="1" x14ac:dyDescent="0.25">
      <c r="A383" t="s">
        <v>60</v>
      </c>
      <c r="B383" s="28" t="s">
        <v>49</v>
      </c>
      <c r="C383" t="s">
        <v>16</v>
      </c>
      <c r="D383" t="str">
        <f>_xlfn.XLOOKUP(Table1[[#This Row],[Player]]&amp;Table1[[#This Row],[Week]]&amp;Table1[[#This Row],[Role]],'Google Form Transform'!$A:$A,'Google Form Transform'!E:E,"")</f>
        <v/>
      </c>
      <c r="E383" t="str">
        <f>_xlfn.XLOOKUP(Table1[[#This Row],[Player]]&amp;Table1[[#This Row],[Week]]&amp;Table1[[#This Row],[Role]],'Google Form Transform'!$A:$A,'Google Form Transform'!F:F,"")</f>
        <v/>
      </c>
      <c r="F383" t="str">
        <f>_xlfn.XLOOKUP(Table1[[#This Row],[Player]]&amp;Table1[[#This Row],[Week]]&amp;Table1[[#This Row],[Role]],'Google Form Transform'!$A:$A,'Google Form Transform'!G:G,"")</f>
        <v/>
      </c>
      <c r="G383" s="59">
        <f>SUMIFS(Table2[Stat],Table2[Stat Category],"passing",Table2[Stat Type],"YDS",Table2[Athlete],Table1[[#This Row],[Pick]],Table2[Week],Table1[[#This Row],[Week]])</f>
        <v>0</v>
      </c>
      <c r="H383" s="59">
        <f>SUMIFS(Table2[Stat],Table2[Stat Category],"rushing",Table2[Stat Type],"YDS",Table2[Athlete],Table1[[#This Row],[Pick]],Table2[Week],Table1[[#This Row],[Week]])</f>
        <v>0</v>
      </c>
      <c r="I383" s="59">
        <f>SUMIFS(Table2[Stat],Table2[Stat Category],"receiving",Table2[Stat Type],"YDS",Table2[Athlete],Table1[[#This Row],[Pick]],Table2[Week],Table1[[#This Row],[Week]])</f>
        <v>0</v>
      </c>
      <c r="J383" s="6">
        <f>IF(AND($C383="Rushing", $H383&lt;=0), 0, IF(AND($C383="Passing", $G$3&lt;=0), 0,IF(AND($C383="Receiving",$I383&lt;=0), 0,SUMIFS(Table2[Stat],Table2[Week],Table1[[#This Row],[Week]],Table2[Athlete],Table1[[#This Row],[Pick]],Table2[Stat Category],"passing",Table2[Stat Type],"TD"))))</f>
        <v>0</v>
      </c>
      <c r="K383" s="6">
        <f>IF(AND($C383="Rushing", $H383&lt;=0), 0, IF(AND($C383="Passing", $G$3&lt;=0), 0,IF(AND($C383="Receiving",$I383&lt;=0),0,SUMIFS(Table2[Stat],Table2[Week],Table1[[#This Row],[Week]],Table2[Athlete],Table1[[#This Row],[Pick]],Table2[Stat Category],"rushing",Table2[Stat Type],"TD"))))</f>
        <v>0</v>
      </c>
      <c r="L383" s="6">
        <f>IF(AND($C383="Rushing", $H383&lt;=0), 0, IF(AND($C383="Passing", $G$3&lt;=0), 0,IF(AND($C383="Receiving",$I383&lt;=0),0,SUMIFS(Table2[Stat],Table2[Week],Table1[[#This Row],[Week]],Table2[Athlete],Table1[[#This Row],[Pick]],Table2[Stat Category],"receiving",Table2[Stat Type],"TD"))))</f>
        <v>0</v>
      </c>
      <c r="M3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3" s="61">
        <f>SUMIFS(Data!$J:$J,Data!$A:$A,Info!$B383,Data!$G:$G,Info!$C383,Data!$I:$I,Info!$D383,Data!$H:$H,"TOT")</f>
        <v>0</v>
      </c>
      <c r="O383" s="61">
        <f>IF(C383="Defensive",SUMIFS(Data!$J:$J,Data!$A:$A,Info!$B383,Data!$I:$I,Info!$D383,Data!$H:$H,"INT"),0)</f>
        <v>0</v>
      </c>
      <c r="P383" s="61">
        <f>IF(Table1[[#This Row],[Role]]="Defensive",SUMIFS(Data!$J:$J,Data!$A:$A,Info!$B383,Data!$I:$I,Info!$D383,Data!$H:$H,$P$1),0)</f>
        <v>0</v>
      </c>
      <c r="Q383" s="65" t="str">
        <f>IF(Table1[[#This Row],[Pick]]="","",IF(S383&gt;1,400,IF(G383="","",IF(C383="Passing",(400-Table1[[#This Row],[Passing Yards]]-(30*Table1[[#This Row],[Passing TDs]])-(50*SUM(Table1[[#This Row],[Rushing TDs]:[Other TD''s]]))),IF(C383="Rushing",2*(200-Table1[[#This Row],[Rushing Yards]]-(30*Table1[[#This Row],[Passing TDs]])-50*(Table1[[#This Row],[Rushing TDs]]+Table1[[#This Row],[Receiving TDs]]+Table1[[#This Row],[Other TD''s]])),IF(C383="Receiving",2*(200-Table1[[#This Row],[Receiving Yards]]-(30*Table1[[#This Row],[Passing TDs]])-50*(Table1[[#This Row],[Rushing TDs]]+Table1[[#This Row],[Receiving TDs]]+Table1[[#This Row],[Other TD''s]])),IF(C383="Defensive",(25*(16-Table1[[#This Row],[Tackles]]-(8*(Table1[[#This Row],[Other TD''s]]+Table1[[#This Row],[Interceptions]]+Table1[[#This Row],[Fumbles Recovered]])))))))))))</f>
        <v/>
      </c>
      <c r="R383" s="3" t="str">
        <f t="shared" si="12"/>
        <v/>
      </c>
      <c r="S383" s="4">
        <f t="shared" si="11"/>
        <v>1048507</v>
      </c>
      <c r="T3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4" spans="1:20" hidden="1" x14ac:dyDescent="0.25">
      <c r="A384" t="s">
        <v>60</v>
      </c>
      <c r="B384" s="28" t="s">
        <v>49</v>
      </c>
      <c r="C384" t="s">
        <v>6</v>
      </c>
      <c r="D384" t="str">
        <f>_xlfn.XLOOKUP(Table1[[#This Row],[Player]]&amp;Table1[[#This Row],[Week]]&amp;Table1[[#This Row],[Role]],'Google Form Transform'!$A:$A,'Google Form Transform'!E:E,"")</f>
        <v/>
      </c>
      <c r="E384" t="str">
        <f>_xlfn.XLOOKUP(Table1[[#This Row],[Player]]&amp;Table1[[#This Row],[Week]]&amp;Table1[[#This Row],[Role]],'Google Form Transform'!$A:$A,'Google Form Transform'!F:F,"")</f>
        <v/>
      </c>
      <c r="F384" t="str">
        <f>_xlfn.XLOOKUP(Table1[[#This Row],[Player]]&amp;Table1[[#This Row],[Week]]&amp;Table1[[#This Row],[Role]],'Google Form Transform'!$A:$A,'Google Form Transform'!G:G,"")</f>
        <v/>
      </c>
      <c r="G384" s="59">
        <f>SUMIFS(Table2[Stat],Table2[Stat Category],"passing",Table2[Stat Type],"YDS",Table2[Athlete],Table1[[#This Row],[Pick]],Table2[Week],Table1[[#This Row],[Week]])</f>
        <v>0</v>
      </c>
      <c r="H384" s="59">
        <f>SUMIFS(Table2[Stat],Table2[Stat Category],"rushing",Table2[Stat Type],"YDS",Table2[Athlete],Table1[[#This Row],[Pick]],Table2[Week],Table1[[#This Row],[Week]])</f>
        <v>0</v>
      </c>
      <c r="I384" s="59">
        <f>SUMIFS(Table2[Stat],Table2[Stat Category],"receiving",Table2[Stat Type],"YDS",Table2[Athlete],Table1[[#This Row],[Pick]],Table2[Week],Table1[[#This Row],[Week]])</f>
        <v>0</v>
      </c>
      <c r="J384" s="6">
        <f>IF(AND($C384="Rushing", $H384&lt;=0), 0, IF(AND($C384="Passing", $G$3&lt;=0), 0,IF(AND($C384="Receiving",$I384&lt;=0), 0,SUMIFS(Table2[Stat],Table2[Week],Table1[[#This Row],[Week]],Table2[Athlete],Table1[[#This Row],[Pick]],Table2[Stat Category],"passing",Table2[Stat Type],"TD"))))</f>
        <v>0</v>
      </c>
      <c r="K384" s="6">
        <f>IF(AND($C384="Rushing", $H384&lt;=0), 0, IF(AND($C384="Passing", $G$3&lt;=0), 0,IF(AND($C384="Receiving",$I384&lt;=0),0,SUMIFS(Table2[Stat],Table2[Week],Table1[[#This Row],[Week]],Table2[Athlete],Table1[[#This Row],[Pick]],Table2[Stat Category],"rushing",Table2[Stat Type],"TD"))))</f>
        <v>0</v>
      </c>
      <c r="L384" s="6">
        <f>IF(AND($C384="Rushing", $H384&lt;=0), 0, IF(AND($C384="Passing", $G$3&lt;=0), 0,IF(AND($C384="Receiving",$I384&lt;=0),0,SUMIFS(Table2[Stat],Table2[Week],Table1[[#This Row],[Week]],Table2[Athlete],Table1[[#This Row],[Pick]],Table2[Stat Category],"receiving",Table2[Stat Type],"TD"))))</f>
        <v>0</v>
      </c>
      <c r="M3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4" s="61">
        <f>SUMIFS(Data!$J:$J,Data!$A:$A,Info!$B384,Data!$G:$G,Info!$C384,Data!$I:$I,Info!$D384,Data!$H:$H,"TOT")</f>
        <v>0</v>
      </c>
      <c r="O384" s="61">
        <f>IF(C384="Defensive",SUMIFS(Data!$J:$J,Data!$A:$A,Info!$B384,Data!$I:$I,Info!$D384,Data!$H:$H,"INT"),0)</f>
        <v>0</v>
      </c>
      <c r="P384" s="61">
        <f>IF(Table1[[#This Row],[Role]]="Defensive",SUMIFS(Data!$J:$J,Data!$A:$A,Info!$B384,Data!$I:$I,Info!$D384,Data!$H:$H,$P$1),0)</f>
        <v>0</v>
      </c>
      <c r="Q384" s="65" t="str">
        <f>IF(Table1[[#This Row],[Pick]]="","",IF(S384&gt;1,400,IF(G384="","",IF(C384="Passing",(400-Table1[[#This Row],[Passing Yards]]-(30*Table1[[#This Row],[Passing TDs]])-(50*SUM(Table1[[#This Row],[Rushing TDs]:[Other TD''s]]))),IF(C384="Rushing",2*(200-Table1[[#This Row],[Rushing Yards]]-(30*Table1[[#This Row],[Passing TDs]])-50*(Table1[[#This Row],[Rushing TDs]]+Table1[[#This Row],[Receiving TDs]]+Table1[[#This Row],[Other TD''s]])),IF(C384="Receiving",2*(200-Table1[[#This Row],[Receiving Yards]]-(30*Table1[[#This Row],[Passing TDs]])-50*(Table1[[#This Row],[Rushing TDs]]+Table1[[#This Row],[Receiving TDs]]+Table1[[#This Row],[Other TD''s]])),IF(C384="Defensive",(25*(16-Table1[[#This Row],[Tackles]]-(8*(Table1[[#This Row],[Other TD''s]]+Table1[[#This Row],[Interceptions]]+Table1[[#This Row],[Fumbles Recovered]])))))))))))</f>
        <v/>
      </c>
      <c r="R384" s="3" t="str">
        <f t="shared" si="12"/>
        <v/>
      </c>
      <c r="S384" s="4">
        <f t="shared" si="11"/>
        <v>1048507</v>
      </c>
      <c r="T3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5" spans="1:20" hidden="1" x14ac:dyDescent="0.25">
      <c r="A385" t="s">
        <v>60</v>
      </c>
      <c r="B385" s="28" t="s">
        <v>49</v>
      </c>
      <c r="C385" t="s">
        <v>17</v>
      </c>
      <c r="D385" t="str">
        <f>_xlfn.XLOOKUP(Table1[[#This Row],[Player]]&amp;Table1[[#This Row],[Week]]&amp;Table1[[#This Row],[Role]],'Google Form Transform'!$A:$A,'Google Form Transform'!E:E,"")</f>
        <v/>
      </c>
      <c r="E385" t="str">
        <f>_xlfn.XLOOKUP(Table1[[#This Row],[Player]]&amp;Table1[[#This Row],[Week]]&amp;Table1[[#This Row],[Role]],'Google Form Transform'!$A:$A,'Google Form Transform'!F:F,"")</f>
        <v/>
      </c>
      <c r="F385" t="str">
        <f>_xlfn.XLOOKUP(Table1[[#This Row],[Player]]&amp;Table1[[#This Row],[Week]]&amp;Table1[[#This Row],[Role]],'Google Form Transform'!$A:$A,'Google Form Transform'!G:G,"")</f>
        <v/>
      </c>
      <c r="G385" s="59">
        <f>SUMIFS(Table2[Stat],Table2[Stat Category],"passing",Table2[Stat Type],"YDS",Table2[Athlete],Table1[[#This Row],[Pick]],Table2[Week],Table1[[#This Row],[Week]])</f>
        <v>0</v>
      </c>
      <c r="H385" s="59">
        <f>SUMIFS(Table2[Stat],Table2[Stat Category],"rushing",Table2[Stat Type],"YDS",Table2[Athlete],Table1[[#This Row],[Pick]],Table2[Week],Table1[[#This Row],[Week]])</f>
        <v>0</v>
      </c>
      <c r="I385" s="59">
        <f>SUMIFS(Table2[Stat],Table2[Stat Category],"receiving",Table2[Stat Type],"YDS",Table2[Athlete],Table1[[#This Row],[Pick]],Table2[Week],Table1[[#This Row],[Week]])</f>
        <v>0</v>
      </c>
      <c r="J385" s="6">
        <f>IF(AND($C385="Rushing", $H385&lt;=0), 0, IF(AND($C385="Passing", $G$3&lt;=0), 0,IF(AND($C385="Receiving",$I385&lt;=0), 0,SUMIFS(Table2[Stat],Table2[Week],Table1[[#This Row],[Week]],Table2[Athlete],Table1[[#This Row],[Pick]],Table2[Stat Category],"passing",Table2[Stat Type],"TD"))))</f>
        <v>0</v>
      </c>
      <c r="K385" s="6">
        <f>IF(AND($C385="Rushing", $H385&lt;=0), 0, IF(AND($C385="Passing", $G$3&lt;=0), 0,IF(AND($C385="Receiving",$I385&lt;=0),0,SUMIFS(Table2[Stat],Table2[Week],Table1[[#This Row],[Week]],Table2[Athlete],Table1[[#This Row],[Pick]],Table2[Stat Category],"rushing",Table2[Stat Type],"TD"))))</f>
        <v>0</v>
      </c>
      <c r="L385" s="6">
        <f>IF(AND($C385="Rushing", $H385&lt;=0), 0, IF(AND($C385="Passing", $G$3&lt;=0), 0,IF(AND($C385="Receiving",$I385&lt;=0),0,SUMIFS(Table2[Stat],Table2[Week],Table1[[#This Row],[Week]],Table2[Athlete],Table1[[#This Row],[Pick]],Table2[Stat Category],"receiving",Table2[Stat Type],"TD"))))</f>
        <v>0</v>
      </c>
      <c r="M3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5" s="61">
        <f>SUMIFS(Data!$J:$J,Data!$A:$A,Info!$B385,Data!$G:$G,Info!$C385,Data!$I:$I,Info!$D385,Data!$H:$H,"TOT")</f>
        <v>0</v>
      </c>
      <c r="O385" s="61">
        <f>IF(C385="Defensive",SUMIFS(Data!$J:$J,Data!$A:$A,Info!$B385,Data!$I:$I,Info!$D385,Data!$H:$H,"INT"),0)</f>
        <v>0</v>
      </c>
      <c r="P385" s="61">
        <f>IF(Table1[[#This Row],[Role]]="Defensive",SUMIFS(Data!$J:$J,Data!$A:$A,Info!$B385,Data!$I:$I,Info!$D385,Data!$H:$H,$P$1),0)</f>
        <v>0</v>
      </c>
      <c r="Q385" s="65" t="str">
        <f>IF(Table1[[#This Row],[Pick]]="","",IF(S385&gt;1,400,IF(G385="","",IF(C385="Passing",(400-Table1[[#This Row],[Passing Yards]]-(30*Table1[[#This Row],[Passing TDs]])-(50*SUM(Table1[[#This Row],[Rushing TDs]:[Other TD''s]]))),IF(C385="Rushing",2*(200-Table1[[#This Row],[Rushing Yards]]-(30*Table1[[#This Row],[Passing TDs]])-50*(Table1[[#This Row],[Rushing TDs]]+Table1[[#This Row],[Receiving TDs]]+Table1[[#This Row],[Other TD''s]])),IF(C385="Receiving",2*(200-Table1[[#This Row],[Receiving Yards]]-(30*Table1[[#This Row],[Passing TDs]])-50*(Table1[[#This Row],[Rushing TDs]]+Table1[[#This Row],[Receiving TDs]]+Table1[[#This Row],[Other TD''s]])),IF(C385="Defensive",(25*(16-Table1[[#This Row],[Tackles]]-(8*(Table1[[#This Row],[Other TD''s]]+Table1[[#This Row],[Interceptions]]+Table1[[#This Row],[Fumbles Recovered]])))))))))))</f>
        <v/>
      </c>
      <c r="R385" s="3" t="str">
        <f t="shared" si="12"/>
        <v/>
      </c>
      <c r="S385" s="4">
        <f t="shared" si="11"/>
        <v>1048507</v>
      </c>
      <c r="T3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6" spans="1:20" hidden="1" x14ac:dyDescent="0.25">
      <c r="A386" t="s">
        <v>60</v>
      </c>
      <c r="B386" s="28" t="s">
        <v>49</v>
      </c>
      <c r="C386" t="s">
        <v>20</v>
      </c>
      <c r="D386" t="str">
        <f>_xlfn.XLOOKUP(Table1[[#This Row],[Player]]&amp;Table1[[#This Row],[Week]]&amp;Table1[[#This Row],[Role]],'Google Form Transform'!$A:$A,'Google Form Transform'!E:E,"")</f>
        <v/>
      </c>
      <c r="E386" t="str">
        <f>_xlfn.XLOOKUP(Table1[[#This Row],[Player]]&amp;Table1[[#This Row],[Week]]&amp;Table1[[#This Row],[Role]],'Google Form Transform'!$A:$A,'Google Form Transform'!F:F,"")</f>
        <v/>
      </c>
      <c r="F386" t="str">
        <f>_xlfn.XLOOKUP(Table1[[#This Row],[Player]]&amp;Table1[[#This Row],[Week]]&amp;Table1[[#This Row],[Role]],'Google Form Transform'!$A:$A,'Google Form Transform'!G:G,"")</f>
        <v/>
      </c>
      <c r="G386" s="59">
        <f>SUMIFS(Table2[Stat],Table2[Stat Category],"passing",Table2[Stat Type],"YDS",Table2[Athlete],Table1[[#This Row],[Pick]],Table2[Week],Table1[[#This Row],[Week]])</f>
        <v>0</v>
      </c>
      <c r="H386" s="59">
        <f>SUMIFS(Table2[Stat],Table2[Stat Category],"rushing",Table2[Stat Type],"YDS",Table2[Athlete],Table1[[#This Row],[Pick]],Table2[Week],Table1[[#This Row],[Week]])</f>
        <v>0</v>
      </c>
      <c r="I386" s="59">
        <f>SUMIFS(Table2[Stat],Table2[Stat Category],"receiving",Table2[Stat Type],"YDS",Table2[Athlete],Table1[[#This Row],[Pick]],Table2[Week],Table1[[#This Row],[Week]])</f>
        <v>0</v>
      </c>
      <c r="J386" s="6">
        <f>IF(AND($C386="Rushing", $H386&lt;=0), 0, IF(AND($C386="Passing", $G$3&lt;=0), 0,IF(AND($C386="Receiving",$I386&lt;=0), 0,SUMIFS(Table2[Stat],Table2[Week],Table1[[#This Row],[Week]],Table2[Athlete],Table1[[#This Row],[Pick]],Table2[Stat Category],"passing",Table2[Stat Type],"TD"))))</f>
        <v>0</v>
      </c>
      <c r="K386" s="6">
        <f>IF(AND($C386="Rushing", $H386&lt;=0), 0, IF(AND($C386="Passing", $G$3&lt;=0), 0,IF(AND($C386="Receiving",$I386&lt;=0),0,SUMIFS(Table2[Stat],Table2[Week],Table1[[#This Row],[Week]],Table2[Athlete],Table1[[#This Row],[Pick]],Table2[Stat Category],"rushing",Table2[Stat Type],"TD"))))</f>
        <v>0</v>
      </c>
      <c r="L386" s="6">
        <f>IF(AND($C386="Rushing", $H386&lt;=0), 0, IF(AND($C386="Passing", $G$3&lt;=0), 0,IF(AND($C386="Receiving",$I386&lt;=0),0,SUMIFS(Table2[Stat],Table2[Week],Table1[[#This Row],[Week]],Table2[Athlete],Table1[[#This Row],[Pick]],Table2[Stat Category],"receiving",Table2[Stat Type],"TD"))))</f>
        <v>0</v>
      </c>
      <c r="M3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6" s="61">
        <f>SUMIFS(Data!$J:$J,Data!$A:$A,Info!$B386,Data!$G:$G,Info!$C386,Data!$I:$I,Info!$D386,Data!$H:$H,"TOT")</f>
        <v>0</v>
      </c>
      <c r="O386" s="61">
        <f>IF(C386="Defensive",SUMIFS(Data!$J:$J,Data!$A:$A,Info!$B386,Data!$I:$I,Info!$D386,Data!$H:$H,"INT"),0)</f>
        <v>0</v>
      </c>
      <c r="P386" s="61">
        <f>IF(Table1[[#This Row],[Role]]="Defensive",SUMIFS(Data!$J:$J,Data!$A:$A,Info!$B386,Data!$I:$I,Info!$D386,Data!$H:$H,$P$1),0)</f>
        <v>0</v>
      </c>
      <c r="Q386" s="65" t="str">
        <f>IF(Table1[[#This Row],[Pick]]="","",IF(S386&gt;1,400,IF(G386="","",IF(C386="Passing",(400-Table1[[#This Row],[Passing Yards]]-(30*Table1[[#This Row],[Passing TDs]])-(50*SUM(Table1[[#This Row],[Rushing TDs]:[Other TD''s]]))),IF(C386="Rushing",2*(200-Table1[[#This Row],[Rushing Yards]]-(30*Table1[[#This Row],[Passing TDs]])-50*(Table1[[#This Row],[Rushing TDs]]+Table1[[#This Row],[Receiving TDs]]+Table1[[#This Row],[Other TD''s]])),IF(C386="Receiving",2*(200-Table1[[#This Row],[Receiving Yards]]-(30*Table1[[#This Row],[Passing TDs]])-50*(Table1[[#This Row],[Rushing TDs]]+Table1[[#This Row],[Receiving TDs]]+Table1[[#This Row],[Other TD''s]])),IF(C386="Defensive",(25*(16-Table1[[#This Row],[Tackles]]-(8*(Table1[[#This Row],[Other TD''s]]+Table1[[#This Row],[Interceptions]]+Table1[[#This Row],[Fumbles Recovered]])))))))))))</f>
        <v/>
      </c>
      <c r="R386" s="3" t="str">
        <f t="shared" si="12"/>
        <v/>
      </c>
      <c r="S386" s="4">
        <f t="shared" si="11"/>
        <v>1048507</v>
      </c>
      <c r="T3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7" spans="1:20" hidden="1" x14ac:dyDescent="0.25">
      <c r="A387" t="s">
        <v>62</v>
      </c>
      <c r="B387" s="28" t="s">
        <v>49</v>
      </c>
      <c r="C387" t="s">
        <v>16</v>
      </c>
      <c r="D387" t="str">
        <f>_xlfn.XLOOKUP(Table1[[#This Row],[Player]]&amp;Table1[[#This Row],[Week]]&amp;Table1[[#This Row],[Role]],'Google Form Transform'!$A:$A,'Google Form Transform'!E:E,"")</f>
        <v/>
      </c>
      <c r="E387" t="str">
        <f>_xlfn.XLOOKUP(Table1[[#This Row],[Player]]&amp;Table1[[#This Row],[Week]]&amp;Table1[[#This Row],[Role]],'Google Form Transform'!$A:$A,'Google Form Transform'!F:F,"")</f>
        <v/>
      </c>
      <c r="F387" t="str">
        <f>_xlfn.XLOOKUP(Table1[[#This Row],[Player]]&amp;Table1[[#This Row],[Week]]&amp;Table1[[#This Row],[Role]],'Google Form Transform'!$A:$A,'Google Form Transform'!G:G,"")</f>
        <v/>
      </c>
      <c r="G387" s="59">
        <f>SUMIFS(Table2[Stat],Table2[Stat Category],"passing",Table2[Stat Type],"YDS",Table2[Athlete],Table1[[#This Row],[Pick]],Table2[Week],Table1[[#This Row],[Week]])</f>
        <v>0</v>
      </c>
      <c r="H387" s="59">
        <f>SUMIFS(Table2[Stat],Table2[Stat Category],"rushing",Table2[Stat Type],"YDS",Table2[Athlete],Table1[[#This Row],[Pick]],Table2[Week],Table1[[#This Row],[Week]])</f>
        <v>0</v>
      </c>
      <c r="I387" s="59">
        <f>SUMIFS(Table2[Stat],Table2[Stat Category],"receiving",Table2[Stat Type],"YDS",Table2[Athlete],Table1[[#This Row],[Pick]],Table2[Week],Table1[[#This Row],[Week]])</f>
        <v>0</v>
      </c>
      <c r="J387" s="6">
        <f>IF(AND($C387="Rushing", $H387&lt;=0), 0, IF(AND($C387="Passing", $G$3&lt;=0), 0,IF(AND($C387="Receiving",$I387&lt;=0), 0,SUMIFS(Table2[Stat],Table2[Week],Table1[[#This Row],[Week]],Table2[Athlete],Table1[[#This Row],[Pick]],Table2[Stat Category],"passing",Table2[Stat Type],"TD"))))</f>
        <v>0</v>
      </c>
      <c r="K387" s="6">
        <f>IF(AND($C387="Rushing", $H387&lt;=0), 0, IF(AND($C387="Passing", $G$3&lt;=0), 0,IF(AND($C387="Receiving",$I387&lt;=0),0,SUMIFS(Table2[Stat],Table2[Week],Table1[[#This Row],[Week]],Table2[Athlete],Table1[[#This Row],[Pick]],Table2[Stat Category],"rushing",Table2[Stat Type],"TD"))))</f>
        <v>0</v>
      </c>
      <c r="L387" s="6">
        <f>IF(AND($C387="Rushing", $H387&lt;=0), 0, IF(AND($C387="Passing", $G$3&lt;=0), 0,IF(AND($C387="Receiving",$I387&lt;=0),0,SUMIFS(Table2[Stat],Table2[Week],Table1[[#This Row],[Week]],Table2[Athlete],Table1[[#This Row],[Pick]],Table2[Stat Category],"receiving",Table2[Stat Type],"TD"))))</f>
        <v>0</v>
      </c>
      <c r="M3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7" s="61">
        <f>SUMIFS(Data!$J:$J,Data!$A:$A,Info!$B387,Data!$G:$G,Info!$C387,Data!$I:$I,Info!$D387,Data!$H:$H,"TOT")</f>
        <v>0</v>
      </c>
      <c r="O387" s="61">
        <f>IF(C387="Defensive",SUMIFS(Data!$J:$J,Data!$A:$A,Info!$B387,Data!$I:$I,Info!$D387,Data!$H:$H,"INT"),0)</f>
        <v>0</v>
      </c>
      <c r="P387" s="61">
        <f>IF(Table1[[#This Row],[Role]]="Defensive",SUMIFS(Data!$J:$J,Data!$A:$A,Info!$B387,Data!$I:$I,Info!$D387,Data!$H:$H,$P$1),0)</f>
        <v>0</v>
      </c>
      <c r="Q387" s="65" t="str">
        <f>IF(Table1[[#This Row],[Pick]]="","",IF(S387&gt;1,400,IF(G387="","",IF(C387="Passing",(400-Table1[[#This Row],[Passing Yards]]-(30*Table1[[#This Row],[Passing TDs]])-(50*SUM(Table1[[#This Row],[Rushing TDs]:[Other TD''s]]))),IF(C387="Rushing",2*(200-Table1[[#This Row],[Rushing Yards]]-(30*Table1[[#This Row],[Passing TDs]])-50*(Table1[[#This Row],[Rushing TDs]]+Table1[[#This Row],[Receiving TDs]]+Table1[[#This Row],[Other TD''s]])),IF(C387="Receiving",2*(200-Table1[[#This Row],[Receiving Yards]]-(30*Table1[[#This Row],[Passing TDs]])-50*(Table1[[#This Row],[Rushing TDs]]+Table1[[#This Row],[Receiving TDs]]+Table1[[#This Row],[Other TD''s]])),IF(C387="Defensive",(25*(16-Table1[[#This Row],[Tackles]]-(8*(Table1[[#This Row],[Other TD''s]]+Table1[[#This Row],[Interceptions]]+Table1[[#This Row],[Fumbles Recovered]])))))))))))</f>
        <v/>
      </c>
      <c r="R387" s="3" t="str">
        <f t="shared" si="12"/>
        <v/>
      </c>
      <c r="S387" s="4">
        <f t="shared" ref="S387:S450" si="13">COUNTIF(R:R,R387)</f>
        <v>1048507</v>
      </c>
      <c r="T3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8" spans="1:20" hidden="1" x14ac:dyDescent="0.25">
      <c r="A388" t="s">
        <v>62</v>
      </c>
      <c r="B388" s="28" t="s">
        <v>49</v>
      </c>
      <c r="C388" t="s">
        <v>6</v>
      </c>
      <c r="D388" t="str">
        <f>_xlfn.XLOOKUP(Table1[[#This Row],[Player]]&amp;Table1[[#This Row],[Week]]&amp;Table1[[#This Row],[Role]],'Google Form Transform'!$A:$A,'Google Form Transform'!E:E,"")</f>
        <v/>
      </c>
      <c r="E388" t="str">
        <f>_xlfn.XLOOKUP(Table1[[#This Row],[Player]]&amp;Table1[[#This Row],[Week]]&amp;Table1[[#This Row],[Role]],'Google Form Transform'!$A:$A,'Google Form Transform'!F:F,"")</f>
        <v/>
      </c>
      <c r="F388" t="str">
        <f>_xlfn.XLOOKUP(Table1[[#This Row],[Player]]&amp;Table1[[#This Row],[Week]]&amp;Table1[[#This Row],[Role]],'Google Form Transform'!$A:$A,'Google Form Transform'!G:G,"")</f>
        <v/>
      </c>
      <c r="G388" s="59">
        <f>SUMIFS(Table2[Stat],Table2[Stat Category],"passing",Table2[Stat Type],"YDS",Table2[Athlete],Table1[[#This Row],[Pick]],Table2[Week],Table1[[#This Row],[Week]])</f>
        <v>0</v>
      </c>
      <c r="H388" s="59">
        <f>SUMIFS(Table2[Stat],Table2[Stat Category],"rushing",Table2[Stat Type],"YDS",Table2[Athlete],Table1[[#This Row],[Pick]],Table2[Week],Table1[[#This Row],[Week]])</f>
        <v>0</v>
      </c>
      <c r="I388" s="59">
        <f>SUMIFS(Table2[Stat],Table2[Stat Category],"receiving",Table2[Stat Type],"YDS",Table2[Athlete],Table1[[#This Row],[Pick]],Table2[Week],Table1[[#This Row],[Week]])</f>
        <v>0</v>
      </c>
      <c r="J388" s="6">
        <f>IF(AND($C388="Rushing", $H388&lt;=0), 0, IF(AND($C388="Passing", $G$3&lt;=0), 0,IF(AND($C388="Receiving",$I388&lt;=0), 0,SUMIFS(Table2[Stat],Table2[Week],Table1[[#This Row],[Week]],Table2[Athlete],Table1[[#This Row],[Pick]],Table2[Stat Category],"passing",Table2[Stat Type],"TD"))))</f>
        <v>0</v>
      </c>
      <c r="K388" s="6">
        <f>IF(AND($C388="Rushing", $H388&lt;=0), 0, IF(AND($C388="Passing", $G$3&lt;=0), 0,IF(AND($C388="Receiving",$I388&lt;=0),0,SUMIFS(Table2[Stat],Table2[Week],Table1[[#This Row],[Week]],Table2[Athlete],Table1[[#This Row],[Pick]],Table2[Stat Category],"rushing",Table2[Stat Type],"TD"))))</f>
        <v>0</v>
      </c>
      <c r="L388" s="6">
        <f>IF(AND($C388="Rushing", $H388&lt;=0), 0, IF(AND($C388="Passing", $G$3&lt;=0), 0,IF(AND($C388="Receiving",$I388&lt;=0),0,SUMIFS(Table2[Stat],Table2[Week],Table1[[#This Row],[Week]],Table2[Athlete],Table1[[#This Row],[Pick]],Table2[Stat Category],"receiving",Table2[Stat Type],"TD"))))</f>
        <v>0</v>
      </c>
      <c r="M3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8" s="61">
        <f>SUMIFS(Data!$J:$J,Data!$A:$A,Info!$B388,Data!$G:$G,Info!$C388,Data!$I:$I,Info!$D388,Data!$H:$H,"TOT")</f>
        <v>0</v>
      </c>
      <c r="O388" s="61">
        <f>IF(C388="Defensive",SUMIFS(Data!$J:$J,Data!$A:$A,Info!$B388,Data!$I:$I,Info!$D388,Data!$H:$H,"INT"),0)</f>
        <v>0</v>
      </c>
      <c r="P388" s="61">
        <f>IF(Table1[[#This Row],[Role]]="Defensive",SUMIFS(Data!$J:$J,Data!$A:$A,Info!$B388,Data!$I:$I,Info!$D388,Data!$H:$H,$P$1),0)</f>
        <v>0</v>
      </c>
      <c r="Q388" s="65" t="str">
        <f>IF(Table1[[#This Row],[Pick]]="","",IF(S388&gt;1,400,IF(G388="","",IF(C388="Passing",(400-Table1[[#This Row],[Passing Yards]]-(30*Table1[[#This Row],[Passing TDs]])-(50*SUM(Table1[[#This Row],[Rushing TDs]:[Other TD''s]]))),IF(C388="Rushing",2*(200-Table1[[#This Row],[Rushing Yards]]-(30*Table1[[#This Row],[Passing TDs]])-50*(Table1[[#This Row],[Rushing TDs]]+Table1[[#This Row],[Receiving TDs]]+Table1[[#This Row],[Other TD''s]])),IF(C388="Receiving",2*(200-Table1[[#This Row],[Receiving Yards]]-(30*Table1[[#This Row],[Passing TDs]])-50*(Table1[[#This Row],[Rushing TDs]]+Table1[[#This Row],[Receiving TDs]]+Table1[[#This Row],[Other TD''s]])),IF(C388="Defensive",(25*(16-Table1[[#This Row],[Tackles]]-(8*(Table1[[#This Row],[Other TD''s]]+Table1[[#This Row],[Interceptions]]+Table1[[#This Row],[Fumbles Recovered]])))))))))))</f>
        <v/>
      </c>
      <c r="R388" s="3" t="str">
        <f t="shared" ref="R388:R451" si="14">IF(D388="","",A388&amp;C388&amp;D388)</f>
        <v/>
      </c>
      <c r="S388" s="4">
        <f t="shared" si="13"/>
        <v>1048507</v>
      </c>
      <c r="T3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9" spans="1:20" hidden="1" x14ac:dyDescent="0.25">
      <c r="A389" t="s">
        <v>62</v>
      </c>
      <c r="B389" s="28" t="s">
        <v>49</v>
      </c>
      <c r="C389" t="s">
        <v>17</v>
      </c>
      <c r="D389" t="str">
        <f>_xlfn.XLOOKUP(Table1[[#This Row],[Player]]&amp;Table1[[#This Row],[Week]]&amp;Table1[[#This Row],[Role]],'Google Form Transform'!$A:$A,'Google Form Transform'!E:E,"")</f>
        <v/>
      </c>
      <c r="E389" t="str">
        <f>_xlfn.XLOOKUP(Table1[[#This Row],[Player]]&amp;Table1[[#This Row],[Week]]&amp;Table1[[#This Row],[Role]],'Google Form Transform'!$A:$A,'Google Form Transform'!F:F,"")</f>
        <v/>
      </c>
      <c r="F389" t="str">
        <f>_xlfn.XLOOKUP(Table1[[#This Row],[Player]]&amp;Table1[[#This Row],[Week]]&amp;Table1[[#This Row],[Role]],'Google Form Transform'!$A:$A,'Google Form Transform'!G:G,"")</f>
        <v/>
      </c>
      <c r="G389" s="59">
        <f>SUMIFS(Table2[Stat],Table2[Stat Category],"passing",Table2[Stat Type],"YDS",Table2[Athlete],Table1[[#This Row],[Pick]],Table2[Week],Table1[[#This Row],[Week]])</f>
        <v>0</v>
      </c>
      <c r="H389" s="59">
        <f>SUMIFS(Table2[Stat],Table2[Stat Category],"rushing",Table2[Stat Type],"YDS",Table2[Athlete],Table1[[#This Row],[Pick]],Table2[Week],Table1[[#This Row],[Week]])</f>
        <v>0</v>
      </c>
      <c r="I389" s="59">
        <f>SUMIFS(Table2[Stat],Table2[Stat Category],"receiving",Table2[Stat Type],"YDS",Table2[Athlete],Table1[[#This Row],[Pick]],Table2[Week],Table1[[#This Row],[Week]])</f>
        <v>0</v>
      </c>
      <c r="J389" s="6">
        <f>IF(AND($C389="Rushing", $H389&lt;=0), 0, IF(AND($C389="Passing", $G$3&lt;=0), 0,IF(AND($C389="Receiving",$I389&lt;=0), 0,SUMIFS(Table2[Stat],Table2[Week],Table1[[#This Row],[Week]],Table2[Athlete],Table1[[#This Row],[Pick]],Table2[Stat Category],"passing",Table2[Stat Type],"TD"))))</f>
        <v>0</v>
      </c>
      <c r="K389" s="6">
        <f>IF(AND($C389="Rushing", $H389&lt;=0), 0, IF(AND($C389="Passing", $G$3&lt;=0), 0,IF(AND($C389="Receiving",$I389&lt;=0),0,SUMIFS(Table2[Stat],Table2[Week],Table1[[#This Row],[Week]],Table2[Athlete],Table1[[#This Row],[Pick]],Table2[Stat Category],"rushing",Table2[Stat Type],"TD"))))</f>
        <v>0</v>
      </c>
      <c r="L389" s="6">
        <f>IF(AND($C389="Rushing", $H389&lt;=0), 0, IF(AND($C389="Passing", $G$3&lt;=0), 0,IF(AND($C389="Receiving",$I389&lt;=0),0,SUMIFS(Table2[Stat],Table2[Week],Table1[[#This Row],[Week]],Table2[Athlete],Table1[[#This Row],[Pick]],Table2[Stat Category],"receiving",Table2[Stat Type],"TD"))))</f>
        <v>0</v>
      </c>
      <c r="M3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9" s="61">
        <f>SUMIFS(Data!$J:$J,Data!$A:$A,Info!$B389,Data!$G:$G,Info!$C389,Data!$I:$I,Info!$D389,Data!$H:$H,"TOT")</f>
        <v>0</v>
      </c>
      <c r="O389" s="61">
        <f>IF(C389="Defensive",SUMIFS(Data!$J:$J,Data!$A:$A,Info!$B389,Data!$I:$I,Info!$D389,Data!$H:$H,"INT"),0)</f>
        <v>0</v>
      </c>
      <c r="P389" s="61">
        <f>IF(Table1[[#This Row],[Role]]="Defensive",SUMIFS(Data!$J:$J,Data!$A:$A,Info!$B389,Data!$I:$I,Info!$D389,Data!$H:$H,$P$1),0)</f>
        <v>0</v>
      </c>
      <c r="Q389" s="65" t="str">
        <f>IF(Table1[[#This Row],[Pick]]="","",IF(S389&gt;1,400,IF(G389="","",IF(C389="Passing",(400-Table1[[#This Row],[Passing Yards]]-(30*Table1[[#This Row],[Passing TDs]])-(50*SUM(Table1[[#This Row],[Rushing TDs]:[Other TD''s]]))),IF(C389="Rushing",2*(200-Table1[[#This Row],[Rushing Yards]]-(30*Table1[[#This Row],[Passing TDs]])-50*(Table1[[#This Row],[Rushing TDs]]+Table1[[#This Row],[Receiving TDs]]+Table1[[#This Row],[Other TD''s]])),IF(C389="Receiving",2*(200-Table1[[#This Row],[Receiving Yards]]-(30*Table1[[#This Row],[Passing TDs]])-50*(Table1[[#This Row],[Rushing TDs]]+Table1[[#This Row],[Receiving TDs]]+Table1[[#This Row],[Other TD''s]])),IF(C389="Defensive",(25*(16-Table1[[#This Row],[Tackles]]-(8*(Table1[[#This Row],[Other TD''s]]+Table1[[#This Row],[Interceptions]]+Table1[[#This Row],[Fumbles Recovered]])))))))))))</f>
        <v/>
      </c>
      <c r="R389" s="3" t="str">
        <f t="shared" si="14"/>
        <v/>
      </c>
      <c r="S389" s="4">
        <f t="shared" si="13"/>
        <v>1048507</v>
      </c>
      <c r="T3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0" spans="1:20" hidden="1" x14ac:dyDescent="0.25">
      <c r="A390" t="s">
        <v>62</v>
      </c>
      <c r="B390" s="28" t="s">
        <v>49</v>
      </c>
      <c r="C390" t="s">
        <v>20</v>
      </c>
      <c r="D390" t="str">
        <f>_xlfn.XLOOKUP(Table1[[#This Row],[Player]]&amp;Table1[[#This Row],[Week]]&amp;Table1[[#This Row],[Role]],'Google Form Transform'!$A:$A,'Google Form Transform'!E:E,"")</f>
        <v/>
      </c>
      <c r="E390" t="str">
        <f>_xlfn.XLOOKUP(Table1[[#This Row],[Player]]&amp;Table1[[#This Row],[Week]]&amp;Table1[[#This Row],[Role]],'Google Form Transform'!$A:$A,'Google Form Transform'!F:F,"")</f>
        <v/>
      </c>
      <c r="F390" t="str">
        <f>_xlfn.XLOOKUP(Table1[[#This Row],[Player]]&amp;Table1[[#This Row],[Week]]&amp;Table1[[#This Row],[Role]],'Google Form Transform'!$A:$A,'Google Form Transform'!G:G,"")</f>
        <v/>
      </c>
      <c r="G390" s="59">
        <f>SUMIFS(Table2[Stat],Table2[Stat Category],"passing",Table2[Stat Type],"YDS",Table2[Athlete],Table1[[#This Row],[Pick]],Table2[Week],Table1[[#This Row],[Week]])</f>
        <v>0</v>
      </c>
      <c r="H390" s="59">
        <f>SUMIFS(Table2[Stat],Table2[Stat Category],"rushing",Table2[Stat Type],"YDS",Table2[Athlete],Table1[[#This Row],[Pick]],Table2[Week],Table1[[#This Row],[Week]])</f>
        <v>0</v>
      </c>
      <c r="I390" s="59">
        <f>SUMIFS(Table2[Stat],Table2[Stat Category],"receiving",Table2[Stat Type],"YDS",Table2[Athlete],Table1[[#This Row],[Pick]],Table2[Week],Table1[[#This Row],[Week]])</f>
        <v>0</v>
      </c>
      <c r="J390" s="6">
        <f>IF(AND($C390="Rushing", $H390&lt;=0), 0, IF(AND($C390="Passing", $G$3&lt;=0), 0,IF(AND($C390="Receiving",$I390&lt;=0), 0,SUMIFS(Table2[Stat],Table2[Week],Table1[[#This Row],[Week]],Table2[Athlete],Table1[[#This Row],[Pick]],Table2[Stat Category],"passing",Table2[Stat Type],"TD"))))</f>
        <v>0</v>
      </c>
      <c r="K390" s="6">
        <f>IF(AND($C390="Rushing", $H390&lt;=0), 0, IF(AND($C390="Passing", $G$3&lt;=0), 0,IF(AND($C390="Receiving",$I390&lt;=0),0,SUMIFS(Table2[Stat],Table2[Week],Table1[[#This Row],[Week]],Table2[Athlete],Table1[[#This Row],[Pick]],Table2[Stat Category],"rushing",Table2[Stat Type],"TD"))))</f>
        <v>0</v>
      </c>
      <c r="L390" s="6">
        <f>IF(AND($C390="Rushing", $H390&lt;=0), 0, IF(AND($C390="Passing", $G$3&lt;=0), 0,IF(AND($C390="Receiving",$I390&lt;=0),0,SUMIFS(Table2[Stat],Table2[Week],Table1[[#This Row],[Week]],Table2[Athlete],Table1[[#This Row],[Pick]],Table2[Stat Category],"receiving",Table2[Stat Type],"TD"))))</f>
        <v>0</v>
      </c>
      <c r="M3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0" s="61">
        <f>SUMIFS(Data!$J:$J,Data!$A:$A,Info!$B390,Data!$G:$G,Info!$C390,Data!$I:$I,Info!$D390,Data!$H:$H,"TOT")</f>
        <v>0</v>
      </c>
      <c r="O390" s="61">
        <f>IF(C390="Defensive",SUMIFS(Data!$J:$J,Data!$A:$A,Info!$B390,Data!$I:$I,Info!$D390,Data!$H:$H,"INT"),0)</f>
        <v>0</v>
      </c>
      <c r="P390" s="61">
        <f>IF(Table1[[#This Row],[Role]]="Defensive",SUMIFS(Data!$J:$J,Data!$A:$A,Info!$B390,Data!$I:$I,Info!$D390,Data!$H:$H,$P$1),0)</f>
        <v>0</v>
      </c>
      <c r="Q390" s="65" t="str">
        <f>IF(Table1[[#This Row],[Pick]]="","",IF(S390&gt;1,400,IF(G390="","",IF(C390="Passing",(400-Table1[[#This Row],[Passing Yards]]-(30*Table1[[#This Row],[Passing TDs]])-(50*SUM(Table1[[#This Row],[Rushing TDs]:[Other TD''s]]))),IF(C390="Rushing",2*(200-Table1[[#This Row],[Rushing Yards]]-(30*Table1[[#This Row],[Passing TDs]])-50*(Table1[[#This Row],[Rushing TDs]]+Table1[[#This Row],[Receiving TDs]]+Table1[[#This Row],[Other TD''s]])),IF(C390="Receiving",2*(200-Table1[[#This Row],[Receiving Yards]]-(30*Table1[[#This Row],[Passing TDs]])-50*(Table1[[#This Row],[Rushing TDs]]+Table1[[#This Row],[Receiving TDs]]+Table1[[#This Row],[Other TD''s]])),IF(C390="Defensive",(25*(16-Table1[[#This Row],[Tackles]]-(8*(Table1[[#This Row],[Other TD''s]]+Table1[[#This Row],[Interceptions]]+Table1[[#This Row],[Fumbles Recovered]])))))))))))</f>
        <v/>
      </c>
      <c r="R390" s="3" t="str">
        <f t="shared" si="14"/>
        <v/>
      </c>
      <c r="S390" s="4">
        <f t="shared" si="13"/>
        <v>1048507</v>
      </c>
      <c r="T3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1" spans="1:20" hidden="1" x14ac:dyDescent="0.25">
      <c r="A391" t="s">
        <v>59</v>
      </c>
      <c r="B391" s="28" t="s">
        <v>49</v>
      </c>
      <c r="C391" t="s">
        <v>16</v>
      </c>
      <c r="D391" t="str">
        <f>_xlfn.XLOOKUP(Table1[[#This Row],[Player]]&amp;Table1[[#This Row],[Week]]&amp;Table1[[#This Row],[Role]],'Google Form Transform'!$A:$A,'Google Form Transform'!E:E,"")</f>
        <v/>
      </c>
      <c r="E391" t="str">
        <f>_xlfn.XLOOKUP(Table1[[#This Row],[Player]]&amp;Table1[[#This Row],[Week]]&amp;Table1[[#This Row],[Role]],'Google Form Transform'!$A:$A,'Google Form Transform'!F:F,"")</f>
        <v/>
      </c>
      <c r="F391" t="str">
        <f>_xlfn.XLOOKUP(Table1[[#This Row],[Player]]&amp;Table1[[#This Row],[Week]]&amp;Table1[[#This Row],[Role]],'Google Form Transform'!$A:$A,'Google Form Transform'!G:G,"")</f>
        <v/>
      </c>
      <c r="G391" s="59">
        <f>SUMIFS(Table2[Stat],Table2[Stat Category],"passing",Table2[Stat Type],"YDS",Table2[Athlete],Table1[[#This Row],[Pick]],Table2[Week],Table1[[#This Row],[Week]])</f>
        <v>0</v>
      </c>
      <c r="H391" s="59">
        <f>SUMIFS(Table2[Stat],Table2[Stat Category],"rushing",Table2[Stat Type],"YDS",Table2[Athlete],Table1[[#This Row],[Pick]],Table2[Week],Table1[[#This Row],[Week]])</f>
        <v>0</v>
      </c>
      <c r="I391" s="59">
        <f>SUMIFS(Table2[Stat],Table2[Stat Category],"receiving",Table2[Stat Type],"YDS",Table2[Athlete],Table1[[#This Row],[Pick]],Table2[Week],Table1[[#This Row],[Week]])</f>
        <v>0</v>
      </c>
      <c r="J391" s="6">
        <f>IF(AND($C391="Rushing", $H391&lt;=0), 0, IF(AND($C391="Passing", $G$3&lt;=0), 0,IF(AND($C391="Receiving",$I391&lt;=0), 0,SUMIFS(Table2[Stat],Table2[Week],Table1[[#This Row],[Week]],Table2[Athlete],Table1[[#This Row],[Pick]],Table2[Stat Category],"passing",Table2[Stat Type],"TD"))))</f>
        <v>0</v>
      </c>
      <c r="K391" s="6">
        <f>IF(AND($C391="Rushing", $H391&lt;=0), 0, IF(AND($C391="Passing", $G$3&lt;=0), 0,IF(AND($C391="Receiving",$I391&lt;=0),0,SUMIFS(Table2[Stat],Table2[Week],Table1[[#This Row],[Week]],Table2[Athlete],Table1[[#This Row],[Pick]],Table2[Stat Category],"rushing",Table2[Stat Type],"TD"))))</f>
        <v>0</v>
      </c>
      <c r="L391" s="6">
        <f>IF(AND($C391="Rushing", $H391&lt;=0), 0, IF(AND($C391="Passing", $G$3&lt;=0), 0,IF(AND($C391="Receiving",$I391&lt;=0),0,SUMIFS(Table2[Stat],Table2[Week],Table1[[#This Row],[Week]],Table2[Athlete],Table1[[#This Row],[Pick]],Table2[Stat Category],"receiving",Table2[Stat Type],"TD"))))</f>
        <v>0</v>
      </c>
      <c r="M3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1" s="61">
        <f>SUMIFS(Data!$J:$J,Data!$A:$A,Info!$B391,Data!$G:$G,Info!$C391,Data!$I:$I,Info!$D391,Data!$H:$H,"TOT")</f>
        <v>0</v>
      </c>
      <c r="O391" s="61">
        <f>IF(C391="Defensive",SUMIFS(Data!$J:$J,Data!$A:$A,Info!$B391,Data!$I:$I,Info!$D391,Data!$H:$H,"INT"),0)</f>
        <v>0</v>
      </c>
      <c r="P391" s="61">
        <f>IF(Table1[[#This Row],[Role]]="Defensive",SUMIFS(Data!$J:$J,Data!$A:$A,Info!$B391,Data!$I:$I,Info!$D391,Data!$H:$H,$P$1),0)</f>
        <v>0</v>
      </c>
      <c r="Q391" s="65" t="str">
        <f>IF(Table1[[#This Row],[Pick]]="","",IF(S391&gt;1,400,IF(G391="","",IF(C391="Passing",(400-Table1[[#This Row],[Passing Yards]]-(30*Table1[[#This Row],[Passing TDs]])-(50*SUM(Table1[[#This Row],[Rushing TDs]:[Other TD''s]]))),IF(C391="Rushing",2*(200-Table1[[#This Row],[Rushing Yards]]-(30*Table1[[#This Row],[Passing TDs]])-50*(Table1[[#This Row],[Rushing TDs]]+Table1[[#This Row],[Receiving TDs]]+Table1[[#This Row],[Other TD''s]])),IF(C391="Receiving",2*(200-Table1[[#This Row],[Receiving Yards]]-(30*Table1[[#This Row],[Passing TDs]])-50*(Table1[[#This Row],[Rushing TDs]]+Table1[[#This Row],[Receiving TDs]]+Table1[[#This Row],[Other TD''s]])),IF(C391="Defensive",(25*(16-Table1[[#This Row],[Tackles]]-(8*(Table1[[#This Row],[Other TD''s]]+Table1[[#This Row],[Interceptions]]+Table1[[#This Row],[Fumbles Recovered]])))))))))))</f>
        <v/>
      </c>
      <c r="R391" s="3" t="str">
        <f t="shared" si="14"/>
        <v/>
      </c>
      <c r="S391" s="4">
        <f t="shared" si="13"/>
        <v>1048507</v>
      </c>
      <c r="T3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2" spans="1:20" hidden="1" x14ac:dyDescent="0.25">
      <c r="A392" t="s">
        <v>59</v>
      </c>
      <c r="B392" s="28" t="s">
        <v>49</v>
      </c>
      <c r="C392" t="s">
        <v>6</v>
      </c>
      <c r="D392" t="str">
        <f>_xlfn.XLOOKUP(Table1[[#This Row],[Player]]&amp;Table1[[#This Row],[Week]]&amp;Table1[[#This Row],[Role]],'Google Form Transform'!$A:$A,'Google Form Transform'!E:E,"")</f>
        <v/>
      </c>
      <c r="E392" t="str">
        <f>_xlfn.XLOOKUP(Table1[[#This Row],[Player]]&amp;Table1[[#This Row],[Week]]&amp;Table1[[#This Row],[Role]],'Google Form Transform'!$A:$A,'Google Form Transform'!F:F,"")</f>
        <v/>
      </c>
      <c r="F392" t="str">
        <f>_xlfn.XLOOKUP(Table1[[#This Row],[Player]]&amp;Table1[[#This Row],[Week]]&amp;Table1[[#This Row],[Role]],'Google Form Transform'!$A:$A,'Google Form Transform'!G:G,"")</f>
        <v/>
      </c>
      <c r="G392" s="59">
        <f>SUMIFS(Table2[Stat],Table2[Stat Category],"passing",Table2[Stat Type],"YDS",Table2[Athlete],Table1[[#This Row],[Pick]],Table2[Week],Table1[[#This Row],[Week]])</f>
        <v>0</v>
      </c>
      <c r="H392" s="59">
        <f>SUMIFS(Table2[Stat],Table2[Stat Category],"rushing",Table2[Stat Type],"YDS",Table2[Athlete],Table1[[#This Row],[Pick]],Table2[Week],Table1[[#This Row],[Week]])</f>
        <v>0</v>
      </c>
      <c r="I392" s="59">
        <f>SUMIFS(Table2[Stat],Table2[Stat Category],"receiving",Table2[Stat Type],"YDS",Table2[Athlete],Table1[[#This Row],[Pick]],Table2[Week],Table1[[#This Row],[Week]])</f>
        <v>0</v>
      </c>
      <c r="J392" s="6">
        <f>IF(AND($C392="Rushing", $H392&lt;=0), 0, IF(AND($C392="Passing", $G$3&lt;=0), 0,IF(AND($C392="Receiving",$I392&lt;=0), 0,SUMIFS(Table2[Stat],Table2[Week],Table1[[#This Row],[Week]],Table2[Athlete],Table1[[#This Row],[Pick]],Table2[Stat Category],"passing",Table2[Stat Type],"TD"))))</f>
        <v>0</v>
      </c>
      <c r="K392" s="6">
        <f>IF(AND($C392="Rushing", $H392&lt;=0), 0, IF(AND($C392="Passing", $G$3&lt;=0), 0,IF(AND($C392="Receiving",$I392&lt;=0),0,SUMIFS(Table2[Stat],Table2[Week],Table1[[#This Row],[Week]],Table2[Athlete],Table1[[#This Row],[Pick]],Table2[Stat Category],"rushing",Table2[Stat Type],"TD"))))</f>
        <v>0</v>
      </c>
      <c r="L392" s="6">
        <f>IF(AND($C392="Rushing", $H392&lt;=0), 0, IF(AND($C392="Passing", $G$3&lt;=0), 0,IF(AND($C392="Receiving",$I392&lt;=0),0,SUMIFS(Table2[Stat],Table2[Week],Table1[[#This Row],[Week]],Table2[Athlete],Table1[[#This Row],[Pick]],Table2[Stat Category],"receiving",Table2[Stat Type],"TD"))))</f>
        <v>0</v>
      </c>
      <c r="M3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2" s="61">
        <f>SUMIFS(Data!$J:$J,Data!$A:$A,Info!$B392,Data!$G:$G,Info!$C392,Data!$I:$I,Info!$D392,Data!$H:$H,"TOT")</f>
        <v>0</v>
      </c>
      <c r="O392" s="61">
        <f>IF(C392="Defensive",SUMIFS(Data!$J:$J,Data!$A:$A,Info!$B392,Data!$I:$I,Info!$D392,Data!$H:$H,"INT"),0)</f>
        <v>0</v>
      </c>
      <c r="P392" s="61">
        <f>IF(Table1[[#This Row],[Role]]="Defensive",SUMIFS(Data!$J:$J,Data!$A:$A,Info!$B392,Data!$I:$I,Info!$D392,Data!$H:$H,$P$1),0)</f>
        <v>0</v>
      </c>
      <c r="Q392" s="65" t="str">
        <f>IF(Table1[[#This Row],[Pick]]="","",IF(S392&gt;1,400,IF(G392="","",IF(C392="Passing",(400-Table1[[#This Row],[Passing Yards]]-(30*Table1[[#This Row],[Passing TDs]])-(50*SUM(Table1[[#This Row],[Rushing TDs]:[Other TD''s]]))),IF(C392="Rushing",2*(200-Table1[[#This Row],[Rushing Yards]]-(30*Table1[[#This Row],[Passing TDs]])-50*(Table1[[#This Row],[Rushing TDs]]+Table1[[#This Row],[Receiving TDs]]+Table1[[#This Row],[Other TD''s]])),IF(C392="Receiving",2*(200-Table1[[#This Row],[Receiving Yards]]-(30*Table1[[#This Row],[Passing TDs]])-50*(Table1[[#This Row],[Rushing TDs]]+Table1[[#This Row],[Receiving TDs]]+Table1[[#This Row],[Other TD''s]])),IF(C392="Defensive",(25*(16-Table1[[#This Row],[Tackles]]-(8*(Table1[[#This Row],[Other TD''s]]+Table1[[#This Row],[Interceptions]]+Table1[[#This Row],[Fumbles Recovered]])))))))))))</f>
        <v/>
      </c>
      <c r="R392" s="3" t="str">
        <f t="shared" si="14"/>
        <v/>
      </c>
      <c r="S392" s="4">
        <f t="shared" si="13"/>
        <v>1048507</v>
      </c>
      <c r="T3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3" spans="1:20" hidden="1" x14ac:dyDescent="0.25">
      <c r="A393" t="s">
        <v>59</v>
      </c>
      <c r="B393" s="28" t="s">
        <v>49</v>
      </c>
      <c r="C393" t="s">
        <v>17</v>
      </c>
      <c r="D393" t="str">
        <f>_xlfn.XLOOKUP(Table1[[#This Row],[Player]]&amp;Table1[[#This Row],[Week]]&amp;Table1[[#This Row],[Role]],'Google Form Transform'!$A:$A,'Google Form Transform'!E:E,"")</f>
        <v/>
      </c>
      <c r="E393" t="str">
        <f>_xlfn.XLOOKUP(Table1[[#This Row],[Player]]&amp;Table1[[#This Row],[Week]]&amp;Table1[[#This Row],[Role]],'Google Form Transform'!$A:$A,'Google Form Transform'!F:F,"")</f>
        <v/>
      </c>
      <c r="F393" t="str">
        <f>_xlfn.XLOOKUP(Table1[[#This Row],[Player]]&amp;Table1[[#This Row],[Week]]&amp;Table1[[#This Row],[Role]],'Google Form Transform'!$A:$A,'Google Form Transform'!G:G,"")</f>
        <v/>
      </c>
      <c r="G393" s="59">
        <f>SUMIFS(Table2[Stat],Table2[Stat Category],"passing",Table2[Stat Type],"YDS",Table2[Athlete],Table1[[#This Row],[Pick]],Table2[Week],Table1[[#This Row],[Week]])</f>
        <v>0</v>
      </c>
      <c r="H393" s="59">
        <f>SUMIFS(Table2[Stat],Table2[Stat Category],"rushing",Table2[Stat Type],"YDS",Table2[Athlete],Table1[[#This Row],[Pick]],Table2[Week],Table1[[#This Row],[Week]])</f>
        <v>0</v>
      </c>
      <c r="I393" s="59">
        <f>SUMIFS(Table2[Stat],Table2[Stat Category],"receiving",Table2[Stat Type],"YDS",Table2[Athlete],Table1[[#This Row],[Pick]],Table2[Week],Table1[[#This Row],[Week]])</f>
        <v>0</v>
      </c>
      <c r="J393" s="6">
        <f>IF(AND($C393="Rushing", $H393&lt;=0), 0, IF(AND($C393="Passing", $G$3&lt;=0), 0,IF(AND($C393="Receiving",$I393&lt;=0), 0,SUMIFS(Table2[Stat],Table2[Week],Table1[[#This Row],[Week]],Table2[Athlete],Table1[[#This Row],[Pick]],Table2[Stat Category],"passing",Table2[Stat Type],"TD"))))</f>
        <v>0</v>
      </c>
      <c r="K393" s="6">
        <f>IF(AND($C393="Rushing", $H393&lt;=0), 0, IF(AND($C393="Passing", $G$3&lt;=0), 0,IF(AND($C393="Receiving",$I393&lt;=0),0,SUMIFS(Table2[Stat],Table2[Week],Table1[[#This Row],[Week]],Table2[Athlete],Table1[[#This Row],[Pick]],Table2[Stat Category],"rushing",Table2[Stat Type],"TD"))))</f>
        <v>0</v>
      </c>
      <c r="L393" s="6">
        <f>IF(AND($C393="Rushing", $H393&lt;=0), 0, IF(AND($C393="Passing", $G$3&lt;=0), 0,IF(AND($C393="Receiving",$I393&lt;=0),0,SUMIFS(Table2[Stat],Table2[Week],Table1[[#This Row],[Week]],Table2[Athlete],Table1[[#This Row],[Pick]],Table2[Stat Category],"receiving",Table2[Stat Type],"TD"))))</f>
        <v>0</v>
      </c>
      <c r="M3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3" s="61">
        <f>SUMIFS(Data!$J:$J,Data!$A:$A,Info!$B393,Data!$G:$G,Info!$C393,Data!$I:$I,Info!$D393,Data!$H:$H,"TOT")</f>
        <v>0</v>
      </c>
      <c r="O393" s="61">
        <f>IF(C393="Defensive",SUMIFS(Data!$J:$J,Data!$A:$A,Info!$B393,Data!$I:$I,Info!$D393,Data!$H:$H,"INT"),0)</f>
        <v>0</v>
      </c>
      <c r="P393" s="61">
        <f>IF(Table1[[#This Row],[Role]]="Defensive",SUMIFS(Data!$J:$J,Data!$A:$A,Info!$B393,Data!$I:$I,Info!$D393,Data!$H:$H,$P$1),0)</f>
        <v>0</v>
      </c>
      <c r="Q393" s="65" t="str">
        <f>IF(Table1[[#This Row],[Pick]]="","",IF(S393&gt;1,400,IF(G393="","",IF(C393="Passing",(400-Table1[[#This Row],[Passing Yards]]-(30*Table1[[#This Row],[Passing TDs]])-(50*SUM(Table1[[#This Row],[Rushing TDs]:[Other TD''s]]))),IF(C393="Rushing",2*(200-Table1[[#This Row],[Rushing Yards]]-(30*Table1[[#This Row],[Passing TDs]])-50*(Table1[[#This Row],[Rushing TDs]]+Table1[[#This Row],[Receiving TDs]]+Table1[[#This Row],[Other TD''s]])),IF(C393="Receiving",2*(200-Table1[[#This Row],[Receiving Yards]]-(30*Table1[[#This Row],[Passing TDs]])-50*(Table1[[#This Row],[Rushing TDs]]+Table1[[#This Row],[Receiving TDs]]+Table1[[#This Row],[Other TD''s]])),IF(C393="Defensive",(25*(16-Table1[[#This Row],[Tackles]]-(8*(Table1[[#This Row],[Other TD''s]]+Table1[[#This Row],[Interceptions]]+Table1[[#This Row],[Fumbles Recovered]])))))))))))</f>
        <v/>
      </c>
      <c r="R393" s="3" t="str">
        <f t="shared" si="14"/>
        <v/>
      </c>
      <c r="S393" s="4">
        <f t="shared" si="13"/>
        <v>1048507</v>
      </c>
      <c r="T3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4" spans="1:20" hidden="1" x14ac:dyDescent="0.25">
      <c r="A394" t="s">
        <v>59</v>
      </c>
      <c r="B394" s="28" t="s">
        <v>49</v>
      </c>
      <c r="C394" t="s">
        <v>20</v>
      </c>
      <c r="D394" t="str">
        <f>_xlfn.XLOOKUP(Table1[[#This Row],[Player]]&amp;Table1[[#This Row],[Week]]&amp;Table1[[#This Row],[Role]],'Google Form Transform'!$A:$A,'Google Form Transform'!E:E,"")</f>
        <v/>
      </c>
      <c r="E394" t="str">
        <f>_xlfn.XLOOKUP(Table1[[#This Row],[Player]]&amp;Table1[[#This Row],[Week]]&amp;Table1[[#This Row],[Role]],'Google Form Transform'!$A:$A,'Google Form Transform'!F:F,"")</f>
        <v/>
      </c>
      <c r="F394" t="str">
        <f>_xlfn.XLOOKUP(Table1[[#This Row],[Player]]&amp;Table1[[#This Row],[Week]]&amp;Table1[[#This Row],[Role]],'Google Form Transform'!$A:$A,'Google Form Transform'!G:G,"")</f>
        <v/>
      </c>
      <c r="G394" s="59">
        <f>SUMIFS(Table2[Stat],Table2[Stat Category],"passing",Table2[Stat Type],"YDS",Table2[Athlete],Table1[[#This Row],[Pick]],Table2[Week],Table1[[#This Row],[Week]])</f>
        <v>0</v>
      </c>
      <c r="H394" s="59">
        <f>SUMIFS(Table2[Stat],Table2[Stat Category],"rushing",Table2[Stat Type],"YDS",Table2[Athlete],Table1[[#This Row],[Pick]],Table2[Week],Table1[[#This Row],[Week]])</f>
        <v>0</v>
      </c>
      <c r="I394" s="59">
        <f>SUMIFS(Table2[Stat],Table2[Stat Category],"receiving",Table2[Stat Type],"YDS",Table2[Athlete],Table1[[#This Row],[Pick]],Table2[Week],Table1[[#This Row],[Week]])</f>
        <v>0</v>
      </c>
      <c r="J394" s="6">
        <f>IF(AND($C394="Rushing", $H394&lt;=0), 0, IF(AND($C394="Passing", $G$3&lt;=0), 0,IF(AND($C394="Receiving",$I394&lt;=0), 0,SUMIFS(Table2[Stat],Table2[Week],Table1[[#This Row],[Week]],Table2[Athlete],Table1[[#This Row],[Pick]],Table2[Stat Category],"passing",Table2[Stat Type],"TD"))))</f>
        <v>0</v>
      </c>
      <c r="K394" s="6">
        <f>IF(AND($C394="Rushing", $H394&lt;=0), 0, IF(AND($C394="Passing", $G$3&lt;=0), 0,IF(AND($C394="Receiving",$I394&lt;=0),0,SUMIFS(Table2[Stat],Table2[Week],Table1[[#This Row],[Week]],Table2[Athlete],Table1[[#This Row],[Pick]],Table2[Stat Category],"rushing",Table2[Stat Type],"TD"))))</f>
        <v>0</v>
      </c>
      <c r="L394" s="6">
        <f>IF(AND($C394="Rushing", $H394&lt;=0), 0, IF(AND($C394="Passing", $G$3&lt;=0), 0,IF(AND($C394="Receiving",$I394&lt;=0),0,SUMIFS(Table2[Stat],Table2[Week],Table1[[#This Row],[Week]],Table2[Athlete],Table1[[#This Row],[Pick]],Table2[Stat Category],"receiving",Table2[Stat Type],"TD"))))</f>
        <v>0</v>
      </c>
      <c r="M3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4" s="61">
        <f>SUMIFS(Data!$J:$J,Data!$A:$A,Info!$B394,Data!$G:$G,Info!$C394,Data!$I:$I,Info!$D394,Data!$H:$H,"TOT")</f>
        <v>0</v>
      </c>
      <c r="O394" s="61">
        <f>IF(C394="Defensive",SUMIFS(Data!$J:$J,Data!$A:$A,Info!$B394,Data!$I:$I,Info!$D394,Data!$H:$H,"INT"),0)</f>
        <v>0</v>
      </c>
      <c r="P394" s="61">
        <f>IF(Table1[[#This Row],[Role]]="Defensive",SUMIFS(Data!$J:$J,Data!$A:$A,Info!$B394,Data!$I:$I,Info!$D394,Data!$H:$H,$P$1),0)</f>
        <v>0</v>
      </c>
      <c r="Q394" s="65" t="str">
        <f>IF(Table1[[#This Row],[Pick]]="","",IF(S394&gt;1,400,IF(G394="","",IF(C394="Passing",(400-Table1[[#This Row],[Passing Yards]]-(30*Table1[[#This Row],[Passing TDs]])-(50*SUM(Table1[[#This Row],[Rushing TDs]:[Other TD''s]]))),IF(C394="Rushing",2*(200-Table1[[#This Row],[Rushing Yards]]-(30*Table1[[#This Row],[Passing TDs]])-50*(Table1[[#This Row],[Rushing TDs]]+Table1[[#This Row],[Receiving TDs]]+Table1[[#This Row],[Other TD''s]])),IF(C394="Receiving",2*(200-Table1[[#This Row],[Receiving Yards]]-(30*Table1[[#This Row],[Passing TDs]])-50*(Table1[[#This Row],[Rushing TDs]]+Table1[[#This Row],[Receiving TDs]]+Table1[[#This Row],[Other TD''s]])),IF(C394="Defensive",(25*(16-Table1[[#This Row],[Tackles]]-(8*(Table1[[#This Row],[Other TD''s]]+Table1[[#This Row],[Interceptions]]+Table1[[#This Row],[Fumbles Recovered]])))))))))))</f>
        <v/>
      </c>
      <c r="R394" s="3" t="str">
        <f t="shared" si="14"/>
        <v/>
      </c>
      <c r="S394" s="4">
        <f t="shared" si="13"/>
        <v>1048507</v>
      </c>
      <c r="T3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5" spans="1:20" hidden="1" x14ac:dyDescent="0.25">
      <c r="A395" t="s">
        <v>68</v>
      </c>
      <c r="B395" s="28" t="s">
        <v>49</v>
      </c>
      <c r="C395" t="s">
        <v>16</v>
      </c>
      <c r="D395" t="str">
        <f>_xlfn.XLOOKUP(Table1[[#This Row],[Player]]&amp;Table1[[#This Row],[Week]]&amp;Table1[[#This Row],[Role]],'Google Form Transform'!$A:$A,'Google Form Transform'!E:E,"")</f>
        <v/>
      </c>
      <c r="E395" t="str">
        <f>_xlfn.XLOOKUP(Table1[[#This Row],[Player]]&amp;Table1[[#This Row],[Week]]&amp;Table1[[#This Row],[Role]],'Google Form Transform'!$A:$A,'Google Form Transform'!F:F,"")</f>
        <v/>
      </c>
      <c r="F395" t="str">
        <f>_xlfn.XLOOKUP(Table1[[#This Row],[Player]]&amp;Table1[[#This Row],[Week]]&amp;Table1[[#This Row],[Role]],'Google Form Transform'!$A:$A,'Google Form Transform'!G:G,"")</f>
        <v/>
      </c>
      <c r="G395" s="59">
        <f>SUMIFS(Table2[Stat],Table2[Stat Category],"passing",Table2[Stat Type],"YDS",Table2[Athlete],Table1[[#This Row],[Pick]],Table2[Week],Table1[[#This Row],[Week]])</f>
        <v>0</v>
      </c>
      <c r="H395" s="59">
        <f>SUMIFS(Table2[Stat],Table2[Stat Category],"rushing",Table2[Stat Type],"YDS",Table2[Athlete],Table1[[#This Row],[Pick]],Table2[Week],Table1[[#This Row],[Week]])</f>
        <v>0</v>
      </c>
      <c r="I395" s="59">
        <f>SUMIFS(Table2[Stat],Table2[Stat Category],"receiving",Table2[Stat Type],"YDS",Table2[Athlete],Table1[[#This Row],[Pick]],Table2[Week],Table1[[#This Row],[Week]])</f>
        <v>0</v>
      </c>
      <c r="J395" s="6">
        <f>IF(AND($C395="Rushing", $H395&lt;=0), 0, IF(AND($C395="Passing", $G$3&lt;=0), 0,IF(AND($C395="Receiving",$I395&lt;=0), 0,SUMIFS(Table2[Stat],Table2[Week],Table1[[#This Row],[Week]],Table2[Athlete],Table1[[#This Row],[Pick]],Table2[Stat Category],"passing",Table2[Stat Type],"TD"))))</f>
        <v>0</v>
      </c>
      <c r="K395" s="6">
        <f>IF(AND($C395="Rushing", $H395&lt;=0), 0, IF(AND($C395="Passing", $G$3&lt;=0), 0,IF(AND($C395="Receiving",$I395&lt;=0),0,SUMIFS(Table2[Stat],Table2[Week],Table1[[#This Row],[Week]],Table2[Athlete],Table1[[#This Row],[Pick]],Table2[Stat Category],"rushing",Table2[Stat Type],"TD"))))</f>
        <v>0</v>
      </c>
      <c r="L395" s="6">
        <f>IF(AND($C395="Rushing", $H395&lt;=0), 0, IF(AND($C395="Passing", $G$3&lt;=0), 0,IF(AND($C395="Receiving",$I395&lt;=0),0,SUMIFS(Table2[Stat],Table2[Week],Table1[[#This Row],[Week]],Table2[Athlete],Table1[[#This Row],[Pick]],Table2[Stat Category],"receiving",Table2[Stat Type],"TD"))))</f>
        <v>0</v>
      </c>
      <c r="M3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5" s="61">
        <f>SUMIFS(Data!$J:$J,Data!$A:$A,Info!$B395,Data!$G:$G,Info!$C395,Data!$I:$I,Info!$D395,Data!$H:$H,"TOT")</f>
        <v>0</v>
      </c>
      <c r="O395" s="61">
        <f>IF(C395="Defensive",SUMIFS(Data!$J:$J,Data!$A:$A,Info!$B395,Data!$I:$I,Info!$D395,Data!$H:$H,"INT"),0)</f>
        <v>0</v>
      </c>
      <c r="P395" s="61">
        <f>IF(Table1[[#This Row],[Role]]="Defensive",SUMIFS(Data!$J:$J,Data!$A:$A,Info!$B395,Data!$I:$I,Info!$D395,Data!$H:$H,$P$1),0)</f>
        <v>0</v>
      </c>
      <c r="Q395" s="65" t="str">
        <f>IF(Table1[[#This Row],[Pick]]="","",IF(S395&gt;1,400,IF(G395="","",IF(C395="Passing",(400-Table1[[#This Row],[Passing Yards]]-(30*Table1[[#This Row],[Passing TDs]])-(50*SUM(Table1[[#This Row],[Rushing TDs]:[Other TD''s]]))),IF(C395="Rushing",2*(200-Table1[[#This Row],[Rushing Yards]]-(30*Table1[[#This Row],[Passing TDs]])-50*(Table1[[#This Row],[Rushing TDs]]+Table1[[#This Row],[Receiving TDs]]+Table1[[#This Row],[Other TD''s]])),IF(C395="Receiving",2*(200-Table1[[#This Row],[Receiving Yards]]-(30*Table1[[#This Row],[Passing TDs]])-50*(Table1[[#This Row],[Rushing TDs]]+Table1[[#This Row],[Receiving TDs]]+Table1[[#This Row],[Other TD''s]])),IF(C395="Defensive",(25*(16-Table1[[#This Row],[Tackles]]-(8*(Table1[[#This Row],[Other TD''s]]+Table1[[#This Row],[Interceptions]]+Table1[[#This Row],[Fumbles Recovered]])))))))))))</f>
        <v/>
      </c>
      <c r="R395" s="3" t="str">
        <f t="shared" si="14"/>
        <v/>
      </c>
      <c r="S395" s="4">
        <f t="shared" si="13"/>
        <v>1048507</v>
      </c>
      <c r="T3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6" spans="1:20" hidden="1" x14ac:dyDescent="0.25">
      <c r="A396" t="s">
        <v>68</v>
      </c>
      <c r="B396" s="28" t="s">
        <v>49</v>
      </c>
      <c r="C396" t="s">
        <v>6</v>
      </c>
      <c r="D396" t="str">
        <f>_xlfn.XLOOKUP(Table1[[#This Row],[Player]]&amp;Table1[[#This Row],[Week]]&amp;Table1[[#This Row],[Role]],'Google Form Transform'!$A:$A,'Google Form Transform'!E:E,"")</f>
        <v/>
      </c>
      <c r="E396" t="str">
        <f>_xlfn.XLOOKUP(Table1[[#This Row],[Player]]&amp;Table1[[#This Row],[Week]]&amp;Table1[[#This Row],[Role]],'Google Form Transform'!$A:$A,'Google Form Transform'!F:F,"")</f>
        <v/>
      </c>
      <c r="F396" t="str">
        <f>_xlfn.XLOOKUP(Table1[[#This Row],[Player]]&amp;Table1[[#This Row],[Week]]&amp;Table1[[#This Row],[Role]],'Google Form Transform'!$A:$A,'Google Form Transform'!G:G,"")</f>
        <v/>
      </c>
      <c r="G396" s="59">
        <f>SUMIFS(Table2[Stat],Table2[Stat Category],"passing",Table2[Stat Type],"YDS",Table2[Athlete],Table1[[#This Row],[Pick]],Table2[Week],Table1[[#This Row],[Week]])</f>
        <v>0</v>
      </c>
      <c r="H396" s="59">
        <f>SUMIFS(Table2[Stat],Table2[Stat Category],"rushing",Table2[Stat Type],"YDS",Table2[Athlete],Table1[[#This Row],[Pick]],Table2[Week],Table1[[#This Row],[Week]])</f>
        <v>0</v>
      </c>
      <c r="I396" s="59">
        <f>SUMIFS(Table2[Stat],Table2[Stat Category],"receiving",Table2[Stat Type],"YDS",Table2[Athlete],Table1[[#This Row],[Pick]],Table2[Week],Table1[[#This Row],[Week]])</f>
        <v>0</v>
      </c>
      <c r="J396" s="6">
        <f>IF(AND($C396="Rushing", $H396&lt;=0), 0, IF(AND($C396="Passing", $G$3&lt;=0), 0,IF(AND($C396="Receiving",$I396&lt;=0), 0,SUMIFS(Table2[Stat],Table2[Week],Table1[[#This Row],[Week]],Table2[Athlete],Table1[[#This Row],[Pick]],Table2[Stat Category],"passing",Table2[Stat Type],"TD"))))</f>
        <v>0</v>
      </c>
      <c r="K396" s="6">
        <f>IF(AND($C396="Rushing", $H396&lt;=0), 0, IF(AND($C396="Passing", $G$3&lt;=0), 0,IF(AND($C396="Receiving",$I396&lt;=0),0,SUMIFS(Table2[Stat],Table2[Week],Table1[[#This Row],[Week]],Table2[Athlete],Table1[[#This Row],[Pick]],Table2[Stat Category],"rushing",Table2[Stat Type],"TD"))))</f>
        <v>0</v>
      </c>
      <c r="L396" s="6">
        <f>IF(AND($C396="Rushing", $H396&lt;=0), 0, IF(AND($C396="Passing", $G$3&lt;=0), 0,IF(AND($C396="Receiving",$I396&lt;=0),0,SUMIFS(Table2[Stat],Table2[Week],Table1[[#This Row],[Week]],Table2[Athlete],Table1[[#This Row],[Pick]],Table2[Stat Category],"receiving",Table2[Stat Type],"TD"))))</f>
        <v>0</v>
      </c>
      <c r="M3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6" s="61">
        <f>SUMIFS(Data!$J:$J,Data!$A:$A,Info!$B396,Data!$G:$G,Info!$C396,Data!$I:$I,Info!$D396,Data!$H:$H,"TOT")</f>
        <v>0</v>
      </c>
      <c r="O396" s="61">
        <f>IF(C396="Defensive",SUMIFS(Data!$J:$J,Data!$A:$A,Info!$B396,Data!$I:$I,Info!$D396,Data!$H:$H,"INT"),0)</f>
        <v>0</v>
      </c>
      <c r="P396" s="61">
        <f>IF(Table1[[#This Row],[Role]]="Defensive",SUMIFS(Data!$J:$J,Data!$A:$A,Info!$B396,Data!$I:$I,Info!$D396,Data!$H:$H,$P$1),0)</f>
        <v>0</v>
      </c>
      <c r="Q396" s="65" t="str">
        <f>IF(Table1[[#This Row],[Pick]]="","",IF(S396&gt;1,400,IF(G396="","",IF(C396="Passing",(400-Table1[[#This Row],[Passing Yards]]-(30*Table1[[#This Row],[Passing TDs]])-(50*SUM(Table1[[#This Row],[Rushing TDs]:[Other TD''s]]))),IF(C396="Rushing",2*(200-Table1[[#This Row],[Rushing Yards]]-(30*Table1[[#This Row],[Passing TDs]])-50*(Table1[[#This Row],[Rushing TDs]]+Table1[[#This Row],[Receiving TDs]]+Table1[[#This Row],[Other TD''s]])),IF(C396="Receiving",2*(200-Table1[[#This Row],[Receiving Yards]]-(30*Table1[[#This Row],[Passing TDs]])-50*(Table1[[#This Row],[Rushing TDs]]+Table1[[#This Row],[Receiving TDs]]+Table1[[#This Row],[Other TD''s]])),IF(C396="Defensive",(25*(16-Table1[[#This Row],[Tackles]]-(8*(Table1[[#This Row],[Other TD''s]]+Table1[[#This Row],[Interceptions]]+Table1[[#This Row],[Fumbles Recovered]])))))))))))</f>
        <v/>
      </c>
      <c r="R396" s="3" t="str">
        <f t="shared" si="14"/>
        <v/>
      </c>
      <c r="S396" s="4">
        <f t="shared" si="13"/>
        <v>1048507</v>
      </c>
      <c r="T3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7" spans="1:20" hidden="1" x14ac:dyDescent="0.25">
      <c r="A397" t="s">
        <v>68</v>
      </c>
      <c r="B397" s="28" t="s">
        <v>49</v>
      </c>
      <c r="C397" t="s">
        <v>17</v>
      </c>
      <c r="D397" t="str">
        <f>_xlfn.XLOOKUP(Table1[[#This Row],[Player]]&amp;Table1[[#This Row],[Week]]&amp;Table1[[#This Row],[Role]],'Google Form Transform'!$A:$A,'Google Form Transform'!E:E,"")</f>
        <v/>
      </c>
      <c r="E397" t="str">
        <f>_xlfn.XLOOKUP(Table1[[#This Row],[Player]]&amp;Table1[[#This Row],[Week]]&amp;Table1[[#This Row],[Role]],'Google Form Transform'!$A:$A,'Google Form Transform'!F:F,"")</f>
        <v/>
      </c>
      <c r="F397" t="str">
        <f>_xlfn.XLOOKUP(Table1[[#This Row],[Player]]&amp;Table1[[#This Row],[Week]]&amp;Table1[[#This Row],[Role]],'Google Form Transform'!$A:$A,'Google Form Transform'!G:G,"")</f>
        <v/>
      </c>
      <c r="G397" s="59">
        <f>SUMIFS(Table2[Stat],Table2[Stat Category],"passing",Table2[Stat Type],"YDS",Table2[Athlete],Table1[[#This Row],[Pick]],Table2[Week],Table1[[#This Row],[Week]])</f>
        <v>0</v>
      </c>
      <c r="H397" s="59">
        <f>SUMIFS(Table2[Stat],Table2[Stat Category],"rushing",Table2[Stat Type],"YDS",Table2[Athlete],Table1[[#This Row],[Pick]],Table2[Week],Table1[[#This Row],[Week]])</f>
        <v>0</v>
      </c>
      <c r="I397" s="59">
        <f>SUMIFS(Table2[Stat],Table2[Stat Category],"receiving",Table2[Stat Type],"YDS",Table2[Athlete],Table1[[#This Row],[Pick]],Table2[Week],Table1[[#This Row],[Week]])</f>
        <v>0</v>
      </c>
      <c r="J397" s="6">
        <f>IF(AND($C397="Rushing", $H397&lt;=0), 0, IF(AND($C397="Passing", $G$3&lt;=0), 0,IF(AND($C397="Receiving",$I397&lt;=0), 0,SUMIFS(Table2[Stat],Table2[Week],Table1[[#This Row],[Week]],Table2[Athlete],Table1[[#This Row],[Pick]],Table2[Stat Category],"passing",Table2[Stat Type],"TD"))))</f>
        <v>0</v>
      </c>
      <c r="K397" s="6">
        <f>IF(AND($C397="Rushing", $H397&lt;=0), 0, IF(AND($C397="Passing", $G$3&lt;=0), 0,IF(AND($C397="Receiving",$I397&lt;=0),0,SUMIFS(Table2[Stat],Table2[Week],Table1[[#This Row],[Week]],Table2[Athlete],Table1[[#This Row],[Pick]],Table2[Stat Category],"rushing",Table2[Stat Type],"TD"))))</f>
        <v>0</v>
      </c>
      <c r="L397" s="6">
        <f>IF(AND($C397="Rushing", $H397&lt;=0), 0, IF(AND($C397="Passing", $G$3&lt;=0), 0,IF(AND($C397="Receiving",$I397&lt;=0),0,SUMIFS(Table2[Stat],Table2[Week],Table1[[#This Row],[Week]],Table2[Athlete],Table1[[#This Row],[Pick]],Table2[Stat Category],"receiving",Table2[Stat Type],"TD"))))</f>
        <v>0</v>
      </c>
      <c r="M3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7" s="61">
        <f>SUMIFS(Data!$J:$J,Data!$A:$A,Info!$B397,Data!$G:$G,Info!$C397,Data!$I:$I,Info!$D397,Data!$H:$H,"TOT")</f>
        <v>0</v>
      </c>
      <c r="O397" s="61">
        <f>IF(C397="Defensive",SUMIFS(Data!$J:$J,Data!$A:$A,Info!$B397,Data!$I:$I,Info!$D397,Data!$H:$H,"INT"),0)</f>
        <v>0</v>
      </c>
      <c r="P397" s="61">
        <f>IF(Table1[[#This Row],[Role]]="Defensive",SUMIFS(Data!$J:$J,Data!$A:$A,Info!$B397,Data!$I:$I,Info!$D397,Data!$H:$H,$P$1),0)</f>
        <v>0</v>
      </c>
      <c r="Q397" s="65" t="str">
        <f>IF(Table1[[#This Row],[Pick]]="","",IF(S397&gt;1,400,IF(G397="","",IF(C397="Passing",(400-Table1[[#This Row],[Passing Yards]]-(30*Table1[[#This Row],[Passing TDs]])-(50*SUM(Table1[[#This Row],[Rushing TDs]:[Other TD''s]]))),IF(C397="Rushing",2*(200-Table1[[#This Row],[Rushing Yards]]-(30*Table1[[#This Row],[Passing TDs]])-50*(Table1[[#This Row],[Rushing TDs]]+Table1[[#This Row],[Receiving TDs]]+Table1[[#This Row],[Other TD''s]])),IF(C397="Receiving",2*(200-Table1[[#This Row],[Receiving Yards]]-(30*Table1[[#This Row],[Passing TDs]])-50*(Table1[[#This Row],[Rushing TDs]]+Table1[[#This Row],[Receiving TDs]]+Table1[[#This Row],[Other TD''s]])),IF(C397="Defensive",(25*(16-Table1[[#This Row],[Tackles]]-(8*(Table1[[#This Row],[Other TD''s]]+Table1[[#This Row],[Interceptions]]+Table1[[#This Row],[Fumbles Recovered]])))))))))))</f>
        <v/>
      </c>
      <c r="R397" s="3" t="str">
        <f t="shared" si="14"/>
        <v/>
      </c>
      <c r="S397" s="4">
        <f t="shared" si="13"/>
        <v>1048507</v>
      </c>
      <c r="T3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8" spans="1:20" hidden="1" x14ac:dyDescent="0.25">
      <c r="A398" t="s">
        <v>68</v>
      </c>
      <c r="B398" s="28" t="s">
        <v>49</v>
      </c>
      <c r="C398" t="s">
        <v>20</v>
      </c>
      <c r="D398" t="str">
        <f>_xlfn.XLOOKUP(Table1[[#This Row],[Player]]&amp;Table1[[#This Row],[Week]]&amp;Table1[[#This Row],[Role]],'Google Form Transform'!$A:$A,'Google Form Transform'!E:E,"")</f>
        <v/>
      </c>
      <c r="E398" t="str">
        <f>_xlfn.XLOOKUP(Table1[[#This Row],[Player]]&amp;Table1[[#This Row],[Week]]&amp;Table1[[#This Row],[Role]],'Google Form Transform'!$A:$A,'Google Form Transform'!F:F,"")</f>
        <v/>
      </c>
      <c r="F398" t="str">
        <f>_xlfn.XLOOKUP(Table1[[#This Row],[Player]]&amp;Table1[[#This Row],[Week]]&amp;Table1[[#This Row],[Role]],'Google Form Transform'!$A:$A,'Google Form Transform'!G:G,"")</f>
        <v/>
      </c>
      <c r="G398" s="59">
        <f>SUMIFS(Table2[Stat],Table2[Stat Category],"passing",Table2[Stat Type],"YDS",Table2[Athlete],Table1[[#This Row],[Pick]],Table2[Week],Table1[[#This Row],[Week]])</f>
        <v>0</v>
      </c>
      <c r="H398" s="59">
        <f>SUMIFS(Table2[Stat],Table2[Stat Category],"rushing",Table2[Stat Type],"YDS",Table2[Athlete],Table1[[#This Row],[Pick]],Table2[Week],Table1[[#This Row],[Week]])</f>
        <v>0</v>
      </c>
      <c r="I398" s="59">
        <f>SUMIFS(Table2[Stat],Table2[Stat Category],"receiving",Table2[Stat Type],"YDS",Table2[Athlete],Table1[[#This Row],[Pick]],Table2[Week],Table1[[#This Row],[Week]])</f>
        <v>0</v>
      </c>
      <c r="J398" s="6">
        <f>IF(AND($C398="Rushing", $H398&lt;=0), 0, IF(AND($C398="Passing", $G$3&lt;=0), 0,IF(AND($C398="Receiving",$I398&lt;=0), 0,SUMIFS(Table2[Stat],Table2[Week],Table1[[#This Row],[Week]],Table2[Athlete],Table1[[#This Row],[Pick]],Table2[Stat Category],"passing",Table2[Stat Type],"TD"))))</f>
        <v>0</v>
      </c>
      <c r="K398" s="6">
        <f>IF(AND($C398="Rushing", $H398&lt;=0), 0, IF(AND($C398="Passing", $G$3&lt;=0), 0,IF(AND($C398="Receiving",$I398&lt;=0),0,SUMIFS(Table2[Stat],Table2[Week],Table1[[#This Row],[Week]],Table2[Athlete],Table1[[#This Row],[Pick]],Table2[Stat Category],"rushing",Table2[Stat Type],"TD"))))</f>
        <v>0</v>
      </c>
      <c r="L398" s="6">
        <f>IF(AND($C398="Rushing", $H398&lt;=0), 0, IF(AND($C398="Passing", $G$3&lt;=0), 0,IF(AND($C398="Receiving",$I398&lt;=0),0,SUMIFS(Table2[Stat],Table2[Week],Table1[[#This Row],[Week]],Table2[Athlete],Table1[[#This Row],[Pick]],Table2[Stat Category],"receiving",Table2[Stat Type],"TD"))))</f>
        <v>0</v>
      </c>
      <c r="M3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8" s="61">
        <f>SUMIFS(Data!$J:$J,Data!$A:$A,Info!$B398,Data!$G:$G,Info!$C398,Data!$I:$I,Info!$D398,Data!$H:$H,"TOT")</f>
        <v>0</v>
      </c>
      <c r="O398" s="61">
        <f>IF(C398="Defensive",SUMIFS(Data!$J:$J,Data!$A:$A,Info!$B398,Data!$I:$I,Info!$D398,Data!$H:$H,"INT"),0)</f>
        <v>0</v>
      </c>
      <c r="P398" s="61">
        <f>IF(Table1[[#This Row],[Role]]="Defensive",SUMIFS(Data!$J:$J,Data!$A:$A,Info!$B398,Data!$I:$I,Info!$D398,Data!$H:$H,$P$1),0)</f>
        <v>0</v>
      </c>
      <c r="Q398" s="65" t="str">
        <f>IF(Table1[[#This Row],[Pick]]="","",IF(S398&gt;1,400,IF(G398="","",IF(C398="Passing",(400-Table1[[#This Row],[Passing Yards]]-(30*Table1[[#This Row],[Passing TDs]])-(50*SUM(Table1[[#This Row],[Rushing TDs]:[Other TD''s]]))),IF(C398="Rushing",2*(200-Table1[[#This Row],[Rushing Yards]]-(30*Table1[[#This Row],[Passing TDs]])-50*(Table1[[#This Row],[Rushing TDs]]+Table1[[#This Row],[Receiving TDs]]+Table1[[#This Row],[Other TD''s]])),IF(C398="Receiving",2*(200-Table1[[#This Row],[Receiving Yards]]-(30*Table1[[#This Row],[Passing TDs]])-50*(Table1[[#This Row],[Rushing TDs]]+Table1[[#This Row],[Receiving TDs]]+Table1[[#This Row],[Other TD''s]])),IF(C398="Defensive",(25*(16-Table1[[#This Row],[Tackles]]-(8*(Table1[[#This Row],[Other TD''s]]+Table1[[#This Row],[Interceptions]]+Table1[[#This Row],[Fumbles Recovered]])))))))))))</f>
        <v/>
      </c>
      <c r="R398" s="3" t="str">
        <f t="shared" si="14"/>
        <v/>
      </c>
      <c r="S398" s="4">
        <f t="shared" si="13"/>
        <v>1048507</v>
      </c>
      <c r="T3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9" spans="1:20" hidden="1" x14ac:dyDescent="0.25">
      <c r="A399" t="s">
        <v>5</v>
      </c>
      <c r="B399" s="28" t="s">
        <v>49</v>
      </c>
      <c r="C399" t="s">
        <v>16</v>
      </c>
      <c r="D399" t="str">
        <f>_xlfn.XLOOKUP(Table1[[#This Row],[Player]]&amp;Table1[[#This Row],[Week]]&amp;Table1[[#This Row],[Role]],'Google Form Transform'!$A:$A,'Google Form Transform'!E:E,"")</f>
        <v/>
      </c>
      <c r="E399" t="str">
        <f>_xlfn.XLOOKUP(Table1[[#This Row],[Player]]&amp;Table1[[#This Row],[Week]]&amp;Table1[[#This Row],[Role]],'Google Form Transform'!$A:$A,'Google Form Transform'!F:F,"")</f>
        <v/>
      </c>
      <c r="F399" t="str">
        <f>_xlfn.XLOOKUP(Table1[[#This Row],[Player]]&amp;Table1[[#This Row],[Week]]&amp;Table1[[#This Row],[Role]],'Google Form Transform'!$A:$A,'Google Form Transform'!G:G,"")</f>
        <v/>
      </c>
      <c r="G399" s="59">
        <f>SUMIFS(Table2[Stat],Table2[Stat Category],"passing",Table2[Stat Type],"YDS",Table2[Athlete],Table1[[#This Row],[Pick]],Table2[Week],Table1[[#This Row],[Week]])</f>
        <v>0</v>
      </c>
      <c r="H399" s="59">
        <f>SUMIFS(Table2[Stat],Table2[Stat Category],"rushing",Table2[Stat Type],"YDS",Table2[Athlete],Table1[[#This Row],[Pick]],Table2[Week],Table1[[#This Row],[Week]])</f>
        <v>0</v>
      </c>
      <c r="I399" s="59">
        <f>SUMIFS(Table2[Stat],Table2[Stat Category],"receiving",Table2[Stat Type],"YDS",Table2[Athlete],Table1[[#This Row],[Pick]],Table2[Week],Table1[[#This Row],[Week]])</f>
        <v>0</v>
      </c>
      <c r="J399" s="6">
        <f>IF(AND($C399="Rushing", $H399&lt;=0), 0, IF(AND($C399="Passing", $G$3&lt;=0), 0,IF(AND($C399="Receiving",$I399&lt;=0), 0,SUMIFS(Table2[Stat],Table2[Week],Table1[[#This Row],[Week]],Table2[Athlete],Table1[[#This Row],[Pick]],Table2[Stat Category],"passing",Table2[Stat Type],"TD"))))</f>
        <v>0</v>
      </c>
      <c r="K399" s="6">
        <f>IF(AND($C399="Rushing", $H399&lt;=0), 0, IF(AND($C399="Passing", $G$3&lt;=0), 0,IF(AND($C399="Receiving",$I399&lt;=0),0,SUMIFS(Table2[Stat],Table2[Week],Table1[[#This Row],[Week]],Table2[Athlete],Table1[[#This Row],[Pick]],Table2[Stat Category],"rushing",Table2[Stat Type],"TD"))))</f>
        <v>0</v>
      </c>
      <c r="L399" s="6">
        <f>IF(AND($C399="Rushing", $H399&lt;=0), 0, IF(AND($C399="Passing", $G$3&lt;=0), 0,IF(AND($C399="Receiving",$I399&lt;=0),0,SUMIFS(Table2[Stat],Table2[Week],Table1[[#This Row],[Week]],Table2[Athlete],Table1[[#This Row],[Pick]],Table2[Stat Category],"receiving",Table2[Stat Type],"TD"))))</f>
        <v>0</v>
      </c>
      <c r="M3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9" s="61">
        <f>SUMIFS(Data!$J:$J,Data!$A:$A,Info!$B399,Data!$G:$G,Info!$C399,Data!$I:$I,Info!$D399,Data!$H:$H,"TOT")</f>
        <v>0</v>
      </c>
      <c r="O399" s="61">
        <f>IF(C399="Defensive",SUMIFS(Data!$J:$J,Data!$A:$A,Info!$B399,Data!$I:$I,Info!$D399,Data!$H:$H,"INT"),0)</f>
        <v>0</v>
      </c>
      <c r="P399" s="61">
        <f>IF(Table1[[#This Row],[Role]]="Defensive",SUMIFS(Data!$J:$J,Data!$A:$A,Info!$B399,Data!$I:$I,Info!$D399,Data!$H:$H,$P$1),0)</f>
        <v>0</v>
      </c>
      <c r="Q399" s="65" t="str">
        <f>IF(Table1[[#This Row],[Pick]]="","",IF(S399&gt;1,400,IF(G399="","",IF(C399="Passing",(400-Table1[[#This Row],[Passing Yards]]-(30*Table1[[#This Row],[Passing TDs]])-(50*SUM(Table1[[#This Row],[Rushing TDs]:[Other TD''s]]))),IF(C399="Rushing",2*(200-Table1[[#This Row],[Rushing Yards]]-(30*Table1[[#This Row],[Passing TDs]])-50*(Table1[[#This Row],[Rushing TDs]]+Table1[[#This Row],[Receiving TDs]]+Table1[[#This Row],[Other TD''s]])),IF(C399="Receiving",2*(200-Table1[[#This Row],[Receiving Yards]]-(30*Table1[[#This Row],[Passing TDs]])-50*(Table1[[#This Row],[Rushing TDs]]+Table1[[#This Row],[Receiving TDs]]+Table1[[#This Row],[Other TD''s]])),IF(C399="Defensive",(25*(16-Table1[[#This Row],[Tackles]]-(8*(Table1[[#This Row],[Other TD''s]]+Table1[[#This Row],[Interceptions]]+Table1[[#This Row],[Fumbles Recovered]])))))))))))</f>
        <v/>
      </c>
      <c r="R399" s="3" t="str">
        <f t="shared" si="14"/>
        <v/>
      </c>
      <c r="S399" s="4">
        <f t="shared" si="13"/>
        <v>1048507</v>
      </c>
      <c r="T3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0" spans="1:20" hidden="1" x14ac:dyDescent="0.25">
      <c r="A400" t="s">
        <v>5</v>
      </c>
      <c r="B400" s="28" t="s">
        <v>49</v>
      </c>
      <c r="C400" t="s">
        <v>6</v>
      </c>
      <c r="D400" t="str">
        <f>_xlfn.XLOOKUP(Table1[[#This Row],[Player]]&amp;Table1[[#This Row],[Week]]&amp;Table1[[#This Row],[Role]],'Google Form Transform'!$A:$A,'Google Form Transform'!E:E,"")</f>
        <v/>
      </c>
      <c r="E400" t="str">
        <f>_xlfn.XLOOKUP(Table1[[#This Row],[Player]]&amp;Table1[[#This Row],[Week]]&amp;Table1[[#This Row],[Role]],'Google Form Transform'!$A:$A,'Google Form Transform'!F:F,"")</f>
        <v/>
      </c>
      <c r="F400" t="str">
        <f>_xlfn.XLOOKUP(Table1[[#This Row],[Player]]&amp;Table1[[#This Row],[Week]]&amp;Table1[[#This Row],[Role]],'Google Form Transform'!$A:$A,'Google Form Transform'!G:G,"")</f>
        <v/>
      </c>
      <c r="G400" s="59">
        <f>SUMIFS(Table2[Stat],Table2[Stat Category],"passing",Table2[Stat Type],"YDS",Table2[Athlete],Table1[[#This Row],[Pick]],Table2[Week],Table1[[#This Row],[Week]])</f>
        <v>0</v>
      </c>
      <c r="H400" s="59">
        <f>SUMIFS(Table2[Stat],Table2[Stat Category],"rushing",Table2[Stat Type],"YDS",Table2[Athlete],Table1[[#This Row],[Pick]],Table2[Week],Table1[[#This Row],[Week]])</f>
        <v>0</v>
      </c>
      <c r="I400" s="59">
        <f>SUMIFS(Table2[Stat],Table2[Stat Category],"receiving",Table2[Stat Type],"YDS",Table2[Athlete],Table1[[#This Row],[Pick]],Table2[Week],Table1[[#This Row],[Week]])</f>
        <v>0</v>
      </c>
      <c r="J400" s="6">
        <f>IF(AND($C400="Rushing", $H400&lt;=0), 0, IF(AND($C400="Passing", $G$3&lt;=0), 0,IF(AND($C400="Receiving",$I400&lt;=0), 0,SUMIFS(Table2[Stat],Table2[Week],Table1[[#This Row],[Week]],Table2[Athlete],Table1[[#This Row],[Pick]],Table2[Stat Category],"passing",Table2[Stat Type],"TD"))))</f>
        <v>0</v>
      </c>
      <c r="K400" s="6">
        <f>IF(AND($C400="Rushing", $H400&lt;=0), 0, IF(AND($C400="Passing", $G$3&lt;=0), 0,IF(AND($C400="Receiving",$I400&lt;=0),0,SUMIFS(Table2[Stat],Table2[Week],Table1[[#This Row],[Week]],Table2[Athlete],Table1[[#This Row],[Pick]],Table2[Stat Category],"rushing",Table2[Stat Type],"TD"))))</f>
        <v>0</v>
      </c>
      <c r="L400" s="6">
        <f>IF(AND($C400="Rushing", $H400&lt;=0), 0, IF(AND($C400="Passing", $G$3&lt;=0), 0,IF(AND($C400="Receiving",$I400&lt;=0),0,SUMIFS(Table2[Stat],Table2[Week],Table1[[#This Row],[Week]],Table2[Athlete],Table1[[#This Row],[Pick]],Table2[Stat Category],"receiving",Table2[Stat Type],"TD"))))</f>
        <v>0</v>
      </c>
      <c r="M4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0" s="61">
        <f>SUMIFS(Data!$J:$J,Data!$A:$A,Info!$B400,Data!$G:$G,Info!$C400,Data!$I:$I,Info!$D400,Data!$H:$H,"TOT")</f>
        <v>0</v>
      </c>
      <c r="O400" s="61">
        <f>IF(C400="Defensive",SUMIFS(Data!$J:$J,Data!$A:$A,Info!$B400,Data!$I:$I,Info!$D400,Data!$H:$H,"INT"),0)</f>
        <v>0</v>
      </c>
      <c r="P400" s="61">
        <f>IF(Table1[[#This Row],[Role]]="Defensive",SUMIFS(Data!$J:$J,Data!$A:$A,Info!$B400,Data!$I:$I,Info!$D400,Data!$H:$H,$P$1),0)</f>
        <v>0</v>
      </c>
      <c r="Q400" s="65" t="str">
        <f>IF(Table1[[#This Row],[Pick]]="","",IF(S400&gt;1,400,IF(G400="","",IF(C400="Passing",(400-Table1[[#This Row],[Passing Yards]]-(30*Table1[[#This Row],[Passing TDs]])-(50*SUM(Table1[[#This Row],[Rushing TDs]:[Other TD''s]]))),IF(C400="Rushing",2*(200-Table1[[#This Row],[Rushing Yards]]-(30*Table1[[#This Row],[Passing TDs]])-50*(Table1[[#This Row],[Rushing TDs]]+Table1[[#This Row],[Receiving TDs]]+Table1[[#This Row],[Other TD''s]])),IF(C400="Receiving",2*(200-Table1[[#This Row],[Receiving Yards]]-(30*Table1[[#This Row],[Passing TDs]])-50*(Table1[[#This Row],[Rushing TDs]]+Table1[[#This Row],[Receiving TDs]]+Table1[[#This Row],[Other TD''s]])),IF(C400="Defensive",(25*(16-Table1[[#This Row],[Tackles]]-(8*(Table1[[#This Row],[Other TD''s]]+Table1[[#This Row],[Interceptions]]+Table1[[#This Row],[Fumbles Recovered]])))))))))))</f>
        <v/>
      </c>
      <c r="R400" s="3" t="str">
        <f t="shared" si="14"/>
        <v/>
      </c>
      <c r="S400" s="4">
        <f t="shared" si="13"/>
        <v>1048507</v>
      </c>
      <c r="T4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1" spans="1:20" hidden="1" x14ac:dyDescent="0.25">
      <c r="A401" t="s">
        <v>5</v>
      </c>
      <c r="B401" s="28" t="s">
        <v>49</v>
      </c>
      <c r="C401" t="s">
        <v>17</v>
      </c>
      <c r="D401" t="str">
        <f>_xlfn.XLOOKUP(Table1[[#This Row],[Player]]&amp;Table1[[#This Row],[Week]]&amp;Table1[[#This Row],[Role]],'Google Form Transform'!$A:$A,'Google Form Transform'!E:E,"")</f>
        <v/>
      </c>
      <c r="E401" t="str">
        <f>_xlfn.XLOOKUP(Table1[[#This Row],[Player]]&amp;Table1[[#This Row],[Week]]&amp;Table1[[#This Row],[Role]],'Google Form Transform'!$A:$A,'Google Form Transform'!F:F,"")</f>
        <v/>
      </c>
      <c r="F401" t="str">
        <f>_xlfn.XLOOKUP(Table1[[#This Row],[Player]]&amp;Table1[[#This Row],[Week]]&amp;Table1[[#This Row],[Role]],'Google Form Transform'!$A:$A,'Google Form Transform'!G:G,"")</f>
        <v/>
      </c>
      <c r="G401" s="59">
        <f>SUMIFS(Table2[Stat],Table2[Stat Category],"passing",Table2[Stat Type],"YDS",Table2[Athlete],Table1[[#This Row],[Pick]],Table2[Week],Table1[[#This Row],[Week]])</f>
        <v>0</v>
      </c>
      <c r="H401" s="59">
        <f>SUMIFS(Table2[Stat],Table2[Stat Category],"rushing",Table2[Stat Type],"YDS",Table2[Athlete],Table1[[#This Row],[Pick]],Table2[Week],Table1[[#This Row],[Week]])</f>
        <v>0</v>
      </c>
      <c r="I401" s="59">
        <f>SUMIFS(Table2[Stat],Table2[Stat Category],"receiving",Table2[Stat Type],"YDS",Table2[Athlete],Table1[[#This Row],[Pick]],Table2[Week],Table1[[#This Row],[Week]])</f>
        <v>0</v>
      </c>
      <c r="J401" s="6">
        <f>IF(AND($C401="Rushing", $H401&lt;=0), 0, IF(AND($C401="Passing", $G$3&lt;=0), 0,IF(AND($C401="Receiving",$I401&lt;=0), 0,SUMIFS(Table2[Stat],Table2[Week],Table1[[#This Row],[Week]],Table2[Athlete],Table1[[#This Row],[Pick]],Table2[Stat Category],"passing",Table2[Stat Type],"TD"))))</f>
        <v>0</v>
      </c>
      <c r="K401" s="6">
        <f>IF(AND($C401="Rushing", $H401&lt;=0), 0, IF(AND($C401="Passing", $G$3&lt;=0), 0,IF(AND($C401="Receiving",$I401&lt;=0),0,SUMIFS(Table2[Stat],Table2[Week],Table1[[#This Row],[Week]],Table2[Athlete],Table1[[#This Row],[Pick]],Table2[Stat Category],"rushing",Table2[Stat Type],"TD"))))</f>
        <v>0</v>
      </c>
      <c r="L401" s="6">
        <f>IF(AND($C401="Rushing", $H401&lt;=0), 0, IF(AND($C401="Passing", $G$3&lt;=0), 0,IF(AND($C401="Receiving",$I401&lt;=0),0,SUMIFS(Table2[Stat],Table2[Week],Table1[[#This Row],[Week]],Table2[Athlete],Table1[[#This Row],[Pick]],Table2[Stat Category],"receiving",Table2[Stat Type],"TD"))))</f>
        <v>0</v>
      </c>
      <c r="M4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1" s="61">
        <f>SUMIFS(Data!$J:$J,Data!$A:$A,Info!$B401,Data!$G:$G,Info!$C401,Data!$I:$I,Info!$D401,Data!$H:$H,"TOT")</f>
        <v>0</v>
      </c>
      <c r="O401" s="61">
        <f>IF(C401="Defensive",SUMIFS(Data!$J:$J,Data!$A:$A,Info!$B401,Data!$I:$I,Info!$D401,Data!$H:$H,"INT"),0)</f>
        <v>0</v>
      </c>
      <c r="P401" s="61">
        <f>IF(Table1[[#This Row],[Role]]="Defensive",SUMIFS(Data!$J:$J,Data!$A:$A,Info!$B401,Data!$I:$I,Info!$D401,Data!$H:$H,$P$1),0)</f>
        <v>0</v>
      </c>
      <c r="Q401" s="65" t="str">
        <f>IF(Table1[[#This Row],[Pick]]="","",IF(S401&gt;1,400,IF(G401="","",IF(C401="Passing",(400-Table1[[#This Row],[Passing Yards]]-(30*Table1[[#This Row],[Passing TDs]])-(50*SUM(Table1[[#This Row],[Rushing TDs]:[Other TD''s]]))),IF(C401="Rushing",2*(200-Table1[[#This Row],[Rushing Yards]]-(30*Table1[[#This Row],[Passing TDs]])-50*(Table1[[#This Row],[Rushing TDs]]+Table1[[#This Row],[Receiving TDs]]+Table1[[#This Row],[Other TD''s]])),IF(C401="Receiving",2*(200-Table1[[#This Row],[Receiving Yards]]-(30*Table1[[#This Row],[Passing TDs]])-50*(Table1[[#This Row],[Rushing TDs]]+Table1[[#This Row],[Receiving TDs]]+Table1[[#This Row],[Other TD''s]])),IF(C401="Defensive",(25*(16-Table1[[#This Row],[Tackles]]-(8*(Table1[[#This Row],[Other TD''s]]+Table1[[#This Row],[Interceptions]]+Table1[[#This Row],[Fumbles Recovered]])))))))))))</f>
        <v/>
      </c>
      <c r="R401" s="3" t="str">
        <f t="shared" si="14"/>
        <v/>
      </c>
      <c r="S401" s="4">
        <f t="shared" si="13"/>
        <v>1048507</v>
      </c>
      <c r="T4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2" spans="1:20" hidden="1" x14ac:dyDescent="0.25">
      <c r="A402" t="s">
        <v>5</v>
      </c>
      <c r="B402" s="28" t="s">
        <v>49</v>
      </c>
      <c r="C402" t="s">
        <v>20</v>
      </c>
      <c r="D402" t="str">
        <f>_xlfn.XLOOKUP(Table1[[#This Row],[Player]]&amp;Table1[[#This Row],[Week]]&amp;Table1[[#This Row],[Role]],'Google Form Transform'!$A:$A,'Google Form Transform'!E:E,"")</f>
        <v/>
      </c>
      <c r="E402" t="str">
        <f>_xlfn.XLOOKUP(Table1[[#This Row],[Player]]&amp;Table1[[#This Row],[Week]]&amp;Table1[[#This Row],[Role]],'Google Form Transform'!$A:$A,'Google Form Transform'!F:F,"")</f>
        <v/>
      </c>
      <c r="F402" t="str">
        <f>_xlfn.XLOOKUP(Table1[[#This Row],[Player]]&amp;Table1[[#This Row],[Week]]&amp;Table1[[#This Row],[Role]],'Google Form Transform'!$A:$A,'Google Form Transform'!G:G,"")</f>
        <v/>
      </c>
      <c r="G402" s="59">
        <f>SUMIFS(Table2[Stat],Table2[Stat Category],"passing",Table2[Stat Type],"YDS",Table2[Athlete],Table1[[#This Row],[Pick]],Table2[Week],Table1[[#This Row],[Week]])</f>
        <v>0</v>
      </c>
      <c r="H402" s="59">
        <f>SUMIFS(Table2[Stat],Table2[Stat Category],"rushing",Table2[Stat Type],"YDS",Table2[Athlete],Table1[[#This Row],[Pick]],Table2[Week],Table1[[#This Row],[Week]])</f>
        <v>0</v>
      </c>
      <c r="I402" s="59">
        <f>SUMIFS(Table2[Stat],Table2[Stat Category],"receiving",Table2[Stat Type],"YDS",Table2[Athlete],Table1[[#This Row],[Pick]],Table2[Week],Table1[[#This Row],[Week]])</f>
        <v>0</v>
      </c>
      <c r="J402" s="6">
        <f>IF(AND($C402="Rushing", $H402&lt;=0), 0, IF(AND($C402="Passing", $G$3&lt;=0), 0,IF(AND($C402="Receiving",$I402&lt;=0), 0,SUMIFS(Table2[Stat],Table2[Week],Table1[[#This Row],[Week]],Table2[Athlete],Table1[[#This Row],[Pick]],Table2[Stat Category],"passing",Table2[Stat Type],"TD"))))</f>
        <v>0</v>
      </c>
      <c r="K402" s="6">
        <f>IF(AND($C402="Rushing", $H402&lt;=0), 0, IF(AND($C402="Passing", $G$3&lt;=0), 0,IF(AND($C402="Receiving",$I402&lt;=0),0,SUMIFS(Table2[Stat],Table2[Week],Table1[[#This Row],[Week]],Table2[Athlete],Table1[[#This Row],[Pick]],Table2[Stat Category],"rushing",Table2[Stat Type],"TD"))))</f>
        <v>0</v>
      </c>
      <c r="L402" s="6">
        <f>IF(AND($C402="Rushing", $H402&lt;=0), 0, IF(AND($C402="Passing", $G$3&lt;=0), 0,IF(AND($C402="Receiving",$I402&lt;=0),0,SUMIFS(Table2[Stat],Table2[Week],Table1[[#This Row],[Week]],Table2[Athlete],Table1[[#This Row],[Pick]],Table2[Stat Category],"receiving",Table2[Stat Type],"TD"))))</f>
        <v>0</v>
      </c>
      <c r="M4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2" s="61">
        <f>SUMIFS(Data!$J:$J,Data!$A:$A,Info!$B402,Data!$G:$G,Info!$C402,Data!$I:$I,Info!$D402,Data!$H:$H,"TOT")</f>
        <v>0</v>
      </c>
      <c r="O402" s="61">
        <f>IF(C402="Defensive",SUMIFS(Data!$J:$J,Data!$A:$A,Info!$B402,Data!$I:$I,Info!$D402,Data!$H:$H,"INT"),0)</f>
        <v>0</v>
      </c>
      <c r="P402" s="61">
        <f>IF(Table1[[#This Row],[Role]]="Defensive",SUMIFS(Data!$J:$J,Data!$A:$A,Info!$B402,Data!$I:$I,Info!$D402,Data!$H:$H,$P$1),0)</f>
        <v>0</v>
      </c>
      <c r="Q402" s="65" t="str">
        <f>IF(Table1[[#This Row],[Pick]]="","",IF(S402&gt;1,400,IF(G402="","",IF(C402="Passing",(400-Table1[[#This Row],[Passing Yards]]-(30*Table1[[#This Row],[Passing TDs]])-(50*SUM(Table1[[#This Row],[Rushing TDs]:[Other TD''s]]))),IF(C402="Rushing",2*(200-Table1[[#This Row],[Rushing Yards]]-(30*Table1[[#This Row],[Passing TDs]])-50*(Table1[[#This Row],[Rushing TDs]]+Table1[[#This Row],[Receiving TDs]]+Table1[[#This Row],[Other TD''s]])),IF(C402="Receiving",2*(200-Table1[[#This Row],[Receiving Yards]]-(30*Table1[[#This Row],[Passing TDs]])-50*(Table1[[#This Row],[Rushing TDs]]+Table1[[#This Row],[Receiving TDs]]+Table1[[#This Row],[Other TD''s]])),IF(C402="Defensive",(25*(16-Table1[[#This Row],[Tackles]]-(8*(Table1[[#This Row],[Other TD''s]]+Table1[[#This Row],[Interceptions]]+Table1[[#This Row],[Fumbles Recovered]])))))))))))</f>
        <v/>
      </c>
      <c r="R402" s="3" t="str">
        <f t="shared" si="14"/>
        <v/>
      </c>
      <c r="S402" s="4">
        <f t="shared" si="13"/>
        <v>1048507</v>
      </c>
      <c r="T4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3" spans="1:20" hidden="1" x14ac:dyDescent="0.25">
      <c r="A403" t="s">
        <v>18</v>
      </c>
      <c r="B403" s="28" t="s">
        <v>49</v>
      </c>
      <c r="C403" t="s">
        <v>16</v>
      </c>
      <c r="D403" t="str">
        <f>_xlfn.XLOOKUP(Table1[[#This Row],[Player]]&amp;Table1[[#This Row],[Week]]&amp;Table1[[#This Row],[Role]],'Google Form Transform'!$A:$A,'Google Form Transform'!E:E,"")</f>
        <v/>
      </c>
      <c r="E403" t="str">
        <f>_xlfn.XLOOKUP(Table1[[#This Row],[Player]]&amp;Table1[[#This Row],[Week]]&amp;Table1[[#This Row],[Role]],'Google Form Transform'!$A:$A,'Google Form Transform'!F:F,"")</f>
        <v/>
      </c>
      <c r="F403" t="str">
        <f>_xlfn.XLOOKUP(Table1[[#This Row],[Player]]&amp;Table1[[#This Row],[Week]]&amp;Table1[[#This Row],[Role]],'Google Form Transform'!$A:$A,'Google Form Transform'!G:G,"")</f>
        <v/>
      </c>
      <c r="G403" s="59">
        <f>SUMIFS(Table2[Stat],Table2[Stat Category],"passing",Table2[Stat Type],"YDS",Table2[Athlete],Table1[[#This Row],[Pick]],Table2[Week],Table1[[#This Row],[Week]])</f>
        <v>0</v>
      </c>
      <c r="H403" s="59">
        <f>SUMIFS(Table2[Stat],Table2[Stat Category],"rushing",Table2[Stat Type],"YDS",Table2[Athlete],Table1[[#This Row],[Pick]],Table2[Week],Table1[[#This Row],[Week]])</f>
        <v>0</v>
      </c>
      <c r="I403" s="59">
        <f>SUMIFS(Table2[Stat],Table2[Stat Category],"receiving",Table2[Stat Type],"YDS",Table2[Athlete],Table1[[#This Row],[Pick]],Table2[Week],Table1[[#This Row],[Week]])</f>
        <v>0</v>
      </c>
      <c r="J403" s="6">
        <f>IF(AND($C403="Rushing", $H403&lt;=0), 0, IF(AND($C403="Passing", $G$3&lt;=0), 0,IF(AND($C403="Receiving",$I403&lt;=0), 0,SUMIFS(Table2[Stat],Table2[Week],Table1[[#This Row],[Week]],Table2[Athlete],Table1[[#This Row],[Pick]],Table2[Stat Category],"passing",Table2[Stat Type],"TD"))))</f>
        <v>0</v>
      </c>
      <c r="K403" s="6">
        <f>IF(AND($C403="Rushing", $H403&lt;=0), 0, IF(AND($C403="Passing", $G$3&lt;=0), 0,IF(AND($C403="Receiving",$I403&lt;=0),0,SUMIFS(Table2[Stat],Table2[Week],Table1[[#This Row],[Week]],Table2[Athlete],Table1[[#This Row],[Pick]],Table2[Stat Category],"rushing",Table2[Stat Type],"TD"))))</f>
        <v>0</v>
      </c>
      <c r="L403" s="6">
        <f>IF(AND($C403="Rushing", $H403&lt;=0), 0, IF(AND($C403="Passing", $G$3&lt;=0), 0,IF(AND($C403="Receiving",$I403&lt;=0),0,SUMIFS(Table2[Stat],Table2[Week],Table1[[#This Row],[Week]],Table2[Athlete],Table1[[#This Row],[Pick]],Table2[Stat Category],"receiving",Table2[Stat Type],"TD"))))</f>
        <v>0</v>
      </c>
      <c r="M4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3" s="61">
        <f>SUMIFS(Data!$J:$J,Data!$A:$A,Info!$B403,Data!$G:$G,Info!$C403,Data!$I:$I,Info!$D403,Data!$H:$H,"TOT")</f>
        <v>0</v>
      </c>
      <c r="O403" s="61">
        <f>IF(C403="Defensive",SUMIFS(Data!$J:$J,Data!$A:$A,Info!$B403,Data!$I:$I,Info!$D403,Data!$H:$H,"INT"),0)</f>
        <v>0</v>
      </c>
      <c r="P403" s="61">
        <f>IF(Table1[[#This Row],[Role]]="Defensive",SUMIFS(Data!$J:$J,Data!$A:$A,Info!$B403,Data!$I:$I,Info!$D403,Data!$H:$H,$P$1),0)</f>
        <v>0</v>
      </c>
      <c r="Q403" s="65" t="str">
        <f>IF(Table1[[#This Row],[Pick]]="","",IF(S403&gt;1,400,IF(G403="","",IF(C403="Passing",(400-Table1[[#This Row],[Passing Yards]]-(30*Table1[[#This Row],[Passing TDs]])-(50*SUM(Table1[[#This Row],[Rushing TDs]:[Other TD''s]]))),IF(C403="Rushing",2*(200-Table1[[#This Row],[Rushing Yards]]-(30*Table1[[#This Row],[Passing TDs]])-50*(Table1[[#This Row],[Rushing TDs]]+Table1[[#This Row],[Receiving TDs]]+Table1[[#This Row],[Other TD''s]])),IF(C403="Receiving",2*(200-Table1[[#This Row],[Receiving Yards]]-(30*Table1[[#This Row],[Passing TDs]])-50*(Table1[[#This Row],[Rushing TDs]]+Table1[[#This Row],[Receiving TDs]]+Table1[[#This Row],[Other TD''s]])),IF(C403="Defensive",(25*(16-Table1[[#This Row],[Tackles]]-(8*(Table1[[#This Row],[Other TD''s]]+Table1[[#This Row],[Interceptions]]+Table1[[#This Row],[Fumbles Recovered]])))))))))))</f>
        <v/>
      </c>
      <c r="R403" s="3" t="str">
        <f t="shared" si="14"/>
        <v/>
      </c>
      <c r="S403" s="4">
        <f t="shared" si="13"/>
        <v>1048507</v>
      </c>
      <c r="T4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4" spans="1:20" hidden="1" x14ac:dyDescent="0.25">
      <c r="A404" t="s">
        <v>18</v>
      </c>
      <c r="B404" s="28" t="s">
        <v>49</v>
      </c>
      <c r="C404" t="s">
        <v>6</v>
      </c>
      <c r="D404" t="str">
        <f>_xlfn.XLOOKUP(Table1[[#This Row],[Player]]&amp;Table1[[#This Row],[Week]]&amp;Table1[[#This Row],[Role]],'Google Form Transform'!$A:$A,'Google Form Transform'!E:E,"")</f>
        <v/>
      </c>
      <c r="E404" t="str">
        <f>_xlfn.XLOOKUP(Table1[[#This Row],[Player]]&amp;Table1[[#This Row],[Week]]&amp;Table1[[#This Row],[Role]],'Google Form Transform'!$A:$A,'Google Form Transform'!F:F,"")</f>
        <v/>
      </c>
      <c r="F404" t="str">
        <f>_xlfn.XLOOKUP(Table1[[#This Row],[Player]]&amp;Table1[[#This Row],[Week]]&amp;Table1[[#This Row],[Role]],'Google Form Transform'!$A:$A,'Google Form Transform'!G:G,"")</f>
        <v/>
      </c>
      <c r="G404" s="59">
        <f>SUMIFS(Table2[Stat],Table2[Stat Category],"passing",Table2[Stat Type],"YDS",Table2[Athlete],Table1[[#This Row],[Pick]],Table2[Week],Table1[[#This Row],[Week]])</f>
        <v>0</v>
      </c>
      <c r="H404" s="59">
        <f>SUMIFS(Table2[Stat],Table2[Stat Category],"rushing",Table2[Stat Type],"YDS",Table2[Athlete],Table1[[#This Row],[Pick]],Table2[Week],Table1[[#This Row],[Week]])</f>
        <v>0</v>
      </c>
      <c r="I404" s="59">
        <f>SUMIFS(Table2[Stat],Table2[Stat Category],"receiving",Table2[Stat Type],"YDS",Table2[Athlete],Table1[[#This Row],[Pick]],Table2[Week],Table1[[#This Row],[Week]])</f>
        <v>0</v>
      </c>
      <c r="J404" s="6">
        <f>IF(AND($C404="Rushing", $H404&lt;=0), 0, IF(AND($C404="Passing", $G$3&lt;=0), 0,IF(AND($C404="Receiving",$I404&lt;=0), 0,SUMIFS(Table2[Stat],Table2[Week],Table1[[#This Row],[Week]],Table2[Athlete],Table1[[#This Row],[Pick]],Table2[Stat Category],"passing",Table2[Stat Type],"TD"))))</f>
        <v>0</v>
      </c>
      <c r="K404" s="6">
        <f>IF(AND($C404="Rushing", $H404&lt;=0), 0, IF(AND($C404="Passing", $G$3&lt;=0), 0,IF(AND($C404="Receiving",$I404&lt;=0),0,SUMIFS(Table2[Stat],Table2[Week],Table1[[#This Row],[Week]],Table2[Athlete],Table1[[#This Row],[Pick]],Table2[Stat Category],"rushing",Table2[Stat Type],"TD"))))</f>
        <v>0</v>
      </c>
      <c r="L404" s="6">
        <f>IF(AND($C404="Rushing", $H404&lt;=0), 0, IF(AND($C404="Passing", $G$3&lt;=0), 0,IF(AND($C404="Receiving",$I404&lt;=0),0,SUMIFS(Table2[Stat],Table2[Week],Table1[[#This Row],[Week]],Table2[Athlete],Table1[[#This Row],[Pick]],Table2[Stat Category],"receiving",Table2[Stat Type],"TD"))))</f>
        <v>0</v>
      </c>
      <c r="M4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4" s="61">
        <f>SUMIFS(Data!$J:$J,Data!$A:$A,Info!$B404,Data!$G:$G,Info!$C404,Data!$I:$I,Info!$D404,Data!$H:$H,"TOT")</f>
        <v>0</v>
      </c>
      <c r="O404" s="61">
        <f>IF(C404="Defensive",SUMIFS(Data!$J:$J,Data!$A:$A,Info!$B404,Data!$I:$I,Info!$D404,Data!$H:$H,"INT"),0)</f>
        <v>0</v>
      </c>
      <c r="P404" s="61">
        <f>IF(Table1[[#This Row],[Role]]="Defensive",SUMIFS(Data!$J:$J,Data!$A:$A,Info!$B404,Data!$I:$I,Info!$D404,Data!$H:$H,$P$1),0)</f>
        <v>0</v>
      </c>
      <c r="Q404" s="65" t="str">
        <f>IF(Table1[[#This Row],[Pick]]="","",IF(S404&gt;1,400,IF(G404="","",IF(C404="Passing",(400-Table1[[#This Row],[Passing Yards]]-(30*Table1[[#This Row],[Passing TDs]])-(50*SUM(Table1[[#This Row],[Rushing TDs]:[Other TD''s]]))),IF(C404="Rushing",2*(200-Table1[[#This Row],[Rushing Yards]]-(30*Table1[[#This Row],[Passing TDs]])-50*(Table1[[#This Row],[Rushing TDs]]+Table1[[#This Row],[Receiving TDs]]+Table1[[#This Row],[Other TD''s]])),IF(C404="Receiving",2*(200-Table1[[#This Row],[Receiving Yards]]-(30*Table1[[#This Row],[Passing TDs]])-50*(Table1[[#This Row],[Rushing TDs]]+Table1[[#This Row],[Receiving TDs]]+Table1[[#This Row],[Other TD''s]])),IF(C404="Defensive",(25*(16-Table1[[#This Row],[Tackles]]-(8*(Table1[[#This Row],[Other TD''s]]+Table1[[#This Row],[Interceptions]]+Table1[[#This Row],[Fumbles Recovered]])))))))))))</f>
        <v/>
      </c>
      <c r="R404" s="3" t="str">
        <f t="shared" si="14"/>
        <v/>
      </c>
      <c r="S404" s="4">
        <f t="shared" si="13"/>
        <v>1048507</v>
      </c>
      <c r="T4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5" spans="1:20" hidden="1" x14ac:dyDescent="0.25">
      <c r="A405" t="s">
        <v>18</v>
      </c>
      <c r="B405" s="28" t="s">
        <v>49</v>
      </c>
      <c r="C405" t="s">
        <v>17</v>
      </c>
      <c r="D405" t="str">
        <f>_xlfn.XLOOKUP(Table1[[#This Row],[Player]]&amp;Table1[[#This Row],[Week]]&amp;Table1[[#This Row],[Role]],'Google Form Transform'!$A:$A,'Google Form Transform'!E:E,"")</f>
        <v/>
      </c>
      <c r="E405" t="str">
        <f>_xlfn.XLOOKUP(Table1[[#This Row],[Player]]&amp;Table1[[#This Row],[Week]]&amp;Table1[[#This Row],[Role]],'Google Form Transform'!$A:$A,'Google Form Transform'!F:F,"")</f>
        <v/>
      </c>
      <c r="F405" t="str">
        <f>_xlfn.XLOOKUP(Table1[[#This Row],[Player]]&amp;Table1[[#This Row],[Week]]&amp;Table1[[#This Row],[Role]],'Google Form Transform'!$A:$A,'Google Form Transform'!G:G,"")</f>
        <v/>
      </c>
      <c r="G405" s="59">
        <f>SUMIFS(Table2[Stat],Table2[Stat Category],"passing",Table2[Stat Type],"YDS",Table2[Athlete],Table1[[#This Row],[Pick]],Table2[Week],Table1[[#This Row],[Week]])</f>
        <v>0</v>
      </c>
      <c r="H405" s="59">
        <f>SUMIFS(Table2[Stat],Table2[Stat Category],"rushing",Table2[Stat Type],"YDS",Table2[Athlete],Table1[[#This Row],[Pick]],Table2[Week],Table1[[#This Row],[Week]])</f>
        <v>0</v>
      </c>
      <c r="I405" s="59">
        <f>SUMIFS(Table2[Stat],Table2[Stat Category],"receiving",Table2[Stat Type],"YDS",Table2[Athlete],Table1[[#This Row],[Pick]],Table2[Week],Table1[[#This Row],[Week]])</f>
        <v>0</v>
      </c>
      <c r="J405" s="6">
        <f>IF(AND($C405="Rushing", $H405&lt;=0), 0, IF(AND($C405="Passing", $G$3&lt;=0), 0,IF(AND($C405="Receiving",$I405&lt;=0), 0,SUMIFS(Table2[Stat],Table2[Week],Table1[[#This Row],[Week]],Table2[Athlete],Table1[[#This Row],[Pick]],Table2[Stat Category],"passing",Table2[Stat Type],"TD"))))</f>
        <v>0</v>
      </c>
      <c r="K405" s="6">
        <f>IF(AND($C405="Rushing", $H405&lt;=0), 0, IF(AND($C405="Passing", $G$3&lt;=0), 0,IF(AND($C405="Receiving",$I405&lt;=0),0,SUMIFS(Table2[Stat],Table2[Week],Table1[[#This Row],[Week]],Table2[Athlete],Table1[[#This Row],[Pick]],Table2[Stat Category],"rushing",Table2[Stat Type],"TD"))))</f>
        <v>0</v>
      </c>
      <c r="L405" s="6">
        <f>IF(AND($C405="Rushing", $H405&lt;=0), 0, IF(AND($C405="Passing", $G$3&lt;=0), 0,IF(AND($C405="Receiving",$I405&lt;=0),0,SUMIFS(Table2[Stat],Table2[Week],Table1[[#This Row],[Week]],Table2[Athlete],Table1[[#This Row],[Pick]],Table2[Stat Category],"receiving",Table2[Stat Type],"TD"))))</f>
        <v>0</v>
      </c>
      <c r="M4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5" s="61">
        <f>SUMIFS(Data!$J:$J,Data!$A:$A,Info!$B405,Data!$G:$G,Info!$C405,Data!$I:$I,Info!$D405,Data!$H:$H,"TOT")</f>
        <v>0</v>
      </c>
      <c r="O405" s="61">
        <f>IF(C405="Defensive",SUMIFS(Data!$J:$J,Data!$A:$A,Info!$B405,Data!$I:$I,Info!$D405,Data!$H:$H,"INT"),0)</f>
        <v>0</v>
      </c>
      <c r="P405" s="61">
        <f>IF(Table1[[#This Row],[Role]]="Defensive",SUMIFS(Data!$J:$J,Data!$A:$A,Info!$B405,Data!$I:$I,Info!$D405,Data!$H:$H,$P$1),0)</f>
        <v>0</v>
      </c>
      <c r="Q405" s="65" t="str">
        <f>IF(Table1[[#This Row],[Pick]]="","",IF(S405&gt;1,400,IF(G405="","",IF(C405="Passing",(400-Table1[[#This Row],[Passing Yards]]-(30*Table1[[#This Row],[Passing TDs]])-(50*SUM(Table1[[#This Row],[Rushing TDs]:[Other TD''s]]))),IF(C405="Rushing",2*(200-Table1[[#This Row],[Rushing Yards]]-(30*Table1[[#This Row],[Passing TDs]])-50*(Table1[[#This Row],[Rushing TDs]]+Table1[[#This Row],[Receiving TDs]]+Table1[[#This Row],[Other TD''s]])),IF(C405="Receiving",2*(200-Table1[[#This Row],[Receiving Yards]]-(30*Table1[[#This Row],[Passing TDs]])-50*(Table1[[#This Row],[Rushing TDs]]+Table1[[#This Row],[Receiving TDs]]+Table1[[#This Row],[Other TD''s]])),IF(C405="Defensive",(25*(16-Table1[[#This Row],[Tackles]]-(8*(Table1[[#This Row],[Other TD''s]]+Table1[[#This Row],[Interceptions]]+Table1[[#This Row],[Fumbles Recovered]])))))))))))</f>
        <v/>
      </c>
      <c r="R405" s="3" t="str">
        <f t="shared" si="14"/>
        <v/>
      </c>
      <c r="S405" s="4">
        <f t="shared" si="13"/>
        <v>1048507</v>
      </c>
      <c r="T4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6" spans="1:20" hidden="1" x14ac:dyDescent="0.25">
      <c r="A406" t="s">
        <v>18</v>
      </c>
      <c r="B406" s="28" t="s">
        <v>49</v>
      </c>
      <c r="C406" t="s">
        <v>20</v>
      </c>
      <c r="D406" t="str">
        <f>_xlfn.XLOOKUP(Table1[[#This Row],[Player]]&amp;Table1[[#This Row],[Week]]&amp;Table1[[#This Row],[Role]],'Google Form Transform'!$A:$A,'Google Form Transform'!E:E,"")</f>
        <v/>
      </c>
      <c r="E406" t="str">
        <f>_xlfn.XLOOKUP(Table1[[#This Row],[Player]]&amp;Table1[[#This Row],[Week]]&amp;Table1[[#This Row],[Role]],'Google Form Transform'!$A:$A,'Google Form Transform'!F:F,"")</f>
        <v/>
      </c>
      <c r="F406" t="str">
        <f>_xlfn.XLOOKUP(Table1[[#This Row],[Player]]&amp;Table1[[#This Row],[Week]]&amp;Table1[[#This Row],[Role]],'Google Form Transform'!$A:$A,'Google Form Transform'!G:G,"")</f>
        <v/>
      </c>
      <c r="G406" s="59">
        <f>SUMIFS(Table2[Stat],Table2[Stat Category],"passing",Table2[Stat Type],"YDS",Table2[Athlete],Table1[[#This Row],[Pick]],Table2[Week],Table1[[#This Row],[Week]])</f>
        <v>0</v>
      </c>
      <c r="H406" s="59">
        <f>SUMIFS(Table2[Stat],Table2[Stat Category],"rushing",Table2[Stat Type],"YDS",Table2[Athlete],Table1[[#This Row],[Pick]],Table2[Week],Table1[[#This Row],[Week]])</f>
        <v>0</v>
      </c>
      <c r="I406" s="59">
        <f>SUMIFS(Table2[Stat],Table2[Stat Category],"receiving",Table2[Stat Type],"YDS",Table2[Athlete],Table1[[#This Row],[Pick]],Table2[Week],Table1[[#This Row],[Week]])</f>
        <v>0</v>
      </c>
      <c r="J406" s="6">
        <f>IF(AND($C406="Rushing", $H406&lt;=0), 0, IF(AND($C406="Passing", $G$3&lt;=0), 0,IF(AND($C406="Receiving",$I406&lt;=0), 0,SUMIFS(Table2[Stat],Table2[Week],Table1[[#This Row],[Week]],Table2[Athlete],Table1[[#This Row],[Pick]],Table2[Stat Category],"passing",Table2[Stat Type],"TD"))))</f>
        <v>0</v>
      </c>
      <c r="K406" s="6">
        <f>IF(AND($C406="Rushing", $H406&lt;=0), 0, IF(AND($C406="Passing", $G$3&lt;=0), 0,IF(AND($C406="Receiving",$I406&lt;=0),0,SUMIFS(Table2[Stat],Table2[Week],Table1[[#This Row],[Week]],Table2[Athlete],Table1[[#This Row],[Pick]],Table2[Stat Category],"rushing",Table2[Stat Type],"TD"))))</f>
        <v>0</v>
      </c>
      <c r="L406" s="6">
        <f>IF(AND($C406="Rushing", $H406&lt;=0), 0, IF(AND($C406="Passing", $G$3&lt;=0), 0,IF(AND($C406="Receiving",$I406&lt;=0),0,SUMIFS(Table2[Stat],Table2[Week],Table1[[#This Row],[Week]],Table2[Athlete],Table1[[#This Row],[Pick]],Table2[Stat Category],"receiving",Table2[Stat Type],"TD"))))</f>
        <v>0</v>
      </c>
      <c r="M4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6" s="61">
        <f>SUMIFS(Data!$J:$J,Data!$A:$A,Info!$B406,Data!$G:$G,Info!$C406,Data!$I:$I,Info!$D406,Data!$H:$H,"TOT")</f>
        <v>0</v>
      </c>
      <c r="O406" s="61">
        <f>IF(C406="Defensive",SUMIFS(Data!$J:$J,Data!$A:$A,Info!$B406,Data!$I:$I,Info!$D406,Data!$H:$H,"INT"),0)</f>
        <v>0</v>
      </c>
      <c r="P406" s="61">
        <f>IF(Table1[[#This Row],[Role]]="Defensive",SUMIFS(Data!$J:$J,Data!$A:$A,Info!$B406,Data!$I:$I,Info!$D406,Data!$H:$H,$P$1),0)</f>
        <v>0</v>
      </c>
      <c r="Q406" s="65" t="str">
        <f>IF(Table1[[#This Row],[Pick]]="","",IF(S406&gt;1,400,IF(G406="","",IF(C406="Passing",(400-Table1[[#This Row],[Passing Yards]]-(30*Table1[[#This Row],[Passing TDs]])-(50*SUM(Table1[[#This Row],[Rushing TDs]:[Other TD''s]]))),IF(C406="Rushing",2*(200-Table1[[#This Row],[Rushing Yards]]-(30*Table1[[#This Row],[Passing TDs]])-50*(Table1[[#This Row],[Rushing TDs]]+Table1[[#This Row],[Receiving TDs]]+Table1[[#This Row],[Other TD''s]])),IF(C406="Receiving",2*(200-Table1[[#This Row],[Receiving Yards]]-(30*Table1[[#This Row],[Passing TDs]])-50*(Table1[[#This Row],[Rushing TDs]]+Table1[[#This Row],[Receiving TDs]]+Table1[[#This Row],[Other TD''s]])),IF(C406="Defensive",(25*(16-Table1[[#This Row],[Tackles]]-(8*(Table1[[#This Row],[Other TD''s]]+Table1[[#This Row],[Interceptions]]+Table1[[#This Row],[Fumbles Recovered]])))))))))))</f>
        <v/>
      </c>
      <c r="R406" s="3" t="str">
        <f t="shared" si="14"/>
        <v/>
      </c>
      <c r="S406" s="4">
        <f t="shared" si="13"/>
        <v>1048507</v>
      </c>
      <c r="T4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7" spans="1:20" hidden="1" x14ac:dyDescent="0.25">
      <c r="A407" t="s">
        <v>19</v>
      </c>
      <c r="B407" s="28" t="s">
        <v>49</v>
      </c>
      <c r="C407" t="s">
        <v>16</v>
      </c>
      <c r="D407" t="str">
        <f>_xlfn.XLOOKUP(Table1[[#This Row],[Player]]&amp;Table1[[#This Row],[Week]]&amp;Table1[[#This Row],[Role]],'Google Form Transform'!$A:$A,'Google Form Transform'!E:E,"")</f>
        <v/>
      </c>
      <c r="E407" t="str">
        <f>_xlfn.XLOOKUP(Table1[[#This Row],[Player]]&amp;Table1[[#This Row],[Week]]&amp;Table1[[#This Row],[Role]],'Google Form Transform'!$A:$A,'Google Form Transform'!F:F,"")</f>
        <v/>
      </c>
      <c r="F407" t="str">
        <f>_xlfn.XLOOKUP(Table1[[#This Row],[Player]]&amp;Table1[[#This Row],[Week]]&amp;Table1[[#This Row],[Role]],'Google Form Transform'!$A:$A,'Google Form Transform'!G:G,"")</f>
        <v/>
      </c>
      <c r="G407" s="59">
        <f>SUMIFS(Table2[Stat],Table2[Stat Category],"passing",Table2[Stat Type],"YDS",Table2[Athlete],Table1[[#This Row],[Pick]],Table2[Week],Table1[[#This Row],[Week]])</f>
        <v>0</v>
      </c>
      <c r="H407" s="59">
        <f>SUMIFS(Table2[Stat],Table2[Stat Category],"rushing",Table2[Stat Type],"YDS",Table2[Athlete],Table1[[#This Row],[Pick]],Table2[Week],Table1[[#This Row],[Week]])</f>
        <v>0</v>
      </c>
      <c r="I407" s="59">
        <f>SUMIFS(Table2[Stat],Table2[Stat Category],"receiving",Table2[Stat Type],"YDS",Table2[Athlete],Table1[[#This Row],[Pick]],Table2[Week],Table1[[#This Row],[Week]])</f>
        <v>0</v>
      </c>
      <c r="J407" s="6">
        <f>IF(AND($C407="Rushing", $H407&lt;=0), 0, IF(AND($C407="Passing", $G$3&lt;=0), 0,IF(AND($C407="Receiving",$I407&lt;=0), 0,SUMIFS(Table2[Stat],Table2[Week],Table1[[#This Row],[Week]],Table2[Athlete],Table1[[#This Row],[Pick]],Table2[Stat Category],"passing",Table2[Stat Type],"TD"))))</f>
        <v>0</v>
      </c>
      <c r="K407" s="6">
        <f>IF(AND($C407="Rushing", $H407&lt;=0), 0, IF(AND($C407="Passing", $G$3&lt;=0), 0,IF(AND($C407="Receiving",$I407&lt;=0),0,SUMIFS(Table2[Stat],Table2[Week],Table1[[#This Row],[Week]],Table2[Athlete],Table1[[#This Row],[Pick]],Table2[Stat Category],"rushing",Table2[Stat Type],"TD"))))</f>
        <v>0</v>
      </c>
      <c r="L407" s="6">
        <f>IF(AND($C407="Rushing", $H407&lt;=0), 0, IF(AND($C407="Passing", $G$3&lt;=0), 0,IF(AND($C407="Receiving",$I407&lt;=0),0,SUMIFS(Table2[Stat],Table2[Week],Table1[[#This Row],[Week]],Table2[Athlete],Table1[[#This Row],[Pick]],Table2[Stat Category],"receiving",Table2[Stat Type],"TD"))))</f>
        <v>0</v>
      </c>
      <c r="M4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7" s="61">
        <f>SUMIFS(Data!$J:$J,Data!$A:$A,Info!$B407,Data!$G:$G,Info!$C407,Data!$I:$I,Info!$D407,Data!$H:$H,"TOT")</f>
        <v>0</v>
      </c>
      <c r="O407" s="61">
        <f>IF(C407="Defensive",SUMIFS(Data!$J:$J,Data!$A:$A,Info!$B407,Data!$I:$I,Info!$D407,Data!$H:$H,"INT"),0)</f>
        <v>0</v>
      </c>
      <c r="P407" s="61">
        <f>IF(Table1[[#This Row],[Role]]="Defensive",SUMIFS(Data!$J:$J,Data!$A:$A,Info!$B407,Data!$I:$I,Info!$D407,Data!$H:$H,$P$1),0)</f>
        <v>0</v>
      </c>
      <c r="Q407" s="65" t="str">
        <f>IF(Table1[[#This Row],[Pick]]="","",IF(S407&gt;1,400,IF(G407="","",IF(C407="Passing",(400-Table1[[#This Row],[Passing Yards]]-(30*Table1[[#This Row],[Passing TDs]])-(50*SUM(Table1[[#This Row],[Rushing TDs]:[Other TD''s]]))),IF(C407="Rushing",2*(200-Table1[[#This Row],[Rushing Yards]]-(30*Table1[[#This Row],[Passing TDs]])-50*(Table1[[#This Row],[Rushing TDs]]+Table1[[#This Row],[Receiving TDs]]+Table1[[#This Row],[Other TD''s]])),IF(C407="Receiving",2*(200-Table1[[#This Row],[Receiving Yards]]-(30*Table1[[#This Row],[Passing TDs]])-50*(Table1[[#This Row],[Rushing TDs]]+Table1[[#This Row],[Receiving TDs]]+Table1[[#This Row],[Other TD''s]])),IF(C407="Defensive",(25*(16-Table1[[#This Row],[Tackles]]-(8*(Table1[[#This Row],[Other TD''s]]+Table1[[#This Row],[Interceptions]]+Table1[[#This Row],[Fumbles Recovered]])))))))))))</f>
        <v/>
      </c>
      <c r="R407" s="3" t="str">
        <f t="shared" si="14"/>
        <v/>
      </c>
      <c r="S407" s="4">
        <f t="shared" si="13"/>
        <v>1048507</v>
      </c>
      <c r="T4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8" spans="1:20" hidden="1" x14ac:dyDescent="0.25">
      <c r="A408" t="s">
        <v>19</v>
      </c>
      <c r="B408" s="28" t="s">
        <v>49</v>
      </c>
      <c r="C408" t="s">
        <v>6</v>
      </c>
      <c r="D408" t="str">
        <f>_xlfn.XLOOKUP(Table1[[#This Row],[Player]]&amp;Table1[[#This Row],[Week]]&amp;Table1[[#This Row],[Role]],'Google Form Transform'!$A:$A,'Google Form Transform'!E:E,"")</f>
        <v/>
      </c>
      <c r="E408" t="str">
        <f>_xlfn.XLOOKUP(Table1[[#This Row],[Player]]&amp;Table1[[#This Row],[Week]]&amp;Table1[[#This Row],[Role]],'Google Form Transform'!$A:$A,'Google Form Transform'!F:F,"")</f>
        <v/>
      </c>
      <c r="F408" t="str">
        <f>_xlfn.XLOOKUP(Table1[[#This Row],[Player]]&amp;Table1[[#This Row],[Week]]&amp;Table1[[#This Row],[Role]],'Google Form Transform'!$A:$A,'Google Form Transform'!G:G,"")</f>
        <v/>
      </c>
      <c r="G408" s="59">
        <f>SUMIFS(Table2[Stat],Table2[Stat Category],"passing",Table2[Stat Type],"YDS",Table2[Athlete],Table1[[#This Row],[Pick]],Table2[Week],Table1[[#This Row],[Week]])</f>
        <v>0</v>
      </c>
      <c r="H408" s="59">
        <f>SUMIFS(Table2[Stat],Table2[Stat Category],"rushing",Table2[Stat Type],"YDS",Table2[Athlete],Table1[[#This Row],[Pick]],Table2[Week],Table1[[#This Row],[Week]])</f>
        <v>0</v>
      </c>
      <c r="I408" s="59">
        <f>SUMIFS(Table2[Stat],Table2[Stat Category],"receiving",Table2[Stat Type],"YDS",Table2[Athlete],Table1[[#This Row],[Pick]],Table2[Week],Table1[[#This Row],[Week]])</f>
        <v>0</v>
      </c>
      <c r="J408" s="6">
        <f>IF(AND($C408="Rushing", $H408&lt;=0), 0, IF(AND($C408="Passing", $G$3&lt;=0), 0,IF(AND($C408="Receiving",$I408&lt;=0), 0,SUMIFS(Table2[Stat],Table2[Week],Table1[[#This Row],[Week]],Table2[Athlete],Table1[[#This Row],[Pick]],Table2[Stat Category],"passing",Table2[Stat Type],"TD"))))</f>
        <v>0</v>
      </c>
      <c r="K408" s="6">
        <f>IF(AND($C408="Rushing", $H408&lt;=0), 0, IF(AND($C408="Passing", $G$3&lt;=0), 0,IF(AND($C408="Receiving",$I408&lt;=0),0,SUMIFS(Table2[Stat],Table2[Week],Table1[[#This Row],[Week]],Table2[Athlete],Table1[[#This Row],[Pick]],Table2[Stat Category],"rushing",Table2[Stat Type],"TD"))))</f>
        <v>0</v>
      </c>
      <c r="L408" s="6">
        <f>IF(AND($C408="Rushing", $H408&lt;=0), 0, IF(AND($C408="Passing", $G$3&lt;=0), 0,IF(AND($C408="Receiving",$I408&lt;=0),0,SUMIFS(Table2[Stat],Table2[Week],Table1[[#This Row],[Week]],Table2[Athlete],Table1[[#This Row],[Pick]],Table2[Stat Category],"receiving",Table2[Stat Type],"TD"))))</f>
        <v>0</v>
      </c>
      <c r="M4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8" s="61">
        <f>SUMIFS(Data!$J:$J,Data!$A:$A,Info!$B408,Data!$G:$G,Info!$C408,Data!$I:$I,Info!$D408,Data!$H:$H,"TOT")</f>
        <v>0</v>
      </c>
      <c r="O408" s="61">
        <f>IF(C408="Defensive",SUMIFS(Data!$J:$J,Data!$A:$A,Info!$B408,Data!$I:$I,Info!$D408,Data!$H:$H,"INT"),0)</f>
        <v>0</v>
      </c>
      <c r="P408" s="61">
        <f>IF(Table1[[#This Row],[Role]]="Defensive",SUMIFS(Data!$J:$J,Data!$A:$A,Info!$B408,Data!$I:$I,Info!$D408,Data!$H:$H,$P$1),0)</f>
        <v>0</v>
      </c>
      <c r="Q408" s="65" t="str">
        <f>IF(Table1[[#This Row],[Pick]]="","",IF(S408&gt;1,400,IF(G408="","",IF(C408="Passing",(400-Table1[[#This Row],[Passing Yards]]-(30*Table1[[#This Row],[Passing TDs]])-(50*SUM(Table1[[#This Row],[Rushing TDs]:[Other TD''s]]))),IF(C408="Rushing",2*(200-Table1[[#This Row],[Rushing Yards]]-(30*Table1[[#This Row],[Passing TDs]])-50*(Table1[[#This Row],[Rushing TDs]]+Table1[[#This Row],[Receiving TDs]]+Table1[[#This Row],[Other TD''s]])),IF(C408="Receiving",2*(200-Table1[[#This Row],[Receiving Yards]]-(30*Table1[[#This Row],[Passing TDs]])-50*(Table1[[#This Row],[Rushing TDs]]+Table1[[#This Row],[Receiving TDs]]+Table1[[#This Row],[Other TD''s]])),IF(C408="Defensive",(25*(16-Table1[[#This Row],[Tackles]]-(8*(Table1[[#This Row],[Other TD''s]]+Table1[[#This Row],[Interceptions]]+Table1[[#This Row],[Fumbles Recovered]])))))))))))</f>
        <v/>
      </c>
      <c r="R408" s="3" t="str">
        <f t="shared" si="14"/>
        <v/>
      </c>
      <c r="S408" s="4">
        <f t="shared" si="13"/>
        <v>1048507</v>
      </c>
      <c r="T4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9" spans="1:20" hidden="1" x14ac:dyDescent="0.25">
      <c r="A409" t="s">
        <v>19</v>
      </c>
      <c r="B409" s="28" t="s">
        <v>49</v>
      </c>
      <c r="C409" t="s">
        <v>17</v>
      </c>
      <c r="D409" t="str">
        <f>_xlfn.XLOOKUP(Table1[[#This Row],[Player]]&amp;Table1[[#This Row],[Week]]&amp;Table1[[#This Row],[Role]],'Google Form Transform'!$A:$A,'Google Form Transform'!E:E,"")</f>
        <v/>
      </c>
      <c r="E409" t="str">
        <f>_xlfn.XLOOKUP(Table1[[#This Row],[Player]]&amp;Table1[[#This Row],[Week]]&amp;Table1[[#This Row],[Role]],'Google Form Transform'!$A:$A,'Google Form Transform'!F:F,"")</f>
        <v/>
      </c>
      <c r="F409" t="str">
        <f>_xlfn.XLOOKUP(Table1[[#This Row],[Player]]&amp;Table1[[#This Row],[Week]]&amp;Table1[[#This Row],[Role]],'Google Form Transform'!$A:$A,'Google Form Transform'!G:G,"")</f>
        <v/>
      </c>
      <c r="G409" s="59">
        <f>SUMIFS(Table2[Stat],Table2[Stat Category],"passing",Table2[Stat Type],"YDS",Table2[Athlete],Table1[[#This Row],[Pick]],Table2[Week],Table1[[#This Row],[Week]])</f>
        <v>0</v>
      </c>
      <c r="H409" s="59">
        <f>SUMIFS(Table2[Stat],Table2[Stat Category],"rushing",Table2[Stat Type],"YDS",Table2[Athlete],Table1[[#This Row],[Pick]],Table2[Week],Table1[[#This Row],[Week]])</f>
        <v>0</v>
      </c>
      <c r="I409" s="59">
        <f>SUMIFS(Table2[Stat],Table2[Stat Category],"receiving",Table2[Stat Type],"YDS",Table2[Athlete],Table1[[#This Row],[Pick]],Table2[Week],Table1[[#This Row],[Week]])</f>
        <v>0</v>
      </c>
      <c r="J409" s="6">
        <f>IF(AND($C409="Rushing", $H409&lt;=0), 0, IF(AND($C409="Passing", $G$3&lt;=0), 0,IF(AND($C409="Receiving",$I409&lt;=0), 0,SUMIFS(Table2[Stat],Table2[Week],Table1[[#This Row],[Week]],Table2[Athlete],Table1[[#This Row],[Pick]],Table2[Stat Category],"passing",Table2[Stat Type],"TD"))))</f>
        <v>0</v>
      </c>
      <c r="K409" s="6">
        <f>IF(AND($C409="Rushing", $H409&lt;=0), 0, IF(AND($C409="Passing", $G$3&lt;=0), 0,IF(AND($C409="Receiving",$I409&lt;=0),0,SUMIFS(Table2[Stat],Table2[Week],Table1[[#This Row],[Week]],Table2[Athlete],Table1[[#This Row],[Pick]],Table2[Stat Category],"rushing",Table2[Stat Type],"TD"))))</f>
        <v>0</v>
      </c>
      <c r="L409" s="6">
        <f>IF(AND($C409="Rushing", $H409&lt;=0), 0, IF(AND($C409="Passing", $G$3&lt;=0), 0,IF(AND($C409="Receiving",$I409&lt;=0),0,SUMIFS(Table2[Stat],Table2[Week],Table1[[#This Row],[Week]],Table2[Athlete],Table1[[#This Row],[Pick]],Table2[Stat Category],"receiving",Table2[Stat Type],"TD"))))</f>
        <v>0</v>
      </c>
      <c r="M4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9" s="61">
        <f>SUMIFS(Data!$J:$J,Data!$A:$A,Info!$B409,Data!$G:$G,Info!$C409,Data!$I:$I,Info!$D409,Data!$H:$H,"TOT")</f>
        <v>0</v>
      </c>
      <c r="O409" s="61">
        <f>IF(C409="Defensive",SUMIFS(Data!$J:$J,Data!$A:$A,Info!$B409,Data!$I:$I,Info!$D409,Data!$H:$H,"INT"),0)</f>
        <v>0</v>
      </c>
      <c r="P409" s="61">
        <f>IF(Table1[[#This Row],[Role]]="Defensive",SUMIFS(Data!$J:$J,Data!$A:$A,Info!$B409,Data!$I:$I,Info!$D409,Data!$H:$H,$P$1),0)</f>
        <v>0</v>
      </c>
      <c r="Q409" s="65" t="str">
        <f>IF(Table1[[#This Row],[Pick]]="","",IF(S409&gt;1,400,IF(G409="","",IF(C409="Passing",(400-Table1[[#This Row],[Passing Yards]]-(30*Table1[[#This Row],[Passing TDs]])-(50*SUM(Table1[[#This Row],[Rushing TDs]:[Other TD''s]]))),IF(C409="Rushing",2*(200-Table1[[#This Row],[Rushing Yards]]-(30*Table1[[#This Row],[Passing TDs]])-50*(Table1[[#This Row],[Rushing TDs]]+Table1[[#This Row],[Receiving TDs]]+Table1[[#This Row],[Other TD''s]])),IF(C409="Receiving",2*(200-Table1[[#This Row],[Receiving Yards]]-(30*Table1[[#This Row],[Passing TDs]])-50*(Table1[[#This Row],[Rushing TDs]]+Table1[[#This Row],[Receiving TDs]]+Table1[[#This Row],[Other TD''s]])),IF(C409="Defensive",(25*(16-Table1[[#This Row],[Tackles]]-(8*(Table1[[#This Row],[Other TD''s]]+Table1[[#This Row],[Interceptions]]+Table1[[#This Row],[Fumbles Recovered]])))))))))))</f>
        <v/>
      </c>
      <c r="R409" s="3" t="str">
        <f t="shared" si="14"/>
        <v/>
      </c>
      <c r="S409" s="4">
        <f t="shared" si="13"/>
        <v>1048507</v>
      </c>
      <c r="T4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0" spans="1:20" hidden="1" x14ac:dyDescent="0.25">
      <c r="A410" t="s">
        <v>19</v>
      </c>
      <c r="B410" s="28" t="s">
        <v>49</v>
      </c>
      <c r="C410" t="s">
        <v>20</v>
      </c>
      <c r="D410" t="str">
        <f>_xlfn.XLOOKUP(Table1[[#This Row],[Player]]&amp;Table1[[#This Row],[Week]]&amp;Table1[[#This Row],[Role]],'Google Form Transform'!$A:$A,'Google Form Transform'!E:E,"")</f>
        <v/>
      </c>
      <c r="E410" t="str">
        <f>_xlfn.XLOOKUP(Table1[[#This Row],[Player]]&amp;Table1[[#This Row],[Week]]&amp;Table1[[#This Row],[Role]],'Google Form Transform'!$A:$A,'Google Form Transform'!F:F,"")</f>
        <v/>
      </c>
      <c r="F410" t="str">
        <f>_xlfn.XLOOKUP(Table1[[#This Row],[Player]]&amp;Table1[[#This Row],[Week]]&amp;Table1[[#This Row],[Role]],'Google Form Transform'!$A:$A,'Google Form Transform'!G:G,"")</f>
        <v/>
      </c>
      <c r="G410" s="59">
        <f>SUMIFS(Table2[Stat],Table2[Stat Category],"passing",Table2[Stat Type],"YDS",Table2[Athlete],Table1[[#This Row],[Pick]],Table2[Week],Table1[[#This Row],[Week]])</f>
        <v>0</v>
      </c>
      <c r="H410" s="59">
        <f>SUMIFS(Table2[Stat],Table2[Stat Category],"rushing",Table2[Stat Type],"YDS",Table2[Athlete],Table1[[#This Row],[Pick]],Table2[Week],Table1[[#This Row],[Week]])</f>
        <v>0</v>
      </c>
      <c r="I410" s="59">
        <f>SUMIFS(Table2[Stat],Table2[Stat Category],"receiving",Table2[Stat Type],"YDS",Table2[Athlete],Table1[[#This Row],[Pick]],Table2[Week],Table1[[#This Row],[Week]])</f>
        <v>0</v>
      </c>
      <c r="J410" s="6">
        <f>IF(AND($C410="Rushing", $H410&lt;=0), 0, IF(AND($C410="Passing", $G$3&lt;=0), 0,IF(AND($C410="Receiving",$I410&lt;=0), 0,SUMIFS(Table2[Stat],Table2[Week],Table1[[#This Row],[Week]],Table2[Athlete],Table1[[#This Row],[Pick]],Table2[Stat Category],"passing",Table2[Stat Type],"TD"))))</f>
        <v>0</v>
      </c>
      <c r="K410" s="6">
        <f>IF(AND($C410="Rushing", $H410&lt;=0), 0, IF(AND($C410="Passing", $G$3&lt;=0), 0,IF(AND($C410="Receiving",$I410&lt;=0),0,SUMIFS(Table2[Stat],Table2[Week],Table1[[#This Row],[Week]],Table2[Athlete],Table1[[#This Row],[Pick]],Table2[Stat Category],"rushing",Table2[Stat Type],"TD"))))</f>
        <v>0</v>
      </c>
      <c r="L410" s="6">
        <f>IF(AND($C410="Rushing", $H410&lt;=0), 0, IF(AND($C410="Passing", $G$3&lt;=0), 0,IF(AND($C410="Receiving",$I410&lt;=0),0,SUMIFS(Table2[Stat],Table2[Week],Table1[[#This Row],[Week]],Table2[Athlete],Table1[[#This Row],[Pick]],Table2[Stat Category],"receiving",Table2[Stat Type],"TD"))))</f>
        <v>0</v>
      </c>
      <c r="M4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0" s="61">
        <f>SUMIFS(Data!$J:$J,Data!$A:$A,Info!$B410,Data!$G:$G,Info!$C410,Data!$I:$I,Info!$D410,Data!$H:$H,"TOT")</f>
        <v>0</v>
      </c>
      <c r="O410" s="61">
        <f>IF(C410="Defensive",SUMIFS(Data!$J:$J,Data!$A:$A,Info!$B410,Data!$I:$I,Info!$D410,Data!$H:$H,"INT"),0)</f>
        <v>0</v>
      </c>
      <c r="P410" s="61">
        <f>IF(Table1[[#This Row],[Role]]="Defensive",SUMIFS(Data!$J:$J,Data!$A:$A,Info!$B410,Data!$I:$I,Info!$D410,Data!$H:$H,$P$1),0)</f>
        <v>0</v>
      </c>
      <c r="Q410" s="65" t="str">
        <f>IF(Table1[[#This Row],[Pick]]="","",IF(S410&gt;1,400,IF(G410="","",IF(C410="Passing",(400-Table1[[#This Row],[Passing Yards]]-(30*Table1[[#This Row],[Passing TDs]])-(50*SUM(Table1[[#This Row],[Rushing TDs]:[Other TD''s]]))),IF(C410="Rushing",2*(200-Table1[[#This Row],[Rushing Yards]]-(30*Table1[[#This Row],[Passing TDs]])-50*(Table1[[#This Row],[Rushing TDs]]+Table1[[#This Row],[Receiving TDs]]+Table1[[#This Row],[Other TD''s]])),IF(C410="Receiving",2*(200-Table1[[#This Row],[Receiving Yards]]-(30*Table1[[#This Row],[Passing TDs]])-50*(Table1[[#This Row],[Rushing TDs]]+Table1[[#This Row],[Receiving TDs]]+Table1[[#This Row],[Other TD''s]])),IF(C410="Defensive",(25*(16-Table1[[#This Row],[Tackles]]-(8*(Table1[[#This Row],[Other TD''s]]+Table1[[#This Row],[Interceptions]]+Table1[[#This Row],[Fumbles Recovered]])))))))))))</f>
        <v/>
      </c>
      <c r="R410" s="3" t="str">
        <f t="shared" si="14"/>
        <v/>
      </c>
      <c r="S410" s="4">
        <f t="shared" si="13"/>
        <v>1048507</v>
      </c>
      <c r="T4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1" spans="1:20" hidden="1" x14ac:dyDescent="0.25">
      <c r="A411" t="s">
        <v>26</v>
      </c>
      <c r="B411" s="28" t="s">
        <v>49</v>
      </c>
      <c r="C411" t="s">
        <v>16</v>
      </c>
      <c r="D411" t="str">
        <f>_xlfn.XLOOKUP(Table1[[#This Row],[Player]]&amp;Table1[[#This Row],[Week]]&amp;Table1[[#This Row],[Role]],'Google Form Transform'!$A:$A,'Google Form Transform'!E:E,"")</f>
        <v/>
      </c>
      <c r="E411" t="str">
        <f>_xlfn.XLOOKUP(Table1[[#This Row],[Player]]&amp;Table1[[#This Row],[Week]]&amp;Table1[[#This Row],[Role]],'Google Form Transform'!$A:$A,'Google Form Transform'!F:F,"")</f>
        <v/>
      </c>
      <c r="F411" t="str">
        <f>_xlfn.XLOOKUP(Table1[[#This Row],[Player]]&amp;Table1[[#This Row],[Week]]&amp;Table1[[#This Row],[Role]],'Google Form Transform'!$A:$A,'Google Form Transform'!G:G,"")</f>
        <v/>
      </c>
      <c r="G411" s="59">
        <f>SUMIFS(Table2[Stat],Table2[Stat Category],"passing",Table2[Stat Type],"YDS",Table2[Athlete],Table1[[#This Row],[Pick]],Table2[Week],Table1[[#This Row],[Week]])</f>
        <v>0</v>
      </c>
      <c r="H411" s="59">
        <f>SUMIFS(Table2[Stat],Table2[Stat Category],"rushing",Table2[Stat Type],"YDS",Table2[Athlete],Table1[[#This Row],[Pick]],Table2[Week],Table1[[#This Row],[Week]])</f>
        <v>0</v>
      </c>
      <c r="I411" s="59">
        <f>SUMIFS(Table2[Stat],Table2[Stat Category],"receiving",Table2[Stat Type],"YDS",Table2[Athlete],Table1[[#This Row],[Pick]],Table2[Week],Table1[[#This Row],[Week]])</f>
        <v>0</v>
      </c>
      <c r="J411" s="6">
        <f>IF(AND($C411="Rushing", $H411&lt;=0), 0, IF(AND($C411="Passing", $G$3&lt;=0), 0,IF(AND($C411="Receiving",$I411&lt;=0), 0,SUMIFS(Table2[Stat],Table2[Week],Table1[[#This Row],[Week]],Table2[Athlete],Table1[[#This Row],[Pick]],Table2[Stat Category],"passing",Table2[Stat Type],"TD"))))</f>
        <v>0</v>
      </c>
      <c r="K411" s="6">
        <f>IF(AND($C411="Rushing", $H411&lt;=0), 0, IF(AND($C411="Passing", $G$3&lt;=0), 0,IF(AND($C411="Receiving",$I411&lt;=0),0,SUMIFS(Table2[Stat],Table2[Week],Table1[[#This Row],[Week]],Table2[Athlete],Table1[[#This Row],[Pick]],Table2[Stat Category],"rushing",Table2[Stat Type],"TD"))))</f>
        <v>0</v>
      </c>
      <c r="L411" s="6">
        <f>IF(AND($C411="Rushing", $H411&lt;=0), 0, IF(AND($C411="Passing", $G$3&lt;=0), 0,IF(AND($C411="Receiving",$I411&lt;=0),0,SUMIFS(Table2[Stat],Table2[Week],Table1[[#This Row],[Week]],Table2[Athlete],Table1[[#This Row],[Pick]],Table2[Stat Category],"receiving",Table2[Stat Type],"TD"))))</f>
        <v>0</v>
      </c>
      <c r="M4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1" s="61">
        <f>SUMIFS(Data!$J:$J,Data!$A:$A,Info!$B411,Data!$G:$G,Info!$C411,Data!$I:$I,Info!$D411,Data!$H:$H,"TOT")</f>
        <v>0</v>
      </c>
      <c r="O411" s="61">
        <f>IF(C411="Defensive",SUMIFS(Data!$J:$J,Data!$A:$A,Info!$B411,Data!$I:$I,Info!$D411,Data!$H:$H,"INT"),0)</f>
        <v>0</v>
      </c>
      <c r="P411" s="61">
        <f>IF(Table1[[#This Row],[Role]]="Defensive",SUMIFS(Data!$J:$J,Data!$A:$A,Info!$B411,Data!$I:$I,Info!$D411,Data!$H:$H,$P$1),0)</f>
        <v>0</v>
      </c>
      <c r="Q411" s="65" t="str">
        <f>IF(Table1[[#This Row],[Pick]]="","",IF(S411&gt;1,400,IF(G411="","",IF(C411="Passing",(400-Table1[[#This Row],[Passing Yards]]-(30*Table1[[#This Row],[Passing TDs]])-(50*SUM(Table1[[#This Row],[Rushing TDs]:[Other TD''s]]))),IF(C411="Rushing",2*(200-Table1[[#This Row],[Rushing Yards]]-(30*Table1[[#This Row],[Passing TDs]])-50*(Table1[[#This Row],[Rushing TDs]]+Table1[[#This Row],[Receiving TDs]]+Table1[[#This Row],[Other TD''s]])),IF(C411="Receiving",2*(200-Table1[[#This Row],[Receiving Yards]]-(30*Table1[[#This Row],[Passing TDs]])-50*(Table1[[#This Row],[Rushing TDs]]+Table1[[#This Row],[Receiving TDs]]+Table1[[#This Row],[Other TD''s]])),IF(C411="Defensive",(25*(16-Table1[[#This Row],[Tackles]]-(8*(Table1[[#This Row],[Other TD''s]]+Table1[[#This Row],[Interceptions]]+Table1[[#This Row],[Fumbles Recovered]])))))))))))</f>
        <v/>
      </c>
      <c r="R411" s="3" t="str">
        <f t="shared" si="14"/>
        <v/>
      </c>
      <c r="S411" s="4">
        <f t="shared" si="13"/>
        <v>1048507</v>
      </c>
      <c r="T4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2" spans="1:20" hidden="1" x14ac:dyDescent="0.25">
      <c r="A412" t="s">
        <v>26</v>
      </c>
      <c r="B412" s="28" t="s">
        <v>49</v>
      </c>
      <c r="C412" t="s">
        <v>6</v>
      </c>
      <c r="D412" t="str">
        <f>_xlfn.XLOOKUP(Table1[[#This Row],[Player]]&amp;Table1[[#This Row],[Week]]&amp;Table1[[#This Row],[Role]],'Google Form Transform'!$A:$A,'Google Form Transform'!E:E,"")</f>
        <v/>
      </c>
      <c r="E412" t="str">
        <f>_xlfn.XLOOKUP(Table1[[#This Row],[Player]]&amp;Table1[[#This Row],[Week]]&amp;Table1[[#This Row],[Role]],'Google Form Transform'!$A:$A,'Google Form Transform'!F:F,"")</f>
        <v/>
      </c>
      <c r="F412" t="str">
        <f>_xlfn.XLOOKUP(Table1[[#This Row],[Player]]&amp;Table1[[#This Row],[Week]]&amp;Table1[[#This Row],[Role]],'Google Form Transform'!$A:$A,'Google Form Transform'!G:G,"")</f>
        <v/>
      </c>
      <c r="G412" s="59">
        <f>SUMIFS(Table2[Stat],Table2[Stat Category],"passing",Table2[Stat Type],"YDS",Table2[Athlete],Table1[[#This Row],[Pick]],Table2[Week],Table1[[#This Row],[Week]])</f>
        <v>0</v>
      </c>
      <c r="H412" s="59">
        <f>SUMIFS(Table2[Stat],Table2[Stat Category],"rushing",Table2[Stat Type],"YDS",Table2[Athlete],Table1[[#This Row],[Pick]],Table2[Week],Table1[[#This Row],[Week]])</f>
        <v>0</v>
      </c>
      <c r="I412" s="59">
        <f>SUMIFS(Table2[Stat],Table2[Stat Category],"receiving",Table2[Stat Type],"YDS",Table2[Athlete],Table1[[#This Row],[Pick]],Table2[Week],Table1[[#This Row],[Week]])</f>
        <v>0</v>
      </c>
      <c r="J412" s="6">
        <f>IF(AND($C412="Rushing", $H412&lt;=0), 0, IF(AND($C412="Passing", $G$3&lt;=0), 0,IF(AND($C412="Receiving",$I412&lt;=0), 0,SUMIFS(Table2[Stat],Table2[Week],Table1[[#This Row],[Week]],Table2[Athlete],Table1[[#This Row],[Pick]],Table2[Stat Category],"passing",Table2[Stat Type],"TD"))))</f>
        <v>0</v>
      </c>
      <c r="K412" s="6">
        <f>IF(AND($C412="Rushing", $H412&lt;=0), 0, IF(AND($C412="Passing", $G$3&lt;=0), 0,IF(AND($C412="Receiving",$I412&lt;=0),0,SUMIFS(Table2[Stat],Table2[Week],Table1[[#This Row],[Week]],Table2[Athlete],Table1[[#This Row],[Pick]],Table2[Stat Category],"rushing",Table2[Stat Type],"TD"))))</f>
        <v>0</v>
      </c>
      <c r="L412" s="6">
        <f>IF(AND($C412="Rushing", $H412&lt;=0), 0, IF(AND($C412="Passing", $G$3&lt;=0), 0,IF(AND($C412="Receiving",$I412&lt;=0),0,SUMIFS(Table2[Stat],Table2[Week],Table1[[#This Row],[Week]],Table2[Athlete],Table1[[#This Row],[Pick]],Table2[Stat Category],"receiving",Table2[Stat Type],"TD"))))</f>
        <v>0</v>
      </c>
      <c r="M4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2" s="61">
        <f>SUMIFS(Data!$J:$J,Data!$A:$A,Info!$B412,Data!$G:$G,Info!$C412,Data!$I:$I,Info!$D412,Data!$H:$H,"TOT")</f>
        <v>0</v>
      </c>
      <c r="O412" s="61">
        <f>IF(C412="Defensive",SUMIFS(Data!$J:$J,Data!$A:$A,Info!$B412,Data!$I:$I,Info!$D412,Data!$H:$H,"INT"),0)</f>
        <v>0</v>
      </c>
      <c r="P412" s="61">
        <f>IF(Table1[[#This Row],[Role]]="Defensive",SUMIFS(Data!$J:$J,Data!$A:$A,Info!$B412,Data!$I:$I,Info!$D412,Data!$H:$H,$P$1),0)</f>
        <v>0</v>
      </c>
      <c r="Q412" s="65" t="str">
        <f>IF(Table1[[#This Row],[Pick]]="","",IF(S412&gt;1,400,IF(G412="","",IF(C412="Passing",(400-Table1[[#This Row],[Passing Yards]]-(30*Table1[[#This Row],[Passing TDs]])-(50*SUM(Table1[[#This Row],[Rushing TDs]:[Other TD''s]]))),IF(C412="Rushing",2*(200-Table1[[#This Row],[Rushing Yards]]-(30*Table1[[#This Row],[Passing TDs]])-50*(Table1[[#This Row],[Rushing TDs]]+Table1[[#This Row],[Receiving TDs]]+Table1[[#This Row],[Other TD''s]])),IF(C412="Receiving",2*(200-Table1[[#This Row],[Receiving Yards]]-(30*Table1[[#This Row],[Passing TDs]])-50*(Table1[[#This Row],[Rushing TDs]]+Table1[[#This Row],[Receiving TDs]]+Table1[[#This Row],[Other TD''s]])),IF(C412="Defensive",(25*(16-Table1[[#This Row],[Tackles]]-(8*(Table1[[#This Row],[Other TD''s]]+Table1[[#This Row],[Interceptions]]+Table1[[#This Row],[Fumbles Recovered]])))))))))))</f>
        <v/>
      </c>
      <c r="R412" s="3" t="str">
        <f t="shared" si="14"/>
        <v/>
      </c>
      <c r="S412" s="4">
        <f t="shared" si="13"/>
        <v>1048507</v>
      </c>
      <c r="T4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3" spans="1:20" hidden="1" x14ac:dyDescent="0.25">
      <c r="A413" t="s">
        <v>26</v>
      </c>
      <c r="B413" s="28" t="s">
        <v>49</v>
      </c>
      <c r="C413" t="s">
        <v>17</v>
      </c>
      <c r="D413" t="str">
        <f>_xlfn.XLOOKUP(Table1[[#This Row],[Player]]&amp;Table1[[#This Row],[Week]]&amp;Table1[[#This Row],[Role]],'Google Form Transform'!$A:$A,'Google Form Transform'!E:E,"")</f>
        <v/>
      </c>
      <c r="E413" t="str">
        <f>_xlfn.XLOOKUP(Table1[[#This Row],[Player]]&amp;Table1[[#This Row],[Week]]&amp;Table1[[#This Row],[Role]],'Google Form Transform'!$A:$A,'Google Form Transform'!F:F,"")</f>
        <v/>
      </c>
      <c r="F413" t="str">
        <f>_xlfn.XLOOKUP(Table1[[#This Row],[Player]]&amp;Table1[[#This Row],[Week]]&amp;Table1[[#This Row],[Role]],'Google Form Transform'!$A:$A,'Google Form Transform'!G:G,"")</f>
        <v/>
      </c>
      <c r="G413" s="59">
        <f>SUMIFS(Table2[Stat],Table2[Stat Category],"passing",Table2[Stat Type],"YDS",Table2[Athlete],Table1[[#This Row],[Pick]],Table2[Week],Table1[[#This Row],[Week]])</f>
        <v>0</v>
      </c>
      <c r="H413" s="59">
        <f>SUMIFS(Table2[Stat],Table2[Stat Category],"rushing",Table2[Stat Type],"YDS",Table2[Athlete],Table1[[#This Row],[Pick]],Table2[Week],Table1[[#This Row],[Week]])</f>
        <v>0</v>
      </c>
      <c r="I413" s="59">
        <f>SUMIFS(Table2[Stat],Table2[Stat Category],"receiving",Table2[Stat Type],"YDS",Table2[Athlete],Table1[[#This Row],[Pick]],Table2[Week],Table1[[#This Row],[Week]])</f>
        <v>0</v>
      </c>
      <c r="J413" s="6">
        <f>IF(AND($C413="Rushing", $H413&lt;=0), 0, IF(AND($C413="Passing", $G$3&lt;=0), 0,IF(AND($C413="Receiving",$I413&lt;=0), 0,SUMIFS(Table2[Stat],Table2[Week],Table1[[#This Row],[Week]],Table2[Athlete],Table1[[#This Row],[Pick]],Table2[Stat Category],"passing",Table2[Stat Type],"TD"))))</f>
        <v>0</v>
      </c>
      <c r="K413" s="6">
        <f>IF(AND($C413="Rushing", $H413&lt;=0), 0, IF(AND($C413="Passing", $G$3&lt;=0), 0,IF(AND($C413="Receiving",$I413&lt;=0),0,SUMIFS(Table2[Stat],Table2[Week],Table1[[#This Row],[Week]],Table2[Athlete],Table1[[#This Row],[Pick]],Table2[Stat Category],"rushing",Table2[Stat Type],"TD"))))</f>
        <v>0</v>
      </c>
      <c r="L413" s="6">
        <f>IF(AND($C413="Rushing", $H413&lt;=0), 0, IF(AND($C413="Passing", $G$3&lt;=0), 0,IF(AND($C413="Receiving",$I413&lt;=0),0,SUMIFS(Table2[Stat],Table2[Week],Table1[[#This Row],[Week]],Table2[Athlete],Table1[[#This Row],[Pick]],Table2[Stat Category],"receiving",Table2[Stat Type],"TD"))))</f>
        <v>0</v>
      </c>
      <c r="M4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3" s="61">
        <f>SUMIFS(Data!$J:$J,Data!$A:$A,Info!$B413,Data!$G:$G,Info!$C413,Data!$I:$I,Info!$D413,Data!$H:$H,"TOT")</f>
        <v>0</v>
      </c>
      <c r="O413" s="61">
        <f>IF(C413="Defensive",SUMIFS(Data!$J:$J,Data!$A:$A,Info!$B413,Data!$I:$I,Info!$D413,Data!$H:$H,"INT"),0)</f>
        <v>0</v>
      </c>
      <c r="P413" s="61">
        <f>IF(Table1[[#This Row],[Role]]="Defensive",SUMIFS(Data!$J:$J,Data!$A:$A,Info!$B413,Data!$I:$I,Info!$D413,Data!$H:$H,$P$1),0)</f>
        <v>0</v>
      </c>
      <c r="Q413" s="65" t="str">
        <f>IF(Table1[[#This Row],[Pick]]="","",IF(S413&gt;1,400,IF(G413="","",IF(C413="Passing",(400-Table1[[#This Row],[Passing Yards]]-(30*Table1[[#This Row],[Passing TDs]])-(50*SUM(Table1[[#This Row],[Rushing TDs]:[Other TD''s]]))),IF(C413="Rushing",2*(200-Table1[[#This Row],[Rushing Yards]]-(30*Table1[[#This Row],[Passing TDs]])-50*(Table1[[#This Row],[Rushing TDs]]+Table1[[#This Row],[Receiving TDs]]+Table1[[#This Row],[Other TD''s]])),IF(C413="Receiving",2*(200-Table1[[#This Row],[Receiving Yards]]-(30*Table1[[#This Row],[Passing TDs]])-50*(Table1[[#This Row],[Rushing TDs]]+Table1[[#This Row],[Receiving TDs]]+Table1[[#This Row],[Other TD''s]])),IF(C413="Defensive",(25*(16-Table1[[#This Row],[Tackles]]-(8*(Table1[[#This Row],[Other TD''s]]+Table1[[#This Row],[Interceptions]]+Table1[[#This Row],[Fumbles Recovered]])))))))))))</f>
        <v/>
      </c>
      <c r="R413" s="3" t="str">
        <f t="shared" si="14"/>
        <v/>
      </c>
      <c r="S413" s="4">
        <f t="shared" si="13"/>
        <v>1048507</v>
      </c>
      <c r="T4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4" spans="1:20" hidden="1" x14ac:dyDescent="0.25">
      <c r="A414" t="s">
        <v>26</v>
      </c>
      <c r="B414" s="28" t="s">
        <v>49</v>
      </c>
      <c r="C414" t="s">
        <v>20</v>
      </c>
      <c r="D414" t="str">
        <f>_xlfn.XLOOKUP(Table1[[#This Row],[Player]]&amp;Table1[[#This Row],[Week]]&amp;Table1[[#This Row],[Role]],'Google Form Transform'!$A:$A,'Google Form Transform'!E:E,"")</f>
        <v/>
      </c>
      <c r="E414" t="str">
        <f>_xlfn.XLOOKUP(Table1[[#This Row],[Player]]&amp;Table1[[#This Row],[Week]]&amp;Table1[[#This Row],[Role]],'Google Form Transform'!$A:$A,'Google Form Transform'!F:F,"")</f>
        <v/>
      </c>
      <c r="F414" t="str">
        <f>_xlfn.XLOOKUP(Table1[[#This Row],[Player]]&amp;Table1[[#This Row],[Week]]&amp;Table1[[#This Row],[Role]],'Google Form Transform'!$A:$A,'Google Form Transform'!G:G,"")</f>
        <v/>
      </c>
      <c r="G414" s="59">
        <f>SUMIFS(Table2[Stat],Table2[Stat Category],"passing",Table2[Stat Type],"YDS",Table2[Athlete],Table1[[#This Row],[Pick]],Table2[Week],Table1[[#This Row],[Week]])</f>
        <v>0</v>
      </c>
      <c r="H414" s="59">
        <f>SUMIFS(Table2[Stat],Table2[Stat Category],"rushing",Table2[Stat Type],"YDS",Table2[Athlete],Table1[[#This Row],[Pick]],Table2[Week],Table1[[#This Row],[Week]])</f>
        <v>0</v>
      </c>
      <c r="I414" s="59">
        <f>SUMIFS(Table2[Stat],Table2[Stat Category],"receiving",Table2[Stat Type],"YDS",Table2[Athlete],Table1[[#This Row],[Pick]],Table2[Week],Table1[[#This Row],[Week]])</f>
        <v>0</v>
      </c>
      <c r="J414" s="6">
        <f>IF(AND($C414="Rushing", $H414&lt;=0), 0, IF(AND($C414="Passing", $G$3&lt;=0), 0,IF(AND($C414="Receiving",$I414&lt;=0), 0,SUMIFS(Table2[Stat],Table2[Week],Table1[[#This Row],[Week]],Table2[Athlete],Table1[[#This Row],[Pick]],Table2[Stat Category],"passing",Table2[Stat Type],"TD"))))</f>
        <v>0</v>
      </c>
      <c r="K414" s="6">
        <f>IF(AND($C414="Rushing", $H414&lt;=0), 0, IF(AND($C414="Passing", $G$3&lt;=0), 0,IF(AND($C414="Receiving",$I414&lt;=0),0,SUMIFS(Table2[Stat],Table2[Week],Table1[[#This Row],[Week]],Table2[Athlete],Table1[[#This Row],[Pick]],Table2[Stat Category],"rushing",Table2[Stat Type],"TD"))))</f>
        <v>0</v>
      </c>
      <c r="L414" s="6">
        <f>IF(AND($C414="Rushing", $H414&lt;=0), 0, IF(AND($C414="Passing", $G$3&lt;=0), 0,IF(AND($C414="Receiving",$I414&lt;=0),0,SUMIFS(Table2[Stat],Table2[Week],Table1[[#This Row],[Week]],Table2[Athlete],Table1[[#This Row],[Pick]],Table2[Stat Category],"receiving",Table2[Stat Type],"TD"))))</f>
        <v>0</v>
      </c>
      <c r="M4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4" s="61">
        <f>SUMIFS(Data!$J:$J,Data!$A:$A,Info!$B414,Data!$G:$G,Info!$C414,Data!$I:$I,Info!$D414,Data!$H:$H,"TOT")</f>
        <v>0</v>
      </c>
      <c r="O414" s="61">
        <f>IF(C414="Defensive",SUMIFS(Data!$J:$J,Data!$A:$A,Info!$B414,Data!$I:$I,Info!$D414,Data!$H:$H,"INT"),0)</f>
        <v>0</v>
      </c>
      <c r="P414" s="61">
        <f>IF(Table1[[#This Row],[Role]]="Defensive",SUMIFS(Data!$J:$J,Data!$A:$A,Info!$B414,Data!$I:$I,Info!$D414,Data!$H:$H,$P$1),0)</f>
        <v>0</v>
      </c>
      <c r="Q414" s="65" t="str">
        <f>IF(Table1[[#This Row],[Pick]]="","",IF(S414&gt;1,400,IF(G414="","",IF(C414="Passing",(400-Table1[[#This Row],[Passing Yards]]-(30*Table1[[#This Row],[Passing TDs]])-(50*SUM(Table1[[#This Row],[Rushing TDs]:[Other TD''s]]))),IF(C414="Rushing",2*(200-Table1[[#This Row],[Rushing Yards]]-(30*Table1[[#This Row],[Passing TDs]])-50*(Table1[[#This Row],[Rushing TDs]]+Table1[[#This Row],[Receiving TDs]]+Table1[[#This Row],[Other TD''s]])),IF(C414="Receiving",2*(200-Table1[[#This Row],[Receiving Yards]]-(30*Table1[[#This Row],[Passing TDs]])-50*(Table1[[#This Row],[Rushing TDs]]+Table1[[#This Row],[Receiving TDs]]+Table1[[#This Row],[Other TD''s]])),IF(C414="Defensive",(25*(16-Table1[[#This Row],[Tackles]]-(8*(Table1[[#This Row],[Other TD''s]]+Table1[[#This Row],[Interceptions]]+Table1[[#This Row],[Fumbles Recovered]])))))))))))</f>
        <v/>
      </c>
      <c r="R414" s="3" t="str">
        <f t="shared" si="14"/>
        <v/>
      </c>
      <c r="S414" s="4">
        <f t="shared" si="13"/>
        <v>1048507</v>
      </c>
      <c r="T4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5" spans="1:20" hidden="1" x14ac:dyDescent="0.25">
      <c r="A415" t="s">
        <v>43</v>
      </c>
      <c r="B415" s="28" t="s">
        <v>49</v>
      </c>
      <c r="C415" t="s">
        <v>16</v>
      </c>
      <c r="D415" t="str">
        <f>_xlfn.XLOOKUP(Table1[[#This Row],[Player]]&amp;Table1[[#This Row],[Week]]&amp;Table1[[#This Row],[Role]],'Google Form Transform'!$A:$A,'Google Form Transform'!E:E,"")</f>
        <v/>
      </c>
      <c r="E415" t="str">
        <f>_xlfn.XLOOKUP(Table1[[#This Row],[Player]]&amp;Table1[[#This Row],[Week]]&amp;Table1[[#This Row],[Role]],'Google Form Transform'!$A:$A,'Google Form Transform'!F:F,"")</f>
        <v/>
      </c>
      <c r="F415" t="str">
        <f>_xlfn.XLOOKUP(Table1[[#This Row],[Player]]&amp;Table1[[#This Row],[Week]]&amp;Table1[[#This Row],[Role]],'Google Form Transform'!$A:$A,'Google Form Transform'!G:G,"")</f>
        <v/>
      </c>
      <c r="G415" s="59">
        <f>SUMIFS(Table2[Stat],Table2[Stat Category],"passing",Table2[Stat Type],"YDS",Table2[Athlete],Table1[[#This Row],[Pick]],Table2[Week],Table1[[#This Row],[Week]])</f>
        <v>0</v>
      </c>
      <c r="H415" s="59">
        <f>SUMIFS(Table2[Stat],Table2[Stat Category],"rushing",Table2[Stat Type],"YDS",Table2[Athlete],Table1[[#This Row],[Pick]],Table2[Week],Table1[[#This Row],[Week]])</f>
        <v>0</v>
      </c>
      <c r="I415" s="59">
        <f>SUMIFS(Table2[Stat],Table2[Stat Category],"receiving",Table2[Stat Type],"YDS",Table2[Athlete],Table1[[#This Row],[Pick]],Table2[Week],Table1[[#This Row],[Week]])</f>
        <v>0</v>
      </c>
      <c r="J415" s="6">
        <f>IF(AND($C415="Rushing", $H415&lt;=0), 0, IF(AND($C415="Passing", $G$3&lt;=0), 0,IF(AND($C415="Receiving",$I415&lt;=0), 0,SUMIFS(Table2[Stat],Table2[Week],Table1[[#This Row],[Week]],Table2[Athlete],Table1[[#This Row],[Pick]],Table2[Stat Category],"passing",Table2[Stat Type],"TD"))))</f>
        <v>0</v>
      </c>
      <c r="K415" s="6">
        <f>IF(AND($C415="Rushing", $H415&lt;=0), 0, IF(AND($C415="Passing", $G$3&lt;=0), 0,IF(AND($C415="Receiving",$I415&lt;=0),0,SUMIFS(Table2[Stat],Table2[Week],Table1[[#This Row],[Week]],Table2[Athlete],Table1[[#This Row],[Pick]],Table2[Stat Category],"rushing",Table2[Stat Type],"TD"))))</f>
        <v>0</v>
      </c>
      <c r="L415" s="6">
        <f>IF(AND($C415="Rushing", $H415&lt;=0), 0, IF(AND($C415="Passing", $G$3&lt;=0), 0,IF(AND($C415="Receiving",$I415&lt;=0),0,SUMIFS(Table2[Stat],Table2[Week],Table1[[#This Row],[Week]],Table2[Athlete],Table1[[#This Row],[Pick]],Table2[Stat Category],"receiving",Table2[Stat Type],"TD"))))</f>
        <v>0</v>
      </c>
      <c r="M4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5" s="61">
        <f>SUMIFS(Data!$J:$J,Data!$A:$A,Info!$B415,Data!$G:$G,Info!$C415,Data!$I:$I,Info!$D415,Data!$H:$H,"TOT")</f>
        <v>0</v>
      </c>
      <c r="O415" s="61">
        <f>IF(C415="Defensive",SUMIFS(Data!$J:$J,Data!$A:$A,Info!$B415,Data!$I:$I,Info!$D415,Data!$H:$H,"INT"),0)</f>
        <v>0</v>
      </c>
      <c r="P415" s="61">
        <f>IF(Table1[[#This Row],[Role]]="Defensive",SUMIFS(Data!$J:$J,Data!$A:$A,Info!$B415,Data!$I:$I,Info!$D415,Data!$H:$H,$P$1),0)</f>
        <v>0</v>
      </c>
      <c r="Q415" s="65" t="str">
        <f>IF(Table1[[#This Row],[Pick]]="","",IF(S415&gt;1,400,IF(G415="","",IF(C415="Passing",(400-Table1[[#This Row],[Passing Yards]]-(30*Table1[[#This Row],[Passing TDs]])-(50*SUM(Table1[[#This Row],[Rushing TDs]:[Other TD''s]]))),IF(C415="Rushing",2*(200-Table1[[#This Row],[Rushing Yards]]-(30*Table1[[#This Row],[Passing TDs]])-50*(Table1[[#This Row],[Rushing TDs]]+Table1[[#This Row],[Receiving TDs]]+Table1[[#This Row],[Other TD''s]])),IF(C415="Receiving",2*(200-Table1[[#This Row],[Receiving Yards]]-(30*Table1[[#This Row],[Passing TDs]])-50*(Table1[[#This Row],[Rushing TDs]]+Table1[[#This Row],[Receiving TDs]]+Table1[[#This Row],[Other TD''s]])),IF(C415="Defensive",(25*(16-Table1[[#This Row],[Tackles]]-(8*(Table1[[#This Row],[Other TD''s]]+Table1[[#This Row],[Interceptions]]+Table1[[#This Row],[Fumbles Recovered]])))))))))))</f>
        <v/>
      </c>
      <c r="R415" s="3" t="str">
        <f t="shared" si="14"/>
        <v/>
      </c>
      <c r="S415" s="4">
        <f t="shared" si="13"/>
        <v>1048507</v>
      </c>
      <c r="T4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6" spans="1:20" hidden="1" x14ac:dyDescent="0.25">
      <c r="A416" t="s">
        <v>43</v>
      </c>
      <c r="B416" s="28" t="s">
        <v>49</v>
      </c>
      <c r="C416" t="s">
        <v>6</v>
      </c>
      <c r="D416" t="str">
        <f>_xlfn.XLOOKUP(Table1[[#This Row],[Player]]&amp;Table1[[#This Row],[Week]]&amp;Table1[[#This Row],[Role]],'Google Form Transform'!$A:$A,'Google Form Transform'!E:E,"")</f>
        <v/>
      </c>
      <c r="E416" t="str">
        <f>_xlfn.XLOOKUP(Table1[[#This Row],[Player]]&amp;Table1[[#This Row],[Week]]&amp;Table1[[#This Row],[Role]],'Google Form Transform'!$A:$A,'Google Form Transform'!F:F,"")</f>
        <v/>
      </c>
      <c r="F416" t="str">
        <f>_xlfn.XLOOKUP(Table1[[#This Row],[Player]]&amp;Table1[[#This Row],[Week]]&amp;Table1[[#This Row],[Role]],'Google Form Transform'!$A:$A,'Google Form Transform'!G:G,"")</f>
        <v/>
      </c>
      <c r="G416" s="59">
        <f>SUMIFS(Table2[Stat],Table2[Stat Category],"passing",Table2[Stat Type],"YDS",Table2[Athlete],Table1[[#This Row],[Pick]],Table2[Week],Table1[[#This Row],[Week]])</f>
        <v>0</v>
      </c>
      <c r="H416" s="59">
        <f>SUMIFS(Table2[Stat],Table2[Stat Category],"rushing",Table2[Stat Type],"YDS",Table2[Athlete],Table1[[#This Row],[Pick]],Table2[Week],Table1[[#This Row],[Week]])</f>
        <v>0</v>
      </c>
      <c r="I416" s="59">
        <f>SUMIFS(Table2[Stat],Table2[Stat Category],"receiving",Table2[Stat Type],"YDS",Table2[Athlete],Table1[[#This Row],[Pick]],Table2[Week],Table1[[#This Row],[Week]])</f>
        <v>0</v>
      </c>
      <c r="J416" s="6">
        <f>IF(AND($C416="Rushing", $H416&lt;=0), 0, IF(AND($C416="Passing", $G$3&lt;=0), 0,IF(AND($C416="Receiving",$I416&lt;=0), 0,SUMIFS(Table2[Stat],Table2[Week],Table1[[#This Row],[Week]],Table2[Athlete],Table1[[#This Row],[Pick]],Table2[Stat Category],"passing",Table2[Stat Type],"TD"))))</f>
        <v>0</v>
      </c>
      <c r="K416" s="6">
        <f>IF(AND($C416="Rushing", $H416&lt;=0), 0, IF(AND($C416="Passing", $G$3&lt;=0), 0,IF(AND($C416="Receiving",$I416&lt;=0),0,SUMIFS(Table2[Stat],Table2[Week],Table1[[#This Row],[Week]],Table2[Athlete],Table1[[#This Row],[Pick]],Table2[Stat Category],"rushing",Table2[Stat Type],"TD"))))</f>
        <v>0</v>
      </c>
      <c r="L416" s="6">
        <f>IF(AND($C416="Rushing", $H416&lt;=0), 0, IF(AND($C416="Passing", $G$3&lt;=0), 0,IF(AND($C416="Receiving",$I416&lt;=0),0,SUMIFS(Table2[Stat],Table2[Week],Table1[[#This Row],[Week]],Table2[Athlete],Table1[[#This Row],[Pick]],Table2[Stat Category],"receiving",Table2[Stat Type],"TD"))))</f>
        <v>0</v>
      </c>
      <c r="M4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6" s="61">
        <f>SUMIFS(Data!$J:$J,Data!$A:$A,Info!$B416,Data!$G:$G,Info!$C416,Data!$I:$I,Info!$D416,Data!$H:$H,"TOT")</f>
        <v>0</v>
      </c>
      <c r="O416" s="61">
        <f>IF(C416="Defensive",SUMIFS(Data!$J:$J,Data!$A:$A,Info!$B416,Data!$I:$I,Info!$D416,Data!$H:$H,"INT"),0)</f>
        <v>0</v>
      </c>
      <c r="P416" s="61">
        <f>IF(Table1[[#This Row],[Role]]="Defensive",SUMIFS(Data!$J:$J,Data!$A:$A,Info!$B416,Data!$I:$I,Info!$D416,Data!$H:$H,$P$1),0)</f>
        <v>0</v>
      </c>
      <c r="Q416" s="65" t="str">
        <f>IF(Table1[[#This Row],[Pick]]="","",IF(S416&gt;1,400,IF(G416="","",IF(C416="Passing",(400-Table1[[#This Row],[Passing Yards]]-(30*Table1[[#This Row],[Passing TDs]])-(50*SUM(Table1[[#This Row],[Rushing TDs]:[Other TD''s]]))),IF(C416="Rushing",2*(200-Table1[[#This Row],[Rushing Yards]]-(30*Table1[[#This Row],[Passing TDs]])-50*(Table1[[#This Row],[Rushing TDs]]+Table1[[#This Row],[Receiving TDs]]+Table1[[#This Row],[Other TD''s]])),IF(C416="Receiving",2*(200-Table1[[#This Row],[Receiving Yards]]-(30*Table1[[#This Row],[Passing TDs]])-50*(Table1[[#This Row],[Rushing TDs]]+Table1[[#This Row],[Receiving TDs]]+Table1[[#This Row],[Other TD''s]])),IF(C416="Defensive",(25*(16-Table1[[#This Row],[Tackles]]-(8*(Table1[[#This Row],[Other TD''s]]+Table1[[#This Row],[Interceptions]]+Table1[[#This Row],[Fumbles Recovered]])))))))))))</f>
        <v/>
      </c>
      <c r="R416" s="3" t="str">
        <f t="shared" si="14"/>
        <v/>
      </c>
      <c r="S416" s="4">
        <f t="shared" si="13"/>
        <v>1048507</v>
      </c>
      <c r="T4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7" spans="1:20" hidden="1" x14ac:dyDescent="0.25">
      <c r="A417" t="s">
        <v>43</v>
      </c>
      <c r="B417" s="28" t="s">
        <v>49</v>
      </c>
      <c r="C417" t="s">
        <v>17</v>
      </c>
      <c r="D417" t="str">
        <f>_xlfn.XLOOKUP(Table1[[#This Row],[Player]]&amp;Table1[[#This Row],[Week]]&amp;Table1[[#This Row],[Role]],'Google Form Transform'!$A:$A,'Google Form Transform'!E:E,"")</f>
        <v/>
      </c>
      <c r="E417" t="str">
        <f>_xlfn.XLOOKUP(Table1[[#This Row],[Player]]&amp;Table1[[#This Row],[Week]]&amp;Table1[[#This Row],[Role]],'Google Form Transform'!$A:$A,'Google Form Transform'!F:F,"")</f>
        <v/>
      </c>
      <c r="F417" t="str">
        <f>_xlfn.XLOOKUP(Table1[[#This Row],[Player]]&amp;Table1[[#This Row],[Week]]&amp;Table1[[#This Row],[Role]],'Google Form Transform'!$A:$A,'Google Form Transform'!G:G,"")</f>
        <v/>
      </c>
      <c r="G417" s="59">
        <f>SUMIFS(Table2[Stat],Table2[Stat Category],"passing",Table2[Stat Type],"YDS",Table2[Athlete],Table1[[#This Row],[Pick]],Table2[Week],Table1[[#This Row],[Week]])</f>
        <v>0</v>
      </c>
      <c r="H417" s="59">
        <f>SUMIFS(Table2[Stat],Table2[Stat Category],"rushing",Table2[Stat Type],"YDS",Table2[Athlete],Table1[[#This Row],[Pick]],Table2[Week],Table1[[#This Row],[Week]])</f>
        <v>0</v>
      </c>
      <c r="I417" s="59">
        <f>SUMIFS(Table2[Stat],Table2[Stat Category],"receiving",Table2[Stat Type],"YDS",Table2[Athlete],Table1[[#This Row],[Pick]],Table2[Week],Table1[[#This Row],[Week]])</f>
        <v>0</v>
      </c>
      <c r="J417" s="6">
        <f>IF(AND($C417="Rushing", $H417&lt;=0), 0, IF(AND($C417="Passing", $G$3&lt;=0), 0,IF(AND($C417="Receiving",$I417&lt;=0), 0,SUMIFS(Table2[Stat],Table2[Week],Table1[[#This Row],[Week]],Table2[Athlete],Table1[[#This Row],[Pick]],Table2[Stat Category],"passing",Table2[Stat Type],"TD"))))</f>
        <v>0</v>
      </c>
      <c r="K417" s="6">
        <f>IF(AND($C417="Rushing", $H417&lt;=0), 0, IF(AND($C417="Passing", $G$3&lt;=0), 0,IF(AND($C417="Receiving",$I417&lt;=0),0,SUMIFS(Table2[Stat],Table2[Week],Table1[[#This Row],[Week]],Table2[Athlete],Table1[[#This Row],[Pick]],Table2[Stat Category],"rushing",Table2[Stat Type],"TD"))))</f>
        <v>0</v>
      </c>
      <c r="L417" s="6">
        <f>IF(AND($C417="Rushing", $H417&lt;=0), 0, IF(AND($C417="Passing", $G$3&lt;=0), 0,IF(AND($C417="Receiving",$I417&lt;=0),0,SUMIFS(Table2[Stat],Table2[Week],Table1[[#This Row],[Week]],Table2[Athlete],Table1[[#This Row],[Pick]],Table2[Stat Category],"receiving",Table2[Stat Type],"TD"))))</f>
        <v>0</v>
      </c>
      <c r="M4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7" s="61">
        <f>SUMIFS(Data!$J:$J,Data!$A:$A,Info!$B417,Data!$G:$G,Info!$C417,Data!$I:$I,Info!$D417,Data!$H:$H,"TOT")</f>
        <v>0</v>
      </c>
      <c r="O417" s="61">
        <f>IF(C417="Defensive",SUMIFS(Data!$J:$J,Data!$A:$A,Info!$B417,Data!$I:$I,Info!$D417,Data!$H:$H,"INT"),0)</f>
        <v>0</v>
      </c>
      <c r="P417" s="61">
        <f>IF(Table1[[#This Row],[Role]]="Defensive",SUMIFS(Data!$J:$J,Data!$A:$A,Info!$B417,Data!$I:$I,Info!$D417,Data!$H:$H,$P$1),0)</f>
        <v>0</v>
      </c>
      <c r="Q417" s="65" t="str">
        <f>IF(Table1[[#This Row],[Pick]]="","",IF(S417&gt;1,400,IF(G417="","",IF(C417="Passing",(400-Table1[[#This Row],[Passing Yards]]-(30*Table1[[#This Row],[Passing TDs]])-(50*SUM(Table1[[#This Row],[Rushing TDs]:[Other TD''s]]))),IF(C417="Rushing",2*(200-Table1[[#This Row],[Rushing Yards]]-(30*Table1[[#This Row],[Passing TDs]])-50*(Table1[[#This Row],[Rushing TDs]]+Table1[[#This Row],[Receiving TDs]]+Table1[[#This Row],[Other TD''s]])),IF(C417="Receiving",2*(200-Table1[[#This Row],[Receiving Yards]]-(30*Table1[[#This Row],[Passing TDs]])-50*(Table1[[#This Row],[Rushing TDs]]+Table1[[#This Row],[Receiving TDs]]+Table1[[#This Row],[Other TD''s]])),IF(C417="Defensive",(25*(16-Table1[[#This Row],[Tackles]]-(8*(Table1[[#This Row],[Other TD''s]]+Table1[[#This Row],[Interceptions]]+Table1[[#This Row],[Fumbles Recovered]])))))))))))</f>
        <v/>
      </c>
      <c r="R417" s="3" t="str">
        <f t="shared" si="14"/>
        <v/>
      </c>
      <c r="S417" s="4">
        <f t="shared" si="13"/>
        <v>1048507</v>
      </c>
      <c r="T4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8" spans="1:20" hidden="1" x14ac:dyDescent="0.25">
      <c r="A418" t="s">
        <v>43</v>
      </c>
      <c r="B418" s="28" t="s">
        <v>49</v>
      </c>
      <c r="C418" t="s">
        <v>20</v>
      </c>
      <c r="D418" t="str">
        <f>_xlfn.XLOOKUP(Table1[[#This Row],[Player]]&amp;Table1[[#This Row],[Week]]&amp;Table1[[#This Row],[Role]],'Google Form Transform'!$A:$A,'Google Form Transform'!E:E,"")</f>
        <v/>
      </c>
      <c r="E418" t="str">
        <f>_xlfn.XLOOKUP(Table1[[#This Row],[Player]]&amp;Table1[[#This Row],[Week]]&amp;Table1[[#This Row],[Role]],'Google Form Transform'!$A:$A,'Google Form Transform'!F:F,"")</f>
        <v/>
      </c>
      <c r="F418" t="str">
        <f>_xlfn.XLOOKUP(Table1[[#This Row],[Player]]&amp;Table1[[#This Row],[Week]]&amp;Table1[[#This Row],[Role]],'Google Form Transform'!$A:$A,'Google Form Transform'!G:G,"")</f>
        <v/>
      </c>
      <c r="G418" s="59">
        <f>SUMIFS(Table2[Stat],Table2[Stat Category],"passing",Table2[Stat Type],"YDS",Table2[Athlete],Table1[[#This Row],[Pick]],Table2[Week],Table1[[#This Row],[Week]])</f>
        <v>0</v>
      </c>
      <c r="H418" s="59">
        <f>SUMIFS(Table2[Stat],Table2[Stat Category],"rushing",Table2[Stat Type],"YDS",Table2[Athlete],Table1[[#This Row],[Pick]],Table2[Week],Table1[[#This Row],[Week]])</f>
        <v>0</v>
      </c>
      <c r="I418" s="59">
        <f>SUMIFS(Table2[Stat],Table2[Stat Category],"receiving",Table2[Stat Type],"YDS",Table2[Athlete],Table1[[#This Row],[Pick]],Table2[Week],Table1[[#This Row],[Week]])</f>
        <v>0</v>
      </c>
      <c r="J418" s="6">
        <f>IF(AND($C418="Rushing", $H418&lt;=0), 0, IF(AND($C418="Passing", $G$3&lt;=0), 0,IF(AND($C418="Receiving",$I418&lt;=0), 0,SUMIFS(Table2[Stat],Table2[Week],Table1[[#This Row],[Week]],Table2[Athlete],Table1[[#This Row],[Pick]],Table2[Stat Category],"passing",Table2[Stat Type],"TD"))))</f>
        <v>0</v>
      </c>
      <c r="K418" s="6">
        <f>IF(AND($C418="Rushing", $H418&lt;=0), 0, IF(AND($C418="Passing", $G$3&lt;=0), 0,IF(AND($C418="Receiving",$I418&lt;=0),0,SUMIFS(Table2[Stat],Table2[Week],Table1[[#This Row],[Week]],Table2[Athlete],Table1[[#This Row],[Pick]],Table2[Stat Category],"rushing",Table2[Stat Type],"TD"))))</f>
        <v>0</v>
      </c>
      <c r="L418" s="6">
        <f>IF(AND($C418="Rushing", $H418&lt;=0), 0, IF(AND($C418="Passing", $G$3&lt;=0), 0,IF(AND($C418="Receiving",$I418&lt;=0),0,SUMIFS(Table2[Stat],Table2[Week],Table1[[#This Row],[Week]],Table2[Athlete],Table1[[#This Row],[Pick]],Table2[Stat Category],"receiving",Table2[Stat Type],"TD"))))</f>
        <v>0</v>
      </c>
      <c r="M4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8" s="61">
        <f>SUMIFS(Data!$J:$J,Data!$A:$A,Info!$B418,Data!$G:$G,Info!$C418,Data!$I:$I,Info!$D418,Data!$H:$H,"TOT")</f>
        <v>0</v>
      </c>
      <c r="O418" s="61">
        <f>IF(C418="Defensive",SUMIFS(Data!$J:$J,Data!$A:$A,Info!$B418,Data!$I:$I,Info!$D418,Data!$H:$H,"INT"),0)</f>
        <v>0</v>
      </c>
      <c r="P418" s="61">
        <f>IF(Table1[[#This Row],[Role]]="Defensive",SUMIFS(Data!$J:$J,Data!$A:$A,Info!$B418,Data!$I:$I,Info!$D418,Data!$H:$H,$P$1),0)</f>
        <v>0</v>
      </c>
      <c r="Q418" s="65" t="str">
        <f>IF(Table1[[#This Row],[Pick]]="","",IF(S418&gt;1,400,IF(G418="","",IF(C418="Passing",(400-Table1[[#This Row],[Passing Yards]]-(30*Table1[[#This Row],[Passing TDs]])-(50*SUM(Table1[[#This Row],[Rushing TDs]:[Other TD''s]]))),IF(C418="Rushing",2*(200-Table1[[#This Row],[Rushing Yards]]-(30*Table1[[#This Row],[Passing TDs]])-50*(Table1[[#This Row],[Rushing TDs]]+Table1[[#This Row],[Receiving TDs]]+Table1[[#This Row],[Other TD''s]])),IF(C418="Receiving",2*(200-Table1[[#This Row],[Receiving Yards]]-(30*Table1[[#This Row],[Passing TDs]])-50*(Table1[[#This Row],[Rushing TDs]]+Table1[[#This Row],[Receiving TDs]]+Table1[[#This Row],[Other TD''s]])),IF(C418="Defensive",(25*(16-Table1[[#This Row],[Tackles]]-(8*(Table1[[#This Row],[Other TD''s]]+Table1[[#This Row],[Interceptions]]+Table1[[#This Row],[Fumbles Recovered]])))))))))))</f>
        <v/>
      </c>
      <c r="R418" s="3" t="str">
        <f t="shared" si="14"/>
        <v/>
      </c>
      <c r="S418" s="4">
        <f t="shared" si="13"/>
        <v>1048507</v>
      </c>
      <c r="T4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9" spans="1:20" hidden="1" x14ac:dyDescent="0.25">
      <c r="A419" t="s">
        <v>7</v>
      </c>
      <c r="B419" s="28" t="s">
        <v>49</v>
      </c>
      <c r="C419" t="s">
        <v>16</v>
      </c>
      <c r="D419" t="str">
        <f>_xlfn.XLOOKUP(Table1[[#This Row],[Player]]&amp;Table1[[#This Row],[Week]]&amp;Table1[[#This Row],[Role]],'Google Form Transform'!$A:$A,'Google Form Transform'!E:E,"")</f>
        <v/>
      </c>
      <c r="E419" t="str">
        <f>_xlfn.XLOOKUP(Table1[[#This Row],[Player]]&amp;Table1[[#This Row],[Week]]&amp;Table1[[#This Row],[Role]],'Google Form Transform'!$A:$A,'Google Form Transform'!F:F,"")</f>
        <v/>
      </c>
      <c r="F419" t="str">
        <f>_xlfn.XLOOKUP(Table1[[#This Row],[Player]]&amp;Table1[[#This Row],[Week]]&amp;Table1[[#This Row],[Role]],'Google Form Transform'!$A:$A,'Google Form Transform'!G:G,"")</f>
        <v/>
      </c>
      <c r="G419" s="59">
        <f>SUMIFS(Table2[Stat],Table2[Stat Category],"passing",Table2[Stat Type],"YDS",Table2[Athlete],Table1[[#This Row],[Pick]],Table2[Week],Table1[[#This Row],[Week]])</f>
        <v>0</v>
      </c>
      <c r="H419" s="59">
        <f>SUMIFS(Table2[Stat],Table2[Stat Category],"rushing",Table2[Stat Type],"YDS",Table2[Athlete],Table1[[#This Row],[Pick]],Table2[Week],Table1[[#This Row],[Week]])</f>
        <v>0</v>
      </c>
      <c r="I419" s="59">
        <f>SUMIFS(Table2[Stat],Table2[Stat Category],"receiving",Table2[Stat Type],"YDS",Table2[Athlete],Table1[[#This Row],[Pick]],Table2[Week],Table1[[#This Row],[Week]])</f>
        <v>0</v>
      </c>
      <c r="J419" s="6">
        <f>IF(AND($C419="Rushing", $H419&lt;=0), 0, IF(AND($C419="Passing", $G$3&lt;=0), 0,IF(AND($C419="Receiving",$I419&lt;=0), 0,SUMIFS(Table2[Stat],Table2[Week],Table1[[#This Row],[Week]],Table2[Athlete],Table1[[#This Row],[Pick]],Table2[Stat Category],"passing",Table2[Stat Type],"TD"))))</f>
        <v>0</v>
      </c>
      <c r="K419" s="6">
        <f>IF(AND($C419="Rushing", $H419&lt;=0), 0, IF(AND($C419="Passing", $G$3&lt;=0), 0,IF(AND($C419="Receiving",$I419&lt;=0),0,SUMIFS(Table2[Stat],Table2[Week],Table1[[#This Row],[Week]],Table2[Athlete],Table1[[#This Row],[Pick]],Table2[Stat Category],"rushing",Table2[Stat Type],"TD"))))</f>
        <v>0</v>
      </c>
      <c r="L419" s="6">
        <f>IF(AND($C419="Rushing", $H419&lt;=0), 0, IF(AND($C419="Passing", $G$3&lt;=0), 0,IF(AND($C419="Receiving",$I419&lt;=0),0,SUMIFS(Table2[Stat],Table2[Week],Table1[[#This Row],[Week]],Table2[Athlete],Table1[[#This Row],[Pick]],Table2[Stat Category],"receiving",Table2[Stat Type],"TD"))))</f>
        <v>0</v>
      </c>
      <c r="M4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9" s="61">
        <f>SUMIFS(Data!$J:$J,Data!$A:$A,Info!$B419,Data!$G:$G,Info!$C419,Data!$I:$I,Info!$D419,Data!$H:$H,"TOT")</f>
        <v>0</v>
      </c>
      <c r="O419" s="61">
        <f>IF(C419="Defensive",SUMIFS(Data!$J:$J,Data!$A:$A,Info!$B419,Data!$I:$I,Info!$D419,Data!$H:$H,"INT"),0)</f>
        <v>0</v>
      </c>
      <c r="P419" s="61">
        <f>IF(Table1[[#This Row],[Role]]="Defensive",SUMIFS(Data!$J:$J,Data!$A:$A,Info!$B419,Data!$I:$I,Info!$D419,Data!$H:$H,$P$1),0)</f>
        <v>0</v>
      </c>
      <c r="Q419" s="65" t="str">
        <f>IF(Table1[[#This Row],[Pick]]="","",IF(S419&gt;1,400,IF(G419="","",IF(C419="Passing",(400-Table1[[#This Row],[Passing Yards]]-(30*Table1[[#This Row],[Passing TDs]])-(50*SUM(Table1[[#This Row],[Rushing TDs]:[Other TD''s]]))),IF(C419="Rushing",2*(200-Table1[[#This Row],[Rushing Yards]]-(30*Table1[[#This Row],[Passing TDs]])-50*(Table1[[#This Row],[Rushing TDs]]+Table1[[#This Row],[Receiving TDs]]+Table1[[#This Row],[Other TD''s]])),IF(C419="Receiving",2*(200-Table1[[#This Row],[Receiving Yards]]-(30*Table1[[#This Row],[Passing TDs]])-50*(Table1[[#This Row],[Rushing TDs]]+Table1[[#This Row],[Receiving TDs]]+Table1[[#This Row],[Other TD''s]])),IF(C419="Defensive",(25*(16-Table1[[#This Row],[Tackles]]-(8*(Table1[[#This Row],[Other TD''s]]+Table1[[#This Row],[Interceptions]]+Table1[[#This Row],[Fumbles Recovered]])))))))))))</f>
        <v/>
      </c>
      <c r="R419" s="3" t="str">
        <f t="shared" si="14"/>
        <v/>
      </c>
      <c r="S419" s="4">
        <f t="shared" si="13"/>
        <v>1048507</v>
      </c>
      <c r="T4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0" spans="1:20" hidden="1" x14ac:dyDescent="0.25">
      <c r="A420" t="s">
        <v>7</v>
      </c>
      <c r="B420" s="28" t="s">
        <v>49</v>
      </c>
      <c r="C420" t="s">
        <v>6</v>
      </c>
      <c r="D420" t="str">
        <f>_xlfn.XLOOKUP(Table1[[#This Row],[Player]]&amp;Table1[[#This Row],[Week]]&amp;Table1[[#This Row],[Role]],'Google Form Transform'!$A:$A,'Google Form Transform'!E:E,"")</f>
        <v/>
      </c>
      <c r="E420" t="str">
        <f>_xlfn.XLOOKUP(Table1[[#This Row],[Player]]&amp;Table1[[#This Row],[Week]]&amp;Table1[[#This Row],[Role]],'Google Form Transform'!$A:$A,'Google Form Transform'!F:F,"")</f>
        <v/>
      </c>
      <c r="F420" t="str">
        <f>_xlfn.XLOOKUP(Table1[[#This Row],[Player]]&amp;Table1[[#This Row],[Week]]&amp;Table1[[#This Row],[Role]],'Google Form Transform'!$A:$A,'Google Form Transform'!G:G,"")</f>
        <v/>
      </c>
      <c r="G420" s="59">
        <f>SUMIFS(Table2[Stat],Table2[Stat Category],"passing",Table2[Stat Type],"YDS",Table2[Athlete],Table1[[#This Row],[Pick]],Table2[Week],Table1[[#This Row],[Week]])</f>
        <v>0</v>
      </c>
      <c r="H420" s="59">
        <f>SUMIFS(Table2[Stat],Table2[Stat Category],"rushing",Table2[Stat Type],"YDS",Table2[Athlete],Table1[[#This Row],[Pick]],Table2[Week],Table1[[#This Row],[Week]])</f>
        <v>0</v>
      </c>
      <c r="I420" s="59">
        <f>SUMIFS(Table2[Stat],Table2[Stat Category],"receiving",Table2[Stat Type],"YDS",Table2[Athlete],Table1[[#This Row],[Pick]],Table2[Week],Table1[[#This Row],[Week]])</f>
        <v>0</v>
      </c>
      <c r="J420" s="6">
        <f>IF(AND($C420="Rushing", $H420&lt;=0), 0, IF(AND($C420="Passing", $G$3&lt;=0), 0,IF(AND($C420="Receiving",$I420&lt;=0), 0,SUMIFS(Table2[Stat],Table2[Week],Table1[[#This Row],[Week]],Table2[Athlete],Table1[[#This Row],[Pick]],Table2[Stat Category],"passing",Table2[Stat Type],"TD"))))</f>
        <v>0</v>
      </c>
      <c r="K420" s="6">
        <f>IF(AND($C420="Rushing", $H420&lt;=0), 0, IF(AND($C420="Passing", $G$3&lt;=0), 0,IF(AND($C420="Receiving",$I420&lt;=0),0,SUMIFS(Table2[Stat],Table2[Week],Table1[[#This Row],[Week]],Table2[Athlete],Table1[[#This Row],[Pick]],Table2[Stat Category],"rushing",Table2[Stat Type],"TD"))))</f>
        <v>0</v>
      </c>
      <c r="L420" s="6">
        <f>IF(AND($C420="Rushing", $H420&lt;=0), 0, IF(AND($C420="Passing", $G$3&lt;=0), 0,IF(AND($C420="Receiving",$I420&lt;=0),0,SUMIFS(Table2[Stat],Table2[Week],Table1[[#This Row],[Week]],Table2[Athlete],Table1[[#This Row],[Pick]],Table2[Stat Category],"receiving",Table2[Stat Type],"TD"))))</f>
        <v>0</v>
      </c>
      <c r="M4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0" s="61">
        <f>SUMIFS(Data!$J:$J,Data!$A:$A,Info!$B420,Data!$G:$G,Info!$C420,Data!$I:$I,Info!$D420,Data!$H:$H,"TOT")</f>
        <v>0</v>
      </c>
      <c r="O420" s="61">
        <f>IF(C420="Defensive",SUMIFS(Data!$J:$J,Data!$A:$A,Info!$B420,Data!$I:$I,Info!$D420,Data!$H:$H,"INT"),0)</f>
        <v>0</v>
      </c>
      <c r="P420" s="61">
        <f>IF(Table1[[#This Row],[Role]]="Defensive",SUMIFS(Data!$J:$J,Data!$A:$A,Info!$B420,Data!$I:$I,Info!$D420,Data!$H:$H,$P$1),0)</f>
        <v>0</v>
      </c>
      <c r="Q420" s="65" t="str">
        <f>IF(Table1[[#This Row],[Pick]]="","",IF(S420&gt;1,400,IF(G420="","",IF(C420="Passing",(400-Table1[[#This Row],[Passing Yards]]-(30*Table1[[#This Row],[Passing TDs]])-(50*SUM(Table1[[#This Row],[Rushing TDs]:[Other TD''s]]))),IF(C420="Rushing",2*(200-Table1[[#This Row],[Rushing Yards]]-(30*Table1[[#This Row],[Passing TDs]])-50*(Table1[[#This Row],[Rushing TDs]]+Table1[[#This Row],[Receiving TDs]]+Table1[[#This Row],[Other TD''s]])),IF(C420="Receiving",2*(200-Table1[[#This Row],[Receiving Yards]]-(30*Table1[[#This Row],[Passing TDs]])-50*(Table1[[#This Row],[Rushing TDs]]+Table1[[#This Row],[Receiving TDs]]+Table1[[#This Row],[Other TD''s]])),IF(C420="Defensive",(25*(16-Table1[[#This Row],[Tackles]]-(8*(Table1[[#This Row],[Other TD''s]]+Table1[[#This Row],[Interceptions]]+Table1[[#This Row],[Fumbles Recovered]])))))))))))</f>
        <v/>
      </c>
      <c r="R420" s="3" t="str">
        <f t="shared" si="14"/>
        <v/>
      </c>
      <c r="S420" s="4">
        <f t="shared" si="13"/>
        <v>1048507</v>
      </c>
      <c r="T4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1" spans="1:20" hidden="1" x14ac:dyDescent="0.25">
      <c r="A421" t="s">
        <v>7</v>
      </c>
      <c r="B421" s="28" t="s">
        <v>49</v>
      </c>
      <c r="C421" t="s">
        <v>17</v>
      </c>
      <c r="D421" t="str">
        <f>_xlfn.XLOOKUP(Table1[[#This Row],[Player]]&amp;Table1[[#This Row],[Week]]&amp;Table1[[#This Row],[Role]],'Google Form Transform'!$A:$A,'Google Form Transform'!E:E,"")</f>
        <v/>
      </c>
      <c r="E421" t="str">
        <f>_xlfn.XLOOKUP(Table1[[#This Row],[Player]]&amp;Table1[[#This Row],[Week]]&amp;Table1[[#This Row],[Role]],'Google Form Transform'!$A:$A,'Google Form Transform'!F:F,"")</f>
        <v/>
      </c>
      <c r="F421" t="str">
        <f>_xlfn.XLOOKUP(Table1[[#This Row],[Player]]&amp;Table1[[#This Row],[Week]]&amp;Table1[[#This Row],[Role]],'Google Form Transform'!$A:$A,'Google Form Transform'!G:G,"")</f>
        <v/>
      </c>
      <c r="G421" s="59">
        <f>SUMIFS(Table2[Stat],Table2[Stat Category],"passing",Table2[Stat Type],"YDS",Table2[Athlete],Table1[[#This Row],[Pick]],Table2[Week],Table1[[#This Row],[Week]])</f>
        <v>0</v>
      </c>
      <c r="H421" s="59">
        <f>SUMIFS(Table2[Stat],Table2[Stat Category],"rushing",Table2[Stat Type],"YDS",Table2[Athlete],Table1[[#This Row],[Pick]],Table2[Week],Table1[[#This Row],[Week]])</f>
        <v>0</v>
      </c>
      <c r="I421" s="59">
        <f>SUMIFS(Table2[Stat],Table2[Stat Category],"receiving",Table2[Stat Type],"YDS",Table2[Athlete],Table1[[#This Row],[Pick]],Table2[Week],Table1[[#This Row],[Week]])</f>
        <v>0</v>
      </c>
      <c r="J421" s="6">
        <f>IF(AND($C421="Rushing", $H421&lt;=0), 0, IF(AND($C421="Passing", $G$3&lt;=0), 0,IF(AND($C421="Receiving",$I421&lt;=0), 0,SUMIFS(Table2[Stat],Table2[Week],Table1[[#This Row],[Week]],Table2[Athlete],Table1[[#This Row],[Pick]],Table2[Stat Category],"passing",Table2[Stat Type],"TD"))))</f>
        <v>0</v>
      </c>
      <c r="K421" s="6">
        <f>IF(AND($C421="Rushing", $H421&lt;=0), 0, IF(AND($C421="Passing", $G$3&lt;=0), 0,IF(AND($C421="Receiving",$I421&lt;=0),0,SUMIFS(Table2[Stat],Table2[Week],Table1[[#This Row],[Week]],Table2[Athlete],Table1[[#This Row],[Pick]],Table2[Stat Category],"rushing",Table2[Stat Type],"TD"))))</f>
        <v>0</v>
      </c>
      <c r="L421" s="6">
        <f>IF(AND($C421="Rushing", $H421&lt;=0), 0, IF(AND($C421="Passing", $G$3&lt;=0), 0,IF(AND($C421="Receiving",$I421&lt;=0),0,SUMIFS(Table2[Stat],Table2[Week],Table1[[#This Row],[Week]],Table2[Athlete],Table1[[#This Row],[Pick]],Table2[Stat Category],"receiving",Table2[Stat Type],"TD"))))</f>
        <v>0</v>
      </c>
      <c r="M4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1" s="61">
        <f>SUMIFS(Data!$J:$J,Data!$A:$A,Info!$B421,Data!$G:$G,Info!$C421,Data!$I:$I,Info!$D421,Data!$H:$H,"TOT")</f>
        <v>0</v>
      </c>
      <c r="O421" s="61">
        <f>IF(C421="Defensive",SUMIFS(Data!$J:$J,Data!$A:$A,Info!$B421,Data!$I:$I,Info!$D421,Data!$H:$H,"INT"),0)</f>
        <v>0</v>
      </c>
      <c r="P421" s="61">
        <f>IF(Table1[[#This Row],[Role]]="Defensive",SUMIFS(Data!$J:$J,Data!$A:$A,Info!$B421,Data!$I:$I,Info!$D421,Data!$H:$H,$P$1),0)</f>
        <v>0</v>
      </c>
      <c r="Q421" s="65" t="str">
        <f>IF(Table1[[#This Row],[Pick]]="","",IF(S421&gt;1,400,IF(G421="","",IF(C421="Passing",(400-Table1[[#This Row],[Passing Yards]]-(30*Table1[[#This Row],[Passing TDs]])-(50*SUM(Table1[[#This Row],[Rushing TDs]:[Other TD''s]]))),IF(C421="Rushing",2*(200-Table1[[#This Row],[Rushing Yards]]-(30*Table1[[#This Row],[Passing TDs]])-50*(Table1[[#This Row],[Rushing TDs]]+Table1[[#This Row],[Receiving TDs]]+Table1[[#This Row],[Other TD''s]])),IF(C421="Receiving",2*(200-Table1[[#This Row],[Receiving Yards]]-(30*Table1[[#This Row],[Passing TDs]])-50*(Table1[[#This Row],[Rushing TDs]]+Table1[[#This Row],[Receiving TDs]]+Table1[[#This Row],[Other TD''s]])),IF(C421="Defensive",(25*(16-Table1[[#This Row],[Tackles]]-(8*(Table1[[#This Row],[Other TD''s]]+Table1[[#This Row],[Interceptions]]+Table1[[#This Row],[Fumbles Recovered]])))))))))))</f>
        <v/>
      </c>
      <c r="R421" s="3" t="str">
        <f t="shared" si="14"/>
        <v/>
      </c>
      <c r="S421" s="4">
        <f t="shared" si="13"/>
        <v>1048507</v>
      </c>
      <c r="T4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2" spans="1:20" hidden="1" x14ac:dyDescent="0.25">
      <c r="A422" t="s">
        <v>7</v>
      </c>
      <c r="B422" s="28" t="s">
        <v>49</v>
      </c>
      <c r="C422" t="s">
        <v>20</v>
      </c>
      <c r="D422" t="str">
        <f>_xlfn.XLOOKUP(Table1[[#This Row],[Player]]&amp;Table1[[#This Row],[Week]]&amp;Table1[[#This Row],[Role]],'Google Form Transform'!$A:$A,'Google Form Transform'!E:E,"")</f>
        <v/>
      </c>
      <c r="E422" t="str">
        <f>_xlfn.XLOOKUP(Table1[[#This Row],[Player]]&amp;Table1[[#This Row],[Week]]&amp;Table1[[#This Row],[Role]],'Google Form Transform'!$A:$A,'Google Form Transform'!F:F,"")</f>
        <v/>
      </c>
      <c r="F422" t="str">
        <f>_xlfn.XLOOKUP(Table1[[#This Row],[Player]]&amp;Table1[[#This Row],[Week]]&amp;Table1[[#This Row],[Role]],'Google Form Transform'!$A:$A,'Google Form Transform'!G:G,"")</f>
        <v/>
      </c>
      <c r="G422" s="59">
        <f>SUMIFS(Table2[Stat],Table2[Stat Category],"passing",Table2[Stat Type],"YDS",Table2[Athlete],Table1[[#This Row],[Pick]],Table2[Week],Table1[[#This Row],[Week]])</f>
        <v>0</v>
      </c>
      <c r="H422" s="59">
        <f>SUMIFS(Table2[Stat],Table2[Stat Category],"rushing",Table2[Stat Type],"YDS",Table2[Athlete],Table1[[#This Row],[Pick]],Table2[Week],Table1[[#This Row],[Week]])</f>
        <v>0</v>
      </c>
      <c r="I422" s="59">
        <f>SUMIFS(Table2[Stat],Table2[Stat Category],"receiving",Table2[Stat Type],"YDS",Table2[Athlete],Table1[[#This Row],[Pick]],Table2[Week],Table1[[#This Row],[Week]])</f>
        <v>0</v>
      </c>
      <c r="J422" s="6">
        <f>IF(AND($C422="Rushing", $H422&lt;=0), 0, IF(AND($C422="Passing", $G$3&lt;=0), 0,IF(AND($C422="Receiving",$I422&lt;=0), 0,SUMIFS(Table2[Stat],Table2[Week],Table1[[#This Row],[Week]],Table2[Athlete],Table1[[#This Row],[Pick]],Table2[Stat Category],"passing",Table2[Stat Type],"TD"))))</f>
        <v>0</v>
      </c>
      <c r="K422" s="6">
        <f>IF(AND($C422="Rushing", $H422&lt;=0), 0, IF(AND($C422="Passing", $G$3&lt;=0), 0,IF(AND($C422="Receiving",$I422&lt;=0),0,SUMIFS(Table2[Stat],Table2[Week],Table1[[#This Row],[Week]],Table2[Athlete],Table1[[#This Row],[Pick]],Table2[Stat Category],"rushing",Table2[Stat Type],"TD"))))</f>
        <v>0</v>
      </c>
      <c r="L422" s="6">
        <f>IF(AND($C422="Rushing", $H422&lt;=0), 0, IF(AND($C422="Passing", $G$3&lt;=0), 0,IF(AND($C422="Receiving",$I422&lt;=0),0,SUMIFS(Table2[Stat],Table2[Week],Table1[[#This Row],[Week]],Table2[Athlete],Table1[[#This Row],[Pick]],Table2[Stat Category],"receiving",Table2[Stat Type],"TD"))))</f>
        <v>0</v>
      </c>
      <c r="M4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2" s="61">
        <f>SUMIFS(Data!$J:$J,Data!$A:$A,Info!$B422,Data!$G:$G,Info!$C422,Data!$I:$I,Info!$D422,Data!$H:$H,"TOT")</f>
        <v>0</v>
      </c>
      <c r="O422" s="61">
        <f>IF(C422="Defensive",SUMIFS(Data!$J:$J,Data!$A:$A,Info!$B422,Data!$I:$I,Info!$D422,Data!$H:$H,"INT"),0)</f>
        <v>0</v>
      </c>
      <c r="P422" s="61">
        <f>IF(Table1[[#This Row],[Role]]="Defensive",SUMIFS(Data!$J:$J,Data!$A:$A,Info!$B422,Data!$I:$I,Info!$D422,Data!$H:$H,$P$1),0)</f>
        <v>0</v>
      </c>
      <c r="Q422" s="65" t="str">
        <f>IF(Table1[[#This Row],[Pick]]="","",IF(S422&gt;1,400,IF(G422="","",IF(C422="Passing",(400-Table1[[#This Row],[Passing Yards]]-(30*Table1[[#This Row],[Passing TDs]])-(50*SUM(Table1[[#This Row],[Rushing TDs]:[Other TD''s]]))),IF(C422="Rushing",2*(200-Table1[[#This Row],[Rushing Yards]]-(30*Table1[[#This Row],[Passing TDs]])-50*(Table1[[#This Row],[Rushing TDs]]+Table1[[#This Row],[Receiving TDs]]+Table1[[#This Row],[Other TD''s]])),IF(C422="Receiving",2*(200-Table1[[#This Row],[Receiving Yards]]-(30*Table1[[#This Row],[Passing TDs]])-50*(Table1[[#This Row],[Rushing TDs]]+Table1[[#This Row],[Receiving TDs]]+Table1[[#This Row],[Other TD''s]])),IF(C422="Defensive",(25*(16-Table1[[#This Row],[Tackles]]-(8*(Table1[[#This Row],[Other TD''s]]+Table1[[#This Row],[Interceptions]]+Table1[[#This Row],[Fumbles Recovered]])))))))))))</f>
        <v/>
      </c>
      <c r="R422" s="3" t="str">
        <f t="shared" si="14"/>
        <v/>
      </c>
      <c r="S422" s="4">
        <f t="shared" si="13"/>
        <v>1048507</v>
      </c>
      <c r="T4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3" spans="1:20" hidden="1" x14ac:dyDescent="0.25">
      <c r="A423" t="s">
        <v>2</v>
      </c>
      <c r="B423" s="28" t="s">
        <v>50</v>
      </c>
      <c r="C423" t="s">
        <v>16</v>
      </c>
      <c r="D423" t="str">
        <f>_xlfn.XLOOKUP(Table1[[#This Row],[Player]]&amp;Table1[[#This Row],[Week]]&amp;Table1[[#This Row],[Role]],'Google Form Transform'!$A:$A,'Google Form Transform'!E:E,"")</f>
        <v/>
      </c>
      <c r="E423" t="str">
        <f>_xlfn.XLOOKUP(Table1[[#This Row],[Player]]&amp;Table1[[#This Row],[Week]]&amp;Table1[[#This Row],[Role]],'Google Form Transform'!$A:$A,'Google Form Transform'!F:F,"")</f>
        <v/>
      </c>
      <c r="F423" t="str">
        <f>_xlfn.XLOOKUP(Table1[[#This Row],[Player]]&amp;Table1[[#This Row],[Week]]&amp;Table1[[#This Row],[Role]],'Google Form Transform'!$A:$A,'Google Form Transform'!G:G,"")</f>
        <v/>
      </c>
      <c r="G423" s="59">
        <f>SUMIFS(Table2[Stat],Table2[Stat Category],"passing",Table2[Stat Type],"YDS",Table2[Athlete],Table1[[#This Row],[Pick]],Table2[Week],Table1[[#This Row],[Week]])</f>
        <v>0</v>
      </c>
      <c r="H423" s="59">
        <f>SUMIFS(Table2[Stat],Table2[Stat Category],"rushing",Table2[Stat Type],"YDS",Table2[Athlete],Table1[[#This Row],[Pick]],Table2[Week],Table1[[#This Row],[Week]])</f>
        <v>0</v>
      </c>
      <c r="I423" s="59">
        <f>SUMIFS(Table2[Stat],Table2[Stat Category],"receiving",Table2[Stat Type],"YDS",Table2[Athlete],Table1[[#This Row],[Pick]],Table2[Week],Table1[[#This Row],[Week]])</f>
        <v>0</v>
      </c>
      <c r="J423" s="6">
        <f>IF(AND($C423="Rushing", $H423&lt;=0), 0, IF(AND($C423="Passing", $G$3&lt;=0), 0,IF(AND($C423="Receiving",$I423&lt;=0), 0,SUMIFS(Table2[Stat],Table2[Week],Table1[[#This Row],[Week]],Table2[Athlete],Table1[[#This Row],[Pick]],Table2[Stat Category],"passing",Table2[Stat Type],"TD"))))</f>
        <v>0</v>
      </c>
      <c r="K423" s="6">
        <f>IF(AND($C423="Rushing", $H423&lt;=0), 0, IF(AND($C423="Passing", $G$3&lt;=0), 0,IF(AND($C423="Receiving",$I423&lt;=0),0,SUMIFS(Table2[Stat],Table2[Week],Table1[[#This Row],[Week]],Table2[Athlete],Table1[[#This Row],[Pick]],Table2[Stat Category],"rushing",Table2[Stat Type],"TD"))))</f>
        <v>0</v>
      </c>
      <c r="L423" s="6">
        <f>IF(AND($C423="Rushing", $H423&lt;=0), 0, IF(AND($C423="Passing", $G$3&lt;=0), 0,IF(AND($C423="Receiving",$I423&lt;=0),0,SUMIFS(Table2[Stat],Table2[Week],Table1[[#This Row],[Week]],Table2[Athlete],Table1[[#This Row],[Pick]],Table2[Stat Category],"receiving",Table2[Stat Type],"TD"))))</f>
        <v>0</v>
      </c>
      <c r="M4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3" s="61">
        <f>SUMIFS(Data!$J:$J,Data!$A:$A,Info!$B423,Data!$G:$G,Info!$C423,Data!$I:$I,Info!$D423,Data!$H:$H,"TOT")</f>
        <v>0</v>
      </c>
      <c r="O423" s="61">
        <f>IF(C423="Defensive",SUMIFS(Data!$J:$J,Data!$A:$A,Info!$B423,Data!$I:$I,Info!$D423,Data!$H:$H,"INT"),0)</f>
        <v>0</v>
      </c>
      <c r="P423" s="61">
        <f>IF(Table1[[#This Row],[Role]]="Defensive",SUMIFS(Data!$J:$J,Data!$A:$A,Info!$B423,Data!$I:$I,Info!$D423,Data!$H:$H,$P$1),0)</f>
        <v>0</v>
      </c>
      <c r="Q423" s="65" t="str">
        <f>IF(Table1[[#This Row],[Pick]]="","",IF(S423&gt;1,400,IF(G423="","",IF(C423="Passing",(400-Table1[[#This Row],[Passing Yards]]-(30*Table1[[#This Row],[Passing TDs]])-(50*SUM(Table1[[#This Row],[Rushing TDs]:[Other TD''s]]))),IF(C423="Rushing",2*(200-Table1[[#This Row],[Rushing Yards]]-(30*Table1[[#This Row],[Passing TDs]])-50*(Table1[[#This Row],[Rushing TDs]]+Table1[[#This Row],[Receiving TDs]]+Table1[[#This Row],[Other TD''s]])),IF(C423="Receiving",2*(200-Table1[[#This Row],[Receiving Yards]]-(30*Table1[[#This Row],[Passing TDs]])-50*(Table1[[#This Row],[Rushing TDs]]+Table1[[#This Row],[Receiving TDs]]+Table1[[#This Row],[Other TD''s]])),IF(C423="Defensive",(25*(16-Table1[[#This Row],[Tackles]]-(8*(Table1[[#This Row],[Other TD''s]]+Table1[[#This Row],[Interceptions]]+Table1[[#This Row],[Fumbles Recovered]])))))))))))</f>
        <v/>
      </c>
      <c r="R423" s="3" t="str">
        <f t="shared" si="14"/>
        <v/>
      </c>
      <c r="S423" s="4">
        <f t="shared" si="13"/>
        <v>1048507</v>
      </c>
      <c r="T4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4" spans="1:20" hidden="1" x14ac:dyDescent="0.25">
      <c r="A424" t="s">
        <v>2</v>
      </c>
      <c r="B424" s="28" t="s">
        <v>50</v>
      </c>
      <c r="C424" t="s">
        <v>6</v>
      </c>
      <c r="D424" t="str">
        <f>_xlfn.XLOOKUP(Table1[[#This Row],[Player]]&amp;Table1[[#This Row],[Week]]&amp;Table1[[#This Row],[Role]],'Google Form Transform'!$A:$A,'Google Form Transform'!E:E,"")</f>
        <v/>
      </c>
      <c r="E424" t="str">
        <f>_xlfn.XLOOKUP(Table1[[#This Row],[Player]]&amp;Table1[[#This Row],[Week]]&amp;Table1[[#This Row],[Role]],'Google Form Transform'!$A:$A,'Google Form Transform'!F:F,"")</f>
        <v/>
      </c>
      <c r="F424" t="str">
        <f>_xlfn.XLOOKUP(Table1[[#This Row],[Player]]&amp;Table1[[#This Row],[Week]]&amp;Table1[[#This Row],[Role]],'Google Form Transform'!$A:$A,'Google Form Transform'!G:G,"")</f>
        <v/>
      </c>
      <c r="G424" s="59">
        <f>SUMIFS(Table2[Stat],Table2[Stat Category],"passing",Table2[Stat Type],"YDS",Table2[Athlete],Table1[[#This Row],[Pick]],Table2[Week],Table1[[#This Row],[Week]])</f>
        <v>0</v>
      </c>
      <c r="H424" s="59">
        <f>SUMIFS(Table2[Stat],Table2[Stat Category],"rushing",Table2[Stat Type],"YDS",Table2[Athlete],Table1[[#This Row],[Pick]],Table2[Week],Table1[[#This Row],[Week]])</f>
        <v>0</v>
      </c>
      <c r="I424" s="59">
        <f>SUMIFS(Table2[Stat],Table2[Stat Category],"receiving",Table2[Stat Type],"YDS",Table2[Athlete],Table1[[#This Row],[Pick]],Table2[Week],Table1[[#This Row],[Week]])</f>
        <v>0</v>
      </c>
      <c r="J424" s="6">
        <f>IF(AND($C424="Rushing", $H424&lt;=0), 0, IF(AND($C424="Passing", $G$3&lt;=0), 0,IF(AND($C424="Receiving",$I424&lt;=0), 0,SUMIFS(Table2[Stat],Table2[Week],Table1[[#This Row],[Week]],Table2[Athlete],Table1[[#This Row],[Pick]],Table2[Stat Category],"passing",Table2[Stat Type],"TD"))))</f>
        <v>0</v>
      </c>
      <c r="K424" s="6">
        <f>IF(AND($C424="Rushing", $H424&lt;=0), 0, IF(AND($C424="Passing", $G$3&lt;=0), 0,IF(AND($C424="Receiving",$I424&lt;=0),0,SUMIFS(Table2[Stat],Table2[Week],Table1[[#This Row],[Week]],Table2[Athlete],Table1[[#This Row],[Pick]],Table2[Stat Category],"rushing",Table2[Stat Type],"TD"))))</f>
        <v>0</v>
      </c>
      <c r="L424" s="6">
        <f>IF(AND($C424="Rushing", $H424&lt;=0), 0, IF(AND($C424="Passing", $G$3&lt;=0), 0,IF(AND($C424="Receiving",$I424&lt;=0),0,SUMIFS(Table2[Stat],Table2[Week],Table1[[#This Row],[Week]],Table2[Athlete],Table1[[#This Row],[Pick]],Table2[Stat Category],"receiving",Table2[Stat Type],"TD"))))</f>
        <v>0</v>
      </c>
      <c r="M4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4" s="61">
        <f>SUMIFS(Data!$J:$J,Data!$A:$A,Info!$B424,Data!$G:$G,Info!$C424,Data!$I:$I,Info!$D424,Data!$H:$H,"TOT")</f>
        <v>0</v>
      </c>
      <c r="O424" s="61">
        <f>IF(C424="Defensive",SUMIFS(Data!$J:$J,Data!$A:$A,Info!$B424,Data!$I:$I,Info!$D424,Data!$H:$H,"INT"),0)</f>
        <v>0</v>
      </c>
      <c r="P424" s="61">
        <f>IF(Table1[[#This Row],[Role]]="Defensive",SUMIFS(Data!$J:$J,Data!$A:$A,Info!$B424,Data!$I:$I,Info!$D424,Data!$H:$H,$P$1),0)</f>
        <v>0</v>
      </c>
      <c r="Q424" s="65" t="str">
        <f>IF(Table1[[#This Row],[Pick]]="","",IF(S424&gt;1,400,IF(G424="","",IF(C424="Passing",(400-Table1[[#This Row],[Passing Yards]]-(30*Table1[[#This Row],[Passing TDs]])-(50*SUM(Table1[[#This Row],[Rushing TDs]:[Other TD''s]]))),IF(C424="Rushing",2*(200-Table1[[#This Row],[Rushing Yards]]-(30*Table1[[#This Row],[Passing TDs]])-50*(Table1[[#This Row],[Rushing TDs]]+Table1[[#This Row],[Receiving TDs]]+Table1[[#This Row],[Other TD''s]])),IF(C424="Receiving",2*(200-Table1[[#This Row],[Receiving Yards]]-(30*Table1[[#This Row],[Passing TDs]])-50*(Table1[[#This Row],[Rushing TDs]]+Table1[[#This Row],[Receiving TDs]]+Table1[[#This Row],[Other TD''s]])),IF(C424="Defensive",(25*(16-Table1[[#This Row],[Tackles]]-(8*(Table1[[#This Row],[Other TD''s]]+Table1[[#This Row],[Interceptions]]+Table1[[#This Row],[Fumbles Recovered]])))))))))))</f>
        <v/>
      </c>
      <c r="R424" s="3" t="str">
        <f t="shared" si="14"/>
        <v/>
      </c>
      <c r="S424" s="4">
        <f t="shared" si="13"/>
        <v>1048507</v>
      </c>
      <c r="T4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5" spans="1:20" hidden="1" x14ac:dyDescent="0.25">
      <c r="A425" t="s">
        <v>2</v>
      </c>
      <c r="B425" s="28" t="s">
        <v>50</v>
      </c>
      <c r="C425" t="s">
        <v>17</v>
      </c>
      <c r="D425" t="str">
        <f>_xlfn.XLOOKUP(Table1[[#This Row],[Player]]&amp;Table1[[#This Row],[Week]]&amp;Table1[[#This Row],[Role]],'Google Form Transform'!$A:$A,'Google Form Transform'!E:E,"")</f>
        <v/>
      </c>
      <c r="E425" t="str">
        <f>_xlfn.XLOOKUP(Table1[[#This Row],[Player]]&amp;Table1[[#This Row],[Week]]&amp;Table1[[#This Row],[Role]],'Google Form Transform'!$A:$A,'Google Form Transform'!F:F,"")</f>
        <v/>
      </c>
      <c r="F425" t="str">
        <f>_xlfn.XLOOKUP(Table1[[#This Row],[Player]]&amp;Table1[[#This Row],[Week]]&amp;Table1[[#This Row],[Role]],'Google Form Transform'!$A:$A,'Google Form Transform'!G:G,"")</f>
        <v/>
      </c>
      <c r="G425" s="59">
        <f>SUMIFS(Table2[Stat],Table2[Stat Category],"passing",Table2[Stat Type],"YDS",Table2[Athlete],Table1[[#This Row],[Pick]],Table2[Week],Table1[[#This Row],[Week]])</f>
        <v>0</v>
      </c>
      <c r="H425" s="59">
        <f>SUMIFS(Table2[Stat],Table2[Stat Category],"rushing",Table2[Stat Type],"YDS",Table2[Athlete],Table1[[#This Row],[Pick]],Table2[Week],Table1[[#This Row],[Week]])</f>
        <v>0</v>
      </c>
      <c r="I425" s="59">
        <f>SUMIFS(Table2[Stat],Table2[Stat Category],"receiving",Table2[Stat Type],"YDS",Table2[Athlete],Table1[[#This Row],[Pick]],Table2[Week],Table1[[#This Row],[Week]])</f>
        <v>0</v>
      </c>
      <c r="J425" s="6">
        <f>IF(AND($C425="Rushing", $H425&lt;=0), 0, IF(AND($C425="Passing", $G$3&lt;=0), 0,IF(AND($C425="Receiving",$I425&lt;=0), 0,SUMIFS(Table2[Stat],Table2[Week],Table1[[#This Row],[Week]],Table2[Athlete],Table1[[#This Row],[Pick]],Table2[Stat Category],"passing",Table2[Stat Type],"TD"))))</f>
        <v>0</v>
      </c>
      <c r="K425" s="6">
        <f>IF(AND($C425="Rushing", $H425&lt;=0), 0, IF(AND($C425="Passing", $G$3&lt;=0), 0,IF(AND($C425="Receiving",$I425&lt;=0),0,SUMIFS(Table2[Stat],Table2[Week],Table1[[#This Row],[Week]],Table2[Athlete],Table1[[#This Row],[Pick]],Table2[Stat Category],"rushing",Table2[Stat Type],"TD"))))</f>
        <v>0</v>
      </c>
      <c r="L425" s="6">
        <f>IF(AND($C425="Rushing", $H425&lt;=0), 0, IF(AND($C425="Passing", $G$3&lt;=0), 0,IF(AND($C425="Receiving",$I425&lt;=0),0,SUMIFS(Table2[Stat],Table2[Week],Table1[[#This Row],[Week]],Table2[Athlete],Table1[[#This Row],[Pick]],Table2[Stat Category],"receiving",Table2[Stat Type],"TD"))))</f>
        <v>0</v>
      </c>
      <c r="M4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5" s="61">
        <f>SUMIFS(Data!$J:$J,Data!$A:$A,Info!$B425,Data!$G:$G,Info!$C425,Data!$I:$I,Info!$D425,Data!$H:$H,"TOT")</f>
        <v>0</v>
      </c>
      <c r="O425" s="61">
        <f>IF(C425="Defensive",SUMIFS(Data!$J:$J,Data!$A:$A,Info!$B425,Data!$I:$I,Info!$D425,Data!$H:$H,"INT"),0)</f>
        <v>0</v>
      </c>
      <c r="P425" s="61">
        <f>IF(Table1[[#This Row],[Role]]="Defensive",SUMIFS(Data!$J:$J,Data!$A:$A,Info!$B425,Data!$I:$I,Info!$D425,Data!$H:$H,$P$1),0)</f>
        <v>0</v>
      </c>
      <c r="Q425" s="65" t="str">
        <f>IF(Table1[[#This Row],[Pick]]="","",IF(S425&gt;1,400,IF(G425="","",IF(C425="Passing",(400-Table1[[#This Row],[Passing Yards]]-(30*Table1[[#This Row],[Passing TDs]])-(50*SUM(Table1[[#This Row],[Rushing TDs]:[Other TD''s]]))),IF(C425="Rushing",2*(200-Table1[[#This Row],[Rushing Yards]]-(30*Table1[[#This Row],[Passing TDs]])-50*(Table1[[#This Row],[Rushing TDs]]+Table1[[#This Row],[Receiving TDs]]+Table1[[#This Row],[Other TD''s]])),IF(C425="Receiving",2*(200-Table1[[#This Row],[Receiving Yards]]-(30*Table1[[#This Row],[Passing TDs]])-50*(Table1[[#This Row],[Rushing TDs]]+Table1[[#This Row],[Receiving TDs]]+Table1[[#This Row],[Other TD''s]])),IF(C425="Defensive",(25*(16-Table1[[#This Row],[Tackles]]-(8*(Table1[[#This Row],[Other TD''s]]+Table1[[#This Row],[Interceptions]]+Table1[[#This Row],[Fumbles Recovered]])))))))))))</f>
        <v/>
      </c>
      <c r="R425" s="3" t="str">
        <f t="shared" si="14"/>
        <v/>
      </c>
      <c r="S425" s="4">
        <f t="shared" si="13"/>
        <v>1048507</v>
      </c>
      <c r="T4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6" spans="1:20" hidden="1" x14ac:dyDescent="0.25">
      <c r="A426" t="s">
        <v>2</v>
      </c>
      <c r="B426" s="28" t="s">
        <v>50</v>
      </c>
      <c r="C426" t="s">
        <v>20</v>
      </c>
      <c r="D426" t="str">
        <f>_xlfn.XLOOKUP(Table1[[#This Row],[Player]]&amp;Table1[[#This Row],[Week]]&amp;Table1[[#This Row],[Role]],'Google Form Transform'!$A:$A,'Google Form Transform'!E:E,"")</f>
        <v/>
      </c>
      <c r="E426" t="str">
        <f>_xlfn.XLOOKUP(Table1[[#This Row],[Player]]&amp;Table1[[#This Row],[Week]]&amp;Table1[[#This Row],[Role]],'Google Form Transform'!$A:$A,'Google Form Transform'!F:F,"")</f>
        <v/>
      </c>
      <c r="F426" t="str">
        <f>_xlfn.XLOOKUP(Table1[[#This Row],[Player]]&amp;Table1[[#This Row],[Week]]&amp;Table1[[#This Row],[Role]],'Google Form Transform'!$A:$A,'Google Form Transform'!G:G,"")</f>
        <v/>
      </c>
      <c r="G426" s="59">
        <f>SUMIFS(Table2[Stat],Table2[Stat Category],"passing",Table2[Stat Type],"YDS",Table2[Athlete],Table1[[#This Row],[Pick]],Table2[Week],Table1[[#This Row],[Week]])</f>
        <v>0</v>
      </c>
      <c r="H426" s="59">
        <f>SUMIFS(Table2[Stat],Table2[Stat Category],"rushing",Table2[Stat Type],"YDS",Table2[Athlete],Table1[[#This Row],[Pick]],Table2[Week],Table1[[#This Row],[Week]])</f>
        <v>0</v>
      </c>
      <c r="I426" s="59">
        <f>SUMIFS(Table2[Stat],Table2[Stat Category],"receiving",Table2[Stat Type],"YDS",Table2[Athlete],Table1[[#This Row],[Pick]],Table2[Week],Table1[[#This Row],[Week]])</f>
        <v>0</v>
      </c>
      <c r="J426" s="6">
        <f>IF(AND($C426="Rushing", $H426&lt;=0), 0, IF(AND($C426="Passing", $G$3&lt;=0), 0,IF(AND($C426="Receiving",$I426&lt;=0), 0,SUMIFS(Table2[Stat],Table2[Week],Table1[[#This Row],[Week]],Table2[Athlete],Table1[[#This Row],[Pick]],Table2[Stat Category],"passing",Table2[Stat Type],"TD"))))</f>
        <v>0</v>
      </c>
      <c r="K426" s="6">
        <f>IF(AND($C426="Rushing", $H426&lt;=0), 0, IF(AND($C426="Passing", $G$3&lt;=0), 0,IF(AND($C426="Receiving",$I426&lt;=0),0,SUMIFS(Table2[Stat],Table2[Week],Table1[[#This Row],[Week]],Table2[Athlete],Table1[[#This Row],[Pick]],Table2[Stat Category],"rushing",Table2[Stat Type],"TD"))))</f>
        <v>0</v>
      </c>
      <c r="L426" s="6">
        <f>IF(AND($C426="Rushing", $H426&lt;=0), 0, IF(AND($C426="Passing", $G$3&lt;=0), 0,IF(AND($C426="Receiving",$I426&lt;=0),0,SUMIFS(Table2[Stat],Table2[Week],Table1[[#This Row],[Week]],Table2[Athlete],Table1[[#This Row],[Pick]],Table2[Stat Category],"receiving",Table2[Stat Type],"TD"))))</f>
        <v>0</v>
      </c>
      <c r="M4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6" s="61">
        <f>SUMIFS(Data!$J:$J,Data!$A:$A,Info!$B426,Data!$G:$G,Info!$C426,Data!$I:$I,Info!$D426,Data!$H:$H,"TOT")</f>
        <v>0</v>
      </c>
      <c r="O426" s="61">
        <f>IF(C426="Defensive",SUMIFS(Data!$J:$J,Data!$A:$A,Info!$B426,Data!$I:$I,Info!$D426,Data!$H:$H,"INT"),0)</f>
        <v>0</v>
      </c>
      <c r="P426" s="61">
        <f>IF(Table1[[#This Row],[Role]]="Defensive",SUMIFS(Data!$J:$J,Data!$A:$A,Info!$B426,Data!$I:$I,Info!$D426,Data!$H:$H,$P$1),0)</f>
        <v>0</v>
      </c>
      <c r="Q426" s="65" t="str">
        <f>IF(Table1[[#This Row],[Pick]]="","",IF(S426&gt;1,400,IF(G426="","",IF(C426="Passing",(400-Table1[[#This Row],[Passing Yards]]-(30*Table1[[#This Row],[Passing TDs]])-(50*SUM(Table1[[#This Row],[Rushing TDs]:[Other TD''s]]))),IF(C426="Rushing",2*(200-Table1[[#This Row],[Rushing Yards]]-(30*Table1[[#This Row],[Passing TDs]])-50*(Table1[[#This Row],[Rushing TDs]]+Table1[[#This Row],[Receiving TDs]]+Table1[[#This Row],[Other TD''s]])),IF(C426="Receiving",2*(200-Table1[[#This Row],[Receiving Yards]]-(30*Table1[[#This Row],[Passing TDs]])-50*(Table1[[#This Row],[Rushing TDs]]+Table1[[#This Row],[Receiving TDs]]+Table1[[#This Row],[Other TD''s]])),IF(C426="Defensive",(25*(16-Table1[[#This Row],[Tackles]]-(8*(Table1[[#This Row],[Other TD''s]]+Table1[[#This Row],[Interceptions]]+Table1[[#This Row],[Fumbles Recovered]])))))))))))</f>
        <v/>
      </c>
      <c r="R426" s="3" t="str">
        <f t="shared" si="14"/>
        <v/>
      </c>
      <c r="S426" s="4">
        <f t="shared" si="13"/>
        <v>1048507</v>
      </c>
      <c r="T4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7" spans="1:20" hidden="1" x14ac:dyDescent="0.25">
      <c r="A427" t="s">
        <v>4</v>
      </c>
      <c r="B427" s="28" t="s">
        <v>50</v>
      </c>
      <c r="C427" t="s">
        <v>16</v>
      </c>
      <c r="D427" t="str">
        <f>_xlfn.XLOOKUP(Table1[[#This Row],[Player]]&amp;Table1[[#This Row],[Week]]&amp;Table1[[#This Row],[Role]],'Google Form Transform'!$A:$A,'Google Form Transform'!E:E,"")</f>
        <v/>
      </c>
      <c r="E427" t="str">
        <f>_xlfn.XLOOKUP(Table1[[#This Row],[Player]]&amp;Table1[[#This Row],[Week]]&amp;Table1[[#This Row],[Role]],'Google Form Transform'!$A:$A,'Google Form Transform'!F:F,"")</f>
        <v/>
      </c>
      <c r="F427" t="str">
        <f>_xlfn.XLOOKUP(Table1[[#This Row],[Player]]&amp;Table1[[#This Row],[Week]]&amp;Table1[[#This Row],[Role]],'Google Form Transform'!$A:$A,'Google Form Transform'!G:G,"")</f>
        <v/>
      </c>
      <c r="G427" s="59">
        <f>SUMIFS(Table2[Stat],Table2[Stat Category],"passing",Table2[Stat Type],"YDS",Table2[Athlete],Table1[[#This Row],[Pick]],Table2[Week],Table1[[#This Row],[Week]])</f>
        <v>0</v>
      </c>
      <c r="H427" s="59">
        <f>SUMIFS(Table2[Stat],Table2[Stat Category],"rushing",Table2[Stat Type],"YDS",Table2[Athlete],Table1[[#This Row],[Pick]],Table2[Week],Table1[[#This Row],[Week]])</f>
        <v>0</v>
      </c>
      <c r="I427" s="59">
        <f>SUMIFS(Table2[Stat],Table2[Stat Category],"receiving",Table2[Stat Type],"YDS",Table2[Athlete],Table1[[#This Row],[Pick]],Table2[Week],Table1[[#This Row],[Week]])</f>
        <v>0</v>
      </c>
      <c r="J427" s="6">
        <f>IF(AND($C427="Rushing", $H427&lt;=0), 0, IF(AND($C427="Passing", $G$3&lt;=0), 0,IF(AND($C427="Receiving",$I427&lt;=0), 0,SUMIFS(Table2[Stat],Table2[Week],Table1[[#This Row],[Week]],Table2[Athlete],Table1[[#This Row],[Pick]],Table2[Stat Category],"passing",Table2[Stat Type],"TD"))))</f>
        <v>0</v>
      </c>
      <c r="K427" s="6">
        <f>IF(AND($C427="Rushing", $H427&lt;=0), 0, IF(AND($C427="Passing", $G$3&lt;=0), 0,IF(AND($C427="Receiving",$I427&lt;=0),0,SUMIFS(Table2[Stat],Table2[Week],Table1[[#This Row],[Week]],Table2[Athlete],Table1[[#This Row],[Pick]],Table2[Stat Category],"rushing",Table2[Stat Type],"TD"))))</f>
        <v>0</v>
      </c>
      <c r="L427" s="6">
        <f>IF(AND($C427="Rushing", $H427&lt;=0), 0, IF(AND($C427="Passing", $G$3&lt;=0), 0,IF(AND($C427="Receiving",$I427&lt;=0),0,SUMIFS(Table2[Stat],Table2[Week],Table1[[#This Row],[Week]],Table2[Athlete],Table1[[#This Row],[Pick]],Table2[Stat Category],"receiving",Table2[Stat Type],"TD"))))</f>
        <v>0</v>
      </c>
      <c r="M4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7" s="61">
        <f>SUMIFS(Data!$J:$J,Data!$A:$A,Info!$B427,Data!$G:$G,Info!$C427,Data!$I:$I,Info!$D427,Data!$H:$H,"TOT")</f>
        <v>0</v>
      </c>
      <c r="O427" s="61">
        <f>IF(C427="Defensive",SUMIFS(Data!$J:$J,Data!$A:$A,Info!$B427,Data!$I:$I,Info!$D427,Data!$H:$H,"INT"),0)</f>
        <v>0</v>
      </c>
      <c r="P427" s="61">
        <f>IF(Table1[[#This Row],[Role]]="Defensive",SUMIFS(Data!$J:$J,Data!$A:$A,Info!$B427,Data!$I:$I,Info!$D427,Data!$H:$H,$P$1),0)</f>
        <v>0</v>
      </c>
      <c r="Q427" s="65" t="str">
        <f>IF(Table1[[#This Row],[Pick]]="","",IF(S427&gt;1,400,IF(G427="","",IF(C427="Passing",(400-Table1[[#This Row],[Passing Yards]]-(30*Table1[[#This Row],[Passing TDs]])-(50*SUM(Table1[[#This Row],[Rushing TDs]:[Other TD''s]]))),IF(C427="Rushing",2*(200-Table1[[#This Row],[Rushing Yards]]-(30*Table1[[#This Row],[Passing TDs]])-50*(Table1[[#This Row],[Rushing TDs]]+Table1[[#This Row],[Receiving TDs]]+Table1[[#This Row],[Other TD''s]])),IF(C427="Receiving",2*(200-Table1[[#This Row],[Receiving Yards]]-(30*Table1[[#This Row],[Passing TDs]])-50*(Table1[[#This Row],[Rushing TDs]]+Table1[[#This Row],[Receiving TDs]]+Table1[[#This Row],[Other TD''s]])),IF(C427="Defensive",(25*(16-Table1[[#This Row],[Tackles]]-(8*(Table1[[#This Row],[Other TD''s]]+Table1[[#This Row],[Interceptions]]+Table1[[#This Row],[Fumbles Recovered]])))))))))))</f>
        <v/>
      </c>
      <c r="R427" s="3" t="str">
        <f t="shared" si="14"/>
        <v/>
      </c>
      <c r="S427" s="4">
        <f t="shared" si="13"/>
        <v>1048507</v>
      </c>
      <c r="T4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8" spans="1:20" hidden="1" x14ac:dyDescent="0.25">
      <c r="A428" t="s">
        <v>4</v>
      </c>
      <c r="B428" s="28" t="s">
        <v>50</v>
      </c>
      <c r="C428" t="s">
        <v>6</v>
      </c>
      <c r="D428" t="str">
        <f>_xlfn.XLOOKUP(Table1[[#This Row],[Player]]&amp;Table1[[#This Row],[Week]]&amp;Table1[[#This Row],[Role]],'Google Form Transform'!$A:$A,'Google Form Transform'!E:E,"")</f>
        <v/>
      </c>
      <c r="E428" t="str">
        <f>_xlfn.XLOOKUP(Table1[[#This Row],[Player]]&amp;Table1[[#This Row],[Week]]&amp;Table1[[#This Row],[Role]],'Google Form Transform'!$A:$A,'Google Form Transform'!F:F,"")</f>
        <v/>
      </c>
      <c r="F428" t="str">
        <f>_xlfn.XLOOKUP(Table1[[#This Row],[Player]]&amp;Table1[[#This Row],[Week]]&amp;Table1[[#This Row],[Role]],'Google Form Transform'!$A:$A,'Google Form Transform'!G:G,"")</f>
        <v/>
      </c>
      <c r="G428" s="59">
        <f>SUMIFS(Table2[Stat],Table2[Stat Category],"passing",Table2[Stat Type],"YDS",Table2[Athlete],Table1[[#This Row],[Pick]],Table2[Week],Table1[[#This Row],[Week]])</f>
        <v>0</v>
      </c>
      <c r="H428" s="59">
        <f>SUMIFS(Table2[Stat],Table2[Stat Category],"rushing",Table2[Stat Type],"YDS",Table2[Athlete],Table1[[#This Row],[Pick]],Table2[Week],Table1[[#This Row],[Week]])</f>
        <v>0</v>
      </c>
      <c r="I428" s="59">
        <f>SUMIFS(Table2[Stat],Table2[Stat Category],"receiving",Table2[Stat Type],"YDS",Table2[Athlete],Table1[[#This Row],[Pick]],Table2[Week],Table1[[#This Row],[Week]])</f>
        <v>0</v>
      </c>
      <c r="J428" s="6">
        <f>IF(AND($C428="Rushing", $H428&lt;=0), 0, IF(AND($C428="Passing", $G$3&lt;=0), 0,IF(AND($C428="Receiving",$I428&lt;=0), 0,SUMIFS(Table2[Stat],Table2[Week],Table1[[#This Row],[Week]],Table2[Athlete],Table1[[#This Row],[Pick]],Table2[Stat Category],"passing",Table2[Stat Type],"TD"))))</f>
        <v>0</v>
      </c>
      <c r="K428" s="6">
        <f>IF(AND($C428="Rushing", $H428&lt;=0), 0, IF(AND($C428="Passing", $G$3&lt;=0), 0,IF(AND($C428="Receiving",$I428&lt;=0),0,SUMIFS(Table2[Stat],Table2[Week],Table1[[#This Row],[Week]],Table2[Athlete],Table1[[#This Row],[Pick]],Table2[Stat Category],"rushing",Table2[Stat Type],"TD"))))</f>
        <v>0</v>
      </c>
      <c r="L428" s="6">
        <f>IF(AND($C428="Rushing", $H428&lt;=0), 0, IF(AND($C428="Passing", $G$3&lt;=0), 0,IF(AND($C428="Receiving",$I428&lt;=0),0,SUMIFS(Table2[Stat],Table2[Week],Table1[[#This Row],[Week]],Table2[Athlete],Table1[[#This Row],[Pick]],Table2[Stat Category],"receiving",Table2[Stat Type],"TD"))))</f>
        <v>0</v>
      </c>
      <c r="M4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8" s="61">
        <f>SUMIFS(Data!$J:$J,Data!$A:$A,Info!$B428,Data!$G:$G,Info!$C428,Data!$I:$I,Info!$D428,Data!$H:$H,"TOT")</f>
        <v>0</v>
      </c>
      <c r="O428" s="61">
        <f>IF(C428="Defensive",SUMIFS(Data!$J:$J,Data!$A:$A,Info!$B428,Data!$I:$I,Info!$D428,Data!$H:$H,"INT"),0)</f>
        <v>0</v>
      </c>
      <c r="P428" s="61">
        <f>IF(Table1[[#This Row],[Role]]="Defensive",SUMIFS(Data!$J:$J,Data!$A:$A,Info!$B428,Data!$I:$I,Info!$D428,Data!$H:$H,$P$1),0)</f>
        <v>0</v>
      </c>
      <c r="Q428" s="65" t="str">
        <f>IF(Table1[[#This Row],[Pick]]="","",IF(S428&gt;1,400,IF(G428="","",IF(C428="Passing",(400-Table1[[#This Row],[Passing Yards]]-(30*Table1[[#This Row],[Passing TDs]])-(50*SUM(Table1[[#This Row],[Rushing TDs]:[Other TD''s]]))),IF(C428="Rushing",2*(200-Table1[[#This Row],[Rushing Yards]]-(30*Table1[[#This Row],[Passing TDs]])-50*(Table1[[#This Row],[Rushing TDs]]+Table1[[#This Row],[Receiving TDs]]+Table1[[#This Row],[Other TD''s]])),IF(C428="Receiving",2*(200-Table1[[#This Row],[Receiving Yards]]-(30*Table1[[#This Row],[Passing TDs]])-50*(Table1[[#This Row],[Rushing TDs]]+Table1[[#This Row],[Receiving TDs]]+Table1[[#This Row],[Other TD''s]])),IF(C428="Defensive",(25*(16-Table1[[#This Row],[Tackles]]-(8*(Table1[[#This Row],[Other TD''s]]+Table1[[#This Row],[Interceptions]]+Table1[[#This Row],[Fumbles Recovered]])))))))))))</f>
        <v/>
      </c>
      <c r="R428" s="3" t="str">
        <f t="shared" si="14"/>
        <v/>
      </c>
      <c r="S428" s="4">
        <f t="shared" si="13"/>
        <v>1048507</v>
      </c>
      <c r="T4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9" spans="1:20" hidden="1" x14ac:dyDescent="0.25">
      <c r="A429" t="s">
        <v>4</v>
      </c>
      <c r="B429" s="28" t="s">
        <v>50</v>
      </c>
      <c r="C429" t="s">
        <v>17</v>
      </c>
      <c r="D429" t="str">
        <f>_xlfn.XLOOKUP(Table1[[#This Row],[Player]]&amp;Table1[[#This Row],[Week]]&amp;Table1[[#This Row],[Role]],'Google Form Transform'!$A:$A,'Google Form Transform'!E:E,"")</f>
        <v/>
      </c>
      <c r="E429" t="str">
        <f>_xlfn.XLOOKUP(Table1[[#This Row],[Player]]&amp;Table1[[#This Row],[Week]]&amp;Table1[[#This Row],[Role]],'Google Form Transform'!$A:$A,'Google Form Transform'!F:F,"")</f>
        <v/>
      </c>
      <c r="F429" t="str">
        <f>_xlfn.XLOOKUP(Table1[[#This Row],[Player]]&amp;Table1[[#This Row],[Week]]&amp;Table1[[#This Row],[Role]],'Google Form Transform'!$A:$A,'Google Form Transform'!G:G,"")</f>
        <v/>
      </c>
      <c r="G429" s="59">
        <f>SUMIFS(Table2[Stat],Table2[Stat Category],"passing",Table2[Stat Type],"YDS",Table2[Athlete],Table1[[#This Row],[Pick]],Table2[Week],Table1[[#This Row],[Week]])</f>
        <v>0</v>
      </c>
      <c r="H429" s="59">
        <f>SUMIFS(Table2[Stat],Table2[Stat Category],"rushing",Table2[Stat Type],"YDS",Table2[Athlete],Table1[[#This Row],[Pick]],Table2[Week],Table1[[#This Row],[Week]])</f>
        <v>0</v>
      </c>
      <c r="I429" s="59">
        <f>SUMIFS(Table2[Stat],Table2[Stat Category],"receiving",Table2[Stat Type],"YDS",Table2[Athlete],Table1[[#This Row],[Pick]],Table2[Week],Table1[[#This Row],[Week]])</f>
        <v>0</v>
      </c>
      <c r="J429" s="6">
        <f>IF(AND($C429="Rushing", $H429&lt;=0), 0, IF(AND($C429="Passing", $G$3&lt;=0), 0,IF(AND($C429="Receiving",$I429&lt;=0), 0,SUMIFS(Table2[Stat],Table2[Week],Table1[[#This Row],[Week]],Table2[Athlete],Table1[[#This Row],[Pick]],Table2[Stat Category],"passing",Table2[Stat Type],"TD"))))</f>
        <v>0</v>
      </c>
      <c r="K429" s="6">
        <f>IF(AND($C429="Rushing", $H429&lt;=0), 0, IF(AND($C429="Passing", $G$3&lt;=0), 0,IF(AND($C429="Receiving",$I429&lt;=0),0,SUMIFS(Table2[Stat],Table2[Week],Table1[[#This Row],[Week]],Table2[Athlete],Table1[[#This Row],[Pick]],Table2[Stat Category],"rushing",Table2[Stat Type],"TD"))))</f>
        <v>0</v>
      </c>
      <c r="L429" s="6">
        <f>IF(AND($C429="Rushing", $H429&lt;=0), 0, IF(AND($C429="Passing", $G$3&lt;=0), 0,IF(AND($C429="Receiving",$I429&lt;=0),0,SUMIFS(Table2[Stat],Table2[Week],Table1[[#This Row],[Week]],Table2[Athlete],Table1[[#This Row],[Pick]],Table2[Stat Category],"receiving",Table2[Stat Type],"TD"))))</f>
        <v>0</v>
      </c>
      <c r="M4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9" s="61">
        <f>SUMIFS(Data!$J:$J,Data!$A:$A,Info!$B429,Data!$G:$G,Info!$C429,Data!$I:$I,Info!$D429,Data!$H:$H,"TOT")</f>
        <v>0</v>
      </c>
      <c r="O429" s="61">
        <f>IF(C429="Defensive",SUMIFS(Data!$J:$J,Data!$A:$A,Info!$B429,Data!$I:$I,Info!$D429,Data!$H:$H,"INT"),0)</f>
        <v>0</v>
      </c>
      <c r="P429" s="61">
        <f>IF(Table1[[#This Row],[Role]]="Defensive",SUMIFS(Data!$J:$J,Data!$A:$A,Info!$B429,Data!$I:$I,Info!$D429,Data!$H:$H,$P$1),0)</f>
        <v>0</v>
      </c>
      <c r="Q429" s="65" t="str">
        <f>IF(Table1[[#This Row],[Pick]]="","",IF(S429&gt;1,400,IF(G429="","",IF(C429="Passing",(400-Table1[[#This Row],[Passing Yards]]-(30*Table1[[#This Row],[Passing TDs]])-(50*SUM(Table1[[#This Row],[Rushing TDs]:[Other TD''s]]))),IF(C429="Rushing",2*(200-Table1[[#This Row],[Rushing Yards]]-(30*Table1[[#This Row],[Passing TDs]])-50*(Table1[[#This Row],[Rushing TDs]]+Table1[[#This Row],[Receiving TDs]]+Table1[[#This Row],[Other TD''s]])),IF(C429="Receiving",2*(200-Table1[[#This Row],[Receiving Yards]]-(30*Table1[[#This Row],[Passing TDs]])-50*(Table1[[#This Row],[Rushing TDs]]+Table1[[#This Row],[Receiving TDs]]+Table1[[#This Row],[Other TD''s]])),IF(C429="Defensive",(25*(16-Table1[[#This Row],[Tackles]]-(8*(Table1[[#This Row],[Other TD''s]]+Table1[[#This Row],[Interceptions]]+Table1[[#This Row],[Fumbles Recovered]])))))))))))</f>
        <v/>
      </c>
      <c r="R429" s="3" t="str">
        <f t="shared" si="14"/>
        <v/>
      </c>
      <c r="S429" s="4">
        <f t="shared" si="13"/>
        <v>1048507</v>
      </c>
      <c r="T4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0" spans="1:20" hidden="1" x14ac:dyDescent="0.25">
      <c r="A430" t="s">
        <v>4</v>
      </c>
      <c r="B430" s="28" t="s">
        <v>50</v>
      </c>
      <c r="C430" t="s">
        <v>20</v>
      </c>
      <c r="D430" t="str">
        <f>_xlfn.XLOOKUP(Table1[[#This Row],[Player]]&amp;Table1[[#This Row],[Week]]&amp;Table1[[#This Row],[Role]],'Google Form Transform'!$A:$A,'Google Form Transform'!E:E,"")</f>
        <v/>
      </c>
      <c r="E430" t="str">
        <f>_xlfn.XLOOKUP(Table1[[#This Row],[Player]]&amp;Table1[[#This Row],[Week]]&amp;Table1[[#This Row],[Role]],'Google Form Transform'!$A:$A,'Google Form Transform'!F:F,"")</f>
        <v/>
      </c>
      <c r="F430" t="str">
        <f>_xlfn.XLOOKUP(Table1[[#This Row],[Player]]&amp;Table1[[#This Row],[Week]]&amp;Table1[[#This Row],[Role]],'Google Form Transform'!$A:$A,'Google Form Transform'!G:G,"")</f>
        <v/>
      </c>
      <c r="G430" s="59">
        <f>SUMIFS(Table2[Stat],Table2[Stat Category],"passing",Table2[Stat Type],"YDS",Table2[Athlete],Table1[[#This Row],[Pick]],Table2[Week],Table1[[#This Row],[Week]])</f>
        <v>0</v>
      </c>
      <c r="H430" s="59">
        <f>SUMIFS(Table2[Stat],Table2[Stat Category],"rushing",Table2[Stat Type],"YDS",Table2[Athlete],Table1[[#This Row],[Pick]],Table2[Week],Table1[[#This Row],[Week]])</f>
        <v>0</v>
      </c>
      <c r="I430" s="59">
        <f>SUMIFS(Table2[Stat],Table2[Stat Category],"receiving",Table2[Stat Type],"YDS",Table2[Athlete],Table1[[#This Row],[Pick]],Table2[Week],Table1[[#This Row],[Week]])</f>
        <v>0</v>
      </c>
      <c r="J430" s="6">
        <f>IF(AND($C430="Rushing", $H430&lt;=0), 0, IF(AND($C430="Passing", $G$3&lt;=0), 0,IF(AND($C430="Receiving",$I430&lt;=0), 0,SUMIFS(Table2[Stat],Table2[Week],Table1[[#This Row],[Week]],Table2[Athlete],Table1[[#This Row],[Pick]],Table2[Stat Category],"passing",Table2[Stat Type],"TD"))))</f>
        <v>0</v>
      </c>
      <c r="K430" s="6">
        <f>IF(AND($C430="Rushing", $H430&lt;=0), 0, IF(AND($C430="Passing", $G$3&lt;=0), 0,IF(AND($C430="Receiving",$I430&lt;=0),0,SUMIFS(Table2[Stat],Table2[Week],Table1[[#This Row],[Week]],Table2[Athlete],Table1[[#This Row],[Pick]],Table2[Stat Category],"rushing",Table2[Stat Type],"TD"))))</f>
        <v>0</v>
      </c>
      <c r="L430" s="6">
        <f>IF(AND($C430="Rushing", $H430&lt;=0), 0, IF(AND($C430="Passing", $G$3&lt;=0), 0,IF(AND($C430="Receiving",$I430&lt;=0),0,SUMIFS(Table2[Stat],Table2[Week],Table1[[#This Row],[Week]],Table2[Athlete],Table1[[#This Row],[Pick]],Table2[Stat Category],"receiving",Table2[Stat Type],"TD"))))</f>
        <v>0</v>
      </c>
      <c r="M4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0" s="61">
        <f>SUMIFS(Data!$J:$J,Data!$A:$A,Info!$B430,Data!$G:$G,Info!$C430,Data!$I:$I,Info!$D430,Data!$H:$H,"TOT")</f>
        <v>0</v>
      </c>
      <c r="O430" s="61">
        <f>IF(C430="Defensive",SUMIFS(Data!$J:$J,Data!$A:$A,Info!$B430,Data!$I:$I,Info!$D430,Data!$H:$H,"INT"),0)</f>
        <v>0</v>
      </c>
      <c r="P430" s="61">
        <f>IF(Table1[[#This Row],[Role]]="Defensive",SUMIFS(Data!$J:$J,Data!$A:$A,Info!$B430,Data!$I:$I,Info!$D430,Data!$H:$H,$P$1),0)</f>
        <v>0</v>
      </c>
      <c r="Q430" s="65" t="str">
        <f>IF(Table1[[#This Row],[Pick]]="","",IF(S430&gt;1,400,IF(G430="","",IF(C430="Passing",(400-Table1[[#This Row],[Passing Yards]]-(30*Table1[[#This Row],[Passing TDs]])-(50*SUM(Table1[[#This Row],[Rushing TDs]:[Other TD''s]]))),IF(C430="Rushing",2*(200-Table1[[#This Row],[Rushing Yards]]-(30*Table1[[#This Row],[Passing TDs]])-50*(Table1[[#This Row],[Rushing TDs]]+Table1[[#This Row],[Receiving TDs]]+Table1[[#This Row],[Other TD''s]])),IF(C430="Receiving",2*(200-Table1[[#This Row],[Receiving Yards]]-(30*Table1[[#This Row],[Passing TDs]])-50*(Table1[[#This Row],[Rushing TDs]]+Table1[[#This Row],[Receiving TDs]]+Table1[[#This Row],[Other TD''s]])),IF(C430="Defensive",(25*(16-Table1[[#This Row],[Tackles]]-(8*(Table1[[#This Row],[Other TD''s]]+Table1[[#This Row],[Interceptions]]+Table1[[#This Row],[Fumbles Recovered]])))))))))))</f>
        <v/>
      </c>
      <c r="R430" s="3" t="str">
        <f t="shared" si="14"/>
        <v/>
      </c>
      <c r="S430" s="4">
        <f t="shared" si="13"/>
        <v>1048507</v>
      </c>
      <c r="T4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1" spans="1:20" hidden="1" x14ac:dyDescent="0.25">
      <c r="A431" t="s">
        <v>79</v>
      </c>
      <c r="B431" s="28" t="s">
        <v>50</v>
      </c>
      <c r="C431" t="s">
        <v>16</v>
      </c>
      <c r="D431" t="str">
        <f>_xlfn.XLOOKUP(Table1[[#This Row],[Player]]&amp;Table1[[#This Row],[Week]]&amp;Table1[[#This Row],[Role]],'Google Form Transform'!$A:$A,'Google Form Transform'!E:E,"")</f>
        <v/>
      </c>
      <c r="E431" t="str">
        <f>_xlfn.XLOOKUP(Table1[[#This Row],[Player]]&amp;Table1[[#This Row],[Week]]&amp;Table1[[#This Row],[Role]],'Google Form Transform'!$A:$A,'Google Form Transform'!F:F,"")</f>
        <v/>
      </c>
      <c r="F431" t="str">
        <f>_xlfn.XLOOKUP(Table1[[#This Row],[Player]]&amp;Table1[[#This Row],[Week]]&amp;Table1[[#This Row],[Role]],'Google Form Transform'!$A:$A,'Google Form Transform'!G:G,"")</f>
        <v/>
      </c>
      <c r="G431" s="59">
        <f>SUMIFS(Table2[Stat],Table2[Stat Category],"passing",Table2[Stat Type],"YDS",Table2[Athlete],Table1[[#This Row],[Pick]],Table2[Week],Table1[[#This Row],[Week]])</f>
        <v>0</v>
      </c>
      <c r="H431" s="59">
        <f>SUMIFS(Table2[Stat],Table2[Stat Category],"rushing",Table2[Stat Type],"YDS",Table2[Athlete],Table1[[#This Row],[Pick]],Table2[Week],Table1[[#This Row],[Week]])</f>
        <v>0</v>
      </c>
      <c r="I431" s="59">
        <f>SUMIFS(Table2[Stat],Table2[Stat Category],"receiving",Table2[Stat Type],"YDS",Table2[Athlete],Table1[[#This Row],[Pick]],Table2[Week],Table1[[#This Row],[Week]])</f>
        <v>0</v>
      </c>
      <c r="J431" s="6">
        <f>IF(AND($C431="Rushing", $H431&lt;=0), 0, IF(AND($C431="Passing", $G$3&lt;=0), 0,IF(AND($C431="Receiving",$I431&lt;=0), 0,SUMIFS(Table2[Stat],Table2[Week],Table1[[#This Row],[Week]],Table2[Athlete],Table1[[#This Row],[Pick]],Table2[Stat Category],"passing",Table2[Stat Type],"TD"))))</f>
        <v>0</v>
      </c>
      <c r="K431" s="6">
        <f>IF(AND($C431="Rushing", $H431&lt;=0), 0, IF(AND($C431="Passing", $G$3&lt;=0), 0,IF(AND($C431="Receiving",$I431&lt;=0),0,SUMIFS(Table2[Stat],Table2[Week],Table1[[#This Row],[Week]],Table2[Athlete],Table1[[#This Row],[Pick]],Table2[Stat Category],"rushing",Table2[Stat Type],"TD"))))</f>
        <v>0</v>
      </c>
      <c r="L431" s="6">
        <f>IF(AND($C431="Rushing", $H431&lt;=0), 0, IF(AND($C431="Passing", $G$3&lt;=0), 0,IF(AND($C431="Receiving",$I431&lt;=0),0,SUMIFS(Table2[Stat],Table2[Week],Table1[[#This Row],[Week]],Table2[Athlete],Table1[[#This Row],[Pick]],Table2[Stat Category],"receiving",Table2[Stat Type],"TD"))))</f>
        <v>0</v>
      </c>
      <c r="M4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1" s="61">
        <f>SUMIFS(Data!$J:$J,Data!$A:$A,Info!$B431,Data!$G:$G,Info!$C431,Data!$I:$I,Info!$D431,Data!$H:$H,"TOT")</f>
        <v>0</v>
      </c>
      <c r="O431" s="61">
        <f>IF(C431="Defensive",SUMIFS(Data!$J:$J,Data!$A:$A,Info!$B431,Data!$I:$I,Info!$D431,Data!$H:$H,"INT"),0)</f>
        <v>0</v>
      </c>
      <c r="P431" s="61">
        <f>IF(Table1[[#This Row],[Role]]="Defensive",SUMIFS(Data!$J:$J,Data!$A:$A,Info!$B431,Data!$I:$I,Info!$D431,Data!$H:$H,$P$1),0)</f>
        <v>0</v>
      </c>
      <c r="Q431" s="65" t="str">
        <f>IF(Table1[[#This Row],[Pick]]="","",IF(S431&gt;1,400,IF(G431="","",IF(C431="Passing",(400-Table1[[#This Row],[Passing Yards]]-(30*Table1[[#This Row],[Passing TDs]])-(50*SUM(Table1[[#This Row],[Rushing TDs]:[Other TD''s]]))),IF(C431="Rushing",2*(200-Table1[[#This Row],[Rushing Yards]]-(30*Table1[[#This Row],[Passing TDs]])-50*(Table1[[#This Row],[Rushing TDs]]+Table1[[#This Row],[Receiving TDs]]+Table1[[#This Row],[Other TD''s]])),IF(C431="Receiving",2*(200-Table1[[#This Row],[Receiving Yards]]-(30*Table1[[#This Row],[Passing TDs]])-50*(Table1[[#This Row],[Rushing TDs]]+Table1[[#This Row],[Receiving TDs]]+Table1[[#This Row],[Other TD''s]])),IF(C431="Defensive",(25*(16-Table1[[#This Row],[Tackles]]-(8*(Table1[[#This Row],[Other TD''s]]+Table1[[#This Row],[Interceptions]]+Table1[[#This Row],[Fumbles Recovered]])))))))))))</f>
        <v/>
      </c>
      <c r="R431" s="3" t="str">
        <f t="shared" si="14"/>
        <v/>
      </c>
      <c r="S431" s="4">
        <f t="shared" si="13"/>
        <v>1048507</v>
      </c>
      <c r="T4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2" spans="1:20" hidden="1" x14ac:dyDescent="0.25">
      <c r="A432" t="s">
        <v>79</v>
      </c>
      <c r="B432" s="28" t="s">
        <v>50</v>
      </c>
      <c r="C432" t="s">
        <v>6</v>
      </c>
      <c r="D432" t="str">
        <f>_xlfn.XLOOKUP(Table1[[#This Row],[Player]]&amp;Table1[[#This Row],[Week]]&amp;Table1[[#This Row],[Role]],'Google Form Transform'!$A:$A,'Google Form Transform'!E:E,"")</f>
        <v/>
      </c>
      <c r="E432" t="str">
        <f>_xlfn.XLOOKUP(Table1[[#This Row],[Player]]&amp;Table1[[#This Row],[Week]]&amp;Table1[[#This Row],[Role]],'Google Form Transform'!$A:$A,'Google Form Transform'!F:F,"")</f>
        <v/>
      </c>
      <c r="F432" t="str">
        <f>_xlfn.XLOOKUP(Table1[[#This Row],[Player]]&amp;Table1[[#This Row],[Week]]&amp;Table1[[#This Row],[Role]],'Google Form Transform'!$A:$A,'Google Form Transform'!G:G,"")</f>
        <v/>
      </c>
      <c r="G432" s="59">
        <f>SUMIFS(Table2[Stat],Table2[Stat Category],"passing",Table2[Stat Type],"YDS",Table2[Athlete],Table1[[#This Row],[Pick]],Table2[Week],Table1[[#This Row],[Week]])</f>
        <v>0</v>
      </c>
      <c r="H432" s="59">
        <f>SUMIFS(Table2[Stat],Table2[Stat Category],"rushing",Table2[Stat Type],"YDS",Table2[Athlete],Table1[[#This Row],[Pick]],Table2[Week],Table1[[#This Row],[Week]])</f>
        <v>0</v>
      </c>
      <c r="I432" s="59">
        <f>SUMIFS(Table2[Stat],Table2[Stat Category],"receiving",Table2[Stat Type],"YDS",Table2[Athlete],Table1[[#This Row],[Pick]],Table2[Week],Table1[[#This Row],[Week]])</f>
        <v>0</v>
      </c>
      <c r="J432" s="6">
        <f>IF(AND($C432="Rushing", $H432&lt;=0), 0, IF(AND($C432="Passing", $G$3&lt;=0), 0,IF(AND($C432="Receiving",$I432&lt;=0), 0,SUMIFS(Table2[Stat],Table2[Week],Table1[[#This Row],[Week]],Table2[Athlete],Table1[[#This Row],[Pick]],Table2[Stat Category],"passing",Table2[Stat Type],"TD"))))</f>
        <v>0</v>
      </c>
      <c r="K432" s="6">
        <f>IF(AND($C432="Rushing", $H432&lt;=0), 0, IF(AND($C432="Passing", $G$3&lt;=0), 0,IF(AND($C432="Receiving",$I432&lt;=0),0,SUMIFS(Table2[Stat],Table2[Week],Table1[[#This Row],[Week]],Table2[Athlete],Table1[[#This Row],[Pick]],Table2[Stat Category],"rushing",Table2[Stat Type],"TD"))))</f>
        <v>0</v>
      </c>
      <c r="L432" s="6">
        <f>IF(AND($C432="Rushing", $H432&lt;=0), 0, IF(AND($C432="Passing", $G$3&lt;=0), 0,IF(AND($C432="Receiving",$I432&lt;=0),0,SUMIFS(Table2[Stat],Table2[Week],Table1[[#This Row],[Week]],Table2[Athlete],Table1[[#This Row],[Pick]],Table2[Stat Category],"receiving",Table2[Stat Type],"TD"))))</f>
        <v>0</v>
      </c>
      <c r="M4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2" s="61">
        <f>SUMIFS(Data!$J:$J,Data!$A:$A,Info!$B432,Data!$G:$G,Info!$C432,Data!$I:$I,Info!$D432,Data!$H:$H,"TOT")</f>
        <v>0</v>
      </c>
      <c r="O432" s="61">
        <f>IF(C432="Defensive",SUMIFS(Data!$J:$J,Data!$A:$A,Info!$B432,Data!$I:$I,Info!$D432,Data!$H:$H,"INT"),0)</f>
        <v>0</v>
      </c>
      <c r="P432" s="61">
        <f>IF(Table1[[#This Row],[Role]]="Defensive",SUMIFS(Data!$J:$J,Data!$A:$A,Info!$B432,Data!$I:$I,Info!$D432,Data!$H:$H,$P$1),0)</f>
        <v>0</v>
      </c>
      <c r="Q432" s="65" t="str">
        <f>IF(Table1[[#This Row],[Pick]]="","",IF(S432&gt;1,400,IF(G432="","",IF(C432="Passing",(400-Table1[[#This Row],[Passing Yards]]-(30*Table1[[#This Row],[Passing TDs]])-(50*SUM(Table1[[#This Row],[Rushing TDs]:[Other TD''s]]))),IF(C432="Rushing",2*(200-Table1[[#This Row],[Rushing Yards]]-(30*Table1[[#This Row],[Passing TDs]])-50*(Table1[[#This Row],[Rushing TDs]]+Table1[[#This Row],[Receiving TDs]]+Table1[[#This Row],[Other TD''s]])),IF(C432="Receiving",2*(200-Table1[[#This Row],[Receiving Yards]]-(30*Table1[[#This Row],[Passing TDs]])-50*(Table1[[#This Row],[Rushing TDs]]+Table1[[#This Row],[Receiving TDs]]+Table1[[#This Row],[Other TD''s]])),IF(C432="Defensive",(25*(16-Table1[[#This Row],[Tackles]]-(8*(Table1[[#This Row],[Other TD''s]]+Table1[[#This Row],[Interceptions]]+Table1[[#This Row],[Fumbles Recovered]])))))))))))</f>
        <v/>
      </c>
      <c r="R432" s="3" t="str">
        <f t="shared" si="14"/>
        <v/>
      </c>
      <c r="S432" s="4">
        <f t="shared" si="13"/>
        <v>1048507</v>
      </c>
      <c r="T4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3" spans="1:20" hidden="1" x14ac:dyDescent="0.25">
      <c r="A433" t="s">
        <v>79</v>
      </c>
      <c r="B433" s="28" t="s">
        <v>50</v>
      </c>
      <c r="C433" t="s">
        <v>17</v>
      </c>
      <c r="D433" t="str">
        <f>_xlfn.XLOOKUP(Table1[[#This Row],[Player]]&amp;Table1[[#This Row],[Week]]&amp;Table1[[#This Row],[Role]],'Google Form Transform'!$A:$A,'Google Form Transform'!E:E,"")</f>
        <v/>
      </c>
      <c r="E433" t="str">
        <f>_xlfn.XLOOKUP(Table1[[#This Row],[Player]]&amp;Table1[[#This Row],[Week]]&amp;Table1[[#This Row],[Role]],'Google Form Transform'!$A:$A,'Google Form Transform'!F:F,"")</f>
        <v/>
      </c>
      <c r="F433" t="str">
        <f>_xlfn.XLOOKUP(Table1[[#This Row],[Player]]&amp;Table1[[#This Row],[Week]]&amp;Table1[[#This Row],[Role]],'Google Form Transform'!$A:$A,'Google Form Transform'!G:G,"")</f>
        <v/>
      </c>
      <c r="G433" s="59">
        <f>SUMIFS(Table2[Stat],Table2[Stat Category],"passing",Table2[Stat Type],"YDS",Table2[Athlete],Table1[[#This Row],[Pick]],Table2[Week],Table1[[#This Row],[Week]])</f>
        <v>0</v>
      </c>
      <c r="H433" s="59">
        <f>SUMIFS(Table2[Stat],Table2[Stat Category],"rushing",Table2[Stat Type],"YDS",Table2[Athlete],Table1[[#This Row],[Pick]],Table2[Week],Table1[[#This Row],[Week]])</f>
        <v>0</v>
      </c>
      <c r="I433" s="59">
        <f>SUMIFS(Table2[Stat],Table2[Stat Category],"receiving",Table2[Stat Type],"YDS",Table2[Athlete],Table1[[#This Row],[Pick]],Table2[Week],Table1[[#This Row],[Week]])</f>
        <v>0</v>
      </c>
      <c r="J433" s="6">
        <f>IF(AND($C433="Rushing", $H433&lt;=0), 0, IF(AND($C433="Passing", $G$3&lt;=0), 0,IF(AND($C433="Receiving",$I433&lt;=0), 0,SUMIFS(Table2[Stat],Table2[Week],Table1[[#This Row],[Week]],Table2[Athlete],Table1[[#This Row],[Pick]],Table2[Stat Category],"passing",Table2[Stat Type],"TD"))))</f>
        <v>0</v>
      </c>
      <c r="K433" s="6">
        <f>IF(AND($C433="Rushing", $H433&lt;=0), 0, IF(AND($C433="Passing", $G$3&lt;=0), 0,IF(AND($C433="Receiving",$I433&lt;=0),0,SUMIFS(Table2[Stat],Table2[Week],Table1[[#This Row],[Week]],Table2[Athlete],Table1[[#This Row],[Pick]],Table2[Stat Category],"rushing",Table2[Stat Type],"TD"))))</f>
        <v>0</v>
      </c>
      <c r="L433" s="6">
        <f>IF(AND($C433="Rushing", $H433&lt;=0), 0, IF(AND($C433="Passing", $G$3&lt;=0), 0,IF(AND($C433="Receiving",$I433&lt;=0),0,SUMIFS(Table2[Stat],Table2[Week],Table1[[#This Row],[Week]],Table2[Athlete],Table1[[#This Row],[Pick]],Table2[Stat Category],"receiving",Table2[Stat Type],"TD"))))</f>
        <v>0</v>
      </c>
      <c r="M4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3" s="61">
        <f>SUMIFS(Data!$J:$J,Data!$A:$A,Info!$B433,Data!$G:$G,Info!$C433,Data!$I:$I,Info!$D433,Data!$H:$H,"TOT")</f>
        <v>0</v>
      </c>
      <c r="O433" s="61">
        <f>IF(C433="Defensive",SUMIFS(Data!$J:$J,Data!$A:$A,Info!$B433,Data!$I:$I,Info!$D433,Data!$H:$H,"INT"),0)</f>
        <v>0</v>
      </c>
      <c r="P433" s="61">
        <f>IF(Table1[[#This Row],[Role]]="Defensive",SUMIFS(Data!$J:$J,Data!$A:$A,Info!$B433,Data!$I:$I,Info!$D433,Data!$H:$H,$P$1),0)</f>
        <v>0</v>
      </c>
      <c r="Q433" s="65" t="str">
        <f>IF(Table1[[#This Row],[Pick]]="","",IF(S433&gt;1,400,IF(G433="","",IF(C433="Passing",(400-Table1[[#This Row],[Passing Yards]]-(30*Table1[[#This Row],[Passing TDs]])-(50*SUM(Table1[[#This Row],[Rushing TDs]:[Other TD''s]]))),IF(C433="Rushing",2*(200-Table1[[#This Row],[Rushing Yards]]-(30*Table1[[#This Row],[Passing TDs]])-50*(Table1[[#This Row],[Rushing TDs]]+Table1[[#This Row],[Receiving TDs]]+Table1[[#This Row],[Other TD''s]])),IF(C433="Receiving",2*(200-Table1[[#This Row],[Receiving Yards]]-(30*Table1[[#This Row],[Passing TDs]])-50*(Table1[[#This Row],[Rushing TDs]]+Table1[[#This Row],[Receiving TDs]]+Table1[[#This Row],[Other TD''s]])),IF(C433="Defensive",(25*(16-Table1[[#This Row],[Tackles]]-(8*(Table1[[#This Row],[Other TD''s]]+Table1[[#This Row],[Interceptions]]+Table1[[#This Row],[Fumbles Recovered]])))))))))))</f>
        <v/>
      </c>
      <c r="R433" s="3" t="str">
        <f t="shared" si="14"/>
        <v/>
      </c>
      <c r="S433" s="4">
        <f t="shared" si="13"/>
        <v>1048507</v>
      </c>
      <c r="T4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4" spans="1:20" hidden="1" x14ac:dyDescent="0.25">
      <c r="A434" t="s">
        <v>79</v>
      </c>
      <c r="B434" s="28" t="s">
        <v>50</v>
      </c>
      <c r="C434" t="s">
        <v>20</v>
      </c>
      <c r="D434" t="str">
        <f>_xlfn.XLOOKUP(Table1[[#This Row],[Player]]&amp;Table1[[#This Row],[Week]]&amp;Table1[[#This Row],[Role]],'Google Form Transform'!$A:$A,'Google Form Transform'!E:E,"")</f>
        <v/>
      </c>
      <c r="E434" t="str">
        <f>_xlfn.XLOOKUP(Table1[[#This Row],[Player]]&amp;Table1[[#This Row],[Week]]&amp;Table1[[#This Row],[Role]],'Google Form Transform'!$A:$A,'Google Form Transform'!F:F,"")</f>
        <v/>
      </c>
      <c r="F434" t="str">
        <f>_xlfn.XLOOKUP(Table1[[#This Row],[Player]]&amp;Table1[[#This Row],[Week]]&amp;Table1[[#This Row],[Role]],'Google Form Transform'!$A:$A,'Google Form Transform'!G:G,"")</f>
        <v/>
      </c>
      <c r="G434" s="59">
        <f>SUMIFS(Table2[Stat],Table2[Stat Category],"passing",Table2[Stat Type],"YDS",Table2[Athlete],Table1[[#This Row],[Pick]],Table2[Week],Table1[[#This Row],[Week]])</f>
        <v>0</v>
      </c>
      <c r="H434" s="59">
        <f>SUMIFS(Table2[Stat],Table2[Stat Category],"rushing",Table2[Stat Type],"YDS",Table2[Athlete],Table1[[#This Row],[Pick]],Table2[Week],Table1[[#This Row],[Week]])</f>
        <v>0</v>
      </c>
      <c r="I434" s="59">
        <f>SUMIFS(Table2[Stat],Table2[Stat Category],"receiving",Table2[Stat Type],"YDS",Table2[Athlete],Table1[[#This Row],[Pick]],Table2[Week],Table1[[#This Row],[Week]])</f>
        <v>0</v>
      </c>
      <c r="J434" s="6">
        <f>IF(AND($C434="Rushing", $H434&lt;=0), 0, IF(AND($C434="Passing", $G$3&lt;=0), 0,IF(AND($C434="Receiving",$I434&lt;=0), 0,SUMIFS(Table2[Stat],Table2[Week],Table1[[#This Row],[Week]],Table2[Athlete],Table1[[#This Row],[Pick]],Table2[Stat Category],"passing",Table2[Stat Type],"TD"))))</f>
        <v>0</v>
      </c>
      <c r="K434" s="6">
        <f>IF(AND($C434="Rushing", $H434&lt;=0), 0, IF(AND($C434="Passing", $G$3&lt;=0), 0,IF(AND($C434="Receiving",$I434&lt;=0),0,SUMIFS(Table2[Stat],Table2[Week],Table1[[#This Row],[Week]],Table2[Athlete],Table1[[#This Row],[Pick]],Table2[Stat Category],"rushing",Table2[Stat Type],"TD"))))</f>
        <v>0</v>
      </c>
      <c r="L434" s="6">
        <f>IF(AND($C434="Rushing", $H434&lt;=0), 0, IF(AND($C434="Passing", $G$3&lt;=0), 0,IF(AND($C434="Receiving",$I434&lt;=0),0,SUMIFS(Table2[Stat],Table2[Week],Table1[[#This Row],[Week]],Table2[Athlete],Table1[[#This Row],[Pick]],Table2[Stat Category],"receiving",Table2[Stat Type],"TD"))))</f>
        <v>0</v>
      </c>
      <c r="M4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4" s="61">
        <f>SUMIFS(Data!$J:$J,Data!$A:$A,Info!$B434,Data!$G:$G,Info!$C434,Data!$I:$I,Info!$D434,Data!$H:$H,"TOT")</f>
        <v>0</v>
      </c>
      <c r="O434" s="61">
        <f>IF(C434="Defensive",SUMIFS(Data!$J:$J,Data!$A:$A,Info!$B434,Data!$I:$I,Info!$D434,Data!$H:$H,"INT"),0)</f>
        <v>0</v>
      </c>
      <c r="P434" s="61">
        <f>IF(Table1[[#This Row],[Role]]="Defensive",SUMIFS(Data!$J:$J,Data!$A:$A,Info!$B434,Data!$I:$I,Info!$D434,Data!$H:$H,$P$1),0)</f>
        <v>0</v>
      </c>
      <c r="Q434" s="65" t="str">
        <f>IF(Table1[[#This Row],[Pick]]="","",IF(S434&gt;1,400,IF(G434="","",IF(C434="Passing",(400-Table1[[#This Row],[Passing Yards]]-(30*Table1[[#This Row],[Passing TDs]])-(50*SUM(Table1[[#This Row],[Rushing TDs]:[Other TD''s]]))),IF(C434="Rushing",2*(200-Table1[[#This Row],[Rushing Yards]]-(30*Table1[[#This Row],[Passing TDs]])-50*(Table1[[#This Row],[Rushing TDs]]+Table1[[#This Row],[Receiving TDs]]+Table1[[#This Row],[Other TD''s]])),IF(C434="Receiving",2*(200-Table1[[#This Row],[Receiving Yards]]-(30*Table1[[#This Row],[Passing TDs]])-50*(Table1[[#This Row],[Rushing TDs]]+Table1[[#This Row],[Receiving TDs]]+Table1[[#This Row],[Other TD''s]])),IF(C434="Defensive",(25*(16-Table1[[#This Row],[Tackles]]-(8*(Table1[[#This Row],[Other TD''s]]+Table1[[#This Row],[Interceptions]]+Table1[[#This Row],[Fumbles Recovered]])))))))))))</f>
        <v/>
      </c>
      <c r="R434" s="3" t="str">
        <f t="shared" si="14"/>
        <v/>
      </c>
      <c r="S434" s="4">
        <f t="shared" si="13"/>
        <v>1048507</v>
      </c>
      <c r="T4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5" spans="1:20" hidden="1" x14ac:dyDescent="0.25">
      <c r="A435" t="s">
        <v>58</v>
      </c>
      <c r="B435" s="28" t="s">
        <v>50</v>
      </c>
      <c r="C435" t="s">
        <v>16</v>
      </c>
      <c r="D435" t="str">
        <f>_xlfn.XLOOKUP(Table1[[#This Row],[Player]]&amp;Table1[[#This Row],[Week]]&amp;Table1[[#This Row],[Role]],'Google Form Transform'!$A:$A,'Google Form Transform'!E:E,"")</f>
        <v/>
      </c>
      <c r="E435" t="str">
        <f>_xlfn.XLOOKUP(Table1[[#This Row],[Player]]&amp;Table1[[#This Row],[Week]]&amp;Table1[[#This Row],[Role]],'Google Form Transform'!$A:$A,'Google Form Transform'!F:F,"")</f>
        <v/>
      </c>
      <c r="F435" t="str">
        <f>_xlfn.XLOOKUP(Table1[[#This Row],[Player]]&amp;Table1[[#This Row],[Week]]&amp;Table1[[#This Row],[Role]],'Google Form Transform'!$A:$A,'Google Form Transform'!G:G,"")</f>
        <v/>
      </c>
      <c r="G435" s="59">
        <f>SUMIFS(Table2[Stat],Table2[Stat Category],"passing",Table2[Stat Type],"YDS",Table2[Athlete],Table1[[#This Row],[Pick]],Table2[Week],Table1[[#This Row],[Week]])</f>
        <v>0</v>
      </c>
      <c r="H435" s="59">
        <f>SUMIFS(Table2[Stat],Table2[Stat Category],"rushing",Table2[Stat Type],"YDS",Table2[Athlete],Table1[[#This Row],[Pick]],Table2[Week],Table1[[#This Row],[Week]])</f>
        <v>0</v>
      </c>
      <c r="I435" s="59">
        <f>SUMIFS(Table2[Stat],Table2[Stat Category],"receiving",Table2[Stat Type],"YDS",Table2[Athlete],Table1[[#This Row],[Pick]],Table2[Week],Table1[[#This Row],[Week]])</f>
        <v>0</v>
      </c>
      <c r="J435" s="6">
        <f>IF(AND($C435="Rushing", $H435&lt;=0), 0, IF(AND($C435="Passing", $G$3&lt;=0), 0,IF(AND($C435="Receiving",$I435&lt;=0), 0,SUMIFS(Table2[Stat],Table2[Week],Table1[[#This Row],[Week]],Table2[Athlete],Table1[[#This Row],[Pick]],Table2[Stat Category],"passing",Table2[Stat Type],"TD"))))</f>
        <v>0</v>
      </c>
      <c r="K435" s="6">
        <f>IF(AND($C435="Rushing", $H435&lt;=0), 0, IF(AND($C435="Passing", $G$3&lt;=0), 0,IF(AND($C435="Receiving",$I435&lt;=0),0,SUMIFS(Table2[Stat],Table2[Week],Table1[[#This Row],[Week]],Table2[Athlete],Table1[[#This Row],[Pick]],Table2[Stat Category],"rushing",Table2[Stat Type],"TD"))))</f>
        <v>0</v>
      </c>
      <c r="L435" s="6">
        <f>IF(AND($C435="Rushing", $H435&lt;=0), 0, IF(AND($C435="Passing", $G$3&lt;=0), 0,IF(AND($C435="Receiving",$I435&lt;=0),0,SUMIFS(Table2[Stat],Table2[Week],Table1[[#This Row],[Week]],Table2[Athlete],Table1[[#This Row],[Pick]],Table2[Stat Category],"receiving",Table2[Stat Type],"TD"))))</f>
        <v>0</v>
      </c>
      <c r="M4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5" s="61">
        <f>SUMIFS(Data!$J:$J,Data!$A:$A,Info!$B435,Data!$G:$G,Info!$C435,Data!$I:$I,Info!$D435,Data!$H:$H,"TOT")</f>
        <v>0</v>
      </c>
      <c r="O435" s="61">
        <f>IF(C435="Defensive",SUMIFS(Data!$J:$J,Data!$A:$A,Info!$B435,Data!$I:$I,Info!$D435,Data!$H:$H,"INT"),0)</f>
        <v>0</v>
      </c>
      <c r="P435" s="61">
        <f>IF(Table1[[#This Row],[Role]]="Defensive",SUMIFS(Data!$J:$J,Data!$A:$A,Info!$B435,Data!$I:$I,Info!$D435,Data!$H:$H,$P$1),0)</f>
        <v>0</v>
      </c>
      <c r="Q435" s="65" t="str">
        <f>IF(Table1[[#This Row],[Pick]]="","",IF(S435&gt;1,400,IF(G435="","",IF(C435="Passing",(400-Table1[[#This Row],[Passing Yards]]-(30*Table1[[#This Row],[Passing TDs]])-(50*SUM(Table1[[#This Row],[Rushing TDs]:[Other TD''s]]))),IF(C435="Rushing",2*(200-Table1[[#This Row],[Rushing Yards]]-(30*Table1[[#This Row],[Passing TDs]])-50*(Table1[[#This Row],[Rushing TDs]]+Table1[[#This Row],[Receiving TDs]]+Table1[[#This Row],[Other TD''s]])),IF(C435="Receiving",2*(200-Table1[[#This Row],[Receiving Yards]]-(30*Table1[[#This Row],[Passing TDs]])-50*(Table1[[#This Row],[Rushing TDs]]+Table1[[#This Row],[Receiving TDs]]+Table1[[#This Row],[Other TD''s]])),IF(C435="Defensive",(25*(16-Table1[[#This Row],[Tackles]]-(8*(Table1[[#This Row],[Other TD''s]]+Table1[[#This Row],[Interceptions]]+Table1[[#This Row],[Fumbles Recovered]])))))))))))</f>
        <v/>
      </c>
      <c r="R435" s="3" t="str">
        <f t="shared" si="14"/>
        <v/>
      </c>
      <c r="S435" s="4">
        <f t="shared" si="13"/>
        <v>1048507</v>
      </c>
      <c r="T4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6" spans="1:20" hidden="1" x14ac:dyDescent="0.25">
      <c r="A436" t="s">
        <v>58</v>
      </c>
      <c r="B436" s="28" t="s">
        <v>50</v>
      </c>
      <c r="C436" t="s">
        <v>6</v>
      </c>
      <c r="D436" t="str">
        <f>_xlfn.XLOOKUP(Table1[[#This Row],[Player]]&amp;Table1[[#This Row],[Week]]&amp;Table1[[#This Row],[Role]],'Google Form Transform'!$A:$A,'Google Form Transform'!E:E,"")</f>
        <v/>
      </c>
      <c r="E436" t="str">
        <f>_xlfn.XLOOKUP(Table1[[#This Row],[Player]]&amp;Table1[[#This Row],[Week]]&amp;Table1[[#This Row],[Role]],'Google Form Transform'!$A:$A,'Google Form Transform'!F:F,"")</f>
        <v/>
      </c>
      <c r="F436" t="str">
        <f>_xlfn.XLOOKUP(Table1[[#This Row],[Player]]&amp;Table1[[#This Row],[Week]]&amp;Table1[[#This Row],[Role]],'Google Form Transform'!$A:$A,'Google Form Transform'!G:G,"")</f>
        <v/>
      </c>
      <c r="G436" s="59">
        <f>SUMIFS(Table2[Stat],Table2[Stat Category],"passing",Table2[Stat Type],"YDS",Table2[Athlete],Table1[[#This Row],[Pick]],Table2[Week],Table1[[#This Row],[Week]])</f>
        <v>0</v>
      </c>
      <c r="H436" s="59">
        <f>SUMIFS(Table2[Stat],Table2[Stat Category],"rushing",Table2[Stat Type],"YDS",Table2[Athlete],Table1[[#This Row],[Pick]],Table2[Week],Table1[[#This Row],[Week]])</f>
        <v>0</v>
      </c>
      <c r="I436" s="59">
        <f>SUMIFS(Table2[Stat],Table2[Stat Category],"receiving",Table2[Stat Type],"YDS",Table2[Athlete],Table1[[#This Row],[Pick]],Table2[Week],Table1[[#This Row],[Week]])</f>
        <v>0</v>
      </c>
      <c r="J436" s="6">
        <f>IF(AND($C436="Rushing", $H436&lt;=0), 0, IF(AND($C436="Passing", $G$3&lt;=0), 0,IF(AND($C436="Receiving",$I436&lt;=0), 0,SUMIFS(Table2[Stat],Table2[Week],Table1[[#This Row],[Week]],Table2[Athlete],Table1[[#This Row],[Pick]],Table2[Stat Category],"passing",Table2[Stat Type],"TD"))))</f>
        <v>0</v>
      </c>
      <c r="K436" s="6">
        <f>IF(AND($C436="Rushing", $H436&lt;=0), 0, IF(AND($C436="Passing", $G$3&lt;=0), 0,IF(AND($C436="Receiving",$I436&lt;=0),0,SUMIFS(Table2[Stat],Table2[Week],Table1[[#This Row],[Week]],Table2[Athlete],Table1[[#This Row],[Pick]],Table2[Stat Category],"rushing",Table2[Stat Type],"TD"))))</f>
        <v>0</v>
      </c>
      <c r="L436" s="6">
        <f>IF(AND($C436="Rushing", $H436&lt;=0), 0, IF(AND($C436="Passing", $G$3&lt;=0), 0,IF(AND($C436="Receiving",$I436&lt;=0),0,SUMIFS(Table2[Stat],Table2[Week],Table1[[#This Row],[Week]],Table2[Athlete],Table1[[#This Row],[Pick]],Table2[Stat Category],"receiving",Table2[Stat Type],"TD"))))</f>
        <v>0</v>
      </c>
      <c r="M4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6" s="61">
        <f>SUMIFS(Data!$J:$J,Data!$A:$A,Info!$B436,Data!$G:$G,Info!$C436,Data!$I:$I,Info!$D436,Data!$H:$H,"TOT")</f>
        <v>0</v>
      </c>
      <c r="O436" s="61">
        <f>IF(C436="Defensive",SUMIFS(Data!$J:$J,Data!$A:$A,Info!$B436,Data!$I:$I,Info!$D436,Data!$H:$H,"INT"),0)</f>
        <v>0</v>
      </c>
      <c r="P436" s="61">
        <f>IF(Table1[[#This Row],[Role]]="Defensive",SUMIFS(Data!$J:$J,Data!$A:$A,Info!$B436,Data!$I:$I,Info!$D436,Data!$H:$H,$P$1),0)</f>
        <v>0</v>
      </c>
      <c r="Q436" s="65" t="str">
        <f>IF(Table1[[#This Row],[Pick]]="","",IF(S436&gt;1,400,IF(G436="","",IF(C436="Passing",(400-Table1[[#This Row],[Passing Yards]]-(30*Table1[[#This Row],[Passing TDs]])-(50*SUM(Table1[[#This Row],[Rushing TDs]:[Other TD''s]]))),IF(C436="Rushing",2*(200-Table1[[#This Row],[Rushing Yards]]-(30*Table1[[#This Row],[Passing TDs]])-50*(Table1[[#This Row],[Rushing TDs]]+Table1[[#This Row],[Receiving TDs]]+Table1[[#This Row],[Other TD''s]])),IF(C436="Receiving",2*(200-Table1[[#This Row],[Receiving Yards]]-(30*Table1[[#This Row],[Passing TDs]])-50*(Table1[[#This Row],[Rushing TDs]]+Table1[[#This Row],[Receiving TDs]]+Table1[[#This Row],[Other TD''s]])),IF(C436="Defensive",(25*(16-Table1[[#This Row],[Tackles]]-(8*(Table1[[#This Row],[Other TD''s]]+Table1[[#This Row],[Interceptions]]+Table1[[#This Row],[Fumbles Recovered]])))))))))))</f>
        <v/>
      </c>
      <c r="R436" s="3" t="str">
        <f t="shared" si="14"/>
        <v/>
      </c>
      <c r="S436" s="4">
        <f t="shared" si="13"/>
        <v>1048507</v>
      </c>
      <c r="T4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7" spans="1:20" hidden="1" x14ac:dyDescent="0.25">
      <c r="A437" t="s">
        <v>58</v>
      </c>
      <c r="B437" s="28" t="s">
        <v>50</v>
      </c>
      <c r="C437" t="s">
        <v>17</v>
      </c>
      <c r="D437" t="str">
        <f>_xlfn.XLOOKUP(Table1[[#This Row],[Player]]&amp;Table1[[#This Row],[Week]]&amp;Table1[[#This Row],[Role]],'Google Form Transform'!$A:$A,'Google Form Transform'!E:E,"")</f>
        <v/>
      </c>
      <c r="E437" t="str">
        <f>_xlfn.XLOOKUP(Table1[[#This Row],[Player]]&amp;Table1[[#This Row],[Week]]&amp;Table1[[#This Row],[Role]],'Google Form Transform'!$A:$A,'Google Form Transform'!F:F,"")</f>
        <v/>
      </c>
      <c r="F437" t="str">
        <f>_xlfn.XLOOKUP(Table1[[#This Row],[Player]]&amp;Table1[[#This Row],[Week]]&amp;Table1[[#This Row],[Role]],'Google Form Transform'!$A:$A,'Google Form Transform'!G:G,"")</f>
        <v/>
      </c>
      <c r="G437" s="59">
        <f>SUMIFS(Table2[Stat],Table2[Stat Category],"passing",Table2[Stat Type],"YDS",Table2[Athlete],Table1[[#This Row],[Pick]],Table2[Week],Table1[[#This Row],[Week]])</f>
        <v>0</v>
      </c>
      <c r="H437" s="59">
        <f>SUMIFS(Table2[Stat],Table2[Stat Category],"rushing",Table2[Stat Type],"YDS",Table2[Athlete],Table1[[#This Row],[Pick]],Table2[Week],Table1[[#This Row],[Week]])</f>
        <v>0</v>
      </c>
      <c r="I437" s="59">
        <f>SUMIFS(Table2[Stat],Table2[Stat Category],"receiving",Table2[Stat Type],"YDS",Table2[Athlete],Table1[[#This Row],[Pick]],Table2[Week],Table1[[#This Row],[Week]])</f>
        <v>0</v>
      </c>
      <c r="J437" s="6">
        <f>IF(AND($C437="Rushing", $H437&lt;=0), 0, IF(AND($C437="Passing", $G$3&lt;=0), 0,IF(AND($C437="Receiving",$I437&lt;=0), 0,SUMIFS(Table2[Stat],Table2[Week],Table1[[#This Row],[Week]],Table2[Athlete],Table1[[#This Row],[Pick]],Table2[Stat Category],"passing",Table2[Stat Type],"TD"))))</f>
        <v>0</v>
      </c>
      <c r="K437" s="6">
        <f>IF(AND($C437="Rushing", $H437&lt;=0), 0, IF(AND($C437="Passing", $G$3&lt;=0), 0,IF(AND($C437="Receiving",$I437&lt;=0),0,SUMIFS(Table2[Stat],Table2[Week],Table1[[#This Row],[Week]],Table2[Athlete],Table1[[#This Row],[Pick]],Table2[Stat Category],"rushing",Table2[Stat Type],"TD"))))</f>
        <v>0</v>
      </c>
      <c r="L437" s="6">
        <f>IF(AND($C437="Rushing", $H437&lt;=0), 0, IF(AND($C437="Passing", $G$3&lt;=0), 0,IF(AND($C437="Receiving",$I437&lt;=0),0,SUMIFS(Table2[Stat],Table2[Week],Table1[[#This Row],[Week]],Table2[Athlete],Table1[[#This Row],[Pick]],Table2[Stat Category],"receiving",Table2[Stat Type],"TD"))))</f>
        <v>0</v>
      </c>
      <c r="M4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7" s="61">
        <f>SUMIFS(Data!$J:$J,Data!$A:$A,Info!$B437,Data!$G:$G,Info!$C437,Data!$I:$I,Info!$D437,Data!$H:$H,"TOT")</f>
        <v>0</v>
      </c>
      <c r="O437" s="61">
        <f>IF(C437="Defensive",SUMIFS(Data!$J:$J,Data!$A:$A,Info!$B437,Data!$I:$I,Info!$D437,Data!$H:$H,"INT"),0)</f>
        <v>0</v>
      </c>
      <c r="P437" s="61">
        <f>IF(Table1[[#This Row],[Role]]="Defensive",SUMIFS(Data!$J:$J,Data!$A:$A,Info!$B437,Data!$I:$I,Info!$D437,Data!$H:$H,$P$1),0)</f>
        <v>0</v>
      </c>
      <c r="Q437" s="65" t="str">
        <f>IF(Table1[[#This Row],[Pick]]="","",IF(S437&gt;1,400,IF(G437="","",IF(C437="Passing",(400-Table1[[#This Row],[Passing Yards]]-(30*Table1[[#This Row],[Passing TDs]])-(50*SUM(Table1[[#This Row],[Rushing TDs]:[Other TD''s]]))),IF(C437="Rushing",2*(200-Table1[[#This Row],[Rushing Yards]]-(30*Table1[[#This Row],[Passing TDs]])-50*(Table1[[#This Row],[Rushing TDs]]+Table1[[#This Row],[Receiving TDs]]+Table1[[#This Row],[Other TD''s]])),IF(C437="Receiving",2*(200-Table1[[#This Row],[Receiving Yards]]-(30*Table1[[#This Row],[Passing TDs]])-50*(Table1[[#This Row],[Rushing TDs]]+Table1[[#This Row],[Receiving TDs]]+Table1[[#This Row],[Other TD''s]])),IF(C437="Defensive",(25*(16-Table1[[#This Row],[Tackles]]-(8*(Table1[[#This Row],[Other TD''s]]+Table1[[#This Row],[Interceptions]]+Table1[[#This Row],[Fumbles Recovered]])))))))))))</f>
        <v/>
      </c>
      <c r="R437" s="3" t="str">
        <f t="shared" si="14"/>
        <v/>
      </c>
      <c r="S437" s="4">
        <f t="shared" si="13"/>
        <v>1048507</v>
      </c>
      <c r="T4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8" spans="1:20" hidden="1" x14ac:dyDescent="0.25">
      <c r="A438" t="s">
        <v>58</v>
      </c>
      <c r="B438" s="28" t="s">
        <v>50</v>
      </c>
      <c r="C438" t="s">
        <v>20</v>
      </c>
      <c r="D438" t="str">
        <f>_xlfn.XLOOKUP(Table1[[#This Row],[Player]]&amp;Table1[[#This Row],[Week]]&amp;Table1[[#This Row],[Role]],'Google Form Transform'!$A:$A,'Google Form Transform'!E:E,"")</f>
        <v/>
      </c>
      <c r="E438" t="str">
        <f>_xlfn.XLOOKUP(Table1[[#This Row],[Player]]&amp;Table1[[#This Row],[Week]]&amp;Table1[[#This Row],[Role]],'Google Form Transform'!$A:$A,'Google Form Transform'!F:F,"")</f>
        <v/>
      </c>
      <c r="F438" t="str">
        <f>_xlfn.XLOOKUP(Table1[[#This Row],[Player]]&amp;Table1[[#This Row],[Week]]&amp;Table1[[#This Row],[Role]],'Google Form Transform'!$A:$A,'Google Form Transform'!G:G,"")</f>
        <v/>
      </c>
      <c r="G438" s="59">
        <f>SUMIFS(Table2[Stat],Table2[Stat Category],"passing",Table2[Stat Type],"YDS",Table2[Athlete],Table1[[#This Row],[Pick]],Table2[Week],Table1[[#This Row],[Week]])</f>
        <v>0</v>
      </c>
      <c r="H438" s="59">
        <f>SUMIFS(Table2[Stat],Table2[Stat Category],"rushing",Table2[Stat Type],"YDS",Table2[Athlete],Table1[[#This Row],[Pick]],Table2[Week],Table1[[#This Row],[Week]])</f>
        <v>0</v>
      </c>
      <c r="I438" s="59">
        <f>SUMIFS(Table2[Stat],Table2[Stat Category],"receiving",Table2[Stat Type],"YDS",Table2[Athlete],Table1[[#This Row],[Pick]],Table2[Week],Table1[[#This Row],[Week]])</f>
        <v>0</v>
      </c>
      <c r="J438" s="6">
        <f>IF(AND($C438="Rushing", $H438&lt;=0), 0, IF(AND($C438="Passing", $G$3&lt;=0), 0,IF(AND($C438="Receiving",$I438&lt;=0), 0,SUMIFS(Table2[Stat],Table2[Week],Table1[[#This Row],[Week]],Table2[Athlete],Table1[[#This Row],[Pick]],Table2[Stat Category],"passing",Table2[Stat Type],"TD"))))</f>
        <v>0</v>
      </c>
      <c r="K438" s="6">
        <f>IF(AND($C438="Rushing", $H438&lt;=0), 0, IF(AND($C438="Passing", $G$3&lt;=0), 0,IF(AND($C438="Receiving",$I438&lt;=0),0,SUMIFS(Table2[Stat],Table2[Week],Table1[[#This Row],[Week]],Table2[Athlete],Table1[[#This Row],[Pick]],Table2[Stat Category],"rushing",Table2[Stat Type],"TD"))))</f>
        <v>0</v>
      </c>
      <c r="L438" s="6">
        <f>IF(AND($C438="Rushing", $H438&lt;=0), 0, IF(AND($C438="Passing", $G$3&lt;=0), 0,IF(AND($C438="Receiving",$I438&lt;=0),0,SUMIFS(Table2[Stat],Table2[Week],Table1[[#This Row],[Week]],Table2[Athlete],Table1[[#This Row],[Pick]],Table2[Stat Category],"receiving",Table2[Stat Type],"TD"))))</f>
        <v>0</v>
      </c>
      <c r="M4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8" s="61">
        <f>SUMIFS(Data!$J:$J,Data!$A:$A,Info!$B438,Data!$G:$G,Info!$C438,Data!$I:$I,Info!$D438,Data!$H:$H,"TOT")</f>
        <v>0</v>
      </c>
      <c r="O438" s="61">
        <f>IF(C438="Defensive",SUMIFS(Data!$J:$J,Data!$A:$A,Info!$B438,Data!$I:$I,Info!$D438,Data!$H:$H,"INT"),0)</f>
        <v>0</v>
      </c>
      <c r="P438" s="61">
        <f>IF(Table1[[#This Row],[Role]]="Defensive",SUMIFS(Data!$J:$J,Data!$A:$A,Info!$B438,Data!$I:$I,Info!$D438,Data!$H:$H,$P$1),0)</f>
        <v>0</v>
      </c>
      <c r="Q438" s="65" t="str">
        <f>IF(Table1[[#This Row],[Pick]]="","",IF(S438&gt;1,400,IF(G438="","",IF(C438="Passing",(400-Table1[[#This Row],[Passing Yards]]-(30*Table1[[#This Row],[Passing TDs]])-(50*SUM(Table1[[#This Row],[Rushing TDs]:[Other TD''s]]))),IF(C438="Rushing",2*(200-Table1[[#This Row],[Rushing Yards]]-(30*Table1[[#This Row],[Passing TDs]])-50*(Table1[[#This Row],[Rushing TDs]]+Table1[[#This Row],[Receiving TDs]]+Table1[[#This Row],[Other TD''s]])),IF(C438="Receiving",2*(200-Table1[[#This Row],[Receiving Yards]]-(30*Table1[[#This Row],[Passing TDs]])-50*(Table1[[#This Row],[Rushing TDs]]+Table1[[#This Row],[Receiving TDs]]+Table1[[#This Row],[Other TD''s]])),IF(C438="Defensive",(25*(16-Table1[[#This Row],[Tackles]]-(8*(Table1[[#This Row],[Other TD''s]]+Table1[[#This Row],[Interceptions]]+Table1[[#This Row],[Fumbles Recovered]])))))))))))</f>
        <v/>
      </c>
      <c r="R438" s="3" t="str">
        <f t="shared" si="14"/>
        <v/>
      </c>
      <c r="S438" s="4">
        <f t="shared" si="13"/>
        <v>1048507</v>
      </c>
      <c r="T4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9" spans="1:20" hidden="1" x14ac:dyDescent="0.25">
      <c r="A439" t="s">
        <v>61</v>
      </c>
      <c r="B439" s="28" t="s">
        <v>50</v>
      </c>
      <c r="C439" t="s">
        <v>16</v>
      </c>
      <c r="D439" t="str">
        <f>_xlfn.XLOOKUP(Table1[[#This Row],[Player]]&amp;Table1[[#This Row],[Week]]&amp;Table1[[#This Row],[Role]],'Google Form Transform'!$A:$A,'Google Form Transform'!E:E,"")</f>
        <v/>
      </c>
      <c r="E439" t="str">
        <f>_xlfn.XLOOKUP(Table1[[#This Row],[Player]]&amp;Table1[[#This Row],[Week]]&amp;Table1[[#This Row],[Role]],'Google Form Transform'!$A:$A,'Google Form Transform'!F:F,"")</f>
        <v/>
      </c>
      <c r="F439" t="str">
        <f>_xlfn.XLOOKUP(Table1[[#This Row],[Player]]&amp;Table1[[#This Row],[Week]]&amp;Table1[[#This Row],[Role]],'Google Form Transform'!$A:$A,'Google Form Transform'!G:G,"")</f>
        <v/>
      </c>
      <c r="G439" s="59">
        <f>SUMIFS(Table2[Stat],Table2[Stat Category],"passing",Table2[Stat Type],"YDS",Table2[Athlete],Table1[[#This Row],[Pick]],Table2[Week],Table1[[#This Row],[Week]])</f>
        <v>0</v>
      </c>
      <c r="H439" s="59">
        <f>SUMIFS(Table2[Stat],Table2[Stat Category],"rushing",Table2[Stat Type],"YDS",Table2[Athlete],Table1[[#This Row],[Pick]],Table2[Week],Table1[[#This Row],[Week]])</f>
        <v>0</v>
      </c>
      <c r="I439" s="59">
        <f>SUMIFS(Table2[Stat],Table2[Stat Category],"receiving",Table2[Stat Type],"YDS",Table2[Athlete],Table1[[#This Row],[Pick]],Table2[Week],Table1[[#This Row],[Week]])</f>
        <v>0</v>
      </c>
      <c r="J439" s="6">
        <f>IF(AND($C439="Rushing", $H439&lt;=0), 0, IF(AND($C439="Passing", $G$3&lt;=0), 0,IF(AND($C439="Receiving",$I439&lt;=0), 0,SUMIFS(Table2[Stat],Table2[Week],Table1[[#This Row],[Week]],Table2[Athlete],Table1[[#This Row],[Pick]],Table2[Stat Category],"passing",Table2[Stat Type],"TD"))))</f>
        <v>0</v>
      </c>
      <c r="K439" s="6">
        <f>IF(AND($C439="Rushing", $H439&lt;=0), 0, IF(AND($C439="Passing", $G$3&lt;=0), 0,IF(AND($C439="Receiving",$I439&lt;=0),0,SUMIFS(Table2[Stat],Table2[Week],Table1[[#This Row],[Week]],Table2[Athlete],Table1[[#This Row],[Pick]],Table2[Stat Category],"rushing",Table2[Stat Type],"TD"))))</f>
        <v>0</v>
      </c>
      <c r="L439" s="6">
        <f>IF(AND($C439="Rushing", $H439&lt;=0), 0, IF(AND($C439="Passing", $G$3&lt;=0), 0,IF(AND($C439="Receiving",$I439&lt;=0),0,SUMIFS(Table2[Stat],Table2[Week],Table1[[#This Row],[Week]],Table2[Athlete],Table1[[#This Row],[Pick]],Table2[Stat Category],"receiving",Table2[Stat Type],"TD"))))</f>
        <v>0</v>
      </c>
      <c r="M4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9" s="61">
        <f>SUMIFS(Data!$J:$J,Data!$A:$A,Info!$B439,Data!$G:$G,Info!$C439,Data!$I:$I,Info!$D439,Data!$H:$H,"TOT")</f>
        <v>0</v>
      </c>
      <c r="O439" s="61">
        <f>IF(C439="Defensive",SUMIFS(Data!$J:$J,Data!$A:$A,Info!$B439,Data!$I:$I,Info!$D439,Data!$H:$H,"INT"),0)</f>
        <v>0</v>
      </c>
      <c r="P439" s="61">
        <f>IF(Table1[[#This Row],[Role]]="Defensive",SUMIFS(Data!$J:$J,Data!$A:$A,Info!$B439,Data!$I:$I,Info!$D439,Data!$H:$H,$P$1),0)</f>
        <v>0</v>
      </c>
      <c r="Q439" s="65" t="str">
        <f>IF(Table1[[#This Row],[Pick]]="","",IF(S439&gt;1,400,IF(G439="","",IF(C439="Passing",(400-Table1[[#This Row],[Passing Yards]]-(30*Table1[[#This Row],[Passing TDs]])-(50*SUM(Table1[[#This Row],[Rushing TDs]:[Other TD''s]]))),IF(C439="Rushing",2*(200-Table1[[#This Row],[Rushing Yards]]-(30*Table1[[#This Row],[Passing TDs]])-50*(Table1[[#This Row],[Rushing TDs]]+Table1[[#This Row],[Receiving TDs]]+Table1[[#This Row],[Other TD''s]])),IF(C439="Receiving",2*(200-Table1[[#This Row],[Receiving Yards]]-(30*Table1[[#This Row],[Passing TDs]])-50*(Table1[[#This Row],[Rushing TDs]]+Table1[[#This Row],[Receiving TDs]]+Table1[[#This Row],[Other TD''s]])),IF(C439="Defensive",(25*(16-Table1[[#This Row],[Tackles]]-(8*(Table1[[#This Row],[Other TD''s]]+Table1[[#This Row],[Interceptions]]+Table1[[#This Row],[Fumbles Recovered]])))))))))))</f>
        <v/>
      </c>
      <c r="R439" s="3" t="str">
        <f t="shared" si="14"/>
        <v/>
      </c>
      <c r="S439" s="4">
        <f t="shared" si="13"/>
        <v>1048507</v>
      </c>
      <c r="T4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0" spans="1:20" hidden="1" x14ac:dyDescent="0.25">
      <c r="A440" t="s">
        <v>61</v>
      </c>
      <c r="B440" s="28" t="s">
        <v>50</v>
      </c>
      <c r="C440" t="s">
        <v>6</v>
      </c>
      <c r="D440" t="str">
        <f>_xlfn.XLOOKUP(Table1[[#This Row],[Player]]&amp;Table1[[#This Row],[Week]]&amp;Table1[[#This Row],[Role]],'Google Form Transform'!$A:$A,'Google Form Transform'!E:E,"")</f>
        <v/>
      </c>
      <c r="E440" t="str">
        <f>_xlfn.XLOOKUP(Table1[[#This Row],[Player]]&amp;Table1[[#This Row],[Week]]&amp;Table1[[#This Row],[Role]],'Google Form Transform'!$A:$A,'Google Form Transform'!F:F,"")</f>
        <v/>
      </c>
      <c r="F440" t="str">
        <f>_xlfn.XLOOKUP(Table1[[#This Row],[Player]]&amp;Table1[[#This Row],[Week]]&amp;Table1[[#This Row],[Role]],'Google Form Transform'!$A:$A,'Google Form Transform'!G:G,"")</f>
        <v/>
      </c>
      <c r="G440" s="59">
        <f>SUMIFS(Table2[Stat],Table2[Stat Category],"passing",Table2[Stat Type],"YDS",Table2[Athlete],Table1[[#This Row],[Pick]],Table2[Week],Table1[[#This Row],[Week]])</f>
        <v>0</v>
      </c>
      <c r="H440" s="59">
        <f>SUMIFS(Table2[Stat],Table2[Stat Category],"rushing",Table2[Stat Type],"YDS",Table2[Athlete],Table1[[#This Row],[Pick]],Table2[Week],Table1[[#This Row],[Week]])</f>
        <v>0</v>
      </c>
      <c r="I440" s="59">
        <f>SUMIFS(Table2[Stat],Table2[Stat Category],"receiving",Table2[Stat Type],"YDS",Table2[Athlete],Table1[[#This Row],[Pick]],Table2[Week],Table1[[#This Row],[Week]])</f>
        <v>0</v>
      </c>
      <c r="J440" s="6">
        <f>IF(AND($C440="Rushing", $H440&lt;=0), 0, IF(AND($C440="Passing", $G$3&lt;=0), 0,IF(AND($C440="Receiving",$I440&lt;=0), 0,SUMIFS(Table2[Stat],Table2[Week],Table1[[#This Row],[Week]],Table2[Athlete],Table1[[#This Row],[Pick]],Table2[Stat Category],"passing",Table2[Stat Type],"TD"))))</f>
        <v>0</v>
      </c>
      <c r="K440" s="6">
        <f>IF(AND($C440="Rushing", $H440&lt;=0), 0, IF(AND($C440="Passing", $G$3&lt;=0), 0,IF(AND($C440="Receiving",$I440&lt;=0),0,SUMIFS(Table2[Stat],Table2[Week],Table1[[#This Row],[Week]],Table2[Athlete],Table1[[#This Row],[Pick]],Table2[Stat Category],"rushing",Table2[Stat Type],"TD"))))</f>
        <v>0</v>
      </c>
      <c r="L440" s="6">
        <f>IF(AND($C440="Rushing", $H440&lt;=0), 0, IF(AND($C440="Passing", $G$3&lt;=0), 0,IF(AND($C440="Receiving",$I440&lt;=0),0,SUMIFS(Table2[Stat],Table2[Week],Table1[[#This Row],[Week]],Table2[Athlete],Table1[[#This Row],[Pick]],Table2[Stat Category],"receiving",Table2[Stat Type],"TD"))))</f>
        <v>0</v>
      </c>
      <c r="M4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0" s="61">
        <f>SUMIFS(Data!$J:$J,Data!$A:$A,Info!$B440,Data!$G:$G,Info!$C440,Data!$I:$I,Info!$D440,Data!$H:$H,"TOT")</f>
        <v>0</v>
      </c>
      <c r="O440" s="61">
        <f>IF(C440="Defensive",SUMIFS(Data!$J:$J,Data!$A:$A,Info!$B440,Data!$I:$I,Info!$D440,Data!$H:$H,"INT"),0)</f>
        <v>0</v>
      </c>
      <c r="P440" s="61">
        <f>IF(Table1[[#This Row],[Role]]="Defensive",SUMIFS(Data!$J:$J,Data!$A:$A,Info!$B440,Data!$I:$I,Info!$D440,Data!$H:$H,$P$1),0)</f>
        <v>0</v>
      </c>
      <c r="Q440" s="65" t="str">
        <f>IF(Table1[[#This Row],[Pick]]="","",IF(S440&gt;1,400,IF(G440="","",IF(C440="Passing",(400-Table1[[#This Row],[Passing Yards]]-(30*Table1[[#This Row],[Passing TDs]])-(50*SUM(Table1[[#This Row],[Rushing TDs]:[Other TD''s]]))),IF(C440="Rushing",2*(200-Table1[[#This Row],[Rushing Yards]]-(30*Table1[[#This Row],[Passing TDs]])-50*(Table1[[#This Row],[Rushing TDs]]+Table1[[#This Row],[Receiving TDs]]+Table1[[#This Row],[Other TD''s]])),IF(C440="Receiving",2*(200-Table1[[#This Row],[Receiving Yards]]-(30*Table1[[#This Row],[Passing TDs]])-50*(Table1[[#This Row],[Rushing TDs]]+Table1[[#This Row],[Receiving TDs]]+Table1[[#This Row],[Other TD''s]])),IF(C440="Defensive",(25*(16-Table1[[#This Row],[Tackles]]-(8*(Table1[[#This Row],[Other TD''s]]+Table1[[#This Row],[Interceptions]]+Table1[[#This Row],[Fumbles Recovered]])))))))))))</f>
        <v/>
      </c>
      <c r="R440" s="3" t="str">
        <f t="shared" si="14"/>
        <v/>
      </c>
      <c r="S440" s="4">
        <f t="shared" si="13"/>
        <v>1048507</v>
      </c>
      <c r="T4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1" spans="1:20" hidden="1" x14ac:dyDescent="0.25">
      <c r="A441" t="s">
        <v>61</v>
      </c>
      <c r="B441" s="28" t="s">
        <v>50</v>
      </c>
      <c r="C441" t="s">
        <v>17</v>
      </c>
      <c r="D441" t="str">
        <f>_xlfn.XLOOKUP(Table1[[#This Row],[Player]]&amp;Table1[[#This Row],[Week]]&amp;Table1[[#This Row],[Role]],'Google Form Transform'!$A:$A,'Google Form Transform'!E:E,"")</f>
        <v/>
      </c>
      <c r="E441" t="str">
        <f>_xlfn.XLOOKUP(Table1[[#This Row],[Player]]&amp;Table1[[#This Row],[Week]]&amp;Table1[[#This Row],[Role]],'Google Form Transform'!$A:$A,'Google Form Transform'!F:F,"")</f>
        <v/>
      </c>
      <c r="F441" t="str">
        <f>_xlfn.XLOOKUP(Table1[[#This Row],[Player]]&amp;Table1[[#This Row],[Week]]&amp;Table1[[#This Row],[Role]],'Google Form Transform'!$A:$A,'Google Form Transform'!G:G,"")</f>
        <v/>
      </c>
      <c r="G441" s="59">
        <f>SUMIFS(Table2[Stat],Table2[Stat Category],"passing",Table2[Stat Type],"YDS",Table2[Athlete],Table1[[#This Row],[Pick]],Table2[Week],Table1[[#This Row],[Week]])</f>
        <v>0</v>
      </c>
      <c r="H441" s="59">
        <f>SUMIFS(Table2[Stat],Table2[Stat Category],"rushing",Table2[Stat Type],"YDS",Table2[Athlete],Table1[[#This Row],[Pick]],Table2[Week],Table1[[#This Row],[Week]])</f>
        <v>0</v>
      </c>
      <c r="I441" s="59">
        <f>SUMIFS(Table2[Stat],Table2[Stat Category],"receiving",Table2[Stat Type],"YDS",Table2[Athlete],Table1[[#This Row],[Pick]],Table2[Week],Table1[[#This Row],[Week]])</f>
        <v>0</v>
      </c>
      <c r="J441" s="6">
        <f>IF(AND($C441="Rushing", $H441&lt;=0), 0, IF(AND($C441="Passing", $G$3&lt;=0), 0,IF(AND($C441="Receiving",$I441&lt;=0), 0,SUMIFS(Table2[Stat],Table2[Week],Table1[[#This Row],[Week]],Table2[Athlete],Table1[[#This Row],[Pick]],Table2[Stat Category],"passing",Table2[Stat Type],"TD"))))</f>
        <v>0</v>
      </c>
      <c r="K441" s="6">
        <f>IF(AND($C441="Rushing", $H441&lt;=0), 0, IF(AND($C441="Passing", $G$3&lt;=0), 0,IF(AND($C441="Receiving",$I441&lt;=0),0,SUMIFS(Table2[Stat],Table2[Week],Table1[[#This Row],[Week]],Table2[Athlete],Table1[[#This Row],[Pick]],Table2[Stat Category],"rushing",Table2[Stat Type],"TD"))))</f>
        <v>0</v>
      </c>
      <c r="L441" s="6">
        <f>IF(AND($C441="Rushing", $H441&lt;=0), 0, IF(AND($C441="Passing", $G$3&lt;=0), 0,IF(AND($C441="Receiving",$I441&lt;=0),0,SUMIFS(Table2[Stat],Table2[Week],Table1[[#This Row],[Week]],Table2[Athlete],Table1[[#This Row],[Pick]],Table2[Stat Category],"receiving",Table2[Stat Type],"TD"))))</f>
        <v>0</v>
      </c>
      <c r="M4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1" s="61">
        <f>SUMIFS(Data!$J:$J,Data!$A:$A,Info!$B441,Data!$G:$G,Info!$C441,Data!$I:$I,Info!$D441,Data!$H:$H,"TOT")</f>
        <v>0</v>
      </c>
      <c r="O441" s="61">
        <f>IF(C441="Defensive",SUMIFS(Data!$J:$J,Data!$A:$A,Info!$B441,Data!$I:$I,Info!$D441,Data!$H:$H,"INT"),0)</f>
        <v>0</v>
      </c>
      <c r="P441" s="61">
        <f>IF(Table1[[#This Row],[Role]]="Defensive",SUMIFS(Data!$J:$J,Data!$A:$A,Info!$B441,Data!$I:$I,Info!$D441,Data!$H:$H,$P$1),0)</f>
        <v>0</v>
      </c>
      <c r="Q441" s="65" t="str">
        <f>IF(Table1[[#This Row],[Pick]]="","",IF(S441&gt;1,400,IF(G441="","",IF(C441="Passing",(400-Table1[[#This Row],[Passing Yards]]-(30*Table1[[#This Row],[Passing TDs]])-(50*SUM(Table1[[#This Row],[Rushing TDs]:[Other TD''s]]))),IF(C441="Rushing",2*(200-Table1[[#This Row],[Rushing Yards]]-(30*Table1[[#This Row],[Passing TDs]])-50*(Table1[[#This Row],[Rushing TDs]]+Table1[[#This Row],[Receiving TDs]]+Table1[[#This Row],[Other TD''s]])),IF(C441="Receiving",2*(200-Table1[[#This Row],[Receiving Yards]]-(30*Table1[[#This Row],[Passing TDs]])-50*(Table1[[#This Row],[Rushing TDs]]+Table1[[#This Row],[Receiving TDs]]+Table1[[#This Row],[Other TD''s]])),IF(C441="Defensive",(25*(16-Table1[[#This Row],[Tackles]]-(8*(Table1[[#This Row],[Other TD''s]]+Table1[[#This Row],[Interceptions]]+Table1[[#This Row],[Fumbles Recovered]])))))))))))</f>
        <v/>
      </c>
      <c r="R441" s="3" t="str">
        <f t="shared" si="14"/>
        <v/>
      </c>
      <c r="S441" s="4">
        <f t="shared" si="13"/>
        <v>1048507</v>
      </c>
      <c r="T4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2" spans="1:20" hidden="1" x14ac:dyDescent="0.25">
      <c r="A442" t="s">
        <v>61</v>
      </c>
      <c r="B442" s="28" t="s">
        <v>50</v>
      </c>
      <c r="C442" t="s">
        <v>20</v>
      </c>
      <c r="D442" t="str">
        <f>_xlfn.XLOOKUP(Table1[[#This Row],[Player]]&amp;Table1[[#This Row],[Week]]&amp;Table1[[#This Row],[Role]],'Google Form Transform'!$A:$A,'Google Form Transform'!E:E,"")</f>
        <v/>
      </c>
      <c r="E442" t="str">
        <f>_xlfn.XLOOKUP(Table1[[#This Row],[Player]]&amp;Table1[[#This Row],[Week]]&amp;Table1[[#This Row],[Role]],'Google Form Transform'!$A:$A,'Google Form Transform'!F:F,"")</f>
        <v/>
      </c>
      <c r="F442" t="str">
        <f>_xlfn.XLOOKUP(Table1[[#This Row],[Player]]&amp;Table1[[#This Row],[Week]]&amp;Table1[[#This Row],[Role]],'Google Form Transform'!$A:$A,'Google Form Transform'!G:G,"")</f>
        <v/>
      </c>
      <c r="G442" s="59">
        <f>SUMIFS(Table2[Stat],Table2[Stat Category],"passing",Table2[Stat Type],"YDS",Table2[Athlete],Table1[[#This Row],[Pick]],Table2[Week],Table1[[#This Row],[Week]])</f>
        <v>0</v>
      </c>
      <c r="H442" s="59">
        <f>SUMIFS(Table2[Stat],Table2[Stat Category],"rushing",Table2[Stat Type],"YDS",Table2[Athlete],Table1[[#This Row],[Pick]],Table2[Week],Table1[[#This Row],[Week]])</f>
        <v>0</v>
      </c>
      <c r="I442" s="59">
        <f>SUMIFS(Table2[Stat],Table2[Stat Category],"receiving",Table2[Stat Type],"YDS",Table2[Athlete],Table1[[#This Row],[Pick]],Table2[Week],Table1[[#This Row],[Week]])</f>
        <v>0</v>
      </c>
      <c r="J442" s="6">
        <f>IF(AND($C442="Rushing", $H442&lt;=0), 0, IF(AND($C442="Passing", $G$3&lt;=0), 0,IF(AND($C442="Receiving",$I442&lt;=0), 0,SUMIFS(Table2[Stat],Table2[Week],Table1[[#This Row],[Week]],Table2[Athlete],Table1[[#This Row],[Pick]],Table2[Stat Category],"passing",Table2[Stat Type],"TD"))))</f>
        <v>0</v>
      </c>
      <c r="K442" s="6">
        <f>IF(AND($C442="Rushing", $H442&lt;=0), 0, IF(AND($C442="Passing", $G$3&lt;=0), 0,IF(AND($C442="Receiving",$I442&lt;=0),0,SUMIFS(Table2[Stat],Table2[Week],Table1[[#This Row],[Week]],Table2[Athlete],Table1[[#This Row],[Pick]],Table2[Stat Category],"rushing",Table2[Stat Type],"TD"))))</f>
        <v>0</v>
      </c>
      <c r="L442" s="6">
        <f>IF(AND($C442="Rushing", $H442&lt;=0), 0, IF(AND($C442="Passing", $G$3&lt;=0), 0,IF(AND($C442="Receiving",$I442&lt;=0),0,SUMIFS(Table2[Stat],Table2[Week],Table1[[#This Row],[Week]],Table2[Athlete],Table1[[#This Row],[Pick]],Table2[Stat Category],"receiving",Table2[Stat Type],"TD"))))</f>
        <v>0</v>
      </c>
      <c r="M4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2" s="61">
        <f>SUMIFS(Data!$J:$J,Data!$A:$A,Info!$B442,Data!$G:$G,Info!$C442,Data!$I:$I,Info!$D442,Data!$H:$H,"TOT")</f>
        <v>0</v>
      </c>
      <c r="O442" s="61">
        <f>IF(C442="Defensive",SUMIFS(Data!$J:$J,Data!$A:$A,Info!$B442,Data!$I:$I,Info!$D442,Data!$H:$H,"INT"),0)</f>
        <v>0</v>
      </c>
      <c r="P442" s="61">
        <f>IF(Table1[[#This Row],[Role]]="Defensive",SUMIFS(Data!$J:$J,Data!$A:$A,Info!$B442,Data!$I:$I,Info!$D442,Data!$H:$H,$P$1),0)</f>
        <v>0</v>
      </c>
      <c r="Q442" s="65" t="str">
        <f>IF(Table1[[#This Row],[Pick]]="","",IF(S442&gt;1,400,IF(G442="","",IF(C442="Passing",(400-Table1[[#This Row],[Passing Yards]]-(30*Table1[[#This Row],[Passing TDs]])-(50*SUM(Table1[[#This Row],[Rushing TDs]:[Other TD''s]]))),IF(C442="Rushing",2*(200-Table1[[#This Row],[Rushing Yards]]-(30*Table1[[#This Row],[Passing TDs]])-50*(Table1[[#This Row],[Rushing TDs]]+Table1[[#This Row],[Receiving TDs]]+Table1[[#This Row],[Other TD''s]])),IF(C442="Receiving",2*(200-Table1[[#This Row],[Receiving Yards]]-(30*Table1[[#This Row],[Passing TDs]])-50*(Table1[[#This Row],[Rushing TDs]]+Table1[[#This Row],[Receiving TDs]]+Table1[[#This Row],[Other TD''s]])),IF(C442="Defensive",(25*(16-Table1[[#This Row],[Tackles]]-(8*(Table1[[#This Row],[Other TD''s]]+Table1[[#This Row],[Interceptions]]+Table1[[#This Row],[Fumbles Recovered]])))))))))))</f>
        <v/>
      </c>
      <c r="R442" s="3" t="str">
        <f t="shared" si="14"/>
        <v/>
      </c>
      <c r="S442" s="4">
        <f t="shared" si="13"/>
        <v>1048507</v>
      </c>
      <c r="T4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3" spans="1:20" hidden="1" x14ac:dyDescent="0.25">
      <c r="A443" t="s">
        <v>60</v>
      </c>
      <c r="B443" s="28" t="s">
        <v>50</v>
      </c>
      <c r="C443" t="s">
        <v>16</v>
      </c>
      <c r="D443" t="str">
        <f>_xlfn.XLOOKUP(Table1[[#This Row],[Player]]&amp;Table1[[#This Row],[Week]]&amp;Table1[[#This Row],[Role]],'Google Form Transform'!$A:$A,'Google Form Transform'!E:E,"")</f>
        <v/>
      </c>
      <c r="E443" t="str">
        <f>_xlfn.XLOOKUP(Table1[[#This Row],[Player]]&amp;Table1[[#This Row],[Week]]&amp;Table1[[#This Row],[Role]],'Google Form Transform'!$A:$A,'Google Form Transform'!F:F,"")</f>
        <v/>
      </c>
      <c r="F443" t="str">
        <f>_xlfn.XLOOKUP(Table1[[#This Row],[Player]]&amp;Table1[[#This Row],[Week]]&amp;Table1[[#This Row],[Role]],'Google Form Transform'!$A:$A,'Google Form Transform'!G:G,"")</f>
        <v/>
      </c>
      <c r="G443" s="59">
        <f>SUMIFS(Table2[Stat],Table2[Stat Category],"passing",Table2[Stat Type],"YDS",Table2[Athlete],Table1[[#This Row],[Pick]],Table2[Week],Table1[[#This Row],[Week]])</f>
        <v>0</v>
      </c>
      <c r="H443" s="59">
        <f>SUMIFS(Table2[Stat],Table2[Stat Category],"rushing",Table2[Stat Type],"YDS",Table2[Athlete],Table1[[#This Row],[Pick]],Table2[Week],Table1[[#This Row],[Week]])</f>
        <v>0</v>
      </c>
      <c r="I443" s="59">
        <f>SUMIFS(Table2[Stat],Table2[Stat Category],"receiving",Table2[Stat Type],"YDS",Table2[Athlete],Table1[[#This Row],[Pick]],Table2[Week],Table1[[#This Row],[Week]])</f>
        <v>0</v>
      </c>
      <c r="J443" s="6">
        <f>IF(AND($C443="Rushing", $H443&lt;=0), 0, IF(AND($C443="Passing", $G$3&lt;=0), 0,IF(AND($C443="Receiving",$I443&lt;=0), 0,SUMIFS(Table2[Stat],Table2[Week],Table1[[#This Row],[Week]],Table2[Athlete],Table1[[#This Row],[Pick]],Table2[Stat Category],"passing",Table2[Stat Type],"TD"))))</f>
        <v>0</v>
      </c>
      <c r="K443" s="6">
        <f>IF(AND($C443="Rushing", $H443&lt;=0), 0, IF(AND($C443="Passing", $G$3&lt;=0), 0,IF(AND($C443="Receiving",$I443&lt;=0),0,SUMIFS(Table2[Stat],Table2[Week],Table1[[#This Row],[Week]],Table2[Athlete],Table1[[#This Row],[Pick]],Table2[Stat Category],"rushing",Table2[Stat Type],"TD"))))</f>
        <v>0</v>
      </c>
      <c r="L443" s="6">
        <f>IF(AND($C443="Rushing", $H443&lt;=0), 0, IF(AND($C443="Passing", $G$3&lt;=0), 0,IF(AND($C443="Receiving",$I443&lt;=0),0,SUMIFS(Table2[Stat],Table2[Week],Table1[[#This Row],[Week]],Table2[Athlete],Table1[[#This Row],[Pick]],Table2[Stat Category],"receiving",Table2[Stat Type],"TD"))))</f>
        <v>0</v>
      </c>
      <c r="M4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3" s="61">
        <f>SUMIFS(Data!$J:$J,Data!$A:$A,Info!$B443,Data!$G:$G,Info!$C443,Data!$I:$I,Info!$D443,Data!$H:$H,"TOT")</f>
        <v>0</v>
      </c>
      <c r="O443" s="61">
        <f>IF(C443="Defensive",SUMIFS(Data!$J:$J,Data!$A:$A,Info!$B443,Data!$I:$I,Info!$D443,Data!$H:$H,"INT"),0)</f>
        <v>0</v>
      </c>
      <c r="P443" s="61">
        <f>IF(Table1[[#This Row],[Role]]="Defensive",SUMIFS(Data!$J:$J,Data!$A:$A,Info!$B443,Data!$I:$I,Info!$D443,Data!$H:$H,$P$1),0)</f>
        <v>0</v>
      </c>
      <c r="Q443" s="65" t="str">
        <f>IF(Table1[[#This Row],[Pick]]="","",IF(S443&gt;1,400,IF(G443="","",IF(C443="Passing",(400-Table1[[#This Row],[Passing Yards]]-(30*Table1[[#This Row],[Passing TDs]])-(50*SUM(Table1[[#This Row],[Rushing TDs]:[Other TD''s]]))),IF(C443="Rushing",2*(200-Table1[[#This Row],[Rushing Yards]]-(30*Table1[[#This Row],[Passing TDs]])-50*(Table1[[#This Row],[Rushing TDs]]+Table1[[#This Row],[Receiving TDs]]+Table1[[#This Row],[Other TD''s]])),IF(C443="Receiving",2*(200-Table1[[#This Row],[Receiving Yards]]-(30*Table1[[#This Row],[Passing TDs]])-50*(Table1[[#This Row],[Rushing TDs]]+Table1[[#This Row],[Receiving TDs]]+Table1[[#This Row],[Other TD''s]])),IF(C443="Defensive",(25*(16-Table1[[#This Row],[Tackles]]-(8*(Table1[[#This Row],[Other TD''s]]+Table1[[#This Row],[Interceptions]]+Table1[[#This Row],[Fumbles Recovered]])))))))))))</f>
        <v/>
      </c>
      <c r="R443" s="3" t="str">
        <f t="shared" si="14"/>
        <v/>
      </c>
      <c r="S443" s="4">
        <f t="shared" si="13"/>
        <v>1048507</v>
      </c>
      <c r="T4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4" spans="1:20" hidden="1" x14ac:dyDescent="0.25">
      <c r="A444" t="s">
        <v>60</v>
      </c>
      <c r="B444" s="28" t="s">
        <v>50</v>
      </c>
      <c r="C444" t="s">
        <v>6</v>
      </c>
      <c r="D444" t="str">
        <f>_xlfn.XLOOKUP(Table1[[#This Row],[Player]]&amp;Table1[[#This Row],[Week]]&amp;Table1[[#This Row],[Role]],'Google Form Transform'!$A:$A,'Google Form Transform'!E:E,"")</f>
        <v/>
      </c>
      <c r="E444" t="str">
        <f>_xlfn.XLOOKUP(Table1[[#This Row],[Player]]&amp;Table1[[#This Row],[Week]]&amp;Table1[[#This Row],[Role]],'Google Form Transform'!$A:$A,'Google Form Transform'!F:F,"")</f>
        <v/>
      </c>
      <c r="F444" t="str">
        <f>_xlfn.XLOOKUP(Table1[[#This Row],[Player]]&amp;Table1[[#This Row],[Week]]&amp;Table1[[#This Row],[Role]],'Google Form Transform'!$A:$A,'Google Form Transform'!G:G,"")</f>
        <v/>
      </c>
      <c r="G444" s="59">
        <f>SUMIFS(Table2[Stat],Table2[Stat Category],"passing",Table2[Stat Type],"YDS",Table2[Athlete],Table1[[#This Row],[Pick]],Table2[Week],Table1[[#This Row],[Week]])</f>
        <v>0</v>
      </c>
      <c r="H444" s="59">
        <f>SUMIFS(Table2[Stat],Table2[Stat Category],"rushing",Table2[Stat Type],"YDS",Table2[Athlete],Table1[[#This Row],[Pick]],Table2[Week],Table1[[#This Row],[Week]])</f>
        <v>0</v>
      </c>
      <c r="I444" s="59">
        <f>SUMIFS(Table2[Stat],Table2[Stat Category],"receiving",Table2[Stat Type],"YDS",Table2[Athlete],Table1[[#This Row],[Pick]],Table2[Week],Table1[[#This Row],[Week]])</f>
        <v>0</v>
      </c>
      <c r="J444" s="6">
        <f>IF(AND($C444="Rushing", $H444&lt;=0), 0, IF(AND($C444="Passing", $G$3&lt;=0), 0,IF(AND($C444="Receiving",$I444&lt;=0), 0,SUMIFS(Table2[Stat],Table2[Week],Table1[[#This Row],[Week]],Table2[Athlete],Table1[[#This Row],[Pick]],Table2[Stat Category],"passing",Table2[Stat Type],"TD"))))</f>
        <v>0</v>
      </c>
      <c r="K444" s="6">
        <f>IF(AND($C444="Rushing", $H444&lt;=0), 0, IF(AND($C444="Passing", $G$3&lt;=0), 0,IF(AND($C444="Receiving",$I444&lt;=0),0,SUMIFS(Table2[Stat],Table2[Week],Table1[[#This Row],[Week]],Table2[Athlete],Table1[[#This Row],[Pick]],Table2[Stat Category],"rushing",Table2[Stat Type],"TD"))))</f>
        <v>0</v>
      </c>
      <c r="L444" s="6">
        <f>IF(AND($C444="Rushing", $H444&lt;=0), 0, IF(AND($C444="Passing", $G$3&lt;=0), 0,IF(AND($C444="Receiving",$I444&lt;=0),0,SUMIFS(Table2[Stat],Table2[Week],Table1[[#This Row],[Week]],Table2[Athlete],Table1[[#This Row],[Pick]],Table2[Stat Category],"receiving",Table2[Stat Type],"TD"))))</f>
        <v>0</v>
      </c>
      <c r="M4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4" s="61">
        <f>SUMIFS(Data!$J:$J,Data!$A:$A,Info!$B444,Data!$G:$G,Info!$C444,Data!$I:$I,Info!$D444,Data!$H:$H,"TOT")</f>
        <v>0</v>
      </c>
      <c r="O444" s="61">
        <f>IF(C444="Defensive",SUMIFS(Data!$J:$J,Data!$A:$A,Info!$B444,Data!$I:$I,Info!$D444,Data!$H:$H,"INT"),0)</f>
        <v>0</v>
      </c>
      <c r="P444" s="61">
        <f>IF(Table1[[#This Row],[Role]]="Defensive",SUMIFS(Data!$J:$J,Data!$A:$A,Info!$B444,Data!$I:$I,Info!$D444,Data!$H:$H,$P$1),0)</f>
        <v>0</v>
      </c>
      <c r="Q444" s="65" t="str">
        <f>IF(Table1[[#This Row],[Pick]]="","",IF(S444&gt;1,400,IF(G444="","",IF(C444="Passing",(400-Table1[[#This Row],[Passing Yards]]-(30*Table1[[#This Row],[Passing TDs]])-(50*SUM(Table1[[#This Row],[Rushing TDs]:[Other TD''s]]))),IF(C444="Rushing",2*(200-Table1[[#This Row],[Rushing Yards]]-(30*Table1[[#This Row],[Passing TDs]])-50*(Table1[[#This Row],[Rushing TDs]]+Table1[[#This Row],[Receiving TDs]]+Table1[[#This Row],[Other TD''s]])),IF(C444="Receiving",2*(200-Table1[[#This Row],[Receiving Yards]]-(30*Table1[[#This Row],[Passing TDs]])-50*(Table1[[#This Row],[Rushing TDs]]+Table1[[#This Row],[Receiving TDs]]+Table1[[#This Row],[Other TD''s]])),IF(C444="Defensive",(25*(16-Table1[[#This Row],[Tackles]]-(8*(Table1[[#This Row],[Other TD''s]]+Table1[[#This Row],[Interceptions]]+Table1[[#This Row],[Fumbles Recovered]])))))))))))</f>
        <v/>
      </c>
      <c r="R444" s="3" t="str">
        <f t="shared" si="14"/>
        <v/>
      </c>
      <c r="S444" s="4">
        <f t="shared" si="13"/>
        <v>1048507</v>
      </c>
      <c r="T4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5" spans="1:20" hidden="1" x14ac:dyDescent="0.25">
      <c r="A445" t="s">
        <v>60</v>
      </c>
      <c r="B445" s="28" t="s">
        <v>50</v>
      </c>
      <c r="C445" t="s">
        <v>17</v>
      </c>
      <c r="D445" t="str">
        <f>_xlfn.XLOOKUP(Table1[[#This Row],[Player]]&amp;Table1[[#This Row],[Week]]&amp;Table1[[#This Row],[Role]],'Google Form Transform'!$A:$A,'Google Form Transform'!E:E,"")</f>
        <v/>
      </c>
      <c r="E445" t="str">
        <f>_xlfn.XLOOKUP(Table1[[#This Row],[Player]]&amp;Table1[[#This Row],[Week]]&amp;Table1[[#This Row],[Role]],'Google Form Transform'!$A:$A,'Google Form Transform'!F:F,"")</f>
        <v/>
      </c>
      <c r="F445" t="str">
        <f>_xlfn.XLOOKUP(Table1[[#This Row],[Player]]&amp;Table1[[#This Row],[Week]]&amp;Table1[[#This Row],[Role]],'Google Form Transform'!$A:$A,'Google Form Transform'!G:G,"")</f>
        <v/>
      </c>
      <c r="G445" s="59">
        <f>SUMIFS(Table2[Stat],Table2[Stat Category],"passing",Table2[Stat Type],"YDS",Table2[Athlete],Table1[[#This Row],[Pick]],Table2[Week],Table1[[#This Row],[Week]])</f>
        <v>0</v>
      </c>
      <c r="H445" s="59">
        <f>SUMIFS(Table2[Stat],Table2[Stat Category],"rushing",Table2[Stat Type],"YDS",Table2[Athlete],Table1[[#This Row],[Pick]],Table2[Week],Table1[[#This Row],[Week]])</f>
        <v>0</v>
      </c>
      <c r="I445" s="59">
        <f>SUMIFS(Table2[Stat],Table2[Stat Category],"receiving",Table2[Stat Type],"YDS",Table2[Athlete],Table1[[#This Row],[Pick]],Table2[Week],Table1[[#This Row],[Week]])</f>
        <v>0</v>
      </c>
      <c r="J445" s="6">
        <f>IF(AND($C445="Rushing", $H445&lt;=0), 0, IF(AND($C445="Passing", $G$3&lt;=0), 0,IF(AND($C445="Receiving",$I445&lt;=0), 0,SUMIFS(Table2[Stat],Table2[Week],Table1[[#This Row],[Week]],Table2[Athlete],Table1[[#This Row],[Pick]],Table2[Stat Category],"passing",Table2[Stat Type],"TD"))))</f>
        <v>0</v>
      </c>
      <c r="K445" s="6">
        <f>IF(AND($C445="Rushing", $H445&lt;=0), 0, IF(AND($C445="Passing", $G$3&lt;=0), 0,IF(AND($C445="Receiving",$I445&lt;=0),0,SUMIFS(Table2[Stat],Table2[Week],Table1[[#This Row],[Week]],Table2[Athlete],Table1[[#This Row],[Pick]],Table2[Stat Category],"rushing",Table2[Stat Type],"TD"))))</f>
        <v>0</v>
      </c>
      <c r="L445" s="6">
        <f>IF(AND($C445="Rushing", $H445&lt;=0), 0, IF(AND($C445="Passing", $G$3&lt;=0), 0,IF(AND($C445="Receiving",$I445&lt;=0),0,SUMIFS(Table2[Stat],Table2[Week],Table1[[#This Row],[Week]],Table2[Athlete],Table1[[#This Row],[Pick]],Table2[Stat Category],"receiving",Table2[Stat Type],"TD"))))</f>
        <v>0</v>
      </c>
      <c r="M4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5" s="61">
        <f>SUMIFS(Data!$J:$J,Data!$A:$A,Info!$B445,Data!$G:$G,Info!$C445,Data!$I:$I,Info!$D445,Data!$H:$H,"TOT")</f>
        <v>0</v>
      </c>
      <c r="O445" s="61">
        <f>IF(C445="Defensive",SUMIFS(Data!$J:$J,Data!$A:$A,Info!$B445,Data!$I:$I,Info!$D445,Data!$H:$H,"INT"),0)</f>
        <v>0</v>
      </c>
      <c r="P445" s="61">
        <f>IF(Table1[[#This Row],[Role]]="Defensive",SUMIFS(Data!$J:$J,Data!$A:$A,Info!$B445,Data!$I:$I,Info!$D445,Data!$H:$H,$P$1),0)</f>
        <v>0</v>
      </c>
      <c r="Q445" s="65" t="str">
        <f>IF(Table1[[#This Row],[Pick]]="","",IF(S445&gt;1,400,IF(G445="","",IF(C445="Passing",(400-Table1[[#This Row],[Passing Yards]]-(30*Table1[[#This Row],[Passing TDs]])-(50*SUM(Table1[[#This Row],[Rushing TDs]:[Other TD''s]]))),IF(C445="Rushing",2*(200-Table1[[#This Row],[Rushing Yards]]-(30*Table1[[#This Row],[Passing TDs]])-50*(Table1[[#This Row],[Rushing TDs]]+Table1[[#This Row],[Receiving TDs]]+Table1[[#This Row],[Other TD''s]])),IF(C445="Receiving",2*(200-Table1[[#This Row],[Receiving Yards]]-(30*Table1[[#This Row],[Passing TDs]])-50*(Table1[[#This Row],[Rushing TDs]]+Table1[[#This Row],[Receiving TDs]]+Table1[[#This Row],[Other TD''s]])),IF(C445="Defensive",(25*(16-Table1[[#This Row],[Tackles]]-(8*(Table1[[#This Row],[Other TD''s]]+Table1[[#This Row],[Interceptions]]+Table1[[#This Row],[Fumbles Recovered]])))))))))))</f>
        <v/>
      </c>
      <c r="R445" s="3" t="str">
        <f t="shared" si="14"/>
        <v/>
      </c>
      <c r="S445" s="4">
        <f t="shared" si="13"/>
        <v>1048507</v>
      </c>
      <c r="T4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6" spans="1:20" hidden="1" x14ac:dyDescent="0.25">
      <c r="A446" t="s">
        <v>60</v>
      </c>
      <c r="B446" s="28" t="s">
        <v>50</v>
      </c>
      <c r="C446" t="s">
        <v>20</v>
      </c>
      <c r="D446" t="str">
        <f>_xlfn.XLOOKUP(Table1[[#This Row],[Player]]&amp;Table1[[#This Row],[Week]]&amp;Table1[[#This Row],[Role]],'Google Form Transform'!$A:$A,'Google Form Transform'!E:E,"")</f>
        <v/>
      </c>
      <c r="E446" t="str">
        <f>_xlfn.XLOOKUP(Table1[[#This Row],[Player]]&amp;Table1[[#This Row],[Week]]&amp;Table1[[#This Row],[Role]],'Google Form Transform'!$A:$A,'Google Form Transform'!F:F,"")</f>
        <v/>
      </c>
      <c r="F446" t="str">
        <f>_xlfn.XLOOKUP(Table1[[#This Row],[Player]]&amp;Table1[[#This Row],[Week]]&amp;Table1[[#This Row],[Role]],'Google Form Transform'!$A:$A,'Google Form Transform'!G:G,"")</f>
        <v/>
      </c>
      <c r="G446" s="59">
        <f>SUMIFS(Table2[Stat],Table2[Stat Category],"passing",Table2[Stat Type],"YDS",Table2[Athlete],Table1[[#This Row],[Pick]],Table2[Week],Table1[[#This Row],[Week]])</f>
        <v>0</v>
      </c>
      <c r="H446" s="59">
        <f>SUMIFS(Table2[Stat],Table2[Stat Category],"rushing",Table2[Stat Type],"YDS",Table2[Athlete],Table1[[#This Row],[Pick]],Table2[Week],Table1[[#This Row],[Week]])</f>
        <v>0</v>
      </c>
      <c r="I446" s="59">
        <f>SUMIFS(Table2[Stat],Table2[Stat Category],"receiving",Table2[Stat Type],"YDS",Table2[Athlete],Table1[[#This Row],[Pick]],Table2[Week],Table1[[#This Row],[Week]])</f>
        <v>0</v>
      </c>
      <c r="J446" s="6">
        <f>IF(AND($C446="Rushing", $H446&lt;=0), 0, IF(AND($C446="Passing", $G$3&lt;=0), 0,IF(AND($C446="Receiving",$I446&lt;=0), 0,SUMIFS(Table2[Stat],Table2[Week],Table1[[#This Row],[Week]],Table2[Athlete],Table1[[#This Row],[Pick]],Table2[Stat Category],"passing",Table2[Stat Type],"TD"))))</f>
        <v>0</v>
      </c>
      <c r="K446" s="6">
        <f>IF(AND($C446="Rushing", $H446&lt;=0), 0, IF(AND($C446="Passing", $G$3&lt;=0), 0,IF(AND($C446="Receiving",$I446&lt;=0),0,SUMIFS(Table2[Stat],Table2[Week],Table1[[#This Row],[Week]],Table2[Athlete],Table1[[#This Row],[Pick]],Table2[Stat Category],"rushing",Table2[Stat Type],"TD"))))</f>
        <v>0</v>
      </c>
      <c r="L446" s="6">
        <f>IF(AND($C446="Rushing", $H446&lt;=0), 0, IF(AND($C446="Passing", $G$3&lt;=0), 0,IF(AND($C446="Receiving",$I446&lt;=0),0,SUMIFS(Table2[Stat],Table2[Week],Table1[[#This Row],[Week]],Table2[Athlete],Table1[[#This Row],[Pick]],Table2[Stat Category],"receiving",Table2[Stat Type],"TD"))))</f>
        <v>0</v>
      </c>
      <c r="M4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6" s="61">
        <f>SUMIFS(Data!$J:$J,Data!$A:$A,Info!$B446,Data!$G:$G,Info!$C446,Data!$I:$I,Info!$D446,Data!$H:$H,"TOT")</f>
        <v>0</v>
      </c>
      <c r="O446" s="61">
        <f>IF(C446="Defensive",SUMIFS(Data!$J:$J,Data!$A:$A,Info!$B446,Data!$I:$I,Info!$D446,Data!$H:$H,"INT"),0)</f>
        <v>0</v>
      </c>
      <c r="P446" s="61">
        <f>IF(Table1[[#This Row],[Role]]="Defensive",SUMIFS(Data!$J:$J,Data!$A:$A,Info!$B446,Data!$I:$I,Info!$D446,Data!$H:$H,$P$1),0)</f>
        <v>0</v>
      </c>
      <c r="Q446" s="65" t="str">
        <f>IF(Table1[[#This Row],[Pick]]="","",IF(S446&gt;1,400,IF(G446="","",IF(C446="Passing",(400-Table1[[#This Row],[Passing Yards]]-(30*Table1[[#This Row],[Passing TDs]])-(50*SUM(Table1[[#This Row],[Rushing TDs]:[Other TD''s]]))),IF(C446="Rushing",2*(200-Table1[[#This Row],[Rushing Yards]]-(30*Table1[[#This Row],[Passing TDs]])-50*(Table1[[#This Row],[Rushing TDs]]+Table1[[#This Row],[Receiving TDs]]+Table1[[#This Row],[Other TD''s]])),IF(C446="Receiving",2*(200-Table1[[#This Row],[Receiving Yards]]-(30*Table1[[#This Row],[Passing TDs]])-50*(Table1[[#This Row],[Rushing TDs]]+Table1[[#This Row],[Receiving TDs]]+Table1[[#This Row],[Other TD''s]])),IF(C446="Defensive",(25*(16-Table1[[#This Row],[Tackles]]-(8*(Table1[[#This Row],[Other TD''s]]+Table1[[#This Row],[Interceptions]]+Table1[[#This Row],[Fumbles Recovered]])))))))))))</f>
        <v/>
      </c>
      <c r="R446" s="3" t="str">
        <f t="shared" si="14"/>
        <v/>
      </c>
      <c r="S446" s="4">
        <f t="shared" si="13"/>
        <v>1048507</v>
      </c>
      <c r="T4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7" spans="1:20" hidden="1" x14ac:dyDescent="0.25">
      <c r="A447" t="s">
        <v>62</v>
      </c>
      <c r="B447" s="28" t="s">
        <v>50</v>
      </c>
      <c r="C447" t="s">
        <v>16</v>
      </c>
      <c r="D447" t="str">
        <f>_xlfn.XLOOKUP(Table1[[#This Row],[Player]]&amp;Table1[[#This Row],[Week]]&amp;Table1[[#This Row],[Role]],'Google Form Transform'!$A:$A,'Google Form Transform'!E:E,"")</f>
        <v/>
      </c>
      <c r="E447" t="str">
        <f>_xlfn.XLOOKUP(Table1[[#This Row],[Player]]&amp;Table1[[#This Row],[Week]]&amp;Table1[[#This Row],[Role]],'Google Form Transform'!$A:$A,'Google Form Transform'!F:F,"")</f>
        <v/>
      </c>
      <c r="F447" t="str">
        <f>_xlfn.XLOOKUP(Table1[[#This Row],[Player]]&amp;Table1[[#This Row],[Week]]&amp;Table1[[#This Row],[Role]],'Google Form Transform'!$A:$A,'Google Form Transform'!G:G,"")</f>
        <v/>
      </c>
      <c r="G447" s="59">
        <f>SUMIFS(Table2[Stat],Table2[Stat Category],"passing",Table2[Stat Type],"YDS",Table2[Athlete],Table1[[#This Row],[Pick]],Table2[Week],Table1[[#This Row],[Week]])</f>
        <v>0</v>
      </c>
      <c r="H447" s="59">
        <f>SUMIFS(Table2[Stat],Table2[Stat Category],"rushing",Table2[Stat Type],"YDS",Table2[Athlete],Table1[[#This Row],[Pick]],Table2[Week],Table1[[#This Row],[Week]])</f>
        <v>0</v>
      </c>
      <c r="I447" s="59">
        <f>SUMIFS(Table2[Stat],Table2[Stat Category],"receiving",Table2[Stat Type],"YDS",Table2[Athlete],Table1[[#This Row],[Pick]],Table2[Week],Table1[[#This Row],[Week]])</f>
        <v>0</v>
      </c>
      <c r="J447" s="6">
        <f>IF(AND($C447="Rushing", $H447&lt;=0), 0, IF(AND($C447="Passing", $G$3&lt;=0), 0,IF(AND($C447="Receiving",$I447&lt;=0), 0,SUMIFS(Table2[Stat],Table2[Week],Table1[[#This Row],[Week]],Table2[Athlete],Table1[[#This Row],[Pick]],Table2[Stat Category],"passing",Table2[Stat Type],"TD"))))</f>
        <v>0</v>
      </c>
      <c r="K447" s="6">
        <f>IF(AND($C447="Rushing", $H447&lt;=0), 0, IF(AND($C447="Passing", $G$3&lt;=0), 0,IF(AND($C447="Receiving",$I447&lt;=0),0,SUMIFS(Table2[Stat],Table2[Week],Table1[[#This Row],[Week]],Table2[Athlete],Table1[[#This Row],[Pick]],Table2[Stat Category],"rushing",Table2[Stat Type],"TD"))))</f>
        <v>0</v>
      </c>
      <c r="L447" s="6">
        <f>IF(AND($C447="Rushing", $H447&lt;=0), 0, IF(AND($C447="Passing", $G$3&lt;=0), 0,IF(AND($C447="Receiving",$I447&lt;=0),0,SUMIFS(Table2[Stat],Table2[Week],Table1[[#This Row],[Week]],Table2[Athlete],Table1[[#This Row],[Pick]],Table2[Stat Category],"receiving",Table2[Stat Type],"TD"))))</f>
        <v>0</v>
      </c>
      <c r="M4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7" s="61">
        <f>SUMIFS(Data!$J:$J,Data!$A:$A,Info!$B447,Data!$G:$G,Info!$C447,Data!$I:$I,Info!$D447,Data!$H:$H,"TOT")</f>
        <v>0</v>
      </c>
      <c r="O447" s="61">
        <f>IF(C447="Defensive",SUMIFS(Data!$J:$J,Data!$A:$A,Info!$B447,Data!$I:$I,Info!$D447,Data!$H:$H,"INT"),0)</f>
        <v>0</v>
      </c>
      <c r="P447" s="61">
        <f>IF(Table1[[#This Row],[Role]]="Defensive",SUMIFS(Data!$J:$J,Data!$A:$A,Info!$B447,Data!$I:$I,Info!$D447,Data!$H:$H,$P$1),0)</f>
        <v>0</v>
      </c>
      <c r="Q447" s="65" t="str">
        <f>IF(Table1[[#This Row],[Pick]]="","",IF(S447&gt;1,400,IF(G447="","",IF(C447="Passing",(400-Table1[[#This Row],[Passing Yards]]-(30*Table1[[#This Row],[Passing TDs]])-(50*SUM(Table1[[#This Row],[Rushing TDs]:[Other TD''s]]))),IF(C447="Rushing",2*(200-Table1[[#This Row],[Rushing Yards]]-(30*Table1[[#This Row],[Passing TDs]])-50*(Table1[[#This Row],[Rushing TDs]]+Table1[[#This Row],[Receiving TDs]]+Table1[[#This Row],[Other TD''s]])),IF(C447="Receiving",2*(200-Table1[[#This Row],[Receiving Yards]]-(30*Table1[[#This Row],[Passing TDs]])-50*(Table1[[#This Row],[Rushing TDs]]+Table1[[#This Row],[Receiving TDs]]+Table1[[#This Row],[Other TD''s]])),IF(C447="Defensive",(25*(16-Table1[[#This Row],[Tackles]]-(8*(Table1[[#This Row],[Other TD''s]]+Table1[[#This Row],[Interceptions]]+Table1[[#This Row],[Fumbles Recovered]])))))))))))</f>
        <v/>
      </c>
      <c r="R447" s="3" t="str">
        <f t="shared" si="14"/>
        <v/>
      </c>
      <c r="S447" s="4">
        <f t="shared" si="13"/>
        <v>1048507</v>
      </c>
      <c r="T4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8" spans="1:20" hidden="1" x14ac:dyDescent="0.25">
      <c r="A448" t="s">
        <v>62</v>
      </c>
      <c r="B448" s="28" t="s">
        <v>50</v>
      </c>
      <c r="C448" t="s">
        <v>6</v>
      </c>
      <c r="D448" t="str">
        <f>_xlfn.XLOOKUP(Table1[[#This Row],[Player]]&amp;Table1[[#This Row],[Week]]&amp;Table1[[#This Row],[Role]],'Google Form Transform'!$A:$A,'Google Form Transform'!E:E,"")</f>
        <v/>
      </c>
      <c r="E448" t="str">
        <f>_xlfn.XLOOKUP(Table1[[#This Row],[Player]]&amp;Table1[[#This Row],[Week]]&amp;Table1[[#This Row],[Role]],'Google Form Transform'!$A:$A,'Google Form Transform'!F:F,"")</f>
        <v/>
      </c>
      <c r="F448" t="str">
        <f>_xlfn.XLOOKUP(Table1[[#This Row],[Player]]&amp;Table1[[#This Row],[Week]]&amp;Table1[[#This Row],[Role]],'Google Form Transform'!$A:$A,'Google Form Transform'!G:G,"")</f>
        <v/>
      </c>
      <c r="G448" s="59">
        <f>SUMIFS(Table2[Stat],Table2[Stat Category],"passing",Table2[Stat Type],"YDS",Table2[Athlete],Table1[[#This Row],[Pick]],Table2[Week],Table1[[#This Row],[Week]])</f>
        <v>0</v>
      </c>
      <c r="H448" s="59">
        <f>SUMIFS(Table2[Stat],Table2[Stat Category],"rushing",Table2[Stat Type],"YDS",Table2[Athlete],Table1[[#This Row],[Pick]],Table2[Week],Table1[[#This Row],[Week]])</f>
        <v>0</v>
      </c>
      <c r="I448" s="59">
        <f>SUMIFS(Table2[Stat],Table2[Stat Category],"receiving",Table2[Stat Type],"YDS",Table2[Athlete],Table1[[#This Row],[Pick]],Table2[Week],Table1[[#This Row],[Week]])</f>
        <v>0</v>
      </c>
      <c r="J448" s="6">
        <f>IF(AND($C448="Rushing", $H448&lt;=0), 0, IF(AND($C448="Passing", $G$3&lt;=0), 0,IF(AND($C448="Receiving",$I448&lt;=0), 0,SUMIFS(Table2[Stat],Table2[Week],Table1[[#This Row],[Week]],Table2[Athlete],Table1[[#This Row],[Pick]],Table2[Stat Category],"passing",Table2[Stat Type],"TD"))))</f>
        <v>0</v>
      </c>
      <c r="K448" s="6">
        <f>IF(AND($C448="Rushing", $H448&lt;=0), 0, IF(AND($C448="Passing", $G$3&lt;=0), 0,IF(AND($C448="Receiving",$I448&lt;=0),0,SUMIFS(Table2[Stat],Table2[Week],Table1[[#This Row],[Week]],Table2[Athlete],Table1[[#This Row],[Pick]],Table2[Stat Category],"rushing",Table2[Stat Type],"TD"))))</f>
        <v>0</v>
      </c>
      <c r="L448" s="6">
        <f>IF(AND($C448="Rushing", $H448&lt;=0), 0, IF(AND($C448="Passing", $G$3&lt;=0), 0,IF(AND($C448="Receiving",$I448&lt;=0),0,SUMIFS(Table2[Stat],Table2[Week],Table1[[#This Row],[Week]],Table2[Athlete],Table1[[#This Row],[Pick]],Table2[Stat Category],"receiving",Table2[Stat Type],"TD"))))</f>
        <v>0</v>
      </c>
      <c r="M4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8" s="61">
        <f>SUMIFS(Data!$J:$J,Data!$A:$A,Info!$B448,Data!$G:$G,Info!$C448,Data!$I:$I,Info!$D448,Data!$H:$H,"TOT")</f>
        <v>0</v>
      </c>
      <c r="O448" s="61">
        <f>IF(C448="Defensive",SUMIFS(Data!$J:$J,Data!$A:$A,Info!$B448,Data!$I:$I,Info!$D448,Data!$H:$H,"INT"),0)</f>
        <v>0</v>
      </c>
      <c r="P448" s="61">
        <f>IF(Table1[[#This Row],[Role]]="Defensive",SUMIFS(Data!$J:$J,Data!$A:$A,Info!$B448,Data!$I:$I,Info!$D448,Data!$H:$H,$P$1),0)</f>
        <v>0</v>
      </c>
      <c r="Q448" s="65" t="str">
        <f>IF(Table1[[#This Row],[Pick]]="","",IF(S448&gt;1,400,IF(G448="","",IF(C448="Passing",(400-Table1[[#This Row],[Passing Yards]]-(30*Table1[[#This Row],[Passing TDs]])-(50*SUM(Table1[[#This Row],[Rushing TDs]:[Other TD''s]]))),IF(C448="Rushing",2*(200-Table1[[#This Row],[Rushing Yards]]-(30*Table1[[#This Row],[Passing TDs]])-50*(Table1[[#This Row],[Rushing TDs]]+Table1[[#This Row],[Receiving TDs]]+Table1[[#This Row],[Other TD''s]])),IF(C448="Receiving",2*(200-Table1[[#This Row],[Receiving Yards]]-(30*Table1[[#This Row],[Passing TDs]])-50*(Table1[[#This Row],[Rushing TDs]]+Table1[[#This Row],[Receiving TDs]]+Table1[[#This Row],[Other TD''s]])),IF(C448="Defensive",(25*(16-Table1[[#This Row],[Tackles]]-(8*(Table1[[#This Row],[Other TD''s]]+Table1[[#This Row],[Interceptions]]+Table1[[#This Row],[Fumbles Recovered]])))))))))))</f>
        <v/>
      </c>
      <c r="R448" s="3" t="str">
        <f t="shared" si="14"/>
        <v/>
      </c>
      <c r="S448" s="4">
        <f t="shared" si="13"/>
        <v>1048507</v>
      </c>
      <c r="T4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9" spans="1:20" hidden="1" x14ac:dyDescent="0.25">
      <c r="A449" t="s">
        <v>62</v>
      </c>
      <c r="B449" s="28" t="s">
        <v>50</v>
      </c>
      <c r="C449" t="s">
        <v>17</v>
      </c>
      <c r="D449" t="str">
        <f>_xlfn.XLOOKUP(Table1[[#This Row],[Player]]&amp;Table1[[#This Row],[Week]]&amp;Table1[[#This Row],[Role]],'Google Form Transform'!$A:$A,'Google Form Transform'!E:E,"")</f>
        <v/>
      </c>
      <c r="E449" t="str">
        <f>_xlfn.XLOOKUP(Table1[[#This Row],[Player]]&amp;Table1[[#This Row],[Week]]&amp;Table1[[#This Row],[Role]],'Google Form Transform'!$A:$A,'Google Form Transform'!F:F,"")</f>
        <v/>
      </c>
      <c r="F449" t="str">
        <f>_xlfn.XLOOKUP(Table1[[#This Row],[Player]]&amp;Table1[[#This Row],[Week]]&amp;Table1[[#This Row],[Role]],'Google Form Transform'!$A:$A,'Google Form Transform'!G:G,"")</f>
        <v/>
      </c>
      <c r="G449" s="59">
        <f>SUMIFS(Table2[Stat],Table2[Stat Category],"passing",Table2[Stat Type],"YDS",Table2[Athlete],Table1[[#This Row],[Pick]],Table2[Week],Table1[[#This Row],[Week]])</f>
        <v>0</v>
      </c>
      <c r="H449" s="59">
        <f>SUMIFS(Table2[Stat],Table2[Stat Category],"rushing",Table2[Stat Type],"YDS",Table2[Athlete],Table1[[#This Row],[Pick]],Table2[Week],Table1[[#This Row],[Week]])</f>
        <v>0</v>
      </c>
      <c r="I449" s="59">
        <f>SUMIFS(Table2[Stat],Table2[Stat Category],"receiving",Table2[Stat Type],"YDS",Table2[Athlete],Table1[[#This Row],[Pick]],Table2[Week],Table1[[#This Row],[Week]])</f>
        <v>0</v>
      </c>
      <c r="J449" s="6">
        <f>IF(AND($C449="Rushing", $H449&lt;=0), 0, IF(AND($C449="Passing", $G$3&lt;=0), 0,IF(AND($C449="Receiving",$I449&lt;=0), 0,SUMIFS(Table2[Stat],Table2[Week],Table1[[#This Row],[Week]],Table2[Athlete],Table1[[#This Row],[Pick]],Table2[Stat Category],"passing",Table2[Stat Type],"TD"))))</f>
        <v>0</v>
      </c>
      <c r="K449" s="6">
        <f>IF(AND($C449="Rushing", $H449&lt;=0), 0, IF(AND($C449="Passing", $G$3&lt;=0), 0,IF(AND($C449="Receiving",$I449&lt;=0),0,SUMIFS(Table2[Stat],Table2[Week],Table1[[#This Row],[Week]],Table2[Athlete],Table1[[#This Row],[Pick]],Table2[Stat Category],"rushing",Table2[Stat Type],"TD"))))</f>
        <v>0</v>
      </c>
      <c r="L449" s="6">
        <f>IF(AND($C449="Rushing", $H449&lt;=0), 0, IF(AND($C449="Passing", $G$3&lt;=0), 0,IF(AND($C449="Receiving",$I449&lt;=0),0,SUMIFS(Table2[Stat],Table2[Week],Table1[[#This Row],[Week]],Table2[Athlete],Table1[[#This Row],[Pick]],Table2[Stat Category],"receiving",Table2[Stat Type],"TD"))))</f>
        <v>0</v>
      </c>
      <c r="M4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9" s="61">
        <f>SUMIFS(Data!$J:$J,Data!$A:$A,Info!$B449,Data!$G:$G,Info!$C449,Data!$I:$I,Info!$D449,Data!$H:$H,"TOT")</f>
        <v>0</v>
      </c>
      <c r="O449" s="61">
        <f>IF(C449="Defensive",SUMIFS(Data!$J:$J,Data!$A:$A,Info!$B449,Data!$I:$I,Info!$D449,Data!$H:$H,"INT"),0)</f>
        <v>0</v>
      </c>
      <c r="P449" s="61">
        <f>IF(Table1[[#This Row],[Role]]="Defensive",SUMIFS(Data!$J:$J,Data!$A:$A,Info!$B449,Data!$I:$I,Info!$D449,Data!$H:$H,$P$1),0)</f>
        <v>0</v>
      </c>
      <c r="Q449" s="65" t="str">
        <f>IF(Table1[[#This Row],[Pick]]="","",IF(S449&gt;1,400,IF(G449="","",IF(C449="Passing",(400-Table1[[#This Row],[Passing Yards]]-(30*Table1[[#This Row],[Passing TDs]])-(50*SUM(Table1[[#This Row],[Rushing TDs]:[Other TD''s]]))),IF(C449="Rushing",2*(200-Table1[[#This Row],[Rushing Yards]]-(30*Table1[[#This Row],[Passing TDs]])-50*(Table1[[#This Row],[Rushing TDs]]+Table1[[#This Row],[Receiving TDs]]+Table1[[#This Row],[Other TD''s]])),IF(C449="Receiving",2*(200-Table1[[#This Row],[Receiving Yards]]-(30*Table1[[#This Row],[Passing TDs]])-50*(Table1[[#This Row],[Rushing TDs]]+Table1[[#This Row],[Receiving TDs]]+Table1[[#This Row],[Other TD''s]])),IF(C449="Defensive",(25*(16-Table1[[#This Row],[Tackles]]-(8*(Table1[[#This Row],[Other TD''s]]+Table1[[#This Row],[Interceptions]]+Table1[[#This Row],[Fumbles Recovered]])))))))))))</f>
        <v/>
      </c>
      <c r="R449" s="3" t="str">
        <f t="shared" si="14"/>
        <v/>
      </c>
      <c r="S449" s="4">
        <f t="shared" si="13"/>
        <v>1048507</v>
      </c>
      <c r="T4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0" spans="1:20" hidden="1" x14ac:dyDescent="0.25">
      <c r="A450" t="s">
        <v>62</v>
      </c>
      <c r="B450" s="28" t="s">
        <v>50</v>
      </c>
      <c r="C450" t="s">
        <v>20</v>
      </c>
      <c r="D450" t="str">
        <f>_xlfn.XLOOKUP(Table1[[#This Row],[Player]]&amp;Table1[[#This Row],[Week]]&amp;Table1[[#This Row],[Role]],'Google Form Transform'!$A:$A,'Google Form Transform'!E:E,"")</f>
        <v/>
      </c>
      <c r="E450" t="str">
        <f>_xlfn.XLOOKUP(Table1[[#This Row],[Player]]&amp;Table1[[#This Row],[Week]]&amp;Table1[[#This Row],[Role]],'Google Form Transform'!$A:$A,'Google Form Transform'!F:F,"")</f>
        <v/>
      </c>
      <c r="F450" t="str">
        <f>_xlfn.XLOOKUP(Table1[[#This Row],[Player]]&amp;Table1[[#This Row],[Week]]&amp;Table1[[#This Row],[Role]],'Google Form Transform'!$A:$A,'Google Form Transform'!G:G,"")</f>
        <v/>
      </c>
      <c r="G450" s="59">
        <f>SUMIFS(Table2[Stat],Table2[Stat Category],"passing",Table2[Stat Type],"YDS",Table2[Athlete],Table1[[#This Row],[Pick]],Table2[Week],Table1[[#This Row],[Week]])</f>
        <v>0</v>
      </c>
      <c r="H450" s="59">
        <f>SUMIFS(Table2[Stat],Table2[Stat Category],"rushing",Table2[Stat Type],"YDS",Table2[Athlete],Table1[[#This Row],[Pick]],Table2[Week],Table1[[#This Row],[Week]])</f>
        <v>0</v>
      </c>
      <c r="I450" s="59">
        <f>SUMIFS(Table2[Stat],Table2[Stat Category],"receiving",Table2[Stat Type],"YDS",Table2[Athlete],Table1[[#This Row],[Pick]],Table2[Week],Table1[[#This Row],[Week]])</f>
        <v>0</v>
      </c>
      <c r="J450" s="6">
        <f>IF(AND($C450="Rushing", $H450&lt;=0), 0, IF(AND($C450="Passing", $G$3&lt;=0), 0,IF(AND($C450="Receiving",$I450&lt;=0), 0,SUMIFS(Table2[Stat],Table2[Week],Table1[[#This Row],[Week]],Table2[Athlete],Table1[[#This Row],[Pick]],Table2[Stat Category],"passing",Table2[Stat Type],"TD"))))</f>
        <v>0</v>
      </c>
      <c r="K450" s="6">
        <f>IF(AND($C450="Rushing", $H450&lt;=0), 0, IF(AND($C450="Passing", $G$3&lt;=0), 0,IF(AND($C450="Receiving",$I450&lt;=0),0,SUMIFS(Table2[Stat],Table2[Week],Table1[[#This Row],[Week]],Table2[Athlete],Table1[[#This Row],[Pick]],Table2[Stat Category],"rushing",Table2[Stat Type],"TD"))))</f>
        <v>0</v>
      </c>
      <c r="L450" s="6">
        <f>IF(AND($C450="Rushing", $H450&lt;=0), 0, IF(AND($C450="Passing", $G$3&lt;=0), 0,IF(AND($C450="Receiving",$I450&lt;=0),0,SUMIFS(Table2[Stat],Table2[Week],Table1[[#This Row],[Week]],Table2[Athlete],Table1[[#This Row],[Pick]],Table2[Stat Category],"receiving",Table2[Stat Type],"TD"))))</f>
        <v>0</v>
      </c>
      <c r="M4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0" s="61">
        <f>SUMIFS(Data!$J:$J,Data!$A:$A,Info!$B450,Data!$G:$G,Info!$C450,Data!$I:$I,Info!$D450,Data!$H:$H,"TOT")</f>
        <v>0</v>
      </c>
      <c r="O450" s="61">
        <f>IF(C450="Defensive",SUMIFS(Data!$J:$J,Data!$A:$A,Info!$B450,Data!$I:$I,Info!$D450,Data!$H:$H,"INT"),0)</f>
        <v>0</v>
      </c>
      <c r="P450" s="61">
        <f>IF(Table1[[#This Row],[Role]]="Defensive",SUMIFS(Data!$J:$J,Data!$A:$A,Info!$B450,Data!$I:$I,Info!$D450,Data!$H:$H,$P$1),0)</f>
        <v>0</v>
      </c>
      <c r="Q450" s="65" t="str">
        <f>IF(Table1[[#This Row],[Pick]]="","",IF(S450&gt;1,400,IF(G450="","",IF(C450="Passing",(400-Table1[[#This Row],[Passing Yards]]-(30*Table1[[#This Row],[Passing TDs]])-(50*SUM(Table1[[#This Row],[Rushing TDs]:[Other TD''s]]))),IF(C450="Rushing",2*(200-Table1[[#This Row],[Rushing Yards]]-(30*Table1[[#This Row],[Passing TDs]])-50*(Table1[[#This Row],[Rushing TDs]]+Table1[[#This Row],[Receiving TDs]]+Table1[[#This Row],[Other TD''s]])),IF(C450="Receiving",2*(200-Table1[[#This Row],[Receiving Yards]]-(30*Table1[[#This Row],[Passing TDs]])-50*(Table1[[#This Row],[Rushing TDs]]+Table1[[#This Row],[Receiving TDs]]+Table1[[#This Row],[Other TD''s]])),IF(C450="Defensive",(25*(16-Table1[[#This Row],[Tackles]]-(8*(Table1[[#This Row],[Other TD''s]]+Table1[[#This Row],[Interceptions]]+Table1[[#This Row],[Fumbles Recovered]])))))))))))</f>
        <v/>
      </c>
      <c r="R450" s="3" t="str">
        <f t="shared" si="14"/>
        <v/>
      </c>
      <c r="S450" s="4">
        <f t="shared" si="13"/>
        <v>1048507</v>
      </c>
      <c r="T4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1" spans="1:20" hidden="1" x14ac:dyDescent="0.25">
      <c r="A451" t="s">
        <v>59</v>
      </c>
      <c r="B451" s="28" t="s">
        <v>50</v>
      </c>
      <c r="C451" t="s">
        <v>16</v>
      </c>
      <c r="D451" t="str">
        <f>_xlfn.XLOOKUP(Table1[[#This Row],[Player]]&amp;Table1[[#This Row],[Week]]&amp;Table1[[#This Row],[Role]],'Google Form Transform'!$A:$A,'Google Form Transform'!E:E,"")</f>
        <v/>
      </c>
      <c r="E451" t="str">
        <f>_xlfn.XLOOKUP(Table1[[#This Row],[Player]]&amp;Table1[[#This Row],[Week]]&amp;Table1[[#This Row],[Role]],'Google Form Transform'!$A:$A,'Google Form Transform'!F:F,"")</f>
        <v/>
      </c>
      <c r="F451" t="str">
        <f>_xlfn.XLOOKUP(Table1[[#This Row],[Player]]&amp;Table1[[#This Row],[Week]]&amp;Table1[[#This Row],[Role]],'Google Form Transform'!$A:$A,'Google Form Transform'!G:G,"")</f>
        <v/>
      </c>
      <c r="G451" s="59">
        <f>SUMIFS(Table2[Stat],Table2[Stat Category],"passing",Table2[Stat Type],"YDS",Table2[Athlete],Table1[[#This Row],[Pick]],Table2[Week],Table1[[#This Row],[Week]])</f>
        <v>0</v>
      </c>
      <c r="H451" s="59">
        <f>SUMIFS(Table2[Stat],Table2[Stat Category],"rushing",Table2[Stat Type],"YDS",Table2[Athlete],Table1[[#This Row],[Pick]],Table2[Week],Table1[[#This Row],[Week]])</f>
        <v>0</v>
      </c>
      <c r="I451" s="59">
        <f>SUMIFS(Table2[Stat],Table2[Stat Category],"receiving",Table2[Stat Type],"YDS",Table2[Athlete],Table1[[#This Row],[Pick]],Table2[Week],Table1[[#This Row],[Week]])</f>
        <v>0</v>
      </c>
      <c r="J451" s="6">
        <f>IF(AND($C451="Rushing", $H451&lt;=0), 0, IF(AND($C451="Passing", $G$3&lt;=0), 0,IF(AND($C451="Receiving",$I451&lt;=0), 0,SUMIFS(Table2[Stat],Table2[Week],Table1[[#This Row],[Week]],Table2[Athlete],Table1[[#This Row],[Pick]],Table2[Stat Category],"passing",Table2[Stat Type],"TD"))))</f>
        <v>0</v>
      </c>
      <c r="K451" s="6">
        <f>IF(AND($C451="Rushing", $H451&lt;=0), 0, IF(AND($C451="Passing", $G$3&lt;=0), 0,IF(AND($C451="Receiving",$I451&lt;=0),0,SUMIFS(Table2[Stat],Table2[Week],Table1[[#This Row],[Week]],Table2[Athlete],Table1[[#This Row],[Pick]],Table2[Stat Category],"rushing",Table2[Stat Type],"TD"))))</f>
        <v>0</v>
      </c>
      <c r="L451" s="6">
        <f>IF(AND($C451="Rushing", $H451&lt;=0), 0, IF(AND($C451="Passing", $G$3&lt;=0), 0,IF(AND($C451="Receiving",$I451&lt;=0),0,SUMIFS(Table2[Stat],Table2[Week],Table1[[#This Row],[Week]],Table2[Athlete],Table1[[#This Row],[Pick]],Table2[Stat Category],"receiving",Table2[Stat Type],"TD"))))</f>
        <v>0</v>
      </c>
      <c r="M4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1" s="61">
        <f>SUMIFS(Data!$J:$J,Data!$A:$A,Info!$B451,Data!$G:$G,Info!$C451,Data!$I:$I,Info!$D451,Data!$H:$H,"TOT")</f>
        <v>0</v>
      </c>
      <c r="O451" s="61">
        <f>IF(C451="Defensive",SUMIFS(Data!$J:$J,Data!$A:$A,Info!$B451,Data!$I:$I,Info!$D451,Data!$H:$H,"INT"),0)</f>
        <v>0</v>
      </c>
      <c r="P451" s="61">
        <f>IF(Table1[[#This Row],[Role]]="Defensive",SUMIFS(Data!$J:$J,Data!$A:$A,Info!$B451,Data!$I:$I,Info!$D451,Data!$H:$H,$P$1),0)</f>
        <v>0</v>
      </c>
      <c r="Q451" s="65" t="str">
        <f>IF(Table1[[#This Row],[Pick]]="","",IF(S451&gt;1,400,IF(G451="","",IF(C451="Passing",(400-Table1[[#This Row],[Passing Yards]]-(30*Table1[[#This Row],[Passing TDs]])-(50*SUM(Table1[[#This Row],[Rushing TDs]:[Other TD''s]]))),IF(C451="Rushing",2*(200-Table1[[#This Row],[Rushing Yards]]-(30*Table1[[#This Row],[Passing TDs]])-50*(Table1[[#This Row],[Rushing TDs]]+Table1[[#This Row],[Receiving TDs]]+Table1[[#This Row],[Other TD''s]])),IF(C451="Receiving",2*(200-Table1[[#This Row],[Receiving Yards]]-(30*Table1[[#This Row],[Passing TDs]])-50*(Table1[[#This Row],[Rushing TDs]]+Table1[[#This Row],[Receiving TDs]]+Table1[[#This Row],[Other TD''s]])),IF(C451="Defensive",(25*(16-Table1[[#This Row],[Tackles]]-(8*(Table1[[#This Row],[Other TD''s]]+Table1[[#This Row],[Interceptions]]+Table1[[#This Row],[Fumbles Recovered]])))))))))))</f>
        <v/>
      </c>
      <c r="R451" s="3" t="str">
        <f t="shared" si="14"/>
        <v/>
      </c>
      <c r="S451" s="4">
        <f t="shared" ref="S451:S514" si="15">COUNTIF(R:R,R451)</f>
        <v>1048507</v>
      </c>
      <c r="T4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2" spans="1:20" hidden="1" x14ac:dyDescent="0.25">
      <c r="A452" t="s">
        <v>59</v>
      </c>
      <c r="B452" s="28" t="s">
        <v>50</v>
      </c>
      <c r="C452" t="s">
        <v>6</v>
      </c>
      <c r="D452" t="str">
        <f>_xlfn.XLOOKUP(Table1[[#This Row],[Player]]&amp;Table1[[#This Row],[Week]]&amp;Table1[[#This Row],[Role]],'Google Form Transform'!$A:$A,'Google Form Transform'!E:E,"")</f>
        <v/>
      </c>
      <c r="E452" t="str">
        <f>_xlfn.XLOOKUP(Table1[[#This Row],[Player]]&amp;Table1[[#This Row],[Week]]&amp;Table1[[#This Row],[Role]],'Google Form Transform'!$A:$A,'Google Form Transform'!F:F,"")</f>
        <v/>
      </c>
      <c r="F452" t="str">
        <f>_xlfn.XLOOKUP(Table1[[#This Row],[Player]]&amp;Table1[[#This Row],[Week]]&amp;Table1[[#This Row],[Role]],'Google Form Transform'!$A:$A,'Google Form Transform'!G:G,"")</f>
        <v/>
      </c>
      <c r="G452" s="59">
        <f>SUMIFS(Table2[Stat],Table2[Stat Category],"passing",Table2[Stat Type],"YDS",Table2[Athlete],Table1[[#This Row],[Pick]],Table2[Week],Table1[[#This Row],[Week]])</f>
        <v>0</v>
      </c>
      <c r="H452" s="59">
        <f>SUMIFS(Table2[Stat],Table2[Stat Category],"rushing",Table2[Stat Type],"YDS",Table2[Athlete],Table1[[#This Row],[Pick]],Table2[Week],Table1[[#This Row],[Week]])</f>
        <v>0</v>
      </c>
      <c r="I452" s="59">
        <f>SUMIFS(Table2[Stat],Table2[Stat Category],"receiving",Table2[Stat Type],"YDS",Table2[Athlete],Table1[[#This Row],[Pick]],Table2[Week],Table1[[#This Row],[Week]])</f>
        <v>0</v>
      </c>
      <c r="J452" s="6">
        <f>IF(AND($C452="Rushing", $H452&lt;=0), 0, IF(AND($C452="Passing", $G$3&lt;=0), 0,IF(AND($C452="Receiving",$I452&lt;=0), 0,SUMIFS(Table2[Stat],Table2[Week],Table1[[#This Row],[Week]],Table2[Athlete],Table1[[#This Row],[Pick]],Table2[Stat Category],"passing",Table2[Stat Type],"TD"))))</f>
        <v>0</v>
      </c>
      <c r="K452" s="6">
        <f>IF(AND($C452="Rushing", $H452&lt;=0), 0, IF(AND($C452="Passing", $G$3&lt;=0), 0,IF(AND($C452="Receiving",$I452&lt;=0),0,SUMIFS(Table2[Stat],Table2[Week],Table1[[#This Row],[Week]],Table2[Athlete],Table1[[#This Row],[Pick]],Table2[Stat Category],"rushing",Table2[Stat Type],"TD"))))</f>
        <v>0</v>
      </c>
      <c r="L452" s="6">
        <f>IF(AND($C452="Rushing", $H452&lt;=0), 0, IF(AND($C452="Passing", $G$3&lt;=0), 0,IF(AND($C452="Receiving",$I452&lt;=0),0,SUMIFS(Table2[Stat],Table2[Week],Table1[[#This Row],[Week]],Table2[Athlete],Table1[[#This Row],[Pick]],Table2[Stat Category],"receiving",Table2[Stat Type],"TD"))))</f>
        <v>0</v>
      </c>
      <c r="M4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2" s="61">
        <f>SUMIFS(Data!$J:$J,Data!$A:$A,Info!$B452,Data!$G:$G,Info!$C452,Data!$I:$I,Info!$D452,Data!$H:$H,"TOT")</f>
        <v>0</v>
      </c>
      <c r="O452" s="61">
        <f>IF(C452="Defensive",SUMIFS(Data!$J:$J,Data!$A:$A,Info!$B452,Data!$I:$I,Info!$D452,Data!$H:$H,"INT"),0)</f>
        <v>0</v>
      </c>
      <c r="P452" s="61">
        <f>IF(Table1[[#This Row],[Role]]="Defensive",SUMIFS(Data!$J:$J,Data!$A:$A,Info!$B452,Data!$I:$I,Info!$D452,Data!$H:$H,$P$1),0)</f>
        <v>0</v>
      </c>
      <c r="Q452" s="65" t="str">
        <f>IF(Table1[[#This Row],[Pick]]="","",IF(S452&gt;1,400,IF(G452="","",IF(C452="Passing",(400-Table1[[#This Row],[Passing Yards]]-(30*Table1[[#This Row],[Passing TDs]])-(50*SUM(Table1[[#This Row],[Rushing TDs]:[Other TD''s]]))),IF(C452="Rushing",2*(200-Table1[[#This Row],[Rushing Yards]]-(30*Table1[[#This Row],[Passing TDs]])-50*(Table1[[#This Row],[Rushing TDs]]+Table1[[#This Row],[Receiving TDs]]+Table1[[#This Row],[Other TD''s]])),IF(C452="Receiving",2*(200-Table1[[#This Row],[Receiving Yards]]-(30*Table1[[#This Row],[Passing TDs]])-50*(Table1[[#This Row],[Rushing TDs]]+Table1[[#This Row],[Receiving TDs]]+Table1[[#This Row],[Other TD''s]])),IF(C452="Defensive",(25*(16-Table1[[#This Row],[Tackles]]-(8*(Table1[[#This Row],[Other TD''s]]+Table1[[#This Row],[Interceptions]]+Table1[[#This Row],[Fumbles Recovered]])))))))))))</f>
        <v/>
      </c>
      <c r="R452" s="3" t="str">
        <f t="shared" ref="R452:R515" si="16">IF(D452="","",A452&amp;C452&amp;D452)</f>
        <v/>
      </c>
      <c r="S452" s="4">
        <f t="shared" si="15"/>
        <v>1048507</v>
      </c>
      <c r="T4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3" spans="1:20" hidden="1" x14ac:dyDescent="0.25">
      <c r="A453" t="s">
        <v>59</v>
      </c>
      <c r="B453" s="28" t="s">
        <v>50</v>
      </c>
      <c r="C453" t="s">
        <v>17</v>
      </c>
      <c r="D453" t="str">
        <f>_xlfn.XLOOKUP(Table1[[#This Row],[Player]]&amp;Table1[[#This Row],[Week]]&amp;Table1[[#This Row],[Role]],'Google Form Transform'!$A:$A,'Google Form Transform'!E:E,"")</f>
        <v/>
      </c>
      <c r="E453" t="str">
        <f>_xlfn.XLOOKUP(Table1[[#This Row],[Player]]&amp;Table1[[#This Row],[Week]]&amp;Table1[[#This Row],[Role]],'Google Form Transform'!$A:$A,'Google Form Transform'!F:F,"")</f>
        <v/>
      </c>
      <c r="F453" t="str">
        <f>_xlfn.XLOOKUP(Table1[[#This Row],[Player]]&amp;Table1[[#This Row],[Week]]&amp;Table1[[#This Row],[Role]],'Google Form Transform'!$A:$A,'Google Form Transform'!G:G,"")</f>
        <v/>
      </c>
      <c r="G453" s="59">
        <f>SUMIFS(Table2[Stat],Table2[Stat Category],"passing",Table2[Stat Type],"YDS",Table2[Athlete],Table1[[#This Row],[Pick]],Table2[Week],Table1[[#This Row],[Week]])</f>
        <v>0</v>
      </c>
      <c r="H453" s="59">
        <f>SUMIFS(Table2[Stat],Table2[Stat Category],"rushing",Table2[Stat Type],"YDS",Table2[Athlete],Table1[[#This Row],[Pick]],Table2[Week],Table1[[#This Row],[Week]])</f>
        <v>0</v>
      </c>
      <c r="I453" s="59">
        <f>SUMIFS(Table2[Stat],Table2[Stat Category],"receiving",Table2[Stat Type],"YDS",Table2[Athlete],Table1[[#This Row],[Pick]],Table2[Week],Table1[[#This Row],[Week]])</f>
        <v>0</v>
      </c>
      <c r="J453" s="6">
        <f>IF(AND($C453="Rushing", $H453&lt;=0), 0, IF(AND($C453="Passing", $G$3&lt;=0), 0,IF(AND($C453="Receiving",$I453&lt;=0), 0,SUMIFS(Table2[Stat],Table2[Week],Table1[[#This Row],[Week]],Table2[Athlete],Table1[[#This Row],[Pick]],Table2[Stat Category],"passing",Table2[Stat Type],"TD"))))</f>
        <v>0</v>
      </c>
      <c r="K453" s="6">
        <f>IF(AND($C453="Rushing", $H453&lt;=0), 0, IF(AND($C453="Passing", $G$3&lt;=0), 0,IF(AND($C453="Receiving",$I453&lt;=0),0,SUMIFS(Table2[Stat],Table2[Week],Table1[[#This Row],[Week]],Table2[Athlete],Table1[[#This Row],[Pick]],Table2[Stat Category],"rushing",Table2[Stat Type],"TD"))))</f>
        <v>0</v>
      </c>
      <c r="L453" s="6">
        <f>IF(AND($C453="Rushing", $H453&lt;=0), 0, IF(AND($C453="Passing", $G$3&lt;=0), 0,IF(AND($C453="Receiving",$I453&lt;=0),0,SUMIFS(Table2[Stat],Table2[Week],Table1[[#This Row],[Week]],Table2[Athlete],Table1[[#This Row],[Pick]],Table2[Stat Category],"receiving",Table2[Stat Type],"TD"))))</f>
        <v>0</v>
      </c>
      <c r="M4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3" s="61">
        <f>SUMIFS(Data!$J:$J,Data!$A:$A,Info!$B453,Data!$G:$G,Info!$C453,Data!$I:$I,Info!$D453,Data!$H:$H,"TOT")</f>
        <v>0</v>
      </c>
      <c r="O453" s="61">
        <f>IF(C453="Defensive",SUMIFS(Data!$J:$J,Data!$A:$A,Info!$B453,Data!$I:$I,Info!$D453,Data!$H:$H,"INT"),0)</f>
        <v>0</v>
      </c>
      <c r="P453" s="61">
        <f>IF(Table1[[#This Row],[Role]]="Defensive",SUMIFS(Data!$J:$J,Data!$A:$A,Info!$B453,Data!$I:$I,Info!$D453,Data!$H:$H,$P$1),0)</f>
        <v>0</v>
      </c>
      <c r="Q453" s="65" t="str">
        <f>IF(Table1[[#This Row],[Pick]]="","",IF(S453&gt;1,400,IF(G453="","",IF(C453="Passing",(400-Table1[[#This Row],[Passing Yards]]-(30*Table1[[#This Row],[Passing TDs]])-(50*SUM(Table1[[#This Row],[Rushing TDs]:[Other TD''s]]))),IF(C453="Rushing",2*(200-Table1[[#This Row],[Rushing Yards]]-(30*Table1[[#This Row],[Passing TDs]])-50*(Table1[[#This Row],[Rushing TDs]]+Table1[[#This Row],[Receiving TDs]]+Table1[[#This Row],[Other TD''s]])),IF(C453="Receiving",2*(200-Table1[[#This Row],[Receiving Yards]]-(30*Table1[[#This Row],[Passing TDs]])-50*(Table1[[#This Row],[Rushing TDs]]+Table1[[#This Row],[Receiving TDs]]+Table1[[#This Row],[Other TD''s]])),IF(C453="Defensive",(25*(16-Table1[[#This Row],[Tackles]]-(8*(Table1[[#This Row],[Other TD''s]]+Table1[[#This Row],[Interceptions]]+Table1[[#This Row],[Fumbles Recovered]])))))))))))</f>
        <v/>
      </c>
      <c r="R453" s="3" t="str">
        <f t="shared" si="16"/>
        <v/>
      </c>
      <c r="S453" s="4">
        <f t="shared" si="15"/>
        <v>1048507</v>
      </c>
      <c r="T4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4" spans="1:20" hidden="1" x14ac:dyDescent="0.25">
      <c r="A454" t="s">
        <v>59</v>
      </c>
      <c r="B454" s="28" t="s">
        <v>50</v>
      </c>
      <c r="C454" t="s">
        <v>20</v>
      </c>
      <c r="D454" t="str">
        <f>_xlfn.XLOOKUP(Table1[[#This Row],[Player]]&amp;Table1[[#This Row],[Week]]&amp;Table1[[#This Row],[Role]],'Google Form Transform'!$A:$A,'Google Form Transform'!E:E,"")</f>
        <v/>
      </c>
      <c r="E454" t="str">
        <f>_xlfn.XLOOKUP(Table1[[#This Row],[Player]]&amp;Table1[[#This Row],[Week]]&amp;Table1[[#This Row],[Role]],'Google Form Transform'!$A:$A,'Google Form Transform'!F:F,"")</f>
        <v/>
      </c>
      <c r="F454" t="str">
        <f>_xlfn.XLOOKUP(Table1[[#This Row],[Player]]&amp;Table1[[#This Row],[Week]]&amp;Table1[[#This Row],[Role]],'Google Form Transform'!$A:$A,'Google Form Transform'!G:G,"")</f>
        <v/>
      </c>
      <c r="G454" s="59">
        <f>SUMIFS(Table2[Stat],Table2[Stat Category],"passing",Table2[Stat Type],"YDS",Table2[Athlete],Table1[[#This Row],[Pick]],Table2[Week],Table1[[#This Row],[Week]])</f>
        <v>0</v>
      </c>
      <c r="H454" s="59">
        <f>SUMIFS(Table2[Stat],Table2[Stat Category],"rushing",Table2[Stat Type],"YDS",Table2[Athlete],Table1[[#This Row],[Pick]],Table2[Week],Table1[[#This Row],[Week]])</f>
        <v>0</v>
      </c>
      <c r="I454" s="59">
        <f>SUMIFS(Table2[Stat],Table2[Stat Category],"receiving",Table2[Stat Type],"YDS",Table2[Athlete],Table1[[#This Row],[Pick]],Table2[Week],Table1[[#This Row],[Week]])</f>
        <v>0</v>
      </c>
      <c r="J454" s="6">
        <f>IF(AND($C454="Rushing", $H454&lt;=0), 0, IF(AND($C454="Passing", $G$3&lt;=0), 0,IF(AND($C454="Receiving",$I454&lt;=0), 0,SUMIFS(Table2[Stat],Table2[Week],Table1[[#This Row],[Week]],Table2[Athlete],Table1[[#This Row],[Pick]],Table2[Stat Category],"passing",Table2[Stat Type],"TD"))))</f>
        <v>0</v>
      </c>
      <c r="K454" s="6">
        <f>IF(AND($C454="Rushing", $H454&lt;=0), 0, IF(AND($C454="Passing", $G$3&lt;=0), 0,IF(AND($C454="Receiving",$I454&lt;=0),0,SUMIFS(Table2[Stat],Table2[Week],Table1[[#This Row],[Week]],Table2[Athlete],Table1[[#This Row],[Pick]],Table2[Stat Category],"rushing",Table2[Stat Type],"TD"))))</f>
        <v>0</v>
      </c>
      <c r="L454" s="6">
        <f>IF(AND($C454="Rushing", $H454&lt;=0), 0, IF(AND($C454="Passing", $G$3&lt;=0), 0,IF(AND($C454="Receiving",$I454&lt;=0),0,SUMIFS(Table2[Stat],Table2[Week],Table1[[#This Row],[Week]],Table2[Athlete],Table1[[#This Row],[Pick]],Table2[Stat Category],"receiving",Table2[Stat Type],"TD"))))</f>
        <v>0</v>
      </c>
      <c r="M4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4" s="61">
        <f>SUMIFS(Data!$J:$J,Data!$A:$A,Info!$B454,Data!$G:$G,Info!$C454,Data!$I:$I,Info!$D454,Data!$H:$H,"TOT")</f>
        <v>0</v>
      </c>
      <c r="O454" s="61">
        <f>IF(C454="Defensive",SUMIFS(Data!$J:$J,Data!$A:$A,Info!$B454,Data!$I:$I,Info!$D454,Data!$H:$H,"INT"),0)</f>
        <v>0</v>
      </c>
      <c r="P454" s="61">
        <f>IF(Table1[[#This Row],[Role]]="Defensive",SUMIFS(Data!$J:$J,Data!$A:$A,Info!$B454,Data!$I:$I,Info!$D454,Data!$H:$H,$P$1),0)</f>
        <v>0</v>
      </c>
      <c r="Q454" s="65" t="str">
        <f>IF(Table1[[#This Row],[Pick]]="","",IF(S454&gt;1,400,IF(G454="","",IF(C454="Passing",(400-Table1[[#This Row],[Passing Yards]]-(30*Table1[[#This Row],[Passing TDs]])-(50*SUM(Table1[[#This Row],[Rushing TDs]:[Other TD''s]]))),IF(C454="Rushing",2*(200-Table1[[#This Row],[Rushing Yards]]-(30*Table1[[#This Row],[Passing TDs]])-50*(Table1[[#This Row],[Rushing TDs]]+Table1[[#This Row],[Receiving TDs]]+Table1[[#This Row],[Other TD''s]])),IF(C454="Receiving",2*(200-Table1[[#This Row],[Receiving Yards]]-(30*Table1[[#This Row],[Passing TDs]])-50*(Table1[[#This Row],[Rushing TDs]]+Table1[[#This Row],[Receiving TDs]]+Table1[[#This Row],[Other TD''s]])),IF(C454="Defensive",(25*(16-Table1[[#This Row],[Tackles]]-(8*(Table1[[#This Row],[Other TD''s]]+Table1[[#This Row],[Interceptions]]+Table1[[#This Row],[Fumbles Recovered]])))))))))))</f>
        <v/>
      </c>
      <c r="R454" s="3" t="str">
        <f t="shared" si="16"/>
        <v/>
      </c>
      <c r="S454" s="4">
        <f t="shared" si="15"/>
        <v>1048507</v>
      </c>
      <c r="T4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5" spans="1:20" hidden="1" x14ac:dyDescent="0.25">
      <c r="A455" t="s">
        <v>68</v>
      </c>
      <c r="B455" s="28" t="s">
        <v>50</v>
      </c>
      <c r="C455" t="s">
        <v>16</v>
      </c>
      <c r="D455" t="str">
        <f>_xlfn.XLOOKUP(Table1[[#This Row],[Player]]&amp;Table1[[#This Row],[Week]]&amp;Table1[[#This Row],[Role]],'Google Form Transform'!$A:$A,'Google Form Transform'!E:E,"")</f>
        <v/>
      </c>
      <c r="E455" t="str">
        <f>_xlfn.XLOOKUP(Table1[[#This Row],[Player]]&amp;Table1[[#This Row],[Week]]&amp;Table1[[#This Row],[Role]],'Google Form Transform'!$A:$A,'Google Form Transform'!F:F,"")</f>
        <v/>
      </c>
      <c r="F455" t="str">
        <f>_xlfn.XLOOKUP(Table1[[#This Row],[Player]]&amp;Table1[[#This Row],[Week]]&amp;Table1[[#This Row],[Role]],'Google Form Transform'!$A:$A,'Google Form Transform'!G:G,"")</f>
        <v/>
      </c>
      <c r="G455" s="59">
        <f>SUMIFS(Table2[Stat],Table2[Stat Category],"passing",Table2[Stat Type],"YDS",Table2[Athlete],Table1[[#This Row],[Pick]],Table2[Week],Table1[[#This Row],[Week]])</f>
        <v>0</v>
      </c>
      <c r="H455" s="59">
        <f>SUMIFS(Table2[Stat],Table2[Stat Category],"rushing",Table2[Stat Type],"YDS",Table2[Athlete],Table1[[#This Row],[Pick]],Table2[Week],Table1[[#This Row],[Week]])</f>
        <v>0</v>
      </c>
      <c r="I455" s="59">
        <f>SUMIFS(Table2[Stat],Table2[Stat Category],"receiving",Table2[Stat Type],"YDS",Table2[Athlete],Table1[[#This Row],[Pick]],Table2[Week],Table1[[#This Row],[Week]])</f>
        <v>0</v>
      </c>
      <c r="J455" s="6">
        <f>IF(AND($C455="Rushing", $H455&lt;=0), 0, IF(AND($C455="Passing", $G$3&lt;=0), 0,IF(AND($C455="Receiving",$I455&lt;=0), 0,SUMIFS(Table2[Stat],Table2[Week],Table1[[#This Row],[Week]],Table2[Athlete],Table1[[#This Row],[Pick]],Table2[Stat Category],"passing",Table2[Stat Type],"TD"))))</f>
        <v>0</v>
      </c>
      <c r="K455" s="6">
        <f>IF(AND($C455="Rushing", $H455&lt;=0), 0, IF(AND($C455="Passing", $G$3&lt;=0), 0,IF(AND($C455="Receiving",$I455&lt;=0),0,SUMIFS(Table2[Stat],Table2[Week],Table1[[#This Row],[Week]],Table2[Athlete],Table1[[#This Row],[Pick]],Table2[Stat Category],"rushing",Table2[Stat Type],"TD"))))</f>
        <v>0</v>
      </c>
      <c r="L455" s="6">
        <f>IF(AND($C455="Rushing", $H455&lt;=0), 0, IF(AND($C455="Passing", $G$3&lt;=0), 0,IF(AND($C455="Receiving",$I455&lt;=0),0,SUMIFS(Table2[Stat],Table2[Week],Table1[[#This Row],[Week]],Table2[Athlete],Table1[[#This Row],[Pick]],Table2[Stat Category],"receiving",Table2[Stat Type],"TD"))))</f>
        <v>0</v>
      </c>
      <c r="M4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5" s="61">
        <f>SUMIFS(Data!$J:$J,Data!$A:$A,Info!$B455,Data!$G:$G,Info!$C455,Data!$I:$I,Info!$D455,Data!$H:$H,"TOT")</f>
        <v>0</v>
      </c>
      <c r="O455" s="61">
        <f>IF(C455="Defensive",SUMIFS(Data!$J:$J,Data!$A:$A,Info!$B455,Data!$I:$I,Info!$D455,Data!$H:$H,"INT"),0)</f>
        <v>0</v>
      </c>
      <c r="P455" s="61">
        <f>IF(Table1[[#This Row],[Role]]="Defensive",SUMIFS(Data!$J:$J,Data!$A:$A,Info!$B455,Data!$I:$I,Info!$D455,Data!$H:$H,$P$1),0)</f>
        <v>0</v>
      </c>
      <c r="Q455" s="65" t="str">
        <f>IF(Table1[[#This Row],[Pick]]="","",IF(S455&gt;1,400,IF(G455="","",IF(C455="Passing",(400-Table1[[#This Row],[Passing Yards]]-(30*Table1[[#This Row],[Passing TDs]])-(50*SUM(Table1[[#This Row],[Rushing TDs]:[Other TD''s]]))),IF(C455="Rushing",2*(200-Table1[[#This Row],[Rushing Yards]]-(30*Table1[[#This Row],[Passing TDs]])-50*(Table1[[#This Row],[Rushing TDs]]+Table1[[#This Row],[Receiving TDs]]+Table1[[#This Row],[Other TD''s]])),IF(C455="Receiving",2*(200-Table1[[#This Row],[Receiving Yards]]-(30*Table1[[#This Row],[Passing TDs]])-50*(Table1[[#This Row],[Rushing TDs]]+Table1[[#This Row],[Receiving TDs]]+Table1[[#This Row],[Other TD''s]])),IF(C455="Defensive",(25*(16-Table1[[#This Row],[Tackles]]-(8*(Table1[[#This Row],[Other TD''s]]+Table1[[#This Row],[Interceptions]]+Table1[[#This Row],[Fumbles Recovered]])))))))))))</f>
        <v/>
      </c>
      <c r="R455" s="3" t="str">
        <f t="shared" si="16"/>
        <v/>
      </c>
      <c r="S455" s="4">
        <f t="shared" si="15"/>
        <v>1048507</v>
      </c>
      <c r="T4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6" spans="1:20" hidden="1" x14ac:dyDescent="0.25">
      <c r="A456" t="s">
        <v>68</v>
      </c>
      <c r="B456" s="28" t="s">
        <v>50</v>
      </c>
      <c r="C456" t="s">
        <v>6</v>
      </c>
      <c r="D456" t="str">
        <f>_xlfn.XLOOKUP(Table1[[#This Row],[Player]]&amp;Table1[[#This Row],[Week]]&amp;Table1[[#This Row],[Role]],'Google Form Transform'!$A:$A,'Google Form Transform'!E:E,"")</f>
        <v/>
      </c>
      <c r="E456" t="str">
        <f>_xlfn.XLOOKUP(Table1[[#This Row],[Player]]&amp;Table1[[#This Row],[Week]]&amp;Table1[[#This Row],[Role]],'Google Form Transform'!$A:$A,'Google Form Transform'!F:F,"")</f>
        <v/>
      </c>
      <c r="F456" t="str">
        <f>_xlfn.XLOOKUP(Table1[[#This Row],[Player]]&amp;Table1[[#This Row],[Week]]&amp;Table1[[#This Row],[Role]],'Google Form Transform'!$A:$A,'Google Form Transform'!G:G,"")</f>
        <v/>
      </c>
      <c r="G456" s="59">
        <f>SUMIFS(Table2[Stat],Table2[Stat Category],"passing",Table2[Stat Type],"YDS",Table2[Athlete],Table1[[#This Row],[Pick]],Table2[Week],Table1[[#This Row],[Week]])</f>
        <v>0</v>
      </c>
      <c r="H456" s="59">
        <f>SUMIFS(Table2[Stat],Table2[Stat Category],"rushing",Table2[Stat Type],"YDS",Table2[Athlete],Table1[[#This Row],[Pick]],Table2[Week],Table1[[#This Row],[Week]])</f>
        <v>0</v>
      </c>
      <c r="I456" s="59">
        <f>SUMIFS(Table2[Stat],Table2[Stat Category],"receiving",Table2[Stat Type],"YDS",Table2[Athlete],Table1[[#This Row],[Pick]],Table2[Week],Table1[[#This Row],[Week]])</f>
        <v>0</v>
      </c>
      <c r="J456" s="6">
        <f>IF(AND($C456="Rushing", $H456&lt;=0), 0, IF(AND($C456="Passing", $G$3&lt;=0), 0,IF(AND($C456="Receiving",$I456&lt;=0), 0,SUMIFS(Table2[Stat],Table2[Week],Table1[[#This Row],[Week]],Table2[Athlete],Table1[[#This Row],[Pick]],Table2[Stat Category],"passing",Table2[Stat Type],"TD"))))</f>
        <v>0</v>
      </c>
      <c r="K456" s="6">
        <f>IF(AND($C456="Rushing", $H456&lt;=0), 0, IF(AND($C456="Passing", $G$3&lt;=0), 0,IF(AND($C456="Receiving",$I456&lt;=0),0,SUMIFS(Table2[Stat],Table2[Week],Table1[[#This Row],[Week]],Table2[Athlete],Table1[[#This Row],[Pick]],Table2[Stat Category],"rushing",Table2[Stat Type],"TD"))))</f>
        <v>0</v>
      </c>
      <c r="L456" s="6">
        <f>IF(AND($C456="Rushing", $H456&lt;=0), 0, IF(AND($C456="Passing", $G$3&lt;=0), 0,IF(AND($C456="Receiving",$I456&lt;=0),0,SUMIFS(Table2[Stat],Table2[Week],Table1[[#This Row],[Week]],Table2[Athlete],Table1[[#This Row],[Pick]],Table2[Stat Category],"receiving",Table2[Stat Type],"TD"))))</f>
        <v>0</v>
      </c>
      <c r="M4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6" s="61">
        <f>SUMIFS(Data!$J:$J,Data!$A:$A,Info!$B456,Data!$G:$G,Info!$C456,Data!$I:$I,Info!$D456,Data!$H:$H,"TOT")</f>
        <v>0</v>
      </c>
      <c r="O456" s="61">
        <f>IF(C456="Defensive",SUMIFS(Data!$J:$J,Data!$A:$A,Info!$B456,Data!$I:$I,Info!$D456,Data!$H:$H,"INT"),0)</f>
        <v>0</v>
      </c>
      <c r="P456" s="61">
        <f>IF(Table1[[#This Row],[Role]]="Defensive",SUMIFS(Data!$J:$J,Data!$A:$A,Info!$B456,Data!$I:$I,Info!$D456,Data!$H:$H,$P$1),0)</f>
        <v>0</v>
      </c>
      <c r="Q456" s="65" t="str">
        <f>IF(Table1[[#This Row],[Pick]]="","",IF(S456&gt;1,400,IF(G456="","",IF(C456="Passing",(400-Table1[[#This Row],[Passing Yards]]-(30*Table1[[#This Row],[Passing TDs]])-(50*SUM(Table1[[#This Row],[Rushing TDs]:[Other TD''s]]))),IF(C456="Rushing",2*(200-Table1[[#This Row],[Rushing Yards]]-(30*Table1[[#This Row],[Passing TDs]])-50*(Table1[[#This Row],[Rushing TDs]]+Table1[[#This Row],[Receiving TDs]]+Table1[[#This Row],[Other TD''s]])),IF(C456="Receiving",2*(200-Table1[[#This Row],[Receiving Yards]]-(30*Table1[[#This Row],[Passing TDs]])-50*(Table1[[#This Row],[Rushing TDs]]+Table1[[#This Row],[Receiving TDs]]+Table1[[#This Row],[Other TD''s]])),IF(C456="Defensive",(25*(16-Table1[[#This Row],[Tackles]]-(8*(Table1[[#This Row],[Other TD''s]]+Table1[[#This Row],[Interceptions]]+Table1[[#This Row],[Fumbles Recovered]])))))))))))</f>
        <v/>
      </c>
      <c r="R456" s="3" t="str">
        <f t="shared" si="16"/>
        <v/>
      </c>
      <c r="S456" s="4">
        <f t="shared" si="15"/>
        <v>1048507</v>
      </c>
      <c r="T4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7" spans="1:20" hidden="1" x14ac:dyDescent="0.25">
      <c r="A457" t="s">
        <v>68</v>
      </c>
      <c r="B457" s="28" t="s">
        <v>50</v>
      </c>
      <c r="C457" t="s">
        <v>17</v>
      </c>
      <c r="D457" t="str">
        <f>_xlfn.XLOOKUP(Table1[[#This Row],[Player]]&amp;Table1[[#This Row],[Week]]&amp;Table1[[#This Row],[Role]],'Google Form Transform'!$A:$A,'Google Form Transform'!E:E,"")</f>
        <v/>
      </c>
      <c r="E457" t="str">
        <f>_xlfn.XLOOKUP(Table1[[#This Row],[Player]]&amp;Table1[[#This Row],[Week]]&amp;Table1[[#This Row],[Role]],'Google Form Transform'!$A:$A,'Google Form Transform'!F:F,"")</f>
        <v/>
      </c>
      <c r="F457" t="str">
        <f>_xlfn.XLOOKUP(Table1[[#This Row],[Player]]&amp;Table1[[#This Row],[Week]]&amp;Table1[[#This Row],[Role]],'Google Form Transform'!$A:$A,'Google Form Transform'!G:G,"")</f>
        <v/>
      </c>
      <c r="G457" s="59">
        <f>SUMIFS(Table2[Stat],Table2[Stat Category],"passing",Table2[Stat Type],"YDS",Table2[Athlete],Table1[[#This Row],[Pick]],Table2[Week],Table1[[#This Row],[Week]])</f>
        <v>0</v>
      </c>
      <c r="H457" s="59">
        <f>SUMIFS(Table2[Stat],Table2[Stat Category],"rushing",Table2[Stat Type],"YDS",Table2[Athlete],Table1[[#This Row],[Pick]],Table2[Week],Table1[[#This Row],[Week]])</f>
        <v>0</v>
      </c>
      <c r="I457" s="59">
        <f>SUMIFS(Table2[Stat],Table2[Stat Category],"receiving",Table2[Stat Type],"YDS",Table2[Athlete],Table1[[#This Row],[Pick]],Table2[Week],Table1[[#This Row],[Week]])</f>
        <v>0</v>
      </c>
      <c r="J457" s="6">
        <f>IF(AND($C457="Rushing", $H457&lt;=0), 0, IF(AND($C457="Passing", $G$3&lt;=0), 0,IF(AND($C457="Receiving",$I457&lt;=0), 0,SUMIFS(Table2[Stat],Table2[Week],Table1[[#This Row],[Week]],Table2[Athlete],Table1[[#This Row],[Pick]],Table2[Stat Category],"passing",Table2[Stat Type],"TD"))))</f>
        <v>0</v>
      </c>
      <c r="K457" s="6">
        <f>IF(AND($C457="Rushing", $H457&lt;=0), 0, IF(AND($C457="Passing", $G$3&lt;=0), 0,IF(AND($C457="Receiving",$I457&lt;=0),0,SUMIFS(Table2[Stat],Table2[Week],Table1[[#This Row],[Week]],Table2[Athlete],Table1[[#This Row],[Pick]],Table2[Stat Category],"rushing",Table2[Stat Type],"TD"))))</f>
        <v>0</v>
      </c>
      <c r="L457" s="6">
        <f>IF(AND($C457="Rushing", $H457&lt;=0), 0, IF(AND($C457="Passing", $G$3&lt;=0), 0,IF(AND($C457="Receiving",$I457&lt;=0),0,SUMIFS(Table2[Stat],Table2[Week],Table1[[#This Row],[Week]],Table2[Athlete],Table1[[#This Row],[Pick]],Table2[Stat Category],"receiving",Table2[Stat Type],"TD"))))</f>
        <v>0</v>
      </c>
      <c r="M4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7" s="61">
        <f>SUMIFS(Data!$J:$J,Data!$A:$A,Info!$B457,Data!$G:$G,Info!$C457,Data!$I:$I,Info!$D457,Data!$H:$H,"TOT")</f>
        <v>0</v>
      </c>
      <c r="O457" s="61">
        <f>IF(C457="Defensive",SUMIFS(Data!$J:$J,Data!$A:$A,Info!$B457,Data!$I:$I,Info!$D457,Data!$H:$H,"INT"),0)</f>
        <v>0</v>
      </c>
      <c r="P457" s="61">
        <f>IF(Table1[[#This Row],[Role]]="Defensive",SUMIFS(Data!$J:$J,Data!$A:$A,Info!$B457,Data!$I:$I,Info!$D457,Data!$H:$H,$P$1),0)</f>
        <v>0</v>
      </c>
      <c r="Q457" s="65" t="str">
        <f>IF(Table1[[#This Row],[Pick]]="","",IF(S457&gt;1,400,IF(G457="","",IF(C457="Passing",(400-Table1[[#This Row],[Passing Yards]]-(30*Table1[[#This Row],[Passing TDs]])-(50*SUM(Table1[[#This Row],[Rushing TDs]:[Other TD''s]]))),IF(C457="Rushing",2*(200-Table1[[#This Row],[Rushing Yards]]-(30*Table1[[#This Row],[Passing TDs]])-50*(Table1[[#This Row],[Rushing TDs]]+Table1[[#This Row],[Receiving TDs]]+Table1[[#This Row],[Other TD''s]])),IF(C457="Receiving",2*(200-Table1[[#This Row],[Receiving Yards]]-(30*Table1[[#This Row],[Passing TDs]])-50*(Table1[[#This Row],[Rushing TDs]]+Table1[[#This Row],[Receiving TDs]]+Table1[[#This Row],[Other TD''s]])),IF(C457="Defensive",(25*(16-Table1[[#This Row],[Tackles]]-(8*(Table1[[#This Row],[Other TD''s]]+Table1[[#This Row],[Interceptions]]+Table1[[#This Row],[Fumbles Recovered]])))))))))))</f>
        <v/>
      </c>
      <c r="R457" s="3" t="str">
        <f t="shared" si="16"/>
        <v/>
      </c>
      <c r="S457" s="4">
        <f t="shared" si="15"/>
        <v>1048507</v>
      </c>
      <c r="T4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8" spans="1:20" hidden="1" x14ac:dyDescent="0.25">
      <c r="A458" t="s">
        <v>68</v>
      </c>
      <c r="B458" s="28" t="s">
        <v>50</v>
      </c>
      <c r="C458" t="s">
        <v>20</v>
      </c>
      <c r="D458" t="str">
        <f>_xlfn.XLOOKUP(Table1[[#This Row],[Player]]&amp;Table1[[#This Row],[Week]]&amp;Table1[[#This Row],[Role]],'Google Form Transform'!$A:$A,'Google Form Transform'!E:E,"")</f>
        <v/>
      </c>
      <c r="E458" t="str">
        <f>_xlfn.XLOOKUP(Table1[[#This Row],[Player]]&amp;Table1[[#This Row],[Week]]&amp;Table1[[#This Row],[Role]],'Google Form Transform'!$A:$A,'Google Form Transform'!F:F,"")</f>
        <v/>
      </c>
      <c r="F458" t="str">
        <f>_xlfn.XLOOKUP(Table1[[#This Row],[Player]]&amp;Table1[[#This Row],[Week]]&amp;Table1[[#This Row],[Role]],'Google Form Transform'!$A:$A,'Google Form Transform'!G:G,"")</f>
        <v/>
      </c>
      <c r="G458" s="59">
        <f>SUMIFS(Table2[Stat],Table2[Stat Category],"passing",Table2[Stat Type],"YDS",Table2[Athlete],Table1[[#This Row],[Pick]],Table2[Week],Table1[[#This Row],[Week]])</f>
        <v>0</v>
      </c>
      <c r="H458" s="59">
        <f>SUMIFS(Table2[Stat],Table2[Stat Category],"rushing",Table2[Stat Type],"YDS",Table2[Athlete],Table1[[#This Row],[Pick]],Table2[Week],Table1[[#This Row],[Week]])</f>
        <v>0</v>
      </c>
      <c r="I458" s="59">
        <f>SUMIFS(Table2[Stat],Table2[Stat Category],"receiving",Table2[Stat Type],"YDS",Table2[Athlete],Table1[[#This Row],[Pick]],Table2[Week],Table1[[#This Row],[Week]])</f>
        <v>0</v>
      </c>
      <c r="J458" s="6">
        <f>IF(AND($C458="Rushing", $H458&lt;=0), 0, IF(AND($C458="Passing", $G$3&lt;=0), 0,IF(AND($C458="Receiving",$I458&lt;=0), 0,SUMIFS(Table2[Stat],Table2[Week],Table1[[#This Row],[Week]],Table2[Athlete],Table1[[#This Row],[Pick]],Table2[Stat Category],"passing",Table2[Stat Type],"TD"))))</f>
        <v>0</v>
      </c>
      <c r="K458" s="6">
        <f>IF(AND($C458="Rushing", $H458&lt;=0), 0, IF(AND($C458="Passing", $G$3&lt;=0), 0,IF(AND($C458="Receiving",$I458&lt;=0),0,SUMIFS(Table2[Stat],Table2[Week],Table1[[#This Row],[Week]],Table2[Athlete],Table1[[#This Row],[Pick]],Table2[Stat Category],"rushing",Table2[Stat Type],"TD"))))</f>
        <v>0</v>
      </c>
      <c r="L458" s="6">
        <f>IF(AND($C458="Rushing", $H458&lt;=0), 0, IF(AND($C458="Passing", $G$3&lt;=0), 0,IF(AND($C458="Receiving",$I458&lt;=0),0,SUMIFS(Table2[Stat],Table2[Week],Table1[[#This Row],[Week]],Table2[Athlete],Table1[[#This Row],[Pick]],Table2[Stat Category],"receiving",Table2[Stat Type],"TD"))))</f>
        <v>0</v>
      </c>
      <c r="M4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8" s="61">
        <f>SUMIFS(Data!$J:$J,Data!$A:$A,Info!$B458,Data!$G:$G,Info!$C458,Data!$I:$I,Info!$D458,Data!$H:$H,"TOT")</f>
        <v>0</v>
      </c>
      <c r="O458" s="61">
        <f>IF(C458="Defensive",SUMIFS(Data!$J:$J,Data!$A:$A,Info!$B458,Data!$I:$I,Info!$D458,Data!$H:$H,"INT"),0)</f>
        <v>0</v>
      </c>
      <c r="P458" s="61">
        <f>IF(Table1[[#This Row],[Role]]="Defensive",SUMIFS(Data!$J:$J,Data!$A:$A,Info!$B458,Data!$I:$I,Info!$D458,Data!$H:$H,$P$1),0)</f>
        <v>0</v>
      </c>
      <c r="Q458" s="65" t="str">
        <f>IF(Table1[[#This Row],[Pick]]="","",IF(S458&gt;1,400,IF(G458="","",IF(C458="Passing",(400-Table1[[#This Row],[Passing Yards]]-(30*Table1[[#This Row],[Passing TDs]])-(50*SUM(Table1[[#This Row],[Rushing TDs]:[Other TD''s]]))),IF(C458="Rushing",2*(200-Table1[[#This Row],[Rushing Yards]]-(30*Table1[[#This Row],[Passing TDs]])-50*(Table1[[#This Row],[Rushing TDs]]+Table1[[#This Row],[Receiving TDs]]+Table1[[#This Row],[Other TD''s]])),IF(C458="Receiving",2*(200-Table1[[#This Row],[Receiving Yards]]-(30*Table1[[#This Row],[Passing TDs]])-50*(Table1[[#This Row],[Rushing TDs]]+Table1[[#This Row],[Receiving TDs]]+Table1[[#This Row],[Other TD''s]])),IF(C458="Defensive",(25*(16-Table1[[#This Row],[Tackles]]-(8*(Table1[[#This Row],[Other TD''s]]+Table1[[#This Row],[Interceptions]]+Table1[[#This Row],[Fumbles Recovered]])))))))))))</f>
        <v/>
      </c>
      <c r="R458" s="3" t="str">
        <f t="shared" si="16"/>
        <v/>
      </c>
      <c r="S458" s="4">
        <f t="shared" si="15"/>
        <v>1048507</v>
      </c>
      <c r="T4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9" spans="1:20" hidden="1" x14ac:dyDescent="0.25">
      <c r="A459" t="s">
        <v>5</v>
      </c>
      <c r="B459" s="28" t="s">
        <v>50</v>
      </c>
      <c r="C459" t="s">
        <v>16</v>
      </c>
      <c r="D459" t="str">
        <f>_xlfn.XLOOKUP(Table1[[#This Row],[Player]]&amp;Table1[[#This Row],[Week]]&amp;Table1[[#This Row],[Role]],'Google Form Transform'!$A:$A,'Google Form Transform'!E:E,"")</f>
        <v/>
      </c>
      <c r="E459" t="str">
        <f>_xlfn.XLOOKUP(Table1[[#This Row],[Player]]&amp;Table1[[#This Row],[Week]]&amp;Table1[[#This Row],[Role]],'Google Form Transform'!$A:$A,'Google Form Transform'!F:F,"")</f>
        <v/>
      </c>
      <c r="F459" t="str">
        <f>_xlfn.XLOOKUP(Table1[[#This Row],[Player]]&amp;Table1[[#This Row],[Week]]&amp;Table1[[#This Row],[Role]],'Google Form Transform'!$A:$A,'Google Form Transform'!G:G,"")</f>
        <v/>
      </c>
      <c r="G459" s="59">
        <f>SUMIFS(Table2[Stat],Table2[Stat Category],"passing",Table2[Stat Type],"YDS",Table2[Athlete],Table1[[#This Row],[Pick]],Table2[Week],Table1[[#This Row],[Week]])</f>
        <v>0</v>
      </c>
      <c r="H459" s="59">
        <f>SUMIFS(Table2[Stat],Table2[Stat Category],"rushing",Table2[Stat Type],"YDS",Table2[Athlete],Table1[[#This Row],[Pick]],Table2[Week],Table1[[#This Row],[Week]])</f>
        <v>0</v>
      </c>
      <c r="I459" s="59">
        <f>SUMIFS(Table2[Stat],Table2[Stat Category],"receiving",Table2[Stat Type],"YDS",Table2[Athlete],Table1[[#This Row],[Pick]],Table2[Week],Table1[[#This Row],[Week]])</f>
        <v>0</v>
      </c>
      <c r="J459" s="6">
        <f>IF(AND($C459="Rushing", $H459&lt;=0), 0, IF(AND($C459="Passing", $G$3&lt;=0), 0,IF(AND($C459="Receiving",$I459&lt;=0), 0,SUMIFS(Table2[Stat],Table2[Week],Table1[[#This Row],[Week]],Table2[Athlete],Table1[[#This Row],[Pick]],Table2[Stat Category],"passing",Table2[Stat Type],"TD"))))</f>
        <v>0</v>
      </c>
      <c r="K459" s="6">
        <f>IF(AND($C459="Rushing", $H459&lt;=0), 0, IF(AND($C459="Passing", $G$3&lt;=0), 0,IF(AND($C459="Receiving",$I459&lt;=0),0,SUMIFS(Table2[Stat],Table2[Week],Table1[[#This Row],[Week]],Table2[Athlete],Table1[[#This Row],[Pick]],Table2[Stat Category],"rushing",Table2[Stat Type],"TD"))))</f>
        <v>0</v>
      </c>
      <c r="L459" s="6">
        <f>IF(AND($C459="Rushing", $H459&lt;=0), 0, IF(AND($C459="Passing", $G$3&lt;=0), 0,IF(AND($C459="Receiving",$I459&lt;=0),0,SUMIFS(Table2[Stat],Table2[Week],Table1[[#This Row],[Week]],Table2[Athlete],Table1[[#This Row],[Pick]],Table2[Stat Category],"receiving",Table2[Stat Type],"TD"))))</f>
        <v>0</v>
      </c>
      <c r="M4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9" s="61">
        <f>SUMIFS(Data!$J:$J,Data!$A:$A,Info!$B459,Data!$G:$G,Info!$C459,Data!$I:$I,Info!$D459,Data!$H:$H,"TOT")</f>
        <v>0</v>
      </c>
      <c r="O459" s="61">
        <f>IF(C459="Defensive",SUMIFS(Data!$J:$J,Data!$A:$A,Info!$B459,Data!$I:$I,Info!$D459,Data!$H:$H,"INT"),0)</f>
        <v>0</v>
      </c>
      <c r="P459" s="61">
        <f>IF(Table1[[#This Row],[Role]]="Defensive",SUMIFS(Data!$J:$J,Data!$A:$A,Info!$B459,Data!$I:$I,Info!$D459,Data!$H:$H,$P$1),0)</f>
        <v>0</v>
      </c>
      <c r="Q459" s="65" t="str">
        <f>IF(Table1[[#This Row],[Pick]]="","",IF(S459&gt;1,400,IF(G459="","",IF(C459="Passing",(400-Table1[[#This Row],[Passing Yards]]-(30*Table1[[#This Row],[Passing TDs]])-(50*SUM(Table1[[#This Row],[Rushing TDs]:[Other TD''s]]))),IF(C459="Rushing",2*(200-Table1[[#This Row],[Rushing Yards]]-(30*Table1[[#This Row],[Passing TDs]])-50*(Table1[[#This Row],[Rushing TDs]]+Table1[[#This Row],[Receiving TDs]]+Table1[[#This Row],[Other TD''s]])),IF(C459="Receiving",2*(200-Table1[[#This Row],[Receiving Yards]]-(30*Table1[[#This Row],[Passing TDs]])-50*(Table1[[#This Row],[Rushing TDs]]+Table1[[#This Row],[Receiving TDs]]+Table1[[#This Row],[Other TD''s]])),IF(C459="Defensive",(25*(16-Table1[[#This Row],[Tackles]]-(8*(Table1[[#This Row],[Other TD''s]]+Table1[[#This Row],[Interceptions]]+Table1[[#This Row],[Fumbles Recovered]])))))))))))</f>
        <v/>
      </c>
      <c r="R459" s="3" t="str">
        <f t="shared" si="16"/>
        <v/>
      </c>
      <c r="S459" s="4">
        <f t="shared" si="15"/>
        <v>1048507</v>
      </c>
      <c r="T4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0" spans="1:20" hidden="1" x14ac:dyDescent="0.25">
      <c r="A460" t="s">
        <v>5</v>
      </c>
      <c r="B460" s="28" t="s">
        <v>50</v>
      </c>
      <c r="C460" t="s">
        <v>6</v>
      </c>
      <c r="D460" t="str">
        <f>_xlfn.XLOOKUP(Table1[[#This Row],[Player]]&amp;Table1[[#This Row],[Week]]&amp;Table1[[#This Row],[Role]],'Google Form Transform'!$A:$A,'Google Form Transform'!E:E,"")</f>
        <v/>
      </c>
      <c r="E460" t="str">
        <f>_xlfn.XLOOKUP(Table1[[#This Row],[Player]]&amp;Table1[[#This Row],[Week]]&amp;Table1[[#This Row],[Role]],'Google Form Transform'!$A:$A,'Google Form Transform'!F:F,"")</f>
        <v/>
      </c>
      <c r="F460" t="str">
        <f>_xlfn.XLOOKUP(Table1[[#This Row],[Player]]&amp;Table1[[#This Row],[Week]]&amp;Table1[[#This Row],[Role]],'Google Form Transform'!$A:$A,'Google Form Transform'!G:G,"")</f>
        <v/>
      </c>
      <c r="G460" s="59">
        <f>SUMIFS(Table2[Stat],Table2[Stat Category],"passing",Table2[Stat Type],"YDS",Table2[Athlete],Table1[[#This Row],[Pick]],Table2[Week],Table1[[#This Row],[Week]])</f>
        <v>0</v>
      </c>
      <c r="H460" s="59">
        <f>SUMIFS(Table2[Stat],Table2[Stat Category],"rushing",Table2[Stat Type],"YDS",Table2[Athlete],Table1[[#This Row],[Pick]],Table2[Week],Table1[[#This Row],[Week]])</f>
        <v>0</v>
      </c>
      <c r="I460" s="59">
        <f>SUMIFS(Table2[Stat],Table2[Stat Category],"receiving",Table2[Stat Type],"YDS",Table2[Athlete],Table1[[#This Row],[Pick]],Table2[Week],Table1[[#This Row],[Week]])</f>
        <v>0</v>
      </c>
      <c r="J460" s="6">
        <f>IF(AND($C460="Rushing", $H460&lt;=0), 0, IF(AND($C460="Passing", $G$3&lt;=0), 0,IF(AND($C460="Receiving",$I460&lt;=0), 0,SUMIFS(Table2[Stat],Table2[Week],Table1[[#This Row],[Week]],Table2[Athlete],Table1[[#This Row],[Pick]],Table2[Stat Category],"passing",Table2[Stat Type],"TD"))))</f>
        <v>0</v>
      </c>
      <c r="K460" s="6">
        <f>IF(AND($C460="Rushing", $H460&lt;=0), 0, IF(AND($C460="Passing", $G$3&lt;=0), 0,IF(AND($C460="Receiving",$I460&lt;=0),0,SUMIFS(Table2[Stat],Table2[Week],Table1[[#This Row],[Week]],Table2[Athlete],Table1[[#This Row],[Pick]],Table2[Stat Category],"rushing",Table2[Stat Type],"TD"))))</f>
        <v>0</v>
      </c>
      <c r="L460" s="6">
        <f>IF(AND($C460="Rushing", $H460&lt;=0), 0, IF(AND($C460="Passing", $G$3&lt;=0), 0,IF(AND($C460="Receiving",$I460&lt;=0),0,SUMIFS(Table2[Stat],Table2[Week],Table1[[#This Row],[Week]],Table2[Athlete],Table1[[#This Row],[Pick]],Table2[Stat Category],"receiving",Table2[Stat Type],"TD"))))</f>
        <v>0</v>
      </c>
      <c r="M4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0" s="61">
        <f>SUMIFS(Data!$J:$J,Data!$A:$A,Info!$B460,Data!$G:$G,Info!$C460,Data!$I:$I,Info!$D460,Data!$H:$H,"TOT")</f>
        <v>0</v>
      </c>
      <c r="O460" s="61">
        <f>IF(C460="Defensive",SUMIFS(Data!$J:$J,Data!$A:$A,Info!$B460,Data!$I:$I,Info!$D460,Data!$H:$H,"INT"),0)</f>
        <v>0</v>
      </c>
      <c r="P460" s="61">
        <f>IF(Table1[[#This Row],[Role]]="Defensive",SUMIFS(Data!$J:$J,Data!$A:$A,Info!$B460,Data!$I:$I,Info!$D460,Data!$H:$H,$P$1),0)</f>
        <v>0</v>
      </c>
      <c r="Q460" s="65" t="str">
        <f>IF(Table1[[#This Row],[Pick]]="","",IF(S460&gt;1,400,IF(G460="","",IF(C460="Passing",(400-Table1[[#This Row],[Passing Yards]]-(30*Table1[[#This Row],[Passing TDs]])-(50*SUM(Table1[[#This Row],[Rushing TDs]:[Other TD''s]]))),IF(C460="Rushing",2*(200-Table1[[#This Row],[Rushing Yards]]-(30*Table1[[#This Row],[Passing TDs]])-50*(Table1[[#This Row],[Rushing TDs]]+Table1[[#This Row],[Receiving TDs]]+Table1[[#This Row],[Other TD''s]])),IF(C460="Receiving",2*(200-Table1[[#This Row],[Receiving Yards]]-(30*Table1[[#This Row],[Passing TDs]])-50*(Table1[[#This Row],[Rushing TDs]]+Table1[[#This Row],[Receiving TDs]]+Table1[[#This Row],[Other TD''s]])),IF(C460="Defensive",(25*(16-Table1[[#This Row],[Tackles]]-(8*(Table1[[#This Row],[Other TD''s]]+Table1[[#This Row],[Interceptions]]+Table1[[#This Row],[Fumbles Recovered]])))))))))))</f>
        <v/>
      </c>
      <c r="R460" s="3" t="str">
        <f t="shared" si="16"/>
        <v/>
      </c>
      <c r="S460" s="4">
        <f t="shared" si="15"/>
        <v>1048507</v>
      </c>
      <c r="T4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1" spans="1:20" hidden="1" x14ac:dyDescent="0.25">
      <c r="A461" t="s">
        <v>5</v>
      </c>
      <c r="B461" s="28" t="s">
        <v>50</v>
      </c>
      <c r="C461" t="s">
        <v>17</v>
      </c>
      <c r="D461" t="str">
        <f>_xlfn.XLOOKUP(Table1[[#This Row],[Player]]&amp;Table1[[#This Row],[Week]]&amp;Table1[[#This Row],[Role]],'Google Form Transform'!$A:$A,'Google Form Transform'!E:E,"")</f>
        <v/>
      </c>
      <c r="E461" t="str">
        <f>_xlfn.XLOOKUP(Table1[[#This Row],[Player]]&amp;Table1[[#This Row],[Week]]&amp;Table1[[#This Row],[Role]],'Google Form Transform'!$A:$A,'Google Form Transform'!F:F,"")</f>
        <v/>
      </c>
      <c r="F461" t="str">
        <f>_xlfn.XLOOKUP(Table1[[#This Row],[Player]]&amp;Table1[[#This Row],[Week]]&amp;Table1[[#This Row],[Role]],'Google Form Transform'!$A:$A,'Google Form Transform'!G:G,"")</f>
        <v/>
      </c>
      <c r="G461" s="59">
        <f>SUMIFS(Table2[Stat],Table2[Stat Category],"passing",Table2[Stat Type],"YDS",Table2[Athlete],Table1[[#This Row],[Pick]],Table2[Week],Table1[[#This Row],[Week]])</f>
        <v>0</v>
      </c>
      <c r="H461" s="59">
        <f>SUMIFS(Table2[Stat],Table2[Stat Category],"rushing",Table2[Stat Type],"YDS",Table2[Athlete],Table1[[#This Row],[Pick]],Table2[Week],Table1[[#This Row],[Week]])</f>
        <v>0</v>
      </c>
      <c r="I461" s="59">
        <f>SUMIFS(Table2[Stat],Table2[Stat Category],"receiving",Table2[Stat Type],"YDS",Table2[Athlete],Table1[[#This Row],[Pick]],Table2[Week],Table1[[#This Row],[Week]])</f>
        <v>0</v>
      </c>
      <c r="J461" s="6">
        <f>IF(AND($C461="Rushing", $H461&lt;=0), 0, IF(AND($C461="Passing", $G$3&lt;=0), 0,IF(AND($C461="Receiving",$I461&lt;=0), 0,SUMIFS(Table2[Stat],Table2[Week],Table1[[#This Row],[Week]],Table2[Athlete],Table1[[#This Row],[Pick]],Table2[Stat Category],"passing",Table2[Stat Type],"TD"))))</f>
        <v>0</v>
      </c>
      <c r="K461" s="6">
        <f>IF(AND($C461="Rushing", $H461&lt;=0), 0, IF(AND($C461="Passing", $G$3&lt;=0), 0,IF(AND($C461="Receiving",$I461&lt;=0),0,SUMIFS(Table2[Stat],Table2[Week],Table1[[#This Row],[Week]],Table2[Athlete],Table1[[#This Row],[Pick]],Table2[Stat Category],"rushing",Table2[Stat Type],"TD"))))</f>
        <v>0</v>
      </c>
      <c r="L461" s="6">
        <f>IF(AND($C461="Rushing", $H461&lt;=0), 0, IF(AND($C461="Passing", $G$3&lt;=0), 0,IF(AND($C461="Receiving",$I461&lt;=0),0,SUMIFS(Table2[Stat],Table2[Week],Table1[[#This Row],[Week]],Table2[Athlete],Table1[[#This Row],[Pick]],Table2[Stat Category],"receiving",Table2[Stat Type],"TD"))))</f>
        <v>0</v>
      </c>
      <c r="M4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1" s="61">
        <f>SUMIFS(Data!$J:$J,Data!$A:$A,Info!$B461,Data!$G:$G,Info!$C461,Data!$I:$I,Info!$D461,Data!$H:$H,"TOT")</f>
        <v>0</v>
      </c>
      <c r="O461" s="61">
        <f>IF(C461="Defensive",SUMIFS(Data!$J:$J,Data!$A:$A,Info!$B461,Data!$I:$I,Info!$D461,Data!$H:$H,"INT"),0)</f>
        <v>0</v>
      </c>
      <c r="P461" s="61">
        <f>IF(Table1[[#This Row],[Role]]="Defensive",SUMIFS(Data!$J:$J,Data!$A:$A,Info!$B461,Data!$I:$I,Info!$D461,Data!$H:$H,$P$1),0)</f>
        <v>0</v>
      </c>
      <c r="Q461" s="65" t="str">
        <f>IF(Table1[[#This Row],[Pick]]="","",IF(S461&gt;1,400,IF(G461="","",IF(C461="Passing",(400-Table1[[#This Row],[Passing Yards]]-(30*Table1[[#This Row],[Passing TDs]])-(50*SUM(Table1[[#This Row],[Rushing TDs]:[Other TD''s]]))),IF(C461="Rushing",2*(200-Table1[[#This Row],[Rushing Yards]]-(30*Table1[[#This Row],[Passing TDs]])-50*(Table1[[#This Row],[Rushing TDs]]+Table1[[#This Row],[Receiving TDs]]+Table1[[#This Row],[Other TD''s]])),IF(C461="Receiving",2*(200-Table1[[#This Row],[Receiving Yards]]-(30*Table1[[#This Row],[Passing TDs]])-50*(Table1[[#This Row],[Rushing TDs]]+Table1[[#This Row],[Receiving TDs]]+Table1[[#This Row],[Other TD''s]])),IF(C461="Defensive",(25*(16-Table1[[#This Row],[Tackles]]-(8*(Table1[[#This Row],[Other TD''s]]+Table1[[#This Row],[Interceptions]]+Table1[[#This Row],[Fumbles Recovered]])))))))))))</f>
        <v/>
      </c>
      <c r="R461" s="3" t="str">
        <f t="shared" si="16"/>
        <v/>
      </c>
      <c r="S461" s="4">
        <f t="shared" si="15"/>
        <v>1048507</v>
      </c>
      <c r="T4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2" spans="1:20" hidden="1" x14ac:dyDescent="0.25">
      <c r="A462" t="s">
        <v>5</v>
      </c>
      <c r="B462" s="28" t="s">
        <v>50</v>
      </c>
      <c r="C462" t="s">
        <v>20</v>
      </c>
      <c r="D462" t="str">
        <f>_xlfn.XLOOKUP(Table1[[#This Row],[Player]]&amp;Table1[[#This Row],[Week]]&amp;Table1[[#This Row],[Role]],'Google Form Transform'!$A:$A,'Google Form Transform'!E:E,"")</f>
        <v/>
      </c>
      <c r="E462" t="str">
        <f>_xlfn.XLOOKUP(Table1[[#This Row],[Player]]&amp;Table1[[#This Row],[Week]]&amp;Table1[[#This Row],[Role]],'Google Form Transform'!$A:$A,'Google Form Transform'!F:F,"")</f>
        <v/>
      </c>
      <c r="F462" t="str">
        <f>_xlfn.XLOOKUP(Table1[[#This Row],[Player]]&amp;Table1[[#This Row],[Week]]&amp;Table1[[#This Row],[Role]],'Google Form Transform'!$A:$A,'Google Form Transform'!G:G,"")</f>
        <v/>
      </c>
      <c r="G462" s="59">
        <f>SUMIFS(Table2[Stat],Table2[Stat Category],"passing",Table2[Stat Type],"YDS",Table2[Athlete],Table1[[#This Row],[Pick]],Table2[Week],Table1[[#This Row],[Week]])</f>
        <v>0</v>
      </c>
      <c r="H462" s="59">
        <f>SUMIFS(Table2[Stat],Table2[Stat Category],"rushing",Table2[Stat Type],"YDS",Table2[Athlete],Table1[[#This Row],[Pick]],Table2[Week],Table1[[#This Row],[Week]])</f>
        <v>0</v>
      </c>
      <c r="I462" s="59">
        <f>SUMIFS(Table2[Stat],Table2[Stat Category],"receiving",Table2[Stat Type],"YDS",Table2[Athlete],Table1[[#This Row],[Pick]],Table2[Week],Table1[[#This Row],[Week]])</f>
        <v>0</v>
      </c>
      <c r="J462" s="6">
        <f>IF(AND($C462="Rushing", $H462&lt;=0), 0, IF(AND($C462="Passing", $G$3&lt;=0), 0,IF(AND($C462="Receiving",$I462&lt;=0), 0,SUMIFS(Table2[Stat],Table2[Week],Table1[[#This Row],[Week]],Table2[Athlete],Table1[[#This Row],[Pick]],Table2[Stat Category],"passing",Table2[Stat Type],"TD"))))</f>
        <v>0</v>
      </c>
      <c r="K462" s="6">
        <f>IF(AND($C462="Rushing", $H462&lt;=0), 0, IF(AND($C462="Passing", $G$3&lt;=0), 0,IF(AND($C462="Receiving",$I462&lt;=0),0,SUMIFS(Table2[Stat],Table2[Week],Table1[[#This Row],[Week]],Table2[Athlete],Table1[[#This Row],[Pick]],Table2[Stat Category],"rushing",Table2[Stat Type],"TD"))))</f>
        <v>0</v>
      </c>
      <c r="L462" s="6">
        <f>IF(AND($C462="Rushing", $H462&lt;=0), 0, IF(AND($C462="Passing", $G$3&lt;=0), 0,IF(AND($C462="Receiving",$I462&lt;=0),0,SUMIFS(Table2[Stat],Table2[Week],Table1[[#This Row],[Week]],Table2[Athlete],Table1[[#This Row],[Pick]],Table2[Stat Category],"receiving",Table2[Stat Type],"TD"))))</f>
        <v>0</v>
      </c>
      <c r="M4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2" s="61">
        <f>SUMIFS(Data!$J:$J,Data!$A:$A,Info!$B462,Data!$G:$G,Info!$C462,Data!$I:$I,Info!$D462,Data!$H:$H,"TOT")</f>
        <v>0</v>
      </c>
      <c r="O462" s="61">
        <f>IF(C462="Defensive",SUMIFS(Data!$J:$J,Data!$A:$A,Info!$B462,Data!$I:$I,Info!$D462,Data!$H:$H,"INT"),0)</f>
        <v>0</v>
      </c>
      <c r="P462" s="61">
        <f>IF(Table1[[#This Row],[Role]]="Defensive",SUMIFS(Data!$J:$J,Data!$A:$A,Info!$B462,Data!$I:$I,Info!$D462,Data!$H:$H,$P$1),0)</f>
        <v>0</v>
      </c>
      <c r="Q462" s="65" t="str">
        <f>IF(Table1[[#This Row],[Pick]]="","",IF(S462&gt;1,400,IF(G462="","",IF(C462="Passing",(400-Table1[[#This Row],[Passing Yards]]-(30*Table1[[#This Row],[Passing TDs]])-(50*SUM(Table1[[#This Row],[Rushing TDs]:[Other TD''s]]))),IF(C462="Rushing",2*(200-Table1[[#This Row],[Rushing Yards]]-(30*Table1[[#This Row],[Passing TDs]])-50*(Table1[[#This Row],[Rushing TDs]]+Table1[[#This Row],[Receiving TDs]]+Table1[[#This Row],[Other TD''s]])),IF(C462="Receiving",2*(200-Table1[[#This Row],[Receiving Yards]]-(30*Table1[[#This Row],[Passing TDs]])-50*(Table1[[#This Row],[Rushing TDs]]+Table1[[#This Row],[Receiving TDs]]+Table1[[#This Row],[Other TD''s]])),IF(C462="Defensive",(25*(16-Table1[[#This Row],[Tackles]]-(8*(Table1[[#This Row],[Other TD''s]]+Table1[[#This Row],[Interceptions]]+Table1[[#This Row],[Fumbles Recovered]])))))))))))</f>
        <v/>
      </c>
      <c r="R462" s="3" t="str">
        <f t="shared" si="16"/>
        <v/>
      </c>
      <c r="S462" s="4">
        <f t="shared" si="15"/>
        <v>1048507</v>
      </c>
      <c r="T4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3" spans="1:20" hidden="1" x14ac:dyDescent="0.25">
      <c r="A463" t="s">
        <v>18</v>
      </c>
      <c r="B463" s="28" t="s">
        <v>50</v>
      </c>
      <c r="C463" t="s">
        <v>16</v>
      </c>
      <c r="D463" t="str">
        <f>_xlfn.XLOOKUP(Table1[[#This Row],[Player]]&amp;Table1[[#This Row],[Week]]&amp;Table1[[#This Row],[Role]],'Google Form Transform'!$A:$A,'Google Form Transform'!E:E,"")</f>
        <v/>
      </c>
      <c r="E463" t="str">
        <f>_xlfn.XLOOKUP(Table1[[#This Row],[Player]]&amp;Table1[[#This Row],[Week]]&amp;Table1[[#This Row],[Role]],'Google Form Transform'!$A:$A,'Google Form Transform'!F:F,"")</f>
        <v/>
      </c>
      <c r="F463" t="str">
        <f>_xlfn.XLOOKUP(Table1[[#This Row],[Player]]&amp;Table1[[#This Row],[Week]]&amp;Table1[[#This Row],[Role]],'Google Form Transform'!$A:$A,'Google Form Transform'!G:G,"")</f>
        <v/>
      </c>
      <c r="G463" s="59">
        <f>SUMIFS(Table2[Stat],Table2[Stat Category],"passing",Table2[Stat Type],"YDS",Table2[Athlete],Table1[[#This Row],[Pick]],Table2[Week],Table1[[#This Row],[Week]])</f>
        <v>0</v>
      </c>
      <c r="H463" s="59">
        <f>SUMIFS(Table2[Stat],Table2[Stat Category],"rushing",Table2[Stat Type],"YDS",Table2[Athlete],Table1[[#This Row],[Pick]],Table2[Week],Table1[[#This Row],[Week]])</f>
        <v>0</v>
      </c>
      <c r="I463" s="59">
        <f>SUMIFS(Table2[Stat],Table2[Stat Category],"receiving",Table2[Stat Type],"YDS",Table2[Athlete],Table1[[#This Row],[Pick]],Table2[Week],Table1[[#This Row],[Week]])</f>
        <v>0</v>
      </c>
      <c r="J463" s="6">
        <f>IF(AND($C463="Rushing", $H463&lt;=0), 0, IF(AND($C463="Passing", $G$3&lt;=0), 0,IF(AND($C463="Receiving",$I463&lt;=0), 0,SUMIFS(Table2[Stat],Table2[Week],Table1[[#This Row],[Week]],Table2[Athlete],Table1[[#This Row],[Pick]],Table2[Stat Category],"passing",Table2[Stat Type],"TD"))))</f>
        <v>0</v>
      </c>
      <c r="K463" s="6">
        <f>IF(AND($C463="Rushing", $H463&lt;=0), 0, IF(AND($C463="Passing", $G$3&lt;=0), 0,IF(AND($C463="Receiving",$I463&lt;=0),0,SUMIFS(Table2[Stat],Table2[Week],Table1[[#This Row],[Week]],Table2[Athlete],Table1[[#This Row],[Pick]],Table2[Stat Category],"rushing",Table2[Stat Type],"TD"))))</f>
        <v>0</v>
      </c>
      <c r="L463" s="6">
        <f>IF(AND($C463="Rushing", $H463&lt;=0), 0, IF(AND($C463="Passing", $G$3&lt;=0), 0,IF(AND($C463="Receiving",$I463&lt;=0),0,SUMIFS(Table2[Stat],Table2[Week],Table1[[#This Row],[Week]],Table2[Athlete],Table1[[#This Row],[Pick]],Table2[Stat Category],"receiving",Table2[Stat Type],"TD"))))</f>
        <v>0</v>
      </c>
      <c r="M4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3" s="61">
        <f>SUMIFS(Data!$J:$J,Data!$A:$A,Info!$B463,Data!$G:$G,Info!$C463,Data!$I:$I,Info!$D463,Data!$H:$H,"TOT")</f>
        <v>0</v>
      </c>
      <c r="O463" s="61">
        <f>IF(C463="Defensive",SUMIFS(Data!$J:$J,Data!$A:$A,Info!$B463,Data!$I:$I,Info!$D463,Data!$H:$H,"INT"),0)</f>
        <v>0</v>
      </c>
      <c r="P463" s="61">
        <f>IF(Table1[[#This Row],[Role]]="Defensive",SUMIFS(Data!$J:$J,Data!$A:$A,Info!$B463,Data!$I:$I,Info!$D463,Data!$H:$H,$P$1),0)</f>
        <v>0</v>
      </c>
      <c r="Q463" s="65" t="str">
        <f>IF(Table1[[#This Row],[Pick]]="","",IF(S463&gt;1,400,IF(G463="","",IF(C463="Passing",(400-Table1[[#This Row],[Passing Yards]]-(30*Table1[[#This Row],[Passing TDs]])-(50*SUM(Table1[[#This Row],[Rushing TDs]:[Other TD''s]]))),IF(C463="Rushing",2*(200-Table1[[#This Row],[Rushing Yards]]-(30*Table1[[#This Row],[Passing TDs]])-50*(Table1[[#This Row],[Rushing TDs]]+Table1[[#This Row],[Receiving TDs]]+Table1[[#This Row],[Other TD''s]])),IF(C463="Receiving",2*(200-Table1[[#This Row],[Receiving Yards]]-(30*Table1[[#This Row],[Passing TDs]])-50*(Table1[[#This Row],[Rushing TDs]]+Table1[[#This Row],[Receiving TDs]]+Table1[[#This Row],[Other TD''s]])),IF(C463="Defensive",(25*(16-Table1[[#This Row],[Tackles]]-(8*(Table1[[#This Row],[Other TD''s]]+Table1[[#This Row],[Interceptions]]+Table1[[#This Row],[Fumbles Recovered]])))))))))))</f>
        <v/>
      </c>
      <c r="R463" s="3" t="str">
        <f t="shared" si="16"/>
        <v/>
      </c>
      <c r="S463" s="4">
        <f t="shared" si="15"/>
        <v>1048507</v>
      </c>
      <c r="T4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4" spans="1:20" hidden="1" x14ac:dyDescent="0.25">
      <c r="A464" t="s">
        <v>18</v>
      </c>
      <c r="B464" s="28" t="s">
        <v>50</v>
      </c>
      <c r="C464" t="s">
        <v>6</v>
      </c>
      <c r="D464" t="str">
        <f>_xlfn.XLOOKUP(Table1[[#This Row],[Player]]&amp;Table1[[#This Row],[Week]]&amp;Table1[[#This Row],[Role]],'Google Form Transform'!$A:$A,'Google Form Transform'!E:E,"")</f>
        <v/>
      </c>
      <c r="E464" t="str">
        <f>_xlfn.XLOOKUP(Table1[[#This Row],[Player]]&amp;Table1[[#This Row],[Week]]&amp;Table1[[#This Row],[Role]],'Google Form Transform'!$A:$A,'Google Form Transform'!F:F,"")</f>
        <v/>
      </c>
      <c r="F464" t="str">
        <f>_xlfn.XLOOKUP(Table1[[#This Row],[Player]]&amp;Table1[[#This Row],[Week]]&amp;Table1[[#This Row],[Role]],'Google Form Transform'!$A:$A,'Google Form Transform'!G:G,"")</f>
        <v/>
      </c>
      <c r="G464" s="59">
        <f>SUMIFS(Table2[Stat],Table2[Stat Category],"passing",Table2[Stat Type],"YDS",Table2[Athlete],Table1[[#This Row],[Pick]],Table2[Week],Table1[[#This Row],[Week]])</f>
        <v>0</v>
      </c>
      <c r="H464" s="59">
        <f>SUMIFS(Table2[Stat],Table2[Stat Category],"rushing",Table2[Stat Type],"YDS",Table2[Athlete],Table1[[#This Row],[Pick]],Table2[Week],Table1[[#This Row],[Week]])</f>
        <v>0</v>
      </c>
      <c r="I464" s="59">
        <f>SUMIFS(Table2[Stat],Table2[Stat Category],"receiving",Table2[Stat Type],"YDS",Table2[Athlete],Table1[[#This Row],[Pick]],Table2[Week],Table1[[#This Row],[Week]])</f>
        <v>0</v>
      </c>
      <c r="J464" s="6">
        <f>IF(AND($C464="Rushing", $H464&lt;=0), 0, IF(AND($C464="Passing", $G$3&lt;=0), 0,IF(AND($C464="Receiving",$I464&lt;=0), 0,SUMIFS(Table2[Stat],Table2[Week],Table1[[#This Row],[Week]],Table2[Athlete],Table1[[#This Row],[Pick]],Table2[Stat Category],"passing",Table2[Stat Type],"TD"))))</f>
        <v>0</v>
      </c>
      <c r="K464" s="6">
        <f>IF(AND($C464="Rushing", $H464&lt;=0), 0, IF(AND($C464="Passing", $G$3&lt;=0), 0,IF(AND($C464="Receiving",$I464&lt;=0),0,SUMIFS(Table2[Stat],Table2[Week],Table1[[#This Row],[Week]],Table2[Athlete],Table1[[#This Row],[Pick]],Table2[Stat Category],"rushing",Table2[Stat Type],"TD"))))</f>
        <v>0</v>
      </c>
      <c r="L464" s="6">
        <f>IF(AND($C464="Rushing", $H464&lt;=0), 0, IF(AND($C464="Passing", $G$3&lt;=0), 0,IF(AND($C464="Receiving",$I464&lt;=0),0,SUMIFS(Table2[Stat],Table2[Week],Table1[[#This Row],[Week]],Table2[Athlete],Table1[[#This Row],[Pick]],Table2[Stat Category],"receiving",Table2[Stat Type],"TD"))))</f>
        <v>0</v>
      </c>
      <c r="M4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4" s="61">
        <f>SUMIFS(Data!$J:$J,Data!$A:$A,Info!$B464,Data!$G:$G,Info!$C464,Data!$I:$I,Info!$D464,Data!$H:$H,"TOT")</f>
        <v>0</v>
      </c>
      <c r="O464" s="61">
        <f>IF(C464="Defensive",SUMIFS(Data!$J:$J,Data!$A:$A,Info!$B464,Data!$I:$I,Info!$D464,Data!$H:$H,"INT"),0)</f>
        <v>0</v>
      </c>
      <c r="P464" s="61">
        <f>IF(Table1[[#This Row],[Role]]="Defensive",SUMIFS(Data!$J:$J,Data!$A:$A,Info!$B464,Data!$I:$I,Info!$D464,Data!$H:$H,$P$1),0)</f>
        <v>0</v>
      </c>
      <c r="Q464" s="65" t="str">
        <f>IF(Table1[[#This Row],[Pick]]="","",IF(S464&gt;1,400,IF(G464="","",IF(C464="Passing",(400-Table1[[#This Row],[Passing Yards]]-(30*Table1[[#This Row],[Passing TDs]])-(50*SUM(Table1[[#This Row],[Rushing TDs]:[Other TD''s]]))),IF(C464="Rushing",2*(200-Table1[[#This Row],[Rushing Yards]]-(30*Table1[[#This Row],[Passing TDs]])-50*(Table1[[#This Row],[Rushing TDs]]+Table1[[#This Row],[Receiving TDs]]+Table1[[#This Row],[Other TD''s]])),IF(C464="Receiving",2*(200-Table1[[#This Row],[Receiving Yards]]-(30*Table1[[#This Row],[Passing TDs]])-50*(Table1[[#This Row],[Rushing TDs]]+Table1[[#This Row],[Receiving TDs]]+Table1[[#This Row],[Other TD''s]])),IF(C464="Defensive",(25*(16-Table1[[#This Row],[Tackles]]-(8*(Table1[[#This Row],[Other TD''s]]+Table1[[#This Row],[Interceptions]]+Table1[[#This Row],[Fumbles Recovered]])))))))))))</f>
        <v/>
      </c>
      <c r="R464" s="3" t="str">
        <f t="shared" si="16"/>
        <v/>
      </c>
      <c r="S464" s="4">
        <f t="shared" si="15"/>
        <v>1048507</v>
      </c>
      <c r="T4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5" spans="1:20" hidden="1" x14ac:dyDescent="0.25">
      <c r="A465" t="s">
        <v>18</v>
      </c>
      <c r="B465" s="28" t="s">
        <v>50</v>
      </c>
      <c r="C465" t="s">
        <v>17</v>
      </c>
      <c r="D465" t="str">
        <f>_xlfn.XLOOKUP(Table1[[#This Row],[Player]]&amp;Table1[[#This Row],[Week]]&amp;Table1[[#This Row],[Role]],'Google Form Transform'!$A:$A,'Google Form Transform'!E:E,"")</f>
        <v/>
      </c>
      <c r="E465" t="str">
        <f>_xlfn.XLOOKUP(Table1[[#This Row],[Player]]&amp;Table1[[#This Row],[Week]]&amp;Table1[[#This Row],[Role]],'Google Form Transform'!$A:$A,'Google Form Transform'!F:F,"")</f>
        <v/>
      </c>
      <c r="F465" t="str">
        <f>_xlfn.XLOOKUP(Table1[[#This Row],[Player]]&amp;Table1[[#This Row],[Week]]&amp;Table1[[#This Row],[Role]],'Google Form Transform'!$A:$A,'Google Form Transform'!G:G,"")</f>
        <v/>
      </c>
      <c r="G465" s="59">
        <f>SUMIFS(Table2[Stat],Table2[Stat Category],"passing",Table2[Stat Type],"YDS",Table2[Athlete],Table1[[#This Row],[Pick]],Table2[Week],Table1[[#This Row],[Week]])</f>
        <v>0</v>
      </c>
      <c r="H465" s="59">
        <f>SUMIFS(Table2[Stat],Table2[Stat Category],"rushing",Table2[Stat Type],"YDS",Table2[Athlete],Table1[[#This Row],[Pick]],Table2[Week],Table1[[#This Row],[Week]])</f>
        <v>0</v>
      </c>
      <c r="I465" s="59">
        <f>SUMIFS(Table2[Stat],Table2[Stat Category],"receiving",Table2[Stat Type],"YDS",Table2[Athlete],Table1[[#This Row],[Pick]],Table2[Week],Table1[[#This Row],[Week]])</f>
        <v>0</v>
      </c>
      <c r="J465" s="6">
        <f>IF(AND($C465="Rushing", $H465&lt;=0), 0, IF(AND($C465="Passing", $G$3&lt;=0), 0,IF(AND($C465="Receiving",$I465&lt;=0), 0,SUMIFS(Table2[Stat],Table2[Week],Table1[[#This Row],[Week]],Table2[Athlete],Table1[[#This Row],[Pick]],Table2[Stat Category],"passing",Table2[Stat Type],"TD"))))</f>
        <v>0</v>
      </c>
      <c r="K465" s="6">
        <f>IF(AND($C465="Rushing", $H465&lt;=0), 0, IF(AND($C465="Passing", $G$3&lt;=0), 0,IF(AND($C465="Receiving",$I465&lt;=0),0,SUMIFS(Table2[Stat],Table2[Week],Table1[[#This Row],[Week]],Table2[Athlete],Table1[[#This Row],[Pick]],Table2[Stat Category],"rushing",Table2[Stat Type],"TD"))))</f>
        <v>0</v>
      </c>
      <c r="L465" s="6">
        <f>IF(AND($C465="Rushing", $H465&lt;=0), 0, IF(AND($C465="Passing", $G$3&lt;=0), 0,IF(AND($C465="Receiving",$I465&lt;=0),0,SUMIFS(Table2[Stat],Table2[Week],Table1[[#This Row],[Week]],Table2[Athlete],Table1[[#This Row],[Pick]],Table2[Stat Category],"receiving",Table2[Stat Type],"TD"))))</f>
        <v>0</v>
      </c>
      <c r="M4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5" s="61">
        <f>SUMIFS(Data!$J:$J,Data!$A:$A,Info!$B465,Data!$G:$G,Info!$C465,Data!$I:$I,Info!$D465,Data!$H:$H,"TOT")</f>
        <v>0</v>
      </c>
      <c r="O465" s="61">
        <f>IF(C465="Defensive",SUMIFS(Data!$J:$J,Data!$A:$A,Info!$B465,Data!$I:$I,Info!$D465,Data!$H:$H,"INT"),0)</f>
        <v>0</v>
      </c>
      <c r="P465" s="61">
        <f>IF(Table1[[#This Row],[Role]]="Defensive",SUMIFS(Data!$J:$J,Data!$A:$A,Info!$B465,Data!$I:$I,Info!$D465,Data!$H:$H,$P$1),0)</f>
        <v>0</v>
      </c>
      <c r="Q465" s="65" t="str">
        <f>IF(Table1[[#This Row],[Pick]]="","",IF(S465&gt;1,400,IF(G465="","",IF(C465="Passing",(400-Table1[[#This Row],[Passing Yards]]-(30*Table1[[#This Row],[Passing TDs]])-(50*SUM(Table1[[#This Row],[Rushing TDs]:[Other TD''s]]))),IF(C465="Rushing",2*(200-Table1[[#This Row],[Rushing Yards]]-(30*Table1[[#This Row],[Passing TDs]])-50*(Table1[[#This Row],[Rushing TDs]]+Table1[[#This Row],[Receiving TDs]]+Table1[[#This Row],[Other TD''s]])),IF(C465="Receiving",2*(200-Table1[[#This Row],[Receiving Yards]]-(30*Table1[[#This Row],[Passing TDs]])-50*(Table1[[#This Row],[Rushing TDs]]+Table1[[#This Row],[Receiving TDs]]+Table1[[#This Row],[Other TD''s]])),IF(C465="Defensive",(25*(16-Table1[[#This Row],[Tackles]]-(8*(Table1[[#This Row],[Other TD''s]]+Table1[[#This Row],[Interceptions]]+Table1[[#This Row],[Fumbles Recovered]])))))))))))</f>
        <v/>
      </c>
      <c r="R465" s="3" t="str">
        <f t="shared" si="16"/>
        <v/>
      </c>
      <c r="S465" s="4">
        <f t="shared" si="15"/>
        <v>1048507</v>
      </c>
      <c r="T4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6" spans="1:20" hidden="1" x14ac:dyDescent="0.25">
      <c r="A466" t="s">
        <v>18</v>
      </c>
      <c r="B466" s="28" t="s">
        <v>50</v>
      </c>
      <c r="C466" t="s">
        <v>20</v>
      </c>
      <c r="D466" t="str">
        <f>_xlfn.XLOOKUP(Table1[[#This Row],[Player]]&amp;Table1[[#This Row],[Week]]&amp;Table1[[#This Row],[Role]],'Google Form Transform'!$A:$A,'Google Form Transform'!E:E,"")</f>
        <v/>
      </c>
      <c r="E466" t="str">
        <f>_xlfn.XLOOKUP(Table1[[#This Row],[Player]]&amp;Table1[[#This Row],[Week]]&amp;Table1[[#This Row],[Role]],'Google Form Transform'!$A:$A,'Google Form Transform'!F:F,"")</f>
        <v/>
      </c>
      <c r="F466" t="str">
        <f>_xlfn.XLOOKUP(Table1[[#This Row],[Player]]&amp;Table1[[#This Row],[Week]]&amp;Table1[[#This Row],[Role]],'Google Form Transform'!$A:$A,'Google Form Transform'!G:G,"")</f>
        <v/>
      </c>
      <c r="G466" s="59">
        <f>SUMIFS(Table2[Stat],Table2[Stat Category],"passing",Table2[Stat Type],"YDS",Table2[Athlete],Table1[[#This Row],[Pick]],Table2[Week],Table1[[#This Row],[Week]])</f>
        <v>0</v>
      </c>
      <c r="H466" s="59">
        <f>SUMIFS(Table2[Stat],Table2[Stat Category],"rushing",Table2[Stat Type],"YDS",Table2[Athlete],Table1[[#This Row],[Pick]],Table2[Week],Table1[[#This Row],[Week]])</f>
        <v>0</v>
      </c>
      <c r="I466" s="59">
        <f>SUMIFS(Table2[Stat],Table2[Stat Category],"receiving",Table2[Stat Type],"YDS",Table2[Athlete],Table1[[#This Row],[Pick]],Table2[Week],Table1[[#This Row],[Week]])</f>
        <v>0</v>
      </c>
      <c r="J466" s="6">
        <f>IF(AND($C466="Rushing", $H466&lt;=0), 0, IF(AND($C466="Passing", $G$3&lt;=0), 0,IF(AND($C466="Receiving",$I466&lt;=0), 0,SUMIFS(Table2[Stat],Table2[Week],Table1[[#This Row],[Week]],Table2[Athlete],Table1[[#This Row],[Pick]],Table2[Stat Category],"passing",Table2[Stat Type],"TD"))))</f>
        <v>0</v>
      </c>
      <c r="K466" s="6">
        <f>IF(AND($C466="Rushing", $H466&lt;=0), 0, IF(AND($C466="Passing", $G$3&lt;=0), 0,IF(AND($C466="Receiving",$I466&lt;=0),0,SUMIFS(Table2[Stat],Table2[Week],Table1[[#This Row],[Week]],Table2[Athlete],Table1[[#This Row],[Pick]],Table2[Stat Category],"rushing",Table2[Stat Type],"TD"))))</f>
        <v>0</v>
      </c>
      <c r="L466" s="6">
        <f>IF(AND($C466="Rushing", $H466&lt;=0), 0, IF(AND($C466="Passing", $G$3&lt;=0), 0,IF(AND($C466="Receiving",$I466&lt;=0),0,SUMIFS(Table2[Stat],Table2[Week],Table1[[#This Row],[Week]],Table2[Athlete],Table1[[#This Row],[Pick]],Table2[Stat Category],"receiving",Table2[Stat Type],"TD"))))</f>
        <v>0</v>
      </c>
      <c r="M4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6" s="61">
        <f>SUMIFS(Data!$J:$J,Data!$A:$A,Info!$B466,Data!$G:$G,Info!$C466,Data!$I:$I,Info!$D466,Data!$H:$H,"TOT")</f>
        <v>0</v>
      </c>
      <c r="O466" s="61">
        <f>IF(C466="Defensive",SUMIFS(Data!$J:$J,Data!$A:$A,Info!$B466,Data!$I:$I,Info!$D466,Data!$H:$H,"INT"),0)</f>
        <v>0</v>
      </c>
      <c r="P466" s="61">
        <f>IF(Table1[[#This Row],[Role]]="Defensive",SUMIFS(Data!$J:$J,Data!$A:$A,Info!$B466,Data!$I:$I,Info!$D466,Data!$H:$H,$P$1),0)</f>
        <v>0</v>
      </c>
      <c r="Q466" s="65" t="str">
        <f>IF(Table1[[#This Row],[Pick]]="","",IF(S466&gt;1,400,IF(G466="","",IF(C466="Passing",(400-Table1[[#This Row],[Passing Yards]]-(30*Table1[[#This Row],[Passing TDs]])-(50*SUM(Table1[[#This Row],[Rushing TDs]:[Other TD''s]]))),IF(C466="Rushing",2*(200-Table1[[#This Row],[Rushing Yards]]-(30*Table1[[#This Row],[Passing TDs]])-50*(Table1[[#This Row],[Rushing TDs]]+Table1[[#This Row],[Receiving TDs]]+Table1[[#This Row],[Other TD''s]])),IF(C466="Receiving",2*(200-Table1[[#This Row],[Receiving Yards]]-(30*Table1[[#This Row],[Passing TDs]])-50*(Table1[[#This Row],[Rushing TDs]]+Table1[[#This Row],[Receiving TDs]]+Table1[[#This Row],[Other TD''s]])),IF(C466="Defensive",(25*(16-Table1[[#This Row],[Tackles]]-(8*(Table1[[#This Row],[Other TD''s]]+Table1[[#This Row],[Interceptions]]+Table1[[#This Row],[Fumbles Recovered]])))))))))))</f>
        <v/>
      </c>
      <c r="R466" s="3" t="str">
        <f t="shared" si="16"/>
        <v/>
      </c>
      <c r="S466" s="4">
        <f t="shared" si="15"/>
        <v>1048507</v>
      </c>
      <c r="T4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7" spans="1:20" hidden="1" x14ac:dyDescent="0.25">
      <c r="A467" t="s">
        <v>19</v>
      </c>
      <c r="B467" s="28" t="s">
        <v>50</v>
      </c>
      <c r="C467" t="s">
        <v>16</v>
      </c>
      <c r="D467" t="str">
        <f>_xlfn.XLOOKUP(Table1[[#This Row],[Player]]&amp;Table1[[#This Row],[Week]]&amp;Table1[[#This Row],[Role]],'Google Form Transform'!$A:$A,'Google Form Transform'!E:E,"")</f>
        <v/>
      </c>
      <c r="E467" t="str">
        <f>_xlfn.XLOOKUP(Table1[[#This Row],[Player]]&amp;Table1[[#This Row],[Week]]&amp;Table1[[#This Row],[Role]],'Google Form Transform'!$A:$A,'Google Form Transform'!F:F,"")</f>
        <v/>
      </c>
      <c r="F467" t="str">
        <f>_xlfn.XLOOKUP(Table1[[#This Row],[Player]]&amp;Table1[[#This Row],[Week]]&amp;Table1[[#This Row],[Role]],'Google Form Transform'!$A:$A,'Google Form Transform'!G:G,"")</f>
        <v/>
      </c>
      <c r="G467" s="59">
        <f>SUMIFS(Table2[Stat],Table2[Stat Category],"passing",Table2[Stat Type],"YDS",Table2[Athlete],Table1[[#This Row],[Pick]],Table2[Week],Table1[[#This Row],[Week]])</f>
        <v>0</v>
      </c>
      <c r="H467" s="59">
        <f>SUMIFS(Table2[Stat],Table2[Stat Category],"rushing",Table2[Stat Type],"YDS",Table2[Athlete],Table1[[#This Row],[Pick]],Table2[Week],Table1[[#This Row],[Week]])</f>
        <v>0</v>
      </c>
      <c r="I467" s="59">
        <f>SUMIFS(Table2[Stat],Table2[Stat Category],"receiving",Table2[Stat Type],"YDS",Table2[Athlete],Table1[[#This Row],[Pick]],Table2[Week],Table1[[#This Row],[Week]])</f>
        <v>0</v>
      </c>
      <c r="J467" s="6">
        <f>IF(AND($C467="Rushing", $H467&lt;=0), 0, IF(AND($C467="Passing", $G$3&lt;=0), 0,IF(AND($C467="Receiving",$I467&lt;=0), 0,SUMIFS(Table2[Stat],Table2[Week],Table1[[#This Row],[Week]],Table2[Athlete],Table1[[#This Row],[Pick]],Table2[Stat Category],"passing",Table2[Stat Type],"TD"))))</f>
        <v>0</v>
      </c>
      <c r="K467" s="6">
        <f>IF(AND($C467="Rushing", $H467&lt;=0), 0, IF(AND($C467="Passing", $G$3&lt;=0), 0,IF(AND($C467="Receiving",$I467&lt;=0),0,SUMIFS(Table2[Stat],Table2[Week],Table1[[#This Row],[Week]],Table2[Athlete],Table1[[#This Row],[Pick]],Table2[Stat Category],"rushing",Table2[Stat Type],"TD"))))</f>
        <v>0</v>
      </c>
      <c r="L467" s="6">
        <f>IF(AND($C467="Rushing", $H467&lt;=0), 0, IF(AND($C467="Passing", $G$3&lt;=0), 0,IF(AND($C467="Receiving",$I467&lt;=0),0,SUMIFS(Table2[Stat],Table2[Week],Table1[[#This Row],[Week]],Table2[Athlete],Table1[[#This Row],[Pick]],Table2[Stat Category],"receiving",Table2[Stat Type],"TD"))))</f>
        <v>0</v>
      </c>
      <c r="M4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7" s="61">
        <f>SUMIFS(Data!$J:$J,Data!$A:$A,Info!$B467,Data!$G:$G,Info!$C467,Data!$I:$I,Info!$D467,Data!$H:$H,"TOT")</f>
        <v>0</v>
      </c>
      <c r="O467" s="61">
        <f>IF(C467="Defensive",SUMIFS(Data!$J:$J,Data!$A:$A,Info!$B467,Data!$I:$I,Info!$D467,Data!$H:$H,"INT"),0)</f>
        <v>0</v>
      </c>
      <c r="P467" s="61">
        <f>IF(Table1[[#This Row],[Role]]="Defensive",SUMIFS(Data!$J:$J,Data!$A:$A,Info!$B467,Data!$I:$I,Info!$D467,Data!$H:$H,$P$1),0)</f>
        <v>0</v>
      </c>
      <c r="Q467" s="65" t="str">
        <f>IF(Table1[[#This Row],[Pick]]="","",IF(S467&gt;1,400,IF(G467="","",IF(C467="Passing",(400-Table1[[#This Row],[Passing Yards]]-(30*Table1[[#This Row],[Passing TDs]])-(50*SUM(Table1[[#This Row],[Rushing TDs]:[Other TD''s]]))),IF(C467="Rushing",2*(200-Table1[[#This Row],[Rushing Yards]]-(30*Table1[[#This Row],[Passing TDs]])-50*(Table1[[#This Row],[Rushing TDs]]+Table1[[#This Row],[Receiving TDs]]+Table1[[#This Row],[Other TD''s]])),IF(C467="Receiving",2*(200-Table1[[#This Row],[Receiving Yards]]-(30*Table1[[#This Row],[Passing TDs]])-50*(Table1[[#This Row],[Rushing TDs]]+Table1[[#This Row],[Receiving TDs]]+Table1[[#This Row],[Other TD''s]])),IF(C467="Defensive",(25*(16-Table1[[#This Row],[Tackles]]-(8*(Table1[[#This Row],[Other TD''s]]+Table1[[#This Row],[Interceptions]]+Table1[[#This Row],[Fumbles Recovered]])))))))))))</f>
        <v/>
      </c>
      <c r="R467" s="3" t="str">
        <f t="shared" si="16"/>
        <v/>
      </c>
      <c r="S467" s="4">
        <f t="shared" si="15"/>
        <v>1048507</v>
      </c>
      <c r="T4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8" spans="1:20" hidden="1" x14ac:dyDescent="0.25">
      <c r="A468" t="s">
        <v>19</v>
      </c>
      <c r="B468" s="28" t="s">
        <v>50</v>
      </c>
      <c r="C468" t="s">
        <v>6</v>
      </c>
      <c r="D468" t="str">
        <f>_xlfn.XLOOKUP(Table1[[#This Row],[Player]]&amp;Table1[[#This Row],[Week]]&amp;Table1[[#This Row],[Role]],'Google Form Transform'!$A:$A,'Google Form Transform'!E:E,"")</f>
        <v/>
      </c>
      <c r="E468" t="str">
        <f>_xlfn.XLOOKUP(Table1[[#This Row],[Player]]&amp;Table1[[#This Row],[Week]]&amp;Table1[[#This Row],[Role]],'Google Form Transform'!$A:$A,'Google Form Transform'!F:F,"")</f>
        <v/>
      </c>
      <c r="F468" t="str">
        <f>_xlfn.XLOOKUP(Table1[[#This Row],[Player]]&amp;Table1[[#This Row],[Week]]&amp;Table1[[#This Row],[Role]],'Google Form Transform'!$A:$A,'Google Form Transform'!G:G,"")</f>
        <v/>
      </c>
      <c r="G468" s="59">
        <f>SUMIFS(Table2[Stat],Table2[Stat Category],"passing",Table2[Stat Type],"YDS",Table2[Athlete],Table1[[#This Row],[Pick]],Table2[Week],Table1[[#This Row],[Week]])</f>
        <v>0</v>
      </c>
      <c r="H468" s="59">
        <f>SUMIFS(Table2[Stat],Table2[Stat Category],"rushing",Table2[Stat Type],"YDS",Table2[Athlete],Table1[[#This Row],[Pick]],Table2[Week],Table1[[#This Row],[Week]])</f>
        <v>0</v>
      </c>
      <c r="I468" s="59">
        <f>SUMIFS(Table2[Stat],Table2[Stat Category],"receiving",Table2[Stat Type],"YDS",Table2[Athlete],Table1[[#This Row],[Pick]],Table2[Week],Table1[[#This Row],[Week]])</f>
        <v>0</v>
      </c>
      <c r="J468" s="6">
        <f>IF(AND($C468="Rushing", $H468&lt;=0), 0, IF(AND($C468="Passing", $G$3&lt;=0), 0,IF(AND($C468="Receiving",$I468&lt;=0), 0,SUMIFS(Table2[Stat],Table2[Week],Table1[[#This Row],[Week]],Table2[Athlete],Table1[[#This Row],[Pick]],Table2[Stat Category],"passing",Table2[Stat Type],"TD"))))</f>
        <v>0</v>
      </c>
      <c r="K468" s="6">
        <f>IF(AND($C468="Rushing", $H468&lt;=0), 0, IF(AND($C468="Passing", $G$3&lt;=0), 0,IF(AND($C468="Receiving",$I468&lt;=0),0,SUMIFS(Table2[Stat],Table2[Week],Table1[[#This Row],[Week]],Table2[Athlete],Table1[[#This Row],[Pick]],Table2[Stat Category],"rushing",Table2[Stat Type],"TD"))))</f>
        <v>0</v>
      </c>
      <c r="L468" s="6">
        <f>IF(AND($C468="Rushing", $H468&lt;=0), 0, IF(AND($C468="Passing", $G$3&lt;=0), 0,IF(AND($C468="Receiving",$I468&lt;=0),0,SUMIFS(Table2[Stat],Table2[Week],Table1[[#This Row],[Week]],Table2[Athlete],Table1[[#This Row],[Pick]],Table2[Stat Category],"receiving",Table2[Stat Type],"TD"))))</f>
        <v>0</v>
      </c>
      <c r="M4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8" s="61">
        <f>SUMIFS(Data!$J:$J,Data!$A:$A,Info!$B468,Data!$G:$G,Info!$C468,Data!$I:$I,Info!$D468,Data!$H:$H,"TOT")</f>
        <v>0</v>
      </c>
      <c r="O468" s="61">
        <f>IF(C468="Defensive",SUMIFS(Data!$J:$J,Data!$A:$A,Info!$B468,Data!$I:$I,Info!$D468,Data!$H:$H,"INT"),0)</f>
        <v>0</v>
      </c>
      <c r="P468" s="61">
        <f>IF(Table1[[#This Row],[Role]]="Defensive",SUMIFS(Data!$J:$J,Data!$A:$A,Info!$B468,Data!$I:$I,Info!$D468,Data!$H:$H,$P$1),0)</f>
        <v>0</v>
      </c>
      <c r="Q468" s="65" t="str">
        <f>IF(Table1[[#This Row],[Pick]]="","",IF(S468&gt;1,400,IF(G468="","",IF(C468="Passing",(400-Table1[[#This Row],[Passing Yards]]-(30*Table1[[#This Row],[Passing TDs]])-(50*SUM(Table1[[#This Row],[Rushing TDs]:[Other TD''s]]))),IF(C468="Rushing",2*(200-Table1[[#This Row],[Rushing Yards]]-(30*Table1[[#This Row],[Passing TDs]])-50*(Table1[[#This Row],[Rushing TDs]]+Table1[[#This Row],[Receiving TDs]]+Table1[[#This Row],[Other TD''s]])),IF(C468="Receiving",2*(200-Table1[[#This Row],[Receiving Yards]]-(30*Table1[[#This Row],[Passing TDs]])-50*(Table1[[#This Row],[Rushing TDs]]+Table1[[#This Row],[Receiving TDs]]+Table1[[#This Row],[Other TD''s]])),IF(C468="Defensive",(25*(16-Table1[[#This Row],[Tackles]]-(8*(Table1[[#This Row],[Other TD''s]]+Table1[[#This Row],[Interceptions]]+Table1[[#This Row],[Fumbles Recovered]])))))))))))</f>
        <v/>
      </c>
      <c r="R468" s="3" t="str">
        <f t="shared" si="16"/>
        <v/>
      </c>
      <c r="S468" s="4">
        <f t="shared" si="15"/>
        <v>1048507</v>
      </c>
      <c r="T4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9" spans="1:20" hidden="1" x14ac:dyDescent="0.25">
      <c r="A469" t="s">
        <v>19</v>
      </c>
      <c r="B469" s="28" t="s">
        <v>50</v>
      </c>
      <c r="C469" t="s">
        <v>17</v>
      </c>
      <c r="D469" t="str">
        <f>_xlfn.XLOOKUP(Table1[[#This Row],[Player]]&amp;Table1[[#This Row],[Week]]&amp;Table1[[#This Row],[Role]],'Google Form Transform'!$A:$A,'Google Form Transform'!E:E,"")</f>
        <v/>
      </c>
      <c r="E469" t="str">
        <f>_xlfn.XLOOKUP(Table1[[#This Row],[Player]]&amp;Table1[[#This Row],[Week]]&amp;Table1[[#This Row],[Role]],'Google Form Transform'!$A:$A,'Google Form Transform'!F:F,"")</f>
        <v/>
      </c>
      <c r="F469" t="str">
        <f>_xlfn.XLOOKUP(Table1[[#This Row],[Player]]&amp;Table1[[#This Row],[Week]]&amp;Table1[[#This Row],[Role]],'Google Form Transform'!$A:$A,'Google Form Transform'!G:G,"")</f>
        <v/>
      </c>
      <c r="G469" s="59">
        <f>SUMIFS(Table2[Stat],Table2[Stat Category],"passing",Table2[Stat Type],"YDS",Table2[Athlete],Table1[[#This Row],[Pick]],Table2[Week],Table1[[#This Row],[Week]])</f>
        <v>0</v>
      </c>
      <c r="H469" s="59">
        <f>SUMIFS(Table2[Stat],Table2[Stat Category],"rushing",Table2[Stat Type],"YDS",Table2[Athlete],Table1[[#This Row],[Pick]],Table2[Week],Table1[[#This Row],[Week]])</f>
        <v>0</v>
      </c>
      <c r="I469" s="59">
        <f>SUMIFS(Table2[Stat],Table2[Stat Category],"receiving",Table2[Stat Type],"YDS",Table2[Athlete],Table1[[#This Row],[Pick]],Table2[Week],Table1[[#This Row],[Week]])</f>
        <v>0</v>
      </c>
      <c r="J469" s="6">
        <f>IF(AND($C469="Rushing", $H469&lt;=0), 0, IF(AND($C469="Passing", $G$3&lt;=0), 0,IF(AND($C469="Receiving",$I469&lt;=0), 0,SUMIFS(Table2[Stat],Table2[Week],Table1[[#This Row],[Week]],Table2[Athlete],Table1[[#This Row],[Pick]],Table2[Stat Category],"passing",Table2[Stat Type],"TD"))))</f>
        <v>0</v>
      </c>
      <c r="K469" s="6">
        <f>IF(AND($C469="Rushing", $H469&lt;=0), 0, IF(AND($C469="Passing", $G$3&lt;=0), 0,IF(AND($C469="Receiving",$I469&lt;=0),0,SUMIFS(Table2[Stat],Table2[Week],Table1[[#This Row],[Week]],Table2[Athlete],Table1[[#This Row],[Pick]],Table2[Stat Category],"rushing",Table2[Stat Type],"TD"))))</f>
        <v>0</v>
      </c>
      <c r="L469" s="6">
        <f>IF(AND($C469="Rushing", $H469&lt;=0), 0, IF(AND($C469="Passing", $G$3&lt;=0), 0,IF(AND($C469="Receiving",$I469&lt;=0),0,SUMIFS(Table2[Stat],Table2[Week],Table1[[#This Row],[Week]],Table2[Athlete],Table1[[#This Row],[Pick]],Table2[Stat Category],"receiving",Table2[Stat Type],"TD"))))</f>
        <v>0</v>
      </c>
      <c r="M4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9" s="61">
        <f>SUMIFS(Data!$J:$J,Data!$A:$A,Info!$B469,Data!$G:$G,Info!$C469,Data!$I:$I,Info!$D469,Data!$H:$H,"TOT")</f>
        <v>0</v>
      </c>
      <c r="O469" s="61">
        <f>IF(C469="Defensive",SUMIFS(Data!$J:$J,Data!$A:$A,Info!$B469,Data!$I:$I,Info!$D469,Data!$H:$H,"INT"),0)</f>
        <v>0</v>
      </c>
      <c r="P469" s="61">
        <f>IF(Table1[[#This Row],[Role]]="Defensive",SUMIFS(Data!$J:$J,Data!$A:$A,Info!$B469,Data!$I:$I,Info!$D469,Data!$H:$H,$P$1),0)</f>
        <v>0</v>
      </c>
      <c r="Q469" s="65" t="str">
        <f>IF(Table1[[#This Row],[Pick]]="","",IF(S469&gt;1,400,IF(G469="","",IF(C469="Passing",(400-Table1[[#This Row],[Passing Yards]]-(30*Table1[[#This Row],[Passing TDs]])-(50*SUM(Table1[[#This Row],[Rushing TDs]:[Other TD''s]]))),IF(C469="Rushing",2*(200-Table1[[#This Row],[Rushing Yards]]-(30*Table1[[#This Row],[Passing TDs]])-50*(Table1[[#This Row],[Rushing TDs]]+Table1[[#This Row],[Receiving TDs]]+Table1[[#This Row],[Other TD''s]])),IF(C469="Receiving",2*(200-Table1[[#This Row],[Receiving Yards]]-(30*Table1[[#This Row],[Passing TDs]])-50*(Table1[[#This Row],[Rushing TDs]]+Table1[[#This Row],[Receiving TDs]]+Table1[[#This Row],[Other TD''s]])),IF(C469="Defensive",(25*(16-Table1[[#This Row],[Tackles]]-(8*(Table1[[#This Row],[Other TD''s]]+Table1[[#This Row],[Interceptions]]+Table1[[#This Row],[Fumbles Recovered]])))))))))))</f>
        <v/>
      </c>
      <c r="R469" s="3" t="str">
        <f t="shared" si="16"/>
        <v/>
      </c>
      <c r="S469" s="4">
        <f t="shared" si="15"/>
        <v>1048507</v>
      </c>
      <c r="T4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0" spans="1:20" hidden="1" x14ac:dyDescent="0.25">
      <c r="A470" t="s">
        <v>19</v>
      </c>
      <c r="B470" s="28" t="s">
        <v>50</v>
      </c>
      <c r="C470" t="s">
        <v>20</v>
      </c>
      <c r="D470" t="str">
        <f>_xlfn.XLOOKUP(Table1[[#This Row],[Player]]&amp;Table1[[#This Row],[Week]]&amp;Table1[[#This Row],[Role]],'Google Form Transform'!$A:$A,'Google Form Transform'!E:E,"")</f>
        <v/>
      </c>
      <c r="E470" t="str">
        <f>_xlfn.XLOOKUP(Table1[[#This Row],[Player]]&amp;Table1[[#This Row],[Week]]&amp;Table1[[#This Row],[Role]],'Google Form Transform'!$A:$A,'Google Form Transform'!F:F,"")</f>
        <v/>
      </c>
      <c r="F470" t="str">
        <f>_xlfn.XLOOKUP(Table1[[#This Row],[Player]]&amp;Table1[[#This Row],[Week]]&amp;Table1[[#This Row],[Role]],'Google Form Transform'!$A:$A,'Google Form Transform'!G:G,"")</f>
        <v/>
      </c>
      <c r="G470" s="59">
        <f>SUMIFS(Table2[Stat],Table2[Stat Category],"passing",Table2[Stat Type],"YDS",Table2[Athlete],Table1[[#This Row],[Pick]],Table2[Week],Table1[[#This Row],[Week]])</f>
        <v>0</v>
      </c>
      <c r="H470" s="59">
        <f>SUMIFS(Table2[Stat],Table2[Stat Category],"rushing",Table2[Stat Type],"YDS",Table2[Athlete],Table1[[#This Row],[Pick]],Table2[Week],Table1[[#This Row],[Week]])</f>
        <v>0</v>
      </c>
      <c r="I470" s="59">
        <f>SUMIFS(Table2[Stat],Table2[Stat Category],"receiving",Table2[Stat Type],"YDS",Table2[Athlete],Table1[[#This Row],[Pick]],Table2[Week],Table1[[#This Row],[Week]])</f>
        <v>0</v>
      </c>
      <c r="J470" s="6">
        <f>IF(AND($C470="Rushing", $H470&lt;=0), 0, IF(AND($C470="Passing", $G$3&lt;=0), 0,IF(AND($C470="Receiving",$I470&lt;=0), 0,SUMIFS(Table2[Stat],Table2[Week],Table1[[#This Row],[Week]],Table2[Athlete],Table1[[#This Row],[Pick]],Table2[Stat Category],"passing",Table2[Stat Type],"TD"))))</f>
        <v>0</v>
      </c>
      <c r="K470" s="6">
        <f>IF(AND($C470="Rushing", $H470&lt;=0), 0, IF(AND($C470="Passing", $G$3&lt;=0), 0,IF(AND($C470="Receiving",$I470&lt;=0),0,SUMIFS(Table2[Stat],Table2[Week],Table1[[#This Row],[Week]],Table2[Athlete],Table1[[#This Row],[Pick]],Table2[Stat Category],"rushing",Table2[Stat Type],"TD"))))</f>
        <v>0</v>
      </c>
      <c r="L470" s="6">
        <f>IF(AND($C470="Rushing", $H470&lt;=0), 0, IF(AND($C470="Passing", $G$3&lt;=0), 0,IF(AND($C470="Receiving",$I470&lt;=0),0,SUMIFS(Table2[Stat],Table2[Week],Table1[[#This Row],[Week]],Table2[Athlete],Table1[[#This Row],[Pick]],Table2[Stat Category],"receiving",Table2[Stat Type],"TD"))))</f>
        <v>0</v>
      </c>
      <c r="M4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0" s="61">
        <f>SUMIFS(Data!$J:$J,Data!$A:$A,Info!$B470,Data!$G:$G,Info!$C470,Data!$I:$I,Info!$D470,Data!$H:$H,"TOT")</f>
        <v>0</v>
      </c>
      <c r="O470" s="61">
        <f>IF(C470="Defensive",SUMIFS(Data!$J:$J,Data!$A:$A,Info!$B470,Data!$I:$I,Info!$D470,Data!$H:$H,"INT"),0)</f>
        <v>0</v>
      </c>
      <c r="P470" s="61">
        <f>IF(Table1[[#This Row],[Role]]="Defensive",SUMIFS(Data!$J:$J,Data!$A:$A,Info!$B470,Data!$I:$I,Info!$D470,Data!$H:$H,$P$1),0)</f>
        <v>0</v>
      </c>
      <c r="Q470" s="65" t="str">
        <f>IF(Table1[[#This Row],[Pick]]="","",IF(S470&gt;1,400,IF(G470="","",IF(C470="Passing",(400-Table1[[#This Row],[Passing Yards]]-(30*Table1[[#This Row],[Passing TDs]])-(50*SUM(Table1[[#This Row],[Rushing TDs]:[Other TD''s]]))),IF(C470="Rushing",2*(200-Table1[[#This Row],[Rushing Yards]]-(30*Table1[[#This Row],[Passing TDs]])-50*(Table1[[#This Row],[Rushing TDs]]+Table1[[#This Row],[Receiving TDs]]+Table1[[#This Row],[Other TD''s]])),IF(C470="Receiving",2*(200-Table1[[#This Row],[Receiving Yards]]-(30*Table1[[#This Row],[Passing TDs]])-50*(Table1[[#This Row],[Rushing TDs]]+Table1[[#This Row],[Receiving TDs]]+Table1[[#This Row],[Other TD''s]])),IF(C470="Defensive",(25*(16-Table1[[#This Row],[Tackles]]-(8*(Table1[[#This Row],[Other TD''s]]+Table1[[#This Row],[Interceptions]]+Table1[[#This Row],[Fumbles Recovered]])))))))))))</f>
        <v/>
      </c>
      <c r="R470" s="3" t="str">
        <f t="shared" si="16"/>
        <v/>
      </c>
      <c r="S470" s="4">
        <f t="shared" si="15"/>
        <v>1048507</v>
      </c>
      <c r="T4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1" spans="1:20" hidden="1" x14ac:dyDescent="0.25">
      <c r="A471" t="s">
        <v>26</v>
      </c>
      <c r="B471" s="28" t="s">
        <v>50</v>
      </c>
      <c r="C471" t="s">
        <v>16</v>
      </c>
      <c r="D471" t="str">
        <f>_xlfn.XLOOKUP(Table1[[#This Row],[Player]]&amp;Table1[[#This Row],[Week]]&amp;Table1[[#This Row],[Role]],'Google Form Transform'!$A:$A,'Google Form Transform'!E:E,"")</f>
        <v/>
      </c>
      <c r="E471" t="str">
        <f>_xlfn.XLOOKUP(Table1[[#This Row],[Player]]&amp;Table1[[#This Row],[Week]]&amp;Table1[[#This Row],[Role]],'Google Form Transform'!$A:$A,'Google Form Transform'!F:F,"")</f>
        <v/>
      </c>
      <c r="F471" t="str">
        <f>_xlfn.XLOOKUP(Table1[[#This Row],[Player]]&amp;Table1[[#This Row],[Week]]&amp;Table1[[#This Row],[Role]],'Google Form Transform'!$A:$A,'Google Form Transform'!G:G,"")</f>
        <v/>
      </c>
      <c r="G471" s="59">
        <f>SUMIFS(Table2[Stat],Table2[Stat Category],"passing",Table2[Stat Type],"YDS",Table2[Athlete],Table1[[#This Row],[Pick]],Table2[Week],Table1[[#This Row],[Week]])</f>
        <v>0</v>
      </c>
      <c r="H471" s="59">
        <f>SUMIFS(Table2[Stat],Table2[Stat Category],"rushing",Table2[Stat Type],"YDS",Table2[Athlete],Table1[[#This Row],[Pick]],Table2[Week],Table1[[#This Row],[Week]])</f>
        <v>0</v>
      </c>
      <c r="I471" s="59">
        <f>SUMIFS(Table2[Stat],Table2[Stat Category],"receiving",Table2[Stat Type],"YDS",Table2[Athlete],Table1[[#This Row],[Pick]],Table2[Week],Table1[[#This Row],[Week]])</f>
        <v>0</v>
      </c>
      <c r="J471" s="6">
        <f>IF(AND($C471="Rushing", $H471&lt;=0), 0, IF(AND($C471="Passing", $G$3&lt;=0), 0,IF(AND($C471="Receiving",$I471&lt;=0), 0,SUMIFS(Table2[Stat],Table2[Week],Table1[[#This Row],[Week]],Table2[Athlete],Table1[[#This Row],[Pick]],Table2[Stat Category],"passing",Table2[Stat Type],"TD"))))</f>
        <v>0</v>
      </c>
      <c r="K471" s="6">
        <f>IF(AND($C471="Rushing", $H471&lt;=0), 0, IF(AND($C471="Passing", $G$3&lt;=0), 0,IF(AND($C471="Receiving",$I471&lt;=0),0,SUMIFS(Table2[Stat],Table2[Week],Table1[[#This Row],[Week]],Table2[Athlete],Table1[[#This Row],[Pick]],Table2[Stat Category],"rushing",Table2[Stat Type],"TD"))))</f>
        <v>0</v>
      </c>
      <c r="L471" s="6">
        <f>IF(AND($C471="Rushing", $H471&lt;=0), 0, IF(AND($C471="Passing", $G$3&lt;=0), 0,IF(AND($C471="Receiving",$I471&lt;=0),0,SUMIFS(Table2[Stat],Table2[Week],Table1[[#This Row],[Week]],Table2[Athlete],Table1[[#This Row],[Pick]],Table2[Stat Category],"receiving",Table2[Stat Type],"TD"))))</f>
        <v>0</v>
      </c>
      <c r="M4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1" s="61">
        <f>SUMIFS(Data!$J:$J,Data!$A:$A,Info!$B471,Data!$G:$G,Info!$C471,Data!$I:$I,Info!$D471,Data!$H:$H,"TOT")</f>
        <v>0</v>
      </c>
      <c r="O471" s="61">
        <f>IF(C471="Defensive",SUMIFS(Data!$J:$J,Data!$A:$A,Info!$B471,Data!$I:$I,Info!$D471,Data!$H:$H,"INT"),0)</f>
        <v>0</v>
      </c>
      <c r="P471" s="61">
        <f>IF(Table1[[#This Row],[Role]]="Defensive",SUMIFS(Data!$J:$J,Data!$A:$A,Info!$B471,Data!$I:$I,Info!$D471,Data!$H:$H,$P$1),0)</f>
        <v>0</v>
      </c>
      <c r="Q471" s="65" t="str">
        <f>IF(Table1[[#This Row],[Pick]]="","",IF(S471&gt;1,400,IF(G471="","",IF(C471="Passing",(400-Table1[[#This Row],[Passing Yards]]-(30*Table1[[#This Row],[Passing TDs]])-(50*SUM(Table1[[#This Row],[Rushing TDs]:[Other TD''s]]))),IF(C471="Rushing",2*(200-Table1[[#This Row],[Rushing Yards]]-(30*Table1[[#This Row],[Passing TDs]])-50*(Table1[[#This Row],[Rushing TDs]]+Table1[[#This Row],[Receiving TDs]]+Table1[[#This Row],[Other TD''s]])),IF(C471="Receiving",2*(200-Table1[[#This Row],[Receiving Yards]]-(30*Table1[[#This Row],[Passing TDs]])-50*(Table1[[#This Row],[Rushing TDs]]+Table1[[#This Row],[Receiving TDs]]+Table1[[#This Row],[Other TD''s]])),IF(C471="Defensive",(25*(16-Table1[[#This Row],[Tackles]]-(8*(Table1[[#This Row],[Other TD''s]]+Table1[[#This Row],[Interceptions]]+Table1[[#This Row],[Fumbles Recovered]])))))))))))</f>
        <v/>
      </c>
      <c r="R471" s="3" t="str">
        <f t="shared" si="16"/>
        <v/>
      </c>
      <c r="S471" s="4">
        <f t="shared" si="15"/>
        <v>1048507</v>
      </c>
      <c r="T4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2" spans="1:20" hidden="1" x14ac:dyDescent="0.25">
      <c r="A472" t="s">
        <v>26</v>
      </c>
      <c r="B472" s="28" t="s">
        <v>50</v>
      </c>
      <c r="C472" t="s">
        <v>6</v>
      </c>
      <c r="D472" t="str">
        <f>_xlfn.XLOOKUP(Table1[[#This Row],[Player]]&amp;Table1[[#This Row],[Week]]&amp;Table1[[#This Row],[Role]],'Google Form Transform'!$A:$A,'Google Form Transform'!E:E,"")</f>
        <v/>
      </c>
      <c r="E472" t="str">
        <f>_xlfn.XLOOKUP(Table1[[#This Row],[Player]]&amp;Table1[[#This Row],[Week]]&amp;Table1[[#This Row],[Role]],'Google Form Transform'!$A:$A,'Google Form Transform'!F:F,"")</f>
        <v/>
      </c>
      <c r="F472" t="str">
        <f>_xlfn.XLOOKUP(Table1[[#This Row],[Player]]&amp;Table1[[#This Row],[Week]]&amp;Table1[[#This Row],[Role]],'Google Form Transform'!$A:$A,'Google Form Transform'!G:G,"")</f>
        <v/>
      </c>
      <c r="G472" s="59">
        <f>SUMIFS(Table2[Stat],Table2[Stat Category],"passing",Table2[Stat Type],"YDS",Table2[Athlete],Table1[[#This Row],[Pick]],Table2[Week],Table1[[#This Row],[Week]])</f>
        <v>0</v>
      </c>
      <c r="H472" s="59">
        <f>SUMIFS(Table2[Stat],Table2[Stat Category],"rushing",Table2[Stat Type],"YDS",Table2[Athlete],Table1[[#This Row],[Pick]],Table2[Week],Table1[[#This Row],[Week]])</f>
        <v>0</v>
      </c>
      <c r="I472" s="59">
        <f>SUMIFS(Table2[Stat],Table2[Stat Category],"receiving",Table2[Stat Type],"YDS",Table2[Athlete],Table1[[#This Row],[Pick]],Table2[Week],Table1[[#This Row],[Week]])</f>
        <v>0</v>
      </c>
      <c r="J472" s="6">
        <f>IF(AND($C472="Rushing", $H472&lt;=0), 0, IF(AND($C472="Passing", $G$3&lt;=0), 0,IF(AND($C472="Receiving",$I472&lt;=0), 0,SUMIFS(Table2[Stat],Table2[Week],Table1[[#This Row],[Week]],Table2[Athlete],Table1[[#This Row],[Pick]],Table2[Stat Category],"passing",Table2[Stat Type],"TD"))))</f>
        <v>0</v>
      </c>
      <c r="K472" s="6">
        <f>IF(AND($C472="Rushing", $H472&lt;=0), 0, IF(AND($C472="Passing", $G$3&lt;=0), 0,IF(AND($C472="Receiving",$I472&lt;=0),0,SUMIFS(Table2[Stat],Table2[Week],Table1[[#This Row],[Week]],Table2[Athlete],Table1[[#This Row],[Pick]],Table2[Stat Category],"rushing",Table2[Stat Type],"TD"))))</f>
        <v>0</v>
      </c>
      <c r="L472" s="6">
        <f>IF(AND($C472="Rushing", $H472&lt;=0), 0, IF(AND($C472="Passing", $G$3&lt;=0), 0,IF(AND($C472="Receiving",$I472&lt;=0),0,SUMIFS(Table2[Stat],Table2[Week],Table1[[#This Row],[Week]],Table2[Athlete],Table1[[#This Row],[Pick]],Table2[Stat Category],"receiving",Table2[Stat Type],"TD"))))</f>
        <v>0</v>
      </c>
      <c r="M4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2" s="61">
        <f>SUMIFS(Data!$J:$J,Data!$A:$A,Info!$B472,Data!$G:$G,Info!$C472,Data!$I:$I,Info!$D472,Data!$H:$H,"TOT")</f>
        <v>0</v>
      </c>
      <c r="O472" s="61">
        <f>IF(C472="Defensive",SUMIFS(Data!$J:$J,Data!$A:$A,Info!$B472,Data!$I:$I,Info!$D472,Data!$H:$H,"INT"),0)</f>
        <v>0</v>
      </c>
      <c r="P472" s="61">
        <f>IF(Table1[[#This Row],[Role]]="Defensive",SUMIFS(Data!$J:$J,Data!$A:$A,Info!$B472,Data!$I:$I,Info!$D472,Data!$H:$H,$P$1),0)</f>
        <v>0</v>
      </c>
      <c r="Q472" s="65" t="str">
        <f>IF(Table1[[#This Row],[Pick]]="","",IF(S472&gt;1,400,IF(G472="","",IF(C472="Passing",(400-Table1[[#This Row],[Passing Yards]]-(30*Table1[[#This Row],[Passing TDs]])-(50*SUM(Table1[[#This Row],[Rushing TDs]:[Other TD''s]]))),IF(C472="Rushing",2*(200-Table1[[#This Row],[Rushing Yards]]-(30*Table1[[#This Row],[Passing TDs]])-50*(Table1[[#This Row],[Rushing TDs]]+Table1[[#This Row],[Receiving TDs]]+Table1[[#This Row],[Other TD''s]])),IF(C472="Receiving",2*(200-Table1[[#This Row],[Receiving Yards]]-(30*Table1[[#This Row],[Passing TDs]])-50*(Table1[[#This Row],[Rushing TDs]]+Table1[[#This Row],[Receiving TDs]]+Table1[[#This Row],[Other TD''s]])),IF(C472="Defensive",(25*(16-Table1[[#This Row],[Tackles]]-(8*(Table1[[#This Row],[Other TD''s]]+Table1[[#This Row],[Interceptions]]+Table1[[#This Row],[Fumbles Recovered]])))))))))))</f>
        <v/>
      </c>
      <c r="R472" s="3" t="str">
        <f t="shared" si="16"/>
        <v/>
      </c>
      <c r="S472" s="4">
        <f t="shared" si="15"/>
        <v>1048507</v>
      </c>
      <c r="T4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3" spans="1:20" hidden="1" x14ac:dyDescent="0.25">
      <c r="A473" t="s">
        <v>26</v>
      </c>
      <c r="B473" s="28" t="s">
        <v>50</v>
      </c>
      <c r="C473" t="s">
        <v>17</v>
      </c>
      <c r="D473" t="str">
        <f>_xlfn.XLOOKUP(Table1[[#This Row],[Player]]&amp;Table1[[#This Row],[Week]]&amp;Table1[[#This Row],[Role]],'Google Form Transform'!$A:$A,'Google Form Transform'!E:E,"")</f>
        <v/>
      </c>
      <c r="E473" t="str">
        <f>_xlfn.XLOOKUP(Table1[[#This Row],[Player]]&amp;Table1[[#This Row],[Week]]&amp;Table1[[#This Row],[Role]],'Google Form Transform'!$A:$A,'Google Form Transform'!F:F,"")</f>
        <v/>
      </c>
      <c r="F473" t="str">
        <f>_xlfn.XLOOKUP(Table1[[#This Row],[Player]]&amp;Table1[[#This Row],[Week]]&amp;Table1[[#This Row],[Role]],'Google Form Transform'!$A:$A,'Google Form Transform'!G:G,"")</f>
        <v/>
      </c>
      <c r="G473" s="59">
        <f>SUMIFS(Table2[Stat],Table2[Stat Category],"passing",Table2[Stat Type],"YDS",Table2[Athlete],Table1[[#This Row],[Pick]],Table2[Week],Table1[[#This Row],[Week]])</f>
        <v>0</v>
      </c>
      <c r="H473" s="59">
        <f>SUMIFS(Table2[Stat],Table2[Stat Category],"rushing",Table2[Stat Type],"YDS",Table2[Athlete],Table1[[#This Row],[Pick]],Table2[Week],Table1[[#This Row],[Week]])</f>
        <v>0</v>
      </c>
      <c r="I473" s="59">
        <f>SUMIFS(Table2[Stat],Table2[Stat Category],"receiving",Table2[Stat Type],"YDS",Table2[Athlete],Table1[[#This Row],[Pick]],Table2[Week],Table1[[#This Row],[Week]])</f>
        <v>0</v>
      </c>
      <c r="J473" s="6">
        <f>IF(AND($C473="Rushing", $H473&lt;=0), 0, IF(AND($C473="Passing", $G$3&lt;=0), 0,IF(AND($C473="Receiving",$I473&lt;=0), 0,SUMIFS(Table2[Stat],Table2[Week],Table1[[#This Row],[Week]],Table2[Athlete],Table1[[#This Row],[Pick]],Table2[Stat Category],"passing",Table2[Stat Type],"TD"))))</f>
        <v>0</v>
      </c>
      <c r="K473" s="6">
        <f>IF(AND($C473="Rushing", $H473&lt;=0), 0, IF(AND($C473="Passing", $G$3&lt;=0), 0,IF(AND($C473="Receiving",$I473&lt;=0),0,SUMIFS(Table2[Stat],Table2[Week],Table1[[#This Row],[Week]],Table2[Athlete],Table1[[#This Row],[Pick]],Table2[Stat Category],"rushing",Table2[Stat Type],"TD"))))</f>
        <v>0</v>
      </c>
      <c r="L473" s="6">
        <f>IF(AND($C473="Rushing", $H473&lt;=0), 0, IF(AND($C473="Passing", $G$3&lt;=0), 0,IF(AND($C473="Receiving",$I473&lt;=0),0,SUMIFS(Table2[Stat],Table2[Week],Table1[[#This Row],[Week]],Table2[Athlete],Table1[[#This Row],[Pick]],Table2[Stat Category],"receiving",Table2[Stat Type],"TD"))))</f>
        <v>0</v>
      </c>
      <c r="M4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3" s="61">
        <f>SUMIFS(Data!$J:$J,Data!$A:$A,Info!$B473,Data!$G:$G,Info!$C473,Data!$I:$I,Info!$D473,Data!$H:$H,"TOT")</f>
        <v>0</v>
      </c>
      <c r="O473" s="61">
        <f>IF(C473="Defensive",SUMIFS(Data!$J:$J,Data!$A:$A,Info!$B473,Data!$I:$I,Info!$D473,Data!$H:$H,"INT"),0)</f>
        <v>0</v>
      </c>
      <c r="P473" s="61">
        <f>IF(Table1[[#This Row],[Role]]="Defensive",SUMIFS(Data!$J:$J,Data!$A:$A,Info!$B473,Data!$I:$I,Info!$D473,Data!$H:$H,$P$1),0)</f>
        <v>0</v>
      </c>
      <c r="Q473" s="65" t="str">
        <f>IF(Table1[[#This Row],[Pick]]="","",IF(S473&gt;1,400,IF(G473="","",IF(C473="Passing",(400-Table1[[#This Row],[Passing Yards]]-(30*Table1[[#This Row],[Passing TDs]])-(50*SUM(Table1[[#This Row],[Rushing TDs]:[Other TD''s]]))),IF(C473="Rushing",2*(200-Table1[[#This Row],[Rushing Yards]]-(30*Table1[[#This Row],[Passing TDs]])-50*(Table1[[#This Row],[Rushing TDs]]+Table1[[#This Row],[Receiving TDs]]+Table1[[#This Row],[Other TD''s]])),IF(C473="Receiving",2*(200-Table1[[#This Row],[Receiving Yards]]-(30*Table1[[#This Row],[Passing TDs]])-50*(Table1[[#This Row],[Rushing TDs]]+Table1[[#This Row],[Receiving TDs]]+Table1[[#This Row],[Other TD''s]])),IF(C473="Defensive",(25*(16-Table1[[#This Row],[Tackles]]-(8*(Table1[[#This Row],[Other TD''s]]+Table1[[#This Row],[Interceptions]]+Table1[[#This Row],[Fumbles Recovered]])))))))))))</f>
        <v/>
      </c>
      <c r="R473" s="3" t="str">
        <f t="shared" si="16"/>
        <v/>
      </c>
      <c r="S473" s="4">
        <f t="shared" si="15"/>
        <v>1048507</v>
      </c>
      <c r="T4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4" spans="1:20" hidden="1" x14ac:dyDescent="0.25">
      <c r="A474" t="s">
        <v>26</v>
      </c>
      <c r="B474" s="28" t="s">
        <v>50</v>
      </c>
      <c r="C474" t="s">
        <v>20</v>
      </c>
      <c r="D474" t="str">
        <f>_xlfn.XLOOKUP(Table1[[#This Row],[Player]]&amp;Table1[[#This Row],[Week]]&amp;Table1[[#This Row],[Role]],'Google Form Transform'!$A:$A,'Google Form Transform'!E:E,"")</f>
        <v/>
      </c>
      <c r="E474" t="str">
        <f>_xlfn.XLOOKUP(Table1[[#This Row],[Player]]&amp;Table1[[#This Row],[Week]]&amp;Table1[[#This Row],[Role]],'Google Form Transform'!$A:$A,'Google Form Transform'!F:F,"")</f>
        <v/>
      </c>
      <c r="F474" t="str">
        <f>_xlfn.XLOOKUP(Table1[[#This Row],[Player]]&amp;Table1[[#This Row],[Week]]&amp;Table1[[#This Row],[Role]],'Google Form Transform'!$A:$A,'Google Form Transform'!G:G,"")</f>
        <v/>
      </c>
      <c r="G474" s="59">
        <f>SUMIFS(Table2[Stat],Table2[Stat Category],"passing",Table2[Stat Type],"YDS",Table2[Athlete],Table1[[#This Row],[Pick]],Table2[Week],Table1[[#This Row],[Week]])</f>
        <v>0</v>
      </c>
      <c r="H474" s="59">
        <f>SUMIFS(Table2[Stat],Table2[Stat Category],"rushing",Table2[Stat Type],"YDS",Table2[Athlete],Table1[[#This Row],[Pick]],Table2[Week],Table1[[#This Row],[Week]])</f>
        <v>0</v>
      </c>
      <c r="I474" s="59">
        <f>SUMIFS(Table2[Stat],Table2[Stat Category],"receiving",Table2[Stat Type],"YDS",Table2[Athlete],Table1[[#This Row],[Pick]],Table2[Week],Table1[[#This Row],[Week]])</f>
        <v>0</v>
      </c>
      <c r="J474" s="6">
        <f>IF(AND($C474="Rushing", $H474&lt;=0), 0, IF(AND($C474="Passing", $G$3&lt;=0), 0,IF(AND($C474="Receiving",$I474&lt;=0), 0,SUMIFS(Table2[Stat],Table2[Week],Table1[[#This Row],[Week]],Table2[Athlete],Table1[[#This Row],[Pick]],Table2[Stat Category],"passing",Table2[Stat Type],"TD"))))</f>
        <v>0</v>
      </c>
      <c r="K474" s="6">
        <f>IF(AND($C474="Rushing", $H474&lt;=0), 0, IF(AND($C474="Passing", $G$3&lt;=0), 0,IF(AND($C474="Receiving",$I474&lt;=0),0,SUMIFS(Table2[Stat],Table2[Week],Table1[[#This Row],[Week]],Table2[Athlete],Table1[[#This Row],[Pick]],Table2[Stat Category],"rushing",Table2[Stat Type],"TD"))))</f>
        <v>0</v>
      </c>
      <c r="L474" s="6">
        <f>IF(AND($C474="Rushing", $H474&lt;=0), 0, IF(AND($C474="Passing", $G$3&lt;=0), 0,IF(AND($C474="Receiving",$I474&lt;=0),0,SUMIFS(Table2[Stat],Table2[Week],Table1[[#This Row],[Week]],Table2[Athlete],Table1[[#This Row],[Pick]],Table2[Stat Category],"receiving",Table2[Stat Type],"TD"))))</f>
        <v>0</v>
      </c>
      <c r="M4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4" s="61">
        <f>SUMIFS(Data!$J:$J,Data!$A:$A,Info!$B474,Data!$G:$G,Info!$C474,Data!$I:$I,Info!$D474,Data!$H:$H,"TOT")</f>
        <v>0</v>
      </c>
      <c r="O474" s="61">
        <f>IF(C474="Defensive",SUMIFS(Data!$J:$J,Data!$A:$A,Info!$B474,Data!$I:$I,Info!$D474,Data!$H:$H,"INT"),0)</f>
        <v>0</v>
      </c>
      <c r="P474" s="61">
        <f>IF(Table1[[#This Row],[Role]]="Defensive",SUMIFS(Data!$J:$J,Data!$A:$A,Info!$B474,Data!$I:$I,Info!$D474,Data!$H:$H,$P$1),0)</f>
        <v>0</v>
      </c>
      <c r="Q474" s="65" t="str">
        <f>IF(Table1[[#This Row],[Pick]]="","",IF(S474&gt;1,400,IF(G474="","",IF(C474="Passing",(400-Table1[[#This Row],[Passing Yards]]-(30*Table1[[#This Row],[Passing TDs]])-(50*SUM(Table1[[#This Row],[Rushing TDs]:[Other TD''s]]))),IF(C474="Rushing",2*(200-Table1[[#This Row],[Rushing Yards]]-(30*Table1[[#This Row],[Passing TDs]])-50*(Table1[[#This Row],[Rushing TDs]]+Table1[[#This Row],[Receiving TDs]]+Table1[[#This Row],[Other TD''s]])),IF(C474="Receiving",2*(200-Table1[[#This Row],[Receiving Yards]]-(30*Table1[[#This Row],[Passing TDs]])-50*(Table1[[#This Row],[Rushing TDs]]+Table1[[#This Row],[Receiving TDs]]+Table1[[#This Row],[Other TD''s]])),IF(C474="Defensive",(25*(16-Table1[[#This Row],[Tackles]]-(8*(Table1[[#This Row],[Other TD''s]]+Table1[[#This Row],[Interceptions]]+Table1[[#This Row],[Fumbles Recovered]])))))))))))</f>
        <v/>
      </c>
      <c r="R474" s="3" t="str">
        <f t="shared" si="16"/>
        <v/>
      </c>
      <c r="S474" s="4">
        <f t="shared" si="15"/>
        <v>1048507</v>
      </c>
      <c r="T4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5" spans="1:20" hidden="1" x14ac:dyDescent="0.25">
      <c r="A475" t="s">
        <v>43</v>
      </c>
      <c r="B475" s="28" t="s">
        <v>50</v>
      </c>
      <c r="C475" t="s">
        <v>16</v>
      </c>
      <c r="D475" t="str">
        <f>_xlfn.XLOOKUP(Table1[[#This Row],[Player]]&amp;Table1[[#This Row],[Week]]&amp;Table1[[#This Row],[Role]],'Google Form Transform'!$A:$A,'Google Form Transform'!E:E,"")</f>
        <v/>
      </c>
      <c r="E475" t="str">
        <f>_xlfn.XLOOKUP(Table1[[#This Row],[Player]]&amp;Table1[[#This Row],[Week]]&amp;Table1[[#This Row],[Role]],'Google Form Transform'!$A:$A,'Google Form Transform'!F:F,"")</f>
        <v/>
      </c>
      <c r="F475" t="str">
        <f>_xlfn.XLOOKUP(Table1[[#This Row],[Player]]&amp;Table1[[#This Row],[Week]]&amp;Table1[[#This Row],[Role]],'Google Form Transform'!$A:$A,'Google Form Transform'!G:G,"")</f>
        <v/>
      </c>
      <c r="G475" s="59">
        <f>SUMIFS(Table2[Stat],Table2[Stat Category],"passing",Table2[Stat Type],"YDS",Table2[Athlete],Table1[[#This Row],[Pick]],Table2[Week],Table1[[#This Row],[Week]])</f>
        <v>0</v>
      </c>
      <c r="H475" s="59">
        <f>SUMIFS(Table2[Stat],Table2[Stat Category],"rushing",Table2[Stat Type],"YDS",Table2[Athlete],Table1[[#This Row],[Pick]],Table2[Week],Table1[[#This Row],[Week]])</f>
        <v>0</v>
      </c>
      <c r="I475" s="59">
        <f>SUMIFS(Table2[Stat],Table2[Stat Category],"receiving",Table2[Stat Type],"YDS",Table2[Athlete],Table1[[#This Row],[Pick]],Table2[Week],Table1[[#This Row],[Week]])</f>
        <v>0</v>
      </c>
      <c r="J475" s="6">
        <f>IF(AND($C475="Rushing", $H475&lt;=0), 0, IF(AND($C475="Passing", $G$3&lt;=0), 0,IF(AND($C475="Receiving",$I475&lt;=0), 0,SUMIFS(Table2[Stat],Table2[Week],Table1[[#This Row],[Week]],Table2[Athlete],Table1[[#This Row],[Pick]],Table2[Stat Category],"passing",Table2[Stat Type],"TD"))))</f>
        <v>0</v>
      </c>
      <c r="K475" s="6">
        <f>IF(AND($C475="Rushing", $H475&lt;=0), 0, IF(AND($C475="Passing", $G$3&lt;=0), 0,IF(AND($C475="Receiving",$I475&lt;=0),0,SUMIFS(Table2[Stat],Table2[Week],Table1[[#This Row],[Week]],Table2[Athlete],Table1[[#This Row],[Pick]],Table2[Stat Category],"rushing",Table2[Stat Type],"TD"))))</f>
        <v>0</v>
      </c>
      <c r="L475" s="6">
        <f>IF(AND($C475="Rushing", $H475&lt;=0), 0, IF(AND($C475="Passing", $G$3&lt;=0), 0,IF(AND($C475="Receiving",$I475&lt;=0),0,SUMIFS(Table2[Stat],Table2[Week],Table1[[#This Row],[Week]],Table2[Athlete],Table1[[#This Row],[Pick]],Table2[Stat Category],"receiving",Table2[Stat Type],"TD"))))</f>
        <v>0</v>
      </c>
      <c r="M4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5" s="61">
        <f>SUMIFS(Data!$J:$J,Data!$A:$A,Info!$B475,Data!$G:$G,Info!$C475,Data!$I:$I,Info!$D475,Data!$H:$H,"TOT")</f>
        <v>0</v>
      </c>
      <c r="O475" s="61">
        <f>IF(C475="Defensive",SUMIFS(Data!$J:$J,Data!$A:$A,Info!$B475,Data!$I:$I,Info!$D475,Data!$H:$H,"INT"),0)</f>
        <v>0</v>
      </c>
      <c r="P475" s="61">
        <f>IF(Table1[[#This Row],[Role]]="Defensive",SUMIFS(Data!$J:$J,Data!$A:$A,Info!$B475,Data!$I:$I,Info!$D475,Data!$H:$H,$P$1),0)</f>
        <v>0</v>
      </c>
      <c r="Q475" s="65" t="str">
        <f>IF(Table1[[#This Row],[Pick]]="","",IF(S475&gt;1,400,IF(G475="","",IF(C475="Passing",(400-Table1[[#This Row],[Passing Yards]]-(30*Table1[[#This Row],[Passing TDs]])-(50*SUM(Table1[[#This Row],[Rushing TDs]:[Other TD''s]]))),IF(C475="Rushing",2*(200-Table1[[#This Row],[Rushing Yards]]-(30*Table1[[#This Row],[Passing TDs]])-50*(Table1[[#This Row],[Rushing TDs]]+Table1[[#This Row],[Receiving TDs]]+Table1[[#This Row],[Other TD''s]])),IF(C475="Receiving",2*(200-Table1[[#This Row],[Receiving Yards]]-(30*Table1[[#This Row],[Passing TDs]])-50*(Table1[[#This Row],[Rushing TDs]]+Table1[[#This Row],[Receiving TDs]]+Table1[[#This Row],[Other TD''s]])),IF(C475="Defensive",(25*(16-Table1[[#This Row],[Tackles]]-(8*(Table1[[#This Row],[Other TD''s]]+Table1[[#This Row],[Interceptions]]+Table1[[#This Row],[Fumbles Recovered]])))))))))))</f>
        <v/>
      </c>
      <c r="R475" s="3" t="str">
        <f t="shared" si="16"/>
        <v/>
      </c>
      <c r="S475" s="4">
        <f t="shared" si="15"/>
        <v>1048507</v>
      </c>
      <c r="T4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6" spans="1:20" hidden="1" x14ac:dyDescent="0.25">
      <c r="A476" t="s">
        <v>43</v>
      </c>
      <c r="B476" s="28" t="s">
        <v>50</v>
      </c>
      <c r="C476" t="s">
        <v>6</v>
      </c>
      <c r="D476" t="str">
        <f>_xlfn.XLOOKUP(Table1[[#This Row],[Player]]&amp;Table1[[#This Row],[Week]]&amp;Table1[[#This Row],[Role]],'Google Form Transform'!$A:$A,'Google Form Transform'!E:E,"")</f>
        <v/>
      </c>
      <c r="E476" t="str">
        <f>_xlfn.XLOOKUP(Table1[[#This Row],[Player]]&amp;Table1[[#This Row],[Week]]&amp;Table1[[#This Row],[Role]],'Google Form Transform'!$A:$A,'Google Form Transform'!F:F,"")</f>
        <v/>
      </c>
      <c r="F476" t="str">
        <f>_xlfn.XLOOKUP(Table1[[#This Row],[Player]]&amp;Table1[[#This Row],[Week]]&amp;Table1[[#This Row],[Role]],'Google Form Transform'!$A:$A,'Google Form Transform'!G:G,"")</f>
        <v/>
      </c>
      <c r="G476" s="59">
        <f>SUMIFS(Table2[Stat],Table2[Stat Category],"passing",Table2[Stat Type],"YDS",Table2[Athlete],Table1[[#This Row],[Pick]],Table2[Week],Table1[[#This Row],[Week]])</f>
        <v>0</v>
      </c>
      <c r="H476" s="59">
        <f>SUMIFS(Table2[Stat],Table2[Stat Category],"rushing",Table2[Stat Type],"YDS",Table2[Athlete],Table1[[#This Row],[Pick]],Table2[Week],Table1[[#This Row],[Week]])</f>
        <v>0</v>
      </c>
      <c r="I476" s="59">
        <f>SUMIFS(Table2[Stat],Table2[Stat Category],"receiving",Table2[Stat Type],"YDS",Table2[Athlete],Table1[[#This Row],[Pick]],Table2[Week],Table1[[#This Row],[Week]])</f>
        <v>0</v>
      </c>
      <c r="J476" s="6">
        <f>IF(AND($C476="Rushing", $H476&lt;=0), 0, IF(AND($C476="Passing", $G$3&lt;=0), 0,IF(AND($C476="Receiving",$I476&lt;=0), 0,SUMIFS(Table2[Stat],Table2[Week],Table1[[#This Row],[Week]],Table2[Athlete],Table1[[#This Row],[Pick]],Table2[Stat Category],"passing",Table2[Stat Type],"TD"))))</f>
        <v>0</v>
      </c>
      <c r="K476" s="6">
        <f>IF(AND($C476="Rushing", $H476&lt;=0), 0, IF(AND($C476="Passing", $G$3&lt;=0), 0,IF(AND($C476="Receiving",$I476&lt;=0),0,SUMIFS(Table2[Stat],Table2[Week],Table1[[#This Row],[Week]],Table2[Athlete],Table1[[#This Row],[Pick]],Table2[Stat Category],"rushing",Table2[Stat Type],"TD"))))</f>
        <v>0</v>
      </c>
      <c r="L476" s="6">
        <f>IF(AND($C476="Rushing", $H476&lt;=0), 0, IF(AND($C476="Passing", $G$3&lt;=0), 0,IF(AND($C476="Receiving",$I476&lt;=0),0,SUMIFS(Table2[Stat],Table2[Week],Table1[[#This Row],[Week]],Table2[Athlete],Table1[[#This Row],[Pick]],Table2[Stat Category],"receiving",Table2[Stat Type],"TD"))))</f>
        <v>0</v>
      </c>
      <c r="M4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6" s="61">
        <f>SUMIFS(Data!$J:$J,Data!$A:$A,Info!$B476,Data!$G:$G,Info!$C476,Data!$I:$I,Info!$D476,Data!$H:$H,"TOT")</f>
        <v>0</v>
      </c>
      <c r="O476" s="61">
        <f>IF(C476="Defensive",SUMIFS(Data!$J:$J,Data!$A:$A,Info!$B476,Data!$I:$I,Info!$D476,Data!$H:$H,"INT"),0)</f>
        <v>0</v>
      </c>
      <c r="P476" s="61">
        <f>IF(Table1[[#This Row],[Role]]="Defensive",SUMIFS(Data!$J:$J,Data!$A:$A,Info!$B476,Data!$I:$I,Info!$D476,Data!$H:$H,$P$1),0)</f>
        <v>0</v>
      </c>
      <c r="Q476" s="65" t="str">
        <f>IF(Table1[[#This Row],[Pick]]="","",IF(S476&gt;1,400,IF(G476="","",IF(C476="Passing",(400-Table1[[#This Row],[Passing Yards]]-(30*Table1[[#This Row],[Passing TDs]])-(50*SUM(Table1[[#This Row],[Rushing TDs]:[Other TD''s]]))),IF(C476="Rushing",2*(200-Table1[[#This Row],[Rushing Yards]]-(30*Table1[[#This Row],[Passing TDs]])-50*(Table1[[#This Row],[Rushing TDs]]+Table1[[#This Row],[Receiving TDs]]+Table1[[#This Row],[Other TD''s]])),IF(C476="Receiving",2*(200-Table1[[#This Row],[Receiving Yards]]-(30*Table1[[#This Row],[Passing TDs]])-50*(Table1[[#This Row],[Rushing TDs]]+Table1[[#This Row],[Receiving TDs]]+Table1[[#This Row],[Other TD''s]])),IF(C476="Defensive",(25*(16-Table1[[#This Row],[Tackles]]-(8*(Table1[[#This Row],[Other TD''s]]+Table1[[#This Row],[Interceptions]]+Table1[[#This Row],[Fumbles Recovered]])))))))))))</f>
        <v/>
      </c>
      <c r="R476" s="3" t="str">
        <f t="shared" si="16"/>
        <v/>
      </c>
      <c r="S476" s="4">
        <f t="shared" si="15"/>
        <v>1048507</v>
      </c>
      <c r="T4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7" spans="1:20" hidden="1" x14ac:dyDescent="0.25">
      <c r="A477" t="s">
        <v>43</v>
      </c>
      <c r="B477" s="28" t="s">
        <v>50</v>
      </c>
      <c r="C477" t="s">
        <v>17</v>
      </c>
      <c r="D477" t="str">
        <f>_xlfn.XLOOKUP(Table1[[#This Row],[Player]]&amp;Table1[[#This Row],[Week]]&amp;Table1[[#This Row],[Role]],'Google Form Transform'!$A:$A,'Google Form Transform'!E:E,"")</f>
        <v/>
      </c>
      <c r="E477" t="str">
        <f>_xlfn.XLOOKUP(Table1[[#This Row],[Player]]&amp;Table1[[#This Row],[Week]]&amp;Table1[[#This Row],[Role]],'Google Form Transform'!$A:$A,'Google Form Transform'!F:F,"")</f>
        <v/>
      </c>
      <c r="F477" t="str">
        <f>_xlfn.XLOOKUP(Table1[[#This Row],[Player]]&amp;Table1[[#This Row],[Week]]&amp;Table1[[#This Row],[Role]],'Google Form Transform'!$A:$A,'Google Form Transform'!G:G,"")</f>
        <v/>
      </c>
      <c r="G477" s="59">
        <f>SUMIFS(Table2[Stat],Table2[Stat Category],"passing",Table2[Stat Type],"YDS",Table2[Athlete],Table1[[#This Row],[Pick]],Table2[Week],Table1[[#This Row],[Week]])</f>
        <v>0</v>
      </c>
      <c r="H477" s="59">
        <f>SUMIFS(Table2[Stat],Table2[Stat Category],"rushing",Table2[Stat Type],"YDS",Table2[Athlete],Table1[[#This Row],[Pick]],Table2[Week],Table1[[#This Row],[Week]])</f>
        <v>0</v>
      </c>
      <c r="I477" s="59">
        <f>SUMIFS(Table2[Stat],Table2[Stat Category],"receiving",Table2[Stat Type],"YDS",Table2[Athlete],Table1[[#This Row],[Pick]],Table2[Week],Table1[[#This Row],[Week]])</f>
        <v>0</v>
      </c>
      <c r="J477" s="6">
        <f>IF(AND($C477="Rushing", $H477&lt;=0), 0, IF(AND($C477="Passing", $G$3&lt;=0), 0,IF(AND($C477="Receiving",$I477&lt;=0), 0,SUMIFS(Table2[Stat],Table2[Week],Table1[[#This Row],[Week]],Table2[Athlete],Table1[[#This Row],[Pick]],Table2[Stat Category],"passing",Table2[Stat Type],"TD"))))</f>
        <v>0</v>
      </c>
      <c r="K477" s="6">
        <f>IF(AND($C477="Rushing", $H477&lt;=0), 0, IF(AND($C477="Passing", $G$3&lt;=0), 0,IF(AND($C477="Receiving",$I477&lt;=0),0,SUMIFS(Table2[Stat],Table2[Week],Table1[[#This Row],[Week]],Table2[Athlete],Table1[[#This Row],[Pick]],Table2[Stat Category],"rushing",Table2[Stat Type],"TD"))))</f>
        <v>0</v>
      </c>
      <c r="L477" s="6">
        <f>IF(AND($C477="Rushing", $H477&lt;=0), 0, IF(AND($C477="Passing", $G$3&lt;=0), 0,IF(AND($C477="Receiving",$I477&lt;=0),0,SUMIFS(Table2[Stat],Table2[Week],Table1[[#This Row],[Week]],Table2[Athlete],Table1[[#This Row],[Pick]],Table2[Stat Category],"receiving",Table2[Stat Type],"TD"))))</f>
        <v>0</v>
      </c>
      <c r="M4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7" s="61">
        <f>SUMIFS(Data!$J:$J,Data!$A:$A,Info!$B477,Data!$G:$G,Info!$C477,Data!$I:$I,Info!$D477,Data!$H:$H,"TOT")</f>
        <v>0</v>
      </c>
      <c r="O477" s="61">
        <f>IF(C477="Defensive",SUMIFS(Data!$J:$J,Data!$A:$A,Info!$B477,Data!$I:$I,Info!$D477,Data!$H:$H,"INT"),0)</f>
        <v>0</v>
      </c>
      <c r="P477" s="61">
        <f>IF(Table1[[#This Row],[Role]]="Defensive",SUMIFS(Data!$J:$J,Data!$A:$A,Info!$B477,Data!$I:$I,Info!$D477,Data!$H:$H,$P$1),0)</f>
        <v>0</v>
      </c>
      <c r="Q477" s="65" t="str">
        <f>IF(Table1[[#This Row],[Pick]]="","",IF(S477&gt;1,400,IF(G477="","",IF(C477="Passing",(400-Table1[[#This Row],[Passing Yards]]-(30*Table1[[#This Row],[Passing TDs]])-(50*SUM(Table1[[#This Row],[Rushing TDs]:[Other TD''s]]))),IF(C477="Rushing",2*(200-Table1[[#This Row],[Rushing Yards]]-(30*Table1[[#This Row],[Passing TDs]])-50*(Table1[[#This Row],[Rushing TDs]]+Table1[[#This Row],[Receiving TDs]]+Table1[[#This Row],[Other TD''s]])),IF(C477="Receiving",2*(200-Table1[[#This Row],[Receiving Yards]]-(30*Table1[[#This Row],[Passing TDs]])-50*(Table1[[#This Row],[Rushing TDs]]+Table1[[#This Row],[Receiving TDs]]+Table1[[#This Row],[Other TD''s]])),IF(C477="Defensive",(25*(16-Table1[[#This Row],[Tackles]]-(8*(Table1[[#This Row],[Other TD''s]]+Table1[[#This Row],[Interceptions]]+Table1[[#This Row],[Fumbles Recovered]])))))))))))</f>
        <v/>
      </c>
      <c r="R477" s="3" t="str">
        <f t="shared" si="16"/>
        <v/>
      </c>
      <c r="S477" s="4">
        <f t="shared" si="15"/>
        <v>1048507</v>
      </c>
      <c r="T4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8" spans="1:20" hidden="1" x14ac:dyDescent="0.25">
      <c r="A478" t="s">
        <v>43</v>
      </c>
      <c r="B478" s="28" t="s">
        <v>50</v>
      </c>
      <c r="C478" t="s">
        <v>20</v>
      </c>
      <c r="D478" t="str">
        <f>_xlfn.XLOOKUP(Table1[[#This Row],[Player]]&amp;Table1[[#This Row],[Week]]&amp;Table1[[#This Row],[Role]],'Google Form Transform'!$A:$A,'Google Form Transform'!E:E,"")</f>
        <v/>
      </c>
      <c r="E478" t="str">
        <f>_xlfn.XLOOKUP(Table1[[#This Row],[Player]]&amp;Table1[[#This Row],[Week]]&amp;Table1[[#This Row],[Role]],'Google Form Transform'!$A:$A,'Google Form Transform'!F:F,"")</f>
        <v/>
      </c>
      <c r="F478" t="str">
        <f>_xlfn.XLOOKUP(Table1[[#This Row],[Player]]&amp;Table1[[#This Row],[Week]]&amp;Table1[[#This Row],[Role]],'Google Form Transform'!$A:$A,'Google Form Transform'!G:G,"")</f>
        <v/>
      </c>
      <c r="G478" s="59">
        <f>SUMIFS(Table2[Stat],Table2[Stat Category],"passing",Table2[Stat Type],"YDS",Table2[Athlete],Table1[[#This Row],[Pick]],Table2[Week],Table1[[#This Row],[Week]])</f>
        <v>0</v>
      </c>
      <c r="H478" s="59">
        <f>SUMIFS(Table2[Stat],Table2[Stat Category],"rushing",Table2[Stat Type],"YDS",Table2[Athlete],Table1[[#This Row],[Pick]],Table2[Week],Table1[[#This Row],[Week]])</f>
        <v>0</v>
      </c>
      <c r="I478" s="59">
        <f>SUMIFS(Table2[Stat],Table2[Stat Category],"receiving",Table2[Stat Type],"YDS",Table2[Athlete],Table1[[#This Row],[Pick]],Table2[Week],Table1[[#This Row],[Week]])</f>
        <v>0</v>
      </c>
      <c r="J478" s="6">
        <f>IF(AND($C478="Rushing", $H478&lt;=0), 0, IF(AND($C478="Passing", $G$3&lt;=0), 0,IF(AND($C478="Receiving",$I478&lt;=0), 0,SUMIFS(Table2[Stat],Table2[Week],Table1[[#This Row],[Week]],Table2[Athlete],Table1[[#This Row],[Pick]],Table2[Stat Category],"passing",Table2[Stat Type],"TD"))))</f>
        <v>0</v>
      </c>
      <c r="K478" s="6">
        <f>IF(AND($C478="Rushing", $H478&lt;=0), 0, IF(AND($C478="Passing", $G$3&lt;=0), 0,IF(AND($C478="Receiving",$I478&lt;=0),0,SUMIFS(Table2[Stat],Table2[Week],Table1[[#This Row],[Week]],Table2[Athlete],Table1[[#This Row],[Pick]],Table2[Stat Category],"rushing",Table2[Stat Type],"TD"))))</f>
        <v>0</v>
      </c>
      <c r="L478" s="6">
        <f>IF(AND($C478="Rushing", $H478&lt;=0), 0, IF(AND($C478="Passing", $G$3&lt;=0), 0,IF(AND($C478="Receiving",$I478&lt;=0),0,SUMIFS(Table2[Stat],Table2[Week],Table1[[#This Row],[Week]],Table2[Athlete],Table1[[#This Row],[Pick]],Table2[Stat Category],"receiving",Table2[Stat Type],"TD"))))</f>
        <v>0</v>
      </c>
      <c r="M4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8" s="61">
        <f>SUMIFS(Data!$J:$J,Data!$A:$A,Info!$B478,Data!$G:$G,Info!$C478,Data!$I:$I,Info!$D478,Data!$H:$H,"TOT")</f>
        <v>0</v>
      </c>
      <c r="O478" s="61">
        <f>IF(C478="Defensive",SUMIFS(Data!$J:$J,Data!$A:$A,Info!$B478,Data!$I:$I,Info!$D478,Data!$H:$H,"INT"),0)</f>
        <v>0</v>
      </c>
      <c r="P478" s="61">
        <f>IF(Table1[[#This Row],[Role]]="Defensive",SUMIFS(Data!$J:$J,Data!$A:$A,Info!$B478,Data!$I:$I,Info!$D478,Data!$H:$H,$P$1),0)</f>
        <v>0</v>
      </c>
      <c r="Q478" s="65" t="str">
        <f>IF(Table1[[#This Row],[Pick]]="","",IF(S478&gt;1,400,IF(G478="","",IF(C478="Passing",(400-Table1[[#This Row],[Passing Yards]]-(30*Table1[[#This Row],[Passing TDs]])-(50*SUM(Table1[[#This Row],[Rushing TDs]:[Other TD''s]]))),IF(C478="Rushing",2*(200-Table1[[#This Row],[Rushing Yards]]-(30*Table1[[#This Row],[Passing TDs]])-50*(Table1[[#This Row],[Rushing TDs]]+Table1[[#This Row],[Receiving TDs]]+Table1[[#This Row],[Other TD''s]])),IF(C478="Receiving",2*(200-Table1[[#This Row],[Receiving Yards]]-(30*Table1[[#This Row],[Passing TDs]])-50*(Table1[[#This Row],[Rushing TDs]]+Table1[[#This Row],[Receiving TDs]]+Table1[[#This Row],[Other TD''s]])),IF(C478="Defensive",(25*(16-Table1[[#This Row],[Tackles]]-(8*(Table1[[#This Row],[Other TD''s]]+Table1[[#This Row],[Interceptions]]+Table1[[#This Row],[Fumbles Recovered]])))))))))))</f>
        <v/>
      </c>
      <c r="R478" s="3" t="str">
        <f t="shared" si="16"/>
        <v/>
      </c>
      <c r="S478" s="4">
        <f t="shared" si="15"/>
        <v>1048507</v>
      </c>
      <c r="T4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9" spans="1:20" hidden="1" x14ac:dyDescent="0.25">
      <c r="A479" t="s">
        <v>7</v>
      </c>
      <c r="B479" s="28" t="s">
        <v>50</v>
      </c>
      <c r="C479" t="s">
        <v>16</v>
      </c>
      <c r="D479" t="str">
        <f>_xlfn.XLOOKUP(Table1[[#This Row],[Player]]&amp;Table1[[#This Row],[Week]]&amp;Table1[[#This Row],[Role]],'Google Form Transform'!$A:$A,'Google Form Transform'!E:E,"")</f>
        <v/>
      </c>
      <c r="E479" t="str">
        <f>_xlfn.XLOOKUP(Table1[[#This Row],[Player]]&amp;Table1[[#This Row],[Week]]&amp;Table1[[#This Row],[Role]],'Google Form Transform'!$A:$A,'Google Form Transform'!F:F,"")</f>
        <v/>
      </c>
      <c r="F479" t="str">
        <f>_xlfn.XLOOKUP(Table1[[#This Row],[Player]]&amp;Table1[[#This Row],[Week]]&amp;Table1[[#This Row],[Role]],'Google Form Transform'!$A:$A,'Google Form Transform'!G:G,"")</f>
        <v/>
      </c>
      <c r="G479" s="59">
        <f>SUMIFS(Table2[Stat],Table2[Stat Category],"passing",Table2[Stat Type],"YDS",Table2[Athlete],Table1[[#This Row],[Pick]],Table2[Week],Table1[[#This Row],[Week]])</f>
        <v>0</v>
      </c>
      <c r="H479" s="59">
        <f>SUMIFS(Table2[Stat],Table2[Stat Category],"rushing",Table2[Stat Type],"YDS",Table2[Athlete],Table1[[#This Row],[Pick]],Table2[Week],Table1[[#This Row],[Week]])</f>
        <v>0</v>
      </c>
      <c r="I479" s="59">
        <f>SUMIFS(Table2[Stat],Table2[Stat Category],"receiving",Table2[Stat Type],"YDS",Table2[Athlete],Table1[[#This Row],[Pick]],Table2[Week],Table1[[#This Row],[Week]])</f>
        <v>0</v>
      </c>
      <c r="J479" s="6">
        <f>IF(AND($C479="Rushing", $H479&lt;=0), 0, IF(AND($C479="Passing", $G$3&lt;=0), 0,IF(AND($C479="Receiving",$I479&lt;=0), 0,SUMIFS(Table2[Stat],Table2[Week],Table1[[#This Row],[Week]],Table2[Athlete],Table1[[#This Row],[Pick]],Table2[Stat Category],"passing",Table2[Stat Type],"TD"))))</f>
        <v>0</v>
      </c>
      <c r="K479" s="6">
        <f>IF(AND($C479="Rushing", $H479&lt;=0), 0, IF(AND($C479="Passing", $G$3&lt;=0), 0,IF(AND($C479="Receiving",$I479&lt;=0),0,SUMIFS(Table2[Stat],Table2[Week],Table1[[#This Row],[Week]],Table2[Athlete],Table1[[#This Row],[Pick]],Table2[Stat Category],"rushing",Table2[Stat Type],"TD"))))</f>
        <v>0</v>
      </c>
      <c r="L479" s="6">
        <f>IF(AND($C479="Rushing", $H479&lt;=0), 0, IF(AND($C479="Passing", $G$3&lt;=0), 0,IF(AND($C479="Receiving",$I479&lt;=0),0,SUMIFS(Table2[Stat],Table2[Week],Table1[[#This Row],[Week]],Table2[Athlete],Table1[[#This Row],[Pick]],Table2[Stat Category],"receiving",Table2[Stat Type],"TD"))))</f>
        <v>0</v>
      </c>
      <c r="M4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9" s="61">
        <f>SUMIFS(Data!$J:$J,Data!$A:$A,Info!$B479,Data!$G:$G,Info!$C479,Data!$I:$I,Info!$D479,Data!$H:$H,"TOT")</f>
        <v>0</v>
      </c>
      <c r="O479" s="61">
        <f>IF(C479="Defensive",SUMIFS(Data!$J:$J,Data!$A:$A,Info!$B479,Data!$I:$I,Info!$D479,Data!$H:$H,"INT"),0)</f>
        <v>0</v>
      </c>
      <c r="P479" s="61">
        <f>IF(Table1[[#This Row],[Role]]="Defensive",SUMIFS(Data!$J:$J,Data!$A:$A,Info!$B479,Data!$I:$I,Info!$D479,Data!$H:$H,$P$1),0)</f>
        <v>0</v>
      </c>
      <c r="Q479" s="65" t="str">
        <f>IF(Table1[[#This Row],[Pick]]="","",IF(S479&gt;1,400,IF(G479="","",IF(C479="Passing",(400-Table1[[#This Row],[Passing Yards]]-(30*Table1[[#This Row],[Passing TDs]])-(50*SUM(Table1[[#This Row],[Rushing TDs]:[Other TD''s]]))),IF(C479="Rushing",2*(200-Table1[[#This Row],[Rushing Yards]]-(30*Table1[[#This Row],[Passing TDs]])-50*(Table1[[#This Row],[Rushing TDs]]+Table1[[#This Row],[Receiving TDs]]+Table1[[#This Row],[Other TD''s]])),IF(C479="Receiving",2*(200-Table1[[#This Row],[Receiving Yards]]-(30*Table1[[#This Row],[Passing TDs]])-50*(Table1[[#This Row],[Rushing TDs]]+Table1[[#This Row],[Receiving TDs]]+Table1[[#This Row],[Other TD''s]])),IF(C479="Defensive",(25*(16-Table1[[#This Row],[Tackles]]-(8*(Table1[[#This Row],[Other TD''s]]+Table1[[#This Row],[Interceptions]]+Table1[[#This Row],[Fumbles Recovered]])))))))))))</f>
        <v/>
      </c>
      <c r="R479" s="3" t="str">
        <f t="shared" si="16"/>
        <v/>
      </c>
      <c r="S479" s="4">
        <f t="shared" si="15"/>
        <v>1048507</v>
      </c>
      <c r="T4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0" spans="1:20" hidden="1" x14ac:dyDescent="0.25">
      <c r="A480" t="s">
        <v>7</v>
      </c>
      <c r="B480" s="28" t="s">
        <v>50</v>
      </c>
      <c r="C480" t="s">
        <v>6</v>
      </c>
      <c r="D480" t="str">
        <f>_xlfn.XLOOKUP(Table1[[#This Row],[Player]]&amp;Table1[[#This Row],[Week]]&amp;Table1[[#This Row],[Role]],'Google Form Transform'!$A:$A,'Google Form Transform'!E:E,"")</f>
        <v/>
      </c>
      <c r="E480" t="str">
        <f>_xlfn.XLOOKUP(Table1[[#This Row],[Player]]&amp;Table1[[#This Row],[Week]]&amp;Table1[[#This Row],[Role]],'Google Form Transform'!$A:$A,'Google Form Transform'!F:F,"")</f>
        <v/>
      </c>
      <c r="F480" t="str">
        <f>_xlfn.XLOOKUP(Table1[[#This Row],[Player]]&amp;Table1[[#This Row],[Week]]&amp;Table1[[#This Row],[Role]],'Google Form Transform'!$A:$A,'Google Form Transform'!G:G,"")</f>
        <v/>
      </c>
      <c r="G480" s="59">
        <f>SUMIFS(Table2[Stat],Table2[Stat Category],"passing",Table2[Stat Type],"YDS",Table2[Athlete],Table1[[#This Row],[Pick]],Table2[Week],Table1[[#This Row],[Week]])</f>
        <v>0</v>
      </c>
      <c r="H480" s="59">
        <f>SUMIFS(Table2[Stat],Table2[Stat Category],"rushing",Table2[Stat Type],"YDS",Table2[Athlete],Table1[[#This Row],[Pick]],Table2[Week],Table1[[#This Row],[Week]])</f>
        <v>0</v>
      </c>
      <c r="I480" s="59">
        <f>SUMIFS(Table2[Stat],Table2[Stat Category],"receiving",Table2[Stat Type],"YDS",Table2[Athlete],Table1[[#This Row],[Pick]],Table2[Week],Table1[[#This Row],[Week]])</f>
        <v>0</v>
      </c>
      <c r="J480" s="6">
        <f>IF(AND($C480="Rushing", $H480&lt;=0), 0, IF(AND($C480="Passing", $G$3&lt;=0), 0,IF(AND($C480="Receiving",$I480&lt;=0), 0,SUMIFS(Table2[Stat],Table2[Week],Table1[[#This Row],[Week]],Table2[Athlete],Table1[[#This Row],[Pick]],Table2[Stat Category],"passing",Table2[Stat Type],"TD"))))</f>
        <v>0</v>
      </c>
      <c r="K480" s="6">
        <f>IF(AND($C480="Rushing", $H480&lt;=0), 0, IF(AND($C480="Passing", $G$3&lt;=0), 0,IF(AND($C480="Receiving",$I480&lt;=0),0,SUMIFS(Table2[Stat],Table2[Week],Table1[[#This Row],[Week]],Table2[Athlete],Table1[[#This Row],[Pick]],Table2[Stat Category],"rushing",Table2[Stat Type],"TD"))))</f>
        <v>0</v>
      </c>
      <c r="L480" s="6">
        <f>IF(AND($C480="Rushing", $H480&lt;=0), 0, IF(AND($C480="Passing", $G$3&lt;=0), 0,IF(AND($C480="Receiving",$I480&lt;=0),0,SUMIFS(Table2[Stat],Table2[Week],Table1[[#This Row],[Week]],Table2[Athlete],Table1[[#This Row],[Pick]],Table2[Stat Category],"receiving",Table2[Stat Type],"TD"))))</f>
        <v>0</v>
      </c>
      <c r="M4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0" s="61">
        <f>SUMIFS(Data!$J:$J,Data!$A:$A,Info!$B480,Data!$G:$G,Info!$C480,Data!$I:$I,Info!$D480,Data!$H:$H,"TOT")</f>
        <v>0</v>
      </c>
      <c r="O480" s="61">
        <f>IF(C480="Defensive",SUMIFS(Data!$J:$J,Data!$A:$A,Info!$B480,Data!$I:$I,Info!$D480,Data!$H:$H,"INT"),0)</f>
        <v>0</v>
      </c>
      <c r="P480" s="61">
        <f>IF(Table1[[#This Row],[Role]]="Defensive",SUMIFS(Data!$J:$J,Data!$A:$A,Info!$B480,Data!$I:$I,Info!$D480,Data!$H:$H,$P$1),0)</f>
        <v>0</v>
      </c>
      <c r="Q480" s="65" t="str">
        <f>IF(Table1[[#This Row],[Pick]]="","",IF(S480&gt;1,400,IF(G480="","",IF(C480="Passing",(400-Table1[[#This Row],[Passing Yards]]-(30*Table1[[#This Row],[Passing TDs]])-(50*SUM(Table1[[#This Row],[Rushing TDs]:[Other TD''s]]))),IF(C480="Rushing",2*(200-Table1[[#This Row],[Rushing Yards]]-(30*Table1[[#This Row],[Passing TDs]])-50*(Table1[[#This Row],[Rushing TDs]]+Table1[[#This Row],[Receiving TDs]]+Table1[[#This Row],[Other TD''s]])),IF(C480="Receiving",2*(200-Table1[[#This Row],[Receiving Yards]]-(30*Table1[[#This Row],[Passing TDs]])-50*(Table1[[#This Row],[Rushing TDs]]+Table1[[#This Row],[Receiving TDs]]+Table1[[#This Row],[Other TD''s]])),IF(C480="Defensive",(25*(16-Table1[[#This Row],[Tackles]]-(8*(Table1[[#This Row],[Other TD''s]]+Table1[[#This Row],[Interceptions]]+Table1[[#This Row],[Fumbles Recovered]])))))))))))</f>
        <v/>
      </c>
      <c r="R480" s="3" t="str">
        <f t="shared" si="16"/>
        <v/>
      </c>
      <c r="S480" s="4">
        <f t="shared" si="15"/>
        <v>1048507</v>
      </c>
      <c r="T4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1" spans="1:20" hidden="1" x14ac:dyDescent="0.25">
      <c r="A481" t="s">
        <v>7</v>
      </c>
      <c r="B481" s="28" t="s">
        <v>50</v>
      </c>
      <c r="C481" t="s">
        <v>17</v>
      </c>
      <c r="D481" t="str">
        <f>_xlfn.XLOOKUP(Table1[[#This Row],[Player]]&amp;Table1[[#This Row],[Week]]&amp;Table1[[#This Row],[Role]],'Google Form Transform'!$A:$A,'Google Form Transform'!E:E,"")</f>
        <v/>
      </c>
      <c r="E481" t="str">
        <f>_xlfn.XLOOKUP(Table1[[#This Row],[Player]]&amp;Table1[[#This Row],[Week]]&amp;Table1[[#This Row],[Role]],'Google Form Transform'!$A:$A,'Google Form Transform'!F:F,"")</f>
        <v/>
      </c>
      <c r="F481" t="str">
        <f>_xlfn.XLOOKUP(Table1[[#This Row],[Player]]&amp;Table1[[#This Row],[Week]]&amp;Table1[[#This Row],[Role]],'Google Form Transform'!$A:$A,'Google Form Transform'!G:G,"")</f>
        <v/>
      </c>
      <c r="G481" s="59">
        <f>SUMIFS(Table2[Stat],Table2[Stat Category],"passing",Table2[Stat Type],"YDS",Table2[Athlete],Table1[[#This Row],[Pick]],Table2[Week],Table1[[#This Row],[Week]])</f>
        <v>0</v>
      </c>
      <c r="H481" s="59">
        <f>SUMIFS(Table2[Stat],Table2[Stat Category],"rushing",Table2[Stat Type],"YDS",Table2[Athlete],Table1[[#This Row],[Pick]],Table2[Week],Table1[[#This Row],[Week]])</f>
        <v>0</v>
      </c>
      <c r="I481" s="59">
        <f>SUMIFS(Table2[Stat],Table2[Stat Category],"receiving",Table2[Stat Type],"YDS",Table2[Athlete],Table1[[#This Row],[Pick]],Table2[Week],Table1[[#This Row],[Week]])</f>
        <v>0</v>
      </c>
      <c r="J481" s="6">
        <f>IF(AND($C481="Rushing", $H481&lt;=0), 0, IF(AND($C481="Passing", $G$3&lt;=0), 0,IF(AND($C481="Receiving",$I481&lt;=0), 0,SUMIFS(Table2[Stat],Table2[Week],Table1[[#This Row],[Week]],Table2[Athlete],Table1[[#This Row],[Pick]],Table2[Stat Category],"passing",Table2[Stat Type],"TD"))))</f>
        <v>0</v>
      </c>
      <c r="K481" s="6">
        <f>IF(AND($C481="Rushing", $H481&lt;=0), 0, IF(AND($C481="Passing", $G$3&lt;=0), 0,IF(AND($C481="Receiving",$I481&lt;=0),0,SUMIFS(Table2[Stat],Table2[Week],Table1[[#This Row],[Week]],Table2[Athlete],Table1[[#This Row],[Pick]],Table2[Stat Category],"rushing",Table2[Stat Type],"TD"))))</f>
        <v>0</v>
      </c>
      <c r="L481" s="6">
        <f>IF(AND($C481="Rushing", $H481&lt;=0), 0, IF(AND($C481="Passing", $G$3&lt;=0), 0,IF(AND($C481="Receiving",$I481&lt;=0),0,SUMIFS(Table2[Stat],Table2[Week],Table1[[#This Row],[Week]],Table2[Athlete],Table1[[#This Row],[Pick]],Table2[Stat Category],"receiving",Table2[Stat Type],"TD"))))</f>
        <v>0</v>
      </c>
      <c r="M4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1" s="61">
        <f>SUMIFS(Data!$J:$J,Data!$A:$A,Info!$B481,Data!$G:$G,Info!$C481,Data!$I:$I,Info!$D481,Data!$H:$H,"TOT")</f>
        <v>0</v>
      </c>
      <c r="O481" s="61">
        <f>IF(C481="Defensive",SUMIFS(Data!$J:$J,Data!$A:$A,Info!$B481,Data!$I:$I,Info!$D481,Data!$H:$H,"INT"),0)</f>
        <v>0</v>
      </c>
      <c r="P481" s="61">
        <f>IF(Table1[[#This Row],[Role]]="Defensive",SUMIFS(Data!$J:$J,Data!$A:$A,Info!$B481,Data!$I:$I,Info!$D481,Data!$H:$H,$P$1),0)</f>
        <v>0</v>
      </c>
      <c r="Q481" s="65" t="str">
        <f>IF(Table1[[#This Row],[Pick]]="","",IF(S481&gt;1,400,IF(G481="","",IF(C481="Passing",(400-Table1[[#This Row],[Passing Yards]]-(30*Table1[[#This Row],[Passing TDs]])-(50*SUM(Table1[[#This Row],[Rushing TDs]:[Other TD''s]]))),IF(C481="Rushing",2*(200-Table1[[#This Row],[Rushing Yards]]-(30*Table1[[#This Row],[Passing TDs]])-50*(Table1[[#This Row],[Rushing TDs]]+Table1[[#This Row],[Receiving TDs]]+Table1[[#This Row],[Other TD''s]])),IF(C481="Receiving",2*(200-Table1[[#This Row],[Receiving Yards]]-(30*Table1[[#This Row],[Passing TDs]])-50*(Table1[[#This Row],[Rushing TDs]]+Table1[[#This Row],[Receiving TDs]]+Table1[[#This Row],[Other TD''s]])),IF(C481="Defensive",(25*(16-Table1[[#This Row],[Tackles]]-(8*(Table1[[#This Row],[Other TD''s]]+Table1[[#This Row],[Interceptions]]+Table1[[#This Row],[Fumbles Recovered]])))))))))))</f>
        <v/>
      </c>
      <c r="R481" s="3" t="str">
        <f t="shared" si="16"/>
        <v/>
      </c>
      <c r="S481" s="4">
        <f t="shared" si="15"/>
        <v>1048507</v>
      </c>
      <c r="T4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2" spans="1:20" hidden="1" x14ac:dyDescent="0.25">
      <c r="A482" t="s">
        <v>7</v>
      </c>
      <c r="B482" s="28" t="s">
        <v>50</v>
      </c>
      <c r="C482" t="s">
        <v>20</v>
      </c>
      <c r="D482" t="str">
        <f>_xlfn.XLOOKUP(Table1[[#This Row],[Player]]&amp;Table1[[#This Row],[Week]]&amp;Table1[[#This Row],[Role]],'Google Form Transform'!$A:$A,'Google Form Transform'!E:E,"")</f>
        <v/>
      </c>
      <c r="E482" t="str">
        <f>_xlfn.XLOOKUP(Table1[[#This Row],[Player]]&amp;Table1[[#This Row],[Week]]&amp;Table1[[#This Row],[Role]],'Google Form Transform'!$A:$A,'Google Form Transform'!F:F,"")</f>
        <v/>
      </c>
      <c r="F482" t="str">
        <f>_xlfn.XLOOKUP(Table1[[#This Row],[Player]]&amp;Table1[[#This Row],[Week]]&amp;Table1[[#This Row],[Role]],'Google Form Transform'!$A:$A,'Google Form Transform'!G:G,"")</f>
        <v/>
      </c>
      <c r="G482" s="59">
        <f>SUMIFS(Table2[Stat],Table2[Stat Category],"passing",Table2[Stat Type],"YDS",Table2[Athlete],Table1[[#This Row],[Pick]],Table2[Week],Table1[[#This Row],[Week]])</f>
        <v>0</v>
      </c>
      <c r="H482" s="59">
        <f>SUMIFS(Table2[Stat],Table2[Stat Category],"rushing",Table2[Stat Type],"YDS",Table2[Athlete],Table1[[#This Row],[Pick]],Table2[Week],Table1[[#This Row],[Week]])</f>
        <v>0</v>
      </c>
      <c r="I482" s="59">
        <f>SUMIFS(Table2[Stat],Table2[Stat Category],"receiving",Table2[Stat Type],"YDS",Table2[Athlete],Table1[[#This Row],[Pick]],Table2[Week],Table1[[#This Row],[Week]])</f>
        <v>0</v>
      </c>
      <c r="J482" s="6">
        <f>IF(AND($C482="Rushing", $H482&lt;=0), 0, IF(AND($C482="Passing", $G$3&lt;=0), 0,IF(AND($C482="Receiving",$I482&lt;=0), 0,SUMIFS(Table2[Stat],Table2[Week],Table1[[#This Row],[Week]],Table2[Athlete],Table1[[#This Row],[Pick]],Table2[Stat Category],"passing",Table2[Stat Type],"TD"))))</f>
        <v>0</v>
      </c>
      <c r="K482" s="6">
        <f>IF(AND($C482="Rushing", $H482&lt;=0), 0, IF(AND($C482="Passing", $G$3&lt;=0), 0,IF(AND($C482="Receiving",$I482&lt;=0),0,SUMIFS(Table2[Stat],Table2[Week],Table1[[#This Row],[Week]],Table2[Athlete],Table1[[#This Row],[Pick]],Table2[Stat Category],"rushing",Table2[Stat Type],"TD"))))</f>
        <v>0</v>
      </c>
      <c r="L482" s="6">
        <f>IF(AND($C482="Rushing", $H482&lt;=0), 0, IF(AND($C482="Passing", $G$3&lt;=0), 0,IF(AND($C482="Receiving",$I482&lt;=0),0,SUMIFS(Table2[Stat],Table2[Week],Table1[[#This Row],[Week]],Table2[Athlete],Table1[[#This Row],[Pick]],Table2[Stat Category],"receiving",Table2[Stat Type],"TD"))))</f>
        <v>0</v>
      </c>
      <c r="M4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2" s="61">
        <f>SUMIFS(Data!$J:$J,Data!$A:$A,Info!$B482,Data!$G:$G,Info!$C482,Data!$I:$I,Info!$D482,Data!$H:$H,"TOT")</f>
        <v>0</v>
      </c>
      <c r="O482" s="61">
        <f>IF(C482="Defensive",SUMIFS(Data!$J:$J,Data!$A:$A,Info!$B482,Data!$I:$I,Info!$D482,Data!$H:$H,"INT"),0)</f>
        <v>0</v>
      </c>
      <c r="P482" s="61">
        <f>IF(Table1[[#This Row],[Role]]="Defensive",SUMIFS(Data!$J:$J,Data!$A:$A,Info!$B482,Data!$I:$I,Info!$D482,Data!$H:$H,$P$1),0)</f>
        <v>0</v>
      </c>
      <c r="Q482" s="65" t="str">
        <f>IF(Table1[[#This Row],[Pick]]="","",IF(S482&gt;1,400,IF(G482="","",IF(C482="Passing",(400-Table1[[#This Row],[Passing Yards]]-(30*Table1[[#This Row],[Passing TDs]])-(50*SUM(Table1[[#This Row],[Rushing TDs]:[Other TD''s]]))),IF(C482="Rushing",2*(200-Table1[[#This Row],[Rushing Yards]]-(30*Table1[[#This Row],[Passing TDs]])-50*(Table1[[#This Row],[Rushing TDs]]+Table1[[#This Row],[Receiving TDs]]+Table1[[#This Row],[Other TD''s]])),IF(C482="Receiving",2*(200-Table1[[#This Row],[Receiving Yards]]-(30*Table1[[#This Row],[Passing TDs]])-50*(Table1[[#This Row],[Rushing TDs]]+Table1[[#This Row],[Receiving TDs]]+Table1[[#This Row],[Other TD''s]])),IF(C482="Defensive",(25*(16-Table1[[#This Row],[Tackles]]-(8*(Table1[[#This Row],[Other TD''s]]+Table1[[#This Row],[Interceptions]]+Table1[[#This Row],[Fumbles Recovered]])))))))))))</f>
        <v/>
      </c>
      <c r="R482" s="3" t="str">
        <f t="shared" si="16"/>
        <v/>
      </c>
      <c r="S482" s="4">
        <f t="shared" si="15"/>
        <v>1048507</v>
      </c>
      <c r="T4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3" spans="1:20" hidden="1" x14ac:dyDescent="0.25">
      <c r="A483" t="s">
        <v>2</v>
      </c>
      <c r="B483" s="28" t="s">
        <v>51</v>
      </c>
      <c r="C483" t="s">
        <v>16</v>
      </c>
      <c r="D483" t="str">
        <f>_xlfn.XLOOKUP(Table1[[#This Row],[Player]]&amp;Table1[[#This Row],[Week]]&amp;Table1[[#This Row],[Role]],'Google Form Transform'!$A:$A,'Google Form Transform'!E:E,"")</f>
        <v/>
      </c>
      <c r="E483" t="str">
        <f>_xlfn.XLOOKUP(Table1[[#This Row],[Player]]&amp;Table1[[#This Row],[Week]]&amp;Table1[[#This Row],[Role]],'Google Form Transform'!$A:$A,'Google Form Transform'!F:F,"")</f>
        <v/>
      </c>
      <c r="F483" t="str">
        <f>_xlfn.XLOOKUP(Table1[[#This Row],[Player]]&amp;Table1[[#This Row],[Week]]&amp;Table1[[#This Row],[Role]],'Google Form Transform'!$A:$A,'Google Form Transform'!G:G,"")</f>
        <v/>
      </c>
      <c r="G483" s="59">
        <f>SUMIFS(Table2[Stat],Table2[Stat Category],"passing",Table2[Stat Type],"YDS",Table2[Athlete],Table1[[#This Row],[Pick]],Table2[Week],Table1[[#This Row],[Week]])</f>
        <v>0</v>
      </c>
      <c r="H483" s="59">
        <f>SUMIFS(Table2[Stat],Table2[Stat Category],"rushing",Table2[Stat Type],"YDS",Table2[Athlete],Table1[[#This Row],[Pick]],Table2[Week],Table1[[#This Row],[Week]])</f>
        <v>0</v>
      </c>
      <c r="I483" s="59">
        <f>SUMIFS(Table2[Stat],Table2[Stat Category],"receiving",Table2[Stat Type],"YDS",Table2[Athlete],Table1[[#This Row],[Pick]],Table2[Week],Table1[[#This Row],[Week]])</f>
        <v>0</v>
      </c>
      <c r="J483" s="6">
        <f>IF(AND($C483="Rushing", $H483&lt;=0), 0, IF(AND($C483="Passing", $G$3&lt;=0), 0,IF(AND($C483="Receiving",$I483&lt;=0), 0,SUMIFS(Table2[Stat],Table2[Week],Table1[[#This Row],[Week]],Table2[Athlete],Table1[[#This Row],[Pick]],Table2[Stat Category],"passing",Table2[Stat Type],"TD"))))</f>
        <v>0</v>
      </c>
      <c r="K483" s="6">
        <f>IF(AND($C483="Rushing", $H483&lt;=0), 0, IF(AND($C483="Passing", $G$3&lt;=0), 0,IF(AND($C483="Receiving",$I483&lt;=0),0,SUMIFS(Table2[Stat],Table2[Week],Table1[[#This Row],[Week]],Table2[Athlete],Table1[[#This Row],[Pick]],Table2[Stat Category],"rushing",Table2[Stat Type],"TD"))))</f>
        <v>0</v>
      </c>
      <c r="L483" s="6">
        <f>IF(AND($C483="Rushing", $H483&lt;=0), 0, IF(AND($C483="Passing", $G$3&lt;=0), 0,IF(AND($C483="Receiving",$I483&lt;=0),0,SUMIFS(Table2[Stat],Table2[Week],Table1[[#This Row],[Week]],Table2[Athlete],Table1[[#This Row],[Pick]],Table2[Stat Category],"receiving",Table2[Stat Type],"TD"))))</f>
        <v>0</v>
      </c>
      <c r="M4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3" s="61">
        <f>SUMIFS(Data!$J:$J,Data!$A:$A,Info!$B483,Data!$G:$G,Info!$C483,Data!$I:$I,Info!$D483,Data!$H:$H,"TOT")</f>
        <v>0</v>
      </c>
      <c r="O483" s="61">
        <f>IF(C483="Defensive",SUMIFS(Data!$J:$J,Data!$A:$A,Info!$B483,Data!$I:$I,Info!$D483,Data!$H:$H,"INT"),0)</f>
        <v>0</v>
      </c>
      <c r="P483" s="61">
        <f>IF(Table1[[#This Row],[Role]]="Defensive",SUMIFS(Data!$J:$J,Data!$A:$A,Info!$B483,Data!$I:$I,Info!$D483,Data!$H:$H,$P$1),0)</f>
        <v>0</v>
      </c>
      <c r="Q483" s="65" t="str">
        <f>IF(Table1[[#This Row],[Pick]]="","",IF(S483&gt;1,400,IF(G483="","",IF(C483="Passing",(400-Table1[[#This Row],[Passing Yards]]-(30*Table1[[#This Row],[Passing TDs]])-(50*SUM(Table1[[#This Row],[Rushing TDs]:[Other TD''s]]))),IF(C483="Rushing",2*(200-Table1[[#This Row],[Rushing Yards]]-(30*Table1[[#This Row],[Passing TDs]])-50*(Table1[[#This Row],[Rushing TDs]]+Table1[[#This Row],[Receiving TDs]]+Table1[[#This Row],[Other TD''s]])),IF(C483="Receiving",2*(200-Table1[[#This Row],[Receiving Yards]]-(30*Table1[[#This Row],[Passing TDs]])-50*(Table1[[#This Row],[Rushing TDs]]+Table1[[#This Row],[Receiving TDs]]+Table1[[#This Row],[Other TD''s]])),IF(C483="Defensive",(25*(16-Table1[[#This Row],[Tackles]]-(8*(Table1[[#This Row],[Other TD''s]]+Table1[[#This Row],[Interceptions]]+Table1[[#This Row],[Fumbles Recovered]])))))))))))</f>
        <v/>
      </c>
      <c r="R483" s="3" t="str">
        <f t="shared" si="16"/>
        <v/>
      </c>
      <c r="S483" s="4">
        <f t="shared" si="15"/>
        <v>1048507</v>
      </c>
      <c r="T4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4" spans="1:20" hidden="1" x14ac:dyDescent="0.25">
      <c r="A484" t="s">
        <v>2</v>
      </c>
      <c r="B484" s="28" t="s">
        <v>51</v>
      </c>
      <c r="C484" t="s">
        <v>6</v>
      </c>
      <c r="D484" t="str">
        <f>_xlfn.XLOOKUP(Table1[[#This Row],[Player]]&amp;Table1[[#This Row],[Week]]&amp;Table1[[#This Row],[Role]],'Google Form Transform'!$A:$A,'Google Form Transform'!E:E,"")</f>
        <v/>
      </c>
      <c r="E484" t="str">
        <f>_xlfn.XLOOKUP(Table1[[#This Row],[Player]]&amp;Table1[[#This Row],[Week]]&amp;Table1[[#This Row],[Role]],'Google Form Transform'!$A:$A,'Google Form Transform'!F:F,"")</f>
        <v/>
      </c>
      <c r="F484" t="str">
        <f>_xlfn.XLOOKUP(Table1[[#This Row],[Player]]&amp;Table1[[#This Row],[Week]]&amp;Table1[[#This Row],[Role]],'Google Form Transform'!$A:$A,'Google Form Transform'!G:G,"")</f>
        <v/>
      </c>
      <c r="G484" s="59">
        <f>SUMIFS(Table2[Stat],Table2[Stat Category],"passing",Table2[Stat Type],"YDS",Table2[Athlete],Table1[[#This Row],[Pick]],Table2[Week],Table1[[#This Row],[Week]])</f>
        <v>0</v>
      </c>
      <c r="H484" s="59">
        <f>SUMIFS(Table2[Stat],Table2[Stat Category],"rushing",Table2[Stat Type],"YDS",Table2[Athlete],Table1[[#This Row],[Pick]],Table2[Week],Table1[[#This Row],[Week]])</f>
        <v>0</v>
      </c>
      <c r="I484" s="59">
        <f>SUMIFS(Table2[Stat],Table2[Stat Category],"receiving",Table2[Stat Type],"YDS",Table2[Athlete],Table1[[#This Row],[Pick]],Table2[Week],Table1[[#This Row],[Week]])</f>
        <v>0</v>
      </c>
      <c r="J484" s="6">
        <f>IF(AND($C484="Rushing", $H484&lt;=0), 0, IF(AND($C484="Passing", $G$3&lt;=0), 0,IF(AND($C484="Receiving",$I484&lt;=0), 0,SUMIFS(Table2[Stat],Table2[Week],Table1[[#This Row],[Week]],Table2[Athlete],Table1[[#This Row],[Pick]],Table2[Stat Category],"passing",Table2[Stat Type],"TD"))))</f>
        <v>0</v>
      </c>
      <c r="K484" s="6">
        <f>IF(AND($C484="Rushing", $H484&lt;=0), 0, IF(AND($C484="Passing", $G$3&lt;=0), 0,IF(AND($C484="Receiving",$I484&lt;=0),0,SUMIFS(Table2[Stat],Table2[Week],Table1[[#This Row],[Week]],Table2[Athlete],Table1[[#This Row],[Pick]],Table2[Stat Category],"rushing",Table2[Stat Type],"TD"))))</f>
        <v>0</v>
      </c>
      <c r="L484" s="6">
        <f>IF(AND($C484="Rushing", $H484&lt;=0), 0, IF(AND($C484="Passing", $G$3&lt;=0), 0,IF(AND($C484="Receiving",$I484&lt;=0),0,SUMIFS(Table2[Stat],Table2[Week],Table1[[#This Row],[Week]],Table2[Athlete],Table1[[#This Row],[Pick]],Table2[Stat Category],"receiving",Table2[Stat Type],"TD"))))</f>
        <v>0</v>
      </c>
      <c r="M4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4" s="61">
        <f>SUMIFS(Data!$J:$J,Data!$A:$A,Info!$B484,Data!$G:$G,Info!$C484,Data!$I:$I,Info!$D484,Data!$H:$H,"TOT")</f>
        <v>0</v>
      </c>
      <c r="O484" s="61">
        <f>IF(C484="Defensive",SUMIFS(Data!$J:$J,Data!$A:$A,Info!$B484,Data!$I:$I,Info!$D484,Data!$H:$H,"INT"),0)</f>
        <v>0</v>
      </c>
      <c r="P484" s="61">
        <f>IF(Table1[[#This Row],[Role]]="Defensive",SUMIFS(Data!$J:$J,Data!$A:$A,Info!$B484,Data!$I:$I,Info!$D484,Data!$H:$H,$P$1),0)</f>
        <v>0</v>
      </c>
      <c r="Q484" s="65" t="str">
        <f>IF(Table1[[#This Row],[Pick]]="","",IF(S484&gt;1,400,IF(G484="","",IF(C484="Passing",(400-Table1[[#This Row],[Passing Yards]]-(30*Table1[[#This Row],[Passing TDs]])-(50*SUM(Table1[[#This Row],[Rushing TDs]:[Other TD''s]]))),IF(C484="Rushing",2*(200-Table1[[#This Row],[Rushing Yards]]-(30*Table1[[#This Row],[Passing TDs]])-50*(Table1[[#This Row],[Rushing TDs]]+Table1[[#This Row],[Receiving TDs]]+Table1[[#This Row],[Other TD''s]])),IF(C484="Receiving",2*(200-Table1[[#This Row],[Receiving Yards]]-(30*Table1[[#This Row],[Passing TDs]])-50*(Table1[[#This Row],[Rushing TDs]]+Table1[[#This Row],[Receiving TDs]]+Table1[[#This Row],[Other TD''s]])),IF(C484="Defensive",(25*(16-Table1[[#This Row],[Tackles]]-(8*(Table1[[#This Row],[Other TD''s]]+Table1[[#This Row],[Interceptions]]+Table1[[#This Row],[Fumbles Recovered]])))))))))))</f>
        <v/>
      </c>
      <c r="R484" s="3" t="str">
        <f t="shared" si="16"/>
        <v/>
      </c>
      <c r="S484" s="4">
        <f t="shared" si="15"/>
        <v>1048507</v>
      </c>
      <c r="T4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5" spans="1:20" hidden="1" x14ac:dyDescent="0.25">
      <c r="A485" t="s">
        <v>2</v>
      </c>
      <c r="B485" s="28" t="s">
        <v>51</v>
      </c>
      <c r="C485" t="s">
        <v>17</v>
      </c>
      <c r="D485" t="str">
        <f>_xlfn.XLOOKUP(Table1[[#This Row],[Player]]&amp;Table1[[#This Row],[Week]]&amp;Table1[[#This Row],[Role]],'Google Form Transform'!$A:$A,'Google Form Transform'!E:E,"")</f>
        <v/>
      </c>
      <c r="E485" t="str">
        <f>_xlfn.XLOOKUP(Table1[[#This Row],[Player]]&amp;Table1[[#This Row],[Week]]&amp;Table1[[#This Row],[Role]],'Google Form Transform'!$A:$A,'Google Form Transform'!F:F,"")</f>
        <v/>
      </c>
      <c r="F485" t="str">
        <f>_xlfn.XLOOKUP(Table1[[#This Row],[Player]]&amp;Table1[[#This Row],[Week]]&amp;Table1[[#This Row],[Role]],'Google Form Transform'!$A:$A,'Google Form Transform'!G:G,"")</f>
        <v/>
      </c>
      <c r="G485" s="59">
        <f>SUMIFS(Table2[Stat],Table2[Stat Category],"passing",Table2[Stat Type],"YDS",Table2[Athlete],Table1[[#This Row],[Pick]],Table2[Week],Table1[[#This Row],[Week]])</f>
        <v>0</v>
      </c>
      <c r="H485" s="59">
        <f>SUMIFS(Table2[Stat],Table2[Stat Category],"rushing",Table2[Stat Type],"YDS",Table2[Athlete],Table1[[#This Row],[Pick]],Table2[Week],Table1[[#This Row],[Week]])</f>
        <v>0</v>
      </c>
      <c r="I485" s="59">
        <f>SUMIFS(Table2[Stat],Table2[Stat Category],"receiving",Table2[Stat Type],"YDS",Table2[Athlete],Table1[[#This Row],[Pick]],Table2[Week],Table1[[#This Row],[Week]])</f>
        <v>0</v>
      </c>
      <c r="J485" s="6">
        <f>IF(AND($C485="Rushing", $H485&lt;=0), 0, IF(AND($C485="Passing", $G$3&lt;=0), 0,IF(AND($C485="Receiving",$I485&lt;=0), 0,SUMIFS(Table2[Stat],Table2[Week],Table1[[#This Row],[Week]],Table2[Athlete],Table1[[#This Row],[Pick]],Table2[Stat Category],"passing",Table2[Stat Type],"TD"))))</f>
        <v>0</v>
      </c>
      <c r="K485" s="6">
        <f>IF(AND($C485="Rushing", $H485&lt;=0), 0, IF(AND($C485="Passing", $G$3&lt;=0), 0,IF(AND($C485="Receiving",$I485&lt;=0),0,SUMIFS(Table2[Stat],Table2[Week],Table1[[#This Row],[Week]],Table2[Athlete],Table1[[#This Row],[Pick]],Table2[Stat Category],"rushing",Table2[Stat Type],"TD"))))</f>
        <v>0</v>
      </c>
      <c r="L485" s="6">
        <f>IF(AND($C485="Rushing", $H485&lt;=0), 0, IF(AND($C485="Passing", $G$3&lt;=0), 0,IF(AND($C485="Receiving",$I485&lt;=0),0,SUMIFS(Table2[Stat],Table2[Week],Table1[[#This Row],[Week]],Table2[Athlete],Table1[[#This Row],[Pick]],Table2[Stat Category],"receiving",Table2[Stat Type],"TD"))))</f>
        <v>0</v>
      </c>
      <c r="M4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5" s="61">
        <f>SUMIFS(Data!$J:$J,Data!$A:$A,Info!$B485,Data!$G:$G,Info!$C485,Data!$I:$I,Info!$D485,Data!$H:$H,"TOT")</f>
        <v>0</v>
      </c>
      <c r="O485" s="61">
        <f>IF(C485="Defensive",SUMIFS(Data!$J:$J,Data!$A:$A,Info!$B485,Data!$I:$I,Info!$D485,Data!$H:$H,"INT"),0)</f>
        <v>0</v>
      </c>
      <c r="P485" s="61">
        <f>IF(Table1[[#This Row],[Role]]="Defensive",SUMIFS(Data!$J:$J,Data!$A:$A,Info!$B485,Data!$I:$I,Info!$D485,Data!$H:$H,$P$1),0)</f>
        <v>0</v>
      </c>
      <c r="Q485" s="65" t="str">
        <f>IF(Table1[[#This Row],[Pick]]="","",IF(S485&gt;1,400,IF(G485="","",IF(C485="Passing",(400-Table1[[#This Row],[Passing Yards]]-(30*Table1[[#This Row],[Passing TDs]])-(50*SUM(Table1[[#This Row],[Rushing TDs]:[Other TD''s]]))),IF(C485="Rushing",2*(200-Table1[[#This Row],[Rushing Yards]]-(30*Table1[[#This Row],[Passing TDs]])-50*(Table1[[#This Row],[Rushing TDs]]+Table1[[#This Row],[Receiving TDs]]+Table1[[#This Row],[Other TD''s]])),IF(C485="Receiving",2*(200-Table1[[#This Row],[Receiving Yards]]-(30*Table1[[#This Row],[Passing TDs]])-50*(Table1[[#This Row],[Rushing TDs]]+Table1[[#This Row],[Receiving TDs]]+Table1[[#This Row],[Other TD''s]])),IF(C485="Defensive",(25*(16-Table1[[#This Row],[Tackles]]-(8*(Table1[[#This Row],[Other TD''s]]+Table1[[#This Row],[Interceptions]]+Table1[[#This Row],[Fumbles Recovered]])))))))))))</f>
        <v/>
      </c>
      <c r="R485" s="3" t="str">
        <f t="shared" si="16"/>
        <v/>
      </c>
      <c r="S485" s="4">
        <f t="shared" si="15"/>
        <v>1048507</v>
      </c>
      <c r="T4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6" spans="1:20" hidden="1" x14ac:dyDescent="0.25">
      <c r="A486" t="s">
        <v>2</v>
      </c>
      <c r="B486" s="28" t="s">
        <v>51</v>
      </c>
      <c r="C486" t="s">
        <v>20</v>
      </c>
      <c r="D486" t="str">
        <f>_xlfn.XLOOKUP(Table1[[#This Row],[Player]]&amp;Table1[[#This Row],[Week]]&amp;Table1[[#This Row],[Role]],'Google Form Transform'!$A:$A,'Google Form Transform'!E:E,"")</f>
        <v/>
      </c>
      <c r="E486" t="str">
        <f>_xlfn.XLOOKUP(Table1[[#This Row],[Player]]&amp;Table1[[#This Row],[Week]]&amp;Table1[[#This Row],[Role]],'Google Form Transform'!$A:$A,'Google Form Transform'!F:F,"")</f>
        <v/>
      </c>
      <c r="F486" t="str">
        <f>_xlfn.XLOOKUP(Table1[[#This Row],[Player]]&amp;Table1[[#This Row],[Week]]&amp;Table1[[#This Row],[Role]],'Google Form Transform'!$A:$A,'Google Form Transform'!G:G,"")</f>
        <v/>
      </c>
      <c r="G486" s="59">
        <f>SUMIFS(Table2[Stat],Table2[Stat Category],"passing",Table2[Stat Type],"YDS",Table2[Athlete],Table1[[#This Row],[Pick]],Table2[Week],Table1[[#This Row],[Week]])</f>
        <v>0</v>
      </c>
      <c r="H486" s="59">
        <f>SUMIFS(Table2[Stat],Table2[Stat Category],"rushing",Table2[Stat Type],"YDS",Table2[Athlete],Table1[[#This Row],[Pick]],Table2[Week],Table1[[#This Row],[Week]])</f>
        <v>0</v>
      </c>
      <c r="I486" s="59">
        <f>SUMIFS(Table2[Stat],Table2[Stat Category],"receiving",Table2[Stat Type],"YDS",Table2[Athlete],Table1[[#This Row],[Pick]],Table2[Week],Table1[[#This Row],[Week]])</f>
        <v>0</v>
      </c>
      <c r="J486" s="6">
        <f>IF(AND($C486="Rushing", $H486&lt;=0), 0, IF(AND($C486="Passing", $G$3&lt;=0), 0,IF(AND($C486="Receiving",$I486&lt;=0), 0,SUMIFS(Table2[Stat],Table2[Week],Table1[[#This Row],[Week]],Table2[Athlete],Table1[[#This Row],[Pick]],Table2[Stat Category],"passing",Table2[Stat Type],"TD"))))</f>
        <v>0</v>
      </c>
      <c r="K486" s="6">
        <f>IF(AND($C486="Rushing", $H486&lt;=0), 0, IF(AND($C486="Passing", $G$3&lt;=0), 0,IF(AND($C486="Receiving",$I486&lt;=0),0,SUMIFS(Table2[Stat],Table2[Week],Table1[[#This Row],[Week]],Table2[Athlete],Table1[[#This Row],[Pick]],Table2[Stat Category],"rushing",Table2[Stat Type],"TD"))))</f>
        <v>0</v>
      </c>
      <c r="L486" s="6">
        <f>IF(AND($C486="Rushing", $H486&lt;=0), 0, IF(AND($C486="Passing", $G$3&lt;=0), 0,IF(AND($C486="Receiving",$I486&lt;=0),0,SUMIFS(Table2[Stat],Table2[Week],Table1[[#This Row],[Week]],Table2[Athlete],Table1[[#This Row],[Pick]],Table2[Stat Category],"receiving",Table2[Stat Type],"TD"))))</f>
        <v>0</v>
      </c>
      <c r="M4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6" s="61">
        <f>SUMIFS(Data!$J:$J,Data!$A:$A,Info!$B486,Data!$G:$G,Info!$C486,Data!$I:$I,Info!$D486,Data!$H:$H,"TOT")</f>
        <v>0</v>
      </c>
      <c r="O486" s="61">
        <f>IF(C486="Defensive",SUMIFS(Data!$J:$J,Data!$A:$A,Info!$B486,Data!$I:$I,Info!$D486,Data!$H:$H,"INT"),0)</f>
        <v>0</v>
      </c>
      <c r="P486" s="61">
        <f>IF(Table1[[#This Row],[Role]]="Defensive",SUMIFS(Data!$J:$J,Data!$A:$A,Info!$B486,Data!$I:$I,Info!$D486,Data!$H:$H,$P$1),0)</f>
        <v>0</v>
      </c>
      <c r="Q486" s="65" t="str">
        <f>IF(Table1[[#This Row],[Pick]]="","",IF(S486&gt;1,400,IF(G486="","",IF(C486="Passing",(400-Table1[[#This Row],[Passing Yards]]-(30*Table1[[#This Row],[Passing TDs]])-(50*SUM(Table1[[#This Row],[Rushing TDs]:[Other TD''s]]))),IF(C486="Rushing",2*(200-Table1[[#This Row],[Rushing Yards]]-(30*Table1[[#This Row],[Passing TDs]])-50*(Table1[[#This Row],[Rushing TDs]]+Table1[[#This Row],[Receiving TDs]]+Table1[[#This Row],[Other TD''s]])),IF(C486="Receiving",2*(200-Table1[[#This Row],[Receiving Yards]]-(30*Table1[[#This Row],[Passing TDs]])-50*(Table1[[#This Row],[Rushing TDs]]+Table1[[#This Row],[Receiving TDs]]+Table1[[#This Row],[Other TD''s]])),IF(C486="Defensive",(25*(16-Table1[[#This Row],[Tackles]]-(8*(Table1[[#This Row],[Other TD''s]]+Table1[[#This Row],[Interceptions]]+Table1[[#This Row],[Fumbles Recovered]])))))))))))</f>
        <v/>
      </c>
      <c r="R486" s="3" t="str">
        <f t="shared" si="16"/>
        <v/>
      </c>
      <c r="S486" s="4">
        <f t="shared" si="15"/>
        <v>1048507</v>
      </c>
      <c r="T4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7" spans="1:20" hidden="1" x14ac:dyDescent="0.25">
      <c r="A487" t="s">
        <v>4</v>
      </c>
      <c r="B487" s="28" t="s">
        <v>51</v>
      </c>
      <c r="C487" t="s">
        <v>16</v>
      </c>
      <c r="D487" t="str">
        <f>_xlfn.XLOOKUP(Table1[[#This Row],[Player]]&amp;Table1[[#This Row],[Week]]&amp;Table1[[#This Row],[Role]],'Google Form Transform'!$A:$A,'Google Form Transform'!E:E,"")</f>
        <v/>
      </c>
      <c r="E487" t="str">
        <f>_xlfn.XLOOKUP(Table1[[#This Row],[Player]]&amp;Table1[[#This Row],[Week]]&amp;Table1[[#This Row],[Role]],'Google Form Transform'!$A:$A,'Google Form Transform'!F:F,"")</f>
        <v/>
      </c>
      <c r="F487" t="str">
        <f>_xlfn.XLOOKUP(Table1[[#This Row],[Player]]&amp;Table1[[#This Row],[Week]]&amp;Table1[[#This Row],[Role]],'Google Form Transform'!$A:$A,'Google Form Transform'!G:G,"")</f>
        <v/>
      </c>
      <c r="G487" s="59">
        <f>SUMIFS(Table2[Stat],Table2[Stat Category],"passing",Table2[Stat Type],"YDS",Table2[Athlete],Table1[[#This Row],[Pick]],Table2[Week],Table1[[#This Row],[Week]])</f>
        <v>0</v>
      </c>
      <c r="H487" s="59">
        <f>SUMIFS(Table2[Stat],Table2[Stat Category],"rushing",Table2[Stat Type],"YDS",Table2[Athlete],Table1[[#This Row],[Pick]],Table2[Week],Table1[[#This Row],[Week]])</f>
        <v>0</v>
      </c>
      <c r="I487" s="59">
        <f>SUMIFS(Table2[Stat],Table2[Stat Category],"receiving",Table2[Stat Type],"YDS",Table2[Athlete],Table1[[#This Row],[Pick]],Table2[Week],Table1[[#This Row],[Week]])</f>
        <v>0</v>
      </c>
      <c r="J487" s="6">
        <f>IF(AND($C487="Rushing", $H487&lt;=0), 0, IF(AND($C487="Passing", $G$3&lt;=0), 0,IF(AND($C487="Receiving",$I487&lt;=0), 0,SUMIFS(Table2[Stat],Table2[Week],Table1[[#This Row],[Week]],Table2[Athlete],Table1[[#This Row],[Pick]],Table2[Stat Category],"passing",Table2[Stat Type],"TD"))))</f>
        <v>0</v>
      </c>
      <c r="K487" s="6">
        <f>IF(AND($C487="Rushing", $H487&lt;=0), 0, IF(AND($C487="Passing", $G$3&lt;=0), 0,IF(AND($C487="Receiving",$I487&lt;=0),0,SUMIFS(Table2[Stat],Table2[Week],Table1[[#This Row],[Week]],Table2[Athlete],Table1[[#This Row],[Pick]],Table2[Stat Category],"rushing",Table2[Stat Type],"TD"))))</f>
        <v>0</v>
      </c>
      <c r="L487" s="6">
        <f>IF(AND($C487="Rushing", $H487&lt;=0), 0, IF(AND($C487="Passing", $G$3&lt;=0), 0,IF(AND($C487="Receiving",$I487&lt;=0),0,SUMIFS(Table2[Stat],Table2[Week],Table1[[#This Row],[Week]],Table2[Athlete],Table1[[#This Row],[Pick]],Table2[Stat Category],"receiving",Table2[Stat Type],"TD"))))</f>
        <v>0</v>
      </c>
      <c r="M4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7" s="61">
        <f>SUMIFS(Data!$J:$J,Data!$A:$A,Info!$B487,Data!$G:$G,Info!$C487,Data!$I:$I,Info!$D487,Data!$H:$H,"TOT")</f>
        <v>0</v>
      </c>
      <c r="O487" s="61">
        <f>IF(C487="Defensive",SUMIFS(Data!$J:$J,Data!$A:$A,Info!$B487,Data!$I:$I,Info!$D487,Data!$H:$H,"INT"),0)</f>
        <v>0</v>
      </c>
      <c r="P487" s="61">
        <f>IF(Table1[[#This Row],[Role]]="Defensive",SUMIFS(Data!$J:$J,Data!$A:$A,Info!$B487,Data!$I:$I,Info!$D487,Data!$H:$H,$P$1),0)</f>
        <v>0</v>
      </c>
      <c r="Q487" s="65" t="str">
        <f>IF(Table1[[#This Row],[Pick]]="","",IF(S487&gt;1,400,IF(G487="","",IF(C487="Passing",(400-Table1[[#This Row],[Passing Yards]]-(30*Table1[[#This Row],[Passing TDs]])-(50*SUM(Table1[[#This Row],[Rushing TDs]:[Other TD''s]]))),IF(C487="Rushing",2*(200-Table1[[#This Row],[Rushing Yards]]-(30*Table1[[#This Row],[Passing TDs]])-50*(Table1[[#This Row],[Rushing TDs]]+Table1[[#This Row],[Receiving TDs]]+Table1[[#This Row],[Other TD''s]])),IF(C487="Receiving",2*(200-Table1[[#This Row],[Receiving Yards]]-(30*Table1[[#This Row],[Passing TDs]])-50*(Table1[[#This Row],[Rushing TDs]]+Table1[[#This Row],[Receiving TDs]]+Table1[[#This Row],[Other TD''s]])),IF(C487="Defensive",(25*(16-Table1[[#This Row],[Tackles]]-(8*(Table1[[#This Row],[Other TD''s]]+Table1[[#This Row],[Interceptions]]+Table1[[#This Row],[Fumbles Recovered]])))))))))))</f>
        <v/>
      </c>
      <c r="R487" s="3" t="str">
        <f t="shared" si="16"/>
        <v/>
      </c>
      <c r="S487" s="4">
        <f t="shared" si="15"/>
        <v>1048507</v>
      </c>
      <c r="T4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8" spans="1:20" hidden="1" x14ac:dyDescent="0.25">
      <c r="A488" t="s">
        <v>4</v>
      </c>
      <c r="B488" s="28" t="s">
        <v>51</v>
      </c>
      <c r="C488" t="s">
        <v>6</v>
      </c>
      <c r="D488" t="str">
        <f>_xlfn.XLOOKUP(Table1[[#This Row],[Player]]&amp;Table1[[#This Row],[Week]]&amp;Table1[[#This Row],[Role]],'Google Form Transform'!$A:$A,'Google Form Transform'!E:E,"")</f>
        <v/>
      </c>
      <c r="E488" t="str">
        <f>_xlfn.XLOOKUP(Table1[[#This Row],[Player]]&amp;Table1[[#This Row],[Week]]&amp;Table1[[#This Row],[Role]],'Google Form Transform'!$A:$A,'Google Form Transform'!F:F,"")</f>
        <v/>
      </c>
      <c r="F488" t="str">
        <f>_xlfn.XLOOKUP(Table1[[#This Row],[Player]]&amp;Table1[[#This Row],[Week]]&amp;Table1[[#This Row],[Role]],'Google Form Transform'!$A:$A,'Google Form Transform'!G:G,"")</f>
        <v/>
      </c>
      <c r="G488" s="59">
        <f>SUMIFS(Table2[Stat],Table2[Stat Category],"passing",Table2[Stat Type],"YDS",Table2[Athlete],Table1[[#This Row],[Pick]],Table2[Week],Table1[[#This Row],[Week]])</f>
        <v>0</v>
      </c>
      <c r="H488" s="59">
        <f>SUMIFS(Table2[Stat],Table2[Stat Category],"rushing",Table2[Stat Type],"YDS",Table2[Athlete],Table1[[#This Row],[Pick]],Table2[Week],Table1[[#This Row],[Week]])</f>
        <v>0</v>
      </c>
      <c r="I488" s="59">
        <f>SUMIFS(Table2[Stat],Table2[Stat Category],"receiving",Table2[Stat Type],"YDS",Table2[Athlete],Table1[[#This Row],[Pick]],Table2[Week],Table1[[#This Row],[Week]])</f>
        <v>0</v>
      </c>
      <c r="J488" s="6">
        <f>IF(AND($C488="Rushing", $H488&lt;=0), 0, IF(AND($C488="Passing", $G$3&lt;=0), 0,IF(AND($C488="Receiving",$I488&lt;=0), 0,SUMIFS(Table2[Stat],Table2[Week],Table1[[#This Row],[Week]],Table2[Athlete],Table1[[#This Row],[Pick]],Table2[Stat Category],"passing",Table2[Stat Type],"TD"))))</f>
        <v>0</v>
      </c>
      <c r="K488" s="6">
        <f>IF(AND($C488="Rushing", $H488&lt;=0), 0, IF(AND($C488="Passing", $G$3&lt;=0), 0,IF(AND($C488="Receiving",$I488&lt;=0),0,SUMIFS(Table2[Stat],Table2[Week],Table1[[#This Row],[Week]],Table2[Athlete],Table1[[#This Row],[Pick]],Table2[Stat Category],"rushing",Table2[Stat Type],"TD"))))</f>
        <v>0</v>
      </c>
      <c r="L488" s="6">
        <f>IF(AND($C488="Rushing", $H488&lt;=0), 0, IF(AND($C488="Passing", $G$3&lt;=0), 0,IF(AND($C488="Receiving",$I488&lt;=0),0,SUMIFS(Table2[Stat],Table2[Week],Table1[[#This Row],[Week]],Table2[Athlete],Table1[[#This Row],[Pick]],Table2[Stat Category],"receiving",Table2[Stat Type],"TD"))))</f>
        <v>0</v>
      </c>
      <c r="M4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8" s="61">
        <f>SUMIFS(Data!$J:$J,Data!$A:$A,Info!$B488,Data!$G:$G,Info!$C488,Data!$I:$I,Info!$D488,Data!$H:$H,"TOT")</f>
        <v>0</v>
      </c>
      <c r="O488" s="61">
        <f>IF(C488="Defensive",SUMIFS(Data!$J:$J,Data!$A:$A,Info!$B488,Data!$I:$I,Info!$D488,Data!$H:$H,"INT"),0)</f>
        <v>0</v>
      </c>
      <c r="P488" s="61">
        <f>IF(Table1[[#This Row],[Role]]="Defensive",SUMIFS(Data!$J:$J,Data!$A:$A,Info!$B488,Data!$I:$I,Info!$D488,Data!$H:$H,$P$1),0)</f>
        <v>0</v>
      </c>
      <c r="Q488" s="65" t="str">
        <f>IF(Table1[[#This Row],[Pick]]="","",IF(S488&gt;1,400,IF(G488="","",IF(C488="Passing",(400-Table1[[#This Row],[Passing Yards]]-(30*Table1[[#This Row],[Passing TDs]])-(50*SUM(Table1[[#This Row],[Rushing TDs]:[Other TD''s]]))),IF(C488="Rushing",2*(200-Table1[[#This Row],[Rushing Yards]]-(30*Table1[[#This Row],[Passing TDs]])-50*(Table1[[#This Row],[Rushing TDs]]+Table1[[#This Row],[Receiving TDs]]+Table1[[#This Row],[Other TD''s]])),IF(C488="Receiving",2*(200-Table1[[#This Row],[Receiving Yards]]-(30*Table1[[#This Row],[Passing TDs]])-50*(Table1[[#This Row],[Rushing TDs]]+Table1[[#This Row],[Receiving TDs]]+Table1[[#This Row],[Other TD''s]])),IF(C488="Defensive",(25*(16-Table1[[#This Row],[Tackles]]-(8*(Table1[[#This Row],[Other TD''s]]+Table1[[#This Row],[Interceptions]]+Table1[[#This Row],[Fumbles Recovered]])))))))))))</f>
        <v/>
      </c>
      <c r="R488" s="3" t="str">
        <f t="shared" si="16"/>
        <v/>
      </c>
      <c r="S488" s="4">
        <f t="shared" si="15"/>
        <v>1048507</v>
      </c>
      <c r="T4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9" spans="1:20" hidden="1" x14ac:dyDescent="0.25">
      <c r="A489" t="s">
        <v>4</v>
      </c>
      <c r="B489" s="28" t="s">
        <v>51</v>
      </c>
      <c r="C489" t="s">
        <v>17</v>
      </c>
      <c r="D489" t="str">
        <f>_xlfn.XLOOKUP(Table1[[#This Row],[Player]]&amp;Table1[[#This Row],[Week]]&amp;Table1[[#This Row],[Role]],'Google Form Transform'!$A:$A,'Google Form Transform'!E:E,"")</f>
        <v/>
      </c>
      <c r="E489" t="str">
        <f>_xlfn.XLOOKUP(Table1[[#This Row],[Player]]&amp;Table1[[#This Row],[Week]]&amp;Table1[[#This Row],[Role]],'Google Form Transform'!$A:$A,'Google Form Transform'!F:F,"")</f>
        <v/>
      </c>
      <c r="F489" t="str">
        <f>_xlfn.XLOOKUP(Table1[[#This Row],[Player]]&amp;Table1[[#This Row],[Week]]&amp;Table1[[#This Row],[Role]],'Google Form Transform'!$A:$A,'Google Form Transform'!G:G,"")</f>
        <v/>
      </c>
      <c r="G489" s="59">
        <f>SUMIFS(Table2[Stat],Table2[Stat Category],"passing",Table2[Stat Type],"YDS",Table2[Athlete],Table1[[#This Row],[Pick]],Table2[Week],Table1[[#This Row],[Week]])</f>
        <v>0</v>
      </c>
      <c r="H489" s="59">
        <f>SUMIFS(Table2[Stat],Table2[Stat Category],"rushing",Table2[Stat Type],"YDS",Table2[Athlete],Table1[[#This Row],[Pick]],Table2[Week],Table1[[#This Row],[Week]])</f>
        <v>0</v>
      </c>
      <c r="I489" s="59">
        <f>SUMIFS(Table2[Stat],Table2[Stat Category],"receiving",Table2[Stat Type],"YDS",Table2[Athlete],Table1[[#This Row],[Pick]],Table2[Week],Table1[[#This Row],[Week]])</f>
        <v>0</v>
      </c>
      <c r="J489" s="6">
        <f>IF(AND($C489="Rushing", $H489&lt;=0), 0, IF(AND($C489="Passing", $G$3&lt;=0), 0,IF(AND($C489="Receiving",$I489&lt;=0), 0,SUMIFS(Table2[Stat],Table2[Week],Table1[[#This Row],[Week]],Table2[Athlete],Table1[[#This Row],[Pick]],Table2[Stat Category],"passing",Table2[Stat Type],"TD"))))</f>
        <v>0</v>
      </c>
      <c r="K489" s="6">
        <f>IF(AND($C489="Rushing", $H489&lt;=0), 0, IF(AND($C489="Passing", $G$3&lt;=0), 0,IF(AND($C489="Receiving",$I489&lt;=0),0,SUMIFS(Table2[Stat],Table2[Week],Table1[[#This Row],[Week]],Table2[Athlete],Table1[[#This Row],[Pick]],Table2[Stat Category],"rushing",Table2[Stat Type],"TD"))))</f>
        <v>0</v>
      </c>
      <c r="L489" s="6">
        <f>IF(AND($C489="Rushing", $H489&lt;=0), 0, IF(AND($C489="Passing", $G$3&lt;=0), 0,IF(AND($C489="Receiving",$I489&lt;=0),0,SUMIFS(Table2[Stat],Table2[Week],Table1[[#This Row],[Week]],Table2[Athlete],Table1[[#This Row],[Pick]],Table2[Stat Category],"receiving",Table2[Stat Type],"TD"))))</f>
        <v>0</v>
      </c>
      <c r="M4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9" s="61">
        <f>SUMIFS(Data!$J:$J,Data!$A:$A,Info!$B489,Data!$G:$G,Info!$C489,Data!$I:$I,Info!$D489,Data!$H:$H,"TOT")</f>
        <v>0</v>
      </c>
      <c r="O489" s="61">
        <f>IF(C489="Defensive",SUMIFS(Data!$J:$J,Data!$A:$A,Info!$B489,Data!$I:$I,Info!$D489,Data!$H:$H,"INT"),0)</f>
        <v>0</v>
      </c>
      <c r="P489" s="61">
        <f>IF(Table1[[#This Row],[Role]]="Defensive",SUMIFS(Data!$J:$J,Data!$A:$A,Info!$B489,Data!$I:$I,Info!$D489,Data!$H:$H,$P$1),0)</f>
        <v>0</v>
      </c>
      <c r="Q489" s="65" t="str">
        <f>IF(Table1[[#This Row],[Pick]]="","",IF(S489&gt;1,400,IF(G489="","",IF(C489="Passing",(400-Table1[[#This Row],[Passing Yards]]-(30*Table1[[#This Row],[Passing TDs]])-(50*SUM(Table1[[#This Row],[Rushing TDs]:[Other TD''s]]))),IF(C489="Rushing",2*(200-Table1[[#This Row],[Rushing Yards]]-(30*Table1[[#This Row],[Passing TDs]])-50*(Table1[[#This Row],[Rushing TDs]]+Table1[[#This Row],[Receiving TDs]]+Table1[[#This Row],[Other TD''s]])),IF(C489="Receiving",2*(200-Table1[[#This Row],[Receiving Yards]]-(30*Table1[[#This Row],[Passing TDs]])-50*(Table1[[#This Row],[Rushing TDs]]+Table1[[#This Row],[Receiving TDs]]+Table1[[#This Row],[Other TD''s]])),IF(C489="Defensive",(25*(16-Table1[[#This Row],[Tackles]]-(8*(Table1[[#This Row],[Other TD''s]]+Table1[[#This Row],[Interceptions]]+Table1[[#This Row],[Fumbles Recovered]])))))))))))</f>
        <v/>
      </c>
      <c r="R489" s="3" t="str">
        <f t="shared" si="16"/>
        <v/>
      </c>
      <c r="S489" s="4">
        <f t="shared" si="15"/>
        <v>1048507</v>
      </c>
      <c r="T4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0" spans="1:20" hidden="1" x14ac:dyDescent="0.25">
      <c r="A490" t="s">
        <v>4</v>
      </c>
      <c r="B490" s="28" t="s">
        <v>51</v>
      </c>
      <c r="C490" t="s">
        <v>20</v>
      </c>
      <c r="D490" t="str">
        <f>_xlfn.XLOOKUP(Table1[[#This Row],[Player]]&amp;Table1[[#This Row],[Week]]&amp;Table1[[#This Row],[Role]],'Google Form Transform'!$A:$A,'Google Form Transform'!E:E,"")</f>
        <v/>
      </c>
      <c r="E490" t="str">
        <f>_xlfn.XLOOKUP(Table1[[#This Row],[Player]]&amp;Table1[[#This Row],[Week]]&amp;Table1[[#This Row],[Role]],'Google Form Transform'!$A:$A,'Google Form Transform'!F:F,"")</f>
        <v/>
      </c>
      <c r="F490" t="str">
        <f>_xlfn.XLOOKUP(Table1[[#This Row],[Player]]&amp;Table1[[#This Row],[Week]]&amp;Table1[[#This Row],[Role]],'Google Form Transform'!$A:$A,'Google Form Transform'!G:G,"")</f>
        <v/>
      </c>
      <c r="G490" s="59">
        <f>SUMIFS(Table2[Stat],Table2[Stat Category],"passing",Table2[Stat Type],"YDS",Table2[Athlete],Table1[[#This Row],[Pick]],Table2[Week],Table1[[#This Row],[Week]])</f>
        <v>0</v>
      </c>
      <c r="H490" s="59">
        <f>SUMIFS(Table2[Stat],Table2[Stat Category],"rushing",Table2[Stat Type],"YDS",Table2[Athlete],Table1[[#This Row],[Pick]],Table2[Week],Table1[[#This Row],[Week]])</f>
        <v>0</v>
      </c>
      <c r="I490" s="59">
        <f>SUMIFS(Table2[Stat],Table2[Stat Category],"receiving",Table2[Stat Type],"YDS",Table2[Athlete],Table1[[#This Row],[Pick]],Table2[Week],Table1[[#This Row],[Week]])</f>
        <v>0</v>
      </c>
      <c r="J490" s="6">
        <f>IF(AND($C490="Rushing", $H490&lt;=0), 0, IF(AND($C490="Passing", $G$3&lt;=0), 0,IF(AND($C490="Receiving",$I490&lt;=0), 0,SUMIFS(Table2[Stat],Table2[Week],Table1[[#This Row],[Week]],Table2[Athlete],Table1[[#This Row],[Pick]],Table2[Stat Category],"passing",Table2[Stat Type],"TD"))))</f>
        <v>0</v>
      </c>
      <c r="K490" s="6">
        <f>IF(AND($C490="Rushing", $H490&lt;=0), 0, IF(AND($C490="Passing", $G$3&lt;=0), 0,IF(AND($C490="Receiving",$I490&lt;=0),0,SUMIFS(Table2[Stat],Table2[Week],Table1[[#This Row],[Week]],Table2[Athlete],Table1[[#This Row],[Pick]],Table2[Stat Category],"rushing",Table2[Stat Type],"TD"))))</f>
        <v>0</v>
      </c>
      <c r="L490" s="6">
        <f>IF(AND($C490="Rushing", $H490&lt;=0), 0, IF(AND($C490="Passing", $G$3&lt;=0), 0,IF(AND($C490="Receiving",$I490&lt;=0),0,SUMIFS(Table2[Stat],Table2[Week],Table1[[#This Row],[Week]],Table2[Athlete],Table1[[#This Row],[Pick]],Table2[Stat Category],"receiving",Table2[Stat Type],"TD"))))</f>
        <v>0</v>
      </c>
      <c r="M4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0" s="61">
        <f>SUMIFS(Data!$J:$J,Data!$A:$A,Info!$B490,Data!$G:$G,Info!$C490,Data!$I:$I,Info!$D490,Data!$H:$H,"TOT")</f>
        <v>0</v>
      </c>
      <c r="O490" s="61">
        <f>IF(C490="Defensive",SUMIFS(Data!$J:$J,Data!$A:$A,Info!$B490,Data!$I:$I,Info!$D490,Data!$H:$H,"INT"),0)</f>
        <v>0</v>
      </c>
      <c r="P490" s="61">
        <f>IF(Table1[[#This Row],[Role]]="Defensive",SUMIFS(Data!$J:$J,Data!$A:$A,Info!$B490,Data!$I:$I,Info!$D490,Data!$H:$H,$P$1),0)</f>
        <v>0</v>
      </c>
      <c r="Q490" s="65" t="str">
        <f>IF(Table1[[#This Row],[Pick]]="","",IF(S490&gt;1,400,IF(G490="","",IF(C490="Passing",(400-Table1[[#This Row],[Passing Yards]]-(30*Table1[[#This Row],[Passing TDs]])-(50*SUM(Table1[[#This Row],[Rushing TDs]:[Other TD''s]]))),IF(C490="Rushing",2*(200-Table1[[#This Row],[Rushing Yards]]-(30*Table1[[#This Row],[Passing TDs]])-50*(Table1[[#This Row],[Rushing TDs]]+Table1[[#This Row],[Receiving TDs]]+Table1[[#This Row],[Other TD''s]])),IF(C490="Receiving",2*(200-Table1[[#This Row],[Receiving Yards]]-(30*Table1[[#This Row],[Passing TDs]])-50*(Table1[[#This Row],[Rushing TDs]]+Table1[[#This Row],[Receiving TDs]]+Table1[[#This Row],[Other TD''s]])),IF(C490="Defensive",(25*(16-Table1[[#This Row],[Tackles]]-(8*(Table1[[#This Row],[Other TD''s]]+Table1[[#This Row],[Interceptions]]+Table1[[#This Row],[Fumbles Recovered]])))))))))))</f>
        <v/>
      </c>
      <c r="R490" s="3" t="str">
        <f t="shared" si="16"/>
        <v/>
      </c>
      <c r="S490" s="4">
        <f t="shared" si="15"/>
        <v>1048507</v>
      </c>
      <c r="T4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1" spans="1:20" hidden="1" x14ac:dyDescent="0.25">
      <c r="A491" t="s">
        <v>79</v>
      </c>
      <c r="B491" s="28" t="s">
        <v>51</v>
      </c>
      <c r="C491" t="s">
        <v>16</v>
      </c>
      <c r="D491" t="str">
        <f>_xlfn.XLOOKUP(Table1[[#This Row],[Player]]&amp;Table1[[#This Row],[Week]]&amp;Table1[[#This Row],[Role]],'Google Form Transform'!$A:$A,'Google Form Transform'!E:E,"")</f>
        <v/>
      </c>
      <c r="E491" t="str">
        <f>_xlfn.XLOOKUP(Table1[[#This Row],[Player]]&amp;Table1[[#This Row],[Week]]&amp;Table1[[#This Row],[Role]],'Google Form Transform'!$A:$A,'Google Form Transform'!F:F,"")</f>
        <v/>
      </c>
      <c r="F491" t="str">
        <f>_xlfn.XLOOKUP(Table1[[#This Row],[Player]]&amp;Table1[[#This Row],[Week]]&amp;Table1[[#This Row],[Role]],'Google Form Transform'!$A:$A,'Google Form Transform'!G:G,"")</f>
        <v/>
      </c>
      <c r="G491" s="59">
        <f>SUMIFS(Table2[Stat],Table2[Stat Category],"passing",Table2[Stat Type],"YDS",Table2[Athlete],Table1[[#This Row],[Pick]],Table2[Week],Table1[[#This Row],[Week]])</f>
        <v>0</v>
      </c>
      <c r="H491" s="59">
        <f>SUMIFS(Table2[Stat],Table2[Stat Category],"rushing",Table2[Stat Type],"YDS",Table2[Athlete],Table1[[#This Row],[Pick]],Table2[Week],Table1[[#This Row],[Week]])</f>
        <v>0</v>
      </c>
      <c r="I491" s="59">
        <f>SUMIFS(Table2[Stat],Table2[Stat Category],"receiving",Table2[Stat Type],"YDS",Table2[Athlete],Table1[[#This Row],[Pick]],Table2[Week],Table1[[#This Row],[Week]])</f>
        <v>0</v>
      </c>
      <c r="J491" s="6">
        <f>IF(AND($C491="Rushing", $H491&lt;=0), 0, IF(AND($C491="Passing", $G$3&lt;=0), 0,IF(AND($C491="Receiving",$I491&lt;=0), 0,SUMIFS(Table2[Stat],Table2[Week],Table1[[#This Row],[Week]],Table2[Athlete],Table1[[#This Row],[Pick]],Table2[Stat Category],"passing",Table2[Stat Type],"TD"))))</f>
        <v>0</v>
      </c>
      <c r="K491" s="6">
        <f>IF(AND($C491="Rushing", $H491&lt;=0), 0, IF(AND($C491="Passing", $G$3&lt;=0), 0,IF(AND($C491="Receiving",$I491&lt;=0),0,SUMIFS(Table2[Stat],Table2[Week],Table1[[#This Row],[Week]],Table2[Athlete],Table1[[#This Row],[Pick]],Table2[Stat Category],"rushing",Table2[Stat Type],"TD"))))</f>
        <v>0</v>
      </c>
      <c r="L491" s="6">
        <f>IF(AND($C491="Rushing", $H491&lt;=0), 0, IF(AND($C491="Passing", $G$3&lt;=0), 0,IF(AND($C491="Receiving",$I491&lt;=0),0,SUMIFS(Table2[Stat],Table2[Week],Table1[[#This Row],[Week]],Table2[Athlete],Table1[[#This Row],[Pick]],Table2[Stat Category],"receiving",Table2[Stat Type],"TD"))))</f>
        <v>0</v>
      </c>
      <c r="M4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1" s="61">
        <f>SUMIFS(Data!$J:$J,Data!$A:$A,Info!$B491,Data!$G:$G,Info!$C491,Data!$I:$I,Info!$D491,Data!$H:$H,"TOT")</f>
        <v>0</v>
      </c>
      <c r="O491" s="61">
        <f>IF(C491="Defensive",SUMIFS(Data!$J:$J,Data!$A:$A,Info!$B491,Data!$I:$I,Info!$D491,Data!$H:$H,"INT"),0)</f>
        <v>0</v>
      </c>
      <c r="P491" s="61">
        <f>IF(Table1[[#This Row],[Role]]="Defensive",SUMIFS(Data!$J:$J,Data!$A:$A,Info!$B491,Data!$I:$I,Info!$D491,Data!$H:$H,$P$1),0)</f>
        <v>0</v>
      </c>
      <c r="Q491" s="65" t="str">
        <f>IF(Table1[[#This Row],[Pick]]="","",IF(S491&gt;1,400,IF(G491="","",IF(C491="Passing",(400-Table1[[#This Row],[Passing Yards]]-(30*Table1[[#This Row],[Passing TDs]])-(50*SUM(Table1[[#This Row],[Rushing TDs]:[Other TD''s]]))),IF(C491="Rushing",2*(200-Table1[[#This Row],[Rushing Yards]]-(30*Table1[[#This Row],[Passing TDs]])-50*(Table1[[#This Row],[Rushing TDs]]+Table1[[#This Row],[Receiving TDs]]+Table1[[#This Row],[Other TD''s]])),IF(C491="Receiving",2*(200-Table1[[#This Row],[Receiving Yards]]-(30*Table1[[#This Row],[Passing TDs]])-50*(Table1[[#This Row],[Rushing TDs]]+Table1[[#This Row],[Receiving TDs]]+Table1[[#This Row],[Other TD''s]])),IF(C491="Defensive",(25*(16-Table1[[#This Row],[Tackles]]-(8*(Table1[[#This Row],[Other TD''s]]+Table1[[#This Row],[Interceptions]]+Table1[[#This Row],[Fumbles Recovered]])))))))))))</f>
        <v/>
      </c>
      <c r="R491" s="3" t="str">
        <f t="shared" si="16"/>
        <v/>
      </c>
      <c r="S491" s="4">
        <f t="shared" si="15"/>
        <v>1048507</v>
      </c>
      <c r="T4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2" spans="1:20" hidden="1" x14ac:dyDescent="0.25">
      <c r="A492" t="s">
        <v>79</v>
      </c>
      <c r="B492" s="28" t="s">
        <v>51</v>
      </c>
      <c r="C492" t="s">
        <v>6</v>
      </c>
      <c r="D492" t="str">
        <f>_xlfn.XLOOKUP(Table1[[#This Row],[Player]]&amp;Table1[[#This Row],[Week]]&amp;Table1[[#This Row],[Role]],'Google Form Transform'!$A:$A,'Google Form Transform'!E:E,"")</f>
        <v/>
      </c>
      <c r="E492" t="str">
        <f>_xlfn.XLOOKUP(Table1[[#This Row],[Player]]&amp;Table1[[#This Row],[Week]]&amp;Table1[[#This Row],[Role]],'Google Form Transform'!$A:$A,'Google Form Transform'!F:F,"")</f>
        <v/>
      </c>
      <c r="F492" t="str">
        <f>_xlfn.XLOOKUP(Table1[[#This Row],[Player]]&amp;Table1[[#This Row],[Week]]&amp;Table1[[#This Row],[Role]],'Google Form Transform'!$A:$A,'Google Form Transform'!G:G,"")</f>
        <v/>
      </c>
      <c r="G492" s="59">
        <f>SUMIFS(Table2[Stat],Table2[Stat Category],"passing",Table2[Stat Type],"YDS",Table2[Athlete],Table1[[#This Row],[Pick]],Table2[Week],Table1[[#This Row],[Week]])</f>
        <v>0</v>
      </c>
      <c r="H492" s="59">
        <f>SUMIFS(Table2[Stat],Table2[Stat Category],"rushing",Table2[Stat Type],"YDS",Table2[Athlete],Table1[[#This Row],[Pick]],Table2[Week],Table1[[#This Row],[Week]])</f>
        <v>0</v>
      </c>
      <c r="I492" s="59">
        <f>SUMIFS(Table2[Stat],Table2[Stat Category],"receiving",Table2[Stat Type],"YDS",Table2[Athlete],Table1[[#This Row],[Pick]],Table2[Week],Table1[[#This Row],[Week]])</f>
        <v>0</v>
      </c>
      <c r="J492" s="6">
        <f>IF(AND($C492="Rushing", $H492&lt;=0), 0, IF(AND($C492="Passing", $G$3&lt;=0), 0,IF(AND($C492="Receiving",$I492&lt;=0), 0,SUMIFS(Table2[Stat],Table2[Week],Table1[[#This Row],[Week]],Table2[Athlete],Table1[[#This Row],[Pick]],Table2[Stat Category],"passing",Table2[Stat Type],"TD"))))</f>
        <v>0</v>
      </c>
      <c r="K492" s="6">
        <f>IF(AND($C492="Rushing", $H492&lt;=0), 0, IF(AND($C492="Passing", $G$3&lt;=0), 0,IF(AND($C492="Receiving",$I492&lt;=0),0,SUMIFS(Table2[Stat],Table2[Week],Table1[[#This Row],[Week]],Table2[Athlete],Table1[[#This Row],[Pick]],Table2[Stat Category],"rushing",Table2[Stat Type],"TD"))))</f>
        <v>0</v>
      </c>
      <c r="L492" s="6">
        <f>IF(AND($C492="Rushing", $H492&lt;=0), 0, IF(AND($C492="Passing", $G$3&lt;=0), 0,IF(AND($C492="Receiving",$I492&lt;=0),0,SUMIFS(Table2[Stat],Table2[Week],Table1[[#This Row],[Week]],Table2[Athlete],Table1[[#This Row],[Pick]],Table2[Stat Category],"receiving",Table2[Stat Type],"TD"))))</f>
        <v>0</v>
      </c>
      <c r="M4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2" s="61">
        <f>SUMIFS(Data!$J:$J,Data!$A:$A,Info!$B492,Data!$G:$G,Info!$C492,Data!$I:$I,Info!$D492,Data!$H:$H,"TOT")</f>
        <v>0</v>
      </c>
      <c r="O492" s="61">
        <f>IF(C492="Defensive",SUMIFS(Data!$J:$J,Data!$A:$A,Info!$B492,Data!$I:$I,Info!$D492,Data!$H:$H,"INT"),0)</f>
        <v>0</v>
      </c>
      <c r="P492" s="61">
        <f>IF(Table1[[#This Row],[Role]]="Defensive",SUMIFS(Data!$J:$J,Data!$A:$A,Info!$B492,Data!$I:$I,Info!$D492,Data!$H:$H,$P$1),0)</f>
        <v>0</v>
      </c>
      <c r="Q492" s="65" t="str">
        <f>IF(Table1[[#This Row],[Pick]]="","",IF(S492&gt;1,400,IF(G492="","",IF(C492="Passing",(400-Table1[[#This Row],[Passing Yards]]-(30*Table1[[#This Row],[Passing TDs]])-(50*SUM(Table1[[#This Row],[Rushing TDs]:[Other TD''s]]))),IF(C492="Rushing",2*(200-Table1[[#This Row],[Rushing Yards]]-(30*Table1[[#This Row],[Passing TDs]])-50*(Table1[[#This Row],[Rushing TDs]]+Table1[[#This Row],[Receiving TDs]]+Table1[[#This Row],[Other TD''s]])),IF(C492="Receiving",2*(200-Table1[[#This Row],[Receiving Yards]]-(30*Table1[[#This Row],[Passing TDs]])-50*(Table1[[#This Row],[Rushing TDs]]+Table1[[#This Row],[Receiving TDs]]+Table1[[#This Row],[Other TD''s]])),IF(C492="Defensive",(25*(16-Table1[[#This Row],[Tackles]]-(8*(Table1[[#This Row],[Other TD''s]]+Table1[[#This Row],[Interceptions]]+Table1[[#This Row],[Fumbles Recovered]])))))))))))</f>
        <v/>
      </c>
      <c r="R492" s="3" t="str">
        <f t="shared" si="16"/>
        <v/>
      </c>
      <c r="S492" s="4">
        <f t="shared" si="15"/>
        <v>1048507</v>
      </c>
      <c r="T4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3" spans="1:20" hidden="1" x14ac:dyDescent="0.25">
      <c r="A493" t="s">
        <v>79</v>
      </c>
      <c r="B493" s="28" t="s">
        <v>51</v>
      </c>
      <c r="C493" t="s">
        <v>17</v>
      </c>
      <c r="D493" t="str">
        <f>_xlfn.XLOOKUP(Table1[[#This Row],[Player]]&amp;Table1[[#This Row],[Week]]&amp;Table1[[#This Row],[Role]],'Google Form Transform'!$A:$A,'Google Form Transform'!E:E,"")</f>
        <v/>
      </c>
      <c r="E493" t="str">
        <f>_xlfn.XLOOKUP(Table1[[#This Row],[Player]]&amp;Table1[[#This Row],[Week]]&amp;Table1[[#This Row],[Role]],'Google Form Transform'!$A:$A,'Google Form Transform'!F:F,"")</f>
        <v/>
      </c>
      <c r="F493" t="str">
        <f>_xlfn.XLOOKUP(Table1[[#This Row],[Player]]&amp;Table1[[#This Row],[Week]]&amp;Table1[[#This Row],[Role]],'Google Form Transform'!$A:$A,'Google Form Transform'!G:G,"")</f>
        <v/>
      </c>
      <c r="G493" s="59">
        <f>SUMIFS(Table2[Stat],Table2[Stat Category],"passing",Table2[Stat Type],"YDS",Table2[Athlete],Table1[[#This Row],[Pick]],Table2[Week],Table1[[#This Row],[Week]])</f>
        <v>0</v>
      </c>
      <c r="H493" s="59">
        <f>SUMIFS(Table2[Stat],Table2[Stat Category],"rushing",Table2[Stat Type],"YDS",Table2[Athlete],Table1[[#This Row],[Pick]],Table2[Week],Table1[[#This Row],[Week]])</f>
        <v>0</v>
      </c>
      <c r="I493" s="59">
        <f>SUMIFS(Table2[Stat],Table2[Stat Category],"receiving",Table2[Stat Type],"YDS",Table2[Athlete],Table1[[#This Row],[Pick]],Table2[Week],Table1[[#This Row],[Week]])</f>
        <v>0</v>
      </c>
      <c r="J493" s="6">
        <f>IF(AND($C493="Rushing", $H493&lt;=0), 0, IF(AND($C493="Passing", $G$3&lt;=0), 0,IF(AND($C493="Receiving",$I493&lt;=0), 0,SUMIFS(Table2[Stat],Table2[Week],Table1[[#This Row],[Week]],Table2[Athlete],Table1[[#This Row],[Pick]],Table2[Stat Category],"passing",Table2[Stat Type],"TD"))))</f>
        <v>0</v>
      </c>
      <c r="K493" s="6">
        <f>IF(AND($C493="Rushing", $H493&lt;=0), 0, IF(AND($C493="Passing", $G$3&lt;=0), 0,IF(AND($C493="Receiving",$I493&lt;=0),0,SUMIFS(Table2[Stat],Table2[Week],Table1[[#This Row],[Week]],Table2[Athlete],Table1[[#This Row],[Pick]],Table2[Stat Category],"rushing",Table2[Stat Type],"TD"))))</f>
        <v>0</v>
      </c>
      <c r="L493" s="6">
        <f>IF(AND($C493="Rushing", $H493&lt;=0), 0, IF(AND($C493="Passing", $G$3&lt;=0), 0,IF(AND($C493="Receiving",$I493&lt;=0),0,SUMIFS(Table2[Stat],Table2[Week],Table1[[#This Row],[Week]],Table2[Athlete],Table1[[#This Row],[Pick]],Table2[Stat Category],"receiving",Table2[Stat Type],"TD"))))</f>
        <v>0</v>
      </c>
      <c r="M4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3" s="61">
        <f>SUMIFS(Data!$J:$J,Data!$A:$A,Info!$B493,Data!$G:$G,Info!$C493,Data!$I:$I,Info!$D493,Data!$H:$H,"TOT")</f>
        <v>0</v>
      </c>
      <c r="O493" s="61">
        <f>IF(C493="Defensive",SUMIFS(Data!$J:$J,Data!$A:$A,Info!$B493,Data!$I:$I,Info!$D493,Data!$H:$H,"INT"),0)</f>
        <v>0</v>
      </c>
      <c r="P493" s="61">
        <f>IF(Table1[[#This Row],[Role]]="Defensive",SUMIFS(Data!$J:$J,Data!$A:$A,Info!$B493,Data!$I:$I,Info!$D493,Data!$H:$H,$P$1),0)</f>
        <v>0</v>
      </c>
      <c r="Q493" s="65" t="str">
        <f>IF(Table1[[#This Row],[Pick]]="","",IF(S493&gt;1,400,IF(G493="","",IF(C493="Passing",(400-Table1[[#This Row],[Passing Yards]]-(30*Table1[[#This Row],[Passing TDs]])-(50*SUM(Table1[[#This Row],[Rushing TDs]:[Other TD''s]]))),IF(C493="Rushing",2*(200-Table1[[#This Row],[Rushing Yards]]-(30*Table1[[#This Row],[Passing TDs]])-50*(Table1[[#This Row],[Rushing TDs]]+Table1[[#This Row],[Receiving TDs]]+Table1[[#This Row],[Other TD''s]])),IF(C493="Receiving",2*(200-Table1[[#This Row],[Receiving Yards]]-(30*Table1[[#This Row],[Passing TDs]])-50*(Table1[[#This Row],[Rushing TDs]]+Table1[[#This Row],[Receiving TDs]]+Table1[[#This Row],[Other TD''s]])),IF(C493="Defensive",(25*(16-Table1[[#This Row],[Tackles]]-(8*(Table1[[#This Row],[Other TD''s]]+Table1[[#This Row],[Interceptions]]+Table1[[#This Row],[Fumbles Recovered]])))))))))))</f>
        <v/>
      </c>
      <c r="R493" s="3" t="str">
        <f t="shared" si="16"/>
        <v/>
      </c>
      <c r="S493" s="4">
        <f t="shared" si="15"/>
        <v>1048507</v>
      </c>
      <c r="T4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4" spans="1:20" hidden="1" x14ac:dyDescent="0.25">
      <c r="A494" t="s">
        <v>79</v>
      </c>
      <c r="B494" s="28" t="s">
        <v>51</v>
      </c>
      <c r="C494" t="s">
        <v>20</v>
      </c>
      <c r="D494" t="str">
        <f>_xlfn.XLOOKUP(Table1[[#This Row],[Player]]&amp;Table1[[#This Row],[Week]]&amp;Table1[[#This Row],[Role]],'Google Form Transform'!$A:$A,'Google Form Transform'!E:E,"")</f>
        <v/>
      </c>
      <c r="E494" t="str">
        <f>_xlfn.XLOOKUP(Table1[[#This Row],[Player]]&amp;Table1[[#This Row],[Week]]&amp;Table1[[#This Row],[Role]],'Google Form Transform'!$A:$A,'Google Form Transform'!F:F,"")</f>
        <v/>
      </c>
      <c r="F494" t="str">
        <f>_xlfn.XLOOKUP(Table1[[#This Row],[Player]]&amp;Table1[[#This Row],[Week]]&amp;Table1[[#This Row],[Role]],'Google Form Transform'!$A:$A,'Google Form Transform'!G:G,"")</f>
        <v/>
      </c>
      <c r="G494" s="59">
        <f>SUMIFS(Table2[Stat],Table2[Stat Category],"passing",Table2[Stat Type],"YDS",Table2[Athlete],Table1[[#This Row],[Pick]],Table2[Week],Table1[[#This Row],[Week]])</f>
        <v>0</v>
      </c>
      <c r="H494" s="59">
        <f>SUMIFS(Table2[Stat],Table2[Stat Category],"rushing",Table2[Stat Type],"YDS",Table2[Athlete],Table1[[#This Row],[Pick]],Table2[Week],Table1[[#This Row],[Week]])</f>
        <v>0</v>
      </c>
      <c r="I494" s="59">
        <f>SUMIFS(Table2[Stat],Table2[Stat Category],"receiving",Table2[Stat Type],"YDS",Table2[Athlete],Table1[[#This Row],[Pick]],Table2[Week],Table1[[#This Row],[Week]])</f>
        <v>0</v>
      </c>
      <c r="J494" s="6">
        <f>IF(AND($C494="Rushing", $H494&lt;=0), 0, IF(AND($C494="Passing", $G$3&lt;=0), 0,IF(AND($C494="Receiving",$I494&lt;=0), 0,SUMIFS(Table2[Stat],Table2[Week],Table1[[#This Row],[Week]],Table2[Athlete],Table1[[#This Row],[Pick]],Table2[Stat Category],"passing",Table2[Stat Type],"TD"))))</f>
        <v>0</v>
      </c>
      <c r="K494" s="6">
        <f>IF(AND($C494="Rushing", $H494&lt;=0), 0, IF(AND($C494="Passing", $G$3&lt;=0), 0,IF(AND($C494="Receiving",$I494&lt;=0),0,SUMIFS(Table2[Stat],Table2[Week],Table1[[#This Row],[Week]],Table2[Athlete],Table1[[#This Row],[Pick]],Table2[Stat Category],"rushing",Table2[Stat Type],"TD"))))</f>
        <v>0</v>
      </c>
      <c r="L494" s="6">
        <f>IF(AND($C494="Rushing", $H494&lt;=0), 0, IF(AND($C494="Passing", $G$3&lt;=0), 0,IF(AND($C494="Receiving",$I494&lt;=0),0,SUMIFS(Table2[Stat],Table2[Week],Table1[[#This Row],[Week]],Table2[Athlete],Table1[[#This Row],[Pick]],Table2[Stat Category],"receiving",Table2[Stat Type],"TD"))))</f>
        <v>0</v>
      </c>
      <c r="M4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4" s="61">
        <f>SUMIFS(Data!$J:$J,Data!$A:$A,Info!$B494,Data!$G:$G,Info!$C494,Data!$I:$I,Info!$D494,Data!$H:$H,"TOT")</f>
        <v>0</v>
      </c>
      <c r="O494" s="61">
        <f>IF(C494="Defensive",SUMIFS(Data!$J:$J,Data!$A:$A,Info!$B494,Data!$I:$I,Info!$D494,Data!$H:$H,"INT"),0)</f>
        <v>0</v>
      </c>
      <c r="P494" s="61">
        <f>IF(Table1[[#This Row],[Role]]="Defensive",SUMIFS(Data!$J:$J,Data!$A:$A,Info!$B494,Data!$I:$I,Info!$D494,Data!$H:$H,$P$1),0)</f>
        <v>0</v>
      </c>
      <c r="Q494" s="65" t="str">
        <f>IF(Table1[[#This Row],[Pick]]="","",IF(S494&gt;1,400,IF(G494="","",IF(C494="Passing",(400-Table1[[#This Row],[Passing Yards]]-(30*Table1[[#This Row],[Passing TDs]])-(50*SUM(Table1[[#This Row],[Rushing TDs]:[Other TD''s]]))),IF(C494="Rushing",2*(200-Table1[[#This Row],[Rushing Yards]]-(30*Table1[[#This Row],[Passing TDs]])-50*(Table1[[#This Row],[Rushing TDs]]+Table1[[#This Row],[Receiving TDs]]+Table1[[#This Row],[Other TD''s]])),IF(C494="Receiving",2*(200-Table1[[#This Row],[Receiving Yards]]-(30*Table1[[#This Row],[Passing TDs]])-50*(Table1[[#This Row],[Rushing TDs]]+Table1[[#This Row],[Receiving TDs]]+Table1[[#This Row],[Other TD''s]])),IF(C494="Defensive",(25*(16-Table1[[#This Row],[Tackles]]-(8*(Table1[[#This Row],[Other TD''s]]+Table1[[#This Row],[Interceptions]]+Table1[[#This Row],[Fumbles Recovered]])))))))))))</f>
        <v/>
      </c>
      <c r="R494" s="3" t="str">
        <f t="shared" si="16"/>
        <v/>
      </c>
      <c r="S494" s="4">
        <f t="shared" si="15"/>
        <v>1048507</v>
      </c>
      <c r="T4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5" spans="1:20" hidden="1" x14ac:dyDescent="0.25">
      <c r="A495" t="s">
        <v>58</v>
      </c>
      <c r="B495" s="28" t="s">
        <v>51</v>
      </c>
      <c r="C495" t="s">
        <v>16</v>
      </c>
      <c r="D495" t="str">
        <f>_xlfn.XLOOKUP(Table1[[#This Row],[Player]]&amp;Table1[[#This Row],[Week]]&amp;Table1[[#This Row],[Role]],'Google Form Transform'!$A:$A,'Google Form Transform'!E:E,"")</f>
        <v/>
      </c>
      <c r="E495" t="str">
        <f>_xlfn.XLOOKUP(Table1[[#This Row],[Player]]&amp;Table1[[#This Row],[Week]]&amp;Table1[[#This Row],[Role]],'Google Form Transform'!$A:$A,'Google Form Transform'!F:F,"")</f>
        <v/>
      </c>
      <c r="F495" t="str">
        <f>_xlfn.XLOOKUP(Table1[[#This Row],[Player]]&amp;Table1[[#This Row],[Week]]&amp;Table1[[#This Row],[Role]],'Google Form Transform'!$A:$A,'Google Form Transform'!G:G,"")</f>
        <v/>
      </c>
      <c r="G495" s="59">
        <f>SUMIFS(Table2[Stat],Table2[Stat Category],"passing",Table2[Stat Type],"YDS",Table2[Athlete],Table1[[#This Row],[Pick]],Table2[Week],Table1[[#This Row],[Week]])</f>
        <v>0</v>
      </c>
      <c r="H495" s="59">
        <f>SUMIFS(Table2[Stat],Table2[Stat Category],"rushing",Table2[Stat Type],"YDS",Table2[Athlete],Table1[[#This Row],[Pick]],Table2[Week],Table1[[#This Row],[Week]])</f>
        <v>0</v>
      </c>
      <c r="I495" s="59">
        <f>SUMIFS(Table2[Stat],Table2[Stat Category],"receiving",Table2[Stat Type],"YDS",Table2[Athlete],Table1[[#This Row],[Pick]],Table2[Week],Table1[[#This Row],[Week]])</f>
        <v>0</v>
      </c>
      <c r="J495" s="6">
        <f>IF(AND($C495="Rushing", $H495&lt;=0), 0, IF(AND($C495="Passing", $G$3&lt;=0), 0,IF(AND($C495="Receiving",$I495&lt;=0), 0,SUMIFS(Table2[Stat],Table2[Week],Table1[[#This Row],[Week]],Table2[Athlete],Table1[[#This Row],[Pick]],Table2[Stat Category],"passing",Table2[Stat Type],"TD"))))</f>
        <v>0</v>
      </c>
      <c r="K495" s="6">
        <f>IF(AND($C495="Rushing", $H495&lt;=0), 0, IF(AND($C495="Passing", $G$3&lt;=0), 0,IF(AND($C495="Receiving",$I495&lt;=0),0,SUMIFS(Table2[Stat],Table2[Week],Table1[[#This Row],[Week]],Table2[Athlete],Table1[[#This Row],[Pick]],Table2[Stat Category],"rushing",Table2[Stat Type],"TD"))))</f>
        <v>0</v>
      </c>
      <c r="L495" s="6">
        <f>IF(AND($C495="Rushing", $H495&lt;=0), 0, IF(AND($C495="Passing", $G$3&lt;=0), 0,IF(AND($C495="Receiving",$I495&lt;=0),0,SUMIFS(Table2[Stat],Table2[Week],Table1[[#This Row],[Week]],Table2[Athlete],Table1[[#This Row],[Pick]],Table2[Stat Category],"receiving",Table2[Stat Type],"TD"))))</f>
        <v>0</v>
      </c>
      <c r="M4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5" s="61">
        <f>SUMIFS(Data!$J:$J,Data!$A:$A,Info!$B495,Data!$G:$G,Info!$C495,Data!$I:$I,Info!$D495,Data!$H:$H,"TOT")</f>
        <v>0</v>
      </c>
      <c r="O495" s="61">
        <f>IF(C495="Defensive",SUMIFS(Data!$J:$J,Data!$A:$A,Info!$B495,Data!$I:$I,Info!$D495,Data!$H:$H,"INT"),0)</f>
        <v>0</v>
      </c>
      <c r="P495" s="61">
        <f>IF(Table1[[#This Row],[Role]]="Defensive",SUMIFS(Data!$J:$J,Data!$A:$A,Info!$B495,Data!$I:$I,Info!$D495,Data!$H:$H,$P$1),0)</f>
        <v>0</v>
      </c>
      <c r="Q495" s="65" t="str">
        <f>IF(Table1[[#This Row],[Pick]]="","",IF(S495&gt;1,400,IF(G495="","",IF(C495="Passing",(400-Table1[[#This Row],[Passing Yards]]-(30*Table1[[#This Row],[Passing TDs]])-(50*SUM(Table1[[#This Row],[Rushing TDs]:[Other TD''s]]))),IF(C495="Rushing",2*(200-Table1[[#This Row],[Rushing Yards]]-(30*Table1[[#This Row],[Passing TDs]])-50*(Table1[[#This Row],[Rushing TDs]]+Table1[[#This Row],[Receiving TDs]]+Table1[[#This Row],[Other TD''s]])),IF(C495="Receiving",2*(200-Table1[[#This Row],[Receiving Yards]]-(30*Table1[[#This Row],[Passing TDs]])-50*(Table1[[#This Row],[Rushing TDs]]+Table1[[#This Row],[Receiving TDs]]+Table1[[#This Row],[Other TD''s]])),IF(C495="Defensive",(25*(16-Table1[[#This Row],[Tackles]]-(8*(Table1[[#This Row],[Other TD''s]]+Table1[[#This Row],[Interceptions]]+Table1[[#This Row],[Fumbles Recovered]])))))))))))</f>
        <v/>
      </c>
      <c r="R495" s="3" t="str">
        <f t="shared" si="16"/>
        <v/>
      </c>
      <c r="S495" s="4">
        <f t="shared" si="15"/>
        <v>1048507</v>
      </c>
      <c r="T4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6" spans="1:20" hidden="1" x14ac:dyDescent="0.25">
      <c r="A496" t="s">
        <v>58</v>
      </c>
      <c r="B496" s="28" t="s">
        <v>51</v>
      </c>
      <c r="C496" t="s">
        <v>6</v>
      </c>
      <c r="D496" t="str">
        <f>_xlfn.XLOOKUP(Table1[[#This Row],[Player]]&amp;Table1[[#This Row],[Week]]&amp;Table1[[#This Row],[Role]],'Google Form Transform'!$A:$A,'Google Form Transform'!E:E,"")</f>
        <v/>
      </c>
      <c r="E496" t="str">
        <f>_xlfn.XLOOKUP(Table1[[#This Row],[Player]]&amp;Table1[[#This Row],[Week]]&amp;Table1[[#This Row],[Role]],'Google Form Transform'!$A:$A,'Google Form Transform'!F:F,"")</f>
        <v/>
      </c>
      <c r="F496" t="str">
        <f>_xlfn.XLOOKUP(Table1[[#This Row],[Player]]&amp;Table1[[#This Row],[Week]]&amp;Table1[[#This Row],[Role]],'Google Form Transform'!$A:$A,'Google Form Transform'!G:G,"")</f>
        <v/>
      </c>
      <c r="G496" s="59">
        <f>SUMIFS(Table2[Stat],Table2[Stat Category],"passing",Table2[Stat Type],"YDS",Table2[Athlete],Table1[[#This Row],[Pick]],Table2[Week],Table1[[#This Row],[Week]])</f>
        <v>0</v>
      </c>
      <c r="H496" s="59">
        <f>SUMIFS(Table2[Stat],Table2[Stat Category],"rushing",Table2[Stat Type],"YDS",Table2[Athlete],Table1[[#This Row],[Pick]],Table2[Week],Table1[[#This Row],[Week]])</f>
        <v>0</v>
      </c>
      <c r="I496" s="59">
        <f>SUMIFS(Table2[Stat],Table2[Stat Category],"receiving",Table2[Stat Type],"YDS",Table2[Athlete],Table1[[#This Row],[Pick]],Table2[Week],Table1[[#This Row],[Week]])</f>
        <v>0</v>
      </c>
      <c r="J496" s="6">
        <f>IF(AND($C496="Rushing", $H496&lt;=0), 0, IF(AND($C496="Passing", $G$3&lt;=0), 0,IF(AND($C496="Receiving",$I496&lt;=0), 0,SUMIFS(Table2[Stat],Table2[Week],Table1[[#This Row],[Week]],Table2[Athlete],Table1[[#This Row],[Pick]],Table2[Stat Category],"passing",Table2[Stat Type],"TD"))))</f>
        <v>0</v>
      </c>
      <c r="K496" s="6">
        <f>IF(AND($C496="Rushing", $H496&lt;=0), 0, IF(AND($C496="Passing", $G$3&lt;=0), 0,IF(AND($C496="Receiving",$I496&lt;=0),0,SUMIFS(Table2[Stat],Table2[Week],Table1[[#This Row],[Week]],Table2[Athlete],Table1[[#This Row],[Pick]],Table2[Stat Category],"rushing",Table2[Stat Type],"TD"))))</f>
        <v>0</v>
      </c>
      <c r="L496" s="6">
        <f>IF(AND($C496="Rushing", $H496&lt;=0), 0, IF(AND($C496="Passing", $G$3&lt;=0), 0,IF(AND($C496="Receiving",$I496&lt;=0),0,SUMIFS(Table2[Stat],Table2[Week],Table1[[#This Row],[Week]],Table2[Athlete],Table1[[#This Row],[Pick]],Table2[Stat Category],"receiving",Table2[Stat Type],"TD"))))</f>
        <v>0</v>
      </c>
      <c r="M4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6" s="61">
        <f>SUMIFS(Data!$J:$J,Data!$A:$A,Info!$B496,Data!$G:$G,Info!$C496,Data!$I:$I,Info!$D496,Data!$H:$H,"TOT")</f>
        <v>0</v>
      </c>
      <c r="O496" s="61">
        <f>IF(C496="Defensive",SUMIFS(Data!$J:$J,Data!$A:$A,Info!$B496,Data!$I:$I,Info!$D496,Data!$H:$H,"INT"),0)</f>
        <v>0</v>
      </c>
      <c r="P496" s="61">
        <f>IF(Table1[[#This Row],[Role]]="Defensive",SUMIFS(Data!$J:$J,Data!$A:$A,Info!$B496,Data!$I:$I,Info!$D496,Data!$H:$H,$P$1),0)</f>
        <v>0</v>
      </c>
      <c r="Q496" s="65" t="str">
        <f>IF(Table1[[#This Row],[Pick]]="","",IF(S496&gt;1,400,IF(G496="","",IF(C496="Passing",(400-Table1[[#This Row],[Passing Yards]]-(30*Table1[[#This Row],[Passing TDs]])-(50*SUM(Table1[[#This Row],[Rushing TDs]:[Other TD''s]]))),IF(C496="Rushing",2*(200-Table1[[#This Row],[Rushing Yards]]-(30*Table1[[#This Row],[Passing TDs]])-50*(Table1[[#This Row],[Rushing TDs]]+Table1[[#This Row],[Receiving TDs]]+Table1[[#This Row],[Other TD''s]])),IF(C496="Receiving",2*(200-Table1[[#This Row],[Receiving Yards]]-(30*Table1[[#This Row],[Passing TDs]])-50*(Table1[[#This Row],[Rushing TDs]]+Table1[[#This Row],[Receiving TDs]]+Table1[[#This Row],[Other TD''s]])),IF(C496="Defensive",(25*(16-Table1[[#This Row],[Tackles]]-(8*(Table1[[#This Row],[Other TD''s]]+Table1[[#This Row],[Interceptions]]+Table1[[#This Row],[Fumbles Recovered]])))))))))))</f>
        <v/>
      </c>
      <c r="R496" s="3" t="str">
        <f t="shared" si="16"/>
        <v/>
      </c>
      <c r="S496" s="4">
        <f t="shared" si="15"/>
        <v>1048507</v>
      </c>
      <c r="T4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7" spans="1:20" hidden="1" x14ac:dyDescent="0.25">
      <c r="A497" t="s">
        <v>58</v>
      </c>
      <c r="B497" s="28" t="s">
        <v>51</v>
      </c>
      <c r="C497" t="s">
        <v>17</v>
      </c>
      <c r="D497" t="str">
        <f>_xlfn.XLOOKUP(Table1[[#This Row],[Player]]&amp;Table1[[#This Row],[Week]]&amp;Table1[[#This Row],[Role]],'Google Form Transform'!$A:$A,'Google Form Transform'!E:E,"")</f>
        <v/>
      </c>
      <c r="E497" t="str">
        <f>_xlfn.XLOOKUP(Table1[[#This Row],[Player]]&amp;Table1[[#This Row],[Week]]&amp;Table1[[#This Row],[Role]],'Google Form Transform'!$A:$A,'Google Form Transform'!F:F,"")</f>
        <v/>
      </c>
      <c r="F497" t="str">
        <f>_xlfn.XLOOKUP(Table1[[#This Row],[Player]]&amp;Table1[[#This Row],[Week]]&amp;Table1[[#This Row],[Role]],'Google Form Transform'!$A:$A,'Google Form Transform'!G:G,"")</f>
        <v/>
      </c>
      <c r="G497" s="59">
        <f>SUMIFS(Table2[Stat],Table2[Stat Category],"passing",Table2[Stat Type],"YDS",Table2[Athlete],Table1[[#This Row],[Pick]],Table2[Week],Table1[[#This Row],[Week]])</f>
        <v>0</v>
      </c>
      <c r="H497" s="59">
        <f>SUMIFS(Table2[Stat],Table2[Stat Category],"rushing",Table2[Stat Type],"YDS",Table2[Athlete],Table1[[#This Row],[Pick]],Table2[Week],Table1[[#This Row],[Week]])</f>
        <v>0</v>
      </c>
      <c r="I497" s="59">
        <f>SUMIFS(Table2[Stat],Table2[Stat Category],"receiving",Table2[Stat Type],"YDS",Table2[Athlete],Table1[[#This Row],[Pick]],Table2[Week],Table1[[#This Row],[Week]])</f>
        <v>0</v>
      </c>
      <c r="J497" s="6">
        <f>IF(AND($C497="Rushing", $H497&lt;=0), 0, IF(AND($C497="Passing", $G$3&lt;=0), 0,IF(AND($C497="Receiving",$I497&lt;=0), 0,SUMIFS(Table2[Stat],Table2[Week],Table1[[#This Row],[Week]],Table2[Athlete],Table1[[#This Row],[Pick]],Table2[Stat Category],"passing",Table2[Stat Type],"TD"))))</f>
        <v>0</v>
      </c>
      <c r="K497" s="6">
        <f>IF(AND($C497="Rushing", $H497&lt;=0), 0, IF(AND($C497="Passing", $G$3&lt;=0), 0,IF(AND($C497="Receiving",$I497&lt;=0),0,SUMIFS(Table2[Stat],Table2[Week],Table1[[#This Row],[Week]],Table2[Athlete],Table1[[#This Row],[Pick]],Table2[Stat Category],"rushing",Table2[Stat Type],"TD"))))</f>
        <v>0</v>
      </c>
      <c r="L497" s="6">
        <f>IF(AND($C497="Rushing", $H497&lt;=0), 0, IF(AND($C497="Passing", $G$3&lt;=0), 0,IF(AND($C497="Receiving",$I497&lt;=0),0,SUMIFS(Table2[Stat],Table2[Week],Table1[[#This Row],[Week]],Table2[Athlete],Table1[[#This Row],[Pick]],Table2[Stat Category],"receiving",Table2[Stat Type],"TD"))))</f>
        <v>0</v>
      </c>
      <c r="M4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7" s="61">
        <f>SUMIFS(Data!$J:$J,Data!$A:$A,Info!$B497,Data!$G:$G,Info!$C497,Data!$I:$I,Info!$D497,Data!$H:$H,"TOT")</f>
        <v>0</v>
      </c>
      <c r="O497" s="61">
        <f>IF(C497="Defensive",SUMIFS(Data!$J:$J,Data!$A:$A,Info!$B497,Data!$I:$I,Info!$D497,Data!$H:$H,"INT"),0)</f>
        <v>0</v>
      </c>
      <c r="P497" s="61">
        <f>IF(Table1[[#This Row],[Role]]="Defensive",SUMIFS(Data!$J:$J,Data!$A:$A,Info!$B497,Data!$I:$I,Info!$D497,Data!$H:$H,$P$1),0)</f>
        <v>0</v>
      </c>
      <c r="Q497" s="65" t="str">
        <f>IF(Table1[[#This Row],[Pick]]="","",IF(S497&gt;1,400,IF(G497="","",IF(C497="Passing",(400-Table1[[#This Row],[Passing Yards]]-(30*Table1[[#This Row],[Passing TDs]])-(50*SUM(Table1[[#This Row],[Rushing TDs]:[Other TD''s]]))),IF(C497="Rushing",2*(200-Table1[[#This Row],[Rushing Yards]]-(30*Table1[[#This Row],[Passing TDs]])-50*(Table1[[#This Row],[Rushing TDs]]+Table1[[#This Row],[Receiving TDs]]+Table1[[#This Row],[Other TD''s]])),IF(C497="Receiving",2*(200-Table1[[#This Row],[Receiving Yards]]-(30*Table1[[#This Row],[Passing TDs]])-50*(Table1[[#This Row],[Rushing TDs]]+Table1[[#This Row],[Receiving TDs]]+Table1[[#This Row],[Other TD''s]])),IF(C497="Defensive",(25*(16-Table1[[#This Row],[Tackles]]-(8*(Table1[[#This Row],[Other TD''s]]+Table1[[#This Row],[Interceptions]]+Table1[[#This Row],[Fumbles Recovered]])))))))))))</f>
        <v/>
      </c>
      <c r="R497" s="3" t="str">
        <f t="shared" si="16"/>
        <v/>
      </c>
      <c r="S497" s="4">
        <f t="shared" si="15"/>
        <v>1048507</v>
      </c>
      <c r="T4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8" spans="1:20" hidden="1" x14ac:dyDescent="0.25">
      <c r="A498" t="s">
        <v>58</v>
      </c>
      <c r="B498" s="28" t="s">
        <v>51</v>
      </c>
      <c r="C498" t="s">
        <v>20</v>
      </c>
      <c r="D498" t="str">
        <f>_xlfn.XLOOKUP(Table1[[#This Row],[Player]]&amp;Table1[[#This Row],[Week]]&amp;Table1[[#This Row],[Role]],'Google Form Transform'!$A:$A,'Google Form Transform'!E:E,"")</f>
        <v/>
      </c>
      <c r="E498" t="str">
        <f>_xlfn.XLOOKUP(Table1[[#This Row],[Player]]&amp;Table1[[#This Row],[Week]]&amp;Table1[[#This Row],[Role]],'Google Form Transform'!$A:$A,'Google Form Transform'!F:F,"")</f>
        <v/>
      </c>
      <c r="F498" t="str">
        <f>_xlfn.XLOOKUP(Table1[[#This Row],[Player]]&amp;Table1[[#This Row],[Week]]&amp;Table1[[#This Row],[Role]],'Google Form Transform'!$A:$A,'Google Form Transform'!G:G,"")</f>
        <v/>
      </c>
      <c r="G498" s="59">
        <f>SUMIFS(Table2[Stat],Table2[Stat Category],"passing",Table2[Stat Type],"YDS",Table2[Athlete],Table1[[#This Row],[Pick]],Table2[Week],Table1[[#This Row],[Week]])</f>
        <v>0</v>
      </c>
      <c r="H498" s="59">
        <f>SUMIFS(Table2[Stat],Table2[Stat Category],"rushing",Table2[Stat Type],"YDS",Table2[Athlete],Table1[[#This Row],[Pick]],Table2[Week],Table1[[#This Row],[Week]])</f>
        <v>0</v>
      </c>
      <c r="I498" s="59">
        <f>SUMIFS(Table2[Stat],Table2[Stat Category],"receiving",Table2[Stat Type],"YDS",Table2[Athlete],Table1[[#This Row],[Pick]],Table2[Week],Table1[[#This Row],[Week]])</f>
        <v>0</v>
      </c>
      <c r="J498" s="6">
        <f>IF(AND($C498="Rushing", $H498&lt;=0), 0, IF(AND($C498="Passing", $G$3&lt;=0), 0,IF(AND($C498="Receiving",$I498&lt;=0), 0,SUMIFS(Table2[Stat],Table2[Week],Table1[[#This Row],[Week]],Table2[Athlete],Table1[[#This Row],[Pick]],Table2[Stat Category],"passing",Table2[Stat Type],"TD"))))</f>
        <v>0</v>
      </c>
      <c r="K498" s="6">
        <f>IF(AND($C498="Rushing", $H498&lt;=0), 0, IF(AND($C498="Passing", $G$3&lt;=0), 0,IF(AND($C498="Receiving",$I498&lt;=0),0,SUMIFS(Table2[Stat],Table2[Week],Table1[[#This Row],[Week]],Table2[Athlete],Table1[[#This Row],[Pick]],Table2[Stat Category],"rushing",Table2[Stat Type],"TD"))))</f>
        <v>0</v>
      </c>
      <c r="L498" s="6">
        <f>IF(AND($C498="Rushing", $H498&lt;=0), 0, IF(AND($C498="Passing", $G$3&lt;=0), 0,IF(AND($C498="Receiving",$I498&lt;=0),0,SUMIFS(Table2[Stat],Table2[Week],Table1[[#This Row],[Week]],Table2[Athlete],Table1[[#This Row],[Pick]],Table2[Stat Category],"receiving",Table2[Stat Type],"TD"))))</f>
        <v>0</v>
      </c>
      <c r="M4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8" s="61">
        <f>SUMIFS(Data!$J:$J,Data!$A:$A,Info!$B498,Data!$G:$G,Info!$C498,Data!$I:$I,Info!$D498,Data!$H:$H,"TOT")</f>
        <v>0</v>
      </c>
      <c r="O498" s="61">
        <f>IF(C498="Defensive",SUMIFS(Data!$J:$J,Data!$A:$A,Info!$B498,Data!$I:$I,Info!$D498,Data!$H:$H,"INT"),0)</f>
        <v>0</v>
      </c>
      <c r="P498" s="61">
        <f>IF(Table1[[#This Row],[Role]]="Defensive",SUMIFS(Data!$J:$J,Data!$A:$A,Info!$B498,Data!$I:$I,Info!$D498,Data!$H:$H,$P$1),0)</f>
        <v>0</v>
      </c>
      <c r="Q498" s="65" t="str">
        <f>IF(Table1[[#This Row],[Pick]]="","",IF(S498&gt;1,400,IF(G498="","",IF(C498="Passing",(400-Table1[[#This Row],[Passing Yards]]-(30*Table1[[#This Row],[Passing TDs]])-(50*SUM(Table1[[#This Row],[Rushing TDs]:[Other TD''s]]))),IF(C498="Rushing",2*(200-Table1[[#This Row],[Rushing Yards]]-(30*Table1[[#This Row],[Passing TDs]])-50*(Table1[[#This Row],[Rushing TDs]]+Table1[[#This Row],[Receiving TDs]]+Table1[[#This Row],[Other TD''s]])),IF(C498="Receiving",2*(200-Table1[[#This Row],[Receiving Yards]]-(30*Table1[[#This Row],[Passing TDs]])-50*(Table1[[#This Row],[Rushing TDs]]+Table1[[#This Row],[Receiving TDs]]+Table1[[#This Row],[Other TD''s]])),IF(C498="Defensive",(25*(16-Table1[[#This Row],[Tackles]]-(8*(Table1[[#This Row],[Other TD''s]]+Table1[[#This Row],[Interceptions]]+Table1[[#This Row],[Fumbles Recovered]])))))))))))</f>
        <v/>
      </c>
      <c r="R498" s="3" t="str">
        <f t="shared" si="16"/>
        <v/>
      </c>
      <c r="S498" s="4">
        <f t="shared" si="15"/>
        <v>1048507</v>
      </c>
      <c r="T4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9" spans="1:20" hidden="1" x14ac:dyDescent="0.25">
      <c r="A499" t="s">
        <v>61</v>
      </c>
      <c r="B499" s="28" t="s">
        <v>51</v>
      </c>
      <c r="C499" t="s">
        <v>16</v>
      </c>
      <c r="D499" t="str">
        <f>_xlfn.XLOOKUP(Table1[[#This Row],[Player]]&amp;Table1[[#This Row],[Week]]&amp;Table1[[#This Row],[Role]],'Google Form Transform'!$A:$A,'Google Form Transform'!E:E,"")</f>
        <v/>
      </c>
      <c r="E499" t="str">
        <f>_xlfn.XLOOKUP(Table1[[#This Row],[Player]]&amp;Table1[[#This Row],[Week]]&amp;Table1[[#This Row],[Role]],'Google Form Transform'!$A:$A,'Google Form Transform'!F:F,"")</f>
        <v/>
      </c>
      <c r="F499" t="str">
        <f>_xlfn.XLOOKUP(Table1[[#This Row],[Player]]&amp;Table1[[#This Row],[Week]]&amp;Table1[[#This Row],[Role]],'Google Form Transform'!$A:$A,'Google Form Transform'!G:G,"")</f>
        <v/>
      </c>
      <c r="G499" s="59">
        <f>SUMIFS(Table2[Stat],Table2[Stat Category],"passing",Table2[Stat Type],"YDS",Table2[Athlete],Table1[[#This Row],[Pick]],Table2[Week],Table1[[#This Row],[Week]])</f>
        <v>0</v>
      </c>
      <c r="H499" s="59">
        <f>SUMIFS(Table2[Stat],Table2[Stat Category],"rushing",Table2[Stat Type],"YDS",Table2[Athlete],Table1[[#This Row],[Pick]],Table2[Week],Table1[[#This Row],[Week]])</f>
        <v>0</v>
      </c>
      <c r="I499" s="59">
        <f>SUMIFS(Table2[Stat],Table2[Stat Category],"receiving",Table2[Stat Type],"YDS",Table2[Athlete],Table1[[#This Row],[Pick]],Table2[Week],Table1[[#This Row],[Week]])</f>
        <v>0</v>
      </c>
      <c r="J499" s="6">
        <f>IF(AND($C499="Rushing", $H499&lt;=0), 0, IF(AND($C499="Passing", $G$3&lt;=0), 0,IF(AND($C499="Receiving",$I499&lt;=0), 0,SUMIFS(Table2[Stat],Table2[Week],Table1[[#This Row],[Week]],Table2[Athlete],Table1[[#This Row],[Pick]],Table2[Stat Category],"passing",Table2[Stat Type],"TD"))))</f>
        <v>0</v>
      </c>
      <c r="K499" s="6">
        <f>IF(AND($C499="Rushing", $H499&lt;=0), 0, IF(AND($C499="Passing", $G$3&lt;=0), 0,IF(AND($C499="Receiving",$I499&lt;=0),0,SUMIFS(Table2[Stat],Table2[Week],Table1[[#This Row],[Week]],Table2[Athlete],Table1[[#This Row],[Pick]],Table2[Stat Category],"rushing",Table2[Stat Type],"TD"))))</f>
        <v>0</v>
      </c>
      <c r="L499" s="6">
        <f>IF(AND($C499="Rushing", $H499&lt;=0), 0, IF(AND($C499="Passing", $G$3&lt;=0), 0,IF(AND($C499="Receiving",$I499&lt;=0),0,SUMIFS(Table2[Stat],Table2[Week],Table1[[#This Row],[Week]],Table2[Athlete],Table1[[#This Row],[Pick]],Table2[Stat Category],"receiving",Table2[Stat Type],"TD"))))</f>
        <v>0</v>
      </c>
      <c r="M4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9" s="61">
        <f>SUMIFS(Data!$J:$J,Data!$A:$A,Info!$B499,Data!$G:$G,Info!$C499,Data!$I:$I,Info!$D499,Data!$H:$H,"TOT")</f>
        <v>0</v>
      </c>
      <c r="O499" s="61">
        <f>IF(C499="Defensive",SUMIFS(Data!$J:$J,Data!$A:$A,Info!$B499,Data!$I:$I,Info!$D499,Data!$H:$H,"INT"),0)</f>
        <v>0</v>
      </c>
      <c r="P499" s="61">
        <f>IF(Table1[[#This Row],[Role]]="Defensive",SUMIFS(Data!$J:$J,Data!$A:$A,Info!$B499,Data!$I:$I,Info!$D499,Data!$H:$H,$P$1),0)</f>
        <v>0</v>
      </c>
      <c r="Q499" s="65" t="str">
        <f>IF(Table1[[#This Row],[Pick]]="","",IF(S499&gt;1,400,IF(G499="","",IF(C499="Passing",(400-Table1[[#This Row],[Passing Yards]]-(30*Table1[[#This Row],[Passing TDs]])-(50*SUM(Table1[[#This Row],[Rushing TDs]:[Other TD''s]]))),IF(C499="Rushing",2*(200-Table1[[#This Row],[Rushing Yards]]-(30*Table1[[#This Row],[Passing TDs]])-50*(Table1[[#This Row],[Rushing TDs]]+Table1[[#This Row],[Receiving TDs]]+Table1[[#This Row],[Other TD''s]])),IF(C499="Receiving",2*(200-Table1[[#This Row],[Receiving Yards]]-(30*Table1[[#This Row],[Passing TDs]])-50*(Table1[[#This Row],[Rushing TDs]]+Table1[[#This Row],[Receiving TDs]]+Table1[[#This Row],[Other TD''s]])),IF(C499="Defensive",(25*(16-Table1[[#This Row],[Tackles]]-(8*(Table1[[#This Row],[Other TD''s]]+Table1[[#This Row],[Interceptions]]+Table1[[#This Row],[Fumbles Recovered]])))))))))))</f>
        <v/>
      </c>
      <c r="R499" s="3" t="str">
        <f t="shared" si="16"/>
        <v/>
      </c>
      <c r="S499" s="4">
        <f t="shared" si="15"/>
        <v>1048507</v>
      </c>
      <c r="T4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0" spans="1:20" hidden="1" x14ac:dyDescent="0.25">
      <c r="A500" t="s">
        <v>61</v>
      </c>
      <c r="B500" s="28" t="s">
        <v>51</v>
      </c>
      <c r="C500" t="s">
        <v>6</v>
      </c>
      <c r="D500" t="str">
        <f>_xlfn.XLOOKUP(Table1[[#This Row],[Player]]&amp;Table1[[#This Row],[Week]]&amp;Table1[[#This Row],[Role]],'Google Form Transform'!$A:$A,'Google Form Transform'!E:E,"")</f>
        <v/>
      </c>
      <c r="E500" t="str">
        <f>_xlfn.XLOOKUP(Table1[[#This Row],[Player]]&amp;Table1[[#This Row],[Week]]&amp;Table1[[#This Row],[Role]],'Google Form Transform'!$A:$A,'Google Form Transform'!F:F,"")</f>
        <v/>
      </c>
      <c r="F500" t="str">
        <f>_xlfn.XLOOKUP(Table1[[#This Row],[Player]]&amp;Table1[[#This Row],[Week]]&amp;Table1[[#This Row],[Role]],'Google Form Transform'!$A:$A,'Google Form Transform'!G:G,"")</f>
        <v/>
      </c>
      <c r="G500" s="59">
        <f>SUMIFS(Table2[Stat],Table2[Stat Category],"passing",Table2[Stat Type],"YDS",Table2[Athlete],Table1[[#This Row],[Pick]],Table2[Week],Table1[[#This Row],[Week]])</f>
        <v>0</v>
      </c>
      <c r="H500" s="59">
        <f>SUMIFS(Table2[Stat],Table2[Stat Category],"rushing",Table2[Stat Type],"YDS",Table2[Athlete],Table1[[#This Row],[Pick]],Table2[Week],Table1[[#This Row],[Week]])</f>
        <v>0</v>
      </c>
      <c r="I500" s="59">
        <f>SUMIFS(Table2[Stat],Table2[Stat Category],"receiving",Table2[Stat Type],"YDS",Table2[Athlete],Table1[[#This Row],[Pick]],Table2[Week],Table1[[#This Row],[Week]])</f>
        <v>0</v>
      </c>
      <c r="J500" s="6">
        <f>IF(AND($C500="Rushing", $H500&lt;=0), 0, IF(AND($C500="Passing", $G$3&lt;=0), 0,IF(AND($C500="Receiving",$I500&lt;=0), 0,SUMIFS(Table2[Stat],Table2[Week],Table1[[#This Row],[Week]],Table2[Athlete],Table1[[#This Row],[Pick]],Table2[Stat Category],"passing",Table2[Stat Type],"TD"))))</f>
        <v>0</v>
      </c>
      <c r="K500" s="6">
        <f>IF(AND($C500="Rushing", $H500&lt;=0), 0, IF(AND($C500="Passing", $G$3&lt;=0), 0,IF(AND($C500="Receiving",$I500&lt;=0),0,SUMIFS(Table2[Stat],Table2[Week],Table1[[#This Row],[Week]],Table2[Athlete],Table1[[#This Row],[Pick]],Table2[Stat Category],"rushing",Table2[Stat Type],"TD"))))</f>
        <v>0</v>
      </c>
      <c r="L500" s="6">
        <f>IF(AND($C500="Rushing", $H500&lt;=0), 0, IF(AND($C500="Passing", $G$3&lt;=0), 0,IF(AND($C500="Receiving",$I500&lt;=0),0,SUMIFS(Table2[Stat],Table2[Week],Table1[[#This Row],[Week]],Table2[Athlete],Table1[[#This Row],[Pick]],Table2[Stat Category],"receiving",Table2[Stat Type],"TD"))))</f>
        <v>0</v>
      </c>
      <c r="M5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0" s="61">
        <f>SUMIFS(Data!$J:$J,Data!$A:$A,Info!$B500,Data!$G:$G,Info!$C500,Data!$I:$I,Info!$D500,Data!$H:$H,"TOT")</f>
        <v>0</v>
      </c>
      <c r="O500" s="61">
        <f>IF(C500="Defensive",SUMIFS(Data!$J:$J,Data!$A:$A,Info!$B500,Data!$I:$I,Info!$D500,Data!$H:$H,"INT"),0)</f>
        <v>0</v>
      </c>
      <c r="P500" s="61">
        <f>IF(Table1[[#This Row],[Role]]="Defensive",SUMIFS(Data!$J:$J,Data!$A:$A,Info!$B500,Data!$I:$I,Info!$D500,Data!$H:$H,$P$1),0)</f>
        <v>0</v>
      </c>
      <c r="Q500" s="65" t="str">
        <f>IF(Table1[[#This Row],[Pick]]="","",IF(S500&gt;1,400,IF(G500="","",IF(C500="Passing",(400-Table1[[#This Row],[Passing Yards]]-(30*Table1[[#This Row],[Passing TDs]])-(50*SUM(Table1[[#This Row],[Rushing TDs]:[Other TD''s]]))),IF(C500="Rushing",2*(200-Table1[[#This Row],[Rushing Yards]]-(30*Table1[[#This Row],[Passing TDs]])-50*(Table1[[#This Row],[Rushing TDs]]+Table1[[#This Row],[Receiving TDs]]+Table1[[#This Row],[Other TD''s]])),IF(C500="Receiving",2*(200-Table1[[#This Row],[Receiving Yards]]-(30*Table1[[#This Row],[Passing TDs]])-50*(Table1[[#This Row],[Rushing TDs]]+Table1[[#This Row],[Receiving TDs]]+Table1[[#This Row],[Other TD''s]])),IF(C500="Defensive",(25*(16-Table1[[#This Row],[Tackles]]-(8*(Table1[[#This Row],[Other TD''s]]+Table1[[#This Row],[Interceptions]]+Table1[[#This Row],[Fumbles Recovered]])))))))))))</f>
        <v/>
      </c>
      <c r="R500" s="3" t="str">
        <f t="shared" si="16"/>
        <v/>
      </c>
      <c r="S500" s="4">
        <f t="shared" si="15"/>
        <v>1048507</v>
      </c>
      <c r="T5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1" spans="1:20" hidden="1" x14ac:dyDescent="0.25">
      <c r="A501" t="s">
        <v>61</v>
      </c>
      <c r="B501" s="28" t="s">
        <v>51</v>
      </c>
      <c r="C501" t="s">
        <v>17</v>
      </c>
      <c r="D501" t="str">
        <f>_xlfn.XLOOKUP(Table1[[#This Row],[Player]]&amp;Table1[[#This Row],[Week]]&amp;Table1[[#This Row],[Role]],'Google Form Transform'!$A:$A,'Google Form Transform'!E:E,"")</f>
        <v/>
      </c>
      <c r="E501" t="str">
        <f>_xlfn.XLOOKUP(Table1[[#This Row],[Player]]&amp;Table1[[#This Row],[Week]]&amp;Table1[[#This Row],[Role]],'Google Form Transform'!$A:$A,'Google Form Transform'!F:F,"")</f>
        <v/>
      </c>
      <c r="F501" t="str">
        <f>_xlfn.XLOOKUP(Table1[[#This Row],[Player]]&amp;Table1[[#This Row],[Week]]&amp;Table1[[#This Row],[Role]],'Google Form Transform'!$A:$A,'Google Form Transform'!G:G,"")</f>
        <v/>
      </c>
      <c r="G501" s="59">
        <f>SUMIFS(Table2[Stat],Table2[Stat Category],"passing",Table2[Stat Type],"YDS",Table2[Athlete],Table1[[#This Row],[Pick]],Table2[Week],Table1[[#This Row],[Week]])</f>
        <v>0</v>
      </c>
      <c r="H501" s="59">
        <f>SUMIFS(Table2[Stat],Table2[Stat Category],"rushing",Table2[Stat Type],"YDS",Table2[Athlete],Table1[[#This Row],[Pick]],Table2[Week],Table1[[#This Row],[Week]])</f>
        <v>0</v>
      </c>
      <c r="I501" s="59">
        <f>SUMIFS(Table2[Stat],Table2[Stat Category],"receiving",Table2[Stat Type],"YDS",Table2[Athlete],Table1[[#This Row],[Pick]],Table2[Week],Table1[[#This Row],[Week]])</f>
        <v>0</v>
      </c>
      <c r="J501" s="6">
        <f>IF(AND($C501="Rushing", $H501&lt;=0), 0, IF(AND($C501="Passing", $G$3&lt;=0), 0,IF(AND($C501="Receiving",$I501&lt;=0), 0,SUMIFS(Table2[Stat],Table2[Week],Table1[[#This Row],[Week]],Table2[Athlete],Table1[[#This Row],[Pick]],Table2[Stat Category],"passing",Table2[Stat Type],"TD"))))</f>
        <v>0</v>
      </c>
      <c r="K501" s="6">
        <f>IF(AND($C501="Rushing", $H501&lt;=0), 0, IF(AND($C501="Passing", $G$3&lt;=0), 0,IF(AND($C501="Receiving",$I501&lt;=0),0,SUMIFS(Table2[Stat],Table2[Week],Table1[[#This Row],[Week]],Table2[Athlete],Table1[[#This Row],[Pick]],Table2[Stat Category],"rushing",Table2[Stat Type],"TD"))))</f>
        <v>0</v>
      </c>
      <c r="L501" s="6">
        <f>IF(AND($C501="Rushing", $H501&lt;=0), 0, IF(AND($C501="Passing", $G$3&lt;=0), 0,IF(AND($C501="Receiving",$I501&lt;=0),0,SUMIFS(Table2[Stat],Table2[Week],Table1[[#This Row],[Week]],Table2[Athlete],Table1[[#This Row],[Pick]],Table2[Stat Category],"receiving",Table2[Stat Type],"TD"))))</f>
        <v>0</v>
      </c>
      <c r="M5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1" s="61">
        <f>SUMIFS(Data!$J:$J,Data!$A:$A,Info!$B501,Data!$G:$G,Info!$C501,Data!$I:$I,Info!$D501,Data!$H:$H,"TOT")</f>
        <v>0</v>
      </c>
      <c r="O501" s="61">
        <f>IF(C501="Defensive",SUMIFS(Data!$J:$J,Data!$A:$A,Info!$B501,Data!$I:$I,Info!$D501,Data!$H:$H,"INT"),0)</f>
        <v>0</v>
      </c>
      <c r="P501" s="61">
        <f>IF(Table1[[#This Row],[Role]]="Defensive",SUMIFS(Data!$J:$J,Data!$A:$A,Info!$B501,Data!$I:$I,Info!$D501,Data!$H:$H,$P$1),0)</f>
        <v>0</v>
      </c>
      <c r="Q501" s="65" t="str">
        <f>IF(Table1[[#This Row],[Pick]]="","",IF(S501&gt;1,400,IF(G501="","",IF(C501="Passing",(400-Table1[[#This Row],[Passing Yards]]-(30*Table1[[#This Row],[Passing TDs]])-(50*SUM(Table1[[#This Row],[Rushing TDs]:[Other TD''s]]))),IF(C501="Rushing",2*(200-Table1[[#This Row],[Rushing Yards]]-(30*Table1[[#This Row],[Passing TDs]])-50*(Table1[[#This Row],[Rushing TDs]]+Table1[[#This Row],[Receiving TDs]]+Table1[[#This Row],[Other TD''s]])),IF(C501="Receiving",2*(200-Table1[[#This Row],[Receiving Yards]]-(30*Table1[[#This Row],[Passing TDs]])-50*(Table1[[#This Row],[Rushing TDs]]+Table1[[#This Row],[Receiving TDs]]+Table1[[#This Row],[Other TD''s]])),IF(C501="Defensive",(25*(16-Table1[[#This Row],[Tackles]]-(8*(Table1[[#This Row],[Other TD''s]]+Table1[[#This Row],[Interceptions]]+Table1[[#This Row],[Fumbles Recovered]])))))))))))</f>
        <v/>
      </c>
      <c r="R501" s="3" t="str">
        <f t="shared" si="16"/>
        <v/>
      </c>
      <c r="S501" s="4">
        <f t="shared" si="15"/>
        <v>1048507</v>
      </c>
      <c r="T5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2" spans="1:20" hidden="1" x14ac:dyDescent="0.25">
      <c r="A502" t="s">
        <v>61</v>
      </c>
      <c r="B502" s="28" t="s">
        <v>51</v>
      </c>
      <c r="C502" t="s">
        <v>20</v>
      </c>
      <c r="D502" t="str">
        <f>_xlfn.XLOOKUP(Table1[[#This Row],[Player]]&amp;Table1[[#This Row],[Week]]&amp;Table1[[#This Row],[Role]],'Google Form Transform'!$A:$A,'Google Form Transform'!E:E,"")</f>
        <v/>
      </c>
      <c r="E502" t="str">
        <f>_xlfn.XLOOKUP(Table1[[#This Row],[Player]]&amp;Table1[[#This Row],[Week]]&amp;Table1[[#This Row],[Role]],'Google Form Transform'!$A:$A,'Google Form Transform'!F:F,"")</f>
        <v/>
      </c>
      <c r="F502" t="str">
        <f>_xlfn.XLOOKUP(Table1[[#This Row],[Player]]&amp;Table1[[#This Row],[Week]]&amp;Table1[[#This Row],[Role]],'Google Form Transform'!$A:$A,'Google Form Transform'!G:G,"")</f>
        <v/>
      </c>
      <c r="G502" s="59">
        <f>SUMIFS(Table2[Stat],Table2[Stat Category],"passing",Table2[Stat Type],"YDS",Table2[Athlete],Table1[[#This Row],[Pick]],Table2[Week],Table1[[#This Row],[Week]])</f>
        <v>0</v>
      </c>
      <c r="H502" s="59">
        <f>SUMIFS(Table2[Stat],Table2[Stat Category],"rushing",Table2[Stat Type],"YDS",Table2[Athlete],Table1[[#This Row],[Pick]],Table2[Week],Table1[[#This Row],[Week]])</f>
        <v>0</v>
      </c>
      <c r="I502" s="59">
        <f>SUMIFS(Table2[Stat],Table2[Stat Category],"receiving",Table2[Stat Type],"YDS",Table2[Athlete],Table1[[#This Row],[Pick]],Table2[Week],Table1[[#This Row],[Week]])</f>
        <v>0</v>
      </c>
      <c r="J502" s="6">
        <f>IF(AND($C502="Rushing", $H502&lt;=0), 0, IF(AND($C502="Passing", $G$3&lt;=0), 0,IF(AND($C502="Receiving",$I502&lt;=0), 0,SUMIFS(Table2[Stat],Table2[Week],Table1[[#This Row],[Week]],Table2[Athlete],Table1[[#This Row],[Pick]],Table2[Stat Category],"passing",Table2[Stat Type],"TD"))))</f>
        <v>0</v>
      </c>
      <c r="K502" s="6">
        <f>IF(AND($C502="Rushing", $H502&lt;=0), 0, IF(AND($C502="Passing", $G$3&lt;=0), 0,IF(AND($C502="Receiving",$I502&lt;=0),0,SUMIFS(Table2[Stat],Table2[Week],Table1[[#This Row],[Week]],Table2[Athlete],Table1[[#This Row],[Pick]],Table2[Stat Category],"rushing",Table2[Stat Type],"TD"))))</f>
        <v>0</v>
      </c>
      <c r="L502" s="6">
        <f>IF(AND($C502="Rushing", $H502&lt;=0), 0, IF(AND($C502="Passing", $G$3&lt;=0), 0,IF(AND($C502="Receiving",$I502&lt;=0),0,SUMIFS(Table2[Stat],Table2[Week],Table1[[#This Row],[Week]],Table2[Athlete],Table1[[#This Row],[Pick]],Table2[Stat Category],"receiving",Table2[Stat Type],"TD"))))</f>
        <v>0</v>
      </c>
      <c r="M5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2" s="61">
        <f>SUMIFS(Data!$J:$J,Data!$A:$A,Info!$B502,Data!$G:$G,Info!$C502,Data!$I:$I,Info!$D502,Data!$H:$H,"TOT")</f>
        <v>0</v>
      </c>
      <c r="O502" s="61">
        <f>IF(C502="Defensive",SUMIFS(Data!$J:$J,Data!$A:$A,Info!$B502,Data!$I:$I,Info!$D502,Data!$H:$H,"INT"),0)</f>
        <v>0</v>
      </c>
      <c r="P502" s="61">
        <f>IF(Table1[[#This Row],[Role]]="Defensive",SUMIFS(Data!$J:$J,Data!$A:$A,Info!$B502,Data!$I:$I,Info!$D502,Data!$H:$H,$P$1),0)</f>
        <v>0</v>
      </c>
      <c r="Q502" s="65" t="str">
        <f>IF(Table1[[#This Row],[Pick]]="","",IF(S502&gt;1,400,IF(G502="","",IF(C502="Passing",(400-Table1[[#This Row],[Passing Yards]]-(30*Table1[[#This Row],[Passing TDs]])-(50*SUM(Table1[[#This Row],[Rushing TDs]:[Other TD''s]]))),IF(C502="Rushing",2*(200-Table1[[#This Row],[Rushing Yards]]-(30*Table1[[#This Row],[Passing TDs]])-50*(Table1[[#This Row],[Rushing TDs]]+Table1[[#This Row],[Receiving TDs]]+Table1[[#This Row],[Other TD''s]])),IF(C502="Receiving",2*(200-Table1[[#This Row],[Receiving Yards]]-(30*Table1[[#This Row],[Passing TDs]])-50*(Table1[[#This Row],[Rushing TDs]]+Table1[[#This Row],[Receiving TDs]]+Table1[[#This Row],[Other TD''s]])),IF(C502="Defensive",(25*(16-Table1[[#This Row],[Tackles]]-(8*(Table1[[#This Row],[Other TD''s]]+Table1[[#This Row],[Interceptions]]+Table1[[#This Row],[Fumbles Recovered]])))))))))))</f>
        <v/>
      </c>
      <c r="R502" s="3" t="str">
        <f t="shared" si="16"/>
        <v/>
      </c>
      <c r="S502" s="4">
        <f t="shared" si="15"/>
        <v>1048507</v>
      </c>
      <c r="T5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3" spans="1:20" hidden="1" x14ac:dyDescent="0.25">
      <c r="A503" t="s">
        <v>60</v>
      </c>
      <c r="B503" s="28" t="s">
        <v>51</v>
      </c>
      <c r="C503" t="s">
        <v>16</v>
      </c>
      <c r="D503" t="str">
        <f>_xlfn.XLOOKUP(Table1[[#This Row],[Player]]&amp;Table1[[#This Row],[Week]]&amp;Table1[[#This Row],[Role]],'Google Form Transform'!$A:$A,'Google Form Transform'!E:E,"")</f>
        <v/>
      </c>
      <c r="E503" t="str">
        <f>_xlfn.XLOOKUP(Table1[[#This Row],[Player]]&amp;Table1[[#This Row],[Week]]&amp;Table1[[#This Row],[Role]],'Google Form Transform'!$A:$A,'Google Form Transform'!F:F,"")</f>
        <v/>
      </c>
      <c r="F503" t="str">
        <f>_xlfn.XLOOKUP(Table1[[#This Row],[Player]]&amp;Table1[[#This Row],[Week]]&amp;Table1[[#This Row],[Role]],'Google Form Transform'!$A:$A,'Google Form Transform'!G:G,"")</f>
        <v/>
      </c>
      <c r="G503" s="59">
        <f>SUMIFS(Table2[Stat],Table2[Stat Category],"passing",Table2[Stat Type],"YDS",Table2[Athlete],Table1[[#This Row],[Pick]],Table2[Week],Table1[[#This Row],[Week]])</f>
        <v>0</v>
      </c>
      <c r="H503" s="59">
        <f>SUMIFS(Table2[Stat],Table2[Stat Category],"rushing",Table2[Stat Type],"YDS",Table2[Athlete],Table1[[#This Row],[Pick]],Table2[Week],Table1[[#This Row],[Week]])</f>
        <v>0</v>
      </c>
      <c r="I503" s="59">
        <f>SUMIFS(Table2[Stat],Table2[Stat Category],"receiving",Table2[Stat Type],"YDS",Table2[Athlete],Table1[[#This Row],[Pick]],Table2[Week],Table1[[#This Row],[Week]])</f>
        <v>0</v>
      </c>
      <c r="J503" s="6">
        <f>IF(AND($C503="Rushing", $H503&lt;=0), 0, IF(AND($C503="Passing", $G$3&lt;=0), 0,IF(AND($C503="Receiving",$I503&lt;=0), 0,SUMIFS(Table2[Stat],Table2[Week],Table1[[#This Row],[Week]],Table2[Athlete],Table1[[#This Row],[Pick]],Table2[Stat Category],"passing",Table2[Stat Type],"TD"))))</f>
        <v>0</v>
      </c>
      <c r="K503" s="6">
        <f>IF(AND($C503="Rushing", $H503&lt;=0), 0, IF(AND($C503="Passing", $G$3&lt;=0), 0,IF(AND($C503="Receiving",$I503&lt;=0),0,SUMIFS(Table2[Stat],Table2[Week],Table1[[#This Row],[Week]],Table2[Athlete],Table1[[#This Row],[Pick]],Table2[Stat Category],"rushing",Table2[Stat Type],"TD"))))</f>
        <v>0</v>
      </c>
      <c r="L503" s="6">
        <f>IF(AND($C503="Rushing", $H503&lt;=0), 0, IF(AND($C503="Passing", $G$3&lt;=0), 0,IF(AND($C503="Receiving",$I503&lt;=0),0,SUMIFS(Table2[Stat],Table2[Week],Table1[[#This Row],[Week]],Table2[Athlete],Table1[[#This Row],[Pick]],Table2[Stat Category],"receiving",Table2[Stat Type],"TD"))))</f>
        <v>0</v>
      </c>
      <c r="M5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3" s="61">
        <f>SUMIFS(Data!$J:$J,Data!$A:$A,Info!$B503,Data!$G:$G,Info!$C503,Data!$I:$I,Info!$D503,Data!$H:$H,"TOT")</f>
        <v>0</v>
      </c>
      <c r="O503" s="61">
        <f>IF(C503="Defensive",SUMIFS(Data!$J:$J,Data!$A:$A,Info!$B503,Data!$I:$I,Info!$D503,Data!$H:$H,"INT"),0)</f>
        <v>0</v>
      </c>
      <c r="P503" s="61">
        <f>IF(Table1[[#This Row],[Role]]="Defensive",SUMIFS(Data!$J:$J,Data!$A:$A,Info!$B503,Data!$I:$I,Info!$D503,Data!$H:$H,$P$1),0)</f>
        <v>0</v>
      </c>
      <c r="Q503" s="65" t="str">
        <f>IF(Table1[[#This Row],[Pick]]="","",IF(S503&gt;1,400,IF(G503="","",IF(C503="Passing",(400-Table1[[#This Row],[Passing Yards]]-(30*Table1[[#This Row],[Passing TDs]])-(50*SUM(Table1[[#This Row],[Rushing TDs]:[Other TD''s]]))),IF(C503="Rushing",2*(200-Table1[[#This Row],[Rushing Yards]]-(30*Table1[[#This Row],[Passing TDs]])-50*(Table1[[#This Row],[Rushing TDs]]+Table1[[#This Row],[Receiving TDs]]+Table1[[#This Row],[Other TD''s]])),IF(C503="Receiving",2*(200-Table1[[#This Row],[Receiving Yards]]-(30*Table1[[#This Row],[Passing TDs]])-50*(Table1[[#This Row],[Rushing TDs]]+Table1[[#This Row],[Receiving TDs]]+Table1[[#This Row],[Other TD''s]])),IF(C503="Defensive",(25*(16-Table1[[#This Row],[Tackles]]-(8*(Table1[[#This Row],[Other TD''s]]+Table1[[#This Row],[Interceptions]]+Table1[[#This Row],[Fumbles Recovered]])))))))))))</f>
        <v/>
      </c>
      <c r="R503" s="3" t="str">
        <f t="shared" si="16"/>
        <v/>
      </c>
      <c r="S503" s="4">
        <f t="shared" si="15"/>
        <v>1048507</v>
      </c>
      <c r="T5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4" spans="1:20" hidden="1" x14ac:dyDescent="0.25">
      <c r="A504" t="s">
        <v>60</v>
      </c>
      <c r="B504" s="28" t="s">
        <v>51</v>
      </c>
      <c r="C504" t="s">
        <v>6</v>
      </c>
      <c r="D504" t="str">
        <f>_xlfn.XLOOKUP(Table1[[#This Row],[Player]]&amp;Table1[[#This Row],[Week]]&amp;Table1[[#This Row],[Role]],'Google Form Transform'!$A:$A,'Google Form Transform'!E:E,"")</f>
        <v/>
      </c>
      <c r="E504" t="str">
        <f>_xlfn.XLOOKUP(Table1[[#This Row],[Player]]&amp;Table1[[#This Row],[Week]]&amp;Table1[[#This Row],[Role]],'Google Form Transform'!$A:$A,'Google Form Transform'!F:F,"")</f>
        <v/>
      </c>
      <c r="F504" t="str">
        <f>_xlfn.XLOOKUP(Table1[[#This Row],[Player]]&amp;Table1[[#This Row],[Week]]&amp;Table1[[#This Row],[Role]],'Google Form Transform'!$A:$A,'Google Form Transform'!G:G,"")</f>
        <v/>
      </c>
      <c r="G504" s="59">
        <f>SUMIFS(Table2[Stat],Table2[Stat Category],"passing",Table2[Stat Type],"YDS",Table2[Athlete],Table1[[#This Row],[Pick]],Table2[Week],Table1[[#This Row],[Week]])</f>
        <v>0</v>
      </c>
      <c r="H504" s="59">
        <f>SUMIFS(Table2[Stat],Table2[Stat Category],"rushing",Table2[Stat Type],"YDS",Table2[Athlete],Table1[[#This Row],[Pick]],Table2[Week],Table1[[#This Row],[Week]])</f>
        <v>0</v>
      </c>
      <c r="I504" s="59">
        <f>SUMIFS(Table2[Stat],Table2[Stat Category],"receiving",Table2[Stat Type],"YDS",Table2[Athlete],Table1[[#This Row],[Pick]],Table2[Week],Table1[[#This Row],[Week]])</f>
        <v>0</v>
      </c>
      <c r="J504" s="6">
        <f>IF(AND($C504="Rushing", $H504&lt;=0), 0, IF(AND($C504="Passing", $G$3&lt;=0), 0,IF(AND($C504="Receiving",$I504&lt;=0), 0,SUMIFS(Table2[Stat],Table2[Week],Table1[[#This Row],[Week]],Table2[Athlete],Table1[[#This Row],[Pick]],Table2[Stat Category],"passing",Table2[Stat Type],"TD"))))</f>
        <v>0</v>
      </c>
      <c r="K504" s="6">
        <f>IF(AND($C504="Rushing", $H504&lt;=0), 0, IF(AND($C504="Passing", $G$3&lt;=0), 0,IF(AND($C504="Receiving",$I504&lt;=0),0,SUMIFS(Table2[Stat],Table2[Week],Table1[[#This Row],[Week]],Table2[Athlete],Table1[[#This Row],[Pick]],Table2[Stat Category],"rushing",Table2[Stat Type],"TD"))))</f>
        <v>0</v>
      </c>
      <c r="L504" s="6">
        <f>IF(AND($C504="Rushing", $H504&lt;=0), 0, IF(AND($C504="Passing", $G$3&lt;=0), 0,IF(AND($C504="Receiving",$I504&lt;=0),0,SUMIFS(Table2[Stat],Table2[Week],Table1[[#This Row],[Week]],Table2[Athlete],Table1[[#This Row],[Pick]],Table2[Stat Category],"receiving",Table2[Stat Type],"TD"))))</f>
        <v>0</v>
      </c>
      <c r="M5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4" s="61">
        <f>SUMIFS(Data!$J:$J,Data!$A:$A,Info!$B504,Data!$G:$G,Info!$C504,Data!$I:$I,Info!$D504,Data!$H:$H,"TOT")</f>
        <v>0</v>
      </c>
      <c r="O504" s="61">
        <f>IF(C504="Defensive",SUMIFS(Data!$J:$J,Data!$A:$A,Info!$B504,Data!$I:$I,Info!$D504,Data!$H:$H,"INT"),0)</f>
        <v>0</v>
      </c>
      <c r="P504" s="61">
        <f>IF(Table1[[#This Row],[Role]]="Defensive",SUMIFS(Data!$J:$J,Data!$A:$A,Info!$B504,Data!$I:$I,Info!$D504,Data!$H:$H,$P$1),0)</f>
        <v>0</v>
      </c>
      <c r="Q504" s="65" t="str">
        <f>IF(Table1[[#This Row],[Pick]]="","",IF(S504&gt;1,400,IF(G504="","",IF(C504="Passing",(400-Table1[[#This Row],[Passing Yards]]-(30*Table1[[#This Row],[Passing TDs]])-(50*SUM(Table1[[#This Row],[Rushing TDs]:[Other TD''s]]))),IF(C504="Rushing",2*(200-Table1[[#This Row],[Rushing Yards]]-(30*Table1[[#This Row],[Passing TDs]])-50*(Table1[[#This Row],[Rushing TDs]]+Table1[[#This Row],[Receiving TDs]]+Table1[[#This Row],[Other TD''s]])),IF(C504="Receiving",2*(200-Table1[[#This Row],[Receiving Yards]]-(30*Table1[[#This Row],[Passing TDs]])-50*(Table1[[#This Row],[Rushing TDs]]+Table1[[#This Row],[Receiving TDs]]+Table1[[#This Row],[Other TD''s]])),IF(C504="Defensive",(25*(16-Table1[[#This Row],[Tackles]]-(8*(Table1[[#This Row],[Other TD''s]]+Table1[[#This Row],[Interceptions]]+Table1[[#This Row],[Fumbles Recovered]])))))))))))</f>
        <v/>
      </c>
      <c r="R504" s="3" t="str">
        <f t="shared" si="16"/>
        <v/>
      </c>
      <c r="S504" s="4">
        <f t="shared" si="15"/>
        <v>1048507</v>
      </c>
      <c r="T5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5" spans="1:20" hidden="1" x14ac:dyDescent="0.25">
      <c r="A505" t="s">
        <v>60</v>
      </c>
      <c r="B505" s="28" t="s">
        <v>51</v>
      </c>
      <c r="C505" t="s">
        <v>17</v>
      </c>
      <c r="D505" t="str">
        <f>_xlfn.XLOOKUP(Table1[[#This Row],[Player]]&amp;Table1[[#This Row],[Week]]&amp;Table1[[#This Row],[Role]],'Google Form Transform'!$A:$A,'Google Form Transform'!E:E,"")</f>
        <v/>
      </c>
      <c r="E505" t="str">
        <f>_xlfn.XLOOKUP(Table1[[#This Row],[Player]]&amp;Table1[[#This Row],[Week]]&amp;Table1[[#This Row],[Role]],'Google Form Transform'!$A:$A,'Google Form Transform'!F:F,"")</f>
        <v/>
      </c>
      <c r="F505" t="str">
        <f>_xlfn.XLOOKUP(Table1[[#This Row],[Player]]&amp;Table1[[#This Row],[Week]]&amp;Table1[[#This Row],[Role]],'Google Form Transform'!$A:$A,'Google Form Transform'!G:G,"")</f>
        <v/>
      </c>
      <c r="G505" s="59">
        <f>SUMIFS(Table2[Stat],Table2[Stat Category],"passing",Table2[Stat Type],"YDS",Table2[Athlete],Table1[[#This Row],[Pick]],Table2[Week],Table1[[#This Row],[Week]])</f>
        <v>0</v>
      </c>
      <c r="H505" s="59">
        <f>SUMIFS(Table2[Stat],Table2[Stat Category],"rushing",Table2[Stat Type],"YDS",Table2[Athlete],Table1[[#This Row],[Pick]],Table2[Week],Table1[[#This Row],[Week]])</f>
        <v>0</v>
      </c>
      <c r="I505" s="59">
        <f>SUMIFS(Table2[Stat],Table2[Stat Category],"receiving",Table2[Stat Type],"YDS",Table2[Athlete],Table1[[#This Row],[Pick]],Table2[Week],Table1[[#This Row],[Week]])</f>
        <v>0</v>
      </c>
      <c r="J505" s="6">
        <f>IF(AND($C505="Rushing", $H505&lt;=0), 0, IF(AND($C505="Passing", $G$3&lt;=0), 0,IF(AND($C505="Receiving",$I505&lt;=0), 0,SUMIFS(Table2[Stat],Table2[Week],Table1[[#This Row],[Week]],Table2[Athlete],Table1[[#This Row],[Pick]],Table2[Stat Category],"passing",Table2[Stat Type],"TD"))))</f>
        <v>0</v>
      </c>
      <c r="K505" s="6">
        <f>IF(AND($C505="Rushing", $H505&lt;=0), 0, IF(AND($C505="Passing", $G$3&lt;=0), 0,IF(AND($C505="Receiving",$I505&lt;=0),0,SUMIFS(Table2[Stat],Table2[Week],Table1[[#This Row],[Week]],Table2[Athlete],Table1[[#This Row],[Pick]],Table2[Stat Category],"rushing",Table2[Stat Type],"TD"))))</f>
        <v>0</v>
      </c>
      <c r="L505" s="6">
        <f>IF(AND($C505="Rushing", $H505&lt;=0), 0, IF(AND($C505="Passing", $G$3&lt;=0), 0,IF(AND($C505="Receiving",$I505&lt;=0),0,SUMIFS(Table2[Stat],Table2[Week],Table1[[#This Row],[Week]],Table2[Athlete],Table1[[#This Row],[Pick]],Table2[Stat Category],"receiving",Table2[Stat Type],"TD"))))</f>
        <v>0</v>
      </c>
      <c r="M5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5" s="61">
        <f>SUMIFS(Data!$J:$J,Data!$A:$A,Info!$B505,Data!$G:$G,Info!$C505,Data!$I:$I,Info!$D505,Data!$H:$H,"TOT")</f>
        <v>0</v>
      </c>
      <c r="O505" s="61">
        <f>IF(C505="Defensive",SUMIFS(Data!$J:$J,Data!$A:$A,Info!$B505,Data!$I:$I,Info!$D505,Data!$H:$H,"INT"),0)</f>
        <v>0</v>
      </c>
      <c r="P505" s="61">
        <f>IF(Table1[[#This Row],[Role]]="Defensive",SUMIFS(Data!$J:$J,Data!$A:$A,Info!$B505,Data!$I:$I,Info!$D505,Data!$H:$H,$P$1),0)</f>
        <v>0</v>
      </c>
      <c r="Q505" s="65" t="str">
        <f>IF(Table1[[#This Row],[Pick]]="","",IF(S505&gt;1,400,IF(G505="","",IF(C505="Passing",(400-Table1[[#This Row],[Passing Yards]]-(30*Table1[[#This Row],[Passing TDs]])-(50*SUM(Table1[[#This Row],[Rushing TDs]:[Other TD''s]]))),IF(C505="Rushing",2*(200-Table1[[#This Row],[Rushing Yards]]-(30*Table1[[#This Row],[Passing TDs]])-50*(Table1[[#This Row],[Rushing TDs]]+Table1[[#This Row],[Receiving TDs]]+Table1[[#This Row],[Other TD''s]])),IF(C505="Receiving",2*(200-Table1[[#This Row],[Receiving Yards]]-(30*Table1[[#This Row],[Passing TDs]])-50*(Table1[[#This Row],[Rushing TDs]]+Table1[[#This Row],[Receiving TDs]]+Table1[[#This Row],[Other TD''s]])),IF(C505="Defensive",(25*(16-Table1[[#This Row],[Tackles]]-(8*(Table1[[#This Row],[Other TD''s]]+Table1[[#This Row],[Interceptions]]+Table1[[#This Row],[Fumbles Recovered]])))))))))))</f>
        <v/>
      </c>
      <c r="R505" s="3" t="str">
        <f t="shared" si="16"/>
        <v/>
      </c>
      <c r="S505" s="4">
        <f t="shared" si="15"/>
        <v>1048507</v>
      </c>
      <c r="T5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6" spans="1:20" hidden="1" x14ac:dyDescent="0.25">
      <c r="A506" t="s">
        <v>60</v>
      </c>
      <c r="B506" s="28" t="s">
        <v>51</v>
      </c>
      <c r="C506" t="s">
        <v>20</v>
      </c>
      <c r="D506" t="str">
        <f>_xlfn.XLOOKUP(Table1[[#This Row],[Player]]&amp;Table1[[#This Row],[Week]]&amp;Table1[[#This Row],[Role]],'Google Form Transform'!$A:$A,'Google Form Transform'!E:E,"")</f>
        <v/>
      </c>
      <c r="E506" t="str">
        <f>_xlfn.XLOOKUP(Table1[[#This Row],[Player]]&amp;Table1[[#This Row],[Week]]&amp;Table1[[#This Row],[Role]],'Google Form Transform'!$A:$A,'Google Form Transform'!F:F,"")</f>
        <v/>
      </c>
      <c r="F506" t="str">
        <f>_xlfn.XLOOKUP(Table1[[#This Row],[Player]]&amp;Table1[[#This Row],[Week]]&amp;Table1[[#This Row],[Role]],'Google Form Transform'!$A:$A,'Google Form Transform'!G:G,"")</f>
        <v/>
      </c>
      <c r="G506" s="59">
        <f>SUMIFS(Table2[Stat],Table2[Stat Category],"passing",Table2[Stat Type],"YDS",Table2[Athlete],Table1[[#This Row],[Pick]],Table2[Week],Table1[[#This Row],[Week]])</f>
        <v>0</v>
      </c>
      <c r="H506" s="59">
        <f>SUMIFS(Table2[Stat],Table2[Stat Category],"rushing",Table2[Stat Type],"YDS",Table2[Athlete],Table1[[#This Row],[Pick]],Table2[Week],Table1[[#This Row],[Week]])</f>
        <v>0</v>
      </c>
      <c r="I506" s="59">
        <f>SUMIFS(Table2[Stat],Table2[Stat Category],"receiving",Table2[Stat Type],"YDS",Table2[Athlete],Table1[[#This Row],[Pick]],Table2[Week],Table1[[#This Row],[Week]])</f>
        <v>0</v>
      </c>
      <c r="J506" s="6">
        <f>IF(AND($C506="Rushing", $H506&lt;=0), 0, IF(AND($C506="Passing", $G$3&lt;=0), 0,IF(AND($C506="Receiving",$I506&lt;=0), 0,SUMIFS(Table2[Stat],Table2[Week],Table1[[#This Row],[Week]],Table2[Athlete],Table1[[#This Row],[Pick]],Table2[Stat Category],"passing",Table2[Stat Type],"TD"))))</f>
        <v>0</v>
      </c>
      <c r="K506" s="6">
        <f>IF(AND($C506="Rushing", $H506&lt;=0), 0, IF(AND($C506="Passing", $G$3&lt;=0), 0,IF(AND($C506="Receiving",$I506&lt;=0),0,SUMIFS(Table2[Stat],Table2[Week],Table1[[#This Row],[Week]],Table2[Athlete],Table1[[#This Row],[Pick]],Table2[Stat Category],"rushing",Table2[Stat Type],"TD"))))</f>
        <v>0</v>
      </c>
      <c r="L506" s="6">
        <f>IF(AND($C506="Rushing", $H506&lt;=0), 0, IF(AND($C506="Passing", $G$3&lt;=0), 0,IF(AND($C506="Receiving",$I506&lt;=0),0,SUMIFS(Table2[Stat],Table2[Week],Table1[[#This Row],[Week]],Table2[Athlete],Table1[[#This Row],[Pick]],Table2[Stat Category],"receiving",Table2[Stat Type],"TD"))))</f>
        <v>0</v>
      </c>
      <c r="M5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6" s="61">
        <f>SUMIFS(Data!$J:$J,Data!$A:$A,Info!$B506,Data!$G:$G,Info!$C506,Data!$I:$I,Info!$D506,Data!$H:$H,"TOT")</f>
        <v>0</v>
      </c>
      <c r="O506" s="61">
        <f>IF(C506="Defensive",SUMIFS(Data!$J:$J,Data!$A:$A,Info!$B506,Data!$I:$I,Info!$D506,Data!$H:$H,"INT"),0)</f>
        <v>0</v>
      </c>
      <c r="P506" s="61">
        <f>IF(Table1[[#This Row],[Role]]="Defensive",SUMIFS(Data!$J:$J,Data!$A:$A,Info!$B506,Data!$I:$I,Info!$D506,Data!$H:$H,$P$1),0)</f>
        <v>0</v>
      </c>
      <c r="Q506" s="65" t="str">
        <f>IF(Table1[[#This Row],[Pick]]="","",IF(S506&gt;1,400,IF(G506="","",IF(C506="Passing",(400-Table1[[#This Row],[Passing Yards]]-(30*Table1[[#This Row],[Passing TDs]])-(50*SUM(Table1[[#This Row],[Rushing TDs]:[Other TD''s]]))),IF(C506="Rushing",2*(200-Table1[[#This Row],[Rushing Yards]]-(30*Table1[[#This Row],[Passing TDs]])-50*(Table1[[#This Row],[Rushing TDs]]+Table1[[#This Row],[Receiving TDs]]+Table1[[#This Row],[Other TD''s]])),IF(C506="Receiving",2*(200-Table1[[#This Row],[Receiving Yards]]-(30*Table1[[#This Row],[Passing TDs]])-50*(Table1[[#This Row],[Rushing TDs]]+Table1[[#This Row],[Receiving TDs]]+Table1[[#This Row],[Other TD''s]])),IF(C506="Defensive",(25*(16-Table1[[#This Row],[Tackles]]-(8*(Table1[[#This Row],[Other TD''s]]+Table1[[#This Row],[Interceptions]]+Table1[[#This Row],[Fumbles Recovered]])))))))))))</f>
        <v/>
      </c>
      <c r="R506" s="3" t="str">
        <f t="shared" si="16"/>
        <v/>
      </c>
      <c r="S506" s="4">
        <f t="shared" si="15"/>
        <v>1048507</v>
      </c>
      <c r="T5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7" spans="1:20" hidden="1" x14ac:dyDescent="0.25">
      <c r="A507" t="s">
        <v>62</v>
      </c>
      <c r="B507" s="28" t="s">
        <v>51</v>
      </c>
      <c r="C507" t="s">
        <v>16</v>
      </c>
      <c r="D507" t="str">
        <f>_xlfn.XLOOKUP(Table1[[#This Row],[Player]]&amp;Table1[[#This Row],[Week]]&amp;Table1[[#This Row],[Role]],'Google Form Transform'!$A:$A,'Google Form Transform'!E:E,"")</f>
        <v/>
      </c>
      <c r="E507" t="str">
        <f>_xlfn.XLOOKUP(Table1[[#This Row],[Player]]&amp;Table1[[#This Row],[Week]]&amp;Table1[[#This Row],[Role]],'Google Form Transform'!$A:$A,'Google Form Transform'!F:F,"")</f>
        <v/>
      </c>
      <c r="F507" t="str">
        <f>_xlfn.XLOOKUP(Table1[[#This Row],[Player]]&amp;Table1[[#This Row],[Week]]&amp;Table1[[#This Row],[Role]],'Google Form Transform'!$A:$A,'Google Form Transform'!G:G,"")</f>
        <v/>
      </c>
      <c r="G507" s="59">
        <f>SUMIFS(Table2[Stat],Table2[Stat Category],"passing",Table2[Stat Type],"YDS",Table2[Athlete],Table1[[#This Row],[Pick]],Table2[Week],Table1[[#This Row],[Week]])</f>
        <v>0</v>
      </c>
      <c r="H507" s="59">
        <f>SUMIFS(Table2[Stat],Table2[Stat Category],"rushing",Table2[Stat Type],"YDS",Table2[Athlete],Table1[[#This Row],[Pick]],Table2[Week],Table1[[#This Row],[Week]])</f>
        <v>0</v>
      </c>
      <c r="I507" s="59">
        <f>SUMIFS(Table2[Stat],Table2[Stat Category],"receiving",Table2[Stat Type],"YDS",Table2[Athlete],Table1[[#This Row],[Pick]],Table2[Week],Table1[[#This Row],[Week]])</f>
        <v>0</v>
      </c>
      <c r="J507" s="6">
        <f>IF(AND($C507="Rushing", $H507&lt;=0), 0, IF(AND($C507="Passing", $G$3&lt;=0), 0,IF(AND($C507="Receiving",$I507&lt;=0), 0,SUMIFS(Table2[Stat],Table2[Week],Table1[[#This Row],[Week]],Table2[Athlete],Table1[[#This Row],[Pick]],Table2[Stat Category],"passing",Table2[Stat Type],"TD"))))</f>
        <v>0</v>
      </c>
      <c r="K507" s="6">
        <f>IF(AND($C507="Rushing", $H507&lt;=0), 0, IF(AND($C507="Passing", $G$3&lt;=0), 0,IF(AND($C507="Receiving",$I507&lt;=0),0,SUMIFS(Table2[Stat],Table2[Week],Table1[[#This Row],[Week]],Table2[Athlete],Table1[[#This Row],[Pick]],Table2[Stat Category],"rushing",Table2[Stat Type],"TD"))))</f>
        <v>0</v>
      </c>
      <c r="L507" s="6">
        <f>IF(AND($C507="Rushing", $H507&lt;=0), 0, IF(AND($C507="Passing", $G$3&lt;=0), 0,IF(AND($C507="Receiving",$I507&lt;=0),0,SUMIFS(Table2[Stat],Table2[Week],Table1[[#This Row],[Week]],Table2[Athlete],Table1[[#This Row],[Pick]],Table2[Stat Category],"receiving",Table2[Stat Type],"TD"))))</f>
        <v>0</v>
      </c>
      <c r="M5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7" s="61">
        <f>SUMIFS(Data!$J:$J,Data!$A:$A,Info!$B507,Data!$G:$G,Info!$C507,Data!$I:$I,Info!$D507,Data!$H:$H,"TOT")</f>
        <v>0</v>
      </c>
      <c r="O507" s="61">
        <f>IF(C507="Defensive",SUMIFS(Data!$J:$J,Data!$A:$A,Info!$B507,Data!$I:$I,Info!$D507,Data!$H:$H,"INT"),0)</f>
        <v>0</v>
      </c>
      <c r="P507" s="61">
        <f>IF(Table1[[#This Row],[Role]]="Defensive",SUMIFS(Data!$J:$J,Data!$A:$A,Info!$B507,Data!$I:$I,Info!$D507,Data!$H:$H,$P$1),0)</f>
        <v>0</v>
      </c>
      <c r="Q507" s="65" t="str">
        <f>IF(Table1[[#This Row],[Pick]]="","",IF(S507&gt;1,400,IF(G507="","",IF(C507="Passing",(400-Table1[[#This Row],[Passing Yards]]-(30*Table1[[#This Row],[Passing TDs]])-(50*SUM(Table1[[#This Row],[Rushing TDs]:[Other TD''s]]))),IF(C507="Rushing",2*(200-Table1[[#This Row],[Rushing Yards]]-(30*Table1[[#This Row],[Passing TDs]])-50*(Table1[[#This Row],[Rushing TDs]]+Table1[[#This Row],[Receiving TDs]]+Table1[[#This Row],[Other TD''s]])),IF(C507="Receiving",2*(200-Table1[[#This Row],[Receiving Yards]]-(30*Table1[[#This Row],[Passing TDs]])-50*(Table1[[#This Row],[Rushing TDs]]+Table1[[#This Row],[Receiving TDs]]+Table1[[#This Row],[Other TD''s]])),IF(C507="Defensive",(25*(16-Table1[[#This Row],[Tackles]]-(8*(Table1[[#This Row],[Other TD''s]]+Table1[[#This Row],[Interceptions]]+Table1[[#This Row],[Fumbles Recovered]])))))))))))</f>
        <v/>
      </c>
      <c r="R507" s="3" t="str">
        <f t="shared" si="16"/>
        <v/>
      </c>
      <c r="S507" s="4">
        <f t="shared" si="15"/>
        <v>1048507</v>
      </c>
      <c r="T5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8" spans="1:20" hidden="1" x14ac:dyDescent="0.25">
      <c r="A508" t="s">
        <v>62</v>
      </c>
      <c r="B508" s="28" t="s">
        <v>51</v>
      </c>
      <c r="C508" t="s">
        <v>6</v>
      </c>
      <c r="D508" t="str">
        <f>_xlfn.XLOOKUP(Table1[[#This Row],[Player]]&amp;Table1[[#This Row],[Week]]&amp;Table1[[#This Row],[Role]],'Google Form Transform'!$A:$A,'Google Form Transform'!E:E,"")</f>
        <v/>
      </c>
      <c r="E508" t="str">
        <f>_xlfn.XLOOKUP(Table1[[#This Row],[Player]]&amp;Table1[[#This Row],[Week]]&amp;Table1[[#This Row],[Role]],'Google Form Transform'!$A:$A,'Google Form Transform'!F:F,"")</f>
        <v/>
      </c>
      <c r="F508" t="str">
        <f>_xlfn.XLOOKUP(Table1[[#This Row],[Player]]&amp;Table1[[#This Row],[Week]]&amp;Table1[[#This Row],[Role]],'Google Form Transform'!$A:$A,'Google Form Transform'!G:G,"")</f>
        <v/>
      </c>
      <c r="G508" s="59">
        <f>SUMIFS(Table2[Stat],Table2[Stat Category],"passing",Table2[Stat Type],"YDS",Table2[Athlete],Table1[[#This Row],[Pick]],Table2[Week],Table1[[#This Row],[Week]])</f>
        <v>0</v>
      </c>
      <c r="H508" s="59">
        <f>SUMIFS(Table2[Stat],Table2[Stat Category],"rushing",Table2[Stat Type],"YDS",Table2[Athlete],Table1[[#This Row],[Pick]],Table2[Week],Table1[[#This Row],[Week]])</f>
        <v>0</v>
      </c>
      <c r="I508" s="59">
        <f>SUMIFS(Table2[Stat],Table2[Stat Category],"receiving",Table2[Stat Type],"YDS",Table2[Athlete],Table1[[#This Row],[Pick]],Table2[Week],Table1[[#This Row],[Week]])</f>
        <v>0</v>
      </c>
      <c r="J508" s="6">
        <f>IF(AND($C508="Rushing", $H508&lt;=0), 0, IF(AND($C508="Passing", $G$3&lt;=0), 0,IF(AND($C508="Receiving",$I508&lt;=0), 0,SUMIFS(Table2[Stat],Table2[Week],Table1[[#This Row],[Week]],Table2[Athlete],Table1[[#This Row],[Pick]],Table2[Stat Category],"passing",Table2[Stat Type],"TD"))))</f>
        <v>0</v>
      </c>
      <c r="K508" s="6">
        <f>IF(AND($C508="Rushing", $H508&lt;=0), 0, IF(AND($C508="Passing", $G$3&lt;=0), 0,IF(AND($C508="Receiving",$I508&lt;=0),0,SUMIFS(Table2[Stat],Table2[Week],Table1[[#This Row],[Week]],Table2[Athlete],Table1[[#This Row],[Pick]],Table2[Stat Category],"rushing",Table2[Stat Type],"TD"))))</f>
        <v>0</v>
      </c>
      <c r="L508" s="6">
        <f>IF(AND($C508="Rushing", $H508&lt;=0), 0, IF(AND($C508="Passing", $G$3&lt;=0), 0,IF(AND($C508="Receiving",$I508&lt;=0),0,SUMIFS(Table2[Stat],Table2[Week],Table1[[#This Row],[Week]],Table2[Athlete],Table1[[#This Row],[Pick]],Table2[Stat Category],"receiving",Table2[Stat Type],"TD"))))</f>
        <v>0</v>
      </c>
      <c r="M5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8" s="61">
        <f>SUMIFS(Data!$J:$J,Data!$A:$A,Info!$B508,Data!$G:$G,Info!$C508,Data!$I:$I,Info!$D508,Data!$H:$H,"TOT")</f>
        <v>0</v>
      </c>
      <c r="O508" s="61">
        <f>IF(C508="Defensive",SUMIFS(Data!$J:$J,Data!$A:$A,Info!$B508,Data!$I:$I,Info!$D508,Data!$H:$H,"INT"),0)</f>
        <v>0</v>
      </c>
      <c r="P508" s="61">
        <f>IF(Table1[[#This Row],[Role]]="Defensive",SUMIFS(Data!$J:$J,Data!$A:$A,Info!$B508,Data!$I:$I,Info!$D508,Data!$H:$H,$P$1),0)</f>
        <v>0</v>
      </c>
      <c r="Q508" s="65" t="str">
        <f>IF(Table1[[#This Row],[Pick]]="","",IF(S508&gt;1,400,IF(G508="","",IF(C508="Passing",(400-Table1[[#This Row],[Passing Yards]]-(30*Table1[[#This Row],[Passing TDs]])-(50*SUM(Table1[[#This Row],[Rushing TDs]:[Other TD''s]]))),IF(C508="Rushing",2*(200-Table1[[#This Row],[Rushing Yards]]-(30*Table1[[#This Row],[Passing TDs]])-50*(Table1[[#This Row],[Rushing TDs]]+Table1[[#This Row],[Receiving TDs]]+Table1[[#This Row],[Other TD''s]])),IF(C508="Receiving",2*(200-Table1[[#This Row],[Receiving Yards]]-(30*Table1[[#This Row],[Passing TDs]])-50*(Table1[[#This Row],[Rushing TDs]]+Table1[[#This Row],[Receiving TDs]]+Table1[[#This Row],[Other TD''s]])),IF(C508="Defensive",(25*(16-Table1[[#This Row],[Tackles]]-(8*(Table1[[#This Row],[Other TD''s]]+Table1[[#This Row],[Interceptions]]+Table1[[#This Row],[Fumbles Recovered]])))))))))))</f>
        <v/>
      </c>
      <c r="R508" s="3" t="str">
        <f t="shared" si="16"/>
        <v/>
      </c>
      <c r="S508" s="4">
        <f t="shared" si="15"/>
        <v>1048507</v>
      </c>
      <c r="T5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9" spans="1:20" hidden="1" x14ac:dyDescent="0.25">
      <c r="A509" t="s">
        <v>62</v>
      </c>
      <c r="B509" s="28" t="s">
        <v>51</v>
      </c>
      <c r="C509" t="s">
        <v>17</v>
      </c>
      <c r="D509" t="str">
        <f>_xlfn.XLOOKUP(Table1[[#This Row],[Player]]&amp;Table1[[#This Row],[Week]]&amp;Table1[[#This Row],[Role]],'Google Form Transform'!$A:$A,'Google Form Transform'!E:E,"")</f>
        <v/>
      </c>
      <c r="E509" t="str">
        <f>_xlfn.XLOOKUP(Table1[[#This Row],[Player]]&amp;Table1[[#This Row],[Week]]&amp;Table1[[#This Row],[Role]],'Google Form Transform'!$A:$A,'Google Form Transform'!F:F,"")</f>
        <v/>
      </c>
      <c r="F509" t="str">
        <f>_xlfn.XLOOKUP(Table1[[#This Row],[Player]]&amp;Table1[[#This Row],[Week]]&amp;Table1[[#This Row],[Role]],'Google Form Transform'!$A:$A,'Google Form Transform'!G:G,"")</f>
        <v/>
      </c>
      <c r="G509" s="59">
        <f>SUMIFS(Table2[Stat],Table2[Stat Category],"passing",Table2[Stat Type],"YDS",Table2[Athlete],Table1[[#This Row],[Pick]],Table2[Week],Table1[[#This Row],[Week]])</f>
        <v>0</v>
      </c>
      <c r="H509" s="59">
        <f>SUMIFS(Table2[Stat],Table2[Stat Category],"rushing",Table2[Stat Type],"YDS",Table2[Athlete],Table1[[#This Row],[Pick]],Table2[Week],Table1[[#This Row],[Week]])</f>
        <v>0</v>
      </c>
      <c r="I509" s="59">
        <f>SUMIFS(Table2[Stat],Table2[Stat Category],"receiving",Table2[Stat Type],"YDS",Table2[Athlete],Table1[[#This Row],[Pick]],Table2[Week],Table1[[#This Row],[Week]])</f>
        <v>0</v>
      </c>
      <c r="J509" s="6">
        <f>IF(AND($C509="Rushing", $H509&lt;=0), 0, IF(AND($C509="Passing", $G$3&lt;=0), 0,IF(AND($C509="Receiving",$I509&lt;=0), 0,SUMIFS(Table2[Stat],Table2[Week],Table1[[#This Row],[Week]],Table2[Athlete],Table1[[#This Row],[Pick]],Table2[Stat Category],"passing",Table2[Stat Type],"TD"))))</f>
        <v>0</v>
      </c>
      <c r="K509" s="6">
        <f>IF(AND($C509="Rushing", $H509&lt;=0), 0, IF(AND($C509="Passing", $G$3&lt;=0), 0,IF(AND($C509="Receiving",$I509&lt;=0),0,SUMIFS(Table2[Stat],Table2[Week],Table1[[#This Row],[Week]],Table2[Athlete],Table1[[#This Row],[Pick]],Table2[Stat Category],"rushing",Table2[Stat Type],"TD"))))</f>
        <v>0</v>
      </c>
      <c r="L509" s="6">
        <f>IF(AND($C509="Rushing", $H509&lt;=0), 0, IF(AND($C509="Passing", $G$3&lt;=0), 0,IF(AND($C509="Receiving",$I509&lt;=0),0,SUMIFS(Table2[Stat],Table2[Week],Table1[[#This Row],[Week]],Table2[Athlete],Table1[[#This Row],[Pick]],Table2[Stat Category],"receiving",Table2[Stat Type],"TD"))))</f>
        <v>0</v>
      </c>
      <c r="M5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9" s="61">
        <f>SUMIFS(Data!$J:$J,Data!$A:$A,Info!$B509,Data!$G:$G,Info!$C509,Data!$I:$I,Info!$D509,Data!$H:$H,"TOT")</f>
        <v>0</v>
      </c>
      <c r="O509" s="61">
        <f>IF(C509="Defensive",SUMIFS(Data!$J:$J,Data!$A:$A,Info!$B509,Data!$I:$I,Info!$D509,Data!$H:$H,"INT"),0)</f>
        <v>0</v>
      </c>
      <c r="P509" s="61">
        <f>IF(Table1[[#This Row],[Role]]="Defensive",SUMIFS(Data!$J:$J,Data!$A:$A,Info!$B509,Data!$I:$I,Info!$D509,Data!$H:$H,$P$1),0)</f>
        <v>0</v>
      </c>
      <c r="Q509" s="65" t="str">
        <f>IF(Table1[[#This Row],[Pick]]="","",IF(S509&gt;1,400,IF(G509="","",IF(C509="Passing",(400-Table1[[#This Row],[Passing Yards]]-(30*Table1[[#This Row],[Passing TDs]])-(50*SUM(Table1[[#This Row],[Rushing TDs]:[Other TD''s]]))),IF(C509="Rushing",2*(200-Table1[[#This Row],[Rushing Yards]]-(30*Table1[[#This Row],[Passing TDs]])-50*(Table1[[#This Row],[Rushing TDs]]+Table1[[#This Row],[Receiving TDs]]+Table1[[#This Row],[Other TD''s]])),IF(C509="Receiving",2*(200-Table1[[#This Row],[Receiving Yards]]-(30*Table1[[#This Row],[Passing TDs]])-50*(Table1[[#This Row],[Rushing TDs]]+Table1[[#This Row],[Receiving TDs]]+Table1[[#This Row],[Other TD''s]])),IF(C509="Defensive",(25*(16-Table1[[#This Row],[Tackles]]-(8*(Table1[[#This Row],[Other TD''s]]+Table1[[#This Row],[Interceptions]]+Table1[[#This Row],[Fumbles Recovered]])))))))))))</f>
        <v/>
      </c>
      <c r="R509" s="3" t="str">
        <f t="shared" si="16"/>
        <v/>
      </c>
      <c r="S509" s="4">
        <f t="shared" si="15"/>
        <v>1048507</v>
      </c>
      <c r="T5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0" spans="1:20" hidden="1" x14ac:dyDescent="0.25">
      <c r="A510" t="s">
        <v>62</v>
      </c>
      <c r="B510" s="28" t="s">
        <v>51</v>
      </c>
      <c r="C510" t="s">
        <v>20</v>
      </c>
      <c r="D510" t="str">
        <f>_xlfn.XLOOKUP(Table1[[#This Row],[Player]]&amp;Table1[[#This Row],[Week]]&amp;Table1[[#This Row],[Role]],'Google Form Transform'!$A:$A,'Google Form Transform'!E:E,"")</f>
        <v/>
      </c>
      <c r="E510" t="str">
        <f>_xlfn.XLOOKUP(Table1[[#This Row],[Player]]&amp;Table1[[#This Row],[Week]]&amp;Table1[[#This Row],[Role]],'Google Form Transform'!$A:$A,'Google Form Transform'!F:F,"")</f>
        <v/>
      </c>
      <c r="F510" t="str">
        <f>_xlfn.XLOOKUP(Table1[[#This Row],[Player]]&amp;Table1[[#This Row],[Week]]&amp;Table1[[#This Row],[Role]],'Google Form Transform'!$A:$A,'Google Form Transform'!G:G,"")</f>
        <v/>
      </c>
      <c r="G510" s="59">
        <f>SUMIFS(Table2[Stat],Table2[Stat Category],"passing",Table2[Stat Type],"YDS",Table2[Athlete],Table1[[#This Row],[Pick]],Table2[Week],Table1[[#This Row],[Week]])</f>
        <v>0</v>
      </c>
      <c r="H510" s="59">
        <f>SUMIFS(Table2[Stat],Table2[Stat Category],"rushing",Table2[Stat Type],"YDS",Table2[Athlete],Table1[[#This Row],[Pick]],Table2[Week],Table1[[#This Row],[Week]])</f>
        <v>0</v>
      </c>
      <c r="I510" s="59">
        <f>SUMIFS(Table2[Stat],Table2[Stat Category],"receiving",Table2[Stat Type],"YDS",Table2[Athlete],Table1[[#This Row],[Pick]],Table2[Week],Table1[[#This Row],[Week]])</f>
        <v>0</v>
      </c>
      <c r="J510" s="6">
        <f>IF(AND($C510="Rushing", $H510&lt;=0), 0, IF(AND($C510="Passing", $G$3&lt;=0), 0,IF(AND($C510="Receiving",$I510&lt;=0), 0,SUMIFS(Table2[Stat],Table2[Week],Table1[[#This Row],[Week]],Table2[Athlete],Table1[[#This Row],[Pick]],Table2[Stat Category],"passing",Table2[Stat Type],"TD"))))</f>
        <v>0</v>
      </c>
      <c r="K510" s="6">
        <f>IF(AND($C510="Rushing", $H510&lt;=0), 0, IF(AND($C510="Passing", $G$3&lt;=0), 0,IF(AND($C510="Receiving",$I510&lt;=0),0,SUMIFS(Table2[Stat],Table2[Week],Table1[[#This Row],[Week]],Table2[Athlete],Table1[[#This Row],[Pick]],Table2[Stat Category],"rushing",Table2[Stat Type],"TD"))))</f>
        <v>0</v>
      </c>
      <c r="L510" s="6">
        <f>IF(AND($C510="Rushing", $H510&lt;=0), 0, IF(AND($C510="Passing", $G$3&lt;=0), 0,IF(AND($C510="Receiving",$I510&lt;=0),0,SUMIFS(Table2[Stat],Table2[Week],Table1[[#This Row],[Week]],Table2[Athlete],Table1[[#This Row],[Pick]],Table2[Stat Category],"receiving",Table2[Stat Type],"TD"))))</f>
        <v>0</v>
      </c>
      <c r="M5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0" s="61">
        <f>SUMIFS(Data!$J:$J,Data!$A:$A,Info!$B510,Data!$G:$G,Info!$C510,Data!$I:$I,Info!$D510,Data!$H:$H,"TOT")</f>
        <v>0</v>
      </c>
      <c r="O510" s="61">
        <f>IF(C510="Defensive",SUMIFS(Data!$J:$J,Data!$A:$A,Info!$B510,Data!$I:$I,Info!$D510,Data!$H:$H,"INT"),0)</f>
        <v>0</v>
      </c>
      <c r="P510" s="61">
        <f>IF(Table1[[#This Row],[Role]]="Defensive",SUMIFS(Data!$J:$J,Data!$A:$A,Info!$B510,Data!$I:$I,Info!$D510,Data!$H:$H,$P$1),0)</f>
        <v>0</v>
      </c>
      <c r="Q510" s="65" t="str">
        <f>IF(Table1[[#This Row],[Pick]]="","",IF(S510&gt;1,400,IF(G510="","",IF(C510="Passing",(400-Table1[[#This Row],[Passing Yards]]-(30*Table1[[#This Row],[Passing TDs]])-(50*SUM(Table1[[#This Row],[Rushing TDs]:[Other TD''s]]))),IF(C510="Rushing",2*(200-Table1[[#This Row],[Rushing Yards]]-(30*Table1[[#This Row],[Passing TDs]])-50*(Table1[[#This Row],[Rushing TDs]]+Table1[[#This Row],[Receiving TDs]]+Table1[[#This Row],[Other TD''s]])),IF(C510="Receiving",2*(200-Table1[[#This Row],[Receiving Yards]]-(30*Table1[[#This Row],[Passing TDs]])-50*(Table1[[#This Row],[Rushing TDs]]+Table1[[#This Row],[Receiving TDs]]+Table1[[#This Row],[Other TD''s]])),IF(C510="Defensive",(25*(16-Table1[[#This Row],[Tackles]]-(8*(Table1[[#This Row],[Other TD''s]]+Table1[[#This Row],[Interceptions]]+Table1[[#This Row],[Fumbles Recovered]])))))))))))</f>
        <v/>
      </c>
      <c r="R510" s="3" t="str">
        <f t="shared" si="16"/>
        <v/>
      </c>
      <c r="S510" s="4">
        <f t="shared" si="15"/>
        <v>1048507</v>
      </c>
      <c r="T5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1" spans="1:20" hidden="1" x14ac:dyDescent="0.25">
      <c r="A511" t="s">
        <v>59</v>
      </c>
      <c r="B511" s="28" t="s">
        <v>51</v>
      </c>
      <c r="C511" t="s">
        <v>16</v>
      </c>
      <c r="D511" t="str">
        <f>_xlfn.XLOOKUP(Table1[[#This Row],[Player]]&amp;Table1[[#This Row],[Week]]&amp;Table1[[#This Row],[Role]],'Google Form Transform'!$A:$A,'Google Form Transform'!E:E,"")</f>
        <v/>
      </c>
      <c r="E511" t="str">
        <f>_xlfn.XLOOKUP(Table1[[#This Row],[Player]]&amp;Table1[[#This Row],[Week]]&amp;Table1[[#This Row],[Role]],'Google Form Transform'!$A:$A,'Google Form Transform'!F:F,"")</f>
        <v/>
      </c>
      <c r="F511" t="str">
        <f>_xlfn.XLOOKUP(Table1[[#This Row],[Player]]&amp;Table1[[#This Row],[Week]]&amp;Table1[[#This Row],[Role]],'Google Form Transform'!$A:$A,'Google Form Transform'!G:G,"")</f>
        <v/>
      </c>
      <c r="G511" s="59">
        <f>SUMIFS(Table2[Stat],Table2[Stat Category],"passing",Table2[Stat Type],"YDS",Table2[Athlete],Table1[[#This Row],[Pick]],Table2[Week],Table1[[#This Row],[Week]])</f>
        <v>0</v>
      </c>
      <c r="H511" s="59">
        <f>SUMIFS(Table2[Stat],Table2[Stat Category],"rushing",Table2[Stat Type],"YDS",Table2[Athlete],Table1[[#This Row],[Pick]],Table2[Week],Table1[[#This Row],[Week]])</f>
        <v>0</v>
      </c>
      <c r="I511" s="59">
        <f>SUMIFS(Table2[Stat],Table2[Stat Category],"receiving",Table2[Stat Type],"YDS",Table2[Athlete],Table1[[#This Row],[Pick]],Table2[Week],Table1[[#This Row],[Week]])</f>
        <v>0</v>
      </c>
      <c r="J511" s="6">
        <f>IF(AND($C511="Rushing", $H511&lt;=0), 0, IF(AND($C511="Passing", $G$3&lt;=0), 0,IF(AND($C511="Receiving",$I511&lt;=0), 0,SUMIFS(Table2[Stat],Table2[Week],Table1[[#This Row],[Week]],Table2[Athlete],Table1[[#This Row],[Pick]],Table2[Stat Category],"passing",Table2[Stat Type],"TD"))))</f>
        <v>0</v>
      </c>
      <c r="K511" s="6">
        <f>IF(AND($C511="Rushing", $H511&lt;=0), 0, IF(AND($C511="Passing", $G$3&lt;=0), 0,IF(AND($C511="Receiving",$I511&lt;=0),0,SUMIFS(Table2[Stat],Table2[Week],Table1[[#This Row],[Week]],Table2[Athlete],Table1[[#This Row],[Pick]],Table2[Stat Category],"rushing",Table2[Stat Type],"TD"))))</f>
        <v>0</v>
      </c>
      <c r="L511" s="6">
        <f>IF(AND($C511="Rushing", $H511&lt;=0), 0, IF(AND($C511="Passing", $G$3&lt;=0), 0,IF(AND($C511="Receiving",$I511&lt;=0),0,SUMIFS(Table2[Stat],Table2[Week],Table1[[#This Row],[Week]],Table2[Athlete],Table1[[#This Row],[Pick]],Table2[Stat Category],"receiving",Table2[Stat Type],"TD"))))</f>
        <v>0</v>
      </c>
      <c r="M5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1" s="61">
        <f>SUMIFS(Data!$J:$J,Data!$A:$A,Info!$B511,Data!$G:$G,Info!$C511,Data!$I:$I,Info!$D511,Data!$H:$H,"TOT")</f>
        <v>0</v>
      </c>
      <c r="O511" s="61">
        <f>IF(C511="Defensive",SUMIFS(Data!$J:$J,Data!$A:$A,Info!$B511,Data!$I:$I,Info!$D511,Data!$H:$H,"INT"),0)</f>
        <v>0</v>
      </c>
      <c r="P511" s="61">
        <f>IF(Table1[[#This Row],[Role]]="Defensive",SUMIFS(Data!$J:$J,Data!$A:$A,Info!$B511,Data!$I:$I,Info!$D511,Data!$H:$H,$P$1),0)</f>
        <v>0</v>
      </c>
      <c r="Q511" s="65" t="str">
        <f>IF(Table1[[#This Row],[Pick]]="","",IF(S511&gt;1,400,IF(G511="","",IF(C511="Passing",(400-Table1[[#This Row],[Passing Yards]]-(30*Table1[[#This Row],[Passing TDs]])-(50*SUM(Table1[[#This Row],[Rushing TDs]:[Other TD''s]]))),IF(C511="Rushing",2*(200-Table1[[#This Row],[Rushing Yards]]-(30*Table1[[#This Row],[Passing TDs]])-50*(Table1[[#This Row],[Rushing TDs]]+Table1[[#This Row],[Receiving TDs]]+Table1[[#This Row],[Other TD''s]])),IF(C511="Receiving",2*(200-Table1[[#This Row],[Receiving Yards]]-(30*Table1[[#This Row],[Passing TDs]])-50*(Table1[[#This Row],[Rushing TDs]]+Table1[[#This Row],[Receiving TDs]]+Table1[[#This Row],[Other TD''s]])),IF(C511="Defensive",(25*(16-Table1[[#This Row],[Tackles]]-(8*(Table1[[#This Row],[Other TD''s]]+Table1[[#This Row],[Interceptions]]+Table1[[#This Row],[Fumbles Recovered]])))))))))))</f>
        <v/>
      </c>
      <c r="R511" s="3" t="str">
        <f t="shared" si="16"/>
        <v/>
      </c>
      <c r="S511" s="4">
        <f t="shared" si="15"/>
        <v>1048507</v>
      </c>
      <c r="T5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2" spans="1:20" hidden="1" x14ac:dyDescent="0.25">
      <c r="A512" t="s">
        <v>59</v>
      </c>
      <c r="B512" s="28" t="s">
        <v>51</v>
      </c>
      <c r="C512" t="s">
        <v>6</v>
      </c>
      <c r="D512" t="str">
        <f>_xlfn.XLOOKUP(Table1[[#This Row],[Player]]&amp;Table1[[#This Row],[Week]]&amp;Table1[[#This Row],[Role]],'Google Form Transform'!$A:$A,'Google Form Transform'!E:E,"")</f>
        <v/>
      </c>
      <c r="E512" t="str">
        <f>_xlfn.XLOOKUP(Table1[[#This Row],[Player]]&amp;Table1[[#This Row],[Week]]&amp;Table1[[#This Row],[Role]],'Google Form Transform'!$A:$A,'Google Form Transform'!F:F,"")</f>
        <v/>
      </c>
      <c r="F512" t="str">
        <f>_xlfn.XLOOKUP(Table1[[#This Row],[Player]]&amp;Table1[[#This Row],[Week]]&amp;Table1[[#This Row],[Role]],'Google Form Transform'!$A:$A,'Google Form Transform'!G:G,"")</f>
        <v/>
      </c>
      <c r="G512" s="59">
        <f>SUMIFS(Table2[Stat],Table2[Stat Category],"passing",Table2[Stat Type],"YDS",Table2[Athlete],Table1[[#This Row],[Pick]],Table2[Week],Table1[[#This Row],[Week]])</f>
        <v>0</v>
      </c>
      <c r="H512" s="59">
        <f>SUMIFS(Table2[Stat],Table2[Stat Category],"rushing",Table2[Stat Type],"YDS",Table2[Athlete],Table1[[#This Row],[Pick]],Table2[Week],Table1[[#This Row],[Week]])</f>
        <v>0</v>
      </c>
      <c r="I512" s="59">
        <f>SUMIFS(Table2[Stat],Table2[Stat Category],"receiving",Table2[Stat Type],"YDS",Table2[Athlete],Table1[[#This Row],[Pick]],Table2[Week],Table1[[#This Row],[Week]])</f>
        <v>0</v>
      </c>
      <c r="J512" s="6">
        <f>IF(AND($C512="Rushing", $H512&lt;=0), 0, IF(AND($C512="Passing", $G$3&lt;=0), 0,IF(AND($C512="Receiving",$I512&lt;=0), 0,SUMIFS(Table2[Stat],Table2[Week],Table1[[#This Row],[Week]],Table2[Athlete],Table1[[#This Row],[Pick]],Table2[Stat Category],"passing",Table2[Stat Type],"TD"))))</f>
        <v>0</v>
      </c>
      <c r="K512" s="6">
        <f>IF(AND($C512="Rushing", $H512&lt;=0), 0, IF(AND($C512="Passing", $G$3&lt;=0), 0,IF(AND($C512="Receiving",$I512&lt;=0),0,SUMIFS(Table2[Stat],Table2[Week],Table1[[#This Row],[Week]],Table2[Athlete],Table1[[#This Row],[Pick]],Table2[Stat Category],"rushing",Table2[Stat Type],"TD"))))</f>
        <v>0</v>
      </c>
      <c r="L512" s="6">
        <f>IF(AND($C512="Rushing", $H512&lt;=0), 0, IF(AND($C512="Passing", $G$3&lt;=0), 0,IF(AND($C512="Receiving",$I512&lt;=0),0,SUMIFS(Table2[Stat],Table2[Week],Table1[[#This Row],[Week]],Table2[Athlete],Table1[[#This Row],[Pick]],Table2[Stat Category],"receiving",Table2[Stat Type],"TD"))))</f>
        <v>0</v>
      </c>
      <c r="M5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2" s="61">
        <f>SUMIFS(Data!$J:$J,Data!$A:$A,Info!$B512,Data!$G:$G,Info!$C512,Data!$I:$I,Info!$D512,Data!$H:$H,"TOT")</f>
        <v>0</v>
      </c>
      <c r="O512" s="61">
        <f>IF(C512="Defensive",SUMIFS(Data!$J:$J,Data!$A:$A,Info!$B512,Data!$I:$I,Info!$D512,Data!$H:$H,"INT"),0)</f>
        <v>0</v>
      </c>
      <c r="P512" s="61">
        <f>IF(Table1[[#This Row],[Role]]="Defensive",SUMIFS(Data!$J:$J,Data!$A:$A,Info!$B512,Data!$I:$I,Info!$D512,Data!$H:$H,$P$1),0)</f>
        <v>0</v>
      </c>
      <c r="Q512" s="65" t="str">
        <f>IF(Table1[[#This Row],[Pick]]="","",IF(S512&gt;1,400,IF(G512="","",IF(C512="Passing",(400-Table1[[#This Row],[Passing Yards]]-(30*Table1[[#This Row],[Passing TDs]])-(50*SUM(Table1[[#This Row],[Rushing TDs]:[Other TD''s]]))),IF(C512="Rushing",2*(200-Table1[[#This Row],[Rushing Yards]]-(30*Table1[[#This Row],[Passing TDs]])-50*(Table1[[#This Row],[Rushing TDs]]+Table1[[#This Row],[Receiving TDs]]+Table1[[#This Row],[Other TD''s]])),IF(C512="Receiving",2*(200-Table1[[#This Row],[Receiving Yards]]-(30*Table1[[#This Row],[Passing TDs]])-50*(Table1[[#This Row],[Rushing TDs]]+Table1[[#This Row],[Receiving TDs]]+Table1[[#This Row],[Other TD''s]])),IF(C512="Defensive",(25*(16-Table1[[#This Row],[Tackles]]-(8*(Table1[[#This Row],[Other TD''s]]+Table1[[#This Row],[Interceptions]]+Table1[[#This Row],[Fumbles Recovered]])))))))))))</f>
        <v/>
      </c>
      <c r="R512" s="3" t="str">
        <f t="shared" si="16"/>
        <v/>
      </c>
      <c r="S512" s="4">
        <f t="shared" si="15"/>
        <v>1048507</v>
      </c>
      <c r="T5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3" spans="1:20" hidden="1" x14ac:dyDescent="0.25">
      <c r="A513" t="s">
        <v>59</v>
      </c>
      <c r="B513" s="28" t="s">
        <v>51</v>
      </c>
      <c r="C513" t="s">
        <v>17</v>
      </c>
      <c r="D513" t="str">
        <f>_xlfn.XLOOKUP(Table1[[#This Row],[Player]]&amp;Table1[[#This Row],[Week]]&amp;Table1[[#This Row],[Role]],'Google Form Transform'!$A:$A,'Google Form Transform'!E:E,"")</f>
        <v/>
      </c>
      <c r="E513" t="str">
        <f>_xlfn.XLOOKUP(Table1[[#This Row],[Player]]&amp;Table1[[#This Row],[Week]]&amp;Table1[[#This Row],[Role]],'Google Form Transform'!$A:$A,'Google Form Transform'!F:F,"")</f>
        <v/>
      </c>
      <c r="F513" t="str">
        <f>_xlfn.XLOOKUP(Table1[[#This Row],[Player]]&amp;Table1[[#This Row],[Week]]&amp;Table1[[#This Row],[Role]],'Google Form Transform'!$A:$A,'Google Form Transform'!G:G,"")</f>
        <v/>
      </c>
      <c r="G513" s="59">
        <f>SUMIFS(Table2[Stat],Table2[Stat Category],"passing",Table2[Stat Type],"YDS",Table2[Athlete],Table1[[#This Row],[Pick]],Table2[Week],Table1[[#This Row],[Week]])</f>
        <v>0</v>
      </c>
      <c r="H513" s="59">
        <f>SUMIFS(Table2[Stat],Table2[Stat Category],"rushing",Table2[Stat Type],"YDS",Table2[Athlete],Table1[[#This Row],[Pick]],Table2[Week],Table1[[#This Row],[Week]])</f>
        <v>0</v>
      </c>
      <c r="I513" s="59">
        <f>SUMIFS(Table2[Stat],Table2[Stat Category],"receiving",Table2[Stat Type],"YDS",Table2[Athlete],Table1[[#This Row],[Pick]],Table2[Week],Table1[[#This Row],[Week]])</f>
        <v>0</v>
      </c>
      <c r="J513" s="6">
        <f>IF(AND($C513="Rushing", $H513&lt;=0), 0, IF(AND($C513="Passing", $G$3&lt;=0), 0,IF(AND($C513="Receiving",$I513&lt;=0), 0,SUMIFS(Table2[Stat],Table2[Week],Table1[[#This Row],[Week]],Table2[Athlete],Table1[[#This Row],[Pick]],Table2[Stat Category],"passing",Table2[Stat Type],"TD"))))</f>
        <v>0</v>
      </c>
      <c r="K513" s="6">
        <f>IF(AND($C513="Rushing", $H513&lt;=0), 0, IF(AND($C513="Passing", $G$3&lt;=0), 0,IF(AND($C513="Receiving",$I513&lt;=0),0,SUMIFS(Table2[Stat],Table2[Week],Table1[[#This Row],[Week]],Table2[Athlete],Table1[[#This Row],[Pick]],Table2[Stat Category],"rushing",Table2[Stat Type],"TD"))))</f>
        <v>0</v>
      </c>
      <c r="L513" s="6">
        <f>IF(AND($C513="Rushing", $H513&lt;=0), 0, IF(AND($C513="Passing", $G$3&lt;=0), 0,IF(AND($C513="Receiving",$I513&lt;=0),0,SUMIFS(Table2[Stat],Table2[Week],Table1[[#This Row],[Week]],Table2[Athlete],Table1[[#This Row],[Pick]],Table2[Stat Category],"receiving",Table2[Stat Type],"TD"))))</f>
        <v>0</v>
      </c>
      <c r="M5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3" s="61">
        <f>SUMIFS(Data!$J:$J,Data!$A:$A,Info!$B513,Data!$G:$G,Info!$C513,Data!$I:$I,Info!$D513,Data!$H:$H,"TOT")</f>
        <v>0</v>
      </c>
      <c r="O513" s="61">
        <f>IF(C513="Defensive",SUMIFS(Data!$J:$J,Data!$A:$A,Info!$B513,Data!$I:$I,Info!$D513,Data!$H:$H,"INT"),0)</f>
        <v>0</v>
      </c>
      <c r="P513" s="61">
        <f>IF(Table1[[#This Row],[Role]]="Defensive",SUMIFS(Data!$J:$J,Data!$A:$A,Info!$B513,Data!$I:$I,Info!$D513,Data!$H:$H,$P$1),0)</f>
        <v>0</v>
      </c>
      <c r="Q513" s="65" t="str">
        <f>IF(Table1[[#This Row],[Pick]]="","",IF(S513&gt;1,400,IF(G513="","",IF(C513="Passing",(400-Table1[[#This Row],[Passing Yards]]-(30*Table1[[#This Row],[Passing TDs]])-(50*SUM(Table1[[#This Row],[Rushing TDs]:[Other TD''s]]))),IF(C513="Rushing",2*(200-Table1[[#This Row],[Rushing Yards]]-(30*Table1[[#This Row],[Passing TDs]])-50*(Table1[[#This Row],[Rushing TDs]]+Table1[[#This Row],[Receiving TDs]]+Table1[[#This Row],[Other TD''s]])),IF(C513="Receiving",2*(200-Table1[[#This Row],[Receiving Yards]]-(30*Table1[[#This Row],[Passing TDs]])-50*(Table1[[#This Row],[Rushing TDs]]+Table1[[#This Row],[Receiving TDs]]+Table1[[#This Row],[Other TD''s]])),IF(C513="Defensive",(25*(16-Table1[[#This Row],[Tackles]]-(8*(Table1[[#This Row],[Other TD''s]]+Table1[[#This Row],[Interceptions]]+Table1[[#This Row],[Fumbles Recovered]])))))))))))</f>
        <v/>
      </c>
      <c r="R513" s="3" t="str">
        <f t="shared" si="16"/>
        <v/>
      </c>
      <c r="S513" s="4">
        <f t="shared" si="15"/>
        <v>1048507</v>
      </c>
      <c r="T5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4" spans="1:20" hidden="1" x14ac:dyDescent="0.25">
      <c r="A514" t="s">
        <v>59</v>
      </c>
      <c r="B514" s="28" t="s">
        <v>51</v>
      </c>
      <c r="C514" t="s">
        <v>20</v>
      </c>
      <c r="D514" t="str">
        <f>_xlfn.XLOOKUP(Table1[[#This Row],[Player]]&amp;Table1[[#This Row],[Week]]&amp;Table1[[#This Row],[Role]],'Google Form Transform'!$A:$A,'Google Form Transform'!E:E,"")</f>
        <v/>
      </c>
      <c r="E514" t="str">
        <f>_xlfn.XLOOKUP(Table1[[#This Row],[Player]]&amp;Table1[[#This Row],[Week]]&amp;Table1[[#This Row],[Role]],'Google Form Transform'!$A:$A,'Google Form Transform'!F:F,"")</f>
        <v/>
      </c>
      <c r="F514" t="str">
        <f>_xlfn.XLOOKUP(Table1[[#This Row],[Player]]&amp;Table1[[#This Row],[Week]]&amp;Table1[[#This Row],[Role]],'Google Form Transform'!$A:$A,'Google Form Transform'!G:G,"")</f>
        <v/>
      </c>
      <c r="G514" s="59">
        <f>SUMIFS(Table2[Stat],Table2[Stat Category],"passing",Table2[Stat Type],"YDS",Table2[Athlete],Table1[[#This Row],[Pick]],Table2[Week],Table1[[#This Row],[Week]])</f>
        <v>0</v>
      </c>
      <c r="H514" s="59">
        <f>SUMIFS(Table2[Stat],Table2[Stat Category],"rushing",Table2[Stat Type],"YDS",Table2[Athlete],Table1[[#This Row],[Pick]],Table2[Week],Table1[[#This Row],[Week]])</f>
        <v>0</v>
      </c>
      <c r="I514" s="59">
        <f>SUMIFS(Table2[Stat],Table2[Stat Category],"receiving",Table2[Stat Type],"YDS",Table2[Athlete],Table1[[#This Row],[Pick]],Table2[Week],Table1[[#This Row],[Week]])</f>
        <v>0</v>
      </c>
      <c r="J514" s="6">
        <f>IF(AND($C514="Rushing", $H514&lt;=0), 0, IF(AND($C514="Passing", $G$3&lt;=0), 0,IF(AND($C514="Receiving",$I514&lt;=0), 0,SUMIFS(Table2[Stat],Table2[Week],Table1[[#This Row],[Week]],Table2[Athlete],Table1[[#This Row],[Pick]],Table2[Stat Category],"passing",Table2[Stat Type],"TD"))))</f>
        <v>0</v>
      </c>
      <c r="K514" s="6">
        <f>IF(AND($C514="Rushing", $H514&lt;=0), 0, IF(AND($C514="Passing", $G$3&lt;=0), 0,IF(AND($C514="Receiving",$I514&lt;=0),0,SUMIFS(Table2[Stat],Table2[Week],Table1[[#This Row],[Week]],Table2[Athlete],Table1[[#This Row],[Pick]],Table2[Stat Category],"rushing",Table2[Stat Type],"TD"))))</f>
        <v>0</v>
      </c>
      <c r="L514" s="6">
        <f>IF(AND($C514="Rushing", $H514&lt;=0), 0, IF(AND($C514="Passing", $G$3&lt;=0), 0,IF(AND($C514="Receiving",$I514&lt;=0),0,SUMIFS(Table2[Stat],Table2[Week],Table1[[#This Row],[Week]],Table2[Athlete],Table1[[#This Row],[Pick]],Table2[Stat Category],"receiving",Table2[Stat Type],"TD"))))</f>
        <v>0</v>
      </c>
      <c r="M5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4" s="61">
        <f>SUMIFS(Data!$J:$J,Data!$A:$A,Info!$B514,Data!$G:$G,Info!$C514,Data!$I:$I,Info!$D514,Data!$H:$H,"TOT")</f>
        <v>0</v>
      </c>
      <c r="O514" s="61">
        <f>IF(C514="Defensive",SUMIFS(Data!$J:$J,Data!$A:$A,Info!$B514,Data!$I:$I,Info!$D514,Data!$H:$H,"INT"),0)</f>
        <v>0</v>
      </c>
      <c r="P514" s="61">
        <f>IF(Table1[[#This Row],[Role]]="Defensive",SUMIFS(Data!$J:$J,Data!$A:$A,Info!$B514,Data!$I:$I,Info!$D514,Data!$H:$H,$P$1),0)</f>
        <v>0</v>
      </c>
      <c r="Q514" s="65" t="str">
        <f>IF(Table1[[#This Row],[Pick]]="","",IF(S514&gt;1,400,IF(G514="","",IF(C514="Passing",(400-Table1[[#This Row],[Passing Yards]]-(30*Table1[[#This Row],[Passing TDs]])-(50*SUM(Table1[[#This Row],[Rushing TDs]:[Other TD''s]]))),IF(C514="Rushing",2*(200-Table1[[#This Row],[Rushing Yards]]-(30*Table1[[#This Row],[Passing TDs]])-50*(Table1[[#This Row],[Rushing TDs]]+Table1[[#This Row],[Receiving TDs]]+Table1[[#This Row],[Other TD''s]])),IF(C514="Receiving",2*(200-Table1[[#This Row],[Receiving Yards]]-(30*Table1[[#This Row],[Passing TDs]])-50*(Table1[[#This Row],[Rushing TDs]]+Table1[[#This Row],[Receiving TDs]]+Table1[[#This Row],[Other TD''s]])),IF(C514="Defensive",(25*(16-Table1[[#This Row],[Tackles]]-(8*(Table1[[#This Row],[Other TD''s]]+Table1[[#This Row],[Interceptions]]+Table1[[#This Row],[Fumbles Recovered]])))))))))))</f>
        <v/>
      </c>
      <c r="R514" s="3" t="str">
        <f t="shared" si="16"/>
        <v/>
      </c>
      <c r="S514" s="4">
        <f t="shared" si="15"/>
        <v>1048507</v>
      </c>
      <c r="T5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5" spans="1:20" hidden="1" x14ac:dyDescent="0.25">
      <c r="A515" t="s">
        <v>68</v>
      </c>
      <c r="B515" s="28" t="s">
        <v>51</v>
      </c>
      <c r="C515" t="s">
        <v>16</v>
      </c>
      <c r="D515" t="str">
        <f>_xlfn.XLOOKUP(Table1[[#This Row],[Player]]&amp;Table1[[#This Row],[Week]]&amp;Table1[[#This Row],[Role]],'Google Form Transform'!$A:$A,'Google Form Transform'!E:E,"")</f>
        <v/>
      </c>
      <c r="E515" t="str">
        <f>_xlfn.XLOOKUP(Table1[[#This Row],[Player]]&amp;Table1[[#This Row],[Week]]&amp;Table1[[#This Row],[Role]],'Google Form Transform'!$A:$A,'Google Form Transform'!F:F,"")</f>
        <v/>
      </c>
      <c r="F515" t="str">
        <f>_xlfn.XLOOKUP(Table1[[#This Row],[Player]]&amp;Table1[[#This Row],[Week]]&amp;Table1[[#This Row],[Role]],'Google Form Transform'!$A:$A,'Google Form Transform'!G:G,"")</f>
        <v/>
      </c>
      <c r="G515" s="59">
        <f>SUMIFS(Table2[Stat],Table2[Stat Category],"passing",Table2[Stat Type],"YDS",Table2[Athlete],Table1[[#This Row],[Pick]],Table2[Week],Table1[[#This Row],[Week]])</f>
        <v>0</v>
      </c>
      <c r="H515" s="59">
        <f>SUMIFS(Table2[Stat],Table2[Stat Category],"rushing",Table2[Stat Type],"YDS",Table2[Athlete],Table1[[#This Row],[Pick]],Table2[Week],Table1[[#This Row],[Week]])</f>
        <v>0</v>
      </c>
      <c r="I515" s="59">
        <f>SUMIFS(Table2[Stat],Table2[Stat Category],"receiving",Table2[Stat Type],"YDS",Table2[Athlete],Table1[[#This Row],[Pick]],Table2[Week],Table1[[#This Row],[Week]])</f>
        <v>0</v>
      </c>
      <c r="J515" s="6">
        <f>IF(AND($C515="Rushing", $H515&lt;=0), 0, IF(AND($C515="Passing", $G$3&lt;=0), 0,IF(AND($C515="Receiving",$I515&lt;=0), 0,SUMIFS(Table2[Stat],Table2[Week],Table1[[#This Row],[Week]],Table2[Athlete],Table1[[#This Row],[Pick]],Table2[Stat Category],"passing",Table2[Stat Type],"TD"))))</f>
        <v>0</v>
      </c>
      <c r="K515" s="6">
        <f>IF(AND($C515="Rushing", $H515&lt;=0), 0, IF(AND($C515="Passing", $G$3&lt;=0), 0,IF(AND($C515="Receiving",$I515&lt;=0),0,SUMIFS(Table2[Stat],Table2[Week],Table1[[#This Row],[Week]],Table2[Athlete],Table1[[#This Row],[Pick]],Table2[Stat Category],"rushing",Table2[Stat Type],"TD"))))</f>
        <v>0</v>
      </c>
      <c r="L515" s="6">
        <f>IF(AND($C515="Rushing", $H515&lt;=0), 0, IF(AND($C515="Passing", $G$3&lt;=0), 0,IF(AND($C515="Receiving",$I515&lt;=0),0,SUMIFS(Table2[Stat],Table2[Week],Table1[[#This Row],[Week]],Table2[Athlete],Table1[[#This Row],[Pick]],Table2[Stat Category],"receiving",Table2[Stat Type],"TD"))))</f>
        <v>0</v>
      </c>
      <c r="M5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5" s="61">
        <f>SUMIFS(Data!$J:$J,Data!$A:$A,Info!$B515,Data!$G:$G,Info!$C515,Data!$I:$I,Info!$D515,Data!$H:$H,"TOT")</f>
        <v>0</v>
      </c>
      <c r="O515" s="61">
        <f>IF(C515="Defensive",SUMIFS(Data!$J:$J,Data!$A:$A,Info!$B515,Data!$I:$I,Info!$D515,Data!$H:$H,"INT"),0)</f>
        <v>0</v>
      </c>
      <c r="P515" s="61">
        <f>IF(Table1[[#This Row],[Role]]="Defensive",SUMIFS(Data!$J:$J,Data!$A:$A,Info!$B515,Data!$I:$I,Info!$D515,Data!$H:$H,$P$1),0)</f>
        <v>0</v>
      </c>
      <c r="Q515" s="65" t="str">
        <f>IF(Table1[[#This Row],[Pick]]="","",IF(S515&gt;1,400,IF(G515="","",IF(C515="Passing",(400-Table1[[#This Row],[Passing Yards]]-(30*Table1[[#This Row],[Passing TDs]])-(50*SUM(Table1[[#This Row],[Rushing TDs]:[Other TD''s]]))),IF(C515="Rushing",2*(200-Table1[[#This Row],[Rushing Yards]]-(30*Table1[[#This Row],[Passing TDs]])-50*(Table1[[#This Row],[Rushing TDs]]+Table1[[#This Row],[Receiving TDs]]+Table1[[#This Row],[Other TD''s]])),IF(C515="Receiving",2*(200-Table1[[#This Row],[Receiving Yards]]-(30*Table1[[#This Row],[Passing TDs]])-50*(Table1[[#This Row],[Rushing TDs]]+Table1[[#This Row],[Receiving TDs]]+Table1[[#This Row],[Other TD''s]])),IF(C515="Defensive",(25*(16-Table1[[#This Row],[Tackles]]-(8*(Table1[[#This Row],[Other TD''s]]+Table1[[#This Row],[Interceptions]]+Table1[[#This Row],[Fumbles Recovered]])))))))))))</f>
        <v/>
      </c>
      <c r="R515" s="3" t="str">
        <f t="shared" si="16"/>
        <v/>
      </c>
      <c r="S515" s="4">
        <f t="shared" ref="S515:S578" si="17">COUNTIF(R:R,R515)</f>
        <v>1048507</v>
      </c>
      <c r="T5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6" spans="1:20" hidden="1" x14ac:dyDescent="0.25">
      <c r="A516" t="s">
        <v>68</v>
      </c>
      <c r="B516" s="28" t="s">
        <v>51</v>
      </c>
      <c r="C516" t="s">
        <v>6</v>
      </c>
      <c r="D516" t="str">
        <f>_xlfn.XLOOKUP(Table1[[#This Row],[Player]]&amp;Table1[[#This Row],[Week]]&amp;Table1[[#This Row],[Role]],'Google Form Transform'!$A:$A,'Google Form Transform'!E:E,"")</f>
        <v/>
      </c>
      <c r="E516" t="str">
        <f>_xlfn.XLOOKUP(Table1[[#This Row],[Player]]&amp;Table1[[#This Row],[Week]]&amp;Table1[[#This Row],[Role]],'Google Form Transform'!$A:$A,'Google Form Transform'!F:F,"")</f>
        <v/>
      </c>
      <c r="F516" t="str">
        <f>_xlfn.XLOOKUP(Table1[[#This Row],[Player]]&amp;Table1[[#This Row],[Week]]&amp;Table1[[#This Row],[Role]],'Google Form Transform'!$A:$A,'Google Form Transform'!G:G,"")</f>
        <v/>
      </c>
      <c r="G516" s="59">
        <f>SUMIFS(Table2[Stat],Table2[Stat Category],"passing",Table2[Stat Type],"YDS",Table2[Athlete],Table1[[#This Row],[Pick]],Table2[Week],Table1[[#This Row],[Week]])</f>
        <v>0</v>
      </c>
      <c r="H516" s="59">
        <f>SUMIFS(Table2[Stat],Table2[Stat Category],"rushing",Table2[Stat Type],"YDS",Table2[Athlete],Table1[[#This Row],[Pick]],Table2[Week],Table1[[#This Row],[Week]])</f>
        <v>0</v>
      </c>
      <c r="I516" s="59">
        <f>SUMIFS(Table2[Stat],Table2[Stat Category],"receiving",Table2[Stat Type],"YDS",Table2[Athlete],Table1[[#This Row],[Pick]],Table2[Week],Table1[[#This Row],[Week]])</f>
        <v>0</v>
      </c>
      <c r="J516" s="6">
        <f>IF(AND($C516="Rushing", $H516&lt;=0), 0, IF(AND($C516="Passing", $G$3&lt;=0), 0,IF(AND($C516="Receiving",$I516&lt;=0), 0,SUMIFS(Table2[Stat],Table2[Week],Table1[[#This Row],[Week]],Table2[Athlete],Table1[[#This Row],[Pick]],Table2[Stat Category],"passing",Table2[Stat Type],"TD"))))</f>
        <v>0</v>
      </c>
      <c r="K516" s="6">
        <f>IF(AND($C516="Rushing", $H516&lt;=0), 0, IF(AND($C516="Passing", $G$3&lt;=0), 0,IF(AND($C516="Receiving",$I516&lt;=0),0,SUMIFS(Table2[Stat],Table2[Week],Table1[[#This Row],[Week]],Table2[Athlete],Table1[[#This Row],[Pick]],Table2[Stat Category],"rushing",Table2[Stat Type],"TD"))))</f>
        <v>0</v>
      </c>
      <c r="L516" s="6">
        <f>IF(AND($C516="Rushing", $H516&lt;=0), 0, IF(AND($C516="Passing", $G$3&lt;=0), 0,IF(AND($C516="Receiving",$I516&lt;=0),0,SUMIFS(Table2[Stat],Table2[Week],Table1[[#This Row],[Week]],Table2[Athlete],Table1[[#This Row],[Pick]],Table2[Stat Category],"receiving",Table2[Stat Type],"TD"))))</f>
        <v>0</v>
      </c>
      <c r="M5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6" s="61">
        <f>SUMIFS(Data!$J:$J,Data!$A:$A,Info!$B516,Data!$G:$G,Info!$C516,Data!$I:$I,Info!$D516,Data!$H:$H,"TOT")</f>
        <v>0</v>
      </c>
      <c r="O516" s="61">
        <f>IF(C516="Defensive",SUMIFS(Data!$J:$J,Data!$A:$A,Info!$B516,Data!$I:$I,Info!$D516,Data!$H:$H,"INT"),0)</f>
        <v>0</v>
      </c>
      <c r="P516" s="61">
        <f>IF(Table1[[#This Row],[Role]]="Defensive",SUMIFS(Data!$J:$J,Data!$A:$A,Info!$B516,Data!$I:$I,Info!$D516,Data!$H:$H,$P$1),0)</f>
        <v>0</v>
      </c>
      <c r="Q516" s="65" t="str">
        <f>IF(Table1[[#This Row],[Pick]]="","",IF(S516&gt;1,400,IF(G516="","",IF(C516="Passing",(400-Table1[[#This Row],[Passing Yards]]-(30*Table1[[#This Row],[Passing TDs]])-(50*SUM(Table1[[#This Row],[Rushing TDs]:[Other TD''s]]))),IF(C516="Rushing",2*(200-Table1[[#This Row],[Rushing Yards]]-(30*Table1[[#This Row],[Passing TDs]])-50*(Table1[[#This Row],[Rushing TDs]]+Table1[[#This Row],[Receiving TDs]]+Table1[[#This Row],[Other TD''s]])),IF(C516="Receiving",2*(200-Table1[[#This Row],[Receiving Yards]]-(30*Table1[[#This Row],[Passing TDs]])-50*(Table1[[#This Row],[Rushing TDs]]+Table1[[#This Row],[Receiving TDs]]+Table1[[#This Row],[Other TD''s]])),IF(C516="Defensive",(25*(16-Table1[[#This Row],[Tackles]]-(8*(Table1[[#This Row],[Other TD''s]]+Table1[[#This Row],[Interceptions]]+Table1[[#This Row],[Fumbles Recovered]])))))))))))</f>
        <v/>
      </c>
      <c r="R516" s="3" t="str">
        <f t="shared" ref="R516:R579" si="18">IF(D516="","",A516&amp;C516&amp;D516)</f>
        <v/>
      </c>
      <c r="S516" s="4">
        <f t="shared" si="17"/>
        <v>1048507</v>
      </c>
      <c r="T5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7" spans="1:20" hidden="1" x14ac:dyDescent="0.25">
      <c r="A517" t="s">
        <v>68</v>
      </c>
      <c r="B517" s="28" t="s">
        <v>51</v>
      </c>
      <c r="C517" t="s">
        <v>17</v>
      </c>
      <c r="D517" t="str">
        <f>_xlfn.XLOOKUP(Table1[[#This Row],[Player]]&amp;Table1[[#This Row],[Week]]&amp;Table1[[#This Row],[Role]],'Google Form Transform'!$A:$A,'Google Form Transform'!E:E,"")</f>
        <v/>
      </c>
      <c r="E517" t="str">
        <f>_xlfn.XLOOKUP(Table1[[#This Row],[Player]]&amp;Table1[[#This Row],[Week]]&amp;Table1[[#This Row],[Role]],'Google Form Transform'!$A:$A,'Google Form Transform'!F:F,"")</f>
        <v/>
      </c>
      <c r="F517" t="str">
        <f>_xlfn.XLOOKUP(Table1[[#This Row],[Player]]&amp;Table1[[#This Row],[Week]]&amp;Table1[[#This Row],[Role]],'Google Form Transform'!$A:$A,'Google Form Transform'!G:G,"")</f>
        <v/>
      </c>
      <c r="G517" s="59">
        <f>SUMIFS(Table2[Stat],Table2[Stat Category],"passing",Table2[Stat Type],"YDS",Table2[Athlete],Table1[[#This Row],[Pick]],Table2[Week],Table1[[#This Row],[Week]])</f>
        <v>0</v>
      </c>
      <c r="H517" s="59">
        <f>SUMIFS(Table2[Stat],Table2[Stat Category],"rushing",Table2[Stat Type],"YDS",Table2[Athlete],Table1[[#This Row],[Pick]],Table2[Week],Table1[[#This Row],[Week]])</f>
        <v>0</v>
      </c>
      <c r="I517" s="59">
        <f>SUMIFS(Table2[Stat],Table2[Stat Category],"receiving",Table2[Stat Type],"YDS",Table2[Athlete],Table1[[#This Row],[Pick]],Table2[Week],Table1[[#This Row],[Week]])</f>
        <v>0</v>
      </c>
      <c r="J517" s="6">
        <f>IF(AND($C517="Rushing", $H517&lt;=0), 0, IF(AND($C517="Passing", $G$3&lt;=0), 0,IF(AND($C517="Receiving",$I517&lt;=0), 0,SUMIFS(Table2[Stat],Table2[Week],Table1[[#This Row],[Week]],Table2[Athlete],Table1[[#This Row],[Pick]],Table2[Stat Category],"passing",Table2[Stat Type],"TD"))))</f>
        <v>0</v>
      </c>
      <c r="K517" s="6">
        <f>IF(AND($C517="Rushing", $H517&lt;=0), 0, IF(AND($C517="Passing", $G$3&lt;=0), 0,IF(AND($C517="Receiving",$I517&lt;=0),0,SUMIFS(Table2[Stat],Table2[Week],Table1[[#This Row],[Week]],Table2[Athlete],Table1[[#This Row],[Pick]],Table2[Stat Category],"rushing",Table2[Stat Type],"TD"))))</f>
        <v>0</v>
      </c>
      <c r="L517" s="6">
        <f>IF(AND($C517="Rushing", $H517&lt;=0), 0, IF(AND($C517="Passing", $G$3&lt;=0), 0,IF(AND($C517="Receiving",$I517&lt;=0),0,SUMIFS(Table2[Stat],Table2[Week],Table1[[#This Row],[Week]],Table2[Athlete],Table1[[#This Row],[Pick]],Table2[Stat Category],"receiving",Table2[Stat Type],"TD"))))</f>
        <v>0</v>
      </c>
      <c r="M5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7" s="61">
        <f>SUMIFS(Data!$J:$J,Data!$A:$A,Info!$B517,Data!$G:$G,Info!$C517,Data!$I:$I,Info!$D517,Data!$H:$H,"TOT")</f>
        <v>0</v>
      </c>
      <c r="O517" s="61">
        <f>IF(C517="Defensive",SUMIFS(Data!$J:$J,Data!$A:$A,Info!$B517,Data!$I:$I,Info!$D517,Data!$H:$H,"INT"),0)</f>
        <v>0</v>
      </c>
      <c r="P517" s="61">
        <f>IF(Table1[[#This Row],[Role]]="Defensive",SUMIFS(Data!$J:$J,Data!$A:$A,Info!$B517,Data!$I:$I,Info!$D517,Data!$H:$H,$P$1),0)</f>
        <v>0</v>
      </c>
      <c r="Q517" s="65" t="str">
        <f>IF(Table1[[#This Row],[Pick]]="","",IF(S517&gt;1,400,IF(G517="","",IF(C517="Passing",(400-Table1[[#This Row],[Passing Yards]]-(30*Table1[[#This Row],[Passing TDs]])-(50*SUM(Table1[[#This Row],[Rushing TDs]:[Other TD''s]]))),IF(C517="Rushing",2*(200-Table1[[#This Row],[Rushing Yards]]-(30*Table1[[#This Row],[Passing TDs]])-50*(Table1[[#This Row],[Rushing TDs]]+Table1[[#This Row],[Receiving TDs]]+Table1[[#This Row],[Other TD''s]])),IF(C517="Receiving",2*(200-Table1[[#This Row],[Receiving Yards]]-(30*Table1[[#This Row],[Passing TDs]])-50*(Table1[[#This Row],[Rushing TDs]]+Table1[[#This Row],[Receiving TDs]]+Table1[[#This Row],[Other TD''s]])),IF(C517="Defensive",(25*(16-Table1[[#This Row],[Tackles]]-(8*(Table1[[#This Row],[Other TD''s]]+Table1[[#This Row],[Interceptions]]+Table1[[#This Row],[Fumbles Recovered]])))))))))))</f>
        <v/>
      </c>
      <c r="R517" s="3" t="str">
        <f t="shared" si="18"/>
        <v/>
      </c>
      <c r="S517" s="4">
        <f t="shared" si="17"/>
        <v>1048507</v>
      </c>
      <c r="T5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8" spans="1:20" hidden="1" x14ac:dyDescent="0.25">
      <c r="A518" t="s">
        <v>68</v>
      </c>
      <c r="B518" s="28" t="s">
        <v>51</v>
      </c>
      <c r="C518" t="s">
        <v>20</v>
      </c>
      <c r="D518" t="str">
        <f>_xlfn.XLOOKUP(Table1[[#This Row],[Player]]&amp;Table1[[#This Row],[Week]]&amp;Table1[[#This Row],[Role]],'Google Form Transform'!$A:$A,'Google Form Transform'!E:E,"")</f>
        <v/>
      </c>
      <c r="E518" t="str">
        <f>_xlfn.XLOOKUP(Table1[[#This Row],[Player]]&amp;Table1[[#This Row],[Week]]&amp;Table1[[#This Row],[Role]],'Google Form Transform'!$A:$A,'Google Form Transform'!F:F,"")</f>
        <v/>
      </c>
      <c r="F518" t="str">
        <f>_xlfn.XLOOKUP(Table1[[#This Row],[Player]]&amp;Table1[[#This Row],[Week]]&amp;Table1[[#This Row],[Role]],'Google Form Transform'!$A:$A,'Google Form Transform'!G:G,"")</f>
        <v/>
      </c>
      <c r="G518" s="59">
        <f>SUMIFS(Table2[Stat],Table2[Stat Category],"passing",Table2[Stat Type],"YDS",Table2[Athlete],Table1[[#This Row],[Pick]],Table2[Week],Table1[[#This Row],[Week]])</f>
        <v>0</v>
      </c>
      <c r="H518" s="59">
        <f>SUMIFS(Table2[Stat],Table2[Stat Category],"rushing",Table2[Stat Type],"YDS",Table2[Athlete],Table1[[#This Row],[Pick]],Table2[Week],Table1[[#This Row],[Week]])</f>
        <v>0</v>
      </c>
      <c r="I518" s="59">
        <f>SUMIFS(Table2[Stat],Table2[Stat Category],"receiving",Table2[Stat Type],"YDS",Table2[Athlete],Table1[[#This Row],[Pick]],Table2[Week],Table1[[#This Row],[Week]])</f>
        <v>0</v>
      </c>
      <c r="J518" s="6">
        <f>IF(AND($C518="Rushing", $H518&lt;=0), 0, IF(AND($C518="Passing", $G$3&lt;=0), 0,IF(AND($C518="Receiving",$I518&lt;=0), 0,SUMIFS(Table2[Stat],Table2[Week],Table1[[#This Row],[Week]],Table2[Athlete],Table1[[#This Row],[Pick]],Table2[Stat Category],"passing",Table2[Stat Type],"TD"))))</f>
        <v>0</v>
      </c>
      <c r="K518" s="6">
        <f>IF(AND($C518="Rushing", $H518&lt;=0), 0, IF(AND($C518="Passing", $G$3&lt;=0), 0,IF(AND($C518="Receiving",$I518&lt;=0),0,SUMIFS(Table2[Stat],Table2[Week],Table1[[#This Row],[Week]],Table2[Athlete],Table1[[#This Row],[Pick]],Table2[Stat Category],"rushing",Table2[Stat Type],"TD"))))</f>
        <v>0</v>
      </c>
      <c r="L518" s="6">
        <f>IF(AND($C518="Rushing", $H518&lt;=0), 0, IF(AND($C518="Passing", $G$3&lt;=0), 0,IF(AND($C518="Receiving",$I518&lt;=0),0,SUMIFS(Table2[Stat],Table2[Week],Table1[[#This Row],[Week]],Table2[Athlete],Table1[[#This Row],[Pick]],Table2[Stat Category],"receiving",Table2[Stat Type],"TD"))))</f>
        <v>0</v>
      </c>
      <c r="M5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8" s="61">
        <f>SUMIFS(Data!$J:$J,Data!$A:$A,Info!$B518,Data!$G:$G,Info!$C518,Data!$I:$I,Info!$D518,Data!$H:$H,"TOT")</f>
        <v>0</v>
      </c>
      <c r="O518" s="61">
        <f>IF(C518="Defensive",SUMIFS(Data!$J:$J,Data!$A:$A,Info!$B518,Data!$I:$I,Info!$D518,Data!$H:$H,"INT"),0)</f>
        <v>0</v>
      </c>
      <c r="P518" s="61">
        <f>IF(Table1[[#This Row],[Role]]="Defensive",SUMIFS(Data!$J:$J,Data!$A:$A,Info!$B518,Data!$I:$I,Info!$D518,Data!$H:$H,$P$1),0)</f>
        <v>0</v>
      </c>
      <c r="Q518" s="65" t="str">
        <f>IF(Table1[[#This Row],[Pick]]="","",IF(S518&gt;1,400,IF(G518="","",IF(C518="Passing",(400-Table1[[#This Row],[Passing Yards]]-(30*Table1[[#This Row],[Passing TDs]])-(50*SUM(Table1[[#This Row],[Rushing TDs]:[Other TD''s]]))),IF(C518="Rushing",2*(200-Table1[[#This Row],[Rushing Yards]]-(30*Table1[[#This Row],[Passing TDs]])-50*(Table1[[#This Row],[Rushing TDs]]+Table1[[#This Row],[Receiving TDs]]+Table1[[#This Row],[Other TD''s]])),IF(C518="Receiving",2*(200-Table1[[#This Row],[Receiving Yards]]-(30*Table1[[#This Row],[Passing TDs]])-50*(Table1[[#This Row],[Rushing TDs]]+Table1[[#This Row],[Receiving TDs]]+Table1[[#This Row],[Other TD''s]])),IF(C518="Defensive",(25*(16-Table1[[#This Row],[Tackles]]-(8*(Table1[[#This Row],[Other TD''s]]+Table1[[#This Row],[Interceptions]]+Table1[[#This Row],[Fumbles Recovered]])))))))))))</f>
        <v/>
      </c>
      <c r="R518" s="3" t="str">
        <f t="shared" si="18"/>
        <v/>
      </c>
      <c r="S518" s="4">
        <f t="shared" si="17"/>
        <v>1048507</v>
      </c>
      <c r="T5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9" spans="1:20" hidden="1" x14ac:dyDescent="0.25">
      <c r="A519" t="s">
        <v>5</v>
      </c>
      <c r="B519" s="28" t="s">
        <v>51</v>
      </c>
      <c r="C519" t="s">
        <v>16</v>
      </c>
      <c r="D519" t="str">
        <f>_xlfn.XLOOKUP(Table1[[#This Row],[Player]]&amp;Table1[[#This Row],[Week]]&amp;Table1[[#This Row],[Role]],'Google Form Transform'!$A:$A,'Google Form Transform'!E:E,"")</f>
        <v/>
      </c>
      <c r="E519" t="str">
        <f>_xlfn.XLOOKUP(Table1[[#This Row],[Player]]&amp;Table1[[#This Row],[Week]]&amp;Table1[[#This Row],[Role]],'Google Form Transform'!$A:$A,'Google Form Transform'!F:F,"")</f>
        <v/>
      </c>
      <c r="F519" t="str">
        <f>_xlfn.XLOOKUP(Table1[[#This Row],[Player]]&amp;Table1[[#This Row],[Week]]&amp;Table1[[#This Row],[Role]],'Google Form Transform'!$A:$A,'Google Form Transform'!G:G,"")</f>
        <v/>
      </c>
      <c r="G519" s="59">
        <f>SUMIFS(Table2[Stat],Table2[Stat Category],"passing",Table2[Stat Type],"YDS",Table2[Athlete],Table1[[#This Row],[Pick]],Table2[Week],Table1[[#This Row],[Week]])</f>
        <v>0</v>
      </c>
      <c r="H519" s="59">
        <f>SUMIFS(Table2[Stat],Table2[Stat Category],"rushing",Table2[Stat Type],"YDS",Table2[Athlete],Table1[[#This Row],[Pick]],Table2[Week],Table1[[#This Row],[Week]])</f>
        <v>0</v>
      </c>
      <c r="I519" s="59">
        <f>SUMIFS(Table2[Stat],Table2[Stat Category],"receiving",Table2[Stat Type],"YDS",Table2[Athlete],Table1[[#This Row],[Pick]],Table2[Week],Table1[[#This Row],[Week]])</f>
        <v>0</v>
      </c>
      <c r="J519" s="6">
        <f>IF(AND($C519="Rushing", $H519&lt;=0), 0, IF(AND($C519="Passing", $G$3&lt;=0), 0,IF(AND($C519="Receiving",$I519&lt;=0), 0,SUMIFS(Table2[Stat],Table2[Week],Table1[[#This Row],[Week]],Table2[Athlete],Table1[[#This Row],[Pick]],Table2[Stat Category],"passing",Table2[Stat Type],"TD"))))</f>
        <v>0</v>
      </c>
      <c r="K519" s="6">
        <f>IF(AND($C519="Rushing", $H519&lt;=0), 0, IF(AND($C519="Passing", $G$3&lt;=0), 0,IF(AND($C519="Receiving",$I519&lt;=0),0,SUMIFS(Table2[Stat],Table2[Week],Table1[[#This Row],[Week]],Table2[Athlete],Table1[[#This Row],[Pick]],Table2[Stat Category],"rushing",Table2[Stat Type],"TD"))))</f>
        <v>0</v>
      </c>
      <c r="L519" s="6">
        <f>IF(AND($C519="Rushing", $H519&lt;=0), 0, IF(AND($C519="Passing", $G$3&lt;=0), 0,IF(AND($C519="Receiving",$I519&lt;=0),0,SUMIFS(Table2[Stat],Table2[Week],Table1[[#This Row],[Week]],Table2[Athlete],Table1[[#This Row],[Pick]],Table2[Stat Category],"receiving",Table2[Stat Type],"TD"))))</f>
        <v>0</v>
      </c>
      <c r="M5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9" s="61">
        <f>SUMIFS(Data!$J:$J,Data!$A:$A,Info!$B519,Data!$G:$G,Info!$C519,Data!$I:$I,Info!$D519,Data!$H:$H,"TOT")</f>
        <v>0</v>
      </c>
      <c r="O519" s="61">
        <f>IF(C519="Defensive",SUMIFS(Data!$J:$J,Data!$A:$A,Info!$B519,Data!$I:$I,Info!$D519,Data!$H:$H,"INT"),0)</f>
        <v>0</v>
      </c>
      <c r="P519" s="61">
        <f>IF(Table1[[#This Row],[Role]]="Defensive",SUMIFS(Data!$J:$J,Data!$A:$A,Info!$B519,Data!$I:$I,Info!$D519,Data!$H:$H,$P$1),0)</f>
        <v>0</v>
      </c>
      <c r="Q519" s="65" t="str">
        <f>IF(Table1[[#This Row],[Pick]]="","",IF(S519&gt;1,400,IF(G519="","",IF(C519="Passing",(400-Table1[[#This Row],[Passing Yards]]-(30*Table1[[#This Row],[Passing TDs]])-(50*SUM(Table1[[#This Row],[Rushing TDs]:[Other TD''s]]))),IF(C519="Rushing",2*(200-Table1[[#This Row],[Rushing Yards]]-(30*Table1[[#This Row],[Passing TDs]])-50*(Table1[[#This Row],[Rushing TDs]]+Table1[[#This Row],[Receiving TDs]]+Table1[[#This Row],[Other TD''s]])),IF(C519="Receiving",2*(200-Table1[[#This Row],[Receiving Yards]]-(30*Table1[[#This Row],[Passing TDs]])-50*(Table1[[#This Row],[Rushing TDs]]+Table1[[#This Row],[Receiving TDs]]+Table1[[#This Row],[Other TD''s]])),IF(C519="Defensive",(25*(16-Table1[[#This Row],[Tackles]]-(8*(Table1[[#This Row],[Other TD''s]]+Table1[[#This Row],[Interceptions]]+Table1[[#This Row],[Fumbles Recovered]])))))))))))</f>
        <v/>
      </c>
      <c r="R519" s="3" t="str">
        <f t="shared" si="18"/>
        <v/>
      </c>
      <c r="S519" s="4">
        <f t="shared" si="17"/>
        <v>1048507</v>
      </c>
      <c r="T5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0" spans="1:20" hidden="1" x14ac:dyDescent="0.25">
      <c r="A520" t="s">
        <v>5</v>
      </c>
      <c r="B520" s="28" t="s">
        <v>51</v>
      </c>
      <c r="C520" t="s">
        <v>6</v>
      </c>
      <c r="D520" t="str">
        <f>_xlfn.XLOOKUP(Table1[[#This Row],[Player]]&amp;Table1[[#This Row],[Week]]&amp;Table1[[#This Row],[Role]],'Google Form Transform'!$A:$A,'Google Form Transform'!E:E,"")</f>
        <v/>
      </c>
      <c r="E520" t="str">
        <f>_xlfn.XLOOKUP(Table1[[#This Row],[Player]]&amp;Table1[[#This Row],[Week]]&amp;Table1[[#This Row],[Role]],'Google Form Transform'!$A:$A,'Google Form Transform'!F:F,"")</f>
        <v/>
      </c>
      <c r="F520" t="str">
        <f>_xlfn.XLOOKUP(Table1[[#This Row],[Player]]&amp;Table1[[#This Row],[Week]]&amp;Table1[[#This Row],[Role]],'Google Form Transform'!$A:$A,'Google Form Transform'!G:G,"")</f>
        <v/>
      </c>
      <c r="G520" s="59">
        <f>SUMIFS(Table2[Stat],Table2[Stat Category],"passing",Table2[Stat Type],"YDS",Table2[Athlete],Table1[[#This Row],[Pick]],Table2[Week],Table1[[#This Row],[Week]])</f>
        <v>0</v>
      </c>
      <c r="H520" s="59">
        <f>SUMIFS(Table2[Stat],Table2[Stat Category],"rushing",Table2[Stat Type],"YDS",Table2[Athlete],Table1[[#This Row],[Pick]],Table2[Week],Table1[[#This Row],[Week]])</f>
        <v>0</v>
      </c>
      <c r="I520" s="59">
        <f>SUMIFS(Table2[Stat],Table2[Stat Category],"receiving",Table2[Stat Type],"YDS",Table2[Athlete],Table1[[#This Row],[Pick]],Table2[Week],Table1[[#This Row],[Week]])</f>
        <v>0</v>
      </c>
      <c r="J520" s="6">
        <f>IF(AND($C520="Rushing", $H520&lt;=0), 0, IF(AND($C520="Passing", $G$3&lt;=0), 0,IF(AND($C520="Receiving",$I520&lt;=0), 0,SUMIFS(Table2[Stat],Table2[Week],Table1[[#This Row],[Week]],Table2[Athlete],Table1[[#This Row],[Pick]],Table2[Stat Category],"passing",Table2[Stat Type],"TD"))))</f>
        <v>0</v>
      </c>
      <c r="K520" s="6">
        <f>IF(AND($C520="Rushing", $H520&lt;=0), 0, IF(AND($C520="Passing", $G$3&lt;=0), 0,IF(AND($C520="Receiving",$I520&lt;=0),0,SUMIFS(Table2[Stat],Table2[Week],Table1[[#This Row],[Week]],Table2[Athlete],Table1[[#This Row],[Pick]],Table2[Stat Category],"rushing",Table2[Stat Type],"TD"))))</f>
        <v>0</v>
      </c>
      <c r="L520" s="6">
        <f>IF(AND($C520="Rushing", $H520&lt;=0), 0, IF(AND($C520="Passing", $G$3&lt;=0), 0,IF(AND($C520="Receiving",$I520&lt;=0),0,SUMIFS(Table2[Stat],Table2[Week],Table1[[#This Row],[Week]],Table2[Athlete],Table1[[#This Row],[Pick]],Table2[Stat Category],"receiving",Table2[Stat Type],"TD"))))</f>
        <v>0</v>
      </c>
      <c r="M5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0" s="61">
        <f>SUMIFS(Data!$J:$J,Data!$A:$A,Info!$B520,Data!$G:$G,Info!$C520,Data!$I:$I,Info!$D520,Data!$H:$H,"TOT")</f>
        <v>0</v>
      </c>
      <c r="O520" s="61">
        <f>IF(C520="Defensive",SUMIFS(Data!$J:$J,Data!$A:$A,Info!$B520,Data!$I:$I,Info!$D520,Data!$H:$H,"INT"),0)</f>
        <v>0</v>
      </c>
      <c r="P520" s="61">
        <f>IF(Table1[[#This Row],[Role]]="Defensive",SUMIFS(Data!$J:$J,Data!$A:$A,Info!$B520,Data!$I:$I,Info!$D520,Data!$H:$H,$P$1),0)</f>
        <v>0</v>
      </c>
      <c r="Q520" s="65" t="str">
        <f>IF(Table1[[#This Row],[Pick]]="","",IF(S520&gt;1,400,IF(G520="","",IF(C520="Passing",(400-Table1[[#This Row],[Passing Yards]]-(30*Table1[[#This Row],[Passing TDs]])-(50*SUM(Table1[[#This Row],[Rushing TDs]:[Other TD''s]]))),IF(C520="Rushing",2*(200-Table1[[#This Row],[Rushing Yards]]-(30*Table1[[#This Row],[Passing TDs]])-50*(Table1[[#This Row],[Rushing TDs]]+Table1[[#This Row],[Receiving TDs]]+Table1[[#This Row],[Other TD''s]])),IF(C520="Receiving",2*(200-Table1[[#This Row],[Receiving Yards]]-(30*Table1[[#This Row],[Passing TDs]])-50*(Table1[[#This Row],[Rushing TDs]]+Table1[[#This Row],[Receiving TDs]]+Table1[[#This Row],[Other TD''s]])),IF(C520="Defensive",(25*(16-Table1[[#This Row],[Tackles]]-(8*(Table1[[#This Row],[Other TD''s]]+Table1[[#This Row],[Interceptions]]+Table1[[#This Row],[Fumbles Recovered]])))))))))))</f>
        <v/>
      </c>
      <c r="R520" s="3" t="str">
        <f t="shared" si="18"/>
        <v/>
      </c>
      <c r="S520" s="4">
        <f t="shared" si="17"/>
        <v>1048507</v>
      </c>
      <c r="T5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1" spans="1:20" hidden="1" x14ac:dyDescent="0.25">
      <c r="A521" t="s">
        <v>5</v>
      </c>
      <c r="B521" s="28" t="s">
        <v>51</v>
      </c>
      <c r="C521" t="s">
        <v>17</v>
      </c>
      <c r="D521" t="str">
        <f>_xlfn.XLOOKUP(Table1[[#This Row],[Player]]&amp;Table1[[#This Row],[Week]]&amp;Table1[[#This Row],[Role]],'Google Form Transform'!$A:$A,'Google Form Transform'!E:E,"")</f>
        <v/>
      </c>
      <c r="E521" t="str">
        <f>_xlfn.XLOOKUP(Table1[[#This Row],[Player]]&amp;Table1[[#This Row],[Week]]&amp;Table1[[#This Row],[Role]],'Google Form Transform'!$A:$A,'Google Form Transform'!F:F,"")</f>
        <v/>
      </c>
      <c r="F521" t="str">
        <f>_xlfn.XLOOKUP(Table1[[#This Row],[Player]]&amp;Table1[[#This Row],[Week]]&amp;Table1[[#This Row],[Role]],'Google Form Transform'!$A:$A,'Google Form Transform'!G:G,"")</f>
        <v/>
      </c>
      <c r="G521" s="59">
        <f>SUMIFS(Table2[Stat],Table2[Stat Category],"passing",Table2[Stat Type],"YDS",Table2[Athlete],Table1[[#This Row],[Pick]],Table2[Week],Table1[[#This Row],[Week]])</f>
        <v>0</v>
      </c>
      <c r="H521" s="59">
        <f>SUMIFS(Table2[Stat],Table2[Stat Category],"rushing",Table2[Stat Type],"YDS",Table2[Athlete],Table1[[#This Row],[Pick]],Table2[Week],Table1[[#This Row],[Week]])</f>
        <v>0</v>
      </c>
      <c r="I521" s="59">
        <f>SUMIFS(Table2[Stat],Table2[Stat Category],"receiving",Table2[Stat Type],"YDS",Table2[Athlete],Table1[[#This Row],[Pick]],Table2[Week],Table1[[#This Row],[Week]])</f>
        <v>0</v>
      </c>
      <c r="J521" s="6">
        <f>IF(AND($C521="Rushing", $H521&lt;=0), 0, IF(AND($C521="Passing", $G$3&lt;=0), 0,IF(AND($C521="Receiving",$I521&lt;=0), 0,SUMIFS(Table2[Stat],Table2[Week],Table1[[#This Row],[Week]],Table2[Athlete],Table1[[#This Row],[Pick]],Table2[Stat Category],"passing",Table2[Stat Type],"TD"))))</f>
        <v>0</v>
      </c>
      <c r="K521" s="6">
        <f>IF(AND($C521="Rushing", $H521&lt;=0), 0, IF(AND($C521="Passing", $G$3&lt;=0), 0,IF(AND($C521="Receiving",$I521&lt;=0),0,SUMIFS(Table2[Stat],Table2[Week],Table1[[#This Row],[Week]],Table2[Athlete],Table1[[#This Row],[Pick]],Table2[Stat Category],"rushing",Table2[Stat Type],"TD"))))</f>
        <v>0</v>
      </c>
      <c r="L521" s="6">
        <f>IF(AND($C521="Rushing", $H521&lt;=0), 0, IF(AND($C521="Passing", $G$3&lt;=0), 0,IF(AND($C521="Receiving",$I521&lt;=0),0,SUMIFS(Table2[Stat],Table2[Week],Table1[[#This Row],[Week]],Table2[Athlete],Table1[[#This Row],[Pick]],Table2[Stat Category],"receiving",Table2[Stat Type],"TD"))))</f>
        <v>0</v>
      </c>
      <c r="M5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1" s="61">
        <f>SUMIFS(Data!$J:$J,Data!$A:$A,Info!$B521,Data!$G:$G,Info!$C521,Data!$I:$I,Info!$D521,Data!$H:$H,"TOT")</f>
        <v>0</v>
      </c>
      <c r="O521" s="61">
        <f>IF(C521="Defensive",SUMIFS(Data!$J:$J,Data!$A:$A,Info!$B521,Data!$I:$I,Info!$D521,Data!$H:$H,"INT"),0)</f>
        <v>0</v>
      </c>
      <c r="P521" s="61">
        <f>IF(Table1[[#This Row],[Role]]="Defensive",SUMIFS(Data!$J:$J,Data!$A:$A,Info!$B521,Data!$I:$I,Info!$D521,Data!$H:$H,$P$1),0)</f>
        <v>0</v>
      </c>
      <c r="Q521" s="65" t="str">
        <f>IF(Table1[[#This Row],[Pick]]="","",IF(S521&gt;1,400,IF(G521="","",IF(C521="Passing",(400-Table1[[#This Row],[Passing Yards]]-(30*Table1[[#This Row],[Passing TDs]])-(50*SUM(Table1[[#This Row],[Rushing TDs]:[Other TD''s]]))),IF(C521="Rushing",2*(200-Table1[[#This Row],[Rushing Yards]]-(30*Table1[[#This Row],[Passing TDs]])-50*(Table1[[#This Row],[Rushing TDs]]+Table1[[#This Row],[Receiving TDs]]+Table1[[#This Row],[Other TD''s]])),IF(C521="Receiving",2*(200-Table1[[#This Row],[Receiving Yards]]-(30*Table1[[#This Row],[Passing TDs]])-50*(Table1[[#This Row],[Rushing TDs]]+Table1[[#This Row],[Receiving TDs]]+Table1[[#This Row],[Other TD''s]])),IF(C521="Defensive",(25*(16-Table1[[#This Row],[Tackles]]-(8*(Table1[[#This Row],[Other TD''s]]+Table1[[#This Row],[Interceptions]]+Table1[[#This Row],[Fumbles Recovered]])))))))))))</f>
        <v/>
      </c>
      <c r="R521" s="3" t="str">
        <f t="shared" si="18"/>
        <v/>
      </c>
      <c r="S521" s="4">
        <f t="shared" si="17"/>
        <v>1048507</v>
      </c>
      <c r="T5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2" spans="1:20" hidden="1" x14ac:dyDescent="0.25">
      <c r="A522" t="s">
        <v>5</v>
      </c>
      <c r="B522" s="28" t="s">
        <v>51</v>
      </c>
      <c r="C522" t="s">
        <v>20</v>
      </c>
      <c r="D522" t="str">
        <f>_xlfn.XLOOKUP(Table1[[#This Row],[Player]]&amp;Table1[[#This Row],[Week]]&amp;Table1[[#This Row],[Role]],'Google Form Transform'!$A:$A,'Google Form Transform'!E:E,"")</f>
        <v/>
      </c>
      <c r="E522" t="str">
        <f>_xlfn.XLOOKUP(Table1[[#This Row],[Player]]&amp;Table1[[#This Row],[Week]]&amp;Table1[[#This Row],[Role]],'Google Form Transform'!$A:$A,'Google Form Transform'!F:F,"")</f>
        <v/>
      </c>
      <c r="F522" t="str">
        <f>_xlfn.XLOOKUP(Table1[[#This Row],[Player]]&amp;Table1[[#This Row],[Week]]&amp;Table1[[#This Row],[Role]],'Google Form Transform'!$A:$A,'Google Form Transform'!G:G,"")</f>
        <v/>
      </c>
      <c r="G522" s="59">
        <f>SUMIFS(Table2[Stat],Table2[Stat Category],"passing",Table2[Stat Type],"YDS",Table2[Athlete],Table1[[#This Row],[Pick]],Table2[Week],Table1[[#This Row],[Week]])</f>
        <v>0</v>
      </c>
      <c r="H522" s="59">
        <f>SUMIFS(Table2[Stat],Table2[Stat Category],"rushing",Table2[Stat Type],"YDS",Table2[Athlete],Table1[[#This Row],[Pick]],Table2[Week],Table1[[#This Row],[Week]])</f>
        <v>0</v>
      </c>
      <c r="I522" s="59">
        <f>SUMIFS(Table2[Stat],Table2[Stat Category],"receiving",Table2[Stat Type],"YDS",Table2[Athlete],Table1[[#This Row],[Pick]],Table2[Week],Table1[[#This Row],[Week]])</f>
        <v>0</v>
      </c>
      <c r="J522" s="6">
        <f>IF(AND($C522="Rushing", $H522&lt;=0), 0, IF(AND($C522="Passing", $G$3&lt;=0), 0,IF(AND($C522="Receiving",$I522&lt;=0), 0,SUMIFS(Table2[Stat],Table2[Week],Table1[[#This Row],[Week]],Table2[Athlete],Table1[[#This Row],[Pick]],Table2[Stat Category],"passing",Table2[Stat Type],"TD"))))</f>
        <v>0</v>
      </c>
      <c r="K522" s="6">
        <f>IF(AND($C522="Rushing", $H522&lt;=0), 0, IF(AND($C522="Passing", $G$3&lt;=0), 0,IF(AND($C522="Receiving",$I522&lt;=0),0,SUMIFS(Table2[Stat],Table2[Week],Table1[[#This Row],[Week]],Table2[Athlete],Table1[[#This Row],[Pick]],Table2[Stat Category],"rushing",Table2[Stat Type],"TD"))))</f>
        <v>0</v>
      </c>
      <c r="L522" s="6">
        <f>IF(AND($C522="Rushing", $H522&lt;=0), 0, IF(AND($C522="Passing", $G$3&lt;=0), 0,IF(AND($C522="Receiving",$I522&lt;=0),0,SUMIFS(Table2[Stat],Table2[Week],Table1[[#This Row],[Week]],Table2[Athlete],Table1[[#This Row],[Pick]],Table2[Stat Category],"receiving",Table2[Stat Type],"TD"))))</f>
        <v>0</v>
      </c>
      <c r="M5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2" s="61">
        <f>SUMIFS(Data!$J:$J,Data!$A:$A,Info!$B522,Data!$G:$G,Info!$C522,Data!$I:$I,Info!$D522,Data!$H:$H,"TOT")</f>
        <v>0</v>
      </c>
      <c r="O522" s="61">
        <f>IF(C522="Defensive",SUMIFS(Data!$J:$J,Data!$A:$A,Info!$B522,Data!$I:$I,Info!$D522,Data!$H:$H,"INT"),0)</f>
        <v>0</v>
      </c>
      <c r="P522" s="61">
        <f>IF(Table1[[#This Row],[Role]]="Defensive",SUMIFS(Data!$J:$J,Data!$A:$A,Info!$B522,Data!$I:$I,Info!$D522,Data!$H:$H,$P$1),0)</f>
        <v>0</v>
      </c>
      <c r="Q522" s="65" t="str">
        <f>IF(Table1[[#This Row],[Pick]]="","",IF(S522&gt;1,400,IF(G522="","",IF(C522="Passing",(400-Table1[[#This Row],[Passing Yards]]-(30*Table1[[#This Row],[Passing TDs]])-(50*SUM(Table1[[#This Row],[Rushing TDs]:[Other TD''s]]))),IF(C522="Rushing",2*(200-Table1[[#This Row],[Rushing Yards]]-(30*Table1[[#This Row],[Passing TDs]])-50*(Table1[[#This Row],[Rushing TDs]]+Table1[[#This Row],[Receiving TDs]]+Table1[[#This Row],[Other TD''s]])),IF(C522="Receiving",2*(200-Table1[[#This Row],[Receiving Yards]]-(30*Table1[[#This Row],[Passing TDs]])-50*(Table1[[#This Row],[Rushing TDs]]+Table1[[#This Row],[Receiving TDs]]+Table1[[#This Row],[Other TD''s]])),IF(C522="Defensive",(25*(16-Table1[[#This Row],[Tackles]]-(8*(Table1[[#This Row],[Other TD''s]]+Table1[[#This Row],[Interceptions]]+Table1[[#This Row],[Fumbles Recovered]])))))))))))</f>
        <v/>
      </c>
      <c r="R522" s="3" t="str">
        <f t="shared" si="18"/>
        <v/>
      </c>
      <c r="S522" s="4">
        <f t="shared" si="17"/>
        <v>1048507</v>
      </c>
      <c r="T5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3" spans="1:20" hidden="1" x14ac:dyDescent="0.25">
      <c r="A523" t="s">
        <v>18</v>
      </c>
      <c r="B523" s="28" t="s">
        <v>51</v>
      </c>
      <c r="C523" t="s">
        <v>16</v>
      </c>
      <c r="D523" t="str">
        <f>_xlfn.XLOOKUP(Table1[[#This Row],[Player]]&amp;Table1[[#This Row],[Week]]&amp;Table1[[#This Row],[Role]],'Google Form Transform'!$A:$A,'Google Form Transform'!E:E,"")</f>
        <v/>
      </c>
      <c r="E523" t="str">
        <f>_xlfn.XLOOKUP(Table1[[#This Row],[Player]]&amp;Table1[[#This Row],[Week]]&amp;Table1[[#This Row],[Role]],'Google Form Transform'!$A:$A,'Google Form Transform'!F:F,"")</f>
        <v/>
      </c>
      <c r="F523" t="str">
        <f>_xlfn.XLOOKUP(Table1[[#This Row],[Player]]&amp;Table1[[#This Row],[Week]]&amp;Table1[[#This Row],[Role]],'Google Form Transform'!$A:$A,'Google Form Transform'!G:G,"")</f>
        <v/>
      </c>
      <c r="G523" s="59">
        <f>SUMIFS(Table2[Stat],Table2[Stat Category],"passing",Table2[Stat Type],"YDS",Table2[Athlete],Table1[[#This Row],[Pick]],Table2[Week],Table1[[#This Row],[Week]])</f>
        <v>0</v>
      </c>
      <c r="H523" s="59">
        <f>SUMIFS(Table2[Stat],Table2[Stat Category],"rushing",Table2[Stat Type],"YDS",Table2[Athlete],Table1[[#This Row],[Pick]],Table2[Week],Table1[[#This Row],[Week]])</f>
        <v>0</v>
      </c>
      <c r="I523" s="59">
        <f>SUMIFS(Table2[Stat],Table2[Stat Category],"receiving",Table2[Stat Type],"YDS",Table2[Athlete],Table1[[#This Row],[Pick]],Table2[Week],Table1[[#This Row],[Week]])</f>
        <v>0</v>
      </c>
      <c r="J523" s="6">
        <f>IF(AND($C523="Rushing", $H523&lt;=0), 0, IF(AND($C523="Passing", $G$3&lt;=0), 0,IF(AND($C523="Receiving",$I523&lt;=0), 0,SUMIFS(Table2[Stat],Table2[Week],Table1[[#This Row],[Week]],Table2[Athlete],Table1[[#This Row],[Pick]],Table2[Stat Category],"passing",Table2[Stat Type],"TD"))))</f>
        <v>0</v>
      </c>
      <c r="K523" s="6">
        <f>IF(AND($C523="Rushing", $H523&lt;=0), 0, IF(AND($C523="Passing", $G$3&lt;=0), 0,IF(AND($C523="Receiving",$I523&lt;=0),0,SUMIFS(Table2[Stat],Table2[Week],Table1[[#This Row],[Week]],Table2[Athlete],Table1[[#This Row],[Pick]],Table2[Stat Category],"rushing",Table2[Stat Type],"TD"))))</f>
        <v>0</v>
      </c>
      <c r="L523" s="6">
        <f>IF(AND($C523="Rushing", $H523&lt;=0), 0, IF(AND($C523="Passing", $G$3&lt;=0), 0,IF(AND($C523="Receiving",$I523&lt;=0),0,SUMIFS(Table2[Stat],Table2[Week],Table1[[#This Row],[Week]],Table2[Athlete],Table1[[#This Row],[Pick]],Table2[Stat Category],"receiving",Table2[Stat Type],"TD"))))</f>
        <v>0</v>
      </c>
      <c r="M5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3" s="61">
        <f>SUMIFS(Data!$J:$J,Data!$A:$A,Info!$B523,Data!$G:$G,Info!$C523,Data!$I:$I,Info!$D523,Data!$H:$H,"TOT")</f>
        <v>0</v>
      </c>
      <c r="O523" s="61">
        <f>IF(C523="Defensive",SUMIFS(Data!$J:$J,Data!$A:$A,Info!$B523,Data!$I:$I,Info!$D523,Data!$H:$H,"INT"),0)</f>
        <v>0</v>
      </c>
      <c r="P523" s="61">
        <f>IF(Table1[[#This Row],[Role]]="Defensive",SUMIFS(Data!$J:$J,Data!$A:$A,Info!$B523,Data!$I:$I,Info!$D523,Data!$H:$H,$P$1),0)</f>
        <v>0</v>
      </c>
      <c r="Q523" s="65" t="str">
        <f>IF(Table1[[#This Row],[Pick]]="","",IF(S523&gt;1,400,IF(G523="","",IF(C523="Passing",(400-Table1[[#This Row],[Passing Yards]]-(30*Table1[[#This Row],[Passing TDs]])-(50*SUM(Table1[[#This Row],[Rushing TDs]:[Other TD''s]]))),IF(C523="Rushing",2*(200-Table1[[#This Row],[Rushing Yards]]-(30*Table1[[#This Row],[Passing TDs]])-50*(Table1[[#This Row],[Rushing TDs]]+Table1[[#This Row],[Receiving TDs]]+Table1[[#This Row],[Other TD''s]])),IF(C523="Receiving",2*(200-Table1[[#This Row],[Receiving Yards]]-(30*Table1[[#This Row],[Passing TDs]])-50*(Table1[[#This Row],[Rushing TDs]]+Table1[[#This Row],[Receiving TDs]]+Table1[[#This Row],[Other TD''s]])),IF(C523="Defensive",(25*(16-Table1[[#This Row],[Tackles]]-(8*(Table1[[#This Row],[Other TD''s]]+Table1[[#This Row],[Interceptions]]+Table1[[#This Row],[Fumbles Recovered]])))))))))))</f>
        <v/>
      </c>
      <c r="R523" s="3" t="str">
        <f t="shared" si="18"/>
        <v/>
      </c>
      <c r="S523" s="4">
        <f t="shared" si="17"/>
        <v>1048507</v>
      </c>
      <c r="T5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4" spans="1:20" hidden="1" x14ac:dyDescent="0.25">
      <c r="A524" t="s">
        <v>18</v>
      </c>
      <c r="B524" s="28" t="s">
        <v>51</v>
      </c>
      <c r="C524" t="s">
        <v>6</v>
      </c>
      <c r="D524" t="str">
        <f>_xlfn.XLOOKUP(Table1[[#This Row],[Player]]&amp;Table1[[#This Row],[Week]]&amp;Table1[[#This Row],[Role]],'Google Form Transform'!$A:$A,'Google Form Transform'!E:E,"")</f>
        <v/>
      </c>
      <c r="E524" t="str">
        <f>_xlfn.XLOOKUP(Table1[[#This Row],[Player]]&amp;Table1[[#This Row],[Week]]&amp;Table1[[#This Row],[Role]],'Google Form Transform'!$A:$A,'Google Form Transform'!F:F,"")</f>
        <v/>
      </c>
      <c r="F524" t="str">
        <f>_xlfn.XLOOKUP(Table1[[#This Row],[Player]]&amp;Table1[[#This Row],[Week]]&amp;Table1[[#This Row],[Role]],'Google Form Transform'!$A:$A,'Google Form Transform'!G:G,"")</f>
        <v/>
      </c>
      <c r="G524" s="59">
        <f>SUMIFS(Table2[Stat],Table2[Stat Category],"passing",Table2[Stat Type],"YDS",Table2[Athlete],Table1[[#This Row],[Pick]],Table2[Week],Table1[[#This Row],[Week]])</f>
        <v>0</v>
      </c>
      <c r="H524" s="59">
        <f>SUMIFS(Table2[Stat],Table2[Stat Category],"rushing",Table2[Stat Type],"YDS",Table2[Athlete],Table1[[#This Row],[Pick]],Table2[Week],Table1[[#This Row],[Week]])</f>
        <v>0</v>
      </c>
      <c r="I524" s="59">
        <f>SUMIFS(Table2[Stat],Table2[Stat Category],"receiving",Table2[Stat Type],"YDS",Table2[Athlete],Table1[[#This Row],[Pick]],Table2[Week],Table1[[#This Row],[Week]])</f>
        <v>0</v>
      </c>
      <c r="J524" s="6">
        <f>IF(AND($C524="Rushing", $H524&lt;=0), 0, IF(AND($C524="Passing", $G$3&lt;=0), 0,IF(AND($C524="Receiving",$I524&lt;=0), 0,SUMIFS(Table2[Stat],Table2[Week],Table1[[#This Row],[Week]],Table2[Athlete],Table1[[#This Row],[Pick]],Table2[Stat Category],"passing",Table2[Stat Type],"TD"))))</f>
        <v>0</v>
      </c>
      <c r="K524" s="6">
        <f>IF(AND($C524="Rushing", $H524&lt;=0), 0, IF(AND($C524="Passing", $G$3&lt;=0), 0,IF(AND($C524="Receiving",$I524&lt;=0),0,SUMIFS(Table2[Stat],Table2[Week],Table1[[#This Row],[Week]],Table2[Athlete],Table1[[#This Row],[Pick]],Table2[Stat Category],"rushing",Table2[Stat Type],"TD"))))</f>
        <v>0</v>
      </c>
      <c r="L524" s="6">
        <f>IF(AND($C524="Rushing", $H524&lt;=0), 0, IF(AND($C524="Passing", $G$3&lt;=0), 0,IF(AND($C524="Receiving",$I524&lt;=0),0,SUMIFS(Table2[Stat],Table2[Week],Table1[[#This Row],[Week]],Table2[Athlete],Table1[[#This Row],[Pick]],Table2[Stat Category],"receiving",Table2[Stat Type],"TD"))))</f>
        <v>0</v>
      </c>
      <c r="M5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4" s="61">
        <f>SUMIFS(Data!$J:$J,Data!$A:$A,Info!$B524,Data!$G:$G,Info!$C524,Data!$I:$I,Info!$D524,Data!$H:$H,"TOT")</f>
        <v>0</v>
      </c>
      <c r="O524" s="61">
        <f>IF(C524="Defensive",SUMIFS(Data!$J:$J,Data!$A:$A,Info!$B524,Data!$I:$I,Info!$D524,Data!$H:$H,"INT"),0)</f>
        <v>0</v>
      </c>
      <c r="P524" s="61">
        <f>IF(Table1[[#This Row],[Role]]="Defensive",SUMIFS(Data!$J:$J,Data!$A:$A,Info!$B524,Data!$I:$I,Info!$D524,Data!$H:$H,$P$1),0)</f>
        <v>0</v>
      </c>
      <c r="Q524" s="65" t="str">
        <f>IF(Table1[[#This Row],[Pick]]="","",IF(S524&gt;1,400,IF(G524="","",IF(C524="Passing",(400-Table1[[#This Row],[Passing Yards]]-(30*Table1[[#This Row],[Passing TDs]])-(50*SUM(Table1[[#This Row],[Rushing TDs]:[Other TD''s]]))),IF(C524="Rushing",2*(200-Table1[[#This Row],[Rushing Yards]]-(30*Table1[[#This Row],[Passing TDs]])-50*(Table1[[#This Row],[Rushing TDs]]+Table1[[#This Row],[Receiving TDs]]+Table1[[#This Row],[Other TD''s]])),IF(C524="Receiving",2*(200-Table1[[#This Row],[Receiving Yards]]-(30*Table1[[#This Row],[Passing TDs]])-50*(Table1[[#This Row],[Rushing TDs]]+Table1[[#This Row],[Receiving TDs]]+Table1[[#This Row],[Other TD''s]])),IF(C524="Defensive",(25*(16-Table1[[#This Row],[Tackles]]-(8*(Table1[[#This Row],[Other TD''s]]+Table1[[#This Row],[Interceptions]]+Table1[[#This Row],[Fumbles Recovered]])))))))))))</f>
        <v/>
      </c>
      <c r="R524" s="3" t="str">
        <f t="shared" si="18"/>
        <v/>
      </c>
      <c r="S524" s="4">
        <f t="shared" si="17"/>
        <v>1048507</v>
      </c>
      <c r="T5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5" spans="1:20" hidden="1" x14ac:dyDescent="0.25">
      <c r="A525" t="s">
        <v>18</v>
      </c>
      <c r="B525" s="28" t="s">
        <v>51</v>
      </c>
      <c r="C525" t="s">
        <v>17</v>
      </c>
      <c r="D525" t="str">
        <f>_xlfn.XLOOKUP(Table1[[#This Row],[Player]]&amp;Table1[[#This Row],[Week]]&amp;Table1[[#This Row],[Role]],'Google Form Transform'!$A:$A,'Google Form Transform'!E:E,"")</f>
        <v/>
      </c>
      <c r="E525" t="str">
        <f>_xlfn.XLOOKUP(Table1[[#This Row],[Player]]&amp;Table1[[#This Row],[Week]]&amp;Table1[[#This Row],[Role]],'Google Form Transform'!$A:$A,'Google Form Transform'!F:F,"")</f>
        <v/>
      </c>
      <c r="F525" t="str">
        <f>_xlfn.XLOOKUP(Table1[[#This Row],[Player]]&amp;Table1[[#This Row],[Week]]&amp;Table1[[#This Row],[Role]],'Google Form Transform'!$A:$A,'Google Form Transform'!G:G,"")</f>
        <v/>
      </c>
      <c r="G525" s="59">
        <f>SUMIFS(Table2[Stat],Table2[Stat Category],"passing",Table2[Stat Type],"YDS",Table2[Athlete],Table1[[#This Row],[Pick]],Table2[Week],Table1[[#This Row],[Week]])</f>
        <v>0</v>
      </c>
      <c r="H525" s="59">
        <f>SUMIFS(Table2[Stat],Table2[Stat Category],"rushing",Table2[Stat Type],"YDS",Table2[Athlete],Table1[[#This Row],[Pick]],Table2[Week],Table1[[#This Row],[Week]])</f>
        <v>0</v>
      </c>
      <c r="I525" s="59">
        <f>SUMIFS(Table2[Stat],Table2[Stat Category],"receiving",Table2[Stat Type],"YDS",Table2[Athlete],Table1[[#This Row],[Pick]],Table2[Week],Table1[[#This Row],[Week]])</f>
        <v>0</v>
      </c>
      <c r="J525" s="6">
        <f>IF(AND($C525="Rushing", $H525&lt;=0), 0, IF(AND($C525="Passing", $G$3&lt;=0), 0,IF(AND($C525="Receiving",$I525&lt;=0), 0,SUMIFS(Table2[Stat],Table2[Week],Table1[[#This Row],[Week]],Table2[Athlete],Table1[[#This Row],[Pick]],Table2[Stat Category],"passing",Table2[Stat Type],"TD"))))</f>
        <v>0</v>
      </c>
      <c r="K525" s="6">
        <f>IF(AND($C525="Rushing", $H525&lt;=0), 0, IF(AND($C525="Passing", $G$3&lt;=0), 0,IF(AND($C525="Receiving",$I525&lt;=0),0,SUMIFS(Table2[Stat],Table2[Week],Table1[[#This Row],[Week]],Table2[Athlete],Table1[[#This Row],[Pick]],Table2[Stat Category],"rushing",Table2[Stat Type],"TD"))))</f>
        <v>0</v>
      </c>
      <c r="L525" s="6">
        <f>IF(AND($C525="Rushing", $H525&lt;=0), 0, IF(AND($C525="Passing", $G$3&lt;=0), 0,IF(AND($C525="Receiving",$I525&lt;=0),0,SUMIFS(Table2[Stat],Table2[Week],Table1[[#This Row],[Week]],Table2[Athlete],Table1[[#This Row],[Pick]],Table2[Stat Category],"receiving",Table2[Stat Type],"TD"))))</f>
        <v>0</v>
      </c>
      <c r="M5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5" s="61">
        <f>SUMIFS(Data!$J:$J,Data!$A:$A,Info!$B525,Data!$G:$G,Info!$C525,Data!$I:$I,Info!$D525,Data!$H:$H,"TOT")</f>
        <v>0</v>
      </c>
      <c r="O525" s="61">
        <f>IF(C525="Defensive",SUMIFS(Data!$J:$J,Data!$A:$A,Info!$B525,Data!$I:$I,Info!$D525,Data!$H:$H,"INT"),0)</f>
        <v>0</v>
      </c>
      <c r="P525" s="61">
        <f>IF(Table1[[#This Row],[Role]]="Defensive",SUMIFS(Data!$J:$J,Data!$A:$A,Info!$B525,Data!$I:$I,Info!$D525,Data!$H:$H,$P$1),0)</f>
        <v>0</v>
      </c>
      <c r="Q525" s="65" t="str">
        <f>IF(Table1[[#This Row],[Pick]]="","",IF(S525&gt;1,400,IF(G525="","",IF(C525="Passing",(400-Table1[[#This Row],[Passing Yards]]-(30*Table1[[#This Row],[Passing TDs]])-(50*SUM(Table1[[#This Row],[Rushing TDs]:[Other TD''s]]))),IF(C525="Rushing",2*(200-Table1[[#This Row],[Rushing Yards]]-(30*Table1[[#This Row],[Passing TDs]])-50*(Table1[[#This Row],[Rushing TDs]]+Table1[[#This Row],[Receiving TDs]]+Table1[[#This Row],[Other TD''s]])),IF(C525="Receiving",2*(200-Table1[[#This Row],[Receiving Yards]]-(30*Table1[[#This Row],[Passing TDs]])-50*(Table1[[#This Row],[Rushing TDs]]+Table1[[#This Row],[Receiving TDs]]+Table1[[#This Row],[Other TD''s]])),IF(C525="Defensive",(25*(16-Table1[[#This Row],[Tackles]]-(8*(Table1[[#This Row],[Other TD''s]]+Table1[[#This Row],[Interceptions]]+Table1[[#This Row],[Fumbles Recovered]])))))))))))</f>
        <v/>
      </c>
      <c r="R525" s="3" t="str">
        <f t="shared" si="18"/>
        <v/>
      </c>
      <c r="S525" s="4">
        <f t="shared" si="17"/>
        <v>1048507</v>
      </c>
      <c r="T5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6" spans="1:20" hidden="1" x14ac:dyDescent="0.25">
      <c r="A526" t="s">
        <v>18</v>
      </c>
      <c r="B526" s="28" t="s">
        <v>51</v>
      </c>
      <c r="C526" t="s">
        <v>20</v>
      </c>
      <c r="D526" t="str">
        <f>_xlfn.XLOOKUP(Table1[[#This Row],[Player]]&amp;Table1[[#This Row],[Week]]&amp;Table1[[#This Row],[Role]],'Google Form Transform'!$A:$A,'Google Form Transform'!E:E,"")</f>
        <v/>
      </c>
      <c r="E526" t="str">
        <f>_xlfn.XLOOKUP(Table1[[#This Row],[Player]]&amp;Table1[[#This Row],[Week]]&amp;Table1[[#This Row],[Role]],'Google Form Transform'!$A:$A,'Google Form Transform'!F:F,"")</f>
        <v/>
      </c>
      <c r="F526" t="str">
        <f>_xlfn.XLOOKUP(Table1[[#This Row],[Player]]&amp;Table1[[#This Row],[Week]]&amp;Table1[[#This Row],[Role]],'Google Form Transform'!$A:$A,'Google Form Transform'!G:G,"")</f>
        <v/>
      </c>
      <c r="G526" s="59">
        <f>SUMIFS(Table2[Stat],Table2[Stat Category],"passing",Table2[Stat Type],"YDS",Table2[Athlete],Table1[[#This Row],[Pick]],Table2[Week],Table1[[#This Row],[Week]])</f>
        <v>0</v>
      </c>
      <c r="H526" s="59">
        <f>SUMIFS(Table2[Stat],Table2[Stat Category],"rushing",Table2[Stat Type],"YDS",Table2[Athlete],Table1[[#This Row],[Pick]],Table2[Week],Table1[[#This Row],[Week]])</f>
        <v>0</v>
      </c>
      <c r="I526" s="59">
        <f>SUMIFS(Table2[Stat],Table2[Stat Category],"receiving",Table2[Stat Type],"YDS",Table2[Athlete],Table1[[#This Row],[Pick]],Table2[Week],Table1[[#This Row],[Week]])</f>
        <v>0</v>
      </c>
      <c r="J526" s="6">
        <f>IF(AND($C526="Rushing", $H526&lt;=0), 0, IF(AND($C526="Passing", $G$3&lt;=0), 0,IF(AND($C526="Receiving",$I526&lt;=0), 0,SUMIFS(Table2[Stat],Table2[Week],Table1[[#This Row],[Week]],Table2[Athlete],Table1[[#This Row],[Pick]],Table2[Stat Category],"passing",Table2[Stat Type],"TD"))))</f>
        <v>0</v>
      </c>
      <c r="K526" s="6">
        <f>IF(AND($C526="Rushing", $H526&lt;=0), 0, IF(AND($C526="Passing", $G$3&lt;=0), 0,IF(AND($C526="Receiving",$I526&lt;=0),0,SUMIFS(Table2[Stat],Table2[Week],Table1[[#This Row],[Week]],Table2[Athlete],Table1[[#This Row],[Pick]],Table2[Stat Category],"rushing",Table2[Stat Type],"TD"))))</f>
        <v>0</v>
      </c>
      <c r="L526" s="6">
        <f>IF(AND($C526="Rushing", $H526&lt;=0), 0, IF(AND($C526="Passing", $G$3&lt;=0), 0,IF(AND($C526="Receiving",$I526&lt;=0),0,SUMIFS(Table2[Stat],Table2[Week],Table1[[#This Row],[Week]],Table2[Athlete],Table1[[#This Row],[Pick]],Table2[Stat Category],"receiving",Table2[Stat Type],"TD"))))</f>
        <v>0</v>
      </c>
      <c r="M5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6" s="61">
        <f>SUMIFS(Data!$J:$J,Data!$A:$A,Info!$B526,Data!$G:$G,Info!$C526,Data!$I:$I,Info!$D526,Data!$H:$H,"TOT")</f>
        <v>0</v>
      </c>
      <c r="O526" s="61">
        <f>IF(C526="Defensive",SUMIFS(Data!$J:$J,Data!$A:$A,Info!$B526,Data!$I:$I,Info!$D526,Data!$H:$H,"INT"),0)</f>
        <v>0</v>
      </c>
      <c r="P526" s="61">
        <f>IF(Table1[[#This Row],[Role]]="Defensive",SUMIFS(Data!$J:$J,Data!$A:$A,Info!$B526,Data!$I:$I,Info!$D526,Data!$H:$H,$P$1),0)</f>
        <v>0</v>
      </c>
      <c r="Q526" s="65" t="str">
        <f>IF(Table1[[#This Row],[Pick]]="","",IF(S526&gt;1,400,IF(G526="","",IF(C526="Passing",(400-Table1[[#This Row],[Passing Yards]]-(30*Table1[[#This Row],[Passing TDs]])-(50*SUM(Table1[[#This Row],[Rushing TDs]:[Other TD''s]]))),IF(C526="Rushing",2*(200-Table1[[#This Row],[Rushing Yards]]-(30*Table1[[#This Row],[Passing TDs]])-50*(Table1[[#This Row],[Rushing TDs]]+Table1[[#This Row],[Receiving TDs]]+Table1[[#This Row],[Other TD''s]])),IF(C526="Receiving",2*(200-Table1[[#This Row],[Receiving Yards]]-(30*Table1[[#This Row],[Passing TDs]])-50*(Table1[[#This Row],[Rushing TDs]]+Table1[[#This Row],[Receiving TDs]]+Table1[[#This Row],[Other TD''s]])),IF(C526="Defensive",(25*(16-Table1[[#This Row],[Tackles]]-(8*(Table1[[#This Row],[Other TD''s]]+Table1[[#This Row],[Interceptions]]+Table1[[#This Row],[Fumbles Recovered]])))))))))))</f>
        <v/>
      </c>
      <c r="R526" s="3" t="str">
        <f t="shared" si="18"/>
        <v/>
      </c>
      <c r="S526" s="4">
        <f t="shared" si="17"/>
        <v>1048507</v>
      </c>
      <c r="T5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7" spans="1:20" hidden="1" x14ac:dyDescent="0.25">
      <c r="A527" t="s">
        <v>19</v>
      </c>
      <c r="B527" s="28" t="s">
        <v>51</v>
      </c>
      <c r="C527" t="s">
        <v>16</v>
      </c>
      <c r="D527" t="str">
        <f>_xlfn.XLOOKUP(Table1[[#This Row],[Player]]&amp;Table1[[#This Row],[Week]]&amp;Table1[[#This Row],[Role]],'Google Form Transform'!$A:$A,'Google Form Transform'!E:E,"")</f>
        <v/>
      </c>
      <c r="E527" t="str">
        <f>_xlfn.XLOOKUP(Table1[[#This Row],[Player]]&amp;Table1[[#This Row],[Week]]&amp;Table1[[#This Row],[Role]],'Google Form Transform'!$A:$A,'Google Form Transform'!F:F,"")</f>
        <v/>
      </c>
      <c r="F527" t="str">
        <f>_xlfn.XLOOKUP(Table1[[#This Row],[Player]]&amp;Table1[[#This Row],[Week]]&amp;Table1[[#This Row],[Role]],'Google Form Transform'!$A:$A,'Google Form Transform'!G:G,"")</f>
        <v/>
      </c>
      <c r="G527" s="59">
        <f>SUMIFS(Table2[Stat],Table2[Stat Category],"passing",Table2[Stat Type],"YDS",Table2[Athlete],Table1[[#This Row],[Pick]],Table2[Week],Table1[[#This Row],[Week]])</f>
        <v>0</v>
      </c>
      <c r="H527" s="59">
        <f>SUMIFS(Table2[Stat],Table2[Stat Category],"rushing",Table2[Stat Type],"YDS",Table2[Athlete],Table1[[#This Row],[Pick]],Table2[Week],Table1[[#This Row],[Week]])</f>
        <v>0</v>
      </c>
      <c r="I527" s="59">
        <f>SUMIFS(Table2[Stat],Table2[Stat Category],"receiving",Table2[Stat Type],"YDS",Table2[Athlete],Table1[[#This Row],[Pick]],Table2[Week],Table1[[#This Row],[Week]])</f>
        <v>0</v>
      </c>
      <c r="J527" s="6">
        <f>IF(AND($C527="Rushing", $H527&lt;=0), 0, IF(AND($C527="Passing", $G$3&lt;=0), 0,IF(AND($C527="Receiving",$I527&lt;=0), 0,SUMIFS(Table2[Stat],Table2[Week],Table1[[#This Row],[Week]],Table2[Athlete],Table1[[#This Row],[Pick]],Table2[Stat Category],"passing",Table2[Stat Type],"TD"))))</f>
        <v>0</v>
      </c>
      <c r="K527" s="6">
        <f>IF(AND($C527="Rushing", $H527&lt;=0), 0, IF(AND($C527="Passing", $G$3&lt;=0), 0,IF(AND($C527="Receiving",$I527&lt;=0),0,SUMIFS(Table2[Stat],Table2[Week],Table1[[#This Row],[Week]],Table2[Athlete],Table1[[#This Row],[Pick]],Table2[Stat Category],"rushing",Table2[Stat Type],"TD"))))</f>
        <v>0</v>
      </c>
      <c r="L527" s="6">
        <f>IF(AND($C527="Rushing", $H527&lt;=0), 0, IF(AND($C527="Passing", $G$3&lt;=0), 0,IF(AND($C527="Receiving",$I527&lt;=0),0,SUMIFS(Table2[Stat],Table2[Week],Table1[[#This Row],[Week]],Table2[Athlete],Table1[[#This Row],[Pick]],Table2[Stat Category],"receiving",Table2[Stat Type],"TD"))))</f>
        <v>0</v>
      </c>
      <c r="M5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7" s="61">
        <f>SUMIFS(Data!$J:$J,Data!$A:$A,Info!$B527,Data!$G:$G,Info!$C527,Data!$I:$I,Info!$D527,Data!$H:$H,"TOT")</f>
        <v>0</v>
      </c>
      <c r="O527" s="61">
        <f>IF(C527="Defensive",SUMIFS(Data!$J:$J,Data!$A:$A,Info!$B527,Data!$I:$I,Info!$D527,Data!$H:$H,"INT"),0)</f>
        <v>0</v>
      </c>
      <c r="P527" s="61">
        <f>IF(Table1[[#This Row],[Role]]="Defensive",SUMIFS(Data!$J:$J,Data!$A:$A,Info!$B527,Data!$I:$I,Info!$D527,Data!$H:$H,$P$1),0)</f>
        <v>0</v>
      </c>
      <c r="Q527" s="65" t="str">
        <f>IF(Table1[[#This Row],[Pick]]="","",IF(S527&gt;1,400,IF(G527="","",IF(C527="Passing",(400-Table1[[#This Row],[Passing Yards]]-(30*Table1[[#This Row],[Passing TDs]])-(50*SUM(Table1[[#This Row],[Rushing TDs]:[Other TD''s]]))),IF(C527="Rushing",2*(200-Table1[[#This Row],[Rushing Yards]]-(30*Table1[[#This Row],[Passing TDs]])-50*(Table1[[#This Row],[Rushing TDs]]+Table1[[#This Row],[Receiving TDs]]+Table1[[#This Row],[Other TD''s]])),IF(C527="Receiving",2*(200-Table1[[#This Row],[Receiving Yards]]-(30*Table1[[#This Row],[Passing TDs]])-50*(Table1[[#This Row],[Rushing TDs]]+Table1[[#This Row],[Receiving TDs]]+Table1[[#This Row],[Other TD''s]])),IF(C527="Defensive",(25*(16-Table1[[#This Row],[Tackles]]-(8*(Table1[[#This Row],[Other TD''s]]+Table1[[#This Row],[Interceptions]]+Table1[[#This Row],[Fumbles Recovered]])))))))))))</f>
        <v/>
      </c>
      <c r="R527" s="3" t="str">
        <f t="shared" si="18"/>
        <v/>
      </c>
      <c r="S527" s="4">
        <f t="shared" si="17"/>
        <v>1048507</v>
      </c>
      <c r="T5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8" spans="1:20" hidden="1" x14ac:dyDescent="0.25">
      <c r="A528" t="s">
        <v>19</v>
      </c>
      <c r="B528" s="28" t="s">
        <v>51</v>
      </c>
      <c r="C528" t="s">
        <v>6</v>
      </c>
      <c r="D528" t="str">
        <f>_xlfn.XLOOKUP(Table1[[#This Row],[Player]]&amp;Table1[[#This Row],[Week]]&amp;Table1[[#This Row],[Role]],'Google Form Transform'!$A:$A,'Google Form Transform'!E:E,"")</f>
        <v/>
      </c>
      <c r="E528" t="str">
        <f>_xlfn.XLOOKUP(Table1[[#This Row],[Player]]&amp;Table1[[#This Row],[Week]]&amp;Table1[[#This Row],[Role]],'Google Form Transform'!$A:$A,'Google Form Transform'!F:F,"")</f>
        <v/>
      </c>
      <c r="F528" t="str">
        <f>_xlfn.XLOOKUP(Table1[[#This Row],[Player]]&amp;Table1[[#This Row],[Week]]&amp;Table1[[#This Row],[Role]],'Google Form Transform'!$A:$A,'Google Form Transform'!G:G,"")</f>
        <v/>
      </c>
      <c r="G528" s="59">
        <f>SUMIFS(Table2[Stat],Table2[Stat Category],"passing",Table2[Stat Type],"YDS",Table2[Athlete],Table1[[#This Row],[Pick]],Table2[Week],Table1[[#This Row],[Week]])</f>
        <v>0</v>
      </c>
      <c r="H528" s="59">
        <f>SUMIFS(Table2[Stat],Table2[Stat Category],"rushing",Table2[Stat Type],"YDS",Table2[Athlete],Table1[[#This Row],[Pick]],Table2[Week],Table1[[#This Row],[Week]])</f>
        <v>0</v>
      </c>
      <c r="I528" s="59">
        <f>SUMIFS(Table2[Stat],Table2[Stat Category],"receiving",Table2[Stat Type],"YDS",Table2[Athlete],Table1[[#This Row],[Pick]],Table2[Week],Table1[[#This Row],[Week]])</f>
        <v>0</v>
      </c>
      <c r="J528" s="6">
        <f>IF(AND($C528="Rushing", $H528&lt;=0), 0, IF(AND($C528="Passing", $G$3&lt;=0), 0,IF(AND($C528="Receiving",$I528&lt;=0), 0,SUMIFS(Table2[Stat],Table2[Week],Table1[[#This Row],[Week]],Table2[Athlete],Table1[[#This Row],[Pick]],Table2[Stat Category],"passing",Table2[Stat Type],"TD"))))</f>
        <v>0</v>
      </c>
      <c r="K528" s="6">
        <f>IF(AND($C528="Rushing", $H528&lt;=0), 0, IF(AND($C528="Passing", $G$3&lt;=0), 0,IF(AND($C528="Receiving",$I528&lt;=0),0,SUMIFS(Table2[Stat],Table2[Week],Table1[[#This Row],[Week]],Table2[Athlete],Table1[[#This Row],[Pick]],Table2[Stat Category],"rushing",Table2[Stat Type],"TD"))))</f>
        <v>0</v>
      </c>
      <c r="L528" s="6">
        <f>IF(AND($C528="Rushing", $H528&lt;=0), 0, IF(AND($C528="Passing", $G$3&lt;=0), 0,IF(AND($C528="Receiving",$I528&lt;=0),0,SUMIFS(Table2[Stat],Table2[Week],Table1[[#This Row],[Week]],Table2[Athlete],Table1[[#This Row],[Pick]],Table2[Stat Category],"receiving",Table2[Stat Type],"TD"))))</f>
        <v>0</v>
      </c>
      <c r="M5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8" s="61">
        <f>SUMIFS(Data!$J:$J,Data!$A:$A,Info!$B528,Data!$G:$G,Info!$C528,Data!$I:$I,Info!$D528,Data!$H:$H,"TOT")</f>
        <v>0</v>
      </c>
      <c r="O528" s="61">
        <f>IF(C528="Defensive",SUMIFS(Data!$J:$J,Data!$A:$A,Info!$B528,Data!$I:$I,Info!$D528,Data!$H:$H,"INT"),0)</f>
        <v>0</v>
      </c>
      <c r="P528" s="61">
        <f>IF(Table1[[#This Row],[Role]]="Defensive",SUMIFS(Data!$J:$J,Data!$A:$A,Info!$B528,Data!$I:$I,Info!$D528,Data!$H:$H,$P$1),0)</f>
        <v>0</v>
      </c>
      <c r="Q528" s="65" t="str">
        <f>IF(Table1[[#This Row],[Pick]]="","",IF(S528&gt;1,400,IF(G528="","",IF(C528="Passing",(400-Table1[[#This Row],[Passing Yards]]-(30*Table1[[#This Row],[Passing TDs]])-(50*SUM(Table1[[#This Row],[Rushing TDs]:[Other TD''s]]))),IF(C528="Rushing",2*(200-Table1[[#This Row],[Rushing Yards]]-(30*Table1[[#This Row],[Passing TDs]])-50*(Table1[[#This Row],[Rushing TDs]]+Table1[[#This Row],[Receiving TDs]]+Table1[[#This Row],[Other TD''s]])),IF(C528="Receiving",2*(200-Table1[[#This Row],[Receiving Yards]]-(30*Table1[[#This Row],[Passing TDs]])-50*(Table1[[#This Row],[Rushing TDs]]+Table1[[#This Row],[Receiving TDs]]+Table1[[#This Row],[Other TD''s]])),IF(C528="Defensive",(25*(16-Table1[[#This Row],[Tackles]]-(8*(Table1[[#This Row],[Other TD''s]]+Table1[[#This Row],[Interceptions]]+Table1[[#This Row],[Fumbles Recovered]])))))))))))</f>
        <v/>
      </c>
      <c r="R528" s="3" t="str">
        <f t="shared" si="18"/>
        <v/>
      </c>
      <c r="S528" s="4">
        <f t="shared" si="17"/>
        <v>1048507</v>
      </c>
      <c r="T5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9" spans="1:20" hidden="1" x14ac:dyDescent="0.25">
      <c r="A529" t="s">
        <v>19</v>
      </c>
      <c r="B529" s="28" t="s">
        <v>51</v>
      </c>
      <c r="C529" t="s">
        <v>17</v>
      </c>
      <c r="D529" t="str">
        <f>_xlfn.XLOOKUP(Table1[[#This Row],[Player]]&amp;Table1[[#This Row],[Week]]&amp;Table1[[#This Row],[Role]],'Google Form Transform'!$A:$A,'Google Form Transform'!E:E,"")</f>
        <v/>
      </c>
      <c r="E529" t="str">
        <f>_xlfn.XLOOKUP(Table1[[#This Row],[Player]]&amp;Table1[[#This Row],[Week]]&amp;Table1[[#This Row],[Role]],'Google Form Transform'!$A:$A,'Google Form Transform'!F:F,"")</f>
        <v/>
      </c>
      <c r="F529" t="str">
        <f>_xlfn.XLOOKUP(Table1[[#This Row],[Player]]&amp;Table1[[#This Row],[Week]]&amp;Table1[[#This Row],[Role]],'Google Form Transform'!$A:$A,'Google Form Transform'!G:G,"")</f>
        <v/>
      </c>
      <c r="G529" s="59">
        <f>SUMIFS(Table2[Stat],Table2[Stat Category],"passing",Table2[Stat Type],"YDS",Table2[Athlete],Table1[[#This Row],[Pick]],Table2[Week],Table1[[#This Row],[Week]])</f>
        <v>0</v>
      </c>
      <c r="H529" s="59">
        <f>SUMIFS(Table2[Stat],Table2[Stat Category],"rushing",Table2[Stat Type],"YDS",Table2[Athlete],Table1[[#This Row],[Pick]],Table2[Week],Table1[[#This Row],[Week]])</f>
        <v>0</v>
      </c>
      <c r="I529" s="59">
        <f>SUMIFS(Table2[Stat],Table2[Stat Category],"receiving",Table2[Stat Type],"YDS",Table2[Athlete],Table1[[#This Row],[Pick]],Table2[Week],Table1[[#This Row],[Week]])</f>
        <v>0</v>
      </c>
      <c r="J529" s="6">
        <f>IF(AND($C529="Rushing", $H529&lt;=0), 0, IF(AND($C529="Passing", $G$3&lt;=0), 0,IF(AND($C529="Receiving",$I529&lt;=0), 0,SUMIFS(Table2[Stat],Table2[Week],Table1[[#This Row],[Week]],Table2[Athlete],Table1[[#This Row],[Pick]],Table2[Stat Category],"passing",Table2[Stat Type],"TD"))))</f>
        <v>0</v>
      </c>
      <c r="K529" s="6">
        <f>IF(AND($C529="Rushing", $H529&lt;=0), 0, IF(AND($C529="Passing", $G$3&lt;=0), 0,IF(AND($C529="Receiving",$I529&lt;=0),0,SUMIFS(Table2[Stat],Table2[Week],Table1[[#This Row],[Week]],Table2[Athlete],Table1[[#This Row],[Pick]],Table2[Stat Category],"rushing",Table2[Stat Type],"TD"))))</f>
        <v>0</v>
      </c>
      <c r="L529" s="6">
        <f>IF(AND($C529="Rushing", $H529&lt;=0), 0, IF(AND($C529="Passing", $G$3&lt;=0), 0,IF(AND($C529="Receiving",$I529&lt;=0),0,SUMIFS(Table2[Stat],Table2[Week],Table1[[#This Row],[Week]],Table2[Athlete],Table1[[#This Row],[Pick]],Table2[Stat Category],"receiving",Table2[Stat Type],"TD"))))</f>
        <v>0</v>
      </c>
      <c r="M5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9" s="61">
        <f>SUMIFS(Data!$J:$J,Data!$A:$A,Info!$B529,Data!$G:$G,Info!$C529,Data!$I:$I,Info!$D529,Data!$H:$H,"TOT")</f>
        <v>0</v>
      </c>
      <c r="O529" s="61">
        <f>IF(C529="Defensive",SUMIFS(Data!$J:$J,Data!$A:$A,Info!$B529,Data!$I:$I,Info!$D529,Data!$H:$H,"INT"),0)</f>
        <v>0</v>
      </c>
      <c r="P529" s="61">
        <f>IF(Table1[[#This Row],[Role]]="Defensive",SUMIFS(Data!$J:$J,Data!$A:$A,Info!$B529,Data!$I:$I,Info!$D529,Data!$H:$H,$P$1),0)</f>
        <v>0</v>
      </c>
      <c r="Q529" s="65" t="str">
        <f>IF(Table1[[#This Row],[Pick]]="","",IF(S529&gt;1,400,IF(G529="","",IF(C529="Passing",(400-Table1[[#This Row],[Passing Yards]]-(30*Table1[[#This Row],[Passing TDs]])-(50*SUM(Table1[[#This Row],[Rushing TDs]:[Other TD''s]]))),IF(C529="Rushing",2*(200-Table1[[#This Row],[Rushing Yards]]-(30*Table1[[#This Row],[Passing TDs]])-50*(Table1[[#This Row],[Rushing TDs]]+Table1[[#This Row],[Receiving TDs]]+Table1[[#This Row],[Other TD''s]])),IF(C529="Receiving",2*(200-Table1[[#This Row],[Receiving Yards]]-(30*Table1[[#This Row],[Passing TDs]])-50*(Table1[[#This Row],[Rushing TDs]]+Table1[[#This Row],[Receiving TDs]]+Table1[[#This Row],[Other TD''s]])),IF(C529="Defensive",(25*(16-Table1[[#This Row],[Tackles]]-(8*(Table1[[#This Row],[Other TD''s]]+Table1[[#This Row],[Interceptions]]+Table1[[#This Row],[Fumbles Recovered]])))))))))))</f>
        <v/>
      </c>
      <c r="R529" s="3" t="str">
        <f t="shared" si="18"/>
        <v/>
      </c>
      <c r="S529" s="4">
        <f t="shared" si="17"/>
        <v>1048507</v>
      </c>
      <c r="T5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0" spans="1:20" hidden="1" x14ac:dyDescent="0.25">
      <c r="A530" t="s">
        <v>19</v>
      </c>
      <c r="B530" s="28" t="s">
        <v>51</v>
      </c>
      <c r="C530" t="s">
        <v>20</v>
      </c>
      <c r="D530" t="str">
        <f>_xlfn.XLOOKUP(Table1[[#This Row],[Player]]&amp;Table1[[#This Row],[Week]]&amp;Table1[[#This Row],[Role]],'Google Form Transform'!$A:$A,'Google Form Transform'!E:E,"")</f>
        <v/>
      </c>
      <c r="E530" t="str">
        <f>_xlfn.XLOOKUP(Table1[[#This Row],[Player]]&amp;Table1[[#This Row],[Week]]&amp;Table1[[#This Row],[Role]],'Google Form Transform'!$A:$A,'Google Form Transform'!F:F,"")</f>
        <v/>
      </c>
      <c r="F530" t="str">
        <f>_xlfn.XLOOKUP(Table1[[#This Row],[Player]]&amp;Table1[[#This Row],[Week]]&amp;Table1[[#This Row],[Role]],'Google Form Transform'!$A:$A,'Google Form Transform'!G:G,"")</f>
        <v/>
      </c>
      <c r="G530" s="59">
        <f>SUMIFS(Table2[Stat],Table2[Stat Category],"passing",Table2[Stat Type],"YDS",Table2[Athlete],Table1[[#This Row],[Pick]],Table2[Week],Table1[[#This Row],[Week]])</f>
        <v>0</v>
      </c>
      <c r="H530" s="59">
        <f>SUMIFS(Table2[Stat],Table2[Stat Category],"rushing",Table2[Stat Type],"YDS",Table2[Athlete],Table1[[#This Row],[Pick]],Table2[Week],Table1[[#This Row],[Week]])</f>
        <v>0</v>
      </c>
      <c r="I530" s="59">
        <f>SUMIFS(Table2[Stat],Table2[Stat Category],"receiving",Table2[Stat Type],"YDS",Table2[Athlete],Table1[[#This Row],[Pick]],Table2[Week],Table1[[#This Row],[Week]])</f>
        <v>0</v>
      </c>
      <c r="J530" s="6">
        <f>IF(AND($C530="Rushing", $H530&lt;=0), 0, IF(AND($C530="Passing", $G$3&lt;=0), 0,IF(AND($C530="Receiving",$I530&lt;=0), 0,SUMIFS(Table2[Stat],Table2[Week],Table1[[#This Row],[Week]],Table2[Athlete],Table1[[#This Row],[Pick]],Table2[Stat Category],"passing",Table2[Stat Type],"TD"))))</f>
        <v>0</v>
      </c>
      <c r="K530" s="6">
        <f>IF(AND($C530="Rushing", $H530&lt;=0), 0, IF(AND($C530="Passing", $G$3&lt;=0), 0,IF(AND($C530="Receiving",$I530&lt;=0),0,SUMIFS(Table2[Stat],Table2[Week],Table1[[#This Row],[Week]],Table2[Athlete],Table1[[#This Row],[Pick]],Table2[Stat Category],"rushing",Table2[Stat Type],"TD"))))</f>
        <v>0</v>
      </c>
      <c r="L530" s="6">
        <f>IF(AND($C530="Rushing", $H530&lt;=0), 0, IF(AND($C530="Passing", $G$3&lt;=0), 0,IF(AND($C530="Receiving",$I530&lt;=0),0,SUMIFS(Table2[Stat],Table2[Week],Table1[[#This Row],[Week]],Table2[Athlete],Table1[[#This Row],[Pick]],Table2[Stat Category],"receiving",Table2[Stat Type],"TD"))))</f>
        <v>0</v>
      </c>
      <c r="M5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0" s="61">
        <f>SUMIFS(Data!$J:$J,Data!$A:$A,Info!$B530,Data!$G:$G,Info!$C530,Data!$I:$I,Info!$D530,Data!$H:$H,"TOT")</f>
        <v>0</v>
      </c>
      <c r="O530" s="61">
        <f>IF(C530="Defensive",SUMIFS(Data!$J:$J,Data!$A:$A,Info!$B530,Data!$I:$I,Info!$D530,Data!$H:$H,"INT"),0)</f>
        <v>0</v>
      </c>
      <c r="P530" s="61">
        <f>IF(Table1[[#This Row],[Role]]="Defensive",SUMIFS(Data!$J:$J,Data!$A:$A,Info!$B530,Data!$I:$I,Info!$D530,Data!$H:$H,$P$1),0)</f>
        <v>0</v>
      </c>
      <c r="Q530" s="65" t="str">
        <f>IF(Table1[[#This Row],[Pick]]="","",IF(S530&gt;1,400,IF(G530="","",IF(C530="Passing",(400-Table1[[#This Row],[Passing Yards]]-(30*Table1[[#This Row],[Passing TDs]])-(50*SUM(Table1[[#This Row],[Rushing TDs]:[Other TD''s]]))),IF(C530="Rushing",2*(200-Table1[[#This Row],[Rushing Yards]]-(30*Table1[[#This Row],[Passing TDs]])-50*(Table1[[#This Row],[Rushing TDs]]+Table1[[#This Row],[Receiving TDs]]+Table1[[#This Row],[Other TD''s]])),IF(C530="Receiving",2*(200-Table1[[#This Row],[Receiving Yards]]-(30*Table1[[#This Row],[Passing TDs]])-50*(Table1[[#This Row],[Rushing TDs]]+Table1[[#This Row],[Receiving TDs]]+Table1[[#This Row],[Other TD''s]])),IF(C530="Defensive",(25*(16-Table1[[#This Row],[Tackles]]-(8*(Table1[[#This Row],[Other TD''s]]+Table1[[#This Row],[Interceptions]]+Table1[[#This Row],[Fumbles Recovered]])))))))))))</f>
        <v/>
      </c>
      <c r="R530" s="3" t="str">
        <f t="shared" si="18"/>
        <v/>
      </c>
      <c r="S530" s="4">
        <f t="shared" si="17"/>
        <v>1048507</v>
      </c>
      <c r="T5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1" spans="1:20" hidden="1" x14ac:dyDescent="0.25">
      <c r="A531" t="s">
        <v>26</v>
      </c>
      <c r="B531" s="28" t="s">
        <v>51</v>
      </c>
      <c r="C531" t="s">
        <v>16</v>
      </c>
      <c r="D531" t="str">
        <f>_xlfn.XLOOKUP(Table1[[#This Row],[Player]]&amp;Table1[[#This Row],[Week]]&amp;Table1[[#This Row],[Role]],'Google Form Transform'!$A:$A,'Google Form Transform'!E:E,"")</f>
        <v/>
      </c>
      <c r="E531" t="str">
        <f>_xlfn.XLOOKUP(Table1[[#This Row],[Player]]&amp;Table1[[#This Row],[Week]]&amp;Table1[[#This Row],[Role]],'Google Form Transform'!$A:$A,'Google Form Transform'!F:F,"")</f>
        <v/>
      </c>
      <c r="F531" t="str">
        <f>_xlfn.XLOOKUP(Table1[[#This Row],[Player]]&amp;Table1[[#This Row],[Week]]&amp;Table1[[#This Row],[Role]],'Google Form Transform'!$A:$A,'Google Form Transform'!G:G,"")</f>
        <v/>
      </c>
      <c r="G531" s="59">
        <f>SUMIFS(Table2[Stat],Table2[Stat Category],"passing",Table2[Stat Type],"YDS",Table2[Athlete],Table1[[#This Row],[Pick]],Table2[Week],Table1[[#This Row],[Week]])</f>
        <v>0</v>
      </c>
      <c r="H531" s="59">
        <f>SUMIFS(Table2[Stat],Table2[Stat Category],"rushing",Table2[Stat Type],"YDS",Table2[Athlete],Table1[[#This Row],[Pick]],Table2[Week],Table1[[#This Row],[Week]])</f>
        <v>0</v>
      </c>
      <c r="I531" s="59">
        <f>SUMIFS(Table2[Stat],Table2[Stat Category],"receiving",Table2[Stat Type],"YDS",Table2[Athlete],Table1[[#This Row],[Pick]],Table2[Week],Table1[[#This Row],[Week]])</f>
        <v>0</v>
      </c>
      <c r="J531" s="6">
        <f>IF(AND($C531="Rushing", $H531&lt;=0), 0, IF(AND($C531="Passing", $G$3&lt;=0), 0,IF(AND($C531="Receiving",$I531&lt;=0), 0,SUMIFS(Table2[Stat],Table2[Week],Table1[[#This Row],[Week]],Table2[Athlete],Table1[[#This Row],[Pick]],Table2[Stat Category],"passing",Table2[Stat Type],"TD"))))</f>
        <v>0</v>
      </c>
      <c r="K531" s="6">
        <f>IF(AND($C531="Rushing", $H531&lt;=0), 0, IF(AND($C531="Passing", $G$3&lt;=0), 0,IF(AND($C531="Receiving",$I531&lt;=0),0,SUMIFS(Table2[Stat],Table2[Week],Table1[[#This Row],[Week]],Table2[Athlete],Table1[[#This Row],[Pick]],Table2[Stat Category],"rushing",Table2[Stat Type],"TD"))))</f>
        <v>0</v>
      </c>
      <c r="L531" s="6">
        <f>IF(AND($C531="Rushing", $H531&lt;=0), 0, IF(AND($C531="Passing", $G$3&lt;=0), 0,IF(AND($C531="Receiving",$I531&lt;=0),0,SUMIFS(Table2[Stat],Table2[Week],Table1[[#This Row],[Week]],Table2[Athlete],Table1[[#This Row],[Pick]],Table2[Stat Category],"receiving",Table2[Stat Type],"TD"))))</f>
        <v>0</v>
      </c>
      <c r="M5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1" s="61">
        <f>SUMIFS(Data!$J:$J,Data!$A:$A,Info!$B531,Data!$G:$G,Info!$C531,Data!$I:$I,Info!$D531,Data!$H:$H,"TOT")</f>
        <v>0</v>
      </c>
      <c r="O531" s="61">
        <f>IF(C531="Defensive",SUMIFS(Data!$J:$J,Data!$A:$A,Info!$B531,Data!$I:$I,Info!$D531,Data!$H:$H,"INT"),0)</f>
        <v>0</v>
      </c>
      <c r="P531" s="61">
        <f>IF(Table1[[#This Row],[Role]]="Defensive",SUMIFS(Data!$J:$J,Data!$A:$A,Info!$B531,Data!$I:$I,Info!$D531,Data!$H:$H,$P$1),0)</f>
        <v>0</v>
      </c>
      <c r="Q531" s="65" t="str">
        <f>IF(Table1[[#This Row],[Pick]]="","",IF(S531&gt;1,400,IF(G531="","",IF(C531="Passing",(400-Table1[[#This Row],[Passing Yards]]-(30*Table1[[#This Row],[Passing TDs]])-(50*SUM(Table1[[#This Row],[Rushing TDs]:[Other TD''s]]))),IF(C531="Rushing",2*(200-Table1[[#This Row],[Rushing Yards]]-(30*Table1[[#This Row],[Passing TDs]])-50*(Table1[[#This Row],[Rushing TDs]]+Table1[[#This Row],[Receiving TDs]]+Table1[[#This Row],[Other TD''s]])),IF(C531="Receiving",2*(200-Table1[[#This Row],[Receiving Yards]]-(30*Table1[[#This Row],[Passing TDs]])-50*(Table1[[#This Row],[Rushing TDs]]+Table1[[#This Row],[Receiving TDs]]+Table1[[#This Row],[Other TD''s]])),IF(C531="Defensive",(25*(16-Table1[[#This Row],[Tackles]]-(8*(Table1[[#This Row],[Other TD''s]]+Table1[[#This Row],[Interceptions]]+Table1[[#This Row],[Fumbles Recovered]])))))))))))</f>
        <v/>
      </c>
      <c r="R531" s="3" t="str">
        <f t="shared" si="18"/>
        <v/>
      </c>
      <c r="S531" s="4">
        <f t="shared" si="17"/>
        <v>1048507</v>
      </c>
      <c r="T5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2" spans="1:20" hidden="1" x14ac:dyDescent="0.25">
      <c r="A532" t="s">
        <v>26</v>
      </c>
      <c r="B532" s="28" t="s">
        <v>51</v>
      </c>
      <c r="C532" t="s">
        <v>6</v>
      </c>
      <c r="D532" t="str">
        <f>_xlfn.XLOOKUP(Table1[[#This Row],[Player]]&amp;Table1[[#This Row],[Week]]&amp;Table1[[#This Row],[Role]],'Google Form Transform'!$A:$A,'Google Form Transform'!E:E,"")</f>
        <v/>
      </c>
      <c r="E532" t="str">
        <f>_xlfn.XLOOKUP(Table1[[#This Row],[Player]]&amp;Table1[[#This Row],[Week]]&amp;Table1[[#This Row],[Role]],'Google Form Transform'!$A:$A,'Google Form Transform'!F:F,"")</f>
        <v/>
      </c>
      <c r="F532" t="str">
        <f>_xlfn.XLOOKUP(Table1[[#This Row],[Player]]&amp;Table1[[#This Row],[Week]]&amp;Table1[[#This Row],[Role]],'Google Form Transform'!$A:$A,'Google Form Transform'!G:G,"")</f>
        <v/>
      </c>
      <c r="G532" s="59">
        <f>SUMIFS(Table2[Stat],Table2[Stat Category],"passing",Table2[Stat Type],"YDS",Table2[Athlete],Table1[[#This Row],[Pick]],Table2[Week],Table1[[#This Row],[Week]])</f>
        <v>0</v>
      </c>
      <c r="H532" s="59">
        <f>SUMIFS(Table2[Stat],Table2[Stat Category],"rushing",Table2[Stat Type],"YDS",Table2[Athlete],Table1[[#This Row],[Pick]],Table2[Week],Table1[[#This Row],[Week]])</f>
        <v>0</v>
      </c>
      <c r="I532" s="59">
        <f>SUMIFS(Table2[Stat],Table2[Stat Category],"receiving",Table2[Stat Type],"YDS",Table2[Athlete],Table1[[#This Row],[Pick]],Table2[Week],Table1[[#This Row],[Week]])</f>
        <v>0</v>
      </c>
      <c r="J532" s="6">
        <f>IF(AND($C532="Rushing", $H532&lt;=0), 0, IF(AND($C532="Passing", $G$3&lt;=0), 0,IF(AND($C532="Receiving",$I532&lt;=0), 0,SUMIFS(Table2[Stat],Table2[Week],Table1[[#This Row],[Week]],Table2[Athlete],Table1[[#This Row],[Pick]],Table2[Stat Category],"passing",Table2[Stat Type],"TD"))))</f>
        <v>0</v>
      </c>
      <c r="K532" s="6">
        <f>IF(AND($C532="Rushing", $H532&lt;=0), 0, IF(AND($C532="Passing", $G$3&lt;=0), 0,IF(AND($C532="Receiving",$I532&lt;=0),0,SUMIFS(Table2[Stat],Table2[Week],Table1[[#This Row],[Week]],Table2[Athlete],Table1[[#This Row],[Pick]],Table2[Stat Category],"rushing",Table2[Stat Type],"TD"))))</f>
        <v>0</v>
      </c>
      <c r="L532" s="6">
        <f>IF(AND($C532="Rushing", $H532&lt;=0), 0, IF(AND($C532="Passing", $G$3&lt;=0), 0,IF(AND($C532="Receiving",$I532&lt;=0),0,SUMIFS(Table2[Stat],Table2[Week],Table1[[#This Row],[Week]],Table2[Athlete],Table1[[#This Row],[Pick]],Table2[Stat Category],"receiving",Table2[Stat Type],"TD"))))</f>
        <v>0</v>
      </c>
      <c r="M5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2" s="61">
        <f>SUMIFS(Data!$J:$J,Data!$A:$A,Info!$B532,Data!$G:$G,Info!$C532,Data!$I:$I,Info!$D532,Data!$H:$H,"TOT")</f>
        <v>0</v>
      </c>
      <c r="O532" s="61">
        <f>IF(C532="Defensive",SUMIFS(Data!$J:$J,Data!$A:$A,Info!$B532,Data!$I:$I,Info!$D532,Data!$H:$H,"INT"),0)</f>
        <v>0</v>
      </c>
      <c r="P532" s="61">
        <f>IF(Table1[[#This Row],[Role]]="Defensive",SUMIFS(Data!$J:$J,Data!$A:$A,Info!$B532,Data!$I:$I,Info!$D532,Data!$H:$H,$P$1),0)</f>
        <v>0</v>
      </c>
      <c r="Q532" s="65" t="str">
        <f>IF(Table1[[#This Row],[Pick]]="","",IF(S532&gt;1,400,IF(G532="","",IF(C532="Passing",(400-Table1[[#This Row],[Passing Yards]]-(30*Table1[[#This Row],[Passing TDs]])-(50*SUM(Table1[[#This Row],[Rushing TDs]:[Other TD''s]]))),IF(C532="Rushing",2*(200-Table1[[#This Row],[Rushing Yards]]-(30*Table1[[#This Row],[Passing TDs]])-50*(Table1[[#This Row],[Rushing TDs]]+Table1[[#This Row],[Receiving TDs]]+Table1[[#This Row],[Other TD''s]])),IF(C532="Receiving",2*(200-Table1[[#This Row],[Receiving Yards]]-(30*Table1[[#This Row],[Passing TDs]])-50*(Table1[[#This Row],[Rushing TDs]]+Table1[[#This Row],[Receiving TDs]]+Table1[[#This Row],[Other TD''s]])),IF(C532="Defensive",(25*(16-Table1[[#This Row],[Tackles]]-(8*(Table1[[#This Row],[Other TD''s]]+Table1[[#This Row],[Interceptions]]+Table1[[#This Row],[Fumbles Recovered]])))))))))))</f>
        <v/>
      </c>
      <c r="R532" s="3" t="str">
        <f t="shared" si="18"/>
        <v/>
      </c>
      <c r="S532" s="4">
        <f t="shared" si="17"/>
        <v>1048507</v>
      </c>
      <c r="T5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3" spans="1:20" hidden="1" x14ac:dyDescent="0.25">
      <c r="A533" t="s">
        <v>26</v>
      </c>
      <c r="B533" s="28" t="s">
        <v>51</v>
      </c>
      <c r="C533" t="s">
        <v>17</v>
      </c>
      <c r="D533" t="str">
        <f>_xlfn.XLOOKUP(Table1[[#This Row],[Player]]&amp;Table1[[#This Row],[Week]]&amp;Table1[[#This Row],[Role]],'Google Form Transform'!$A:$A,'Google Form Transform'!E:E,"")</f>
        <v/>
      </c>
      <c r="E533" t="str">
        <f>_xlfn.XLOOKUP(Table1[[#This Row],[Player]]&amp;Table1[[#This Row],[Week]]&amp;Table1[[#This Row],[Role]],'Google Form Transform'!$A:$A,'Google Form Transform'!F:F,"")</f>
        <v/>
      </c>
      <c r="F533" t="str">
        <f>_xlfn.XLOOKUP(Table1[[#This Row],[Player]]&amp;Table1[[#This Row],[Week]]&amp;Table1[[#This Row],[Role]],'Google Form Transform'!$A:$A,'Google Form Transform'!G:G,"")</f>
        <v/>
      </c>
      <c r="G533" s="59">
        <f>SUMIFS(Table2[Stat],Table2[Stat Category],"passing",Table2[Stat Type],"YDS",Table2[Athlete],Table1[[#This Row],[Pick]],Table2[Week],Table1[[#This Row],[Week]])</f>
        <v>0</v>
      </c>
      <c r="H533" s="59">
        <f>SUMIFS(Table2[Stat],Table2[Stat Category],"rushing",Table2[Stat Type],"YDS",Table2[Athlete],Table1[[#This Row],[Pick]],Table2[Week],Table1[[#This Row],[Week]])</f>
        <v>0</v>
      </c>
      <c r="I533" s="59">
        <f>SUMIFS(Table2[Stat],Table2[Stat Category],"receiving",Table2[Stat Type],"YDS",Table2[Athlete],Table1[[#This Row],[Pick]],Table2[Week],Table1[[#This Row],[Week]])</f>
        <v>0</v>
      </c>
      <c r="J533" s="6">
        <f>IF(AND($C533="Rushing", $H533&lt;=0), 0, IF(AND($C533="Passing", $G$3&lt;=0), 0,IF(AND($C533="Receiving",$I533&lt;=0), 0,SUMIFS(Table2[Stat],Table2[Week],Table1[[#This Row],[Week]],Table2[Athlete],Table1[[#This Row],[Pick]],Table2[Stat Category],"passing",Table2[Stat Type],"TD"))))</f>
        <v>0</v>
      </c>
      <c r="K533" s="6">
        <f>IF(AND($C533="Rushing", $H533&lt;=0), 0, IF(AND($C533="Passing", $G$3&lt;=0), 0,IF(AND($C533="Receiving",$I533&lt;=0),0,SUMIFS(Table2[Stat],Table2[Week],Table1[[#This Row],[Week]],Table2[Athlete],Table1[[#This Row],[Pick]],Table2[Stat Category],"rushing",Table2[Stat Type],"TD"))))</f>
        <v>0</v>
      </c>
      <c r="L533" s="6">
        <f>IF(AND($C533="Rushing", $H533&lt;=0), 0, IF(AND($C533="Passing", $G$3&lt;=0), 0,IF(AND($C533="Receiving",$I533&lt;=0),0,SUMIFS(Table2[Stat],Table2[Week],Table1[[#This Row],[Week]],Table2[Athlete],Table1[[#This Row],[Pick]],Table2[Stat Category],"receiving",Table2[Stat Type],"TD"))))</f>
        <v>0</v>
      </c>
      <c r="M5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3" s="61">
        <f>SUMIFS(Data!$J:$J,Data!$A:$A,Info!$B533,Data!$G:$G,Info!$C533,Data!$I:$I,Info!$D533,Data!$H:$H,"TOT")</f>
        <v>0</v>
      </c>
      <c r="O533" s="61">
        <f>IF(C533="Defensive",SUMIFS(Data!$J:$J,Data!$A:$A,Info!$B533,Data!$I:$I,Info!$D533,Data!$H:$H,"INT"),0)</f>
        <v>0</v>
      </c>
      <c r="P533" s="61">
        <f>IF(Table1[[#This Row],[Role]]="Defensive",SUMIFS(Data!$J:$J,Data!$A:$A,Info!$B533,Data!$I:$I,Info!$D533,Data!$H:$H,$P$1),0)</f>
        <v>0</v>
      </c>
      <c r="Q533" s="65" t="str">
        <f>IF(Table1[[#This Row],[Pick]]="","",IF(S533&gt;1,400,IF(G533="","",IF(C533="Passing",(400-Table1[[#This Row],[Passing Yards]]-(30*Table1[[#This Row],[Passing TDs]])-(50*SUM(Table1[[#This Row],[Rushing TDs]:[Other TD''s]]))),IF(C533="Rushing",2*(200-Table1[[#This Row],[Rushing Yards]]-(30*Table1[[#This Row],[Passing TDs]])-50*(Table1[[#This Row],[Rushing TDs]]+Table1[[#This Row],[Receiving TDs]]+Table1[[#This Row],[Other TD''s]])),IF(C533="Receiving",2*(200-Table1[[#This Row],[Receiving Yards]]-(30*Table1[[#This Row],[Passing TDs]])-50*(Table1[[#This Row],[Rushing TDs]]+Table1[[#This Row],[Receiving TDs]]+Table1[[#This Row],[Other TD''s]])),IF(C533="Defensive",(25*(16-Table1[[#This Row],[Tackles]]-(8*(Table1[[#This Row],[Other TD''s]]+Table1[[#This Row],[Interceptions]]+Table1[[#This Row],[Fumbles Recovered]])))))))))))</f>
        <v/>
      </c>
      <c r="R533" s="3" t="str">
        <f t="shared" si="18"/>
        <v/>
      </c>
      <c r="S533" s="4">
        <f t="shared" si="17"/>
        <v>1048507</v>
      </c>
      <c r="T5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4" spans="1:20" hidden="1" x14ac:dyDescent="0.25">
      <c r="A534" t="s">
        <v>26</v>
      </c>
      <c r="B534" s="28" t="s">
        <v>51</v>
      </c>
      <c r="C534" t="s">
        <v>20</v>
      </c>
      <c r="D534" t="str">
        <f>_xlfn.XLOOKUP(Table1[[#This Row],[Player]]&amp;Table1[[#This Row],[Week]]&amp;Table1[[#This Row],[Role]],'Google Form Transform'!$A:$A,'Google Form Transform'!E:E,"")</f>
        <v/>
      </c>
      <c r="E534" t="str">
        <f>_xlfn.XLOOKUP(Table1[[#This Row],[Player]]&amp;Table1[[#This Row],[Week]]&amp;Table1[[#This Row],[Role]],'Google Form Transform'!$A:$A,'Google Form Transform'!F:F,"")</f>
        <v/>
      </c>
      <c r="F534" t="str">
        <f>_xlfn.XLOOKUP(Table1[[#This Row],[Player]]&amp;Table1[[#This Row],[Week]]&amp;Table1[[#This Row],[Role]],'Google Form Transform'!$A:$A,'Google Form Transform'!G:G,"")</f>
        <v/>
      </c>
      <c r="G534" s="59">
        <f>SUMIFS(Table2[Stat],Table2[Stat Category],"passing",Table2[Stat Type],"YDS",Table2[Athlete],Table1[[#This Row],[Pick]],Table2[Week],Table1[[#This Row],[Week]])</f>
        <v>0</v>
      </c>
      <c r="H534" s="59">
        <f>SUMIFS(Table2[Stat],Table2[Stat Category],"rushing",Table2[Stat Type],"YDS",Table2[Athlete],Table1[[#This Row],[Pick]],Table2[Week],Table1[[#This Row],[Week]])</f>
        <v>0</v>
      </c>
      <c r="I534" s="59">
        <f>SUMIFS(Table2[Stat],Table2[Stat Category],"receiving",Table2[Stat Type],"YDS",Table2[Athlete],Table1[[#This Row],[Pick]],Table2[Week],Table1[[#This Row],[Week]])</f>
        <v>0</v>
      </c>
      <c r="J534" s="6">
        <f>IF(AND($C534="Rushing", $H534&lt;=0), 0, IF(AND($C534="Passing", $G$3&lt;=0), 0,IF(AND($C534="Receiving",$I534&lt;=0), 0,SUMIFS(Table2[Stat],Table2[Week],Table1[[#This Row],[Week]],Table2[Athlete],Table1[[#This Row],[Pick]],Table2[Stat Category],"passing",Table2[Stat Type],"TD"))))</f>
        <v>0</v>
      </c>
      <c r="K534" s="6">
        <f>IF(AND($C534="Rushing", $H534&lt;=0), 0, IF(AND($C534="Passing", $G$3&lt;=0), 0,IF(AND($C534="Receiving",$I534&lt;=0),0,SUMIFS(Table2[Stat],Table2[Week],Table1[[#This Row],[Week]],Table2[Athlete],Table1[[#This Row],[Pick]],Table2[Stat Category],"rushing",Table2[Stat Type],"TD"))))</f>
        <v>0</v>
      </c>
      <c r="L534" s="6">
        <f>IF(AND($C534="Rushing", $H534&lt;=0), 0, IF(AND($C534="Passing", $G$3&lt;=0), 0,IF(AND($C534="Receiving",$I534&lt;=0),0,SUMIFS(Table2[Stat],Table2[Week],Table1[[#This Row],[Week]],Table2[Athlete],Table1[[#This Row],[Pick]],Table2[Stat Category],"receiving",Table2[Stat Type],"TD"))))</f>
        <v>0</v>
      </c>
      <c r="M5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4" s="61">
        <f>SUMIFS(Data!$J:$J,Data!$A:$A,Info!$B534,Data!$G:$G,Info!$C534,Data!$I:$I,Info!$D534,Data!$H:$H,"TOT")</f>
        <v>0</v>
      </c>
      <c r="O534" s="61">
        <f>IF(C534="Defensive",SUMIFS(Data!$J:$J,Data!$A:$A,Info!$B534,Data!$I:$I,Info!$D534,Data!$H:$H,"INT"),0)</f>
        <v>0</v>
      </c>
      <c r="P534" s="61">
        <f>IF(Table1[[#This Row],[Role]]="Defensive",SUMIFS(Data!$J:$J,Data!$A:$A,Info!$B534,Data!$I:$I,Info!$D534,Data!$H:$H,$P$1),0)</f>
        <v>0</v>
      </c>
      <c r="Q534" s="65" t="str">
        <f>IF(Table1[[#This Row],[Pick]]="","",IF(S534&gt;1,400,IF(G534="","",IF(C534="Passing",(400-Table1[[#This Row],[Passing Yards]]-(30*Table1[[#This Row],[Passing TDs]])-(50*SUM(Table1[[#This Row],[Rushing TDs]:[Other TD''s]]))),IF(C534="Rushing",2*(200-Table1[[#This Row],[Rushing Yards]]-(30*Table1[[#This Row],[Passing TDs]])-50*(Table1[[#This Row],[Rushing TDs]]+Table1[[#This Row],[Receiving TDs]]+Table1[[#This Row],[Other TD''s]])),IF(C534="Receiving",2*(200-Table1[[#This Row],[Receiving Yards]]-(30*Table1[[#This Row],[Passing TDs]])-50*(Table1[[#This Row],[Rushing TDs]]+Table1[[#This Row],[Receiving TDs]]+Table1[[#This Row],[Other TD''s]])),IF(C534="Defensive",(25*(16-Table1[[#This Row],[Tackles]]-(8*(Table1[[#This Row],[Other TD''s]]+Table1[[#This Row],[Interceptions]]+Table1[[#This Row],[Fumbles Recovered]])))))))))))</f>
        <v/>
      </c>
      <c r="R534" s="3" t="str">
        <f t="shared" si="18"/>
        <v/>
      </c>
      <c r="S534" s="4">
        <f t="shared" si="17"/>
        <v>1048507</v>
      </c>
      <c r="T5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5" spans="1:20" hidden="1" x14ac:dyDescent="0.25">
      <c r="A535" t="s">
        <v>43</v>
      </c>
      <c r="B535" s="28" t="s">
        <v>51</v>
      </c>
      <c r="C535" t="s">
        <v>16</v>
      </c>
      <c r="D535" t="str">
        <f>_xlfn.XLOOKUP(Table1[[#This Row],[Player]]&amp;Table1[[#This Row],[Week]]&amp;Table1[[#This Row],[Role]],'Google Form Transform'!$A:$A,'Google Form Transform'!E:E,"")</f>
        <v/>
      </c>
      <c r="E535" t="str">
        <f>_xlfn.XLOOKUP(Table1[[#This Row],[Player]]&amp;Table1[[#This Row],[Week]]&amp;Table1[[#This Row],[Role]],'Google Form Transform'!$A:$A,'Google Form Transform'!F:F,"")</f>
        <v/>
      </c>
      <c r="F535" t="str">
        <f>_xlfn.XLOOKUP(Table1[[#This Row],[Player]]&amp;Table1[[#This Row],[Week]]&amp;Table1[[#This Row],[Role]],'Google Form Transform'!$A:$A,'Google Form Transform'!G:G,"")</f>
        <v/>
      </c>
      <c r="G535" s="59">
        <f>SUMIFS(Table2[Stat],Table2[Stat Category],"passing",Table2[Stat Type],"YDS",Table2[Athlete],Table1[[#This Row],[Pick]],Table2[Week],Table1[[#This Row],[Week]])</f>
        <v>0</v>
      </c>
      <c r="H535" s="59">
        <f>SUMIFS(Table2[Stat],Table2[Stat Category],"rushing",Table2[Stat Type],"YDS",Table2[Athlete],Table1[[#This Row],[Pick]],Table2[Week],Table1[[#This Row],[Week]])</f>
        <v>0</v>
      </c>
      <c r="I535" s="59">
        <f>SUMIFS(Table2[Stat],Table2[Stat Category],"receiving",Table2[Stat Type],"YDS",Table2[Athlete],Table1[[#This Row],[Pick]],Table2[Week],Table1[[#This Row],[Week]])</f>
        <v>0</v>
      </c>
      <c r="J535" s="6">
        <f>IF(AND($C535="Rushing", $H535&lt;=0), 0, IF(AND($C535="Passing", $G$3&lt;=0), 0,IF(AND($C535="Receiving",$I535&lt;=0), 0,SUMIFS(Table2[Stat],Table2[Week],Table1[[#This Row],[Week]],Table2[Athlete],Table1[[#This Row],[Pick]],Table2[Stat Category],"passing",Table2[Stat Type],"TD"))))</f>
        <v>0</v>
      </c>
      <c r="K535" s="6">
        <f>IF(AND($C535="Rushing", $H535&lt;=0), 0, IF(AND($C535="Passing", $G$3&lt;=0), 0,IF(AND($C535="Receiving",$I535&lt;=0),0,SUMIFS(Table2[Stat],Table2[Week],Table1[[#This Row],[Week]],Table2[Athlete],Table1[[#This Row],[Pick]],Table2[Stat Category],"rushing",Table2[Stat Type],"TD"))))</f>
        <v>0</v>
      </c>
      <c r="L535" s="6">
        <f>IF(AND($C535="Rushing", $H535&lt;=0), 0, IF(AND($C535="Passing", $G$3&lt;=0), 0,IF(AND($C535="Receiving",$I535&lt;=0),0,SUMIFS(Table2[Stat],Table2[Week],Table1[[#This Row],[Week]],Table2[Athlete],Table1[[#This Row],[Pick]],Table2[Stat Category],"receiving",Table2[Stat Type],"TD"))))</f>
        <v>0</v>
      </c>
      <c r="M5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5" s="61">
        <f>SUMIFS(Data!$J:$J,Data!$A:$A,Info!$B535,Data!$G:$G,Info!$C535,Data!$I:$I,Info!$D535,Data!$H:$H,"TOT")</f>
        <v>0</v>
      </c>
      <c r="O535" s="61">
        <f>IF(C535="Defensive",SUMIFS(Data!$J:$J,Data!$A:$A,Info!$B535,Data!$I:$I,Info!$D535,Data!$H:$H,"INT"),0)</f>
        <v>0</v>
      </c>
      <c r="P535" s="61">
        <f>IF(Table1[[#This Row],[Role]]="Defensive",SUMIFS(Data!$J:$J,Data!$A:$A,Info!$B535,Data!$I:$I,Info!$D535,Data!$H:$H,$P$1),0)</f>
        <v>0</v>
      </c>
      <c r="Q535" s="65" t="str">
        <f>IF(Table1[[#This Row],[Pick]]="","",IF(S535&gt;1,400,IF(G535="","",IF(C535="Passing",(400-Table1[[#This Row],[Passing Yards]]-(30*Table1[[#This Row],[Passing TDs]])-(50*SUM(Table1[[#This Row],[Rushing TDs]:[Other TD''s]]))),IF(C535="Rushing",2*(200-Table1[[#This Row],[Rushing Yards]]-(30*Table1[[#This Row],[Passing TDs]])-50*(Table1[[#This Row],[Rushing TDs]]+Table1[[#This Row],[Receiving TDs]]+Table1[[#This Row],[Other TD''s]])),IF(C535="Receiving",2*(200-Table1[[#This Row],[Receiving Yards]]-(30*Table1[[#This Row],[Passing TDs]])-50*(Table1[[#This Row],[Rushing TDs]]+Table1[[#This Row],[Receiving TDs]]+Table1[[#This Row],[Other TD''s]])),IF(C535="Defensive",(25*(16-Table1[[#This Row],[Tackles]]-(8*(Table1[[#This Row],[Other TD''s]]+Table1[[#This Row],[Interceptions]]+Table1[[#This Row],[Fumbles Recovered]])))))))))))</f>
        <v/>
      </c>
      <c r="R535" s="3" t="str">
        <f t="shared" si="18"/>
        <v/>
      </c>
      <c r="S535" s="4">
        <f t="shared" si="17"/>
        <v>1048507</v>
      </c>
      <c r="T5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6" spans="1:20" hidden="1" x14ac:dyDescent="0.25">
      <c r="A536" t="s">
        <v>43</v>
      </c>
      <c r="B536" s="28" t="s">
        <v>51</v>
      </c>
      <c r="C536" t="s">
        <v>6</v>
      </c>
      <c r="D536" t="str">
        <f>_xlfn.XLOOKUP(Table1[[#This Row],[Player]]&amp;Table1[[#This Row],[Week]]&amp;Table1[[#This Row],[Role]],'Google Form Transform'!$A:$A,'Google Form Transform'!E:E,"")</f>
        <v/>
      </c>
      <c r="E536" t="str">
        <f>_xlfn.XLOOKUP(Table1[[#This Row],[Player]]&amp;Table1[[#This Row],[Week]]&amp;Table1[[#This Row],[Role]],'Google Form Transform'!$A:$A,'Google Form Transform'!F:F,"")</f>
        <v/>
      </c>
      <c r="F536" t="str">
        <f>_xlfn.XLOOKUP(Table1[[#This Row],[Player]]&amp;Table1[[#This Row],[Week]]&amp;Table1[[#This Row],[Role]],'Google Form Transform'!$A:$A,'Google Form Transform'!G:G,"")</f>
        <v/>
      </c>
      <c r="G536" s="59">
        <f>SUMIFS(Table2[Stat],Table2[Stat Category],"passing",Table2[Stat Type],"YDS",Table2[Athlete],Table1[[#This Row],[Pick]],Table2[Week],Table1[[#This Row],[Week]])</f>
        <v>0</v>
      </c>
      <c r="H536" s="59">
        <f>SUMIFS(Table2[Stat],Table2[Stat Category],"rushing",Table2[Stat Type],"YDS",Table2[Athlete],Table1[[#This Row],[Pick]],Table2[Week],Table1[[#This Row],[Week]])</f>
        <v>0</v>
      </c>
      <c r="I536" s="59">
        <f>SUMIFS(Table2[Stat],Table2[Stat Category],"receiving",Table2[Stat Type],"YDS",Table2[Athlete],Table1[[#This Row],[Pick]],Table2[Week],Table1[[#This Row],[Week]])</f>
        <v>0</v>
      </c>
      <c r="J536" s="6">
        <f>IF(AND($C536="Rushing", $H536&lt;=0), 0, IF(AND($C536="Passing", $G$3&lt;=0), 0,IF(AND($C536="Receiving",$I536&lt;=0), 0,SUMIFS(Table2[Stat],Table2[Week],Table1[[#This Row],[Week]],Table2[Athlete],Table1[[#This Row],[Pick]],Table2[Stat Category],"passing",Table2[Stat Type],"TD"))))</f>
        <v>0</v>
      </c>
      <c r="K536" s="6">
        <f>IF(AND($C536="Rushing", $H536&lt;=0), 0, IF(AND($C536="Passing", $G$3&lt;=0), 0,IF(AND($C536="Receiving",$I536&lt;=0),0,SUMIFS(Table2[Stat],Table2[Week],Table1[[#This Row],[Week]],Table2[Athlete],Table1[[#This Row],[Pick]],Table2[Stat Category],"rushing",Table2[Stat Type],"TD"))))</f>
        <v>0</v>
      </c>
      <c r="L536" s="6">
        <f>IF(AND($C536="Rushing", $H536&lt;=0), 0, IF(AND($C536="Passing", $G$3&lt;=0), 0,IF(AND($C536="Receiving",$I536&lt;=0),0,SUMIFS(Table2[Stat],Table2[Week],Table1[[#This Row],[Week]],Table2[Athlete],Table1[[#This Row],[Pick]],Table2[Stat Category],"receiving",Table2[Stat Type],"TD"))))</f>
        <v>0</v>
      </c>
      <c r="M5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6" s="61">
        <f>SUMIFS(Data!$J:$J,Data!$A:$A,Info!$B536,Data!$G:$G,Info!$C536,Data!$I:$I,Info!$D536,Data!$H:$H,"TOT")</f>
        <v>0</v>
      </c>
      <c r="O536" s="61">
        <f>IF(C536="Defensive",SUMIFS(Data!$J:$J,Data!$A:$A,Info!$B536,Data!$I:$I,Info!$D536,Data!$H:$H,"INT"),0)</f>
        <v>0</v>
      </c>
      <c r="P536" s="61">
        <f>IF(Table1[[#This Row],[Role]]="Defensive",SUMIFS(Data!$J:$J,Data!$A:$A,Info!$B536,Data!$I:$I,Info!$D536,Data!$H:$H,$P$1),0)</f>
        <v>0</v>
      </c>
      <c r="Q536" s="65" t="str">
        <f>IF(Table1[[#This Row],[Pick]]="","",IF(S536&gt;1,400,IF(G536="","",IF(C536="Passing",(400-Table1[[#This Row],[Passing Yards]]-(30*Table1[[#This Row],[Passing TDs]])-(50*SUM(Table1[[#This Row],[Rushing TDs]:[Other TD''s]]))),IF(C536="Rushing",2*(200-Table1[[#This Row],[Rushing Yards]]-(30*Table1[[#This Row],[Passing TDs]])-50*(Table1[[#This Row],[Rushing TDs]]+Table1[[#This Row],[Receiving TDs]]+Table1[[#This Row],[Other TD''s]])),IF(C536="Receiving",2*(200-Table1[[#This Row],[Receiving Yards]]-(30*Table1[[#This Row],[Passing TDs]])-50*(Table1[[#This Row],[Rushing TDs]]+Table1[[#This Row],[Receiving TDs]]+Table1[[#This Row],[Other TD''s]])),IF(C536="Defensive",(25*(16-Table1[[#This Row],[Tackles]]-(8*(Table1[[#This Row],[Other TD''s]]+Table1[[#This Row],[Interceptions]]+Table1[[#This Row],[Fumbles Recovered]])))))))))))</f>
        <v/>
      </c>
      <c r="R536" s="3" t="str">
        <f t="shared" si="18"/>
        <v/>
      </c>
      <c r="S536" s="4">
        <f t="shared" si="17"/>
        <v>1048507</v>
      </c>
      <c r="T5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7" spans="1:20" hidden="1" x14ac:dyDescent="0.25">
      <c r="A537" t="s">
        <v>43</v>
      </c>
      <c r="B537" s="28" t="s">
        <v>51</v>
      </c>
      <c r="C537" t="s">
        <v>17</v>
      </c>
      <c r="D537" t="str">
        <f>_xlfn.XLOOKUP(Table1[[#This Row],[Player]]&amp;Table1[[#This Row],[Week]]&amp;Table1[[#This Row],[Role]],'Google Form Transform'!$A:$A,'Google Form Transform'!E:E,"")</f>
        <v/>
      </c>
      <c r="E537" t="str">
        <f>_xlfn.XLOOKUP(Table1[[#This Row],[Player]]&amp;Table1[[#This Row],[Week]]&amp;Table1[[#This Row],[Role]],'Google Form Transform'!$A:$A,'Google Form Transform'!F:F,"")</f>
        <v/>
      </c>
      <c r="F537" t="str">
        <f>_xlfn.XLOOKUP(Table1[[#This Row],[Player]]&amp;Table1[[#This Row],[Week]]&amp;Table1[[#This Row],[Role]],'Google Form Transform'!$A:$A,'Google Form Transform'!G:G,"")</f>
        <v/>
      </c>
      <c r="G537" s="59">
        <f>SUMIFS(Table2[Stat],Table2[Stat Category],"passing",Table2[Stat Type],"YDS",Table2[Athlete],Table1[[#This Row],[Pick]],Table2[Week],Table1[[#This Row],[Week]])</f>
        <v>0</v>
      </c>
      <c r="H537" s="59">
        <f>SUMIFS(Table2[Stat],Table2[Stat Category],"rushing",Table2[Stat Type],"YDS",Table2[Athlete],Table1[[#This Row],[Pick]],Table2[Week],Table1[[#This Row],[Week]])</f>
        <v>0</v>
      </c>
      <c r="I537" s="59">
        <f>SUMIFS(Table2[Stat],Table2[Stat Category],"receiving",Table2[Stat Type],"YDS",Table2[Athlete],Table1[[#This Row],[Pick]],Table2[Week],Table1[[#This Row],[Week]])</f>
        <v>0</v>
      </c>
      <c r="J537" s="6">
        <f>IF(AND($C537="Rushing", $H537&lt;=0), 0, IF(AND($C537="Passing", $G$3&lt;=0), 0,IF(AND($C537="Receiving",$I537&lt;=0), 0,SUMIFS(Table2[Stat],Table2[Week],Table1[[#This Row],[Week]],Table2[Athlete],Table1[[#This Row],[Pick]],Table2[Stat Category],"passing",Table2[Stat Type],"TD"))))</f>
        <v>0</v>
      </c>
      <c r="K537" s="6">
        <f>IF(AND($C537="Rushing", $H537&lt;=0), 0, IF(AND($C537="Passing", $G$3&lt;=0), 0,IF(AND($C537="Receiving",$I537&lt;=0),0,SUMIFS(Table2[Stat],Table2[Week],Table1[[#This Row],[Week]],Table2[Athlete],Table1[[#This Row],[Pick]],Table2[Stat Category],"rushing",Table2[Stat Type],"TD"))))</f>
        <v>0</v>
      </c>
      <c r="L537" s="6">
        <f>IF(AND($C537="Rushing", $H537&lt;=0), 0, IF(AND($C537="Passing", $G$3&lt;=0), 0,IF(AND($C537="Receiving",$I537&lt;=0),0,SUMIFS(Table2[Stat],Table2[Week],Table1[[#This Row],[Week]],Table2[Athlete],Table1[[#This Row],[Pick]],Table2[Stat Category],"receiving",Table2[Stat Type],"TD"))))</f>
        <v>0</v>
      </c>
      <c r="M5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7" s="61">
        <f>SUMIFS(Data!$J:$J,Data!$A:$A,Info!$B537,Data!$G:$G,Info!$C537,Data!$I:$I,Info!$D537,Data!$H:$H,"TOT")</f>
        <v>0</v>
      </c>
      <c r="O537" s="61">
        <f>IF(C537="Defensive",SUMIFS(Data!$J:$J,Data!$A:$A,Info!$B537,Data!$I:$I,Info!$D537,Data!$H:$H,"INT"),0)</f>
        <v>0</v>
      </c>
      <c r="P537" s="61">
        <f>IF(Table1[[#This Row],[Role]]="Defensive",SUMIFS(Data!$J:$J,Data!$A:$A,Info!$B537,Data!$I:$I,Info!$D537,Data!$H:$H,$P$1),0)</f>
        <v>0</v>
      </c>
      <c r="Q537" s="65" t="str">
        <f>IF(Table1[[#This Row],[Pick]]="","",IF(S537&gt;1,400,IF(G537="","",IF(C537="Passing",(400-Table1[[#This Row],[Passing Yards]]-(30*Table1[[#This Row],[Passing TDs]])-(50*SUM(Table1[[#This Row],[Rushing TDs]:[Other TD''s]]))),IF(C537="Rushing",2*(200-Table1[[#This Row],[Rushing Yards]]-(30*Table1[[#This Row],[Passing TDs]])-50*(Table1[[#This Row],[Rushing TDs]]+Table1[[#This Row],[Receiving TDs]]+Table1[[#This Row],[Other TD''s]])),IF(C537="Receiving",2*(200-Table1[[#This Row],[Receiving Yards]]-(30*Table1[[#This Row],[Passing TDs]])-50*(Table1[[#This Row],[Rushing TDs]]+Table1[[#This Row],[Receiving TDs]]+Table1[[#This Row],[Other TD''s]])),IF(C537="Defensive",(25*(16-Table1[[#This Row],[Tackles]]-(8*(Table1[[#This Row],[Other TD''s]]+Table1[[#This Row],[Interceptions]]+Table1[[#This Row],[Fumbles Recovered]])))))))))))</f>
        <v/>
      </c>
      <c r="R537" s="3" t="str">
        <f t="shared" si="18"/>
        <v/>
      </c>
      <c r="S537" s="4">
        <f t="shared" si="17"/>
        <v>1048507</v>
      </c>
      <c r="T5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8" spans="1:20" hidden="1" x14ac:dyDescent="0.25">
      <c r="A538" t="s">
        <v>43</v>
      </c>
      <c r="B538" s="28" t="s">
        <v>51</v>
      </c>
      <c r="C538" t="s">
        <v>20</v>
      </c>
      <c r="D538" t="str">
        <f>_xlfn.XLOOKUP(Table1[[#This Row],[Player]]&amp;Table1[[#This Row],[Week]]&amp;Table1[[#This Row],[Role]],'Google Form Transform'!$A:$A,'Google Form Transform'!E:E,"")</f>
        <v/>
      </c>
      <c r="E538" t="str">
        <f>_xlfn.XLOOKUP(Table1[[#This Row],[Player]]&amp;Table1[[#This Row],[Week]]&amp;Table1[[#This Row],[Role]],'Google Form Transform'!$A:$A,'Google Form Transform'!F:F,"")</f>
        <v/>
      </c>
      <c r="F538" t="str">
        <f>_xlfn.XLOOKUP(Table1[[#This Row],[Player]]&amp;Table1[[#This Row],[Week]]&amp;Table1[[#This Row],[Role]],'Google Form Transform'!$A:$A,'Google Form Transform'!G:G,"")</f>
        <v/>
      </c>
      <c r="G538" s="59">
        <f>SUMIFS(Table2[Stat],Table2[Stat Category],"passing",Table2[Stat Type],"YDS",Table2[Athlete],Table1[[#This Row],[Pick]],Table2[Week],Table1[[#This Row],[Week]])</f>
        <v>0</v>
      </c>
      <c r="H538" s="59">
        <f>SUMIFS(Table2[Stat],Table2[Stat Category],"rushing",Table2[Stat Type],"YDS",Table2[Athlete],Table1[[#This Row],[Pick]],Table2[Week],Table1[[#This Row],[Week]])</f>
        <v>0</v>
      </c>
      <c r="I538" s="59">
        <f>SUMIFS(Table2[Stat],Table2[Stat Category],"receiving",Table2[Stat Type],"YDS",Table2[Athlete],Table1[[#This Row],[Pick]],Table2[Week],Table1[[#This Row],[Week]])</f>
        <v>0</v>
      </c>
      <c r="J538" s="6">
        <f>IF(AND($C538="Rushing", $H538&lt;=0), 0, IF(AND($C538="Passing", $G$3&lt;=0), 0,IF(AND($C538="Receiving",$I538&lt;=0), 0,SUMIFS(Table2[Stat],Table2[Week],Table1[[#This Row],[Week]],Table2[Athlete],Table1[[#This Row],[Pick]],Table2[Stat Category],"passing",Table2[Stat Type],"TD"))))</f>
        <v>0</v>
      </c>
      <c r="K538" s="6">
        <f>IF(AND($C538="Rushing", $H538&lt;=0), 0, IF(AND($C538="Passing", $G$3&lt;=0), 0,IF(AND($C538="Receiving",$I538&lt;=0),0,SUMIFS(Table2[Stat],Table2[Week],Table1[[#This Row],[Week]],Table2[Athlete],Table1[[#This Row],[Pick]],Table2[Stat Category],"rushing",Table2[Stat Type],"TD"))))</f>
        <v>0</v>
      </c>
      <c r="L538" s="6">
        <f>IF(AND($C538="Rushing", $H538&lt;=0), 0, IF(AND($C538="Passing", $G$3&lt;=0), 0,IF(AND($C538="Receiving",$I538&lt;=0),0,SUMIFS(Table2[Stat],Table2[Week],Table1[[#This Row],[Week]],Table2[Athlete],Table1[[#This Row],[Pick]],Table2[Stat Category],"receiving",Table2[Stat Type],"TD"))))</f>
        <v>0</v>
      </c>
      <c r="M5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8" s="61">
        <f>SUMIFS(Data!$J:$J,Data!$A:$A,Info!$B538,Data!$G:$G,Info!$C538,Data!$I:$I,Info!$D538,Data!$H:$H,"TOT")</f>
        <v>0</v>
      </c>
      <c r="O538" s="61">
        <f>IF(C538="Defensive",SUMIFS(Data!$J:$J,Data!$A:$A,Info!$B538,Data!$I:$I,Info!$D538,Data!$H:$H,"INT"),0)</f>
        <v>0</v>
      </c>
      <c r="P538" s="61">
        <f>IF(Table1[[#This Row],[Role]]="Defensive",SUMIFS(Data!$J:$J,Data!$A:$A,Info!$B538,Data!$I:$I,Info!$D538,Data!$H:$H,$P$1),0)</f>
        <v>0</v>
      </c>
      <c r="Q538" s="65" t="str">
        <f>IF(Table1[[#This Row],[Pick]]="","",IF(S538&gt;1,400,IF(G538="","",IF(C538="Passing",(400-Table1[[#This Row],[Passing Yards]]-(30*Table1[[#This Row],[Passing TDs]])-(50*SUM(Table1[[#This Row],[Rushing TDs]:[Other TD''s]]))),IF(C538="Rushing",2*(200-Table1[[#This Row],[Rushing Yards]]-(30*Table1[[#This Row],[Passing TDs]])-50*(Table1[[#This Row],[Rushing TDs]]+Table1[[#This Row],[Receiving TDs]]+Table1[[#This Row],[Other TD''s]])),IF(C538="Receiving",2*(200-Table1[[#This Row],[Receiving Yards]]-(30*Table1[[#This Row],[Passing TDs]])-50*(Table1[[#This Row],[Rushing TDs]]+Table1[[#This Row],[Receiving TDs]]+Table1[[#This Row],[Other TD''s]])),IF(C538="Defensive",(25*(16-Table1[[#This Row],[Tackles]]-(8*(Table1[[#This Row],[Other TD''s]]+Table1[[#This Row],[Interceptions]]+Table1[[#This Row],[Fumbles Recovered]])))))))))))</f>
        <v/>
      </c>
      <c r="R538" s="3" t="str">
        <f t="shared" si="18"/>
        <v/>
      </c>
      <c r="S538" s="4">
        <f t="shared" si="17"/>
        <v>1048507</v>
      </c>
      <c r="T5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9" spans="1:20" hidden="1" x14ac:dyDescent="0.25">
      <c r="A539" t="s">
        <v>7</v>
      </c>
      <c r="B539" s="28" t="s">
        <v>51</v>
      </c>
      <c r="C539" t="s">
        <v>16</v>
      </c>
      <c r="D539" t="str">
        <f>_xlfn.XLOOKUP(Table1[[#This Row],[Player]]&amp;Table1[[#This Row],[Week]]&amp;Table1[[#This Row],[Role]],'Google Form Transform'!$A:$A,'Google Form Transform'!E:E,"")</f>
        <v/>
      </c>
      <c r="E539" t="str">
        <f>_xlfn.XLOOKUP(Table1[[#This Row],[Player]]&amp;Table1[[#This Row],[Week]]&amp;Table1[[#This Row],[Role]],'Google Form Transform'!$A:$A,'Google Form Transform'!F:F,"")</f>
        <v/>
      </c>
      <c r="F539" t="str">
        <f>_xlfn.XLOOKUP(Table1[[#This Row],[Player]]&amp;Table1[[#This Row],[Week]]&amp;Table1[[#This Row],[Role]],'Google Form Transform'!$A:$A,'Google Form Transform'!G:G,"")</f>
        <v/>
      </c>
      <c r="G539" s="59">
        <f>SUMIFS(Table2[Stat],Table2[Stat Category],"passing",Table2[Stat Type],"YDS",Table2[Athlete],Table1[[#This Row],[Pick]],Table2[Week],Table1[[#This Row],[Week]])</f>
        <v>0</v>
      </c>
      <c r="H539" s="59">
        <f>SUMIFS(Table2[Stat],Table2[Stat Category],"rushing",Table2[Stat Type],"YDS",Table2[Athlete],Table1[[#This Row],[Pick]],Table2[Week],Table1[[#This Row],[Week]])</f>
        <v>0</v>
      </c>
      <c r="I539" s="59">
        <f>SUMIFS(Table2[Stat],Table2[Stat Category],"receiving",Table2[Stat Type],"YDS",Table2[Athlete],Table1[[#This Row],[Pick]],Table2[Week],Table1[[#This Row],[Week]])</f>
        <v>0</v>
      </c>
      <c r="J539" s="6">
        <f>IF(AND($C539="Rushing", $H539&lt;=0), 0, IF(AND($C539="Passing", $G$3&lt;=0), 0,IF(AND($C539="Receiving",$I539&lt;=0), 0,SUMIFS(Table2[Stat],Table2[Week],Table1[[#This Row],[Week]],Table2[Athlete],Table1[[#This Row],[Pick]],Table2[Stat Category],"passing",Table2[Stat Type],"TD"))))</f>
        <v>0</v>
      </c>
      <c r="K539" s="6">
        <f>IF(AND($C539="Rushing", $H539&lt;=0), 0, IF(AND($C539="Passing", $G$3&lt;=0), 0,IF(AND($C539="Receiving",$I539&lt;=0),0,SUMIFS(Table2[Stat],Table2[Week],Table1[[#This Row],[Week]],Table2[Athlete],Table1[[#This Row],[Pick]],Table2[Stat Category],"rushing",Table2[Stat Type],"TD"))))</f>
        <v>0</v>
      </c>
      <c r="L539" s="6">
        <f>IF(AND($C539="Rushing", $H539&lt;=0), 0, IF(AND($C539="Passing", $G$3&lt;=0), 0,IF(AND($C539="Receiving",$I539&lt;=0),0,SUMIFS(Table2[Stat],Table2[Week],Table1[[#This Row],[Week]],Table2[Athlete],Table1[[#This Row],[Pick]],Table2[Stat Category],"receiving",Table2[Stat Type],"TD"))))</f>
        <v>0</v>
      </c>
      <c r="M5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9" s="61">
        <f>SUMIFS(Data!$J:$J,Data!$A:$A,Info!$B539,Data!$G:$G,Info!$C539,Data!$I:$I,Info!$D539,Data!$H:$H,"TOT")</f>
        <v>0</v>
      </c>
      <c r="O539" s="61">
        <f>IF(C539="Defensive",SUMIFS(Data!$J:$J,Data!$A:$A,Info!$B539,Data!$I:$I,Info!$D539,Data!$H:$H,"INT"),0)</f>
        <v>0</v>
      </c>
      <c r="P539" s="61">
        <f>IF(Table1[[#This Row],[Role]]="Defensive",SUMIFS(Data!$J:$J,Data!$A:$A,Info!$B539,Data!$I:$I,Info!$D539,Data!$H:$H,$P$1),0)</f>
        <v>0</v>
      </c>
      <c r="Q539" s="65" t="str">
        <f>IF(Table1[[#This Row],[Pick]]="","",IF(S539&gt;1,400,IF(G539="","",IF(C539="Passing",(400-Table1[[#This Row],[Passing Yards]]-(30*Table1[[#This Row],[Passing TDs]])-(50*SUM(Table1[[#This Row],[Rushing TDs]:[Other TD''s]]))),IF(C539="Rushing",2*(200-Table1[[#This Row],[Rushing Yards]]-(30*Table1[[#This Row],[Passing TDs]])-50*(Table1[[#This Row],[Rushing TDs]]+Table1[[#This Row],[Receiving TDs]]+Table1[[#This Row],[Other TD''s]])),IF(C539="Receiving",2*(200-Table1[[#This Row],[Receiving Yards]]-(30*Table1[[#This Row],[Passing TDs]])-50*(Table1[[#This Row],[Rushing TDs]]+Table1[[#This Row],[Receiving TDs]]+Table1[[#This Row],[Other TD''s]])),IF(C539="Defensive",(25*(16-Table1[[#This Row],[Tackles]]-(8*(Table1[[#This Row],[Other TD''s]]+Table1[[#This Row],[Interceptions]]+Table1[[#This Row],[Fumbles Recovered]])))))))))))</f>
        <v/>
      </c>
      <c r="R539" s="3" t="str">
        <f t="shared" si="18"/>
        <v/>
      </c>
      <c r="S539" s="4">
        <f t="shared" si="17"/>
        <v>1048507</v>
      </c>
      <c r="T5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0" spans="1:20" hidden="1" x14ac:dyDescent="0.25">
      <c r="A540" t="s">
        <v>7</v>
      </c>
      <c r="B540" s="28" t="s">
        <v>51</v>
      </c>
      <c r="C540" t="s">
        <v>6</v>
      </c>
      <c r="D540" t="str">
        <f>_xlfn.XLOOKUP(Table1[[#This Row],[Player]]&amp;Table1[[#This Row],[Week]]&amp;Table1[[#This Row],[Role]],'Google Form Transform'!$A:$A,'Google Form Transform'!E:E,"")</f>
        <v/>
      </c>
      <c r="E540" t="str">
        <f>_xlfn.XLOOKUP(Table1[[#This Row],[Player]]&amp;Table1[[#This Row],[Week]]&amp;Table1[[#This Row],[Role]],'Google Form Transform'!$A:$A,'Google Form Transform'!F:F,"")</f>
        <v/>
      </c>
      <c r="F540" t="str">
        <f>_xlfn.XLOOKUP(Table1[[#This Row],[Player]]&amp;Table1[[#This Row],[Week]]&amp;Table1[[#This Row],[Role]],'Google Form Transform'!$A:$A,'Google Form Transform'!G:G,"")</f>
        <v/>
      </c>
      <c r="G540" s="59">
        <f>SUMIFS(Table2[Stat],Table2[Stat Category],"passing",Table2[Stat Type],"YDS",Table2[Athlete],Table1[[#This Row],[Pick]],Table2[Week],Table1[[#This Row],[Week]])</f>
        <v>0</v>
      </c>
      <c r="H540" s="59">
        <f>SUMIFS(Table2[Stat],Table2[Stat Category],"rushing",Table2[Stat Type],"YDS",Table2[Athlete],Table1[[#This Row],[Pick]],Table2[Week],Table1[[#This Row],[Week]])</f>
        <v>0</v>
      </c>
      <c r="I540" s="59">
        <f>SUMIFS(Table2[Stat],Table2[Stat Category],"receiving",Table2[Stat Type],"YDS",Table2[Athlete],Table1[[#This Row],[Pick]],Table2[Week],Table1[[#This Row],[Week]])</f>
        <v>0</v>
      </c>
      <c r="J540" s="6">
        <f>IF(AND($C540="Rushing", $H540&lt;=0), 0, IF(AND($C540="Passing", $G$3&lt;=0), 0,IF(AND($C540="Receiving",$I540&lt;=0), 0,SUMIFS(Table2[Stat],Table2[Week],Table1[[#This Row],[Week]],Table2[Athlete],Table1[[#This Row],[Pick]],Table2[Stat Category],"passing",Table2[Stat Type],"TD"))))</f>
        <v>0</v>
      </c>
      <c r="K540" s="6">
        <f>IF(AND($C540="Rushing", $H540&lt;=0), 0, IF(AND($C540="Passing", $G$3&lt;=0), 0,IF(AND($C540="Receiving",$I540&lt;=0),0,SUMIFS(Table2[Stat],Table2[Week],Table1[[#This Row],[Week]],Table2[Athlete],Table1[[#This Row],[Pick]],Table2[Stat Category],"rushing",Table2[Stat Type],"TD"))))</f>
        <v>0</v>
      </c>
      <c r="L540" s="6">
        <f>IF(AND($C540="Rushing", $H540&lt;=0), 0, IF(AND($C540="Passing", $G$3&lt;=0), 0,IF(AND($C540="Receiving",$I540&lt;=0),0,SUMIFS(Table2[Stat],Table2[Week],Table1[[#This Row],[Week]],Table2[Athlete],Table1[[#This Row],[Pick]],Table2[Stat Category],"receiving",Table2[Stat Type],"TD"))))</f>
        <v>0</v>
      </c>
      <c r="M5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0" s="61">
        <f>SUMIFS(Data!$J:$J,Data!$A:$A,Info!$B540,Data!$G:$G,Info!$C540,Data!$I:$I,Info!$D540,Data!$H:$H,"TOT")</f>
        <v>0</v>
      </c>
      <c r="O540" s="61">
        <f>IF(C540="Defensive",SUMIFS(Data!$J:$J,Data!$A:$A,Info!$B540,Data!$I:$I,Info!$D540,Data!$H:$H,"INT"),0)</f>
        <v>0</v>
      </c>
      <c r="P540" s="61">
        <f>IF(Table1[[#This Row],[Role]]="Defensive",SUMIFS(Data!$J:$J,Data!$A:$A,Info!$B540,Data!$I:$I,Info!$D540,Data!$H:$H,$P$1),0)</f>
        <v>0</v>
      </c>
      <c r="Q540" s="65" t="str">
        <f>IF(Table1[[#This Row],[Pick]]="","",IF(S540&gt;1,400,IF(G540="","",IF(C540="Passing",(400-Table1[[#This Row],[Passing Yards]]-(30*Table1[[#This Row],[Passing TDs]])-(50*SUM(Table1[[#This Row],[Rushing TDs]:[Other TD''s]]))),IF(C540="Rushing",2*(200-Table1[[#This Row],[Rushing Yards]]-(30*Table1[[#This Row],[Passing TDs]])-50*(Table1[[#This Row],[Rushing TDs]]+Table1[[#This Row],[Receiving TDs]]+Table1[[#This Row],[Other TD''s]])),IF(C540="Receiving",2*(200-Table1[[#This Row],[Receiving Yards]]-(30*Table1[[#This Row],[Passing TDs]])-50*(Table1[[#This Row],[Rushing TDs]]+Table1[[#This Row],[Receiving TDs]]+Table1[[#This Row],[Other TD''s]])),IF(C540="Defensive",(25*(16-Table1[[#This Row],[Tackles]]-(8*(Table1[[#This Row],[Other TD''s]]+Table1[[#This Row],[Interceptions]]+Table1[[#This Row],[Fumbles Recovered]])))))))))))</f>
        <v/>
      </c>
      <c r="R540" s="3" t="str">
        <f t="shared" si="18"/>
        <v/>
      </c>
      <c r="S540" s="4">
        <f t="shared" si="17"/>
        <v>1048507</v>
      </c>
      <c r="T5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1" spans="1:20" hidden="1" x14ac:dyDescent="0.25">
      <c r="A541" t="s">
        <v>7</v>
      </c>
      <c r="B541" s="28" t="s">
        <v>51</v>
      </c>
      <c r="C541" t="s">
        <v>17</v>
      </c>
      <c r="D541" t="str">
        <f>_xlfn.XLOOKUP(Table1[[#This Row],[Player]]&amp;Table1[[#This Row],[Week]]&amp;Table1[[#This Row],[Role]],'Google Form Transform'!$A:$A,'Google Form Transform'!E:E,"")</f>
        <v/>
      </c>
      <c r="E541" t="str">
        <f>_xlfn.XLOOKUP(Table1[[#This Row],[Player]]&amp;Table1[[#This Row],[Week]]&amp;Table1[[#This Row],[Role]],'Google Form Transform'!$A:$A,'Google Form Transform'!F:F,"")</f>
        <v/>
      </c>
      <c r="F541" t="str">
        <f>_xlfn.XLOOKUP(Table1[[#This Row],[Player]]&amp;Table1[[#This Row],[Week]]&amp;Table1[[#This Row],[Role]],'Google Form Transform'!$A:$A,'Google Form Transform'!G:G,"")</f>
        <v/>
      </c>
      <c r="G541" s="59">
        <f>SUMIFS(Table2[Stat],Table2[Stat Category],"passing",Table2[Stat Type],"YDS",Table2[Athlete],Table1[[#This Row],[Pick]],Table2[Week],Table1[[#This Row],[Week]])</f>
        <v>0</v>
      </c>
      <c r="H541" s="59">
        <f>SUMIFS(Table2[Stat],Table2[Stat Category],"rushing",Table2[Stat Type],"YDS",Table2[Athlete],Table1[[#This Row],[Pick]],Table2[Week],Table1[[#This Row],[Week]])</f>
        <v>0</v>
      </c>
      <c r="I541" s="59">
        <f>SUMIFS(Table2[Stat],Table2[Stat Category],"receiving",Table2[Stat Type],"YDS",Table2[Athlete],Table1[[#This Row],[Pick]],Table2[Week],Table1[[#This Row],[Week]])</f>
        <v>0</v>
      </c>
      <c r="J541" s="6">
        <f>IF(AND($C541="Rushing", $H541&lt;=0), 0, IF(AND($C541="Passing", $G$3&lt;=0), 0,IF(AND($C541="Receiving",$I541&lt;=0), 0,SUMIFS(Table2[Stat],Table2[Week],Table1[[#This Row],[Week]],Table2[Athlete],Table1[[#This Row],[Pick]],Table2[Stat Category],"passing",Table2[Stat Type],"TD"))))</f>
        <v>0</v>
      </c>
      <c r="K541" s="6">
        <f>IF(AND($C541="Rushing", $H541&lt;=0), 0, IF(AND($C541="Passing", $G$3&lt;=0), 0,IF(AND($C541="Receiving",$I541&lt;=0),0,SUMIFS(Table2[Stat],Table2[Week],Table1[[#This Row],[Week]],Table2[Athlete],Table1[[#This Row],[Pick]],Table2[Stat Category],"rushing",Table2[Stat Type],"TD"))))</f>
        <v>0</v>
      </c>
      <c r="L541" s="6">
        <f>IF(AND($C541="Rushing", $H541&lt;=0), 0, IF(AND($C541="Passing", $G$3&lt;=0), 0,IF(AND($C541="Receiving",$I541&lt;=0),0,SUMIFS(Table2[Stat],Table2[Week],Table1[[#This Row],[Week]],Table2[Athlete],Table1[[#This Row],[Pick]],Table2[Stat Category],"receiving",Table2[Stat Type],"TD"))))</f>
        <v>0</v>
      </c>
      <c r="M5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1" s="61">
        <f>SUMIFS(Data!$J:$J,Data!$A:$A,Info!$B541,Data!$G:$G,Info!$C541,Data!$I:$I,Info!$D541,Data!$H:$H,"TOT")</f>
        <v>0</v>
      </c>
      <c r="O541" s="61">
        <f>IF(C541="Defensive",SUMIFS(Data!$J:$J,Data!$A:$A,Info!$B541,Data!$I:$I,Info!$D541,Data!$H:$H,"INT"),0)</f>
        <v>0</v>
      </c>
      <c r="P541" s="61">
        <f>IF(Table1[[#This Row],[Role]]="Defensive",SUMIFS(Data!$J:$J,Data!$A:$A,Info!$B541,Data!$I:$I,Info!$D541,Data!$H:$H,$P$1),0)</f>
        <v>0</v>
      </c>
      <c r="Q541" s="65" t="str">
        <f>IF(Table1[[#This Row],[Pick]]="","",IF(S541&gt;1,400,IF(G541="","",IF(C541="Passing",(400-Table1[[#This Row],[Passing Yards]]-(30*Table1[[#This Row],[Passing TDs]])-(50*SUM(Table1[[#This Row],[Rushing TDs]:[Other TD''s]]))),IF(C541="Rushing",2*(200-Table1[[#This Row],[Rushing Yards]]-(30*Table1[[#This Row],[Passing TDs]])-50*(Table1[[#This Row],[Rushing TDs]]+Table1[[#This Row],[Receiving TDs]]+Table1[[#This Row],[Other TD''s]])),IF(C541="Receiving",2*(200-Table1[[#This Row],[Receiving Yards]]-(30*Table1[[#This Row],[Passing TDs]])-50*(Table1[[#This Row],[Rushing TDs]]+Table1[[#This Row],[Receiving TDs]]+Table1[[#This Row],[Other TD''s]])),IF(C541="Defensive",(25*(16-Table1[[#This Row],[Tackles]]-(8*(Table1[[#This Row],[Other TD''s]]+Table1[[#This Row],[Interceptions]]+Table1[[#This Row],[Fumbles Recovered]])))))))))))</f>
        <v/>
      </c>
      <c r="R541" s="3" t="str">
        <f t="shared" si="18"/>
        <v/>
      </c>
      <c r="S541" s="4">
        <f t="shared" si="17"/>
        <v>1048507</v>
      </c>
      <c r="T5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2" spans="1:20" hidden="1" x14ac:dyDescent="0.25">
      <c r="A542" t="s">
        <v>7</v>
      </c>
      <c r="B542" s="28" t="s">
        <v>51</v>
      </c>
      <c r="C542" t="s">
        <v>20</v>
      </c>
      <c r="D542" t="str">
        <f>_xlfn.XLOOKUP(Table1[[#This Row],[Player]]&amp;Table1[[#This Row],[Week]]&amp;Table1[[#This Row],[Role]],'Google Form Transform'!$A:$A,'Google Form Transform'!E:E,"")</f>
        <v/>
      </c>
      <c r="E542" t="str">
        <f>_xlfn.XLOOKUP(Table1[[#This Row],[Player]]&amp;Table1[[#This Row],[Week]]&amp;Table1[[#This Row],[Role]],'Google Form Transform'!$A:$A,'Google Form Transform'!F:F,"")</f>
        <v/>
      </c>
      <c r="F542" t="str">
        <f>_xlfn.XLOOKUP(Table1[[#This Row],[Player]]&amp;Table1[[#This Row],[Week]]&amp;Table1[[#This Row],[Role]],'Google Form Transform'!$A:$A,'Google Form Transform'!G:G,"")</f>
        <v/>
      </c>
      <c r="G542" s="59">
        <f>SUMIFS(Table2[Stat],Table2[Stat Category],"passing",Table2[Stat Type],"YDS",Table2[Athlete],Table1[[#This Row],[Pick]],Table2[Week],Table1[[#This Row],[Week]])</f>
        <v>0</v>
      </c>
      <c r="H542" s="59">
        <f>SUMIFS(Table2[Stat],Table2[Stat Category],"rushing",Table2[Stat Type],"YDS",Table2[Athlete],Table1[[#This Row],[Pick]],Table2[Week],Table1[[#This Row],[Week]])</f>
        <v>0</v>
      </c>
      <c r="I542" s="59">
        <f>SUMIFS(Table2[Stat],Table2[Stat Category],"receiving",Table2[Stat Type],"YDS",Table2[Athlete],Table1[[#This Row],[Pick]],Table2[Week],Table1[[#This Row],[Week]])</f>
        <v>0</v>
      </c>
      <c r="J542" s="6">
        <f>IF(AND($C542="Rushing", $H542&lt;=0), 0, IF(AND($C542="Passing", $G$3&lt;=0), 0,IF(AND($C542="Receiving",$I542&lt;=0), 0,SUMIFS(Table2[Stat],Table2[Week],Table1[[#This Row],[Week]],Table2[Athlete],Table1[[#This Row],[Pick]],Table2[Stat Category],"passing",Table2[Stat Type],"TD"))))</f>
        <v>0</v>
      </c>
      <c r="K542" s="6">
        <f>IF(AND($C542="Rushing", $H542&lt;=0), 0, IF(AND($C542="Passing", $G$3&lt;=0), 0,IF(AND($C542="Receiving",$I542&lt;=0),0,SUMIFS(Table2[Stat],Table2[Week],Table1[[#This Row],[Week]],Table2[Athlete],Table1[[#This Row],[Pick]],Table2[Stat Category],"rushing",Table2[Stat Type],"TD"))))</f>
        <v>0</v>
      </c>
      <c r="L542" s="6">
        <f>IF(AND($C542="Rushing", $H542&lt;=0), 0, IF(AND($C542="Passing", $G$3&lt;=0), 0,IF(AND($C542="Receiving",$I542&lt;=0),0,SUMIFS(Table2[Stat],Table2[Week],Table1[[#This Row],[Week]],Table2[Athlete],Table1[[#This Row],[Pick]],Table2[Stat Category],"receiving",Table2[Stat Type],"TD"))))</f>
        <v>0</v>
      </c>
      <c r="M5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2" s="61">
        <f>SUMIFS(Data!$J:$J,Data!$A:$A,Info!$B542,Data!$G:$G,Info!$C542,Data!$I:$I,Info!$D542,Data!$H:$H,"TOT")</f>
        <v>0</v>
      </c>
      <c r="O542" s="61">
        <f>IF(C542="Defensive",SUMIFS(Data!$J:$J,Data!$A:$A,Info!$B542,Data!$I:$I,Info!$D542,Data!$H:$H,"INT"),0)</f>
        <v>0</v>
      </c>
      <c r="P542" s="61">
        <f>IF(Table1[[#This Row],[Role]]="Defensive",SUMIFS(Data!$J:$J,Data!$A:$A,Info!$B542,Data!$I:$I,Info!$D542,Data!$H:$H,$P$1),0)</f>
        <v>0</v>
      </c>
      <c r="Q542" s="65" t="str">
        <f>IF(Table1[[#This Row],[Pick]]="","",IF(S542&gt;1,400,IF(G542="","",IF(C542="Passing",(400-Table1[[#This Row],[Passing Yards]]-(30*Table1[[#This Row],[Passing TDs]])-(50*SUM(Table1[[#This Row],[Rushing TDs]:[Other TD''s]]))),IF(C542="Rushing",2*(200-Table1[[#This Row],[Rushing Yards]]-(30*Table1[[#This Row],[Passing TDs]])-50*(Table1[[#This Row],[Rushing TDs]]+Table1[[#This Row],[Receiving TDs]]+Table1[[#This Row],[Other TD''s]])),IF(C542="Receiving",2*(200-Table1[[#This Row],[Receiving Yards]]-(30*Table1[[#This Row],[Passing TDs]])-50*(Table1[[#This Row],[Rushing TDs]]+Table1[[#This Row],[Receiving TDs]]+Table1[[#This Row],[Other TD''s]])),IF(C542="Defensive",(25*(16-Table1[[#This Row],[Tackles]]-(8*(Table1[[#This Row],[Other TD''s]]+Table1[[#This Row],[Interceptions]]+Table1[[#This Row],[Fumbles Recovered]])))))))))))</f>
        <v/>
      </c>
      <c r="R542" s="3" t="str">
        <f t="shared" si="18"/>
        <v/>
      </c>
      <c r="S542" s="4">
        <f t="shared" si="17"/>
        <v>1048507</v>
      </c>
      <c r="T5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3" spans="1:20" hidden="1" x14ac:dyDescent="0.25">
      <c r="A543" t="s">
        <v>2</v>
      </c>
      <c r="B543" s="28" t="s">
        <v>52</v>
      </c>
      <c r="C543" t="s">
        <v>16</v>
      </c>
      <c r="D543" t="str">
        <f>_xlfn.XLOOKUP(Table1[[#This Row],[Player]]&amp;Table1[[#This Row],[Week]]&amp;Table1[[#This Row],[Role]],'Google Form Transform'!$A:$A,'Google Form Transform'!E:E,"")</f>
        <v/>
      </c>
      <c r="E543" t="str">
        <f>_xlfn.XLOOKUP(Table1[[#This Row],[Player]]&amp;Table1[[#This Row],[Week]]&amp;Table1[[#This Row],[Role]],'Google Form Transform'!$A:$A,'Google Form Transform'!F:F,"")</f>
        <v/>
      </c>
      <c r="F543" t="str">
        <f>_xlfn.XLOOKUP(Table1[[#This Row],[Player]]&amp;Table1[[#This Row],[Week]]&amp;Table1[[#This Row],[Role]],'Google Form Transform'!$A:$A,'Google Form Transform'!G:G,"")</f>
        <v/>
      </c>
      <c r="G543" s="59">
        <f>SUMIFS(Table2[Stat],Table2[Stat Category],"passing",Table2[Stat Type],"YDS",Table2[Athlete],Table1[[#This Row],[Pick]],Table2[Week],Table1[[#This Row],[Week]])</f>
        <v>0</v>
      </c>
      <c r="H543" s="59">
        <f>SUMIFS(Table2[Stat],Table2[Stat Category],"rushing",Table2[Stat Type],"YDS",Table2[Athlete],Table1[[#This Row],[Pick]],Table2[Week],Table1[[#This Row],[Week]])</f>
        <v>0</v>
      </c>
      <c r="I543" s="59">
        <f>SUMIFS(Table2[Stat],Table2[Stat Category],"receiving",Table2[Stat Type],"YDS",Table2[Athlete],Table1[[#This Row],[Pick]],Table2[Week],Table1[[#This Row],[Week]])</f>
        <v>0</v>
      </c>
      <c r="J543" s="6">
        <f>IF(AND($C543="Rushing", $H543&lt;=0), 0, IF(AND($C543="Passing", $G$3&lt;=0), 0,IF(AND($C543="Receiving",$I543&lt;=0), 0,SUMIFS(Table2[Stat],Table2[Week],Table1[[#This Row],[Week]],Table2[Athlete],Table1[[#This Row],[Pick]],Table2[Stat Category],"passing",Table2[Stat Type],"TD"))))</f>
        <v>0</v>
      </c>
      <c r="K543" s="6">
        <f>IF(AND($C543="Rushing", $H543&lt;=0), 0, IF(AND($C543="Passing", $G$3&lt;=0), 0,IF(AND($C543="Receiving",$I543&lt;=0),0,SUMIFS(Table2[Stat],Table2[Week],Table1[[#This Row],[Week]],Table2[Athlete],Table1[[#This Row],[Pick]],Table2[Stat Category],"rushing",Table2[Stat Type],"TD"))))</f>
        <v>0</v>
      </c>
      <c r="L543" s="6">
        <f>IF(AND($C543="Rushing", $H543&lt;=0), 0, IF(AND($C543="Passing", $G$3&lt;=0), 0,IF(AND($C543="Receiving",$I543&lt;=0),0,SUMIFS(Table2[Stat],Table2[Week],Table1[[#This Row],[Week]],Table2[Athlete],Table1[[#This Row],[Pick]],Table2[Stat Category],"receiving",Table2[Stat Type],"TD"))))</f>
        <v>0</v>
      </c>
      <c r="M5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3" s="61">
        <f>SUMIFS(Data!$J:$J,Data!$A:$A,Info!$B543,Data!$G:$G,Info!$C543,Data!$I:$I,Info!$D543,Data!$H:$H,"TOT")</f>
        <v>0</v>
      </c>
      <c r="O543" s="61">
        <f>IF(C543="Defensive",SUMIFS(Data!$J:$J,Data!$A:$A,Info!$B543,Data!$I:$I,Info!$D543,Data!$H:$H,"INT"),0)</f>
        <v>0</v>
      </c>
      <c r="P543" s="61">
        <f>IF(Table1[[#This Row],[Role]]="Defensive",SUMIFS(Data!$J:$J,Data!$A:$A,Info!$B543,Data!$I:$I,Info!$D543,Data!$H:$H,$P$1),0)</f>
        <v>0</v>
      </c>
      <c r="Q543" s="65" t="str">
        <f>IF(Table1[[#This Row],[Pick]]="","",IF(S543&gt;1,400,IF(G543="","",IF(C543="Passing",(400-Table1[[#This Row],[Passing Yards]]-(30*Table1[[#This Row],[Passing TDs]])-(50*SUM(Table1[[#This Row],[Rushing TDs]:[Other TD''s]]))),IF(C543="Rushing",2*(200-Table1[[#This Row],[Rushing Yards]]-(30*Table1[[#This Row],[Passing TDs]])-50*(Table1[[#This Row],[Rushing TDs]]+Table1[[#This Row],[Receiving TDs]]+Table1[[#This Row],[Other TD''s]])),IF(C543="Receiving",2*(200-Table1[[#This Row],[Receiving Yards]]-(30*Table1[[#This Row],[Passing TDs]])-50*(Table1[[#This Row],[Rushing TDs]]+Table1[[#This Row],[Receiving TDs]]+Table1[[#This Row],[Other TD''s]])),IF(C543="Defensive",(25*(16-Table1[[#This Row],[Tackles]]-(8*(Table1[[#This Row],[Other TD''s]]+Table1[[#This Row],[Interceptions]]+Table1[[#This Row],[Fumbles Recovered]])))))))))))</f>
        <v/>
      </c>
      <c r="R543" s="3" t="str">
        <f t="shared" si="18"/>
        <v/>
      </c>
      <c r="S543" s="4">
        <f t="shared" si="17"/>
        <v>1048507</v>
      </c>
      <c r="T5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4" spans="1:20" hidden="1" x14ac:dyDescent="0.25">
      <c r="A544" t="s">
        <v>2</v>
      </c>
      <c r="B544" s="28" t="s">
        <v>52</v>
      </c>
      <c r="C544" t="s">
        <v>6</v>
      </c>
      <c r="D544" t="str">
        <f>_xlfn.XLOOKUP(Table1[[#This Row],[Player]]&amp;Table1[[#This Row],[Week]]&amp;Table1[[#This Row],[Role]],'Google Form Transform'!$A:$A,'Google Form Transform'!E:E,"")</f>
        <v/>
      </c>
      <c r="E544" t="str">
        <f>_xlfn.XLOOKUP(Table1[[#This Row],[Player]]&amp;Table1[[#This Row],[Week]]&amp;Table1[[#This Row],[Role]],'Google Form Transform'!$A:$A,'Google Form Transform'!F:F,"")</f>
        <v/>
      </c>
      <c r="F544" t="str">
        <f>_xlfn.XLOOKUP(Table1[[#This Row],[Player]]&amp;Table1[[#This Row],[Week]]&amp;Table1[[#This Row],[Role]],'Google Form Transform'!$A:$A,'Google Form Transform'!G:G,"")</f>
        <v/>
      </c>
      <c r="G544" s="59">
        <f>SUMIFS(Table2[Stat],Table2[Stat Category],"passing",Table2[Stat Type],"YDS",Table2[Athlete],Table1[[#This Row],[Pick]],Table2[Week],Table1[[#This Row],[Week]])</f>
        <v>0</v>
      </c>
      <c r="H544" s="59">
        <f>SUMIFS(Table2[Stat],Table2[Stat Category],"rushing",Table2[Stat Type],"YDS",Table2[Athlete],Table1[[#This Row],[Pick]],Table2[Week],Table1[[#This Row],[Week]])</f>
        <v>0</v>
      </c>
      <c r="I544" s="59">
        <f>SUMIFS(Table2[Stat],Table2[Stat Category],"receiving",Table2[Stat Type],"YDS",Table2[Athlete],Table1[[#This Row],[Pick]],Table2[Week],Table1[[#This Row],[Week]])</f>
        <v>0</v>
      </c>
      <c r="J544" s="6">
        <f>IF(AND($C544="Rushing", $H544&lt;=0), 0, IF(AND($C544="Passing", $G$3&lt;=0), 0,IF(AND($C544="Receiving",$I544&lt;=0), 0,SUMIFS(Table2[Stat],Table2[Week],Table1[[#This Row],[Week]],Table2[Athlete],Table1[[#This Row],[Pick]],Table2[Stat Category],"passing",Table2[Stat Type],"TD"))))</f>
        <v>0</v>
      </c>
      <c r="K544" s="6">
        <f>IF(AND($C544="Rushing", $H544&lt;=0), 0, IF(AND($C544="Passing", $G$3&lt;=0), 0,IF(AND($C544="Receiving",$I544&lt;=0),0,SUMIFS(Table2[Stat],Table2[Week],Table1[[#This Row],[Week]],Table2[Athlete],Table1[[#This Row],[Pick]],Table2[Stat Category],"rushing",Table2[Stat Type],"TD"))))</f>
        <v>0</v>
      </c>
      <c r="L544" s="6">
        <f>IF(AND($C544="Rushing", $H544&lt;=0), 0, IF(AND($C544="Passing", $G$3&lt;=0), 0,IF(AND($C544="Receiving",$I544&lt;=0),0,SUMIFS(Table2[Stat],Table2[Week],Table1[[#This Row],[Week]],Table2[Athlete],Table1[[#This Row],[Pick]],Table2[Stat Category],"receiving",Table2[Stat Type],"TD"))))</f>
        <v>0</v>
      </c>
      <c r="M5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4" s="61">
        <f>SUMIFS(Data!$J:$J,Data!$A:$A,Info!$B544,Data!$G:$G,Info!$C544,Data!$I:$I,Info!$D544,Data!$H:$H,"TOT")</f>
        <v>0</v>
      </c>
      <c r="O544" s="61">
        <f>IF(C544="Defensive",SUMIFS(Data!$J:$J,Data!$A:$A,Info!$B544,Data!$I:$I,Info!$D544,Data!$H:$H,"INT"),0)</f>
        <v>0</v>
      </c>
      <c r="P544" s="61">
        <f>IF(Table1[[#This Row],[Role]]="Defensive",SUMIFS(Data!$J:$J,Data!$A:$A,Info!$B544,Data!$I:$I,Info!$D544,Data!$H:$H,$P$1),0)</f>
        <v>0</v>
      </c>
      <c r="Q544" s="65" t="str">
        <f>IF(Table1[[#This Row],[Pick]]="","",IF(S544&gt;1,400,IF(G544="","",IF(C544="Passing",(400-Table1[[#This Row],[Passing Yards]]-(30*Table1[[#This Row],[Passing TDs]])-(50*SUM(Table1[[#This Row],[Rushing TDs]:[Other TD''s]]))),IF(C544="Rushing",2*(200-Table1[[#This Row],[Rushing Yards]]-(30*Table1[[#This Row],[Passing TDs]])-50*(Table1[[#This Row],[Rushing TDs]]+Table1[[#This Row],[Receiving TDs]]+Table1[[#This Row],[Other TD''s]])),IF(C544="Receiving",2*(200-Table1[[#This Row],[Receiving Yards]]-(30*Table1[[#This Row],[Passing TDs]])-50*(Table1[[#This Row],[Rushing TDs]]+Table1[[#This Row],[Receiving TDs]]+Table1[[#This Row],[Other TD''s]])),IF(C544="Defensive",(25*(16-Table1[[#This Row],[Tackles]]-(8*(Table1[[#This Row],[Other TD''s]]+Table1[[#This Row],[Interceptions]]+Table1[[#This Row],[Fumbles Recovered]])))))))))))</f>
        <v/>
      </c>
      <c r="R544" s="3" t="str">
        <f t="shared" si="18"/>
        <v/>
      </c>
      <c r="S544" s="4">
        <f t="shared" si="17"/>
        <v>1048507</v>
      </c>
      <c r="T5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5" spans="1:20" hidden="1" x14ac:dyDescent="0.25">
      <c r="A545" t="s">
        <v>2</v>
      </c>
      <c r="B545" s="28" t="s">
        <v>52</v>
      </c>
      <c r="C545" t="s">
        <v>17</v>
      </c>
      <c r="D545" t="str">
        <f>_xlfn.XLOOKUP(Table1[[#This Row],[Player]]&amp;Table1[[#This Row],[Week]]&amp;Table1[[#This Row],[Role]],'Google Form Transform'!$A:$A,'Google Form Transform'!E:E,"")</f>
        <v/>
      </c>
      <c r="E545" t="str">
        <f>_xlfn.XLOOKUP(Table1[[#This Row],[Player]]&amp;Table1[[#This Row],[Week]]&amp;Table1[[#This Row],[Role]],'Google Form Transform'!$A:$A,'Google Form Transform'!F:F,"")</f>
        <v/>
      </c>
      <c r="F545" t="str">
        <f>_xlfn.XLOOKUP(Table1[[#This Row],[Player]]&amp;Table1[[#This Row],[Week]]&amp;Table1[[#This Row],[Role]],'Google Form Transform'!$A:$A,'Google Form Transform'!G:G,"")</f>
        <v/>
      </c>
      <c r="G545" s="59">
        <f>SUMIFS(Table2[Stat],Table2[Stat Category],"passing",Table2[Stat Type],"YDS",Table2[Athlete],Table1[[#This Row],[Pick]],Table2[Week],Table1[[#This Row],[Week]])</f>
        <v>0</v>
      </c>
      <c r="H545" s="59">
        <f>SUMIFS(Table2[Stat],Table2[Stat Category],"rushing",Table2[Stat Type],"YDS",Table2[Athlete],Table1[[#This Row],[Pick]],Table2[Week],Table1[[#This Row],[Week]])</f>
        <v>0</v>
      </c>
      <c r="I545" s="59">
        <f>SUMIFS(Table2[Stat],Table2[Stat Category],"receiving",Table2[Stat Type],"YDS",Table2[Athlete],Table1[[#This Row],[Pick]],Table2[Week],Table1[[#This Row],[Week]])</f>
        <v>0</v>
      </c>
      <c r="J545" s="6">
        <f>IF(AND($C545="Rushing", $H545&lt;=0), 0, IF(AND($C545="Passing", $G$3&lt;=0), 0,IF(AND($C545="Receiving",$I545&lt;=0), 0,SUMIFS(Table2[Stat],Table2[Week],Table1[[#This Row],[Week]],Table2[Athlete],Table1[[#This Row],[Pick]],Table2[Stat Category],"passing",Table2[Stat Type],"TD"))))</f>
        <v>0</v>
      </c>
      <c r="K545" s="6">
        <f>IF(AND($C545="Rushing", $H545&lt;=0), 0, IF(AND($C545="Passing", $G$3&lt;=0), 0,IF(AND($C545="Receiving",$I545&lt;=0),0,SUMIFS(Table2[Stat],Table2[Week],Table1[[#This Row],[Week]],Table2[Athlete],Table1[[#This Row],[Pick]],Table2[Stat Category],"rushing",Table2[Stat Type],"TD"))))</f>
        <v>0</v>
      </c>
      <c r="L545" s="6">
        <f>IF(AND($C545="Rushing", $H545&lt;=0), 0, IF(AND($C545="Passing", $G$3&lt;=0), 0,IF(AND($C545="Receiving",$I545&lt;=0),0,SUMIFS(Table2[Stat],Table2[Week],Table1[[#This Row],[Week]],Table2[Athlete],Table1[[#This Row],[Pick]],Table2[Stat Category],"receiving",Table2[Stat Type],"TD"))))</f>
        <v>0</v>
      </c>
      <c r="M5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5" s="61">
        <f>SUMIFS(Data!$J:$J,Data!$A:$A,Info!$B545,Data!$G:$G,Info!$C545,Data!$I:$I,Info!$D545,Data!$H:$H,"TOT")</f>
        <v>0</v>
      </c>
      <c r="O545" s="61">
        <f>IF(C545="Defensive",SUMIFS(Data!$J:$J,Data!$A:$A,Info!$B545,Data!$I:$I,Info!$D545,Data!$H:$H,"INT"),0)</f>
        <v>0</v>
      </c>
      <c r="P545" s="61">
        <f>IF(Table1[[#This Row],[Role]]="Defensive",SUMIFS(Data!$J:$J,Data!$A:$A,Info!$B545,Data!$I:$I,Info!$D545,Data!$H:$H,$P$1),0)</f>
        <v>0</v>
      </c>
      <c r="Q545" s="65" t="str">
        <f>IF(Table1[[#This Row],[Pick]]="","",IF(S545&gt;1,400,IF(G545="","",IF(C545="Passing",(400-Table1[[#This Row],[Passing Yards]]-(30*Table1[[#This Row],[Passing TDs]])-(50*SUM(Table1[[#This Row],[Rushing TDs]:[Other TD''s]]))),IF(C545="Rushing",2*(200-Table1[[#This Row],[Rushing Yards]]-(30*Table1[[#This Row],[Passing TDs]])-50*(Table1[[#This Row],[Rushing TDs]]+Table1[[#This Row],[Receiving TDs]]+Table1[[#This Row],[Other TD''s]])),IF(C545="Receiving",2*(200-Table1[[#This Row],[Receiving Yards]]-(30*Table1[[#This Row],[Passing TDs]])-50*(Table1[[#This Row],[Rushing TDs]]+Table1[[#This Row],[Receiving TDs]]+Table1[[#This Row],[Other TD''s]])),IF(C545="Defensive",(25*(16-Table1[[#This Row],[Tackles]]-(8*(Table1[[#This Row],[Other TD''s]]+Table1[[#This Row],[Interceptions]]+Table1[[#This Row],[Fumbles Recovered]])))))))))))</f>
        <v/>
      </c>
      <c r="R545" s="3" t="str">
        <f t="shared" si="18"/>
        <v/>
      </c>
      <c r="S545" s="4">
        <f t="shared" si="17"/>
        <v>1048507</v>
      </c>
      <c r="T5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6" spans="1:20" hidden="1" x14ac:dyDescent="0.25">
      <c r="A546" t="s">
        <v>2</v>
      </c>
      <c r="B546" s="28" t="s">
        <v>52</v>
      </c>
      <c r="C546" t="s">
        <v>20</v>
      </c>
      <c r="D546" t="str">
        <f>_xlfn.XLOOKUP(Table1[[#This Row],[Player]]&amp;Table1[[#This Row],[Week]]&amp;Table1[[#This Row],[Role]],'Google Form Transform'!$A:$A,'Google Form Transform'!E:E,"")</f>
        <v/>
      </c>
      <c r="E546" t="str">
        <f>_xlfn.XLOOKUP(Table1[[#This Row],[Player]]&amp;Table1[[#This Row],[Week]]&amp;Table1[[#This Row],[Role]],'Google Form Transform'!$A:$A,'Google Form Transform'!F:F,"")</f>
        <v/>
      </c>
      <c r="F546" t="str">
        <f>_xlfn.XLOOKUP(Table1[[#This Row],[Player]]&amp;Table1[[#This Row],[Week]]&amp;Table1[[#This Row],[Role]],'Google Form Transform'!$A:$A,'Google Form Transform'!G:G,"")</f>
        <v/>
      </c>
      <c r="G546" s="59">
        <f>SUMIFS(Table2[Stat],Table2[Stat Category],"passing",Table2[Stat Type],"YDS",Table2[Athlete],Table1[[#This Row],[Pick]],Table2[Week],Table1[[#This Row],[Week]])</f>
        <v>0</v>
      </c>
      <c r="H546" s="59">
        <f>SUMIFS(Table2[Stat],Table2[Stat Category],"rushing",Table2[Stat Type],"YDS",Table2[Athlete],Table1[[#This Row],[Pick]],Table2[Week],Table1[[#This Row],[Week]])</f>
        <v>0</v>
      </c>
      <c r="I546" s="59">
        <f>SUMIFS(Table2[Stat],Table2[Stat Category],"receiving",Table2[Stat Type],"YDS",Table2[Athlete],Table1[[#This Row],[Pick]],Table2[Week],Table1[[#This Row],[Week]])</f>
        <v>0</v>
      </c>
      <c r="J546" s="6">
        <f>IF(AND($C546="Rushing", $H546&lt;=0), 0, IF(AND($C546="Passing", $G$3&lt;=0), 0,IF(AND($C546="Receiving",$I546&lt;=0), 0,SUMIFS(Table2[Stat],Table2[Week],Table1[[#This Row],[Week]],Table2[Athlete],Table1[[#This Row],[Pick]],Table2[Stat Category],"passing",Table2[Stat Type],"TD"))))</f>
        <v>0</v>
      </c>
      <c r="K546" s="6">
        <f>IF(AND($C546="Rushing", $H546&lt;=0), 0, IF(AND($C546="Passing", $G$3&lt;=0), 0,IF(AND($C546="Receiving",$I546&lt;=0),0,SUMIFS(Table2[Stat],Table2[Week],Table1[[#This Row],[Week]],Table2[Athlete],Table1[[#This Row],[Pick]],Table2[Stat Category],"rushing",Table2[Stat Type],"TD"))))</f>
        <v>0</v>
      </c>
      <c r="L546" s="6">
        <f>IF(AND($C546="Rushing", $H546&lt;=0), 0, IF(AND($C546="Passing", $G$3&lt;=0), 0,IF(AND($C546="Receiving",$I546&lt;=0),0,SUMIFS(Table2[Stat],Table2[Week],Table1[[#This Row],[Week]],Table2[Athlete],Table1[[#This Row],[Pick]],Table2[Stat Category],"receiving",Table2[Stat Type],"TD"))))</f>
        <v>0</v>
      </c>
      <c r="M5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6" s="61">
        <f>SUMIFS(Data!$J:$J,Data!$A:$A,Info!$B546,Data!$G:$G,Info!$C546,Data!$I:$I,Info!$D546,Data!$H:$H,"TOT")</f>
        <v>0</v>
      </c>
      <c r="O546" s="61">
        <f>IF(C546="Defensive",SUMIFS(Data!$J:$J,Data!$A:$A,Info!$B546,Data!$I:$I,Info!$D546,Data!$H:$H,"INT"),0)</f>
        <v>0</v>
      </c>
      <c r="P546" s="61">
        <f>IF(Table1[[#This Row],[Role]]="Defensive",SUMIFS(Data!$J:$J,Data!$A:$A,Info!$B546,Data!$I:$I,Info!$D546,Data!$H:$H,$P$1),0)</f>
        <v>0</v>
      </c>
      <c r="Q546" s="65" t="str">
        <f>IF(Table1[[#This Row],[Pick]]="","",IF(S546&gt;1,400,IF(G546="","",IF(C546="Passing",(400-Table1[[#This Row],[Passing Yards]]-(30*Table1[[#This Row],[Passing TDs]])-(50*SUM(Table1[[#This Row],[Rushing TDs]:[Other TD''s]]))),IF(C546="Rushing",2*(200-Table1[[#This Row],[Rushing Yards]]-(30*Table1[[#This Row],[Passing TDs]])-50*(Table1[[#This Row],[Rushing TDs]]+Table1[[#This Row],[Receiving TDs]]+Table1[[#This Row],[Other TD''s]])),IF(C546="Receiving",2*(200-Table1[[#This Row],[Receiving Yards]]-(30*Table1[[#This Row],[Passing TDs]])-50*(Table1[[#This Row],[Rushing TDs]]+Table1[[#This Row],[Receiving TDs]]+Table1[[#This Row],[Other TD''s]])),IF(C546="Defensive",(25*(16-Table1[[#This Row],[Tackles]]-(8*(Table1[[#This Row],[Other TD''s]]+Table1[[#This Row],[Interceptions]]+Table1[[#This Row],[Fumbles Recovered]])))))))))))</f>
        <v/>
      </c>
      <c r="R546" s="3" t="str">
        <f t="shared" si="18"/>
        <v/>
      </c>
      <c r="S546" s="4">
        <f t="shared" si="17"/>
        <v>1048507</v>
      </c>
      <c r="T5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7" spans="1:20" hidden="1" x14ac:dyDescent="0.25">
      <c r="A547" t="s">
        <v>4</v>
      </c>
      <c r="B547" s="28" t="s">
        <v>52</v>
      </c>
      <c r="C547" t="s">
        <v>16</v>
      </c>
      <c r="D547" t="str">
        <f>_xlfn.XLOOKUP(Table1[[#This Row],[Player]]&amp;Table1[[#This Row],[Week]]&amp;Table1[[#This Row],[Role]],'Google Form Transform'!$A:$A,'Google Form Transform'!E:E,"")</f>
        <v/>
      </c>
      <c r="E547" t="str">
        <f>_xlfn.XLOOKUP(Table1[[#This Row],[Player]]&amp;Table1[[#This Row],[Week]]&amp;Table1[[#This Row],[Role]],'Google Form Transform'!$A:$A,'Google Form Transform'!F:F,"")</f>
        <v/>
      </c>
      <c r="F547" t="str">
        <f>_xlfn.XLOOKUP(Table1[[#This Row],[Player]]&amp;Table1[[#This Row],[Week]]&amp;Table1[[#This Row],[Role]],'Google Form Transform'!$A:$A,'Google Form Transform'!G:G,"")</f>
        <v/>
      </c>
      <c r="G547" s="59">
        <f>SUMIFS(Table2[Stat],Table2[Stat Category],"passing",Table2[Stat Type],"YDS",Table2[Athlete],Table1[[#This Row],[Pick]],Table2[Week],Table1[[#This Row],[Week]])</f>
        <v>0</v>
      </c>
      <c r="H547" s="59">
        <f>SUMIFS(Table2[Stat],Table2[Stat Category],"rushing",Table2[Stat Type],"YDS",Table2[Athlete],Table1[[#This Row],[Pick]],Table2[Week],Table1[[#This Row],[Week]])</f>
        <v>0</v>
      </c>
      <c r="I547" s="59">
        <f>SUMIFS(Table2[Stat],Table2[Stat Category],"receiving",Table2[Stat Type],"YDS",Table2[Athlete],Table1[[#This Row],[Pick]],Table2[Week],Table1[[#This Row],[Week]])</f>
        <v>0</v>
      </c>
      <c r="J547" s="6">
        <f>IF(AND($C547="Rushing", $H547&lt;=0), 0, IF(AND($C547="Passing", $G$3&lt;=0), 0,IF(AND($C547="Receiving",$I547&lt;=0), 0,SUMIFS(Table2[Stat],Table2[Week],Table1[[#This Row],[Week]],Table2[Athlete],Table1[[#This Row],[Pick]],Table2[Stat Category],"passing",Table2[Stat Type],"TD"))))</f>
        <v>0</v>
      </c>
      <c r="K547" s="6">
        <f>IF(AND($C547="Rushing", $H547&lt;=0), 0, IF(AND($C547="Passing", $G$3&lt;=0), 0,IF(AND($C547="Receiving",$I547&lt;=0),0,SUMIFS(Table2[Stat],Table2[Week],Table1[[#This Row],[Week]],Table2[Athlete],Table1[[#This Row],[Pick]],Table2[Stat Category],"rushing",Table2[Stat Type],"TD"))))</f>
        <v>0</v>
      </c>
      <c r="L547" s="6">
        <f>IF(AND($C547="Rushing", $H547&lt;=0), 0, IF(AND($C547="Passing", $G$3&lt;=0), 0,IF(AND($C547="Receiving",$I547&lt;=0),0,SUMIFS(Table2[Stat],Table2[Week],Table1[[#This Row],[Week]],Table2[Athlete],Table1[[#This Row],[Pick]],Table2[Stat Category],"receiving",Table2[Stat Type],"TD"))))</f>
        <v>0</v>
      </c>
      <c r="M5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7" s="61">
        <f>SUMIFS(Data!$J:$J,Data!$A:$A,Info!$B547,Data!$G:$G,Info!$C547,Data!$I:$I,Info!$D547,Data!$H:$H,"TOT")</f>
        <v>0</v>
      </c>
      <c r="O547" s="61">
        <f>IF(C547="Defensive",SUMIFS(Data!$J:$J,Data!$A:$A,Info!$B547,Data!$I:$I,Info!$D547,Data!$H:$H,"INT"),0)</f>
        <v>0</v>
      </c>
      <c r="P547" s="61">
        <f>IF(Table1[[#This Row],[Role]]="Defensive",SUMIFS(Data!$J:$J,Data!$A:$A,Info!$B547,Data!$I:$I,Info!$D547,Data!$H:$H,$P$1),0)</f>
        <v>0</v>
      </c>
      <c r="Q547" s="65" t="str">
        <f>IF(Table1[[#This Row],[Pick]]="","",IF(S547&gt;1,400,IF(G547="","",IF(C547="Passing",(400-Table1[[#This Row],[Passing Yards]]-(30*Table1[[#This Row],[Passing TDs]])-(50*SUM(Table1[[#This Row],[Rushing TDs]:[Other TD''s]]))),IF(C547="Rushing",2*(200-Table1[[#This Row],[Rushing Yards]]-(30*Table1[[#This Row],[Passing TDs]])-50*(Table1[[#This Row],[Rushing TDs]]+Table1[[#This Row],[Receiving TDs]]+Table1[[#This Row],[Other TD''s]])),IF(C547="Receiving",2*(200-Table1[[#This Row],[Receiving Yards]]-(30*Table1[[#This Row],[Passing TDs]])-50*(Table1[[#This Row],[Rushing TDs]]+Table1[[#This Row],[Receiving TDs]]+Table1[[#This Row],[Other TD''s]])),IF(C547="Defensive",(25*(16-Table1[[#This Row],[Tackles]]-(8*(Table1[[#This Row],[Other TD''s]]+Table1[[#This Row],[Interceptions]]+Table1[[#This Row],[Fumbles Recovered]])))))))))))</f>
        <v/>
      </c>
      <c r="R547" s="3" t="str">
        <f t="shared" si="18"/>
        <v/>
      </c>
      <c r="S547" s="4">
        <f t="shared" si="17"/>
        <v>1048507</v>
      </c>
      <c r="T5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8" spans="1:20" hidden="1" x14ac:dyDescent="0.25">
      <c r="A548" t="s">
        <v>4</v>
      </c>
      <c r="B548" s="28" t="s">
        <v>52</v>
      </c>
      <c r="C548" t="s">
        <v>6</v>
      </c>
      <c r="D548" t="str">
        <f>_xlfn.XLOOKUP(Table1[[#This Row],[Player]]&amp;Table1[[#This Row],[Week]]&amp;Table1[[#This Row],[Role]],'Google Form Transform'!$A:$A,'Google Form Transform'!E:E,"")</f>
        <v/>
      </c>
      <c r="E548" t="str">
        <f>_xlfn.XLOOKUP(Table1[[#This Row],[Player]]&amp;Table1[[#This Row],[Week]]&amp;Table1[[#This Row],[Role]],'Google Form Transform'!$A:$A,'Google Form Transform'!F:F,"")</f>
        <v/>
      </c>
      <c r="F548" t="str">
        <f>_xlfn.XLOOKUP(Table1[[#This Row],[Player]]&amp;Table1[[#This Row],[Week]]&amp;Table1[[#This Row],[Role]],'Google Form Transform'!$A:$A,'Google Form Transform'!G:G,"")</f>
        <v/>
      </c>
      <c r="G548" s="59">
        <f>SUMIFS(Table2[Stat],Table2[Stat Category],"passing",Table2[Stat Type],"YDS",Table2[Athlete],Table1[[#This Row],[Pick]],Table2[Week],Table1[[#This Row],[Week]])</f>
        <v>0</v>
      </c>
      <c r="H548" s="59">
        <f>SUMIFS(Table2[Stat],Table2[Stat Category],"rushing",Table2[Stat Type],"YDS",Table2[Athlete],Table1[[#This Row],[Pick]],Table2[Week],Table1[[#This Row],[Week]])</f>
        <v>0</v>
      </c>
      <c r="I548" s="59">
        <f>SUMIFS(Table2[Stat],Table2[Stat Category],"receiving",Table2[Stat Type],"YDS",Table2[Athlete],Table1[[#This Row],[Pick]],Table2[Week],Table1[[#This Row],[Week]])</f>
        <v>0</v>
      </c>
      <c r="J548" s="6">
        <f>IF(AND($C548="Rushing", $H548&lt;=0), 0, IF(AND($C548="Passing", $G$3&lt;=0), 0,IF(AND($C548="Receiving",$I548&lt;=0), 0,SUMIFS(Table2[Stat],Table2[Week],Table1[[#This Row],[Week]],Table2[Athlete],Table1[[#This Row],[Pick]],Table2[Stat Category],"passing",Table2[Stat Type],"TD"))))</f>
        <v>0</v>
      </c>
      <c r="K548" s="6">
        <f>IF(AND($C548="Rushing", $H548&lt;=0), 0, IF(AND($C548="Passing", $G$3&lt;=0), 0,IF(AND($C548="Receiving",$I548&lt;=0),0,SUMIFS(Table2[Stat],Table2[Week],Table1[[#This Row],[Week]],Table2[Athlete],Table1[[#This Row],[Pick]],Table2[Stat Category],"rushing",Table2[Stat Type],"TD"))))</f>
        <v>0</v>
      </c>
      <c r="L548" s="6">
        <f>IF(AND($C548="Rushing", $H548&lt;=0), 0, IF(AND($C548="Passing", $G$3&lt;=0), 0,IF(AND($C548="Receiving",$I548&lt;=0),0,SUMIFS(Table2[Stat],Table2[Week],Table1[[#This Row],[Week]],Table2[Athlete],Table1[[#This Row],[Pick]],Table2[Stat Category],"receiving",Table2[Stat Type],"TD"))))</f>
        <v>0</v>
      </c>
      <c r="M5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8" s="61">
        <f>SUMIFS(Data!$J:$J,Data!$A:$A,Info!$B548,Data!$G:$G,Info!$C548,Data!$I:$I,Info!$D548,Data!$H:$H,"TOT")</f>
        <v>0</v>
      </c>
      <c r="O548" s="61">
        <f>IF(C548="Defensive",SUMIFS(Data!$J:$J,Data!$A:$A,Info!$B548,Data!$I:$I,Info!$D548,Data!$H:$H,"INT"),0)</f>
        <v>0</v>
      </c>
      <c r="P548" s="61">
        <f>IF(Table1[[#This Row],[Role]]="Defensive",SUMIFS(Data!$J:$J,Data!$A:$A,Info!$B548,Data!$I:$I,Info!$D548,Data!$H:$H,$P$1),0)</f>
        <v>0</v>
      </c>
      <c r="Q548" s="65" t="str">
        <f>IF(Table1[[#This Row],[Pick]]="","",IF(S548&gt;1,400,IF(G548="","",IF(C548="Passing",(400-Table1[[#This Row],[Passing Yards]]-(30*Table1[[#This Row],[Passing TDs]])-(50*SUM(Table1[[#This Row],[Rushing TDs]:[Other TD''s]]))),IF(C548="Rushing",2*(200-Table1[[#This Row],[Rushing Yards]]-(30*Table1[[#This Row],[Passing TDs]])-50*(Table1[[#This Row],[Rushing TDs]]+Table1[[#This Row],[Receiving TDs]]+Table1[[#This Row],[Other TD''s]])),IF(C548="Receiving",2*(200-Table1[[#This Row],[Receiving Yards]]-(30*Table1[[#This Row],[Passing TDs]])-50*(Table1[[#This Row],[Rushing TDs]]+Table1[[#This Row],[Receiving TDs]]+Table1[[#This Row],[Other TD''s]])),IF(C548="Defensive",(25*(16-Table1[[#This Row],[Tackles]]-(8*(Table1[[#This Row],[Other TD''s]]+Table1[[#This Row],[Interceptions]]+Table1[[#This Row],[Fumbles Recovered]])))))))))))</f>
        <v/>
      </c>
      <c r="R548" s="3" t="str">
        <f t="shared" si="18"/>
        <v/>
      </c>
      <c r="S548" s="4">
        <f t="shared" si="17"/>
        <v>1048507</v>
      </c>
      <c r="T5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9" spans="1:20" hidden="1" x14ac:dyDescent="0.25">
      <c r="A549" t="s">
        <v>4</v>
      </c>
      <c r="B549" s="28" t="s">
        <v>52</v>
      </c>
      <c r="C549" t="s">
        <v>17</v>
      </c>
      <c r="D549" t="str">
        <f>_xlfn.XLOOKUP(Table1[[#This Row],[Player]]&amp;Table1[[#This Row],[Week]]&amp;Table1[[#This Row],[Role]],'Google Form Transform'!$A:$A,'Google Form Transform'!E:E,"")</f>
        <v/>
      </c>
      <c r="E549" t="str">
        <f>_xlfn.XLOOKUP(Table1[[#This Row],[Player]]&amp;Table1[[#This Row],[Week]]&amp;Table1[[#This Row],[Role]],'Google Form Transform'!$A:$A,'Google Form Transform'!F:F,"")</f>
        <v/>
      </c>
      <c r="F549" t="str">
        <f>_xlfn.XLOOKUP(Table1[[#This Row],[Player]]&amp;Table1[[#This Row],[Week]]&amp;Table1[[#This Row],[Role]],'Google Form Transform'!$A:$A,'Google Form Transform'!G:G,"")</f>
        <v/>
      </c>
      <c r="G549" s="59">
        <f>SUMIFS(Table2[Stat],Table2[Stat Category],"passing",Table2[Stat Type],"YDS",Table2[Athlete],Table1[[#This Row],[Pick]],Table2[Week],Table1[[#This Row],[Week]])</f>
        <v>0</v>
      </c>
      <c r="H549" s="59">
        <f>SUMIFS(Table2[Stat],Table2[Stat Category],"rushing",Table2[Stat Type],"YDS",Table2[Athlete],Table1[[#This Row],[Pick]],Table2[Week],Table1[[#This Row],[Week]])</f>
        <v>0</v>
      </c>
      <c r="I549" s="59">
        <f>SUMIFS(Table2[Stat],Table2[Stat Category],"receiving",Table2[Stat Type],"YDS",Table2[Athlete],Table1[[#This Row],[Pick]],Table2[Week],Table1[[#This Row],[Week]])</f>
        <v>0</v>
      </c>
      <c r="J549" s="6">
        <f>IF(AND($C549="Rushing", $H549&lt;=0), 0, IF(AND($C549="Passing", $G$3&lt;=0), 0,IF(AND($C549="Receiving",$I549&lt;=0), 0,SUMIFS(Table2[Stat],Table2[Week],Table1[[#This Row],[Week]],Table2[Athlete],Table1[[#This Row],[Pick]],Table2[Stat Category],"passing",Table2[Stat Type],"TD"))))</f>
        <v>0</v>
      </c>
      <c r="K549" s="6">
        <f>IF(AND($C549="Rushing", $H549&lt;=0), 0, IF(AND($C549="Passing", $G$3&lt;=0), 0,IF(AND($C549="Receiving",$I549&lt;=0),0,SUMIFS(Table2[Stat],Table2[Week],Table1[[#This Row],[Week]],Table2[Athlete],Table1[[#This Row],[Pick]],Table2[Stat Category],"rushing",Table2[Stat Type],"TD"))))</f>
        <v>0</v>
      </c>
      <c r="L549" s="6">
        <f>IF(AND($C549="Rushing", $H549&lt;=0), 0, IF(AND($C549="Passing", $G$3&lt;=0), 0,IF(AND($C549="Receiving",$I549&lt;=0),0,SUMIFS(Table2[Stat],Table2[Week],Table1[[#This Row],[Week]],Table2[Athlete],Table1[[#This Row],[Pick]],Table2[Stat Category],"receiving",Table2[Stat Type],"TD"))))</f>
        <v>0</v>
      </c>
      <c r="M5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9" s="61">
        <f>SUMIFS(Data!$J:$J,Data!$A:$A,Info!$B549,Data!$G:$G,Info!$C549,Data!$I:$I,Info!$D549,Data!$H:$H,"TOT")</f>
        <v>0</v>
      </c>
      <c r="O549" s="61">
        <f>IF(C549="Defensive",SUMIFS(Data!$J:$J,Data!$A:$A,Info!$B549,Data!$I:$I,Info!$D549,Data!$H:$H,"INT"),0)</f>
        <v>0</v>
      </c>
      <c r="P549" s="61">
        <f>IF(Table1[[#This Row],[Role]]="Defensive",SUMIFS(Data!$J:$J,Data!$A:$A,Info!$B549,Data!$I:$I,Info!$D549,Data!$H:$H,$P$1),0)</f>
        <v>0</v>
      </c>
      <c r="Q549" s="65" t="str">
        <f>IF(Table1[[#This Row],[Pick]]="","",IF(S549&gt;1,400,IF(G549="","",IF(C549="Passing",(400-Table1[[#This Row],[Passing Yards]]-(30*Table1[[#This Row],[Passing TDs]])-(50*SUM(Table1[[#This Row],[Rushing TDs]:[Other TD''s]]))),IF(C549="Rushing",2*(200-Table1[[#This Row],[Rushing Yards]]-(30*Table1[[#This Row],[Passing TDs]])-50*(Table1[[#This Row],[Rushing TDs]]+Table1[[#This Row],[Receiving TDs]]+Table1[[#This Row],[Other TD''s]])),IF(C549="Receiving",2*(200-Table1[[#This Row],[Receiving Yards]]-(30*Table1[[#This Row],[Passing TDs]])-50*(Table1[[#This Row],[Rushing TDs]]+Table1[[#This Row],[Receiving TDs]]+Table1[[#This Row],[Other TD''s]])),IF(C549="Defensive",(25*(16-Table1[[#This Row],[Tackles]]-(8*(Table1[[#This Row],[Other TD''s]]+Table1[[#This Row],[Interceptions]]+Table1[[#This Row],[Fumbles Recovered]])))))))))))</f>
        <v/>
      </c>
      <c r="R549" s="3" t="str">
        <f t="shared" si="18"/>
        <v/>
      </c>
      <c r="S549" s="4">
        <f t="shared" si="17"/>
        <v>1048507</v>
      </c>
      <c r="T5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0" spans="1:20" hidden="1" x14ac:dyDescent="0.25">
      <c r="A550" t="s">
        <v>4</v>
      </c>
      <c r="B550" s="28" t="s">
        <v>52</v>
      </c>
      <c r="C550" t="s">
        <v>20</v>
      </c>
      <c r="D550" t="str">
        <f>_xlfn.XLOOKUP(Table1[[#This Row],[Player]]&amp;Table1[[#This Row],[Week]]&amp;Table1[[#This Row],[Role]],'Google Form Transform'!$A:$A,'Google Form Transform'!E:E,"")</f>
        <v/>
      </c>
      <c r="E550" t="str">
        <f>_xlfn.XLOOKUP(Table1[[#This Row],[Player]]&amp;Table1[[#This Row],[Week]]&amp;Table1[[#This Row],[Role]],'Google Form Transform'!$A:$A,'Google Form Transform'!F:F,"")</f>
        <v/>
      </c>
      <c r="F550" t="str">
        <f>_xlfn.XLOOKUP(Table1[[#This Row],[Player]]&amp;Table1[[#This Row],[Week]]&amp;Table1[[#This Row],[Role]],'Google Form Transform'!$A:$A,'Google Form Transform'!G:G,"")</f>
        <v/>
      </c>
      <c r="G550" s="59">
        <f>SUMIFS(Table2[Stat],Table2[Stat Category],"passing",Table2[Stat Type],"YDS",Table2[Athlete],Table1[[#This Row],[Pick]],Table2[Week],Table1[[#This Row],[Week]])</f>
        <v>0</v>
      </c>
      <c r="H550" s="59">
        <f>SUMIFS(Table2[Stat],Table2[Stat Category],"rushing",Table2[Stat Type],"YDS",Table2[Athlete],Table1[[#This Row],[Pick]],Table2[Week],Table1[[#This Row],[Week]])</f>
        <v>0</v>
      </c>
      <c r="I550" s="59">
        <f>SUMIFS(Table2[Stat],Table2[Stat Category],"receiving",Table2[Stat Type],"YDS",Table2[Athlete],Table1[[#This Row],[Pick]],Table2[Week],Table1[[#This Row],[Week]])</f>
        <v>0</v>
      </c>
      <c r="J550" s="6">
        <f>IF(AND($C550="Rushing", $H550&lt;=0), 0, IF(AND($C550="Passing", $G$3&lt;=0), 0,IF(AND($C550="Receiving",$I550&lt;=0), 0,SUMIFS(Table2[Stat],Table2[Week],Table1[[#This Row],[Week]],Table2[Athlete],Table1[[#This Row],[Pick]],Table2[Stat Category],"passing",Table2[Stat Type],"TD"))))</f>
        <v>0</v>
      </c>
      <c r="K550" s="6">
        <f>IF(AND($C550="Rushing", $H550&lt;=0), 0, IF(AND($C550="Passing", $G$3&lt;=0), 0,IF(AND($C550="Receiving",$I550&lt;=0),0,SUMIFS(Table2[Stat],Table2[Week],Table1[[#This Row],[Week]],Table2[Athlete],Table1[[#This Row],[Pick]],Table2[Stat Category],"rushing",Table2[Stat Type],"TD"))))</f>
        <v>0</v>
      </c>
      <c r="L550" s="6">
        <f>IF(AND($C550="Rushing", $H550&lt;=0), 0, IF(AND($C550="Passing", $G$3&lt;=0), 0,IF(AND($C550="Receiving",$I550&lt;=0),0,SUMIFS(Table2[Stat],Table2[Week],Table1[[#This Row],[Week]],Table2[Athlete],Table1[[#This Row],[Pick]],Table2[Stat Category],"receiving",Table2[Stat Type],"TD"))))</f>
        <v>0</v>
      </c>
      <c r="M5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0" s="61">
        <f>SUMIFS(Data!$J:$J,Data!$A:$A,Info!$B550,Data!$G:$G,Info!$C550,Data!$I:$I,Info!$D550,Data!$H:$H,"TOT")</f>
        <v>0</v>
      </c>
      <c r="O550" s="61">
        <f>IF(C550="Defensive",SUMIFS(Data!$J:$J,Data!$A:$A,Info!$B550,Data!$I:$I,Info!$D550,Data!$H:$H,"INT"),0)</f>
        <v>0</v>
      </c>
      <c r="P550" s="61">
        <f>IF(Table1[[#This Row],[Role]]="Defensive",SUMIFS(Data!$J:$J,Data!$A:$A,Info!$B550,Data!$I:$I,Info!$D550,Data!$H:$H,$P$1),0)</f>
        <v>0</v>
      </c>
      <c r="Q550" s="65" t="str">
        <f>IF(Table1[[#This Row],[Pick]]="","",IF(S550&gt;1,400,IF(G550="","",IF(C550="Passing",(400-Table1[[#This Row],[Passing Yards]]-(30*Table1[[#This Row],[Passing TDs]])-(50*SUM(Table1[[#This Row],[Rushing TDs]:[Other TD''s]]))),IF(C550="Rushing",2*(200-Table1[[#This Row],[Rushing Yards]]-(30*Table1[[#This Row],[Passing TDs]])-50*(Table1[[#This Row],[Rushing TDs]]+Table1[[#This Row],[Receiving TDs]]+Table1[[#This Row],[Other TD''s]])),IF(C550="Receiving",2*(200-Table1[[#This Row],[Receiving Yards]]-(30*Table1[[#This Row],[Passing TDs]])-50*(Table1[[#This Row],[Rushing TDs]]+Table1[[#This Row],[Receiving TDs]]+Table1[[#This Row],[Other TD''s]])),IF(C550="Defensive",(25*(16-Table1[[#This Row],[Tackles]]-(8*(Table1[[#This Row],[Other TD''s]]+Table1[[#This Row],[Interceptions]]+Table1[[#This Row],[Fumbles Recovered]])))))))))))</f>
        <v/>
      </c>
      <c r="R550" s="3" t="str">
        <f t="shared" si="18"/>
        <v/>
      </c>
      <c r="S550" s="4">
        <f t="shared" si="17"/>
        <v>1048507</v>
      </c>
      <c r="T5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1" spans="1:20" hidden="1" x14ac:dyDescent="0.25">
      <c r="A551" t="s">
        <v>79</v>
      </c>
      <c r="B551" s="28" t="s">
        <v>52</v>
      </c>
      <c r="C551" t="s">
        <v>16</v>
      </c>
      <c r="D551" t="str">
        <f>_xlfn.XLOOKUP(Table1[[#This Row],[Player]]&amp;Table1[[#This Row],[Week]]&amp;Table1[[#This Row],[Role]],'Google Form Transform'!$A:$A,'Google Form Transform'!E:E,"")</f>
        <v/>
      </c>
      <c r="E551" t="str">
        <f>_xlfn.XLOOKUP(Table1[[#This Row],[Player]]&amp;Table1[[#This Row],[Week]]&amp;Table1[[#This Row],[Role]],'Google Form Transform'!$A:$A,'Google Form Transform'!F:F,"")</f>
        <v/>
      </c>
      <c r="F551" t="str">
        <f>_xlfn.XLOOKUP(Table1[[#This Row],[Player]]&amp;Table1[[#This Row],[Week]]&amp;Table1[[#This Row],[Role]],'Google Form Transform'!$A:$A,'Google Form Transform'!G:G,"")</f>
        <v/>
      </c>
      <c r="G551" s="59">
        <f>SUMIFS(Table2[Stat],Table2[Stat Category],"passing",Table2[Stat Type],"YDS",Table2[Athlete],Table1[[#This Row],[Pick]],Table2[Week],Table1[[#This Row],[Week]])</f>
        <v>0</v>
      </c>
      <c r="H551" s="59">
        <f>SUMIFS(Table2[Stat],Table2[Stat Category],"rushing",Table2[Stat Type],"YDS",Table2[Athlete],Table1[[#This Row],[Pick]],Table2[Week],Table1[[#This Row],[Week]])</f>
        <v>0</v>
      </c>
      <c r="I551" s="59">
        <f>SUMIFS(Table2[Stat],Table2[Stat Category],"receiving",Table2[Stat Type],"YDS",Table2[Athlete],Table1[[#This Row],[Pick]],Table2[Week],Table1[[#This Row],[Week]])</f>
        <v>0</v>
      </c>
      <c r="J551" s="6">
        <f>IF(AND($C551="Rushing", $H551&lt;=0), 0, IF(AND($C551="Passing", $G$3&lt;=0), 0,IF(AND($C551="Receiving",$I551&lt;=0), 0,SUMIFS(Table2[Stat],Table2[Week],Table1[[#This Row],[Week]],Table2[Athlete],Table1[[#This Row],[Pick]],Table2[Stat Category],"passing",Table2[Stat Type],"TD"))))</f>
        <v>0</v>
      </c>
      <c r="K551" s="6">
        <f>IF(AND($C551="Rushing", $H551&lt;=0), 0, IF(AND($C551="Passing", $G$3&lt;=0), 0,IF(AND($C551="Receiving",$I551&lt;=0),0,SUMIFS(Table2[Stat],Table2[Week],Table1[[#This Row],[Week]],Table2[Athlete],Table1[[#This Row],[Pick]],Table2[Stat Category],"rushing",Table2[Stat Type],"TD"))))</f>
        <v>0</v>
      </c>
      <c r="L551" s="6">
        <f>IF(AND($C551="Rushing", $H551&lt;=0), 0, IF(AND($C551="Passing", $G$3&lt;=0), 0,IF(AND($C551="Receiving",$I551&lt;=0),0,SUMIFS(Table2[Stat],Table2[Week],Table1[[#This Row],[Week]],Table2[Athlete],Table1[[#This Row],[Pick]],Table2[Stat Category],"receiving",Table2[Stat Type],"TD"))))</f>
        <v>0</v>
      </c>
      <c r="M5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1" s="61">
        <f>SUMIFS(Data!$J:$J,Data!$A:$A,Info!$B551,Data!$G:$G,Info!$C551,Data!$I:$I,Info!$D551,Data!$H:$H,"TOT")</f>
        <v>0</v>
      </c>
      <c r="O551" s="61">
        <f>IF(C551="Defensive",SUMIFS(Data!$J:$J,Data!$A:$A,Info!$B551,Data!$I:$I,Info!$D551,Data!$H:$H,"INT"),0)</f>
        <v>0</v>
      </c>
      <c r="P551" s="61">
        <f>IF(Table1[[#This Row],[Role]]="Defensive",SUMIFS(Data!$J:$J,Data!$A:$A,Info!$B551,Data!$I:$I,Info!$D551,Data!$H:$H,$P$1),0)</f>
        <v>0</v>
      </c>
      <c r="Q551" s="65" t="str">
        <f>IF(Table1[[#This Row],[Pick]]="","",IF(S551&gt;1,400,IF(G551="","",IF(C551="Passing",(400-Table1[[#This Row],[Passing Yards]]-(30*Table1[[#This Row],[Passing TDs]])-(50*SUM(Table1[[#This Row],[Rushing TDs]:[Other TD''s]]))),IF(C551="Rushing",2*(200-Table1[[#This Row],[Rushing Yards]]-(30*Table1[[#This Row],[Passing TDs]])-50*(Table1[[#This Row],[Rushing TDs]]+Table1[[#This Row],[Receiving TDs]]+Table1[[#This Row],[Other TD''s]])),IF(C551="Receiving",2*(200-Table1[[#This Row],[Receiving Yards]]-(30*Table1[[#This Row],[Passing TDs]])-50*(Table1[[#This Row],[Rushing TDs]]+Table1[[#This Row],[Receiving TDs]]+Table1[[#This Row],[Other TD''s]])),IF(C551="Defensive",(25*(16-Table1[[#This Row],[Tackles]]-(8*(Table1[[#This Row],[Other TD''s]]+Table1[[#This Row],[Interceptions]]+Table1[[#This Row],[Fumbles Recovered]])))))))))))</f>
        <v/>
      </c>
      <c r="R551" s="3" t="str">
        <f t="shared" si="18"/>
        <v/>
      </c>
      <c r="S551" s="4">
        <f t="shared" si="17"/>
        <v>1048507</v>
      </c>
      <c r="T5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2" spans="1:20" hidden="1" x14ac:dyDescent="0.25">
      <c r="A552" t="s">
        <v>79</v>
      </c>
      <c r="B552" s="28" t="s">
        <v>52</v>
      </c>
      <c r="C552" t="s">
        <v>6</v>
      </c>
      <c r="D552" t="str">
        <f>_xlfn.XLOOKUP(Table1[[#This Row],[Player]]&amp;Table1[[#This Row],[Week]]&amp;Table1[[#This Row],[Role]],'Google Form Transform'!$A:$A,'Google Form Transform'!E:E,"")</f>
        <v/>
      </c>
      <c r="E552" t="str">
        <f>_xlfn.XLOOKUP(Table1[[#This Row],[Player]]&amp;Table1[[#This Row],[Week]]&amp;Table1[[#This Row],[Role]],'Google Form Transform'!$A:$A,'Google Form Transform'!F:F,"")</f>
        <v/>
      </c>
      <c r="F552" t="str">
        <f>_xlfn.XLOOKUP(Table1[[#This Row],[Player]]&amp;Table1[[#This Row],[Week]]&amp;Table1[[#This Row],[Role]],'Google Form Transform'!$A:$A,'Google Form Transform'!G:G,"")</f>
        <v/>
      </c>
      <c r="G552" s="59">
        <f>SUMIFS(Table2[Stat],Table2[Stat Category],"passing",Table2[Stat Type],"YDS",Table2[Athlete],Table1[[#This Row],[Pick]],Table2[Week],Table1[[#This Row],[Week]])</f>
        <v>0</v>
      </c>
      <c r="H552" s="59">
        <f>SUMIFS(Table2[Stat],Table2[Stat Category],"rushing",Table2[Stat Type],"YDS",Table2[Athlete],Table1[[#This Row],[Pick]],Table2[Week],Table1[[#This Row],[Week]])</f>
        <v>0</v>
      </c>
      <c r="I552" s="59">
        <f>SUMIFS(Table2[Stat],Table2[Stat Category],"receiving",Table2[Stat Type],"YDS",Table2[Athlete],Table1[[#This Row],[Pick]],Table2[Week],Table1[[#This Row],[Week]])</f>
        <v>0</v>
      </c>
      <c r="J552" s="6">
        <f>IF(AND($C552="Rushing", $H552&lt;=0), 0, IF(AND($C552="Passing", $G$3&lt;=0), 0,IF(AND($C552="Receiving",$I552&lt;=0), 0,SUMIFS(Table2[Stat],Table2[Week],Table1[[#This Row],[Week]],Table2[Athlete],Table1[[#This Row],[Pick]],Table2[Stat Category],"passing",Table2[Stat Type],"TD"))))</f>
        <v>0</v>
      </c>
      <c r="K552" s="6">
        <f>IF(AND($C552="Rushing", $H552&lt;=0), 0, IF(AND($C552="Passing", $G$3&lt;=0), 0,IF(AND($C552="Receiving",$I552&lt;=0),0,SUMIFS(Table2[Stat],Table2[Week],Table1[[#This Row],[Week]],Table2[Athlete],Table1[[#This Row],[Pick]],Table2[Stat Category],"rushing",Table2[Stat Type],"TD"))))</f>
        <v>0</v>
      </c>
      <c r="L552" s="6">
        <f>IF(AND($C552="Rushing", $H552&lt;=0), 0, IF(AND($C552="Passing", $G$3&lt;=0), 0,IF(AND($C552="Receiving",$I552&lt;=0),0,SUMIFS(Table2[Stat],Table2[Week],Table1[[#This Row],[Week]],Table2[Athlete],Table1[[#This Row],[Pick]],Table2[Stat Category],"receiving",Table2[Stat Type],"TD"))))</f>
        <v>0</v>
      </c>
      <c r="M5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2" s="61">
        <f>SUMIFS(Data!$J:$J,Data!$A:$A,Info!$B552,Data!$G:$G,Info!$C552,Data!$I:$I,Info!$D552,Data!$H:$H,"TOT")</f>
        <v>0</v>
      </c>
      <c r="O552" s="61">
        <f>IF(C552="Defensive",SUMIFS(Data!$J:$J,Data!$A:$A,Info!$B552,Data!$I:$I,Info!$D552,Data!$H:$H,"INT"),0)</f>
        <v>0</v>
      </c>
      <c r="P552" s="61">
        <f>IF(Table1[[#This Row],[Role]]="Defensive",SUMIFS(Data!$J:$J,Data!$A:$A,Info!$B552,Data!$I:$I,Info!$D552,Data!$H:$H,$P$1),0)</f>
        <v>0</v>
      </c>
      <c r="Q552" s="65" t="str">
        <f>IF(Table1[[#This Row],[Pick]]="","",IF(S552&gt;1,400,IF(G552="","",IF(C552="Passing",(400-Table1[[#This Row],[Passing Yards]]-(30*Table1[[#This Row],[Passing TDs]])-(50*SUM(Table1[[#This Row],[Rushing TDs]:[Other TD''s]]))),IF(C552="Rushing",2*(200-Table1[[#This Row],[Rushing Yards]]-(30*Table1[[#This Row],[Passing TDs]])-50*(Table1[[#This Row],[Rushing TDs]]+Table1[[#This Row],[Receiving TDs]]+Table1[[#This Row],[Other TD''s]])),IF(C552="Receiving",2*(200-Table1[[#This Row],[Receiving Yards]]-(30*Table1[[#This Row],[Passing TDs]])-50*(Table1[[#This Row],[Rushing TDs]]+Table1[[#This Row],[Receiving TDs]]+Table1[[#This Row],[Other TD''s]])),IF(C552="Defensive",(25*(16-Table1[[#This Row],[Tackles]]-(8*(Table1[[#This Row],[Other TD''s]]+Table1[[#This Row],[Interceptions]]+Table1[[#This Row],[Fumbles Recovered]])))))))))))</f>
        <v/>
      </c>
      <c r="R552" s="3" t="str">
        <f t="shared" si="18"/>
        <v/>
      </c>
      <c r="S552" s="4">
        <f t="shared" si="17"/>
        <v>1048507</v>
      </c>
      <c r="T5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3" spans="1:20" hidden="1" x14ac:dyDescent="0.25">
      <c r="A553" t="s">
        <v>79</v>
      </c>
      <c r="B553" s="28" t="s">
        <v>52</v>
      </c>
      <c r="C553" t="s">
        <v>17</v>
      </c>
      <c r="D553" t="str">
        <f>_xlfn.XLOOKUP(Table1[[#This Row],[Player]]&amp;Table1[[#This Row],[Week]]&amp;Table1[[#This Row],[Role]],'Google Form Transform'!$A:$A,'Google Form Transform'!E:E,"")</f>
        <v/>
      </c>
      <c r="E553" t="str">
        <f>_xlfn.XLOOKUP(Table1[[#This Row],[Player]]&amp;Table1[[#This Row],[Week]]&amp;Table1[[#This Row],[Role]],'Google Form Transform'!$A:$A,'Google Form Transform'!F:F,"")</f>
        <v/>
      </c>
      <c r="F553" t="str">
        <f>_xlfn.XLOOKUP(Table1[[#This Row],[Player]]&amp;Table1[[#This Row],[Week]]&amp;Table1[[#This Row],[Role]],'Google Form Transform'!$A:$A,'Google Form Transform'!G:G,"")</f>
        <v/>
      </c>
      <c r="G553" s="59">
        <f>SUMIFS(Table2[Stat],Table2[Stat Category],"passing",Table2[Stat Type],"YDS",Table2[Athlete],Table1[[#This Row],[Pick]],Table2[Week],Table1[[#This Row],[Week]])</f>
        <v>0</v>
      </c>
      <c r="H553" s="59">
        <f>SUMIFS(Table2[Stat],Table2[Stat Category],"rushing",Table2[Stat Type],"YDS",Table2[Athlete],Table1[[#This Row],[Pick]],Table2[Week],Table1[[#This Row],[Week]])</f>
        <v>0</v>
      </c>
      <c r="I553" s="59">
        <f>SUMIFS(Table2[Stat],Table2[Stat Category],"receiving",Table2[Stat Type],"YDS",Table2[Athlete],Table1[[#This Row],[Pick]],Table2[Week],Table1[[#This Row],[Week]])</f>
        <v>0</v>
      </c>
      <c r="J553" s="6">
        <f>IF(AND($C553="Rushing", $H553&lt;=0), 0, IF(AND($C553="Passing", $G$3&lt;=0), 0,IF(AND($C553="Receiving",$I553&lt;=0), 0,SUMIFS(Table2[Stat],Table2[Week],Table1[[#This Row],[Week]],Table2[Athlete],Table1[[#This Row],[Pick]],Table2[Stat Category],"passing",Table2[Stat Type],"TD"))))</f>
        <v>0</v>
      </c>
      <c r="K553" s="6">
        <f>IF(AND($C553="Rushing", $H553&lt;=0), 0, IF(AND($C553="Passing", $G$3&lt;=0), 0,IF(AND($C553="Receiving",$I553&lt;=0),0,SUMIFS(Table2[Stat],Table2[Week],Table1[[#This Row],[Week]],Table2[Athlete],Table1[[#This Row],[Pick]],Table2[Stat Category],"rushing",Table2[Stat Type],"TD"))))</f>
        <v>0</v>
      </c>
      <c r="L553" s="6">
        <f>IF(AND($C553="Rushing", $H553&lt;=0), 0, IF(AND($C553="Passing", $G$3&lt;=0), 0,IF(AND($C553="Receiving",$I553&lt;=0),0,SUMIFS(Table2[Stat],Table2[Week],Table1[[#This Row],[Week]],Table2[Athlete],Table1[[#This Row],[Pick]],Table2[Stat Category],"receiving",Table2[Stat Type],"TD"))))</f>
        <v>0</v>
      </c>
      <c r="M5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3" s="61">
        <f>SUMIFS(Data!$J:$J,Data!$A:$A,Info!$B553,Data!$G:$G,Info!$C553,Data!$I:$I,Info!$D553,Data!$H:$H,"TOT")</f>
        <v>0</v>
      </c>
      <c r="O553" s="61">
        <f>IF(C553="Defensive",SUMIFS(Data!$J:$J,Data!$A:$A,Info!$B553,Data!$I:$I,Info!$D553,Data!$H:$H,"INT"),0)</f>
        <v>0</v>
      </c>
      <c r="P553" s="61">
        <f>IF(Table1[[#This Row],[Role]]="Defensive",SUMIFS(Data!$J:$J,Data!$A:$A,Info!$B553,Data!$I:$I,Info!$D553,Data!$H:$H,$P$1),0)</f>
        <v>0</v>
      </c>
      <c r="Q553" s="65" t="str">
        <f>IF(Table1[[#This Row],[Pick]]="","",IF(S553&gt;1,400,IF(G553="","",IF(C553="Passing",(400-Table1[[#This Row],[Passing Yards]]-(30*Table1[[#This Row],[Passing TDs]])-(50*SUM(Table1[[#This Row],[Rushing TDs]:[Other TD''s]]))),IF(C553="Rushing",2*(200-Table1[[#This Row],[Rushing Yards]]-(30*Table1[[#This Row],[Passing TDs]])-50*(Table1[[#This Row],[Rushing TDs]]+Table1[[#This Row],[Receiving TDs]]+Table1[[#This Row],[Other TD''s]])),IF(C553="Receiving",2*(200-Table1[[#This Row],[Receiving Yards]]-(30*Table1[[#This Row],[Passing TDs]])-50*(Table1[[#This Row],[Rushing TDs]]+Table1[[#This Row],[Receiving TDs]]+Table1[[#This Row],[Other TD''s]])),IF(C553="Defensive",(25*(16-Table1[[#This Row],[Tackles]]-(8*(Table1[[#This Row],[Other TD''s]]+Table1[[#This Row],[Interceptions]]+Table1[[#This Row],[Fumbles Recovered]])))))))))))</f>
        <v/>
      </c>
      <c r="R553" s="3" t="str">
        <f t="shared" si="18"/>
        <v/>
      </c>
      <c r="S553" s="4">
        <f t="shared" si="17"/>
        <v>1048507</v>
      </c>
      <c r="T5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4" spans="1:20" hidden="1" x14ac:dyDescent="0.25">
      <c r="A554" t="s">
        <v>79</v>
      </c>
      <c r="B554" s="28" t="s">
        <v>52</v>
      </c>
      <c r="C554" t="s">
        <v>20</v>
      </c>
      <c r="D554" t="str">
        <f>_xlfn.XLOOKUP(Table1[[#This Row],[Player]]&amp;Table1[[#This Row],[Week]]&amp;Table1[[#This Row],[Role]],'Google Form Transform'!$A:$A,'Google Form Transform'!E:E,"")</f>
        <v/>
      </c>
      <c r="E554" t="str">
        <f>_xlfn.XLOOKUP(Table1[[#This Row],[Player]]&amp;Table1[[#This Row],[Week]]&amp;Table1[[#This Row],[Role]],'Google Form Transform'!$A:$A,'Google Form Transform'!F:F,"")</f>
        <v/>
      </c>
      <c r="F554" t="str">
        <f>_xlfn.XLOOKUP(Table1[[#This Row],[Player]]&amp;Table1[[#This Row],[Week]]&amp;Table1[[#This Row],[Role]],'Google Form Transform'!$A:$A,'Google Form Transform'!G:G,"")</f>
        <v/>
      </c>
      <c r="G554" s="59">
        <f>SUMIFS(Table2[Stat],Table2[Stat Category],"passing",Table2[Stat Type],"YDS",Table2[Athlete],Table1[[#This Row],[Pick]],Table2[Week],Table1[[#This Row],[Week]])</f>
        <v>0</v>
      </c>
      <c r="H554" s="59">
        <f>SUMIFS(Table2[Stat],Table2[Stat Category],"rushing",Table2[Stat Type],"YDS",Table2[Athlete],Table1[[#This Row],[Pick]],Table2[Week],Table1[[#This Row],[Week]])</f>
        <v>0</v>
      </c>
      <c r="I554" s="59">
        <f>SUMIFS(Table2[Stat],Table2[Stat Category],"receiving",Table2[Stat Type],"YDS",Table2[Athlete],Table1[[#This Row],[Pick]],Table2[Week],Table1[[#This Row],[Week]])</f>
        <v>0</v>
      </c>
      <c r="J554" s="6">
        <f>IF(AND($C554="Rushing", $H554&lt;=0), 0, IF(AND($C554="Passing", $G$3&lt;=0), 0,IF(AND($C554="Receiving",$I554&lt;=0), 0,SUMIFS(Table2[Stat],Table2[Week],Table1[[#This Row],[Week]],Table2[Athlete],Table1[[#This Row],[Pick]],Table2[Stat Category],"passing",Table2[Stat Type],"TD"))))</f>
        <v>0</v>
      </c>
      <c r="K554" s="6">
        <f>IF(AND($C554="Rushing", $H554&lt;=0), 0, IF(AND($C554="Passing", $G$3&lt;=0), 0,IF(AND($C554="Receiving",$I554&lt;=0),0,SUMIFS(Table2[Stat],Table2[Week],Table1[[#This Row],[Week]],Table2[Athlete],Table1[[#This Row],[Pick]],Table2[Stat Category],"rushing",Table2[Stat Type],"TD"))))</f>
        <v>0</v>
      </c>
      <c r="L554" s="6">
        <f>IF(AND($C554="Rushing", $H554&lt;=0), 0, IF(AND($C554="Passing", $G$3&lt;=0), 0,IF(AND($C554="Receiving",$I554&lt;=0),0,SUMIFS(Table2[Stat],Table2[Week],Table1[[#This Row],[Week]],Table2[Athlete],Table1[[#This Row],[Pick]],Table2[Stat Category],"receiving",Table2[Stat Type],"TD"))))</f>
        <v>0</v>
      </c>
      <c r="M5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4" s="61">
        <f>SUMIFS(Data!$J:$J,Data!$A:$A,Info!$B554,Data!$G:$G,Info!$C554,Data!$I:$I,Info!$D554,Data!$H:$H,"TOT")</f>
        <v>0</v>
      </c>
      <c r="O554" s="61">
        <f>IF(C554="Defensive",SUMIFS(Data!$J:$J,Data!$A:$A,Info!$B554,Data!$I:$I,Info!$D554,Data!$H:$H,"INT"),0)</f>
        <v>0</v>
      </c>
      <c r="P554" s="61">
        <f>IF(Table1[[#This Row],[Role]]="Defensive",SUMIFS(Data!$J:$J,Data!$A:$A,Info!$B554,Data!$I:$I,Info!$D554,Data!$H:$H,$P$1),0)</f>
        <v>0</v>
      </c>
      <c r="Q554" s="65" t="str">
        <f>IF(Table1[[#This Row],[Pick]]="","",IF(S554&gt;1,400,IF(G554="","",IF(C554="Passing",(400-Table1[[#This Row],[Passing Yards]]-(30*Table1[[#This Row],[Passing TDs]])-(50*SUM(Table1[[#This Row],[Rushing TDs]:[Other TD''s]]))),IF(C554="Rushing",2*(200-Table1[[#This Row],[Rushing Yards]]-(30*Table1[[#This Row],[Passing TDs]])-50*(Table1[[#This Row],[Rushing TDs]]+Table1[[#This Row],[Receiving TDs]]+Table1[[#This Row],[Other TD''s]])),IF(C554="Receiving",2*(200-Table1[[#This Row],[Receiving Yards]]-(30*Table1[[#This Row],[Passing TDs]])-50*(Table1[[#This Row],[Rushing TDs]]+Table1[[#This Row],[Receiving TDs]]+Table1[[#This Row],[Other TD''s]])),IF(C554="Defensive",(25*(16-Table1[[#This Row],[Tackles]]-(8*(Table1[[#This Row],[Other TD''s]]+Table1[[#This Row],[Interceptions]]+Table1[[#This Row],[Fumbles Recovered]])))))))))))</f>
        <v/>
      </c>
      <c r="R554" s="3" t="str">
        <f t="shared" si="18"/>
        <v/>
      </c>
      <c r="S554" s="4">
        <f t="shared" si="17"/>
        <v>1048507</v>
      </c>
      <c r="T5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5" spans="1:20" hidden="1" x14ac:dyDescent="0.25">
      <c r="A555" t="s">
        <v>58</v>
      </c>
      <c r="B555" s="28" t="s">
        <v>52</v>
      </c>
      <c r="C555" t="s">
        <v>16</v>
      </c>
      <c r="D555" t="str">
        <f>_xlfn.XLOOKUP(Table1[[#This Row],[Player]]&amp;Table1[[#This Row],[Week]]&amp;Table1[[#This Row],[Role]],'Google Form Transform'!$A:$A,'Google Form Transform'!E:E,"")</f>
        <v/>
      </c>
      <c r="E555" t="str">
        <f>_xlfn.XLOOKUP(Table1[[#This Row],[Player]]&amp;Table1[[#This Row],[Week]]&amp;Table1[[#This Row],[Role]],'Google Form Transform'!$A:$A,'Google Form Transform'!F:F,"")</f>
        <v/>
      </c>
      <c r="F555" t="str">
        <f>_xlfn.XLOOKUP(Table1[[#This Row],[Player]]&amp;Table1[[#This Row],[Week]]&amp;Table1[[#This Row],[Role]],'Google Form Transform'!$A:$A,'Google Form Transform'!G:G,"")</f>
        <v/>
      </c>
      <c r="G555" s="59">
        <f>SUMIFS(Table2[Stat],Table2[Stat Category],"passing",Table2[Stat Type],"YDS",Table2[Athlete],Table1[[#This Row],[Pick]],Table2[Week],Table1[[#This Row],[Week]])</f>
        <v>0</v>
      </c>
      <c r="H555" s="59">
        <f>SUMIFS(Table2[Stat],Table2[Stat Category],"rushing",Table2[Stat Type],"YDS",Table2[Athlete],Table1[[#This Row],[Pick]],Table2[Week],Table1[[#This Row],[Week]])</f>
        <v>0</v>
      </c>
      <c r="I555" s="59">
        <f>SUMIFS(Table2[Stat],Table2[Stat Category],"receiving",Table2[Stat Type],"YDS",Table2[Athlete],Table1[[#This Row],[Pick]],Table2[Week],Table1[[#This Row],[Week]])</f>
        <v>0</v>
      </c>
      <c r="J555" s="6">
        <f>IF(AND($C555="Rushing", $H555&lt;=0), 0, IF(AND($C555="Passing", $G$3&lt;=0), 0,IF(AND($C555="Receiving",$I555&lt;=0), 0,SUMIFS(Table2[Stat],Table2[Week],Table1[[#This Row],[Week]],Table2[Athlete],Table1[[#This Row],[Pick]],Table2[Stat Category],"passing",Table2[Stat Type],"TD"))))</f>
        <v>0</v>
      </c>
      <c r="K555" s="6">
        <f>IF(AND($C555="Rushing", $H555&lt;=0), 0, IF(AND($C555="Passing", $G$3&lt;=0), 0,IF(AND($C555="Receiving",$I555&lt;=0),0,SUMIFS(Table2[Stat],Table2[Week],Table1[[#This Row],[Week]],Table2[Athlete],Table1[[#This Row],[Pick]],Table2[Stat Category],"rushing",Table2[Stat Type],"TD"))))</f>
        <v>0</v>
      </c>
      <c r="L555" s="6">
        <f>IF(AND($C555="Rushing", $H555&lt;=0), 0, IF(AND($C555="Passing", $G$3&lt;=0), 0,IF(AND($C555="Receiving",$I555&lt;=0),0,SUMIFS(Table2[Stat],Table2[Week],Table1[[#This Row],[Week]],Table2[Athlete],Table1[[#This Row],[Pick]],Table2[Stat Category],"receiving",Table2[Stat Type],"TD"))))</f>
        <v>0</v>
      </c>
      <c r="M5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5" s="61">
        <f>SUMIFS(Data!$J:$J,Data!$A:$A,Info!$B555,Data!$G:$G,Info!$C555,Data!$I:$I,Info!$D555,Data!$H:$H,"TOT")</f>
        <v>0</v>
      </c>
      <c r="O555" s="61">
        <f>IF(C555="Defensive",SUMIFS(Data!$J:$J,Data!$A:$A,Info!$B555,Data!$I:$I,Info!$D555,Data!$H:$H,"INT"),0)</f>
        <v>0</v>
      </c>
      <c r="P555" s="61">
        <f>IF(Table1[[#This Row],[Role]]="Defensive",SUMIFS(Data!$J:$J,Data!$A:$A,Info!$B555,Data!$I:$I,Info!$D555,Data!$H:$H,$P$1),0)</f>
        <v>0</v>
      </c>
      <c r="Q555" s="65" t="str">
        <f>IF(Table1[[#This Row],[Pick]]="","",IF(S555&gt;1,400,IF(G555="","",IF(C555="Passing",(400-Table1[[#This Row],[Passing Yards]]-(30*Table1[[#This Row],[Passing TDs]])-(50*SUM(Table1[[#This Row],[Rushing TDs]:[Other TD''s]]))),IF(C555="Rushing",2*(200-Table1[[#This Row],[Rushing Yards]]-(30*Table1[[#This Row],[Passing TDs]])-50*(Table1[[#This Row],[Rushing TDs]]+Table1[[#This Row],[Receiving TDs]]+Table1[[#This Row],[Other TD''s]])),IF(C555="Receiving",2*(200-Table1[[#This Row],[Receiving Yards]]-(30*Table1[[#This Row],[Passing TDs]])-50*(Table1[[#This Row],[Rushing TDs]]+Table1[[#This Row],[Receiving TDs]]+Table1[[#This Row],[Other TD''s]])),IF(C555="Defensive",(25*(16-Table1[[#This Row],[Tackles]]-(8*(Table1[[#This Row],[Other TD''s]]+Table1[[#This Row],[Interceptions]]+Table1[[#This Row],[Fumbles Recovered]])))))))))))</f>
        <v/>
      </c>
      <c r="R555" s="3" t="str">
        <f t="shared" si="18"/>
        <v/>
      </c>
      <c r="S555" s="4">
        <f t="shared" si="17"/>
        <v>1048507</v>
      </c>
      <c r="T5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6" spans="1:20" hidden="1" x14ac:dyDescent="0.25">
      <c r="A556" t="s">
        <v>58</v>
      </c>
      <c r="B556" s="28" t="s">
        <v>52</v>
      </c>
      <c r="C556" t="s">
        <v>6</v>
      </c>
      <c r="D556" t="str">
        <f>_xlfn.XLOOKUP(Table1[[#This Row],[Player]]&amp;Table1[[#This Row],[Week]]&amp;Table1[[#This Row],[Role]],'Google Form Transform'!$A:$A,'Google Form Transform'!E:E,"")</f>
        <v/>
      </c>
      <c r="E556" t="str">
        <f>_xlfn.XLOOKUP(Table1[[#This Row],[Player]]&amp;Table1[[#This Row],[Week]]&amp;Table1[[#This Row],[Role]],'Google Form Transform'!$A:$A,'Google Form Transform'!F:F,"")</f>
        <v/>
      </c>
      <c r="F556" t="str">
        <f>_xlfn.XLOOKUP(Table1[[#This Row],[Player]]&amp;Table1[[#This Row],[Week]]&amp;Table1[[#This Row],[Role]],'Google Form Transform'!$A:$A,'Google Form Transform'!G:G,"")</f>
        <v/>
      </c>
      <c r="G556" s="59">
        <f>SUMIFS(Table2[Stat],Table2[Stat Category],"passing",Table2[Stat Type],"YDS",Table2[Athlete],Table1[[#This Row],[Pick]],Table2[Week],Table1[[#This Row],[Week]])</f>
        <v>0</v>
      </c>
      <c r="H556" s="59">
        <f>SUMIFS(Table2[Stat],Table2[Stat Category],"rushing",Table2[Stat Type],"YDS",Table2[Athlete],Table1[[#This Row],[Pick]],Table2[Week],Table1[[#This Row],[Week]])</f>
        <v>0</v>
      </c>
      <c r="I556" s="59">
        <f>SUMIFS(Table2[Stat],Table2[Stat Category],"receiving",Table2[Stat Type],"YDS",Table2[Athlete],Table1[[#This Row],[Pick]],Table2[Week],Table1[[#This Row],[Week]])</f>
        <v>0</v>
      </c>
      <c r="J556" s="6">
        <f>IF(AND($C556="Rushing", $H556&lt;=0), 0, IF(AND($C556="Passing", $G$3&lt;=0), 0,IF(AND($C556="Receiving",$I556&lt;=0), 0,SUMIFS(Table2[Stat],Table2[Week],Table1[[#This Row],[Week]],Table2[Athlete],Table1[[#This Row],[Pick]],Table2[Stat Category],"passing",Table2[Stat Type],"TD"))))</f>
        <v>0</v>
      </c>
      <c r="K556" s="6">
        <f>IF(AND($C556="Rushing", $H556&lt;=0), 0, IF(AND($C556="Passing", $G$3&lt;=0), 0,IF(AND($C556="Receiving",$I556&lt;=0),0,SUMIFS(Table2[Stat],Table2[Week],Table1[[#This Row],[Week]],Table2[Athlete],Table1[[#This Row],[Pick]],Table2[Stat Category],"rushing",Table2[Stat Type],"TD"))))</f>
        <v>0</v>
      </c>
      <c r="L556" s="6">
        <f>IF(AND($C556="Rushing", $H556&lt;=0), 0, IF(AND($C556="Passing", $G$3&lt;=0), 0,IF(AND($C556="Receiving",$I556&lt;=0),0,SUMIFS(Table2[Stat],Table2[Week],Table1[[#This Row],[Week]],Table2[Athlete],Table1[[#This Row],[Pick]],Table2[Stat Category],"receiving",Table2[Stat Type],"TD"))))</f>
        <v>0</v>
      </c>
      <c r="M5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6" s="61">
        <f>SUMIFS(Data!$J:$J,Data!$A:$A,Info!$B556,Data!$G:$G,Info!$C556,Data!$I:$I,Info!$D556,Data!$H:$H,"TOT")</f>
        <v>0</v>
      </c>
      <c r="O556" s="61">
        <f>IF(C556="Defensive",SUMIFS(Data!$J:$J,Data!$A:$A,Info!$B556,Data!$I:$I,Info!$D556,Data!$H:$H,"INT"),0)</f>
        <v>0</v>
      </c>
      <c r="P556" s="61">
        <f>IF(Table1[[#This Row],[Role]]="Defensive",SUMIFS(Data!$J:$J,Data!$A:$A,Info!$B556,Data!$I:$I,Info!$D556,Data!$H:$H,$P$1),0)</f>
        <v>0</v>
      </c>
      <c r="Q556" s="65" t="str">
        <f>IF(Table1[[#This Row],[Pick]]="","",IF(S556&gt;1,400,IF(G556="","",IF(C556="Passing",(400-Table1[[#This Row],[Passing Yards]]-(30*Table1[[#This Row],[Passing TDs]])-(50*SUM(Table1[[#This Row],[Rushing TDs]:[Other TD''s]]))),IF(C556="Rushing",2*(200-Table1[[#This Row],[Rushing Yards]]-(30*Table1[[#This Row],[Passing TDs]])-50*(Table1[[#This Row],[Rushing TDs]]+Table1[[#This Row],[Receiving TDs]]+Table1[[#This Row],[Other TD''s]])),IF(C556="Receiving",2*(200-Table1[[#This Row],[Receiving Yards]]-(30*Table1[[#This Row],[Passing TDs]])-50*(Table1[[#This Row],[Rushing TDs]]+Table1[[#This Row],[Receiving TDs]]+Table1[[#This Row],[Other TD''s]])),IF(C556="Defensive",(25*(16-Table1[[#This Row],[Tackles]]-(8*(Table1[[#This Row],[Other TD''s]]+Table1[[#This Row],[Interceptions]]+Table1[[#This Row],[Fumbles Recovered]])))))))))))</f>
        <v/>
      </c>
      <c r="R556" s="3" t="str">
        <f t="shared" si="18"/>
        <v/>
      </c>
      <c r="S556" s="4">
        <f t="shared" si="17"/>
        <v>1048507</v>
      </c>
      <c r="T5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7" spans="1:20" hidden="1" x14ac:dyDescent="0.25">
      <c r="A557" t="s">
        <v>58</v>
      </c>
      <c r="B557" s="28" t="s">
        <v>52</v>
      </c>
      <c r="C557" t="s">
        <v>17</v>
      </c>
      <c r="D557" t="str">
        <f>_xlfn.XLOOKUP(Table1[[#This Row],[Player]]&amp;Table1[[#This Row],[Week]]&amp;Table1[[#This Row],[Role]],'Google Form Transform'!$A:$A,'Google Form Transform'!E:E,"")</f>
        <v/>
      </c>
      <c r="E557" t="str">
        <f>_xlfn.XLOOKUP(Table1[[#This Row],[Player]]&amp;Table1[[#This Row],[Week]]&amp;Table1[[#This Row],[Role]],'Google Form Transform'!$A:$A,'Google Form Transform'!F:F,"")</f>
        <v/>
      </c>
      <c r="F557" t="str">
        <f>_xlfn.XLOOKUP(Table1[[#This Row],[Player]]&amp;Table1[[#This Row],[Week]]&amp;Table1[[#This Row],[Role]],'Google Form Transform'!$A:$A,'Google Form Transform'!G:G,"")</f>
        <v/>
      </c>
      <c r="G557" s="59">
        <f>SUMIFS(Table2[Stat],Table2[Stat Category],"passing",Table2[Stat Type],"YDS",Table2[Athlete],Table1[[#This Row],[Pick]],Table2[Week],Table1[[#This Row],[Week]])</f>
        <v>0</v>
      </c>
      <c r="H557" s="59">
        <f>SUMIFS(Table2[Stat],Table2[Stat Category],"rushing",Table2[Stat Type],"YDS",Table2[Athlete],Table1[[#This Row],[Pick]],Table2[Week],Table1[[#This Row],[Week]])</f>
        <v>0</v>
      </c>
      <c r="I557" s="59">
        <f>SUMIFS(Table2[Stat],Table2[Stat Category],"receiving",Table2[Stat Type],"YDS",Table2[Athlete],Table1[[#This Row],[Pick]],Table2[Week],Table1[[#This Row],[Week]])</f>
        <v>0</v>
      </c>
      <c r="J557" s="6">
        <f>IF(AND($C557="Rushing", $H557&lt;=0), 0, IF(AND($C557="Passing", $G$3&lt;=0), 0,IF(AND($C557="Receiving",$I557&lt;=0), 0,SUMIFS(Table2[Stat],Table2[Week],Table1[[#This Row],[Week]],Table2[Athlete],Table1[[#This Row],[Pick]],Table2[Stat Category],"passing",Table2[Stat Type],"TD"))))</f>
        <v>0</v>
      </c>
      <c r="K557" s="6">
        <f>IF(AND($C557="Rushing", $H557&lt;=0), 0, IF(AND($C557="Passing", $G$3&lt;=0), 0,IF(AND($C557="Receiving",$I557&lt;=0),0,SUMIFS(Table2[Stat],Table2[Week],Table1[[#This Row],[Week]],Table2[Athlete],Table1[[#This Row],[Pick]],Table2[Stat Category],"rushing",Table2[Stat Type],"TD"))))</f>
        <v>0</v>
      </c>
      <c r="L557" s="6">
        <f>IF(AND($C557="Rushing", $H557&lt;=0), 0, IF(AND($C557="Passing", $G$3&lt;=0), 0,IF(AND($C557="Receiving",$I557&lt;=0),0,SUMIFS(Table2[Stat],Table2[Week],Table1[[#This Row],[Week]],Table2[Athlete],Table1[[#This Row],[Pick]],Table2[Stat Category],"receiving",Table2[Stat Type],"TD"))))</f>
        <v>0</v>
      </c>
      <c r="M5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7" s="61">
        <f>SUMIFS(Data!$J:$J,Data!$A:$A,Info!$B557,Data!$G:$G,Info!$C557,Data!$I:$I,Info!$D557,Data!$H:$H,"TOT")</f>
        <v>0</v>
      </c>
      <c r="O557" s="61">
        <f>IF(C557="Defensive",SUMIFS(Data!$J:$J,Data!$A:$A,Info!$B557,Data!$I:$I,Info!$D557,Data!$H:$H,"INT"),0)</f>
        <v>0</v>
      </c>
      <c r="P557" s="61">
        <f>IF(Table1[[#This Row],[Role]]="Defensive",SUMIFS(Data!$J:$J,Data!$A:$A,Info!$B557,Data!$I:$I,Info!$D557,Data!$H:$H,$P$1),0)</f>
        <v>0</v>
      </c>
      <c r="Q557" s="65" t="str">
        <f>IF(Table1[[#This Row],[Pick]]="","",IF(S557&gt;1,400,IF(G557="","",IF(C557="Passing",(400-Table1[[#This Row],[Passing Yards]]-(30*Table1[[#This Row],[Passing TDs]])-(50*SUM(Table1[[#This Row],[Rushing TDs]:[Other TD''s]]))),IF(C557="Rushing",2*(200-Table1[[#This Row],[Rushing Yards]]-(30*Table1[[#This Row],[Passing TDs]])-50*(Table1[[#This Row],[Rushing TDs]]+Table1[[#This Row],[Receiving TDs]]+Table1[[#This Row],[Other TD''s]])),IF(C557="Receiving",2*(200-Table1[[#This Row],[Receiving Yards]]-(30*Table1[[#This Row],[Passing TDs]])-50*(Table1[[#This Row],[Rushing TDs]]+Table1[[#This Row],[Receiving TDs]]+Table1[[#This Row],[Other TD''s]])),IF(C557="Defensive",(25*(16-Table1[[#This Row],[Tackles]]-(8*(Table1[[#This Row],[Other TD''s]]+Table1[[#This Row],[Interceptions]]+Table1[[#This Row],[Fumbles Recovered]])))))))))))</f>
        <v/>
      </c>
      <c r="R557" s="3" t="str">
        <f t="shared" si="18"/>
        <v/>
      </c>
      <c r="S557" s="4">
        <f t="shared" si="17"/>
        <v>1048507</v>
      </c>
      <c r="T5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8" spans="1:20" hidden="1" x14ac:dyDescent="0.25">
      <c r="A558" t="s">
        <v>58</v>
      </c>
      <c r="B558" s="28" t="s">
        <v>52</v>
      </c>
      <c r="C558" t="s">
        <v>20</v>
      </c>
      <c r="D558" t="str">
        <f>_xlfn.XLOOKUP(Table1[[#This Row],[Player]]&amp;Table1[[#This Row],[Week]]&amp;Table1[[#This Row],[Role]],'Google Form Transform'!$A:$A,'Google Form Transform'!E:E,"")</f>
        <v/>
      </c>
      <c r="E558" t="str">
        <f>_xlfn.XLOOKUP(Table1[[#This Row],[Player]]&amp;Table1[[#This Row],[Week]]&amp;Table1[[#This Row],[Role]],'Google Form Transform'!$A:$A,'Google Form Transform'!F:F,"")</f>
        <v/>
      </c>
      <c r="F558" t="str">
        <f>_xlfn.XLOOKUP(Table1[[#This Row],[Player]]&amp;Table1[[#This Row],[Week]]&amp;Table1[[#This Row],[Role]],'Google Form Transform'!$A:$A,'Google Form Transform'!G:G,"")</f>
        <v/>
      </c>
      <c r="G558" s="59">
        <f>SUMIFS(Table2[Stat],Table2[Stat Category],"passing",Table2[Stat Type],"YDS",Table2[Athlete],Table1[[#This Row],[Pick]],Table2[Week],Table1[[#This Row],[Week]])</f>
        <v>0</v>
      </c>
      <c r="H558" s="59">
        <f>SUMIFS(Table2[Stat],Table2[Stat Category],"rushing",Table2[Stat Type],"YDS",Table2[Athlete],Table1[[#This Row],[Pick]],Table2[Week],Table1[[#This Row],[Week]])</f>
        <v>0</v>
      </c>
      <c r="I558" s="59">
        <f>SUMIFS(Table2[Stat],Table2[Stat Category],"receiving",Table2[Stat Type],"YDS",Table2[Athlete],Table1[[#This Row],[Pick]],Table2[Week],Table1[[#This Row],[Week]])</f>
        <v>0</v>
      </c>
      <c r="J558" s="6">
        <f>IF(AND($C558="Rushing", $H558&lt;=0), 0, IF(AND($C558="Passing", $G$3&lt;=0), 0,IF(AND($C558="Receiving",$I558&lt;=0), 0,SUMIFS(Table2[Stat],Table2[Week],Table1[[#This Row],[Week]],Table2[Athlete],Table1[[#This Row],[Pick]],Table2[Stat Category],"passing",Table2[Stat Type],"TD"))))</f>
        <v>0</v>
      </c>
      <c r="K558" s="6">
        <f>IF(AND($C558="Rushing", $H558&lt;=0), 0, IF(AND($C558="Passing", $G$3&lt;=0), 0,IF(AND($C558="Receiving",$I558&lt;=0),0,SUMIFS(Table2[Stat],Table2[Week],Table1[[#This Row],[Week]],Table2[Athlete],Table1[[#This Row],[Pick]],Table2[Stat Category],"rushing",Table2[Stat Type],"TD"))))</f>
        <v>0</v>
      </c>
      <c r="L558" s="6">
        <f>IF(AND($C558="Rushing", $H558&lt;=0), 0, IF(AND($C558="Passing", $G$3&lt;=0), 0,IF(AND($C558="Receiving",$I558&lt;=0),0,SUMIFS(Table2[Stat],Table2[Week],Table1[[#This Row],[Week]],Table2[Athlete],Table1[[#This Row],[Pick]],Table2[Stat Category],"receiving",Table2[Stat Type],"TD"))))</f>
        <v>0</v>
      </c>
      <c r="M5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8" s="61">
        <f>SUMIFS(Data!$J:$J,Data!$A:$A,Info!$B558,Data!$G:$G,Info!$C558,Data!$I:$I,Info!$D558,Data!$H:$H,"TOT")</f>
        <v>0</v>
      </c>
      <c r="O558" s="61">
        <f>IF(C558="Defensive",SUMIFS(Data!$J:$J,Data!$A:$A,Info!$B558,Data!$I:$I,Info!$D558,Data!$H:$H,"INT"),0)</f>
        <v>0</v>
      </c>
      <c r="P558" s="61">
        <f>IF(Table1[[#This Row],[Role]]="Defensive",SUMIFS(Data!$J:$J,Data!$A:$A,Info!$B558,Data!$I:$I,Info!$D558,Data!$H:$H,$P$1),0)</f>
        <v>0</v>
      </c>
      <c r="Q558" s="65" t="str">
        <f>IF(Table1[[#This Row],[Pick]]="","",IF(S558&gt;1,400,IF(G558="","",IF(C558="Passing",(400-Table1[[#This Row],[Passing Yards]]-(30*Table1[[#This Row],[Passing TDs]])-(50*SUM(Table1[[#This Row],[Rushing TDs]:[Other TD''s]]))),IF(C558="Rushing",2*(200-Table1[[#This Row],[Rushing Yards]]-(30*Table1[[#This Row],[Passing TDs]])-50*(Table1[[#This Row],[Rushing TDs]]+Table1[[#This Row],[Receiving TDs]]+Table1[[#This Row],[Other TD''s]])),IF(C558="Receiving",2*(200-Table1[[#This Row],[Receiving Yards]]-(30*Table1[[#This Row],[Passing TDs]])-50*(Table1[[#This Row],[Rushing TDs]]+Table1[[#This Row],[Receiving TDs]]+Table1[[#This Row],[Other TD''s]])),IF(C558="Defensive",(25*(16-Table1[[#This Row],[Tackles]]-(8*(Table1[[#This Row],[Other TD''s]]+Table1[[#This Row],[Interceptions]]+Table1[[#This Row],[Fumbles Recovered]])))))))))))</f>
        <v/>
      </c>
      <c r="R558" s="3" t="str">
        <f t="shared" si="18"/>
        <v/>
      </c>
      <c r="S558" s="4">
        <f t="shared" si="17"/>
        <v>1048507</v>
      </c>
      <c r="T5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9" spans="1:20" hidden="1" x14ac:dyDescent="0.25">
      <c r="A559" t="s">
        <v>61</v>
      </c>
      <c r="B559" s="28" t="s">
        <v>52</v>
      </c>
      <c r="C559" t="s">
        <v>16</v>
      </c>
      <c r="D559" t="str">
        <f>_xlfn.XLOOKUP(Table1[[#This Row],[Player]]&amp;Table1[[#This Row],[Week]]&amp;Table1[[#This Row],[Role]],'Google Form Transform'!$A:$A,'Google Form Transform'!E:E,"")</f>
        <v/>
      </c>
      <c r="E559" t="str">
        <f>_xlfn.XLOOKUP(Table1[[#This Row],[Player]]&amp;Table1[[#This Row],[Week]]&amp;Table1[[#This Row],[Role]],'Google Form Transform'!$A:$A,'Google Form Transform'!F:F,"")</f>
        <v/>
      </c>
      <c r="F559" t="str">
        <f>_xlfn.XLOOKUP(Table1[[#This Row],[Player]]&amp;Table1[[#This Row],[Week]]&amp;Table1[[#This Row],[Role]],'Google Form Transform'!$A:$A,'Google Form Transform'!G:G,"")</f>
        <v/>
      </c>
      <c r="G559" s="59">
        <f>SUMIFS(Table2[Stat],Table2[Stat Category],"passing",Table2[Stat Type],"YDS",Table2[Athlete],Table1[[#This Row],[Pick]],Table2[Week],Table1[[#This Row],[Week]])</f>
        <v>0</v>
      </c>
      <c r="H559" s="59">
        <f>SUMIFS(Table2[Stat],Table2[Stat Category],"rushing",Table2[Stat Type],"YDS",Table2[Athlete],Table1[[#This Row],[Pick]],Table2[Week],Table1[[#This Row],[Week]])</f>
        <v>0</v>
      </c>
      <c r="I559" s="59">
        <f>SUMIFS(Table2[Stat],Table2[Stat Category],"receiving",Table2[Stat Type],"YDS",Table2[Athlete],Table1[[#This Row],[Pick]],Table2[Week],Table1[[#This Row],[Week]])</f>
        <v>0</v>
      </c>
      <c r="J559" s="6">
        <f>IF(AND($C559="Rushing", $H559&lt;=0), 0, IF(AND($C559="Passing", $G$3&lt;=0), 0,IF(AND($C559="Receiving",$I559&lt;=0), 0,SUMIFS(Table2[Stat],Table2[Week],Table1[[#This Row],[Week]],Table2[Athlete],Table1[[#This Row],[Pick]],Table2[Stat Category],"passing",Table2[Stat Type],"TD"))))</f>
        <v>0</v>
      </c>
      <c r="K559" s="6">
        <f>IF(AND($C559="Rushing", $H559&lt;=0), 0, IF(AND($C559="Passing", $G$3&lt;=0), 0,IF(AND($C559="Receiving",$I559&lt;=0),0,SUMIFS(Table2[Stat],Table2[Week],Table1[[#This Row],[Week]],Table2[Athlete],Table1[[#This Row],[Pick]],Table2[Stat Category],"rushing",Table2[Stat Type],"TD"))))</f>
        <v>0</v>
      </c>
      <c r="L559" s="6">
        <f>IF(AND($C559="Rushing", $H559&lt;=0), 0, IF(AND($C559="Passing", $G$3&lt;=0), 0,IF(AND($C559="Receiving",$I559&lt;=0),0,SUMIFS(Table2[Stat],Table2[Week],Table1[[#This Row],[Week]],Table2[Athlete],Table1[[#This Row],[Pick]],Table2[Stat Category],"receiving",Table2[Stat Type],"TD"))))</f>
        <v>0</v>
      </c>
      <c r="M5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9" s="61">
        <f>SUMIFS(Data!$J:$J,Data!$A:$A,Info!$B559,Data!$G:$G,Info!$C559,Data!$I:$I,Info!$D559,Data!$H:$H,"TOT")</f>
        <v>0</v>
      </c>
      <c r="O559" s="61">
        <f>IF(C559="Defensive",SUMIFS(Data!$J:$J,Data!$A:$A,Info!$B559,Data!$I:$I,Info!$D559,Data!$H:$H,"INT"),0)</f>
        <v>0</v>
      </c>
      <c r="P559" s="61">
        <f>IF(Table1[[#This Row],[Role]]="Defensive",SUMIFS(Data!$J:$J,Data!$A:$A,Info!$B559,Data!$I:$I,Info!$D559,Data!$H:$H,$P$1),0)</f>
        <v>0</v>
      </c>
      <c r="Q559" s="65" t="str">
        <f>IF(Table1[[#This Row],[Pick]]="","",IF(S559&gt;1,400,IF(G559="","",IF(C559="Passing",(400-Table1[[#This Row],[Passing Yards]]-(30*Table1[[#This Row],[Passing TDs]])-(50*SUM(Table1[[#This Row],[Rushing TDs]:[Other TD''s]]))),IF(C559="Rushing",2*(200-Table1[[#This Row],[Rushing Yards]]-(30*Table1[[#This Row],[Passing TDs]])-50*(Table1[[#This Row],[Rushing TDs]]+Table1[[#This Row],[Receiving TDs]]+Table1[[#This Row],[Other TD''s]])),IF(C559="Receiving",2*(200-Table1[[#This Row],[Receiving Yards]]-(30*Table1[[#This Row],[Passing TDs]])-50*(Table1[[#This Row],[Rushing TDs]]+Table1[[#This Row],[Receiving TDs]]+Table1[[#This Row],[Other TD''s]])),IF(C559="Defensive",(25*(16-Table1[[#This Row],[Tackles]]-(8*(Table1[[#This Row],[Other TD''s]]+Table1[[#This Row],[Interceptions]]+Table1[[#This Row],[Fumbles Recovered]])))))))))))</f>
        <v/>
      </c>
      <c r="R559" s="3" t="str">
        <f t="shared" si="18"/>
        <v/>
      </c>
      <c r="S559" s="4">
        <f t="shared" si="17"/>
        <v>1048507</v>
      </c>
      <c r="T5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0" spans="1:20" hidden="1" x14ac:dyDescent="0.25">
      <c r="A560" t="s">
        <v>61</v>
      </c>
      <c r="B560" s="28" t="s">
        <v>52</v>
      </c>
      <c r="C560" t="s">
        <v>6</v>
      </c>
      <c r="D560" t="str">
        <f>_xlfn.XLOOKUP(Table1[[#This Row],[Player]]&amp;Table1[[#This Row],[Week]]&amp;Table1[[#This Row],[Role]],'Google Form Transform'!$A:$A,'Google Form Transform'!E:E,"")</f>
        <v/>
      </c>
      <c r="E560" t="str">
        <f>_xlfn.XLOOKUP(Table1[[#This Row],[Player]]&amp;Table1[[#This Row],[Week]]&amp;Table1[[#This Row],[Role]],'Google Form Transform'!$A:$A,'Google Form Transform'!F:F,"")</f>
        <v/>
      </c>
      <c r="F560" t="str">
        <f>_xlfn.XLOOKUP(Table1[[#This Row],[Player]]&amp;Table1[[#This Row],[Week]]&amp;Table1[[#This Row],[Role]],'Google Form Transform'!$A:$A,'Google Form Transform'!G:G,"")</f>
        <v/>
      </c>
      <c r="G560" s="59">
        <f>SUMIFS(Table2[Stat],Table2[Stat Category],"passing",Table2[Stat Type],"YDS",Table2[Athlete],Table1[[#This Row],[Pick]],Table2[Week],Table1[[#This Row],[Week]])</f>
        <v>0</v>
      </c>
      <c r="H560" s="59">
        <f>SUMIFS(Table2[Stat],Table2[Stat Category],"rushing",Table2[Stat Type],"YDS",Table2[Athlete],Table1[[#This Row],[Pick]],Table2[Week],Table1[[#This Row],[Week]])</f>
        <v>0</v>
      </c>
      <c r="I560" s="59">
        <f>SUMIFS(Table2[Stat],Table2[Stat Category],"receiving",Table2[Stat Type],"YDS",Table2[Athlete],Table1[[#This Row],[Pick]],Table2[Week],Table1[[#This Row],[Week]])</f>
        <v>0</v>
      </c>
      <c r="J560" s="6">
        <f>IF(AND($C560="Rushing", $H560&lt;=0), 0, IF(AND($C560="Passing", $G$3&lt;=0), 0,IF(AND($C560="Receiving",$I560&lt;=0), 0,SUMIFS(Table2[Stat],Table2[Week],Table1[[#This Row],[Week]],Table2[Athlete],Table1[[#This Row],[Pick]],Table2[Stat Category],"passing",Table2[Stat Type],"TD"))))</f>
        <v>0</v>
      </c>
      <c r="K560" s="6">
        <f>IF(AND($C560="Rushing", $H560&lt;=0), 0, IF(AND($C560="Passing", $G$3&lt;=0), 0,IF(AND($C560="Receiving",$I560&lt;=0),0,SUMIFS(Table2[Stat],Table2[Week],Table1[[#This Row],[Week]],Table2[Athlete],Table1[[#This Row],[Pick]],Table2[Stat Category],"rushing",Table2[Stat Type],"TD"))))</f>
        <v>0</v>
      </c>
      <c r="L560" s="6">
        <f>IF(AND($C560="Rushing", $H560&lt;=0), 0, IF(AND($C560="Passing", $G$3&lt;=0), 0,IF(AND($C560="Receiving",$I560&lt;=0),0,SUMIFS(Table2[Stat],Table2[Week],Table1[[#This Row],[Week]],Table2[Athlete],Table1[[#This Row],[Pick]],Table2[Stat Category],"receiving",Table2[Stat Type],"TD"))))</f>
        <v>0</v>
      </c>
      <c r="M5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0" s="61">
        <f>SUMIFS(Data!$J:$J,Data!$A:$A,Info!$B560,Data!$G:$G,Info!$C560,Data!$I:$I,Info!$D560,Data!$H:$H,"TOT")</f>
        <v>0</v>
      </c>
      <c r="O560" s="61">
        <f>IF(C560="Defensive",SUMIFS(Data!$J:$J,Data!$A:$A,Info!$B560,Data!$I:$I,Info!$D560,Data!$H:$H,"INT"),0)</f>
        <v>0</v>
      </c>
      <c r="P560" s="61">
        <f>IF(Table1[[#This Row],[Role]]="Defensive",SUMIFS(Data!$J:$J,Data!$A:$A,Info!$B560,Data!$I:$I,Info!$D560,Data!$H:$H,$P$1),0)</f>
        <v>0</v>
      </c>
      <c r="Q560" s="65" t="str">
        <f>IF(Table1[[#This Row],[Pick]]="","",IF(S560&gt;1,400,IF(G560="","",IF(C560="Passing",(400-Table1[[#This Row],[Passing Yards]]-(30*Table1[[#This Row],[Passing TDs]])-(50*SUM(Table1[[#This Row],[Rushing TDs]:[Other TD''s]]))),IF(C560="Rushing",2*(200-Table1[[#This Row],[Rushing Yards]]-(30*Table1[[#This Row],[Passing TDs]])-50*(Table1[[#This Row],[Rushing TDs]]+Table1[[#This Row],[Receiving TDs]]+Table1[[#This Row],[Other TD''s]])),IF(C560="Receiving",2*(200-Table1[[#This Row],[Receiving Yards]]-(30*Table1[[#This Row],[Passing TDs]])-50*(Table1[[#This Row],[Rushing TDs]]+Table1[[#This Row],[Receiving TDs]]+Table1[[#This Row],[Other TD''s]])),IF(C560="Defensive",(25*(16-Table1[[#This Row],[Tackles]]-(8*(Table1[[#This Row],[Other TD''s]]+Table1[[#This Row],[Interceptions]]+Table1[[#This Row],[Fumbles Recovered]])))))))))))</f>
        <v/>
      </c>
      <c r="R560" s="3" t="str">
        <f t="shared" si="18"/>
        <v/>
      </c>
      <c r="S560" s="4">
        <f t="shared" si="17"/>
        <v>1048507</v>
      </c>
      <c r="T5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1" spans="1:20" hidden="1" x14ac:dyDescent="0.25">
      <c r="A561" t="s">
        <v>61</v>
      </c>
      <c r="B561" s="28" t="s">
        <v>52</v>
      </c>
      <c r="C561" t="s">
        <v>17</v>
      </c>
      <c r="D561" t="str">
        <f>_xlfn.XLOOKUP(Table1[[#This Row],[Player]]&amp;Table1[[#This Row],[Week]]&amp;Table1[[#This Row],[Role]],'Google Form Transform'!$A:$A,'Google Form Transform'!E:E,"")</f>
        <v/>
      </c>
      <c r="E561" t="str">
        <f>_xlfn.XLOOKUP(Table1[[#This Row],[Player]]&amp;Table1[[#This Row],[Week]]&amp;Table1[[#This Row],[Role]],'Google Form Transform'!$A:$A,'Google Form Transform'!F:F,"")</f>
        <v/>
      </c>
      <c r="F561" t="str">
        <f>_xlfn.XLOOKUP(Table1[[#This Row],[Player]]&amp;Table1[[#This Row],[Week]]&amp;Table1[[#This Row],[Role]],'Google Form Transform'!$A:$A,'Google Form Transform'!G:G,"")</f>
        <v/>
      </c>
      <c r="G561" s="59">
        <f>SUMIFS(Table2[Stat],Table2[Stat Category],"passing",Table2[Stat Type],"YDS",Table2[Athlete],Table1[[#This Row],[Pick]],Table2[Week],Table1[[#This Row],[Week]])</f>
        <v>0</v>
      </c>
      <c r="H561" s="59">
        <f>SUMIFS(Table2[Stat],Table2[Stat Category],"rushing",Table2[Stat Type],"YDS",Table2[Athlete],Table1[[#This Row],[Pick]],Table2[Week],Table1[[#This Row],[Week]])</f>
        <v>0</v>
      </c>
      <c r="I561" s="59">
        <f>SUMIFS(Table2[Stat],Table2[Stat Category],"receiving",Table2[Stat Type],"YDS",Table2[Athlete],Table1[[#This Row],[Pick]],Table2[Week],Table1[[#This Row],[Week]])</f>
        <v>0</v>
      </c>
      <c r="J561" s="6">
        <f>IF(AND($C561="Rushing", $H561&lt;=0), 0, IF(AND($C561="Passing", $G$3&lt;=0), 0,IF(AND($C561="Receiving",$I561&lt;=0), 0,SUMIFS(Table2[Stat],Table2[Week],Table1[[#This Row],[Week]],Table2[Athlete],Table1[[#This Row],[Pick]],Table2[Stat Category],"passing",Table2[Stat Type],"TD"))))</f>
        <v>0</v>
      </c>
      <c r="K561" s="6">
        <f>IF(AND($C561="Rushing", $H561&lt;=0), 0, IF(AND($C561="Passing", $G$3&lt;=0), 0,IF(AND($C561="Receiving",$I561&lt;=0),0,SUMIFS(Table2[Stat],Table2[Week],Table1[[#This Row],[Week]],Table2[Athlete],Table1[[#This Row],[Pick]],Table2[Stat Category],"rushing",Table2[Stat Type],"TD"))))</f>
        <v>0</v>
      </c>
      <c r="L561" s="6">
        <f>IF(AND($C561="Rushing", $H561&lt;=0), 0, IF(AND($C561="Passing", $G$3&lt;=0), 0,IF(AND($C561="Receiving",$I561&lt;=0),0,SUMIFS(Table2[Stat],Table2[Week],Table1[[#This Row],[Week]],Table2[Athlete],Table1[[#This Row],[Pick]],Table2[Stat Category],"receiving",Table2[Stat Type],"TD"))))</f>
        <v>0</v>
      </c>
      <c r="M5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1" s="61">
        <f>SUMIFS(Data!$J:$J,Data!$A:$A,Info!$B561,Data!$G:$G,Info!$C561,Data!$I:$I,Info!$D561,Data!$H:$H,"TOT")</f>
        <v>0</v>
      </c>
      <c r="O561" s="61">
        <f>IF(C561="Defensive",SUMIFS(Data!$J:$J,Data!$A:$A,Info!$B561,Data!$I:$I,Info!$D561,Data!$H:$H,"INT"),0)</f>
        <v>0</v>
      </c>
      <c r="P561" s="61">
        <f>IF(Table1[[#This Row],[Role]]="Defensive",SUMIFS(Data!$J:$J,Data!$A:$A,Info!$B561,Data!$I:$I,Info!$D561,Data!$H:$H,$P$1),0)</f>
        <v>0</v>
      </c>
      <c r="Q561" s="65" t="str">
        <f>IF(Table1[[#This Row],[Pick]]="","",IF(S561&gt;1,400,IF(G561="","",IF(C561="Passing",(400-Table1[[#This Row],[Passing Yards]]-(30*Table1[[#This Row],[Passing TDs]])-(50*SUM(Table1[[#This Row],[Rushing TDs]:[Other TD''s]]))),IF(C561="Rushing",2*(200-Table1[[#This Row],[Rushing Yards]]-(30*Table1[[#This Row],[Passing TDs]])-50*(Table1[[#This Row],[Rushing TDs]]+Table1[[#This Row],[Receiving TDs]]+Table1[[#This Row],[Other TD''s]])),IF(C561="Receiving",2*(200-Table1[[#This Row],[Receiving Yards]]-(30*Table1[[#This Row],[Passing TDs]])-50*(Table1[[#This Row],[Rushing TDs]]+Table1[[#This Row],[Receiving TDs]]+Table1[[#This Row],[Other TD''s]])),IF(C561="Defensive",(25*(16-Table1[[#This Row],[Tackles]]-(8*(Table1[[#This Row],[Other TD''s]]+Table1[[#This Row],[Interceptions]]+Table1[[#This Row],[Fumbles Recovered]])))))))))))</f>
        <v/>
      </c>
      <c r="R561" s="3" t="str">
        <f t="shared" si="18"/>
        <v/>
      </c>
      <c r="S561" s="4">
        <f t="shared" si="17"/>
        <v>1048507</v>
      </c>
      <c r="T5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2" spans="1:20" hidden="1" x14ac:dyDescent="0.25">
      <c r="A562" t="s">
        <v>61</v>
      </c>
      <c r="B562" s="28" t="s">
        <v>52</v>
      </c>
      <c r="C562" t="s">
        <v>20</v>
      </c>
      <c r="D562" t="str">
        <f>_xlfn.XLOOKUP(Table1[[#This Row],[Player]]&amp;Table1[[#This Row],[Week]]&amp;Table1[[#This Row],[Role]],'Google Form Transform'!$A:$A,'Google Form Transform'!E:E,"")</f>
        <v/>
      </c>
      <c r="E562" t="str">
        <f>_xlfn.XLOOKUP(Table1[[#This Row],[Player]]&amp;Table1[[#This Row],[Week]]&amp;Table1[[#This Row],[Role]],'Google Form Transform'!$A:$A,'Google Form Transform'!F:F,"")</f>
        <v/>
      </c>
      <c r="F562" t="str">
        <f>_xlfn.XLOOKUP(Table1[[#This Row],[Player]]&amp;Table1[[#This Row],[Week]]&amp;Table1[[#This Row],[Role]],'Google Form Transform'!$A:$A,'Google Form Transform'!G:G,"")</f>
        <v/>
      </c>
      <c r="G562" s="59">
        <f>SUMIFS(Table2[Stat],Table2[Stat Category],"passing",Table2[Stat Type],"YDS",Table2[Athlete],Table1[[#This Row],[Pick]],Table2[Week],Table1[[#This Row],[Week]])</f>
        <v>0</v>
      </c>
      <c r="H562" s="59">
        <f>SUMIFS(Table2[Stat],Table2[Stat Category],"rushing",Table2[Stat Type],"YDS",Table2[Athlete],Table1[[#This Row],[Pick]],Table2[Week],Table1[[#This Row],[Week]])</f>
        <v>0</v>
      </c>
      <c r="I562" s="59">
        <f>SUMIFS(Table2[Stat],Table2[Stat Category],"receiving",Table2[Stat Type],"YDS",Table2[Athlete],Table1[[#This Row],[Pick]],Table2[Week],Table1[[#This Row],[Week]])</f>
        <v>0</v>
      </c>
      <c r="J562" s="6">
        <f>IF(AND($C562="Rushing", $H562&lt;=0), 0, IF(AND($C562="Passing", $G$3&lt;=0), 0,IF(AND($C562="Receiving",$I562&lt;=0), 0,SUMIFS(Table2[Stat],Table2[Week],Table1[[#This Row],[Week]],Table2[Athlete],Table1[[#This Row],[Pick]],Table2[Stat Category],"passing",Table2[Stat Type],"TD"))))</f>
        <v>0</v>
      </c>
      <c r="K562" s="6">
        <f>IF(AND($C562="Rushing", $H562&lt;=0), 0, IF(AND($C562="Passing", $G$3&lt;=0), 0,IF(AND($C562="Receiving",$I562&lt;=0),0,SUMIFS(Table2[Stat],Table2[Week],Table1[[#This Row],[Week]],Table2[Athlete],Table1[[#This Row],[Pick]],Table2[Stat Category],"rushing",Table2[Stat Type],"TD"))))</f>
        <v>0</v>
      </c>
      <c r="L562" s="6">
        <f>IF(AND($C562="Rushing", $H562&lt;=0), 0, IF(AND($C562="Passing", $G$3&lt;=0), 0,IF(AND($C562="Receiving",$I562&lt;=0),0,SUMIFS(Table2[Stat],Table2[Week],Table1[[#This Row],[Week]],Table2[Athlete],Table1[[#This Row],[Pick]],Table2[Stat Category],"receiving",Table2[Stat Type],"TD"))))</f>
        <v>0</v>
      </c>
      <c r="M5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2" s="61">
        <f>SUMIFS(Data!$J:$J,Data!$A:$A,Info!$B562,Data!$G:$G,Info!$C562,Data!$I:$I,Info!$D562,Data!$H:$H,"TOT")</f>
        <v>0</v>
      </c>
      <c r="O562" s="61">
        <f>IF(C562="Defensive",SUMIFS(Data!$J:$J,Data!$A:$A,Info!$B562,Data!$I:$I,Info!$D562,Data!$H:$H,"INT"),0)</f>
        <v>0</v>
      </c>
      <c r="P562" s="61">
        <f>IF(Table1[[#This Row],[Role]]="Defensive",SUMIFS(Data!$J:$J,Data!$A:$A,Info!$B562,Data!$I:$I,Info!$D562,Data!$H:$H,$P$1),0)</f>
        <v>0</v>
      </c>
      <c r="Q562" s="65" t="str">
        <f>IF(Table1[[#This Row],[Pick]]="","",IF(S562&gt;1,400,IF(G562="","",IF(C562="Passing",(400-Table1[[#This Row],[Passing Yards]]-(30*Table1[[#This Row],[Passing TDs]])-(50*SUM(Table1[[#This Row],[Rushing TDs]:[Other TD''s]]))),IF(C562="Rushing",2*(200-Table1[[#This Row],[Rushing Yards]]-(30*Table1[[#This Row],[Passing TDs]])-50*(Table1[[#This Row],[Rushing TDs]]+Table1[[#This Row],[Receiving TDs]]+Table1[[#This Row],[Other TD''s]])),IF(C562="Receiving",2*(200-Table1[[#This Row],[Receiving Yards]]-(30*Table1[[#This Row],[Passing TDs]])-50*(Table1[[#This Row],[Rushing TDs]]+Table1[[#This Row],[Receiving TDs]]+Table1[[#This Row],[Other TD''s]])),IF(C562="Defensive",(25*(16-Table1[[#This Row],[Tackles]]-(8*(Table1[[#This Row],[Other TD''s]]+Table1[[#This Row],[Interceptions]]+Table1[[#This Row],[Fumbles Recovered]])))))))))))</f>
        <v/>
      </c>
      <c r="R562" s="3" t="str">
        <f t="shared" si="18"/>
        <v/>
      </c>
      <c r="S562" s="4">
        <f t="shared" si="17"/>
        <v>1048507</v>
      </c>
      <c r="T5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3" spans="1:20" hidden="1" x14ac:dyDescent="0.25">
      <c r="A563" t="s">
        <v>60</v>
      </c>
      <c r="B563" s="28" t="s">
        <v>52</v>
      </c>
      <c r="C563" t="s">
        <v>16</v>
      </c>
      <c r="D563" t="str">
        <f>_xlfn.XLOOKUP(Table1[[#This Row],[Player]]&amp;Table1[[#This Row],[Week]]&amp;Table1[[#This Row],[Role]],'Google Form Transform'!$A:$A,'Google Form Transform'!E:E,"")</f>
        <v/>
      </c>
      <c r="E563" t="str">
        <f>_xlfn.XLOOKUP(Table1[[#This Row],[Player]]&amp;Table1[[#This Row],[Week]]&amp;Table1[[#This Row],[Role]],'Google Form Transform'!$A:$A,'Google Form Transform'!F:F,"")</f>
        <v/>
      </c>
      <c r="F563" t="str">
        <f>_xlfn.XLOOKUP(Table1[[#This Row],[Player]]&amp;Table1[[#This Row],[Week]]&amp;Table1[[#This Row],[Role]],'Google Form Transform'!$A:$A,'Google Form Transform'!G:G,"")</f>
        <v/>
      </c>
      <c r="G563" s="59">
        <f>SUMIFS(Table2[Stat],Table2[Stat Category],"passing",Table2[Stat Type],"YDS",Table2[Athlete],Table1[[#This Row],[Pick]],Table2[Week],Table1[[#This Row],[Week]])</f>
        <v>0</v>
      </c>
      <c r="H563" s="59">
        <f>SUMIFS(Table2[Stat],Table2[Stat Category],"rushing",Table2[Stat Type],"YDS",Table2[Athlete],Table1[[#This Row],[Pick]],Table2[Week],Table1[[#This Row],[Week]])</f>
        <v>0</v>
      </c>
      <c r="I563" s="59">
        <f>SUMIFS(Table2[Stat],Table2[Stat Category],"receiving",Table2[Stat Type],"YDS",Table2[Athlete],Table1[[#This Row],[Pick]],Table2[Week],Table1[[#This Row],[Week]])</f>
        <v>0</v>
      </c>
      <c r="J563" s="6">
        <f>IF(AND($C563="Rushing", $H563&lt;=0), 0, IF(AND($C563="Passing", $G$3&lt;=0), 0,IF(AND($C563="Receiving",$I563&lt;=0), 0,SUMIFS(Table2[Stat],Table2[Week],Table1[[#This Row],[Week]],Table2[Athlete],Table1[[#This Row],[Pick]],Table2[Stat Category],"passing",Table2[Stat Type],"TD"))))</f>
        <v>0</v>
      </c>
      <c r="K563" s="6">
        <f>IF(AND($C563="Rushing", $H563&lt;=0), 0, IF(AND($C563="Passing", $G$3&lt;=0), 0,IF(AND($C563="Receiving",$I563&lt;=0),0,SUMIFS(Table2[Stat],Table2[Week],Table1[[#This Row],[Week]],Table2[Athlete],Table1[[#This Row],[Pick]],Table2[Stat Category],"rushing",Table2[Stat Type],"TD"))))</f>
        <v>0</v>
      </c>
      <c r="L563" s="6">
        <f>IF(AND($C563="Rushing", $H563&lt;=0), 0, IF(AND($C563="Passing", $G$3&lt;=0), 0,IF(AND($C563="Receiving",$I563&lt;=0),0,SUMIFS(Table2[Stat],Table2[Week],Table1[[#This Row],[Week]],Table2[Athlete],Table1[[#This Row],[Pick]],Table2[Stat Category],"receiving",Table2[Stat Type],"TD"))))</f>
        <v>0</v>
      </c>
      <c r="M5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3" s="61">
        <f>SUMIFS(Data!$J:$J,Data!$A:$A,Info!$B563,Data!$G:$G,Info!$C563,Data!$I:$I,Info!$D563,Data!$H:$H,"TOT")</f>
        <v>0</v>
      </c>
      <c r="O563" s="61">
        <f>IF(C563="Defensive",SUMIFS(Data!$J:$J,Data!$A:$A,Info!$B563,Data!$I:$I,Info!$D563,Data!$H:$H,"INT"),0)</f>
        <v>0</v>
      </c>
      <c r="P563" s="61">
        <f>IF(Table1[[#This Row],[Role]]="Defensive",SUMIFS(Data!$J:$J,Data!$A:$A,Info!$B563,Data!$I:$I,Info!$D563,Data!$H:$H,$P$1),0)</f>
        <v>0</v>
      </c>
      <c r="Q563" s="65" t="str">
        <f>IF(Table1[[#This Row],[Pick]]="","",IF(S563&gt;1,400,IF(G563="","",IF(C563="Passing",(400-Table1[[#This Row],[Passing Yards]]-(30*Table1[[#This Row],[Passing TDs]])-(50*SUM(Table1[[#This Row],[Rushing TDs]:[Other TD''s]]))),IF(C563="Rushing",2*(200-Table1[[#This Row],[Rushing Yards]]-(30*Table1[[#This Row],[Passing TDs]])-50*(Table1[[#This Row],[Rushing TDs]]+Table1[[#This Row],[Receiving TDs]]+Table1[[#This Row],[Other TD''s]])),IF(C563="Receiving",2*(200-Table1[[#This Row],[Receiving Yards]]-(30*Table1[[#This Row],[Passing TDs]])-50*(Table1[[#This Row],[Rushing TDs]]+Table1[[#This Row],[Receiving TDs]]+Table1[[#This Row],[Other TD''s]])),IF(C563="Defensive",(25*(16-Table1[[#This Row],[Tackles]]-(8*(Table1[[#This Row],[Other TD''s]]+Table1[[#This Row],[Interceptions]]+Table1[[#This Row],[Fumbles Recovered]])))))))))))</f>
        <v/>
      </c>
      <c r="R563" s="3" t="str">
        <f t="shared" si="18"/>
        <v/>
      </c>
      <c r="S563" s="4">
        <f t="shared" si="17"/>
        <v>1048507</v>
      </c>
      <c r="T5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4" spans="1:20" hidden="1" x14ac:dyDescent="0.25">
      <c r="A564" t="s">
        <v>60</v>
      </c>
      <c r="B564" s="28" t="s">
        <v>52</v>
      </c>
      <c r="C564" t="s">
        <v>6</v>
      </c>
      <c r="D564" t="str">
        <f>_xlfn.XLOOKUP(Table1[[#This Row],[Player]]&amp;Table1[[#This Row],[Week]]&amp;Table1[[#This Row],[Role]],'Google Form Transform'!$A:$A,'Google Form Transform'!E:E,"")</f>
        <v/>
      </c>
      <c r="E564" t="str">
        <f>_xlfn.XLOOKUP(Table1[[#This Row],[Player]]&amp;Table1[[#This Row],[Week]]&amp;Table1[[#This Row],[Role]],'Google Form Transform'!$A:$A,'Google Form Transform'!F:F,"")</f>
        <v/>
      </c>
      <c r="F564" t="str">
        <f>_xlfn.XLOOKUP(Table1[[#This Row],[Player]]&amp;Table1[[#This Row],[Week]]&amp;Table1[[#This Row],[Role]],'Google Form Transform'!$A:$A,'Google Form Transform'!G:G,"")</f>
        <v/>
      </c>
      <c r="G564" s="59">
        <f>SUMIFS(Table2[Stat],Table2[Stat Category],"passing",Table2[Stat Type],"YDS",Table2[Athlete],Table1[[#This Row],[Pick]],Table2[Week],Table1[[#This Row],[Week]])</f>
        <v>0</v>
      </c>
      <c r="H564" s="59">
        <f>SUMIFS(Table2[Stat],Table2[Stat Category],"rushing",Table2[Stat Type],"YDS",Table2[Athlete],Table1[[#This Row],[Pick]],Table2[Week],Table1[[#This Row],[Week]])</f>
        <v>0</v>
      </c>
      <c r="I564" s="59">
        <f>SUMIFS(Table2[Stat],Table2[Stat Category],"receiving",Table2[Stat Type],"YDS",Table2[Athlete],Table1[[#This Row],[Pick]],Table2[Week],Table1[[#This Row],[Week]])</f>
        <v>0</v>
      </c>
      <c r="J564" s="6">
        <f>IF(AND($C564="Rushing", $H564&lt;=0), 0, IF(AND($C564="Passing", $G$3&lt;=0), 0,IF(AND($C564="Receiving",$I564&lt;=0), 0,SUMIFS(Table2[Stat],Table2[Week],Table1[[#This Row],[Week]],Table2[Athlete],Table1[[#This Row],[Pick]],Table2[Stat Category],"passing",Table2[Stat Type],"TD"))))</f>
        <v>0</v>
      </c>
      <c r="K564" s="6">
        <f>IF(AND($C564="Rushing", $H564&lt;=0), 0, IF(AND($C564="Passing", $G$3&lt;=0), 0,IF(AND($C564="Receiving",$I564&lt;=0),0,SUMIFS(Table2[Stat],Table2[Week],Table1[[#This Row],[Week]],Table2[Athlete],Table1[[#This Row],[Pick]],Table2[Stat Category],"rushing",Table2[Stat Type],"TD"))))</f>
        <v>0</v>
      </c>
      <c r="L564" s="6">
        <f>IF(AND($C564="Rushing", $H564&lt;=0), 0, IF(AND($C564="Passing", $G$3&lt;=0), 0,IF(AND($C564="Receiving",$I564&lt;=0),0,SUMIFS(Table2[Stat],Table2[Week],Table1[[#This Row],[Week]],Table2[Athlete],Table1[[#This Row],[Pick]],Table2[Stat Category],"receiving",Table2[Stat Type],"TD"))))</f>
        <v>0</v>
      </c>
      <c r="M5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4" s="61">
        <f>SUMIFS(Data!$J:$J,Data!$A:$A,Info!$B564,Data!$G:$G,Info!$C564,Data!$I:$I,Info!$D564,Data!$H:$H,"TOT")</f>
        <v>0</v>
      </c>
      <c r="O564" s="61">
        <f>IF(C564="Defensive",SUMIFS(Data!$J:$J,Data!$A:$A,Info!$B564,Data!$I:$I,Info!$D564,Data!$H:$H,"INT"),0)</f>
        <v>0</v>
      </c>
      <c r="P564" s="61">
        <f>IF(Table1[[#This Row],[Role]]="Defensive",SUMIFS(Data!$J:$J,Data!$A:$A,Info!$B564,Data!$I:$I,Info!$D564,Data!$H:$H,$P$1),0)</f>
        <v>0</v>
      </c>
      <c r="Q564" s="65" t="str">
        <f>IF(Table1[[#This Row],[Pick]]="","",IF(S564&gt;1,400,IF(G564="","",IF(C564="Passing",(400-Table1[[#This Row],[Passing Yards]]-(30*Table1[[#This Row],[Passing TDs]])-(50*SUM(Table1[[#This Row],[Rushing TDs]:[Other TD''s]]))),IF(C564="Rushing",2*(200-Table1[[#This Row],[Rushing Yards]]-(30*Table1[[#This Row],[Passing TDs]])-50*(Table1[[#This Row],[Rushing TDs]]+Table1[[#This Row],[Receiving TDs]]+Table1[[#This Row],[Other TD''s]])),IF(C564="Receiving",2*(200-Table1[[#This Row],[Receiving Yards]]-(30*Table1[[#This Row],[Passing TDs]])-50*(Table1[[#This Row],[Rushing TDs]]+Table1[[#This Row],[Receiving TDs]]+Table1[[#This Row],[Other TD''s]])),IF(C564="Defensive",(25*(16-Table1[[#This Row],[Tackles]]-(8*(Table1[[#This Row],[Other TD''s]]+Table1[[#This Row],[Interceptions]]+Table1[[#This Row],[Fumbles Recovered]])))))))))))</f>
        <v/>
      </c>
      <c r="R564" s="3" t="str">
        <f t="shared" si="18"/>
        <v/>
      </c>
      <c r="S564" s="4">
        <f t="shared" si="17"/>
        <v>1048507</v>
      </c>
      <c r="T5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5" spans="1:20" hidden="1" x14ac:dyDescent="0.25">
      <c r="A565" t="s">
        <v>60</v>
      </c>
      <c r="B565" s="28" t="s">
        <v>52</v>
      </c>
      <c r="C565" t="s">
        <v>17</v>
      </c>
      <c r="D565" t="str">
        <f>_xlfn.XLOOKUP(Table1[[#This Row],[Player]]&amp;Table1[[#This Row],[Week]]&amp;Table1[[#This Row],[Role]],'Google Form Transform'!$A:$A,'Google Form Transform'!E:E,"")</f>
        <v/>
      </c>
      <c r="E565" t="str">
        <f>_xlfn.XLOOKUP(Table1[[#This Row],[Player]]&amp;Table1[[#This Row],[Week]]&amp;Table1[[#This Row],[Role]],'Google Form Transform'!$A:$A,'Google Form Transform'!F:F,"")</f>
        <v/>
      </c>
      <c r="F565" t="str">
        <f>_xlfn.XLOOKUP(Table1[[#This Row],[Player]]&amp;Table1[[#This Row],[Week]]&amp;Table1[[#This Row],[Role]],'Google Form Transform'!$A:$A,'Google Form Transform'!G:G,"")</f>
        <v/>
      </c>
      <c r="G565" s="59">
        <f>SUMIFS(Table2[Stat],Table2[Stat Category],"passing",Table2[Stat Type],"YDS",Table2[Athlete],Table1[[#This Row],[Pick]],Table2[Week],Table1[[#This Row],[Week]])</f>
        <v>0</v>
      </c>
      <c r="H565" s="59">
        <f>SUMIFS(Table2[Stat],Table2[Stat Category],"rushing",Table2[Stat Type],"YDS",Table2[Athlete],Table1[[#This Row],[Pick]],Table2[Week],Table1[[#This Row],[Week]])</f>
        <v>0</v>
      </c>
      <c r="I565" s="59">
        <f>SUMIFS(Table2[Stat],Table2[Stat Category],"receiving",Table2[Stat Type],"YDS",Table2[Athlete],Table1[[#This Row],[Pick]],Table2[Week],Table1[[#This Row],[Week]])</f>
        <v>0</v>
      </c>
      <c r="J565" s="6">
        <f>IF(AND($C565="Rushing", $H565&lt;=0), 0, IF(AND($C565="Passing", $G$3&lt;=0), 0,IF(AND($C565="Receiving",$I565&lt;=0), 0,SUMIFS(Table2[Stat],Table2[Week],Table1[[#This Row],[Week]],Table2[Athlete],Table1[[#This Row],[Pick]],Table2[Stat Category],"passing",Table2[Stat Type],"TD"))))</f>
        <v>0</v>
      </c>
      <c r="K565" s="6">
        <f>IF(AND($C565="Rushing", $H565&lt;=0), 0, IF(AND($C565="Passing", $G$3&lt;=0), 0,IF(AND($C565="Receiving",$I565&lt;=0),0,SUMIFS(Table2[Stat],Table2[Week],Table1[[#This Row],[Week]],Table2[Athlete],Table1[[#This Row],[Pick]],Table2[Stat Category],"rushing",Table2[Stat Type],"TD"))))</f>
        <v>0</v>
      </c>
      <c r="L565" s="6">
        <f>IF(AND($C565="Rushing", $H565&lt;=0), 0, IF(AND($C565="Passing", $G$3&lt;=0), 0,IF(AND($C565="Receiving",$I565&lt;=0),0,SUMIFS(Table2[Stat],Table2[Week],Table1[[#This Row],[Week]],Table2[Athlete],Table1[[#This Row],[Pick]],Table2[Stat Category],"receiving",Table2[Stat Type],"TD"))))</f>
        <v>0</v>
      </c>
      <c r="M5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5" s="61">
        <f>SUMIFS(Data!$J:$J,Data!$A:$A,Info!$B565,Data!$G:$G,Info!$C565,Data!$I:$I,Info!$D565,Data!$H:$H,"TOT")</f>
        <v>0</v>
      </c>
      <c r="O565" s="61">
        <f>IF(C565="Defensive",SUMIFS(Data!$J:$J,Data!$A:$A,Info!$B565,Data!$I:$I,Info!$D565,Data!$H:$H,"INT"),0)</f>
        <v>0</v>
      </c>
      <c r="P565" s="61">
        <f>IF(Table1[[#This Row],[Role]]="Defensive",SUMIFS(Data!$J:$J,Data!$A:$A,Info!$B565,Data!$I:$I,Info!$D565,Data!$H:$H,$P$1),0)</f>
        <v>0</v>
      </c>
      <c r="Q565" s="65" t="str">
        <f>IF(Table1[[#This Row],[Pick]]="","",IF(S565&gt;1,400,IF(G565="","",IF(C565="Passing",(400-Table1[[#This Row],[Passing Yards]]-(30*Table1[[#This Row],[Passing TDs]])-(50*SUM(Table1[[#This Row],[Rushing TDs]:[Other TD''s]]))),IF(C565="Rushing",2*(200-Table1[[#This Row],[Rushing Yards]]-(30*Table1[[#This Row],[Passing TDs]])-50*(Table1[[#This Row],[Rushing TDs]]+Table1[[#This Row],[Receiving TDs]]+Table1[[#This Row],[Other TD''s]])),IF(C565="Receiving",2*(200-Table1[[#This Row],[Receiving Yards]]-(30*Table1[[#This Row],[Passing TDs]])-50*(Table1[[#This Row],[Rushing TDs]]+Table1[[#This Row],[Receiving TDs]]+Table1[[#This Row],[Other TD''s]])),IF(C565="Defensive",(25*(16-Table1[[#This Row],[Tackles]]-(8*(Table1[[#This Row],[Other TD''s]]+Table1[[#This Row],[Interceptions]]+Table1[[#This Row],[Fumbles Recovered]])))))))))))</f>
        <v/>
      </c>
      <c r="R565" s="3" t="str">
        <f t="shared" si="18"/>
        <v/>
      </c>
      <c r="S565" s="4">
        <f t="shared" si="17"/>
        <v>1048507</v>
      </c>
      <c r="T5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6" spans="1:20" hidden="1" x14ac:dyDescent="0.25">
      <c r="A566" t="s">
        <v>60</v>
      </c>
      <c r="B566" s="28" t="s">
        <v>52</v>
      </c>
      <c r="C566" t="s">
        <v>20</v>
      </c>
      <c r="D566" t="str">
        <f>_xlfn.XLOOKUP(Table1[[#This Row],[Player]]&amp;Table1[[#This Row],[Week]]&amp;Table1[[#This Row],[Role]],'Google Form Transform'!$A:$A,'Google Form Transform'!E:E,"")</f>
        <v/>
      </c>
      <c r="E566" t="str">
        <f>_xlfn.XLOOKUP(Table1[[#This Row],[Player]]&amp;Table1[[#This Row],[Week]]&amp;Table1[[#This Row],[Role]],'Google Form Transform'!$A:$A,'Google Form Transform'!F:F,"")</f>
        <v/>
      </c>
      <c r="F566" t="str">
        <f>_xlfn.XLOOKUP(Table1[[#This Row],[Player]]&amp;Table1[[#This Row],[Week]]&amp;Table1[[#This Row],[Role]],'Google Form Transform'!$A:$A,'Google Form Transform'!G:G,"")</f>
        <v/>
      </c>
      <c r="G566" s="59">
        <f>SUMIFS(Table2[Stat],Table2[Stat Category],"passing",Table2[Stat Type],"YDS",Table2[Athlete],Table1[[#This Row],[Pick]],Table2[Week],Table1[[#This Row],[Week]])</f>
        <v>0</v>
      </c>
      <c r="H566" s="59">
        <f>SUMIFS(Table2[Stat],Table2[Stat Category],"rushing",Table2[Stat Type],"YDS",Table2[Athlete],Table1[[#This Row],[Pick]],Table2[Week],Table1[[#This Row],[Week]])</f>
        <v>0</v>
      </c>
      <c r="I566" s="59">
        <f>SUMIFS(Table2[Stat],Table2[Stat Category],"receiving",Table2[Stat Type],"YDS",Table2[Athlete],Table1[[#This Row],[Pick]],Table2[Week],Table1[[#This Row],[Week]])</f>
        <v>0</v>
      </c>
      <c r="J566" s="6">
        <f>IF(AND($C566="Rushing", $H566&lt;=0), 0, IF(AND($C566="Passing", $G$3&lt;=0), 0,IF(AND($C566="Receiving",$I566&lt;=0), 0,SUMIFS(Table2[Stat],Table2[Week],Table1[[#This Row],[Week]],Table2[Athlete],Table1[[#This Row],[Pick]],Table2[Stat Category],"passing",Table2[Stat Type],"TD"))))</f>
        <v>0</v>
      </c>
      <c r="K566" s="6">
        <f>IF(AND($C566="Rushing", $H566&lt;=0), 0, IF(AND($C566="Passing", $G$3&lt;=0), 0,IF(AND($C566="Receiving",$I566&lt;=0),0,SUMIFS(Table2[Stat],Table2[Week],Table1[[#This Row],[Week]],Table2[Athlete],Table1[[#This Row],[Pick]],Table2[Stat Category],"rushing",Table2[Stat Type],"TD"))))</f>
        <v>0</v>
      </c>
      <c r="L566" s="6">
        <f>IF(AND($C566="Rushing", $H566&lt;=0), 0, IF(AND($C566="Passing", $G$3&lt;=0), 0,IF(AND($C566="Receiving",$I566&lt;=0),0,SUMIFS(Table2[Stat],Table2[Week],Table1[[#This Row],[Week]],Table2[Athlete],Table1[[#This Row],[Pick]],Table2[Stat Category],"receiving",Table2[Stat Type],"TD"))))</f>
        <v>0</v>
      </c>
      <c r="M5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6" s="61">
        <f>SUMIFS(Data!$J:$J,Data!$A:$A,Info!$B566,Data!$G:$G,Info!$C566,Data!$I:$I,Info!$D566,Data!$H:$H,"TOT")</f>
        <v>0</v>
      </c>
      <c r="O566" s="61">
        <f>IF(C566="Defensive",SUMIFS(Data!$J:$J,Data!$A:$A,Info!$B566,Data!$I:$I,Info!$D566,Data!$H:$H,"INT"),0)</f>
        <v>0</v>
      </c>
      <c r="P566" s="61">
        <f>IF(Table1[[#This Row],[Role]]="Defensive",SUMIFS(Data!$J:$J,Data!$A:$A,Info!$B566,Data!$I:$I,Info!$D566,Data!$H:$H,$P$1),0)</f>
        <v>0</v>
      </c>
      <c r="Q566" s="65" t="str">
        <f>IF(Table1[[#This Row],[Pick]]="","",IF(S566&gt;1,400,IF(G566="","",IF(C566="Passing",(400-Table1[[#This Row],[Passing Yards]]-(30*Table1[[#This Row],[Passing TDs]])-(50*SUM(Table1[[#This Row],[Rushing TDs]:[Other TD''s]]))),IF(C566="Rushing",2*(200-Table1[[#This Row],[Rushing Yards]]-(30*Table1[[#This Row],[Passing TDs]])-50*(Table1[[#This Row],[Rushing TDs]]+Table1[[#This Row],[Receiving TDs]]+Table1[[#This Row],[Other TD''s]])),IF(C566="Receiving",2*(200-Table1[[#This Row],[Receiving Yards]]-(30*Table1[[#This Row],[Passing TDs]])-50*(Table1[[#This Row],[Rushing TDs]]+Table1[[#This Row],[Receiving TDs]]+Table1[[#This Row],[Other TD''s]])),IF(C566="Defensive",(25*(16-Table1[[#This Row],[Tackles]]-(8*(Table1[[#This Row],[Other TD''s]]+Table1[[#This Row],[Interceptions]]+Table1[[#This Row],[Fumbles Recovered]])))))))))))</f>
        <v/>
      </c>
      <c r="R566" s="3" t="str">
        <f t="shared" si="18"/>
        <v/>
      </c>
      <c r="S566" s="4">
        <f t="shared" si="17"/>
        <v>1048507</v>
      </c>
      <c r="T5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7" spans="1:20" hidden="1" x14ac:dyDescent="0.25">
      <c r="A567" t="s">
        <v>62</v>
      </c>
      <c r="B567" s="28" t="s">
        <v>52</v>
      </c>
      <c r="C567" t="s">
        <v>16</v>
      </c>
      <c r="D567" t="str">
        <f>_xlfn.XLOOKUP(Table1[[#This Row],[Player]]&amp;Table1[[#This Row],[Week]]&amp;Table1[[#This Row],[Role]],'Google Form Transform'!$A:$A,'Google Form Transform'!E:E,"")</f>
        <v/>
      </c>
      <c r="E567" t="str">
        <f>_xlfn.XLOOKUP(Table1[[#This Row],[Player]]&amp;Table1[[#This Row],[Week]]&amp;Table1[[#This Row],[Role]],'Google Form Transform'!$A:$A,'Google Form Transform'!F:F,"")</f>
        <v/>
      </c>
      <c r="F567" t="str">
        <f>_xlfn.XLOOKUP(Table1[[#This Row],[Player]]&amp;Table1[[#This Row],[Week]]&amp;Table1[[#This Row],[Role]],'Google Form Transform'!$A:$A,'Google Form Transform'!G:G,"")</f>
        <v/>
      </c>
      <c r="G567" s="59">
        <f>SUMIFS(Table2[Stat],Table2[Stat Category],"passing",Table2[Stat Type],"YDS",Table2[Athlete],Table1[[#This Row],[Pick]],Table2[Week],Table1[[#This Row],[Week]])</f>
        <v>0</v>
      </c>
      <c r="H567" s="59">
        <f>SUMIFS(Table2[Stat],Table2[Stat Category],"rushing",Table2[Stat Type],"YDS",Table2[Athlete],Table1[[#This Row],[Pick]],Table2[Week],Table1[[#This Row],[Week]])</f>
        <v>0</v>
      </c>
      <c r="I567" s="59">
        <f>SUMIFS(Table2[Stat],Table2[Stat Category],"receiving",Table2[Stat Type],"YDS",Table2[Athlete],Table1[[#This Row],[Pick]],Table2[Week],Table1[[#This Row],[Week]])</f>
        <v>0</v>
      </c>
      <c r="J567" s="6">
        <f>IF(AND($C567="Rushing", $H567&lt;=0), 0, IF(AND($C567="Passing", $G$3&lt;=0), 0,IF(AND($C567="Receiving",$I567&lt;=0), 0,SUMIFS(Table2[Stat],Table2[Week],Table1[[#This Row],[Week]],Table2[Athlete],Table1[[#This Row],[Pick]],Table2[Stat Category],"passing",Table2[Stat Type],"TD"))))</f>
        <v>0</v>
      </c>
      <c r="K567" s="6">
        <f>IF(AND($C567="Rushing", $H567&lt;=0), 0, IF(AND($C567="Passing", $G$3&lt;=0), 0,IF(AND($C567="Receiving",$I567&lt;=0),0,SUMIFS(Table2[Stat],Table2[Week],Table1[[#This Row],[Week]],Table2[Athlete],Table1[[#This Row],[Pick]],Table2[Stat Category],"rushing",Table2[Stat Type],"TD"))))</f>
        <v>0</v>
      </c>
      <c r="L567" s="6">
        <f>IF(AND($C567="Rushing", $H567&lt;=0), 0, IF(AND($C567="Passing", $G$3&lt;=0), 0,IF(AND($C567="Receiving",$I567&lt;=0),0,SUMIFS(Table2[Stat],Table2[Week],Table1[[#This Row],[Week]],Table2[Athlete],Table1[[#This Row],[Pick]],Table2[Stat Category],"receiving",Table2[Stat Type],"TD"))))</f>
        <v>0</v>
      </c>
      <c r="M5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7" s="61">
        <f>SUMIFS(Data!$J:$J,Data!$A:$A,Info!$B567,Data!$G:$G,Info!$C567,Data!$I:$I,Info!$D567,Data!$H:$H,"TOT")</f>
        <v>0</v>
      </c>
      <c r="O567" s="61">
        <f>IF(C567="Defensive",SUMIFS(Data!$J:$J,Data!$A:$A,Info!$B567,Data!$I:$I,Info!$D567,Data!$H:$H,"INT"),0)</f>
        <v>0</v>
      </c>
      <c r="P567" s="61">
        <f>IF(Table1[[#This Row],[Role]]="Defensive",SUMIFS(Data!$J:$J,Data!$A:$A,Info!$B567,Data!$I:$I,Info!$D567,Data!$H:$H,$P$1),0)</f>
        <v>0</v>
      </c>
      <c r="Q567" s="65" t="str">
        <f>IF(Table1[[#This Row],[Pick]]="","",IF(S567&gt;1,400,IF(G567="","",IF(C567="Passing",(400-Table1[[#This Row],[Passing Yards]]-(30*Table1[[#This Row],[Passing TDs]])-(50*SUM(Table1[[#This Row],[Rushing TDs]:[Other TD''s]]))),IF(C567="Rushing",2*(200-Table1[[#This Row],[Rushing Yards]]-(30*Table1[[#This Row],[Passing TDs]])-50*(Table1[[#This Row],[Rushing TDs]]+Table1[[#This Row],[Receiving TDs]]+Table1[[#This Row],[Other TD''s]])),IF(C567="Receiving",2*(200-Table1[[#This Row],[Receiving Yards]]-(30*Table1[[#This Row],[Passing TDs]])-50*(Table1[[#This Row],[Rushing TDs]]+Table1[[#This Row],[Receiving TDs]]+Table1[[#This Row],[Other TD''s]])),IF(C567="Defensive",(25*(16-Table1[[#This Row],[Tackles]]-(8*(Table1[[#This Row],[Other TD''s]]+Table1[[#This Row],[Interceptions]]+Table1[[#This Row],[Fumbles Recovered]])))))))))))</f>
        <v/>
      </c>
      <c r="R567" s="3" t="str">
        <f t="shared" si="18"/>
        <v/>
      </c>
      <c r="S567" s="4">
        <f t="shared" si="17"/>
        <v>1048507</v>
      </c>
      <c r="T5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8" spans="1:20" hidden="1" x14ac:dyDescent="0.25">
      <c r="A568" t="s">
        <v>62</v>
      </c>
      <c r="B568" s="28" t="s">
        <v>52</v>
      </c>
      <c r="C568" t="s">
        <v>6</v>
      </c>
      <c r="D568" t="str">
        <f>_xlfn.XLOOKUP(Table1[[#This Row],[Player]]&amp;Table1[[#This Row],[Week]]&amp;Table1[[#This Row],[Role]],'Google Form Transform'!$A:$A,'Google Form Transform'!E:E,"")</f>
        <v/>
      </c>
      <c r="E568" t="str">
        <f>_xlfn.XLOOKUP(Table1[[#This Row],[Player]]&amp;Table1[[#This Row],[Week]]&amp;Table1[[#This Row],[Role]],'Google Form Transform'!$A:$A,'Google Form Transform'!F:F,"")</f>
        <v/>
      </c>
      <c r="F568" t="str">
        <f>_xlfn.XLOOKUP(Table1[[#This Row],[Player]]&amp;Table1[[#This Row],[Week]]&amp;Table1[[#This Row],[Role]],'Google Form Transform'!$A:$A,'Google Form Transform'!G:G,"")</f>
        <v/>
      </c>
      <c r="G568" s="59">
        <f>SUMIFS(Table2[Stat],Table2[Stat Category],"passing",Table2[Stat Type],"YDS",Table2[Athlete],Table1[[#This Row],[Pick]],Table2[Week],Table1[[#This Row],[Week]])</f>
        <v>0</v>
      </c>
      <c r="H568" s="59">
        <f>SUMIFS(Table2[Stat],Table2[Stat Category],"rushing",Table2[Stat Type],"YDS",Table2[Athlete],Table1[[#This Row],[Pick]],Table2[Week],Table1[[#This Row],[Week]])</f>
        <v>0</v>
      </c>
      <c r="I568" s="59">
        <f>SUMIFS(Table2[Stat],Table2[Stat Category],"receiving",Table2[Stat Type],"YDS",Table2[Athlete],Table1[[#This Row],[Pick]],Table2[Week],Table1[[#This Row],[Week]])</f>
        <v>0</v>
      </c>
      <c r="J568" s="6">
        <f>IF(AND($C568="Rushing", $H568&lt;=0), 0, IF(AND($C568="Passing", $G$3&lt;=0), 0,IF(AND($C568="Receiving",$I568&lt;=0), 0,SUMIFS(Table2[Stat],Table2[Week],Table1[[#This Row],[Week]],Table2[Athlete],Table1[[#This Row],[Pick]],Table2[Stat Category],"passing",Table2[Stat Type],"TD"))))</f>
        <v>0</v>
      </c>
      <c r="K568" s="6">
        <f>IF(AND($C568="Rushing", $H568&lt;=0), 0, IF(AND($C568="Passing", $G$3&lt;=0), 0,IF(AND($C568="Receiving",$I568&lt;=0),0,SUMIFS(Table2[Stat],Table2[Week],Table1[[#This Row],[Week]],Table2[Athlete],Table1[[#This Row],[Pick]],Table2[Stat Category],"rushing",Table2[Stat Type],"TD"))))</f>
        <v>0</v>
      </c>
      <c r="L568" s="6">
        <f>IF(AND($C568="Rushing", $H568&lt;=0), 0, IF(AND($C568="Passing", $G$3&lt;=0), 0,IF(AND($C568="Receiving",$I568&lt;=0),0,SUMIFS(Table2[Stat],Table2[Week],Table1[[#This Row],[Week]],Table2[Athlete],Table1[[#This Row],[Pick]],Table2[Stat Category],"receiving",Table2[Stat Type],"TD"))))</f>
        <v>0</v>
      </c>
      <c r="M5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8" s="61">
        <f>SUMIFS(Data!$J:$J,Data!$A:$A,Info!$B568,Data!$G:$G,Info!$C568,Data!$I:$I,Info!$D568,Data!$H:$H,"TOT")</f>
        <v>0</v>
      </c>
      <c r="O568" s="61">
        <f>IF(C568="Defensive",SUMIFS(Data!$J:$J,Data!$A:$A,Info!$B568,Data!$I:$I,Info!$D568,Data!$H:$H,"INT"),0)</f>
        <v>0</v>
      </c>
      <c r="P568" s="61">
        <f>IF(Table1[[#This Row],[Role]]="Defensive",SUMIFS(Data!$J:$J,Data!$A:$A,Info!$B568,Data!$I:$I,Info!$D568,Data!$H:$H,$P$1),0)</f>
        <v>0</v>
      </c>
      <c r="Q568" s="65" t="str">
        <f>IF(Table1[[#This Row],[Pick]]="","",IF(S568&gt;1,400,IF(G568="","",IF(C568="Passing",(400-Table1[[#This Row],[Passing Yards]]-(30*Table1[[#This Row],[Passing TDs]])-(50*SUM(Table1[[#This Row],[Rushing TDs]:[Other TD''s]]))),IF(C568="Rushing",2*(200-Table1[[#This Row],[Rushing Yards]]-(30*Table1[[#This Row],[Passing TDs]])-50*(Table1[[#This Row],[Rushing TDs]]+Table1[[#This Row],[Receiving TDs]]+Table1[[#This Row],[Other TD''s]])),IF(C568="Receiving",2*(200-Table1[[#This Row],[Receiving Yards]]-(30*Table1[[#This Row],[Passing TDs]])-50*(Table1[[#This Row],[Rushing TDs]]+Table1[[#This Row],[Receiving TDs]]+Table1[[#This Row],[Other TD''s]])),IF(C568="Defensive",(25*(16-Table1[[#This Row],[Tackles]]-(8*(Table1[[#This Row],[Other TD''s]]+Table1[[#This Row],[Interceptions]]+Table1[[#This Row],[Fumbles Recovered]])))))))))))</f>
        <v/>
      </c>
      <c r="R568" s="3" t="str">
        <f t="shared" si="18"/>
        <v/>
      </c>
      <c r="S568" s="4">
        <f t="shared" si="17"/>
        <v>1048507</v>
      </c>
      <c r="T5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9" spans="1:20" hidden="1" x14ac:dyDescent="0.25">
      <c r="A569" t="s">
        <v>62</v>
      </c>
      <c r="B569" s="28" t="s">
        <v>52</v>
      </c>
      <c r="C569" t="s">
        <v>17</v>
      </c>
      <c r="D569" t="str">
        <f>_xlfn.XLOOKUP(Table1[[#This Row],[Player]]&amp;Table1[[#This Row],[Week]]&amp;Table1[[#This Row],[Role]],'Google Form Transform'!$A:$A,'Google Form Transform'!E:E,"")</f>
        <v/>
      </c>
      <c r="E569" t="str">
        <f>_xlfn.XLOOKUP(Table1[[#This Row],[Player]]&amp;Table1[[#This Row],[Week]]&amp;Table1[[#This Row],[Role]],'Google Form Transform'!$A:$A,'Google Form Transform'!F:F,"")</f>
        <v/>
      </c>
      <c r="F569" t="str">
        <f>_xlfn.XLOOKUP(Table1[[#This Row],[Player]]&amp;Table1[[#This Row],[Week]]&amp;Table1[[#This Row],[Role]],'Google Form Transform'!$A:$A,'Google Form Transform'!G:G,"")</f>
        <v/>
      </c>
      <c r="G569" s="59">
        <f>SUMIFS(Table2[Stat],Table2[Stat Category],"passing",Table2[Stat Type],"YDS",Table2[Athlete],Table1[[#This Row],[Pick]],Table2[Week],Table1[[#This Row],[Week]])</f>
        <v>0</v>
      </c>
      <c r="H569" s="59">
        <f>SUMIFS(Table2[Stat],Table2[Stat Category],"rushing",Table2[Stat Type],"YDS",Table2[Athlete],Table1[[#This Row],[Pick]],Table2[Week],Table1[[#This Row],[Week]])</f>
        <v>0</v>
      </c>
      <c r="I569" s="59">
        <f>SUMIFS(Table2[Stat],Table2[Stat Category],"receiving",Table2[Stat Type],"YDS",Table2[Athlete],Table1[[#This Row],[Pick]],Table2[Week],Table1[[#This Row],[Week]])</f>
        <v>0</v>
      </c>
      <c r="J569" s="6">
        <f>IF(AND($C569="Rushing", $H569&lt;=0), 0, IF(AND($C569="Passing", $G$3&lt;=0), 0,IF(AND($C569="Receiving",$I569&lt;=0), 0,SUMIFS(Table2[Stat],Table2[Week],Table1[[#This Row],[Week]],Table2[Athlete],Table1[[#This Row],[Pick]],Table2[Stat Category],"passing",Table2[Stat Type],"TD"))))</f>
        <v>0</v>
      </c>
      <c r="K569" s="6">
        <f>IF(AND($C569="Rushing", $H569&lt;=0), 0, IF(AND($C569="Passing", $G$3&lt;=0), 0,IF(AND($C569="Receiving",$I569&lt;=0),0,SUMIFS(Table2[Stat],Table2[Week],Table1[[#This Row],[Week]],Table2[Athlete],Table1[[#This Row],[Pick]],Table2[Stat Category],"rushing",Table2[Stat Type],"TD"))))</f>
        <v>0</v>
      </c>
      <c r="L569" s="6">
        <f>IF(AND($C569="Rushing", $H569&lt;=0), 0, IF(AND($C569="Passing", $G$3&lt;=0), 0,IF(AND($C569="Receiving",$I569&lt;=0),0,SUMIFS(Table2[Stat],Table2[Week],Table1[[#This Row],[Week]],Table2[Athlete],Table1[[#This Row],[Pick]],Table2[Stat Category],"receiving",Table2[Stat Type],"TD"))))</f>
        <v>0</v>
      </c>
      <c r="M5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9" s="61">
        <f>SUMIFS(Data!$J:$J,Data!$A:$A,Info!$B569,Data!$G:$G,Info!$C569,Data!$I:$I,Info!$D569,Data!$H:$H,"TOT")</f>
        <v>0</v>
      </c>
      <c r="O569" s="61">
        <f>IF(C569="Defensive",SUMIFS(Data!$J:$J,Data!$A:$A,Info!$B569,Data!$I:$I,Info!$D569,Data!$H:$H,"INT"),0)</f>
        <v>0</v>
      </c>
      <c r="P569" s="61">
        <f>IF(Table1[[#This Row],[Role]]="Defensive",SUMIFS(Data!$J:$J,Data!$A:$A,Info!$B569,Data!$I:$I,Info!$D569,Data!$H:$H,$P$1),0)</f>
        <v>0</v>
      </c>
      <c r="Q569" s="65" t="str">
        <f>IF(Table1[[#This Row],[Pick]]="","",IF(S569&gt;1,400,IF(G569="","",IF(C569="Passing",(400-Table1[[#This Row],[Passing Yards]]-(30*Table1[[#This Row],[Passing TDs]])-(50*SUM(Table1[[#This Row],[Rushing TDs]:[Other TD''s]]))),IF(C569="Rushing",2*(200-Table1[[#This Row],[Rushing Yards]]-(30*Table1[[#This Row],[Passing TDs]])-50*(Table1[[#This Row],[Rushing TDs]]+Table1[[#This Row],[Receiving TDs]]+Table1[[#This Row],[Other TD''s]])),IF(C569="Receiving",2*(200-Table1[[#This Row],[Receiving Yards]]-(30*Table1[[#This Row],[Passing TDs]])-50*(Table1[[#This Row],[Rushing TDs]]+Table1[[#This Row],[Receiving TDs]]+Table1[[#This Row],[Other TD''s]])),IF(C569="Defensive",(25*(16-Table1[[#This Row],[Tackles]]-(8*(Table1[[#This Row],[Other TD''s]]+Table1[[#This Row],[Interceptions]]+Table1[[#This Row],[Fumbles Recovered]])))))))))))</f>
        <v/>
      </c>
      <c r="R569" s="3" t="str">
        <f t="shared" si="18"/>
        <v/>
      </c>
      <c r="S569" s="4">
        <f t="shared" si="17"/>
        <v>1048507</v>
      </c>
      <c r="T5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0" spans="1:20" hidden="1" x14ac:dyDescent="0.25">
      <c r="A570" t="s">
        <v>62</v>
      </c>
      <c r="B570" s="28" t="s">
        <v>52</v>
      </c>
      <c r="C570" t="s">
        <v>20</v>
      </c>
      <c r="D570" t="str">
        <f>_xlfn.XLOOKUP(Table1[[#This Row],[Player]]&amp;Table1[[#This Row],[Week]]&amp;Table1[[#This Row],[Role]],'Google Form Transform'!$A:$A,'Google Form Transform'!E:E,"")</f>
        <v/>
      </c>
      <c r="E570" t="str">
        <f>_xlfn.XLOOKUP(Table1[[#This Row],[Player]]&amp;Table1[[#This Row],[Week]]&amp;Table1[[#This Row],[Role]],'Google Form Transform'!$A:$A,'Google Form Transform'!F:F,"")</f>
        <v/>
      </c>
      <c r="F570" t="str">
        <f>_xlfn.XLOOKUP(Table1[[#This Row],[Player]]&amp;Table1[[#This Row],[Week]]&amp;Table1[[#This Row],[Role]],'Google Form Transform'!$A:$A,'Google Form Transform'!G:G,"")</f>
        <v/>
      </c>
      <c r="G570" s="59">
        <f>SUMIFS(Table2[Stat],Table2[Stat Category],"passing",Table2[Stat Type],"YDS",Table2[Athlete],Table1[[#This Row],[Pick]],Table2[Week],Table1[[#This Row],[Week]])</f>
        <v>0</v>
      </c>
      <c r="H570" s="59">
        <f>SUMIFS(Table2[Stat],Table2[Stat Category],"rushing",Table2[Stat Type],"YDS",Table2[Athlete],Table1[[#This Row],[Pick]],Table2[Week],Table1[[#This Row],[Week]])</f>
        <v>0</v>
      </c>
      <c r="I570" s="59">
        <f>SUMIFS(Table2[Stat],Table2[Stat Category],"receiving",Table2[Stat Type],"YDS",Table2[Athlete],Table1[[#This Row],[Pick]],Table2[Week],Table1[[#This Row],[Week]])</f>
        <v>0</v>
      </c>
      <c r="J570" s="6">
        <f>IF(AND($C570="Rushing", $H570&lt;=0), 0, IF(AND($C570="Passing", $G$3&lt;=0), 0,IF(AND($C570="Receiving",$I570&lt;=0), 0,SUMIFS(Table2[Stat],Table2[Week],Table1[[#This Row],[Week]],Table2[Athlete],Table1[[#This Row],[Pick]],Table2[Stat Category],"passing",Table2[Stat Type],"TD"))))</f>
        <v>0</v>
      </c>
      <c r="K570" s="6">
        <f>IF(AND($C570="Rushing", $H570&lt;=0), 0, IF(AND($C570="Passing", $G$3&lt;=0), 0,IF(AND($C570="Receiving",$I570&lt;=0),0,SUMIFS(Table2[Stat],Table2[Week],Table1[[#This Row],[Week]],Table2[Athlete],Table1[[#This Row],[Pick]],Table2[Stat Category],"rushing",Table2[Stat Type],"TD"))))</f>
        <v>0</v>
      </c>
      <c r="L570" s="6">
        <f>IF(AND($C570="Rushing", $H570&lt;=0), 0, IF(AND($C570="Passing", $G$3&lt;=0), 0,IF(AND($C570="Receiving",$I570&lt;=0),0,SUMIFS(Table2[Stat],Table2[Week],Table1[[#This Row],[Week]],Table2[Athlete],Table1[[#This Row],[Pick]],Table2[Stat Category],"receiving",Table2[Stat Type],"TD"))))</f>
        <v>0</v>
      </c>
      <c r="M5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0" s="61">
        <f>SUMIFS(Data!$J:$J,Data!$A:$A,Info!$B570,Data!$G:$G,Info!$C570,Data!$I:$I,Info!$D570,Data!$H:$H,"TOT")</f>
        <v>0</v>
      </c>
      <c r="O570" s="61">
        <f>IF(C570="Defensive",SUMIFS(Data!$J:$J,Data!$A:$A,Info!$B570,Data!$I:$I,Info!$D570,Data!$H:$H,"INT"),0)</f>
        <v>0</v>
      </c>
      <c r="P570" s="61">
        <f>IF(Table1[[#This Row],[Role]]="Defensive",SUMIFS(Data!$J:$J,Data!$A:$A,Info!$B570,Data!$I:$I,Info!$D570,Data!$H:$H,$P$1),0)</f>
        <v>0</v>
      </c>
      <c r="Q570" s="65" t="str">
        <f>IF(Table1[[#This Row],[Pick]]="","",IF(S570&gt;1,400,IF(G570="","",IF(C570="Passing",(400-Table1[[#This Row],[Passing Yards]]-(30*Table1[[#This Row],[Passing TDs]])-(50*SUM(Table1[[#This Row],[Rushing TDs]:[Other TD''s]]))),IF(C570="Rushing",2*(200-Table1[[#This Row],[Rushing Yards]]-(30*Table1[[#This Row],[Passing TDs]])-50*(Table1[[#This Row],[Rushing TDs]]+Table1[[#This Row],[Receiving TDs]]+Table1[[#This Row],[Other TD''s]])),IF(C570="Receiving",2*(200-Table1[[#This Row],[Receiving Yards]]-(30*Table1[[#This Row],[Passing TDs]])-50*(Table1[[#This Row],[Rushing TDs]]+Table1[[#This Row],[Receiving TDs]]+Table1[[#This Row],[Other TD''s]])),IF(C570="Defensive",(25*(16-Table1[[#This Row],[Tackles]]-(8*(Table1[[#This Row],[Other TD''s]]+Table1[[#This Row],[Interceptions]]+Table1[[#This Row],[Fumbles Recovered]])))))))))))</f>
        <v/>
      </c>
      <c r="R570" s="3" t="str">
        <f t="shared" si="18"/>
        <v/>
      </c>
      <c r="S570" s="4">
        <f t="shared" si="17"/>
        <v>1048507</v>
      </c>
      <c r="T5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1" spans="1:20" hidden="1" x14ac:dyDescent="0.25">
      <c r="A571" t="s">
        <v>59</v>
      </c>
      <c r="B571" s="28" t="s">
        <v>52</v>
      </c>
      <c r="C571" t="s">
        <v>16</v>
      </c>
      <c r="D571" t="str">
        <f>_xlfn.XLOOKUP(Table1[[#This Row],[Player]]&amp;Table1[[#This Row],[Week]]&amp;Table1[[#This Row],[Role]],'Google Form Transform'!$A:$A,'Google Form Transform'!E:E,"")</f>
        <v/>
      </c>
      <c r="E571" t="str">
        <f>_xlfn.XLOOKUP(Table1[[#This Row],[Player]]&amp;Table1[[#This Row],[Week]]&amp;Table1[[#This Row],[Role]],'Google Form Transform'!$A:$A,'Google Form Transform'!F:F,"")</f>
        <v/>
      </c>
      <c r="F571" t="str">
        <f>_xlfn.XLOOKUP(Table1[[#This Row],[Player]]&amp;Table1[[#This Row],[Week]]&amp;Table1[[#This Row],[Role]],'Google Form Transform'!$A:$A,'Google Form Transform'!G:G,"")</f>
        <v/>
      </c>
      <c r="G571" s="59">
        <f>SUMIFS(Table2[Stat],Table2[Stat Category],"passing",Table2[Stat Type],"YDS",Table2[Athlete],Table1[[#This Row],[Pick]],Table2[Week],Table1[[#This Row],[Week]])</f>
        <v>0</v>
      </c>
      <c r="H571" s="59">
        <f>SUMIFS(Table2[Stat],Table2[Stat Category],"rushing",Table2[Stat Type],"YDS",Table2[Athlete],Table1[[#This Row],[Pick]],Table2[Week],Table1[[#This Row],[Week]])</f>
        <v>0</v>
      </c>
      <c r="I571" s="59">
        <f>SUMIFS(Table2[Stat],Table2[Stat Category],"receiving",Table2[Stat Type],"YDS",Table2[Athlete],Table1[[#This Row],[Pick]],Table2[Week],Table1[[#This Row],[Week]])</f>
        <v>0</v>
      </c>
      <c r="J571" s="6">
        <f>IF(AND($C571="Rushing", $H571&lt;=0), 0, IF(AND($C571="Passing", $G$3&lt;=0), 0,IF(AND($C571="Receiving",$I571&lt;=0), 0,SUMIFS(Table2[Stat],Table2[Week],Table1[[#This Row],[Week]],Table2[Athlete],Table1[[#This Row],[Pick]],Table2[Stat Category],"passing",Table2[Stat Type],"TD"))))</f>
        <v>0</v>
      </c>
      <c r="K571" s="6">
        <f>IF(AND($C571="Rushing", $H571&lt;=0), 0, IF(AND($C571="Passing", $G$3&lt;=0), 0,IF(AND($C571="Receiving",$I571&lt;=0),0,SUMIFS(Table2[Stat],Table2[Week],Table1[[#This Row],[Week]],Table2[Athlete],Table1[[#This Row],[Pick]],Table2[Stat Category],"rushing",Table2[Stat Type],"TD"))))</f>
        <v>0</v>
      </c>
      <c r="L571" s="6">
        <f>IF(AND($C571="Rushing", $H571&lt;=0), 0, IF(AND($C571="Passing", $G$3&lt;=0), 0,IF(AND($C571="Receiving",$I571&lt;=0),0,SUMIFS(Table2[Stat],Table2[Week],Table1[[#This Row],[Week]],Table2[Athlete],Table1[[#This Row],[Pick]],Table2[Stat Category],"receiving",Table2[Stat Type],"TD"))))</f>
        <v>0</v>
      </c>
      <c r="M5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1" s="61">
        <f>SUMIFS(Data!$J:$J,Data!$A:$A,Info!$B571,Data!$G:$G,Info!$C571,Data!$I:$I,Info!$D571,Data!$H:$H,"TOT")</f>
        <v>0</v>
      </c>
      <c r="O571" s="61">
        <f>IF(C571="Defensive",SUMIFS(Data!$J:$J,Data!$A:$A,Info!$B571,Data!$I:$I,Info!$D571,Data!$H:$H,"INT"),0)</f>
        <v>0</v>
      </c>
      <c r="P571" s="61">
        <f>IF(Table1[[#This Row],[Role]]="Defensive",SUMIFS(Data!$J:$J,Data!$A:$A,Info!$B571,Data!$I:$I,Info!$D571,Data!$H:$H,$P$1),0)</f>
        <v>0</v>
      </c>
      <c r="Q571" s="65" t="str">
        <f>IF(Table1[[#This Row],[Pick]]="","",IF(S571&gt;1,400,IF(G571="","",IF(C571="Passing",(400-Table1[[#This Row],[Passing Yards]]-(30*Table1[[#This Row],[Passing TDs]])-(50*SUM(Table1[[#This Row],[Rushing TDs]:[Other TD''s]]))),IF(C571="Rushing",2*(200-Table1[[#This Row],[Rushing Yards]]-(30*Table1[[#This Row],[Passing TDs]])-50*(Table1[[#This Row],[Rushing TDs]]+Table1[[#This Row],[Receiving TDs]]+Table1[[#This Row],[Other TD''s]])),IF(C571="Receiving",2*(200-Table1[[#This Row],[Receiving Yards]]-(30*Table1[[#This Row],[Passing TDs]])-50*(Table1[[#This Row],[Rushing TDs]]+Table1[[#This Row],[Receiving TDs]]+Table1[[#This Row],[Other TD''s]])),IF(C571="Defensive",(25*(16-Table1[[#This Row],[Tackles]]-(8*(Table1[[#This Row],[Other TD''s]]+Table1[[#This Row],[Interceptions]]+Table1[[#This Row],[Fumbles Recovered]])))))))))))</f>
        <v/>
      </c>
      <c r="R571" s="3" t="str">
        <f t="shared" si="18"/>
        <v/>
      </c>
      <c r="S571" s="4">
        <f t="shared" si="17"/>
        <v>1048507</v>
      </c>
      <c r="T5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2" spans="1:20" hidden="1" x14ac:dyDescent="0.25">
      <c r="A572" t="s">
        <v>59</v>
      </c>
      <c r="B572" s="28" t="s">
        <v>52</v>
      </c>
      <c r="C572" t="s">
        <v>6</v>
      </c>
      <c r="D572" t="str">
        <f>_xlfn.XLOOKUP(Table1[[#This Row],[Player]]&amp;Table1[[#This Row],[Week]]&amp;Table1[[#This Row],[Role]],'Google Form Transform'!$A:$A,'Google Form Transform'!E:E,"")</f>
        <v/>
      </c>
      <c r="E572" t="str">
        <f>_xlfn.XLOOKUP(Table1[[#This Row],[Player]]&amp;Table1[[#This Row],[Week]]&amp;Table1[[#This Row],[Role]],'Google Form Transform'!$A:$A,'Google Form Transform'!F:F,"")</f>
        <v/>
      </c>
      <c r="F572" t="str">
        <f>_xlfn.XLOOKUP(Table1[[#This Row],[Player]]&amp;Table1[[#This Row],[Week]]&amp;Table1[[#This Row],[Role]],'Google Form Transform'!$A:$A,'Google Form Transform'!G:G,"")</f>
        <v/>
      </c>
      <c r="G572" s="59">
        <f>SUMIFS(Table2[Stat],Table2[Stat Category],"passing",Table2[Stat Type],"YDS",Table2[Athlete],Table1[[#This Row],[Pick]],Table2[Week],Table1[[#This Row],[Week]])</f>
        <v>0</v>
      </c>
      <c r="H572" s="59">
        <f>SUMIFS(Table2[Stat],Table2[Stat Category],"rushing",Table2[Stat Type],"YDS",Table2[Athlete],Table1[[#This Row],[Pick]],Table2[Week],Table1[[#This Row],[Week]])</f>
        <v>0</v>
      </c>
      <c r="I572" s="59">
        <f>SUMIFS(Table2[Stat],Table2[Stat Category],"receiving",Table2[Stat Type],"YDS",Table2[Athlete],Table1[[#This Row],[Pick]],Table2[Week],Table1[[#This Row],[Week]])</f>
        <v>0</v>
      </c>
      <c r="J572" s="6">
        <f>IF(AND($C572="Rushing", $H572&lt;=0), 0, IF(AND($C572="Passing", $G$3&lt;=0), 0,IF(AND($C572="Receiving",$I572&lt;=0), 0,SUMIFS(Table2[Stat],Table2[Week],Table1[[#This Row],[Week]],Table2[Athlete],Table1[[#This Row],[Pick]],Table2[Stat Category],"passing",Table2[Stat Type],"TD"))))</f>
        <v>0</v>
      </c>
      <c r="K572" s="6">
        <f>IF(AND($C572="Rushing", $H572&lt;=0), 0, IF(AND($C572="Passing", $G$3&lt;=0), 0,IF(AND($C572="Receiving",$I572&lt;=0),0,SUMIFS(Table2[Stat],Table2[Week],Table1[[#This Row],[Week]],Table2[Athlete],Table1[[#This Row],[Pick]],Table2[Stat Category],"rushing",Table2[Stat Type],"TD"))))</f>
        <v>0</v>
      </c>
      <c r="L572" s="6">
        <f>IF(AND($C572="Rushing", $H572&lt;=0), 0, IF(AND($C572="Passing", $G$3&lt;=0), 0,IF(AND($C572="Receiving",$I572&lt;=0),0,SUMIFS(Table2[Stat],Table2[Week],Table1[[#This Row],[Week]],Table2[Athlete],Table1[[#This Row],[Pick]],Table2[Stat Category],"receiving",Table2[Stat Type],"TD"))))</f>
        <v>0</v>
      </c>
      <c r="M5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2" s="61">
        <f>SUMIFS(Data!$J:$J,Data!$A:$A,Info!$B572,Data!$G:$G,Info!$C572,Data!$I:$I,Info!$D572,Data!$H:$H,"TOT")</f>
        <v>0</v>
      </c>
      <c r="O572" s="61">
        <f>IF(C572="Defensive",SUMIFS(Data!$J:$J,Data!$A:$A,Info!$B572,Data!$I:$I,Info!$D572,Data!$H:$H,"INT"),0)</f>
        <v>0</v>
      </c>
      <c r="P572" s="61">
        <f>IF(Table1[[#This Row],[Role]]="Defensive",SUMIFS(Data!$J:$J,Data!$A:$A,Info!$B572,Data!$I:$I,Info!$D572,Data!$H:$H,$P$1),0)</f>
        <v>0</v>
      </c>
      <c r="Q572" s="65" t="str">
        <f>IF(Table1[[#This Row],[Pick]]="","",IF(S572&gt;1,400,IF(G572="","",IF(C572="Passing",(400-Table1[[#This Row],[Passing Yards]]-(30*Table1[[#This Row],[Passing TDs]])-(50*SUM(Table1[[#This Row],[Rushing TDs]:[Other TD''s]]))),IF(C572="Rushing",2*(200-Table1[[#This Row],[Rushing Yards]]-(30*Table1[[#This Row],[Passing TDs]])-50*(Table1[[#This Row],[Rushing TDs]]+Table1[[#This Row],[Receiving TDs]]+Table1[[#This Row],[Other TD''s]])),IF(C572="Receiving",2*(200-Table1[[#This Row],[Receiving Yards]]-(30*Table1[[#This Row],[Passing TDs]])-50*(Table1[[#This Row],[Rushing TDs]]+Table1[[#This Row],[Receiving TDs]]+Table1[[#This Row],[Other TD''s]])),IF(C572="Defensive",(25*(16-Table1[[#This Row],[Tackles]]-(8*(Table1[[#This Row],[Other TD''s]]+Table1[[#This Row],[Interceptions]]+Table1[[#This Row],[Fumbles Recovered]])))))))))))</f>
        <v/>
      </c>
      <c r="R572" s="3" t="str">
        <f t="shared" si="18"/>
        <v/>
      </c>
      <c r="S572" s="4">
        <f t="shared" si="17"/>
        <v>1048507</v>
      </c>
      <c r="T5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3" spans="1:20" hidden="1" x14ac:dyDescent="0.25">
      <c r="A573" t="s">
        <v>59</v>
      </c>
      <c r="B573" s="28" t="s">
        <v>52</v>
      </c>
      <c r="C573" t="s">
        <v>17</v>
      </c>
      <c r="D573" t="str">
        <f>_xlfn.XLOOKUP(Table1[[#This Row],[Player]]&amp;Table1[[#This Row],[Week]]&amp;Table1[[#This Row],[Role]],'Google Form Transform'!$A:$A,'Google Form Transform'!E:E,"")</f>
        <v/>
      </c>
      <c r="E573" t="str">
        <f>_xlfn.XLOOKUP(Table1[[#This Row],[Player]]&amp;Table1[[#This Row],[Week]]&amp;Table1[[#This Row],[Role]],'Google Form Transform'!$A:$A,'Google Form Transform'!F:F,"")</f>
        <v/>
      </c>
      <c r="F573" t="str">
        <f>_xlfn.XLOOKUP(Table1[[#This Row],[Player]]&amp;Table1[[#This Row],[Week]]&amp;Table1[[#This Row],[Role]],'Google Form Transform'!$A:$A,'Google Form Transform'!G:G,"")</f>
        <v/>
      </c>
      <c r="G573" s="59">
        <f>SUMIFS(Table2[Stat],Table2[Stat Category],"passing",Table2[Stat Type],"YDS",Table2[Athlete],Table1[[#This Row],[Pick]],Table2[Week],Table1[[#This Row],[Week]])</f>
        <v>0</v>
      </c>
      <c r="H573" s="59">
        <f>SUMIFS(Table2[Stat],Table2[Stat Category],"rushing",Table2[Stat Type],"YDS",Table2[Athlete],Table1[[#This Row],[Pick]],Table2[Week],Table1[[#This Row],[Week]])</f>
        <v>0</v>
      </c>
      <c r="I573" s="59">
        <f>SUMIFS(Table2[Stat],Table2[Stat Category],"receiving",Table2[Stat Type],"YDS",Table2[Athlete],Table1[[#This Row],[Pick]],Table2[Week],Table1[[#This Row],[Week]])</f>
        <v>0</v>
      </c>
      <c r="J573" s="6">
        <f>IF(AND($C573="Rushing", $H573&lt;=0), 0, IF(AND($C573="Passing", $G$3&lt;=0), 0,IF(AND($C573="Receiving",$I573&lt;=0), 0,SUMIFS(Table2[Stat],Table2[Week],Table1[[#This Row],[Week]],Table2[Athlete],Table1[[#This Row],[Pick]],Table2[Stat Category],"passing",Table2[Stat Type],"TD"))))</f>
        <v>0</v>
      </c>
      <c r="K573" s="6">
        <f>IF(AND($C573="Rushing", $H573&lt;=0), 0, IF(AND($C573="Passing", $G$3&lt;=0), 0,IF(AND($C573="Receiving",$I573&lt;=0),0,SUMIFS(Table2[Stat],Table2[Week],Table1[[#This Row],[Week]],Table2[Athlete],Table1[[#This Row],[Pick]],Table2[Stat Category],"rushing",Table2[Stat Type],"TD"))))</f>
        <v>0</v>
      </c>
      <c r="L573" s="6">
        <f>IF(AND($C573="Rushing", $H573&lt;=0), 0, IF(AND($C573="Passing", $G$3&lt;=0), 0,IF(AND($C573="Receiving",$I573&lt;=0),0,SUMIFS(Table2[Stat],Table2[Week],Table1[[#This Row],[Week]],Table2[Athlete],Table1[[#This Row],[Pick]],Table2[Stat Category],"receiving",Table2[Stat Type],"TD"))))</f>
        <v>0</v>
      </c>
      <c r="M5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3" s="61">
        <f>SUMIFS(Data!$J:$J,Data!$A:$A,Info!$B573,Data!$G:$G,Info!$C573,Data!$I:$I,Info!$D573,Data!$H:$H,"TOT")</f>
        <v>0</v>
      </c>
      <c r="O573" s="61">
        <f>IF(C573="Defensive",SUMIFS(Data!$J:$J,Data!$A:$A,Info!$B573,Data!$I:$I,Info!$D573,Data!$H:$H,"INT"),0)</f>
        <v>0</v>
      </c>
      <c r="P573" s="61">
        <f>IF(Table1[[#This Row],[Role]]="Defensive",SUMIFS(Data!$J:$J,Data!$A:$A,Info!$B573,Data!$I:$I,Info!$D573,Data!$H:$H,$P$1),0)</f>
        <v>0</v>
      </c>
      <c r="Q573" s="65" t="str">
        <f>IF(Table1[[#This Row],[Pick]]="","",IF(S573&gt;1,400,IF(G573="","",IF(C573="Passing",(400-Table1[[#This Row],[Passing Yards]]-(30*Table1[[#This Row],[Passing TDs]])-(50*SUM(Table1[[#This Row],[Rushing TDs]:[Other TD''s]]))),IF(C573="Rushing",2*(200-Table1[[#This Row],[Rushing Yards]]-(30*Table1[[#This Row],[Passing TDs]])-50*(Table1[[#This Row],[Rushing TDs]]+Table1[[#This Row],[Receiving TDs]]+Table1[[#This Row],[Other TD''s]])),IF(C573="Receiving",2*(200-Table1[[#This Row],[Receiving Yards]]-(30*Table1[[#This Row],[Passing TDs]])-50*(Table1[[#This Row],[Rushing TDs]]+Table1[[#This Row],[Receiving TDs]]+Table1[[#This Row],[Other TD''s]])),IF(C573="Defensive",(25*(16-Table1[[#This Row],[Tackles]]-(8*(Table1[[#This Row],[Other TD''s]]+Table1[[#This Row],[Interceptions]]+Table1[[#This Row],[Fumbles Recovered]])))))))))))</f>
        <v/>
      </c>
      <c r="R573" s="3" t="str">
        <f t="shared" si="18"/>
        <v/>
      </c>
      <c r="S573" s="4">
        <f t="shared" si="17"/>
        <v>1048507</v>
      </c>
      <c r="T5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4" spans="1:20" hidden="1" x14ac:dyDescent="0.25">
      <c r="A574" t="s">
        <v>59</v>
      </c>
      <c r="B574" s="28" t="s">
        <v>52</v>
      </c>
      <c r="C574" t="s">
        <v>20</v>
      </c>
      <c r="D574" t="str">
        <f>_xlfn.XLOOKUP(Table1[[#This Row],[Player]]&amp;Table1[[#This Row],[Week]]&amp;Table1[[#This Row],[Role]],'Google Form Transform'!$A:$A,'Google Form Transform'!E:E,"")</f>
        <v/>
      </c>
      <c r="E574" t="str">
        <f>_xlfn.XLOOKUP(Table1[[#This Row],[Player]]&amp;Table1[[#This Row],[Week]]&amp;Table1[[#This Row],[Role]],'Google Form Transform'!$A:$A,'Google Form Transform'!F:F,"")</f>
        <v/>
      </c>
      <c r="F574" t="str">
        <f>_xlfn.XLOOKUP(Table1[[#This Row],[Player]]&amp;Table1[[#This Row],[Week]]&amp;Table1[[#This Row],[Role]],'Google Form Transform'!$A:$A,'Google Form Transform'!G:G,"")</f>
        <v/>
      </c>
      <c r="G574" s="59">
        <f>SUMIFS(Table2[Stat],Table2[Stat Category],"passing",Table2[Stat Type],"YDS",Table2[Athlete],Table1[[#This Row],[Pick]],Table2[Week],Table1[[#This Row],[Week]])</f>
        <v>0</v>
      </c>
      <c r="H574" s="59">
        <f>SUMIFS(Table2[Stat],Table2[Stat Category],"rushing",Table2[Stat Type],"YDS",Table2[Athlete],Table1[[#This Row],[Pick]],Table2[Week],Table1[[#This Row],[Week]])</f>
        <v>0</v>
      </c>
      <c r="I574" s="59">
        <f>SUMIFS(Table2[Stat],Table2[Stat Category],"receiving",Table2[Stat Type],"YDS",Table2[Athlete],Table1[[#This Row],[Pick]],Table2[Week],Table1[[#This Row],[Week]])</f>
        <v>0</v>
      </c>
      <c r="J574" s="6">
        <f>IF(AND($C574="Rushing", $H574&lt;=0), 0, IF(AND($C574="Passing", $G$3&lt;=0), 0,IF(AND($C574="Receiving",$I574&lt;=0), 0,SUMIFS(Table2[Stat],Table2[Week],Table1[[#This Row],[Week]],Table2[Athlete],Table1[[#This Row],[Pick]],Table2[Stat Category],"passing",Table2[Stat Type],"TD"))))</f>
        <v>0</v>
      </c>
      <c r="K574" s="6">
        <f>IF(AND($C574="Rushing", $H574&lt;=0), 0, IF(AND($C574="Passing", $G$3&lt;=0), 0,IF(AND($C574="Receiving",$I574&lt;=0),0,SUMIFS(Table2[Stat],Table2[Week],Table1[[#This Row],[Week]],Table2[Athlete],Table1[[#This Row],[Pick]],Table2[Stat Category],"rushing",Table2[Stat Type],"TD"))))</f>
        <v>0</v>
      </c>
      <c r="L574" s="6">
        <f>IF(AND($C574="Rushing", $H574&lt;=0), 0, IF(AND($C574="Passing", $G$3&lt;=0), 0,IF(AND($C574="Receiving",$I574&lt;=0),0,SUMIFS(Table2[Stat],Table2[Week],Table1[[#This Row],[Week]],Table2[Athlete],Table1[[#This Row],[Pick]],Table2[Stat Category],"receiving",Table2[Stat Type],"TD"))))</f>
        <v>0</v>
      </c>
      <c r="M5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4" s="61">
        <f>SUMIFS(Data!$J:$J,Data!$A:$A,Info!$B574,Data!$G:$G,Info!$C574,Data!$I:$I,Info!$D574,Data!$H:$H,"TOT")</f>
        <v>0</v>
      </c>
      <c r="O574" s="61">
        <f>IF(C574="Defensive",SUMIFS(Data!$J:$J,Data!$A:$A,Info!$B574,Data!$I:$I,Info!$D574,Data!$H:$H,"INT"),0)</f>
        <v>0</v>
      </c>
      <c r="P574" s="61">
        <f>IF(Table1[[#This Row],[Role]]="Defensive",SUMIFS(Data!$J:$J,Data!$A:$A,Info!$B574,Data!$I:$I,Info!$D574,Data!$H:$H,$P$1),0)</f>
        <v>0</v>
      </c>
      <c r="Q574" s="65" t="str">
        <f>IF(Table1[[#This Row],[Pick]]="","",IF(S574&gt;1,400,IF(G574="","",IF(C574="Passing",(400-Table1[[#This Row],[Passing Yards]]-(30*Table1[[#This Row],[Passing TDs]])-(50*SUM(Table1[[#This Row],[Rushing TDs]:[Other TD''s]]))),IF(C574="Rushing",2*(200-Table1[[#This Row],[Rushing Yards]]-(30*Table1[[#This Row],[Passing TDs]])-50*(Table1[[#This Row],[Rushing TDs]]+Table1[[#This Row],[Receiving TDs]]+Table1[[#This Row],[Other TD''s]])),IF(C574="Receiving",2*(200-Table1[[#This Row],[Receiving Yards]]-(30*Table1[[#This Row],[Passing TDs]])-50*(Table1[[#This Row],[Rushing TDs]]+Table1[[#This Row],[Receiving TDs]]+Table1[[#This Row],[Other TD''s]])),IF(C574="Defensive",(25*(16-Table1[[#This Row],[Tackles]]-(8*(Table1[[#This Row],[Other TD''s]]+Table1[[#This Row],[Interceptions]]+Table1[[#This Row],[Fumbles Recovered]])))))))))))</f>
        <v/>
      </c>
      <c r="R574" s="3" t="str">
        <f t="shared" si="18"/>
        <v/>
      </c>
      <c r="S574" s="4">
        <f t="shared" si="17"/>
        <v>1048507</v>
      </c>
      <c r="T5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5" spans="1:20" hidden="1" x14ac:dyDescent="0.25">
      <c r="A575" t="s">
        <v>68</v>
      </c>
      <c r="B575" s="28" t="s">
        <v>52</v>
      </c>
      <c r="C575" t="s">
        <v>16</v>
      </c>
      <c r="D575" t="str">
        <f>_xlfn.XLOOKUP(Table1[[#This Row],[Player]]&amp;Table1[[#This Row],[Week]]&amp;Table1[[#This Row],[Role]],'Google Form Transform'!$A:$A,'Google Form Transform'!E:E,"")</f>
        <v/>
      </c>
      <c r="E575" t="str">
        <f>_xlfn.XLOOKUP(Table1[[#This Row],[Player]]&amp;Table1[[#This Row],[Week]]&amp;Table1[[#This Row],[Role]],'Google Form Transform'!$A:$A,'Google Form Transform'!F:F,"")</f>
        <v/>
      </c>
      <c r="F575" t="str">
        <f>_xlfn.XLOOKUP(Table1[[#This Row],[Player]]&amp;Table1[[#This Row],[Week]]&amp;Table1[[#This Row],[Role]],'Google Form Transform'!$A:$A,'Google Form Transform'!G:G,"")</f>
        <v/>
      </c>
      <c r="G575" s="59">
        <f>SUMIFS(Table2[Stat],Table2[Stat Category],"passing",Table2[Stat Type],"YDS",Table2[Athlete],Table1[[#This Row],[Pick]],Table2[Week],Table1[[#This Row],[Week]])</f>
        <v>0</v>
      </c>
      <c r="H575" s="59">
        <f>SUMIFS(Table2[Stat],Table2[Stat Category],"rushing",Table2[Stat Type],"YDS",Table2[Athlete],Table1[[#This Row],[Pick]],Table2[Week],Table1[[#This Row],[Week]])</f>
        <v>0</v>
      </c>
      <c r="I575" s="59">
        <f>SUMIFS(Table2[Stat],Table2[Stat Category],"receiving",Table2[Stat Type],"YDS",Table2[Athlete],Table1[[#This Row],[Pick]],Table2[Week],Table1[[#This Row],[Week]])</f>
        <v>0</v>
      </c>
      <c r="J575" s="6">
        <f>IF(AND($C575="Rushing", $H575&lt;=0), 0, IF(AND($C575="Passing", $G$3&lt;=0), 0,IF(AND($C575="Receiving",$I575&lt;=0), 0,SUMIFS(Table2[Stat],Table2[Week],Table1[[#This Row],[Week]],Table2[Athlete],Table1[[#This Row],[Pick]],Table2[Stat Category],"passing",Table2[Stat Type],"TD"))))</f>
        <v>0</v>
      </c>
      <c r="K575" s="6">
        <f>IF(AND($C575="Rushing", $H575&lt;=0), 0, IF(AND($C575="Passing", $G$3&lt;=0), 0,IF(AND($C575="Receiving",$I575&lt;=0),0,SUMIFS(Table2[Stat],Table2[Week],Table1[[#This Row],[Week]],Table2[Athlete],Table1[[#This Row],[Pick]],Table2[Stat Category],"rushing",Table2[Stat Type],"TD"))))</f>
        <v>0</v>
      </c>
      <c r="L575" s="6">
        <f>IF(AND($C575="Rushing", $H575&lt;=0), 0, IF(AND($C575="Passing", $G$3&lt;=0), 0,IF(AND($C575="Receiving",$I575&lt;=0),0,SUMIFS(Table2[Stat],Table2[Week],Table1[[#This Row],[Week]],Table2[Athlete],Table1[[#This Row],[Pick]],Table2[Stat Category],"receiving",Table2[Stat Type],"TD"))))</f>
        <v>0</v>
      </c>
      <c r="M5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5" s="61">
        <f>SUMIFS(Data!$J:$J,Data!$A:$A,Info!$B575,Data!$G:$G,Info!$C575,Data!$I:$I,Info!$D575,Data!$H:$H,"TOT")</f>
        <v>0</v>
      </c>
      <c r="O575" s="61">
        <f>IF(C575="Defensive",SUMIFS(Data!$J:$J,Data!$A:$A,Info!$B575,Data!$I:$I,Info!$D575,Data!$H:$H,"INT"),0)</f>
        <v>0</v>
      </c>
      <c r="P575" s="61">
        <f>IF(Table1[[#This Row],[Role]]="Defensive",SUMIFS(Data!$J:$J,Data!$A:$A,Info!$B575,Data!$I:$I,Info!$D575,Data!$H:$H,$P$1),0)</f>
        <v>0</v>
      </c>
      <c r="Q575" s="65" t="str">
        <f>IF(Table1[[#This Row],[Pick]]="","",IF(S575&gt;1,400,IF(G575="","",IF(C575="Passing",(400-Table1[[#This Row],[Passing Yards]]-(30*Table1[[#This Row],[Passing TDs]])-(50*SUM(Table1[[#This Row],[Rushing TDs]:[Other TD''s]]))),IF(C575="Rushing",2*(200-Table1[[#This Row],[Rushing Yards]]-(30*Table1[[#This Row],[Passing TDs]])-50*(Table1[[#This Row],[Rushing TDs]]+Table1[[#This Row],[Receiving TDs]]+Table1[[#This Row],[Other TD''s]])),IF(C575="Receiving",2*(200-Table1[[#This Row],[Receiving Yards]]-(30*Table1[[#This Row],[Passing TDs]])-50*(Table1[[#This Row],[Rushing TDs]]+Table1[[#This Row],[Receiving TDs]]+Table1[[#This Row],[Other TD''s]])),IF(C575="Defensive",(25*(16-Table1[[#This Row],[Tackles]]-(8*(Table1[[#This Row],[Other TD''s]]+Table1[[#This Row],[Interceptions]]+Table1[[#This Row],[Fumbles Recovered]])))))))))))</f>
        <v/>
      </c>
      <c r="R575" s="3" t="str">
        <f t="shared" si="18"/>
        <v/>
      </c>
      <c r="S575" s="4">
        <f t="shared" si="17"/>
        <v>1048507</v>
      </c>
      <c r="T5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6" spans="1:20" hidden="1" x14ac:dyDescent="0.25">
      <c r="A576" t="s">
        <v>68</v>
      </c>
      <c r="B576" s="28" t="s">
        <v>52</v>
      </c>
      <c r="C576" t="s">
        <v>6</v>
      </c>
      <c r="D576" t="str">
        <f>_xlfn.XLOOKUP(Table1[[#This Row],[Player]]&amp;Table1[[#This Row],[Week]]&amp;Table1[[#This Row],[Role]],'Google Form Transform'!$A:$A,'Google Form Transform'!E:E,"")</f>
        <v/>
      </c>
      <c r="E576" t="str">
        <f>_xlfn.XLOOKUP(Table1[[#This Row],[Player]]&amp;Table1[[#This Row],[Week]]&amp;Table1[[#This Row],[Role]],'Google Form Transform'!$A:$A,'Google Form Transform'!F:F,"")</f>
        <v/>
      </c>
      <c r="F576" t="str">
        <f>_xlfn.XLOOKUP(Table1[[#This Row],[Player]]&amp;Table1[[#This Row],[Week]]&amp;Table1[[#This Row],[Role]],'Google Form Transform'!$A:$A,'Google Form Transform'!G:G,"")</f>
        <v/>
      </c>
      <c r="G576" s="59">
        <f>SUMIFS(Table2[Stat],Table2[Stat Category],"passing",Table2[Stat Type],"YDS",Table2[Athlete],Table1[[#This Row],[Pick]],Table2[Week],Table1[[#This Row],[Week]])</f>
        <v>0</v>
      </c>
      <c r="H576" s="59">
        <f>SUMIFS(Table2[Stat],Table2[Stat Category],"rushing",Table2[Stat Type],"YDS",Table2[Athlete],Table1[[#This Row],[Pick]],Table2[Week],Table1[[#This Row],[Week]])</f>
        <v>0</v>
      </c>
      <c r="I576" s="59">
        <f>SUMIFS(Table2[Stat],Table2[Stat Category],"receiving",Table2[Stat Type],"YDS",Table2[Athlete],Table1[[#This Row],[Pick]],Table2[Week],Table1[[#This Row],[Week]])</f>
        <v>0</v>
      </c>
      <c r="J576" s="6">
        <f>IF(AND($C576="Rushing", $H576&lt;=0), 0, IF(AND($C576="Passing", $G$3&lt;=0), 0,IF(AND($C576="Receiving",$I576&lt;=0), 0,SUMIFS(Table2[Stat],Table2[Week],Table1[[#This Row],[Week]],Table2[Athlete],Table1[[#This Row],[Pick]],Table2[Stat Category],"passing",Table2[Stat Type],"TD"))))</f>
        <v>0</v>
      </c>
      <c r="K576" s="6">
        <f>IF(AND($C576="Rushing", $H576&lt;=0), 0, IF(AND($C576="Passing", $G$3&lt;=0), 0,IF(AND($C576="Receiving",$I576&lt;=0),0,SUMIFS(Table2[Stat],Table2[Week],Table1[[#This Row],[Week]],Table2[Athlete],Table1[[#This Row],[Pick]],Table2[Stat Category],"rushing",Table2[Stat Type],"TD"))))</f>
        <v>0</v>
      </c>
      <c r="L576" s="6">
        <f>IF(AND($C576="Rushing", $H576&lt;=0), 0, IF(AND($C576="Passing", $G$3&lt;=0), 0,IF(AND($C576="Receiving",$I576&lt;=0),0,SUMIFS(Table2[Stat],Table2[Week],Table1[[#This Row],[Week]],Table2[Athlete],Table1[[#This Row],[Pick]],Table2[Stat Category],"receiving",Table2[Stat Type],"TD"))))</f>
        <v>0</v>
      </c>
      <c r="M5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6" s="61">
        <f>SUMIFS(Data!$J:$J,Data!$A:$A,Info!$B576,Data!$G:$G,Info!$C576,Data!$I:$I,Info!$D576,Data!$H:$H,"TOT")</f>
        <v>0</v>
      </c>
      <c r="O576" s="61">
        <f>IF(C576="Defensive",SUMIFS(Data!$J:$J,Data!$A:$A,Info!$B576,Data!$I:$I,Info!$D576,Data!$H:$H,"INT"),0)</f>
        <v>0</v>
      </c>
      <c r="P576" s="61">
        <f>IF(Table1[[#This Row],[Role]]="Defensive",SUMIFS(Data!$J:$J,Data!$A:$A,Info!$B576,Data!$I:$I,Info!$D576,Data!$H:$H,$P$1),0)</f>
        <v>0</v>
      </c>
      <c r="Q576" s="65" t="str">
        <f>IF(Table1[[#This Row],[Pick]]="","",IF(S576&gt;1,400,IF(G576="","",IF(C576="Passing",(400-Table1[[#This Row],[Passing Yards]]-(30*Table1[[#This Row],[Passing TDs]])-(50*SUM(Table1[[#This Row],[Rushing TDs]:[Other TD''s]]))),IF(C576="Rushing",2*(200-Table1[[#This Row],[Rushing Yards]]-(30*Table1[[#This Row],[Passing TDs]])-50*(Table1[[#This Row],[Rushing TDs]]+Table1[[#This Row],[Receiving TDs]]+Table1[[#This Row],[Other TD''s]])),IF(C576="Receiving",2*(200-Table1[[#This Row],[Receiving Yards]]-(30*Table1[[#This Row],[Passing TDs]])-50*(Table1[[#This Row],[Rushing TDs]]+Table1[[#This Row],[Receiving TDs]]+Table1[[#This Row],[Other TD''s]])),IF(C576="Defensive",(25*(16-Table1[[#This Row],[Tackles]]-(8*(Table1[[#This Row],[Other TD''s]]+Table1[[#This Row],[Interceptions]]+Table1[[#This Row],[Fumbles Recovered]])))))))))))</f>
        <v/>
      </c>
      <c r="R576" s="3" t="str">
        <f t="shared" si="18"/>
        <v/>
      </c>
      <c r="S576" s="4">
        <f t="shared" si="17"/>
        <v>1048507</v>
      </c>
      <c r="T5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7" spans="1:20" hidden="1" x14ac:dyDescent="0.25">
      <c r="A577" t="s">
        <v>68</v>
      </c>
      <c r="B577" s="28" t="s">
        <v>52</v>
      </c>
      <c r="C577" t="s">
        <v>17</v>
      </c>
      <c r="D577" t="str">
        <f>_xlfn.XLOOKUP(Table1[[#This Row],[Player]]&amp;Table1[[#This Row],[Week]]&amp;Table1[[#This Row],[Role]],'Google Form Transform'!$A:$A,'Google Form Transform'!E:E,"")</f>
        <v/>
      </c>
      <c r="E577" t="str">
        <f>_xlfn.XLOOKUP(Table1[[#This Row],[Player]]&amp;Table1[[#This Row],[Week]]&amp;Table1[[#This Row],[Role]],'Google Form Transform'!$A:$A,'Google Form Transform'!F:F,"")</f>
        <v/>
      </c>
      <c r="F577" t="str">
        <f>_xlfn.XLOOKUP(Table1[[#This Row],[Player]]&amp;Table1[[#This Row],[Week]]&amp;Table1[[#This Row],[Role]],'Google Form Transform'!$A:$A,'Google Form Transform'!G:G,"")</f>
        <v/>
      </c>
      <c r="G577" s="59">
        <f>SUMIFS(Table2[Stat],Table2[Stat Category],"passing",Table2[Stat Type],"YDS",Table2[Athlete],Table1[[#This Row],[Pick]],Table2[Week],Table1[[#This Row],[Week]])</f>
        <v>0</v>
      </c>
      <c r="H577" s="59">
        <f>SUMIFS(Table2[Stat],Table2[Stat Category],"rushing",Table2[Stat Type],"YDS",Table2[Athlete],Table1[[#This Row],[Pick]],Table2[Week],Table1[[#This Row],[Week]])</f>
        <v>0</v>
      </c>
      <c r="I577" s="59">
        <f>SUMIFS(Table2[Stat],Table2[Stat Category],"receiving",Table2[Stat Type],"YDS",Table2[Athlete],Table1[[#This Row],[Pick]],Table2[Week],Table1[[#This Row],[Week]])</f>
        <v>0</v>
      </c>
      <c r="J577" s="6">
        <f>IF(AND($C577="Rushing", $H577&lt;=0), 0, IF(AND($C577="Passing", $G$3&lt;=0), 0,IF(AND($C577="Receiving",$I577&lt;=0), 0,SUMIFS(Table2[Stat],Table2[Week],Table1[[#This Row],[Week]],Table2[Athlete],Table1[[#This Row],[Pick]],Table2[Stat Category],"passing",Table2[Stat Type],"TD"))))</f>
        <v>0</v>
      </c>
      <c r="K577" s="6">
        <f>IF(AND($C577="Rushing", $H577&lt;=0), 0, IF(AND($C577="Passing", $G$3&lt;=0), 0,IF(AND($C577="Receiving",$I577&lt;=0),0,SUMIFS(Table2[Stat],Table2[Week],Table1[[#This Row],[Week]],Table2[Athlete],Table1[[#This Row],[Pick]],Table2[Stat Category],"rushing",Table2[Stat Type],"TD"))))</f>
        <v>0</v>
      </c>
      <c r="L577" s="6">
        <f>IF(AND($C577="Rushing", $H577&lt;=0), 0, IF(AND($C577="Passing", $G$3&lt;=0), 0,IF(AND($C577="Receiving",$I577&lt;=0),0,SUMIFS(Table2[Stat],Table2[Week],Table1[[#This Row],[Week]],Table2[Athlete],Table1[[#This Row],[Pick]],Table2[Stat Category],"receiving",Table2[Stat Type],"TD"))))</f>
        <v>0</v>
      </c>
      <c r="M5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7" s="61">
        <f>SUMIFS(Data!$J:$J,Data!$A:$A,Info!$B577,Data!$G:$G,Info!$C577,Data!$I:$I,Info!$D577,Data!$H:$H,"TOT")</f>
        <v>0</v>
      </c>
      <c r="O577" s="61">
        <f>IF(C577="Defensive",SUMIFS(Data!$J:$J,Data!$A:$A,Info!$B577,Data!$I:$I,Info!$D577,Data!$H:$H,"INT"),0)</f>
        <v>0</v>
      </c>
      <c r="P577" s="61">
        <f>IF(Table1[[#This Row],[Role]]="Defensive",SUMIFS(Data!$J:$J,Data!$A:$A,Info!$B577,Data!$I:$I,Info!$D577,Data!$H:$H,$P$1),0)</f>
        <v>0</v>
      </c>
      <c r="Q577" s="65" t="str">
        <f>IF(Table1[[#This Row],[Pick]]="","",IF(S577&gt;1,400,IF(G577="","",IF(C577="Passing",(400-Table1[[#This Row],[Passing Yards]]-(30*Table1[[#This Row],[Passing TDs]])-(50*SUM(Table1[[#This Row],[Rushing TDs]:[Other TD''s]]))),IF(C577="Rushing",2*(200-Table1[[#This Row],[Rushing Yards]]-(30*Table1[[#This Row],[Passing TDs]])-50*(Table1[[#This Row],[Rushing TDs]]+Table1[[#This Row],[Receiving TDs]]+Table1[[#This Row],[Other TD''s]])),IF(C577="Receiving",2*(200-Table1[[#This Row],[Receiving Yards]]-(30*Table1[[#This Row],[Passing TDs]])-50*(Table1[[#This Row],[Rushing TDs]]+Table1[[#This Row],[Receiving TDs]]+Table1[[#This Row],[Other TD''s]])),IF(C577="Defensive",(25*(16-Table1[[#This Row],[Tackles]]-(8*(Table1[[#This Row],[Other TD''s]]+Table1[[#This Row],[Interceptions]]+Table1[[#This Row],[Fumbles Recovered]])))))))))))</f>
        <v/>
      </c>
      <c r="R577" s="3" t="str">
        <f t="shared" si="18"/>
        <v/>
      </c>
      <c r="S577" s="4">
        <f t="shared" si="17"/>
        <v>1048507</v>
      </c>
      <c r="T5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8" spans="1:20" hidden="1" x14ac:dyDescent="0.25">
      <c r="A578" t="s">
        <v>68</v>
      </c>
      <c r="B578" s="28" t="s">
        <v>52</v>
      </c>
      <c r="C578" t="s">
        <v>20</v>
      </c>
      <c r="D578" t="str">
        <f>_xlfn.XLOOKUP(Table1[[#This Row],[Player]]&amp;Table1[[#This Row],[Week]]&amp;Table1[[#This Row],[Role]],'Google Form Transform'!$A:$A,'Google Form Transform'!E:E,"")</f>
        <v/>
      </c>
      <c r="E578" t="str">
        <f>_xlfn.XLOOKUP(Table1[[#This Row],[Player]]&amp;Table1[[#This Row],[Week]]&amp;Table1[[#This Row],[Role]],'Google Form Transform'!$A:$A,'Google Form Transform'!F:F,"")</f>
        <v/>
      </c>
      <c r="F578" t="str">
        <f>_xlfn.XLOOKUP(Table1[[#This Row],[Player]]&amp;Table1[[#This Row],[Week]]&amp;Table1[[#This Row],[Role]],'Google Form Transform'!$A:$A,'Google Form Transform'!G:G,"")</f>
        <v/>
      </c>
      <c r="G578" s="59">
        <f>SUMIFS(Table2[Stat],Table2[Stat Category],"passing",Table2[Stat Type],"YDS",Table2[Athlete],Table1[[#This Row],[Pick]],Table2[Week],Table1[[#This Row],[Week]])</f>
        <v>0</v>
      </c>
      <c r="H578" s="59">
        <f>SUMIFS(Table2[Stat],Table2[Stat Category],"rushing",Table2[Stat Type],"YDS",Table2[Athlete],Table1[[#This Row],[Pick]],Table2[Week],Table1[[#This Row],[Week]])</f>
        <v>0</v>
      </c>
      <c r="I578" s="59">
        <f>SUMIFS(Table2[Stat],Table2[Stat Category],"receiving",Table2[Stat Type],"YDS",Table2[Athlete],Table1[[#This Row],[Pick]],Table2[Week],Table1[[#This Row],[Week]])</f>
        <v>0</v>
      </c>
      <c r="J578" s="6">
        <f>IF(AND($C578="Rushing", $H578&lt;=0), 0, IF(AND($C578="Passing", $G$3&lt;=0), 0,IF(AND($C578="Receiving",$I578&lt;=0), 0,SUMIFS(Table2[Stat],Table2[Week],Table1[[#This Row],[Week]],Table2[Athlete],Table1[[#This Row],[Pick]],Table2[Stat Category],"passing",Table2[Stat Type],"TD"))))</f>
        <v>0</v>
      </c>
      <c r="K578" s="6">
        <f>IF(AND($C578="Rushing", $H578&lt;=0), 0, IF(AND($C578="Passing", $G$3&lt;=0), 0,IF(AND($C578="Receiving",$I578&lt;=0),0,SUMIFS(Table2[Stat],Table2[Week],Table1[[#This Row],[Week]],Table2[Athlete],Table1[[#This Row],[Pick]],Table2[Stat Category],"rushing",Table2[Stat Type],"TD"))))</f>
        <v>0</v>
      </c>
      <c r="L578" s="6">
        <f>IF(AND($C578="Rushing", $H578&lt;=0), 0, IF(AND($C578="Passing", $G$3&lt;=0), 0,IF(AND($C578="Receiving",$I578&lt;=0),0,SUMIFS(Table2[Stat],Table2[Week],Table1[[#This Row],[Week]],Table2[Athlete],Table1[[#This Row],[Pick]],Table2[Stat Category],"receiving",Table2[Stat Type],"TD"))))</f>
        <v>0</v>
      </c>
      <c r="M5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8" s="61">
        <f>SUMIFS(Data!$J:$J,Data!$A:$A,Info!$B578,Data!$G:$G,Info!$C578,Data!$I:$I,Info!$D578,Data!$H:$H,"TOT")</f>
        <v>0</v>
      </c>
      <c r="O578" s="61">
        <f>IF(C578="Defensive",SUMIFS(Data!$J:$J,Data!$A:$A,Info!$B578,Data!$I:$I,Info!$D578,Data!$H:$H,"INT"),0)</f>
        <v>0</v>
      </c>
      <c r="P578" s="61">
        <f>IF(Table1[[#This Row],[Role]]="Defensive",SUMIFS(Data!$J:$J,Data!$A:$A,Info!$B578,Data!$I:$I,Info!$D578,Data!$H:$H,$P$1),0)</f>
        <v>0</v>
      </c>
      <c r="Q578" s="65" t="str">
        <f>IF(Table1[[#This Row],[Pick]]="","",IF(S578&gt;1,400,IF(G578="","",IF(C578="Passing",(400-Table1[[#This Row],[Passing Yards]]-(30*Table1[[#This Row],[Passing TDs]])-(50*SUM(Table1[[#This Row],[Rushing TDs]:[Other TD''s]]))),IF(C578="Rushing",2*(200-Table1[[#This Row],[Rushing Yards]]-(30*Table1[[#This Row],[Passing TDs]])-50*(Table1[[#This Row],[Rushing TDs]]+Table1[[#This Row],[Receiving TDs]]+Table1[[#This Row],[Other TD''s]])),IF(C578="Receiving",2*(200-Table1[[#This Row],[Receiving Yards]]-(30*Table1[[#This Row],[Passing TDs]])-50*(Table1[[#This Row],[Rushing TDs]]+Table1[[#This Row],[Receiving TDs]]+Table1[[#This Row],[Other TD''s]])),IF(C578="Defensive",(25*(16-Table1[[#This Row],[Tackles]]-(8*(Table1[[#This Row],[Other TD''s]]+Table1[[#This Row],[Interceptions]]+Table1[[#This Row],[Fumbles Recovered]])))))))))))</f>
        <v/>
      </c>
      <c r="R578" s="3" t="str">
        <f t="shared" si="18"/>
        <v/>
      </c>
      <c r="S578" s="4">
        <f t="shared" si="17"/>
        <v>1048507</v>
      </c>
      <c r="T5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9" spans="1:20" hidden="1" x14ac:dyDescent="0.25">
      <c r="A579" t="s">
        <v>5</v>
      </c>
      <c r="B579" s="28" t="s">
        <v>52</v>
      </c>
      <c r="C579" t="s">
        <v>16</v>
      </c>
      <c r="D579" t="str">
        <f>_xlfn.XLOOKUP(Table1[[#This Row],[Player]]&amp;Table1[[#This Row],[Week]]&amp;Table1[[#This Row],[Role]],'Google Form Transform'!$A:$A,'Google Form Transform'!E:E,"")</f>
        <v/>
      </c>
      <c r="E579" t="str">
        <f>_xlfn.XLOOKUP(Table1[[#This Row],[Player]]&amp;Table1[[#This Row],[Week]]&amp;Table1[[#This Row],[Role]],'Google Form Transform'!$A:$A,'Google Form Transform'!F:F,"")</f>
        <v/>
      </c>
      <c r="F579" t="str">
        <f>_xlfn.XLOOKUP(Table1[[#This Row],[Player]]&amp;Table1[[#This Row],[Week]]&amp;Table1[[#This Row],[Role]],'Google Form Transform'!$A:$A,'Google Form Transform'!G:G,"")</f>
        <v/>
      </c>
      <c r="G579" s="59">
        <f>SUMIFS(Table2[Stat],Table2[Stat Category],"passing",Table2[Stat Type],"YDS",Table2[Athlete],Table1[[#This Row],[Pick]],Table2[Week],Table1[[#This Row],[Week]])</f>
        <v>0</v>
      </c>
      <c r="H579" s="59">
        <f>SUMIFS(Table2[Stat],Table2[Stat Category],"rushing",Table2[Stat Type],"YDS",Table2[Athlete],Table1[[#This Row],[Pick]],Table2[Week],Table1[[#This Row],[Week]])</f>
        <v>0</v>
      </c>
      <c r="I579" s="59">
        <f>SUMIFS(Table2[Stat],Table2[Stat Category],"receiving",Table2[Stat Type],"YDS",Table2[Athlete],Table1[[#This Row],[Pick]],Table2[Week],Table1[[#This Row],[Week]])</f>
        <v>0</v>
      </c>
      <c r="J579" s="6">
        <f>IF(AND($C579="Rushing", $H579&lt;=0), 0, IF(AND($C579="Passing", $G$3&lt;=0), 0,IF(AND($C579="Receiving",$I579&lt;=0), 0,SUMIFS(Table2[Stat],Table2[Week],Table1[[#This Row],[Week]],Table2[Athlete],Table1[[#This Row],[Pick]],Table2[Stat Category],"passing",Table2[Stat Type],"TD"))))</f>
        <v>0</v>
      </c>
      <c r="K579" s="6">
        <f>IF(AND($C579="Rushing", $H579&lt;=0), 0, IF(AND($C579="Passing", $G$3&lt;=0), 0,IF(AND($C579="Receiving",$I579&lt;=0),0,SUMIFS(Table2[Stat],Table2[Week],Table1[[#This Row],[Week]],Table2[Athlete],Table1[[#This Row],[Pick]],Table2[Stat Category],"rushing",Table2[Stat Type],"TD"))))</f>
        <v>0</v>
      </c>
      <c r="L579" s="6">
        <f>IF(AND($C579="Rushing", $H579&lt;=0), 0, IF(AND($C579="Passing", $G$3&lt;=0), 0,IF(AND($C579="Receiving",$I579&lt;=0),0,SUMIFS(Table2[Stat],Table2[Week],Table1[[#This Row],[Week]],Table2[Athlete],Table1[[#This Row],[Pick]],Table2[Stat Category],"receiving",Table2[Stat Type],"TD"))))</f>
        <v>0</v>
      </c>
      <c r="M5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9" s="61">
        <f>SUMIFS(Data!$J:$J,Data!$A:$A,Info!$B579,Data!$G:$G,Info!$C579,Data!$I:$I,Info!$D579,Data!$H:$H,"TOT")</f>
        <v>0</v>
      </c>
      <c r="O579" s="61">
        <f>IF(C579="Defensive",SUMIFS(Data!$J:$J,Data!$A:$A,Info!$B579,Data!$I:$I,Info!$D579,Data!$H:$H,"INT"),0)</f>
        <v>0</v>
      </c>
      <c r="P579" s="61">
        <f>IF(Table1[[#This Row],[Role]]="Defensive",SUMIFS(Data!$J:$J,Data!$A:$A,Info!$B579,Data!$I:$I,Info!$D579,Data!$H:$H,$P$1),0)</f>
        <v>0</v>
      </c>
      <c r="Q579" s="65" t="str">
        <f>IF(Table1[[#This Row],[Pick]]="","",IF(S579&gt;1,400,IF(G579="","",IF(C579="Passing",(400-Table1[[#This Row],[Passing Yards]]-(30*Table1[[#This Row],[Passing TDs]])-(50*SUM(Table1[[#This Row],[Rushing TDs]:[Other TD''s]]))),IF(C579="Rushing",2*(200-Table1[[#This Row],[Rushing Yards]]-(30*Table1[[#This Row],[Passing TDs]])-50*(Table1[[#This Row],[Rushing TDs]]+Table1[[#This Row],[Receiving TDs]]+Table1[[#This Row],[Other TD''s]])),IF(C579="Receiving",2*(200-Table1[[#This Row],[Receiving Yards]]-(30*Table1[[#This Row],[Passing TDs]])-50*(Table1[[#This Row],[Rushing TDs]]+Table1[[#This Row],[Receiving TDs]]+Table1[[#This Row],[Other TD''s]])),IF(C579="Defensive",(25*(16-Table1[[#This Row],[Tackles]]-(8*(Table1[[#This Row],[Other TD''s]]+Table1[[#This Row],[Interceptions]]+Table1[[#This Row],[Fumbles Recovered]])))))))))))</f>
        <v/>
      </c>
      <c r="R579" s="3" t="str">
        <f t="shared" si="18"/>
        <v/>
      </c>
      <c r="S579" s="4">
        <f t="shared" ref="S579:S642" si="19">COUNTIF(R:R,R579)</f>
        <v>1048507</v>
      </c>
      <c r="T5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0" spans="1:20" hidden="1" x14ac:dyDescent="0.25">
      <c r="A580" t="s">
        <v>5</v>
      </c>
      <c r="B580" s="28" t="s">
        <v>52</v>
      </c>
      <c r="C580" t="s">
        <v>6</v>
      </c>
      <c r="D580" t="str">
        <f>_xlfn.XLOOKUP(Table1[[#This Row],[Player]]&amp;Table1[[#This Row],[Week]]&amp;Table1[[#This Row],[Role]],'Google Form Transform'!$A:$A,'Google Form Transform'!E:E,"")</f>
        <v/>
      </c>
      <c r="E580" t="str">
        <f>_xlfn.XLOOKUP(Table1[[#This Row],[Player]]&amp;Table1[[#This Row],[Week]]&amp;Table1[[#This Row],[Role]],'Google Form Transform'!$A:$A,'Google Form Transform'!F:F,"")</f>
        <v/>
      </c>
      <c r="F580" t="str">
        <f>_xlfn.XLOOKUP(Table1[[#This Row],[Player]]&amp;Table1[[#This Row],[Week]]&amp;Table1[[#This Row],[Role]],'Google Form Transform'!$A:$A,'Google Form Transform'!G:G,"")</f>
        <v/>
      </c>
      <c r="G580" s="59">
        <f>SUMIFS(Table2[Stat],Table2[Stat Category],"passing",Table2[Stat Type],"YDS",Table2[Athlete],Table1[[#This Row],[Pick]],Table2[Week],Table1[[#This Row],[Week]])</f>
        <v>0</v>
      </c>
      <c r="H580" s="59">
        <f>SUMIFS(Table2[Stat],Table2[Stat Category],"rushing",Table2[Stat Type],"YDS",Table2[Athlete],Table1[[#This Row],[Pick]],Table2[Week],Table1[[#This Row],[Week]])</f>
        <v>0</v>
      </c>
      <c r="I580" s="59">
        <f>SUMIFS(Table2[Stat],Table2[Stat Category],"receiving",Table2[Stat Type],"YDS",Table2[Athlete],Table1[[#This Row],[Pick]],Table2[Week],Table1[[#This Row],[Week]])</f>
        <v>0</v>
      </c>
      <c r="J580" s="6">
        <f>IF(AND($C580="Rushing", $H580&lt;=0), 0, IF(AND($C580="Passing", $G$3&lt;=0), 0,IF(AND($C580="Receiving",$I580&lt;=0), 0,SUMIFS(Table2[Stat],Table2[Week],Table1[[#This Row],[Week]],Table2[Athlete],Table1[[#This Row],[Pick]],Table2[Stat Category],"passing",Table2[Stat Type],"TD"))))</f>
        <v>0</v>
      </c>
      <c r="K580" s="6">
        <f>IF(AND($C580="Rushing", $H580&lt;=0), 0, IF(AND($C580="Passing", $G$3&lt;=0), 0,IF(AND($C580="Receiving",$I580&lt;=0),0,SUMIFS(Table2[Stat],Table2[Week],Table1[[#This Row],[Week]],Table2[Athlete],Table1[[#This Row],[Pick]],Table2[Stat Category],"rushing",Table2[Stat Type],"TD"))))</f>
        <v>0</v>
      </c>
      <c r="L580" s="6">
        <f>IF(AND($C580="Rushing", $H580&lt;=0), 0, IF(AND($C580="Passing", $G$3&lt;=0), 0,IF(AND($C580="Receiving",$I580&lt;=0),0,SUMIFS(Table2[Stat],Table2[Week],Table1[[#This Row],[Week]],Table2[Athlete],Table1[[#This Row],[Pick]],Table2[Stat Category],"receiving",Table2[Stat Type],"TD"))))</f>
        <v>0</v>
      </c>
      <c r="M5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0" s="61">
        <f>SUMIFS(Data!$J:$J,Data!$A:$A,Info!$B580,Data!$G:$G,Info!$C580,Data!$I:$I,Info!$D580,Data!$H:$H,"TOT")</f>
        <v>0</v>
      </c>
      <c r="O580" s="61">
        <f>IF(C580="Defensive",SUMIFS(Data!$J:$J,Data!$A:$A,Info!$B580,Data!$I:$I,Info!$D580,Data!$H:$H,"INT"),0)</f>
        <v>0</v>
      </c>
      <c r="P580" s="61">
        <f>IF(Table1[[#This Row],[Role]]="Defensive",SUMIFS(Data!$J:$J,Data!$A:$A,Info!$B580,Data!$I:$I,Info!$D580,Data!$H:$H,$P$1),0)</f>
        <v>0</v>
      </c>
      <c r="Q580" s="65" t="str">
        <f>IF(Table1[[#This Row],[Pick]]="","",IF(S580&gt;1,400,IF(G580="","",IF(C580="Passing",(400-Table1[[#This Row],[Passing Yards]]-(30*Table1[[#This Row],[Passing TDs]])-(50*SUM(Table1[[#This Row],[Rushing TDs]:[Other TD''s]]))),IF(C580="Rushing",2*(200-Table1[[#This Row],[Rushing Yards]]-(30*Table1[[#This Row],[Passing TDs]])-50*(Table1[[#This Row],[Rushing TDs]]+Table1[[#This Row],[Receiving TDs]]+Table1[[#This Row],[Other TD''s]])),IF(C580="Receiving",2*(200-Table1[[#This Row],[Receiving Yards]]-(30*Table1[[#This Row],[Passing TDs]])-50*(Table1[[#This Row],[Rushing TDs]]+Table1[[#This Row],[Receiving TDs]]+Table1[[#This Row],[Other TD''s]])),IF(C580="Defensive",(25*(16-Table1[[#This Row],[Tackles]]-(8*(Table1[[#This Row],[Other TD''s]]+Table1[[#This Row],[Interceptions]]+Table1[[#This Row],[Fumbles Recovered]])))))))))))</f>
        <v/>
      </c>
      <c r="R580" s="3" t="str">
        <f t="shared" ref="R580:R643" si="20">IF(D580="","",A580&amp;C580&amp;D580)</f>
        <v/>
      </c>
      <c r="S580" s="4">
        <f t="shared" si="19"/>
        <v>1048507</v>
      </c>
      <c r="T5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1" spans="1:20" hidden="1" x14ac:dyDescent="0.25">
      <c r="A581" t="s">
        <v>5</v>
      </c>
      <c r="B581" s="28" t="s">
        <v>52</v>
      </c>
      <c r="C581" t="s">
        <v>17</v>
      </c>
      <c r="D581" t="str">
        <f>_xlfn.XLOOKUP(Table1[[#This Row],[Player]]&amp;Table1[[#This Row],[Week]]&amp;Table1[[#This Row],[Role]],'Google Form Transform'!$A:$A,'Google Form Transform'!E:E,"")</f>
        <v/>
      </c>
      <c r="E581" t="str">
        <f>_xlfn.XLOOKUP(Table1[[#This Row],[Player]]&amp;Table1[[#This Row],[Week]]&amp;Table1[[#This Row],[Role]],'Google Form Transform'!$A:$A,'Google Form Transform'!F:F,"")</f>
        <v/>
      </c>
      <c r="F581" t="str">
        <f>_xlfn.XLOOKUP(Table1[[#This Row],[Player]]&amp;Table1[[#This Row],[Week]]&amp;Table1[[#This Row],[Role]],'Google Form Transform'!$A:$A,'Google Form Transform'!G:G,"")</f>
        <v/>
      </c>
      <c r="G581" s="59">
        <f>SUMIFS(Table2[Stat],Table2[Stat Category],"passing",Table2[Stat Type],"YDS",Table2[Athlete],Table1[[#This Row],[Pick]],Table2[Week],Table1[[#This Row],[Week]])</f>
        <v>0</v>
      </c>
      <c r="H581" s="59">
        <f>SUMIFS(Table2[Stat],Table2[Stat Category],"rushing",Table2[Stat Type],"YDS",Table2[Athlete],Table1[[#This Row],[Pick]],Table2[Week],Table1[[#This Row],[Week]])</f>
        <v>0</v>
      </c>
      <c r="I581" s="59">
        <f>SUMIFS(Table2[Stat],Table2[Stat Category],"receiving",Table2[Stat Type],"YDS",Table2[Athlete],Table1[[#This Row],[Pick]],Table2[Week],Table1[[#This Row],[Week]])</f>
        <v>0</v>
      </c>
      <c r="J581" s="6">
        <f>IF(AND($C581="Rushing", $H581&lt;=0), 0, IF(AND($C581="Passing", $G$3&lt;=0), 0,IF(AND($C581="Receiving",$I581&lt;=0), 0,SUMIFS(Table2[Stat],Table2[Week],Table1[[#This Row],[Week]],Table2[Athlete],Table1[[#This Row],[Pick]],Table2[Stat Category],"passing",Table2[Stat Type],"TD"))))</f>
        <v>0</v>
      </c>
      <c r="K581" s="6">
        <f>IF(AND($C581="Rushing", $H581&lt;=0), 0, IF(AND($C581="Passing", $G$3&lt;=0), 0,IF(AND($C581="Receiving",$I581&lt;=0),0,SUMIFS(Table2[Stat],Table2[Week],Table1[[#This Row],[Week]],Table2[Athlete],Table1[[#This Row],[Pick]],Table2[Stat Category],"rushing",Table2[Stat Type],"TD"))))</f>
        <v>0</v>
      </c>
      <c r="L581" s="6">
        <f>IF(AND($C581="Rushing", $H581&lt;=0), 0, IF(AND($C581="Passing", $G$3&lt;=0), 0,IF(AND($C581="Receiving",$I581&lt;=0),0,SUMIFS(Table2[Stat],Table2[Week],Table1[[#This Row],[Week]],Table2[Athlete],Table1[[#This Row],[Pick]],Table2[Stat Category],"receiving",Table2[Stat Type],"TD"))))</f>
        <v>0</v>
      </c>
      <c r="M5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1" s="61">
        <f>SUMIFS(Data!$J:$J,Data!$A:$A,Info!$B581,Data!$G:$G,Info!$C581,Data!$I:$I,Info!$D581,Data!$H:$H,"TOT")</f>
        <v>0</v>
      </c>
      <c r="O581" s="61">
        <f>IF(C581="Defensive",SUMIFS(Data!$J:$J,Data!$A:$A,Info!$B581,Data!$I:$I,Info!$D581,Data!$H:$H,"INT"),0)</f>
        <v>0</v>
      </c>
      <c r="P581" s="61">
        <f>IF(Table1[[#This Row],[Role]]="Defensive",SUMIFS(Data!$J:$J,Data!$A:$A,Info!$B581,Data!$I:$I,Info!$D581,Data!$H:$H,$P$1),0)</f>
        <v>0</v>
      </c>
      <c r="Q581" s="65" t="str">
        <f>IF(Table1[[#This Row],[Pick]]="","",IF(S581&gt;1,400,IF(G581="","",IF(C581="Passing",(400-Table1[[#This Row],[Passing Yards]]-(30*Table1[[#This Row],[Passing TDs]])-(50*SUM(Table1[[#This Row],[Rushing TDs]:[Other TD''s]]))),IF(C581="Rushing",2*(200-Table1[[#This Row],[Rushing Yards]]-(30*Table1[[#This Row],[Passing TDs]])-50*(Table1[[#This Row],[Rushing TDs]]+Table1[[#This Row],[Receiving TDs]]+Table1[[#This Row],[Other TD''s]])),IF(C581="Receiving",2*(200-Table1[[#This Row],[Receiving Yards]]-(30*Table1[[#This Row],[Passing TDs]])-50*(Table1[[#This Row],[Rushing TDs]]+Table1[[#This Row],[Receiving TDs]]+Table1[[#This Row],[Other TD''s]])),IF(C581="Defensive",(25*(16-Table1[[#This Row],[Tackles]]-(8*(Table1[[#This Row],[Other TD''s]]+Table1[[#This Row],[Interceptions]]+Table1[[#This Row],[Fumbles Recovered]])))))))))))</f>
        <v/>
      </c>
      <c r="R581" s="3" t="str">
        <f t="shared" si="20"/>
        <v/>
      </c>
      <c r="S581" s="4">
        <f t="shared" si="19"/>
        <v>1048507</v>
      </c>
      <c r="T5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2" spans="1:20" hidden="1" x14ac:dyDescent="0.25">
      <c r="A582" t="s">
        <v>5</v>
      </c>
      <c r="B582" s="28" t="s">
        <v>52</v>
      </c>
      <c r="C582" t="s">
        <v>20</v>
      </c>
      <c r="D582" t="str">
        <f>_xlfn.XLOOKUP(Table1[[#This Row],[Player]]&amp;Table1[[#This Row],[Week]]&amp;Table1[[#This Row],[Role]],'Google Form Transform'!$A:$A,'Google Form Transform'!E:E,"")</f>
        <v/>
      </c>
      <c r="E582" t="str">
        <f>_xlfn.XLOOKUP(Table1[[#This Row],[Player]]&amp;Table1[[#This Row],[Week]]&amp;Table1[[#This Row],[Role]],'Google Form Transform'!$A:$A,'Google Form Transform'!F:F,"")</f>
        <v/>
      </c>
      <c r="F582" t="str">
        <f>_xlfn.XLOOKUP(Table1[[#This Row],[Player]]&amp;Table1[[#This Row],[Week]]&amp;Table1[[#This Row],[Role]],'Google Form Transform'!$A:$A,'Google Form Transform'!G:G,"")</f>
        <v/>
      </c>
      <c r="G582" s="59">
        <f>SUMIFS(Table2[Stat],Table2[Stat Category],"passing",Table2[Stat Type],"YDS",Table2[Athlete],Table1[[#This Row],[Pick]],Table2[Week],Table1[[#This Row],[Week]])</f>
        <v>0</v>
      </c>
      <c r="H582" s="59">
        <f>SUMIFS(Table2[Stat],Table2[Stat Category],"rushing",Table2[Stat Type],"YDS",Table2[Athlete],Table1[[#This Row],[Pick]],Table2[Week],Table1[[#This Row],[Week]])</f>
        <v>0</v>
      </c>
      <c r="I582" s="59">
        <f>SUMIFS(Table2[Stat],Table2[Stat Category],"receiving",Table2[Stat Type],"YDS",Table2[Athlete],Table1[[#This Row],[Pick]],Table2[Week],Table1[[#This Row],[Week]])</f>
        <v>0</v>
      </c>
      <c r="J582" s="6">
        <f>IF(AND($C582="Rushing", $H582&lt;=0), 0, IF(AND($C582="Passing", $G$3&lt;=0), 0,IF(AND($C582="Receiving",$I582&lt;=0), 0,SUMIFS(Table2[Stat],Table2[Week],Table1[[#This Row],[Week]],Table2[Athlete],Table1[[#This Row],[Pick]],Table2[Stat Category],"passing",Table2[Stat Type],"TD"))))</f>
        <v>0</v>
      </c>
      <c r="K582" s="6">
        <f>IF(AND($C582="Rushing", $H582&lt;=0), 0, IF(AND($C582="Passing", $G$3&lt;=0), 0,IF(AND($C582="Receiving",$I582&lt;=0),0,SUMIFS(Table2[Stat],Table2[Week],Table1[[#This Row],[Week]],Table2[Athlete],Table1[[#This Row],[Pick]],Table2[Stat Category],"rushing",Table2[Stat Type],"TD"))))</f>
        <v>0</v>
      </c>
      <c r="L582" s="6">
        <f>IF(AND($C582="Rushing", $H582&lt;=0), 0, IF(AND($C582="Passing", $G$3&lt;=0), 0,IF(AND($C582="Receiving",$I582&lt;=0),0,SUMIFS(Table2[Stat],Table2[Week],Table1[[#This Row],[Week]],Table2[Athlete],Table1[[#This Row],[Pick]],Table2[Stat Category],"receiving",Table2[Stat Type],"TD"))))</f>
        <v>0</v>
      </c>
      <c r="M5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2" s="61">
        <f>SUMIFS(Data!$J:$J,Data!$A:$A,Info!$B582,Data!$G:$G,Info!$C582,Data!$I:$I,Info!$D582,Data!$H:$H,"TOT")</f>
        <v>0</v>
      </c>
      <c r="O582" s="61">
        <f>IF(C582="Defensive",SUMIFS(Data!$J:$J,Data!$A:$A,Info!$B582,Data!$I:$I,Info!$D582,Data!$H:$H,"INT"),0)</f>
        <v>0</v>
      </c>
      <c r="P582" s="61">
        <f>IF(Table1[[#This Row],[Role]]="Defensive",SUMIFS(Data!$J:$J,Data!$A:$A,Info!$B582,Data!$I:$I,Info!$D582,Data!$H:$H,$P$1),0)</f>
        <v>0</v>
      </c>
      <c r="Q582" s="65" t="str">
        <f>IF(Table1[[#This Row],[Pick]]="","",IF(S582&gt;1,400,IF(G582="","",IF(C582="Passing",(400-Table1[[#This Row],[Passing Yards]]-(30*Table1[[#This Row],[Passing TDs]])-(50*SUM(Table1[[#This Row],[Rushing TDs]:[Other TD''s]]))),IF(C582="Rushing",2*(200-Table1[[#This Row],[Rushing Yards]]-(30*Table1[[#This Row],[Passing TDs]])-50*(Table1[[#This Row],[Rushing TDs]]+Table1[[#This Row],[Receiving TDs]]+Table1[[#This Row],[Other TD''s]])),IF(C582="Receiving",2*(200-Table1[[#This Row],[Receiving Yards]]-(30*Table1[[#This Row],[Passing TDs]])-50*(Table1[[#This Row],[Rushing TDs]]+Table1[[#This Row],[Receiving TDs]]+Table1[[#This Row],[Other TD''s]])),IF(C582="Defensive",(25*(16-Table1[[#This Row],[Tackles]]-(8*(Table1[[#This Row],[Other TD''s]]+Table1[[#This Row],[Interceptions]]+Table1[[#This Row],[Fumbles Recovered]])))))))))))</f>
        <v/>
      </c>
      <c r="R582" s="3" t="str">
        <f t="shared" si="20"/>
        <v/>
      </c>
      <c r="S582" s="4">
        <f t="shared" si="19"/>
        <v>1048507</v>
      </c>
      <c r="T5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3" spans="1:20" hidden="1" x14ac:dyDescent="0.25">
      <c r="A583" t="s">
        <v>18</v>
      </c>
      <c r="B583" s="28" t="s">
        <v>52</v>
      </c>
      <c r="C583" t="s">
        <v>16</v>
      </c>
      <c r="D583" t="str">
        <f>_xlfn.XLOOKUP(Table1[[#This Row],[Player]]&amp;Table1[[#This Row],[Week]]&amp;Table1[[#This Row],[Role]],'Google Form Transform'!$A:$A,'Google Form Transform'!E:E,"")</f>
        <v/>
      </c>
      <c r="E583" t="str">
        <f>_xlfn.XLOOKUP(Table1[[#This Row],[Player]]&amp;Table1[[#This Row],[Week]]&amp;Table1[[#This Row],[Role]],'Google Form Transform'!$A:$A,'Google Form Transform'!F:F,"")</f>
        <v/>
      </c>
      <c r="F583" t="str">
        <f>_xlfn.XLOOKUP(Table1[[#This Row],[Player]]&amp;Table1[[#This Row],[Week]]&amp;Table1[[#This Row],[Role]],'Google Form Transform'!$A:$A,'Google Form Transform'!G:G,"")</f>
        <v/>
      </c>
      <c r="G583" s="59">
        <f>SUMIFS(Table2[Stat],Table2[Stat Category],"passing",Table2[Stat Type],"YDS",Table2[Athlete],Table1[[#This Row],[Pick]],Table2[Week],Table1[[#This Row],[Week]])</f>
        <v>0</v>
      </c>
      <c r="H583" s="59">
        <f>SUMIFS(Table2[Stat],Table2[Stat Category],"rushing",Table2[Stat Type],"YDS",Table2[Athlete],Table1[[#This Row],[Pick]],Table2[Week],Table1[[#This Row],[Week]])</f>
        <v>0</v>
      </c>
      <c r="I583" s="59">
        <f>SUMIFS(Table2[Stat],Table2[Stat Category],"receiving",Table2[Stat Type],"YDS",Table2[Athlete],Table1[[#This Row],[Pick]],Table2[Week],Table1[[#This Row],[Week]])</f>
        <v>0</v>
      </c>
      <c r="J583" s="6">
        <f>IF(AND($C583="Rushing", $H583&lt;=0), 0, IF(AND($C583="Passing", $G$3&lt;=0), 0,IF(AND($C583="Receiving",$I583&lt;=0), 0,SUMIFS(Table2[Stat],Table2[Week],Table1[[#This Row],[Week]],Table2[Athlete],Table1[[#This Row],[Pick]],Table2[Stat Category],"passing",Table2[Stat Type],"TD"))))</f>
        <v>0</v>
      </c>
      <c r="K583" s="6">
        <f>IF(AND($C583="Rushing", $H583&lt;=0), 0, IF(AND($C583="Passing", $G$3&lt;=0), 0,IF(AND($C583="Receiving",$I583&lt;=0),0,SUMIFS(Table2[Stat],Table2[Week],Table1[[#This Row],[Week]],Table2[Athlete],Table1[[#This Row],[Pick]],Table2[Stat Category],"rushing",Table2[Stat Type],"TD"))))</f>
        <v>0</v>
      </c>
      <c r="L583" s="6">
        <f>IF(AND($C583="Rushing", $H583&lt;=0), 0, IF(AND($C583="Passing", $G$3&lt;=0), 0,IF(AND($C583="Receiving",$I583&lt;=0),0,SUMIFS(Table2[Stat],Table2[Week],Table1[[#This Row],[Week]],Table2[Athlete],Table1[[#This Row],[Pick]],Table2[Stat Category],"receiving",Table2[Stat Type],"TD"))))</f>
        <v>0</v>
      </c>
      <c r="M5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3" s="61">
        <f>SUMIFS(Data!$J:$J,Data!$A:$A,Info!$B583,Data!$G:$G,Info!$C583,Data!$I:$I,Info!$D583,Data!$H:$H,"TOT")</f>
        <v>0</v>
      </c>
      <c r="O583" s="61">
        <f>IF(C583="Defensive",SUMIFS(Data!$J:$J,Data!$A:$A,Info!$B583,Data!$I:$I,Info!$D583,Data!$H:$H,"INT"),0)</f>
        <v>0</v>
      </c>
      <c r="P583" s="61">
        <f>IF(Table1[[#This Row],[Role]]="Defensive",SUMIFS(Data!$J:$J,Data!$A:$A,Info!$B583,Data!$I:$I,Info!$D583,Data!$H:$H,$P$1),0)</f>
        <v>0</v>
      </c>
      <c r="Q583" s="65" t="str">
        <f>IF(Table1[[#This Row],[Pick]]="","",IF(S583&gt;1,400,IF(G583="","",IF(C583="Passing",(400-Table1[[#This Row],[Passing Yards]]-(30*Table1[[#This Row],[Passing TDs]])-(50*SUM(Table1[[#This Row],[Rushing TDs]:[Other TD''s]]))),IF(C583="Rushing",2*(200-Table1[[#This Row],[Rushing Yards]]-(30*Table1[[#This Row],[Passing TDs]])-50*(Table1[[#This Row],[Rushing TDs]]+Table1[[#This Row],[Receiving TDs]]+Table1[[#This Row],[Other TD''s]])),IF(C583="Receiving",2*(200-Table1[[#This Row],[Receiving Yards]]-(30*Table1[[#This Row],[Passing TDs]])-50*(Table1[[#This Row],[Rushing TDs]]+Table1[[#This Row],[Receiving TDs]]+Table1[[#This Row],[Other TD''s]])),IF(C583="Defensive",(25*(16-Table1[[#This Row],[Tackles]]-(8*(Table1[[#This Row],[Other TD''s]]+Table1[[#This Row],[Interceptions]]+Table1[[#This Row],[Fumbles Recovered]])))))))))))</f>
        <v/>
      </c>
      <c r="R583" s="3" t="str">
        <f t="shared" si="20"/>
        <v/>
      </c>
      <c r="S583" s="4">
        <f t="shared" si="19"/>
        <v>1048507</v>
      </c>
      <c r="T5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4" spans="1:20" hidden="1" x14ac:dyDescent="0.25">
      <c r="A584" t="s">
        <v>18</v>
      </c>
      <c r="B584" s="28" t="s">
        <v>52</v>
      </c>
      <c r="C584" t="s">
        <v>6</v>
      </c>
      <c r="D584" t="str">
        <f>_xlfn.XLOOKUP(Table1[[#This Row],[Player]]&amp;Table1[[#This Row],[Week]]&amp;Table1[[#This Row],[Role]],'Google Form Transform'!$A:$A,'Google Form Transform'!E:E,"")</f>
        <v/>
      </c>
      <c r="E584" t="str">
        <f>_xlfn.XLOOKUP(Table1[[#This Row],[Player]]&amp;Table1[[#This Row],[Week]]&amp;Table1[[#This Row],[Role]],'Google Form Transform'!$A:$A,'Google Form Transform'!F:F,"")</f>
        <v/>
      </c>
      <c r="F584" t="str">
        <f>_xlfn.XLOOKUP(Table1[[#This Row],[Player]]&amp;Table1[[#This Row],[Week]]&amp;Table1[[#This Row],[Role]],'Google Form Transform'!$A:$A,'Google Form Transform'!G:G,"")</f>
        <v/>
      </c>
      <c r="G584" s="59">
        <f>SUMIFS(Table2[Stat],Table2[Stat Category],"passing",Table2[Stat Type],"YDS",Table2[Athlete],Table1[[#This Row],[Pick]],Table2[Week],Table1[[#This Row],[Week]])</f>
        <v>0</v>
      </c>
      <c r="H584" s="59">
        <f>SUMIFS(Table2[Stat],Table2[Stat Category],"rushing",Table2[Stat Type],"YDS",Table2[Athlete],Table1[[#This Row],[Pick]],Table2[Week],Table1[[#This Row],[Week]])</f>
        <v>0</v>
      </c>
      <c r="I584" s="59">
        <f>SUMIFS(Table2[Stat],Table2[Stat Category],"receiving",Table2[Stat Type],"YDS",Table2[Athlete],Table1[[#This Row],[Pick]],Table2[Week],Table1[[#This Row],[Week]])</f>
        <v>0</v>
      </c>
      <c r="J584" s="6">
        <f>IF(AND($C584="Rushing", $H584&lt;=0), 0, IF(AND($C584="Passing", $G$3&lt;=0), 0,IF(AND($C584="Receiving",$I584&lt;=0), 0,SUMIFS(Table2[Stat],Table2[Week],Table1[[#This Row],[Week]],Table2[Athlete],Table1[[#This Row],[Pick]],Table2[Stat Category],"passing",Table2[Stat Type],"TD"))))</f>
        <v>0</v>
      </c>
      <c r="K584" s="6">
        <f>IF(AND($C584="Rushing", $H584&lt;=0), 0, IF(AND($C584="Passing", $G$3&lt;=0), 0,IF(AND($C584="Receiving",$I584&lt;=0),0,SUMIFS(Table2[Stat],Table2[Week],Table1[[#This Row],[Week]],Table2[Athlete],Table1[[#This Row],[Pick]],Table2[Stat Category],"rushing",Table2[Stat Type],"TD"))))</f>
        <v>0</v>
      </c>
      <c r="L584" s="6">
        <f>IF(AND($C584="Rushing", $H584&lt;=0), 0, IF(AND($C584="Passing", $G$3&lt;=0), 0,IF(AND($C584="Receiving",$I584&lt;=0),0,SUMIFS(Table2[Stat],Table2[Week],Table1[[#This Row],[Week]],Table2[Athlete],Table1[[#This Row],[Pick]],Table2[Stat Category],"receiving",Table2[Stat Type],"TD"))))</f>
        <v>0</v>
      </c>
      <c r="M5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4" s="61">
        <f>SUMIFS(Data!$J:$J,Data!$A:$A,Info!$B584,Data!$G:$G,Info!$C584,Data!$I:$I,Info!$D584,Data!$H:$H,"TOT")</f>
        <v>0</v>
      </c>
      <c r="O584" s="61">
        <f>IF(C584="Defensive",SUMIFS(Data!$J:$J,Data!$A:$A,Info!$B584,Data!$I:$I,Info!$D584,Data!$H:$H,"INT"),0)</f>
        <v>0</v>
      </c>
      <c r="P584" s="61">
        <f>IF(Table1[[#This Row],[Role]]="Defensive",SUMIFS(Data!$J:$J,Data!$A:$A,Info!$B584,Data!$I:$I,Info!$D584,Data!$H:$H,$P$1),0)</f>
        <v>0</v>
      </c>
      <c r="Q584" s="65" t="str">
        <f>IF(Table1[[#This Row],[Pick]]="","",IF(S584&gt;1,400,IF(G584="","",IF(C584="Passing",(400-Table1[[#This Row],[Passing Yards]]-(30*Table1[[#This Row],[Passing TDs]])-(50*SUM(Table1[[#This Row],[Rushing TDs]:[Other TD''s]]))),IF(C584="Rushing",2*(200-Table1[[#This Row],[Rushing Yards]]-(30*Table1[[#This Row],[Passing TDs]])-50*(Table1[[#This Row],[Rushing TDs]]+Table1[[#This Row],[Receiving TDs]]+Table1[[#This Row],[Other TD''s]])),IF(C584="Receiving",2*(200-Table1[[#This Row],[Receiving Yards]]-(30*Table1[[#This Row],[Passing TDs]])-50*(Table1[[#This Row],[Rushing TDs]]+Table1[[#This Row],[Receiving TDs]]+Table1[[#This Row],[Other TD''s]])),IF(C584="Defensive",(25*(16-Table1[[#This Row],[Tackles]]-(8*(Table1[[#This Row],[Other TD''s]]+Table1[[#This Row],[Interceptions]]+Table1[[#This Row],[Fumbles Recovered]])))))))))))</f>
        <v/>
      </c>
      <c r="R584" s="3" t="str">
        <f t="shared" si="20"/>
        <v/>
      </c>
      <c r="S584" s="4">
        <f t="shared" si="19"/>
        <v>1048507</v>
      </c>
      <c r="T5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5" spans="1:20" hidden="1" x14ac:dyDescent="0.25">
      <c r="A585" t="s">
        <v>18</v>
      </c>
      <c r="B585" s="28" t="s">
        <v>52</v>
      </c>
      <c r="C585" t="s">
        <v>17</v>
      </c>
      <c r="D585" t="str">
        <f>_xlfn.XLOOKUP(Table1[[#This Row],[Player]]&amp;Table1[[#This Row],[Week]]&amp;Table1[[#This Row],[Role]],'Google Form Transform'!$A:$A,'Google Form Transform'!E:E,"")</f>
        <v/>
      </c>
      <c r="E585" t="str">
        <f>_xlfn.XLOOKUP(Table1[[#This Row],[Player]]&amp;Table1[[#This Row],[Week]]&amp;Table1[[#This Row],[Role]],'Google Form Transform'!$A:$A,'Google Form Transform'!F:F,"")</f>
        <v/>
      </c>
      <c r="F585" t="str">
        <f>_xlfn.XLOOKUP(Table1[[#This Row],[Player]]&amp;Table1[[#This Row],[Week]]&amp;Table1[[#This Row],[Role]],'Google Form Transform'!$A:$A,'Google Form Transform'!G:G,"")</f>
        <v/>
      </c>
      <c r="G585" s="59">
        <f>SUMIFS(Table2[Stat],Table2[Stat Category],"passing",Table2[Stat Type],"YDS",Table2[Athlete],Table1[[#This Row],[Pick]],Table2[Week],Table1[[#This Row],[Week]])</f>
        <v>0</v>
      </c>
      <c r="H585" s="59">
        <f>SUMIFS(Table2[Stat],Table2[Stat Category],"rushing",Table2[Stat Type],"YDS",Table2[Athlete],Table1[[#This Row],[Pick]],Table2[Week],Table1[[#This Row],[Week]])</f>
        <v>0</v>
      </c>
      <c r="I585" s="59">
        <f>SUMIFS(Table2[Stat],Table2[Stat Category],"receiving",Table2[Stat Type],"YDS",Table2[Athlete],Table1[[#This Row],[Pick]],Table2[Week],Table1[[#This Row],[Week]])</f>
        <v>0</v>
      </c>
      <c r="J585" s="6">
        <f>IF(AND($C585="Rushing", $H585&lt;=0), 0, IF(AND($C585="Passing", $G$3&lt;=0), 0,IF(AND($C585="Receiving",$I585&lt;=0), 0,SUMIFS(Table2[Stat],Table2[Week],Table1[[#This Row],[Week]],Table2[Athlete],Table1[[#This Row],[Pick]],Table2[Stat Category],"passing",Table2[Stat Type],"TD"))))</f>
        <v>0</v>
      </c>
      <c r="K585" s="6">
        <f>IF(AND($C585="Rushing", $H585&lt;=0), 0, IF(AND($C585="Passing", $G$3&lt;=0), 0,IF(AND($C585="Receiving",$I585&lt;=0),0,SUMIFS(Table2[Stat],Table2[Week],Table1[[#This Row],[Week]],Table2[Athlete],Table1[[#This Row],[Pick]],Table2[Stat Category],"rushing",Table2[Stat Type],"TD"))))</f>
        <v>0</v>
      </c>
      <c r="L585" s="6">
        <f>IF(AND($C585="Rushing", $H585&lt;=0), 0, IF(AND($C585="Passing", $G$3&lt;=0), 0,IF(AND($C585="Receiving",$I585&lt;=0),0,SUMIFS(Table2[Stat],Table2[Week],Table1[[#This Row],[Week]],Table2[Athlete],Table1[[#This Row],[Pick]],Table2[Stat Category],"receiving",Table2[Stat Type],"TD"))))</f>
        <v>0</v>
      </c>
      <c r="M5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5" s="61">
        <f>SUMIFS(Data!$J:$J,Data!$A:$A,Info!$B585,Data!$G:$G,Info!$C585,Data!$I:$I,Info!$D585,Data!$H:$H,"TOT")</f>
        <v>0</v>
      </c>
      <c r="O585" s="61">
        <f>IF(C585="Defensive",SUMIFS(Data!$J:$J,Data!$A:$A,Info!$B585,Data!$I:$I,Info!$D585,Data!$H:$H,"INT"),0)</f>
        <v>0</v>
      </c>
      <c r="P585" s="61">
        <f>IF(Table1[[#This Row],[Role]]="Defensive",SUMIFS(Data!$J:$J,Data!$A:$A,Info!$B585,Data!$I:$I,Info!$D585,Data!$H:$H,$P$1),0)</f>
        <v>0</v>
      </c>
      <c r="Q585" s="65" t="str">
        <f>IF(Table1[[#This Row],[Pick]]="","",IF(S585&gt;1,400,IF(G585="","",IF(C585="Passing",(400-Table1[[#This Row],[Passing Yards]]-(30*Table1[[#This Row],[Passing TDs]])-(50*SUM(Table1[[#This Row],[Rushing TDs]:[Other TD''s]]))),IF(C585="Rushing",2*(200-Table1[[#This Row],[Rushing Yards]]-(30*Table1[[#This Row],[Passing TDs]])-50*(Table1[[#This Row],[Rushing TDs]]+Table1[[#This Row],[Receiving TDs]]+Table1[[#This Row],[Other TD''s]])),IF(C585="Receiving",2*(200-Table1[[#This Row],[Receiving Yards]]-(30*Table1[[#This Row],[Passing TDs]])-50*(Table1[[#This Row],[Rushing TDs]]+Table1[[#This Row],[Receiving TDs]]+Table1[[#This Row],[Other TD''s]])),IF(C585="Defensive",(25*(16-Table1[[#This Row],[Tackles]]-(8*(Table1[[#This Row],[Other TD''s]]+Table1[[#This Row],[Interceptions]]+Table1[[#This Row],[Fumbles Recovered]])))))))))))</f>
        <v/>
      </c>
      <c r="R585" s="3" t="str">
        <f t="shared" si="20"/>
        <v/>
      </c>
      <c r="S585" s="4">
        <f t="shared" si="19"/>
        <v>1048507</v>
      </c>
      <c r="T5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6" spans="1:20" hidden="1" x14ac:dyDescent="0.25">
      <c r="A586" t="s">
        <v>18</v>
      </c>
      <c r="B586" s="28" t="s">
        <v>52</v>
      </c>
      <c r="C586" t="s">
        <v>20</v>
      </c>
      <c r="D586" t="str">
        <f>_xlfn.XLOOKUP(Table1[[#This Row],[Player]]&amp;Table1[[#This Row],[Week]]&amp;Table1[[#This Row],[Role]],'Google Form Transform'!$A:$A,'Google Form Transform'!E:E,"")</f>
        <v/>
      </c>
      <c r="E586" t="str">
        <f>_xlfn.XLOOKUP(Table1[[#This Row],[Player]]&amp;Table1[[#This Row],[Week]]&amp;Table1[[#This Row],[Role]],'Google Form Transform'!$A:$A,'Google Form Transform'!F:F,"")</f>
        <v/>
      </c>
      <c r="F586" t="str">
        <f>_xlfn.XLOOKUP(Table1[[#This Row],[Player]]&amp;Table1[[#This Row],[Week]]&amp;Table1[[#This Row],[Role]],'Google Form Transform'!$A:$A,'Google Form Transform'!G:G,"")</f>
        <v/>
      </c>
      <c r="G586" s="59">
        <f>SUMIFS(Table2[Stat],Table2[Stat Category],"passing",Table2[Stat Type],"YDS",Table2[Athlete],Table1[[#This Row],[Pick]],Table2[Week],Table1[[#This Row],[Week]])</f>
        <v>0</v>
      </c>
      <c r="H586" s="59">
        <f>SUMIFS(Table2[Stat],Table2[Stat Category],"rushing",Table2[Stat Type],"YDS",Table2[Athlete],Table1[[#This Row],[Pick]],Table2[Week],Table1[[#This Row],[Week]])</f>
        <v>0</v>
      </c>
      <c r="I586" s="59">
        <f>SUMIFS(Table2[Stat],Table2[Stat Category],"receiving",Table2[Stat Type],"YDS",Table2[Athlete],Table1[[#This Row],[Pick]],Table2[Week],Table1[[#This Row],[Week]])</f>
        <v>0</v>
      </c>
      <c r="J586" s="6">
        <f>IF(AND($C586="Rushing", $H586&lt;=0), 0, IF(AND($C586="Passing", $G$3&lt;=0), 0,IF(AND($C586="Receiving",$I586&lt;=0), 0,SUMIFS(Table2[Stat],Table2[Week],Table1[[#This Row],[Week]],Table2[Athlete],Table1[[#This Row],[Pick]],Table2[Stat Category],"passing",Table2[Stat Type],"TD"))))</f>
        <v>0</v>
      </c>
      <c r="K586" s="6">
        <f>IF(AND($C586="Rushing", $H586&lt;=0), 0, IF(AND($C586="Passing", $G$3&lt;=0), 0,IF(AND($C586="Receiving",$I586&lt;=0),0,SUMIFS(Table2[Stat],Table2[Week],Table1[[#This Row],[Week]],Table2[Athlete],Table1[[#This Row],[Pick]],Table2[Stat Category],"rushing",Table2[Stat Type],"TD"))))</f>
        <v>0</v>
      </c>
      <c r="L586" s="6">
        <f>IF(AND($C586="Rushing", $H586&lt;=0), 0, IF(AND($C586="Passing", $G$3&lt;=0), 0,IF(AND($C586="Receiving",$I586&lt;=0),0,SUMIFS(Table2[Stat],Table2[Week],Table1[[#This Row],[Week]],Table2[Athlete],Table1[[#This Row],[Pick]],Table2[Stat Category],"receiving",Table2[Stat Type],"TD"))))</f>
        <v>0</v>
      </c>
      <c r="M5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6" s="61">
        <f>SUMIFS(Data!$J:$J,Data!$A:$A,Info!$B586,Data!$G:$G,Info!$C586,Data!$I:$I,Info!$D586,Data!$H:$H,"TOT")</f>
        <v>0</v>
      </c>
      <c r="O586" s="61">
        <f>IF(C586="Defensive",SUMIFS(Data!$J:$J,Data!$A:$A,Info!$B586,Data!$I:$I,Info!$D586,Data!$H:$H,"INT"),0)</f>
        <v>0</v>
      </c>
      <c r="P586" s="61">
        <f>IF(Table1[[#This Row],[Role]]="Defensive",SUMIFS(Data!$J:$J,Data!$A:$A,Info!$B586,Data!$I:$I,Info!$D586,Data!$H:$H,$P$1),0)</f>
        <v>0</v>
      </c>
      <c r="Q586" s="65" t="str">
        <f>IF(Table1[[#This Row],[Pick]]="","",IF(S586&gt;1,400,IF(G586="","",IF(C586="Passing",(400-Table1[[#This Row],[Passing Yards]]-(30*Table1[[#This Row],[Passing TDs]])-(50*SUM(Table1[[#This Row],[Rushing TDs]:[Other TD''s]]))),IF(C586="Rushing",2*(200-Table1[[#This Row],[Rushing Yards]]-(30*Table1[[#This Row],[Passing TDs]])-50*(Table1[[#This Row],[Rushing TDs]]+Table1[[#This Row],[Receiving TDs]]+Table1[[#This Row],[Other TD''s]])),IF(C586="Receiving",2*(200-Table1[[#This Row],[Receiving Yards]]-(30*Table1[[#This Row],[Passing TDs]])-50*(Table1[[#This Row],[Rushing TDs]]+Table1[[#This Row],[Receiving TDs]]+Table1[[#This Row],[Other TD''s]])),IF(C586="Defensive",(25*(16-Table1[[#This Row],[Tackles]]-(8*(Table1[[#This Row],[Other TD''s]]+Table1[[#This Row],[Interceptions]]+Table1[[#This Row],[Fumbles Recovered]])))))))))))</f>
        <v/>
      </c>
      <c r="R586" s="3" t="str">
        <f t="shared" si="20"/>
        <v/>
      </c>
      <c r="S586" s="4">
        <f t="shared" si="19"/>
        <v>1048507</v>
      </c>
      <c r="T5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7" spans="1:20" hidden="1" x14ac:dyDescent="0.25">
      <c r="A587" t="s">
        <v>19</v>
      </c>
      <c r="B587" s="28" t="s">
        <v>52</v>
      </c>
      <c r="C587" t="s">
        <v>16</v>
      </c>
      <c r="D587" t="str">
        <f>_xlfn.XLOOKUP(Table1[[#This Row],[Player]]&amp;Table1[[#This Row],[Week]]&amp;Table1[[#This Row],[Role]],'Google Form Transform'!$A:$A,'Google Form Transform'!E:E,"")</f>
        <v/>
      </c>
      <c r="E587" t="str">
        <f>_xlfn.XLOOKUP(Table1[[#This Row],[Player]]&amp;Table1[[#This Row],[Week]]&amp;Table1[[#This Row],[Role]],'Google Form Transform'!$A:$A,'Google Form Transform'!F:F,"")</f>
        <v/>
      </c>
      <c r="F587" t="str">
        <f>_xlfn.XLOOKUP(Table1[[#This Row],[Player]]&amp;Table1[[#This Row],[Week]]&amp;Table1[[#This Row],[Role]],'Google Form Transform'!$A:$A,'Google Form Transform'!G:G,"")</f>
        <v/>
      </c>
      <c r="G587" s="59">
        <f>SUMIFS(Table2[Stat],Table2[Stat Category],"passing",Table2[Stat Type],"YDS",Table2[Athlete],Table1[[#This Row],[Pick]],Table2[Week],Table1[[#This Row],[Week]])</f>
        <v>0</v>
      </c>
      <c r="H587" s="59">
        <f>SUMIFS(Table2[Stat],Table2[Stat Category],"rushing",Table2[Stat Type],"YDS",Table2[Athlete],Table1[[#This Row],[Pick]],Table2[Week],Table1[[#This Row],[Week]])</f>
        <v>0</v>
      </c>
      <c r="I587" s="59">
        <f>SUMIFS(Table2[Stat],Table2[Stat Category],"receiving",Table2[Stat Type],"YDS",Table2[Athlete],Table1[[#This Row],[Pick]],Table2[Week],Table1[[#This Row],[Week]])</f>
        <v>0</v>
      </c>
      <c r="J587" s="6">
        <f>IF(AND($C587="Rushing", $H587&lt;=0), 0, IF(AND($C587="Passing", $G$3&lt;=0), 0,IF(AND($C587="Receiving",$I587&lt;=0), 0,SUMIFS(Table2[Stat],Table2[Week],Table1[[#This Row],[Week]],Table2[Athlete],Table1[[#This Row],[Pick]],Table2[Stat Category],"passing",Table2[Stat Type],"TD"))))</f>
        <v>0</v>
      </c>
      <c r="K587" s="6">
        <f>IF(AND($C587="Rushing", $H587&lt;=0), 0, IF(AND($C587="Passing", $G$3&lt;=0), 0,IF(AND($C587="Receiving",$I587&lt;=0),0,SUMIFS(Table2[Stat],Table2[Week],Table1[[#This Row],[Week]],Table2[Athlete],Table1[[#This Row],[Pick]],Table2[Stat Category],"rushing",Table2[Stat Type],"TD"))))</f>
        <v>0</v>
      </c>
      <c r="L587" s="6">
        <f>IF(AND($C587="Rushing", $H587&lt;=0), 0, IF(AND($C587="Passing", $G$3&lt;=0), 0,IF(AND($C587="Receiving",$I587&lt;=0),0,SUMIFS(Table2[Stat],Table2[Week],Table1[[#This Row],[Week]],Table2[Athlete],Table1[[#This Row],[Pick]],Table2[Stat Category],"receiving",Table2[Stat Type],"TD"))))</f>
        <v>0</v>
      </c>
      <c r="M5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7" s="61">
        <f>SUMIFS(Data!$J:$J,Data!$A:$A,Info!$B587,Data!$G:$G,Info!$C587,Data!$I:$I,Info!$D587,Data!$H:$H,"TOT")</f>
        <v>0</v>
      </c>
      <c r="O587" s="61">
        <f>IF(C587="Defensive",SUMIFS(Data!$J:$J,Data!$A:$A,Info!$B587,Data!$I:$I,Info!$D587,Data!$H:$H,"INT"),0)</f>
        <v>0</v>
      </c>
      <c r="P587" s="61">
        <f>IF(Table1[[#This Row],[Role]]="Defensive",SUMIFS(Data!$J:$J,Data!$A:$A,Info!$B587,Data!$I:$I,Info!$D587,Data!$H:$H,$P$1),0)</f>
        <v>0</v>
      </c>
      <c r="Q587" s="65" t="str">
        <f>IF(Table1[[#This Row],[Pick]]="","",IF(S587&gt;1,400,IF(G587="","",IF(C587="Passing",(400-Table1[[#This Row],[Passing Yards]]-(30*Table1[[#This Row],[Passing TDs]])-(50*SUM(Table1[[#This Row],[Rushing TDs]:[Other TD''s]]))),IF(C587="Rushing",2*(200-Table1[[#This Row],[Rushing Yards]]-(30*Table1[[#This Row],[Passing TDs]])-50*(Table1[[#This Row],[Rushing TDs]]+Table1[[#This Row],[Receiving TDs]]+Table1[[#This Row],[Other TD''s]])),IF(C587="Receiving",2*(200-Table1[[#This Row],[Receiving Yards]]-(30*Table1[[#This Row],[Passing TDs]])-50*(Table1[[#This Row],[Rushing TDs]]+Table1[[#This Row],[Receiving TDs]]+Table1[[#This Row],[Other TD''s]])),IF(C587="Defensive",(25*(16-Table1[[#This Row],[Tackles]]-(8*(Table1[[#This Row],[Other TD''s]]+Table1[[#This Row],[Interceptions]]+Table1[[#This Row],[Fumbles Recovered]])))))))))))</f>
        <v/>
      </c>
      <c r="R587" s="3" t="str">
        <f t="shared" si="20"/>
        <v/>
      </c>
      <c r="S587" s="4">
        <f t="shared" si="19"/>
        <v>1048507</v>
      </c>
      <c r="T5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8" spans="1:20" hidden="1" x14ac:dyDescent="0.25">
      <c r="A588" t="s">
        <v>19</v>
      </c>
      <c r="B588" s="28" t="s">
        <v>52</v>
      </c>
      <c r="C588" t="s">
        <v>6</v>
      </c>
      <c r="D588" t="str">
        <f>_xlfn.XLOOKUP(Table1[[#This Row],[Player]]&amp;Table1[[#This Row],[Week]]&amp;Table1[[#This Row],[Role]],'Google Form Transform'!$A:$A,'Google Form Transform'!E:E,"")</f>
        <v/>
      </c>
      <c r="E588" t="str">
        <f>_xlfn.XLOOKUP(Table1[[#This Row],[Player]]&amp;Table1[[#This Row],[Week]]&amp;Table1[[#This Row],[Role]],'Google Form Transform'!$A:$A,'Google Form Transform'!F:F,"")</f>
        <v/>
      </c>
      <c r="F588" t="str">
        <f>_xlfn.XLOOKUP(Table1[[#This Row],[Player]]&amp;Table1[[#This Row],[Week]]&amp;Table1[[#This Row],[Role]],'Google Form Transform'!$A:$A,'Google Form Transform'!G:G,"")</f>
        <v/>
      </c>
      <c r="G588" s="59">
        <f>SUMIFS(Table2[Stat],Table2[Stat Category],"passing",Table2[Stat Type],"YDS",Table2[Athlete],Table1[[#This Row],[Pick]],Table2[Week],Table1[[#This Row],[Week]])</f>
        <v>0</v>
      </c>
      <c r="H588" s="59">
        <f>SUMIFS(Table2[Stat],Table2[Stat Category],"rushing",Table2[Stat Type],"YDS",Table2[Athlete],Table1[[#This Row],[Pick]],Table2[Week],Table1[[#This Row],[Week]])</f>
        <v>0</v>
      </c>
      <c r="I588" s="59">
        <f>SUMIFS(Table2[Stat],Table2[Stat Category],"receiving",Table2[Stat Type],"YDS",Table2[Athlete],Table1[[#This Row],[Pick]],Table2[Week],Table1[[#This Row],[Week]])</f>
        <v>0</v>
      </c>
      <c r="J588" s="6">
        <f>IF(AND($C588="Rushing", $H588&lt;=0), 0, IF(AND($C588="Passing", $G$3&lt;=0), 0,IF(AND($C588="Receiving",$I588&lt;=0), 0,SUMIFS(Table2[Stat],Table2[Week],Table1[[#This Row],[Week]],Table2[Athlete],Table1[[#This Row],[Pick]],Table2[Stat Category],"passing",Table2[Stat Type],"TD"))))</f>
        <v>0</v>
      </c>
      <c r="K588" s="6">
        <f>IF(AND($C588="Rushing", $H588&lt;=0), 0, IF(AND($C588="Passing", $G$3&lt;=0), 0,IF(AND($C588="Receiving",$I588&lt;=0),0,SUMIFS(Table2[Stat],Table2[Week],Table1[[#This Row],[Week]],Table2[Athlete],Table1[[#This Row],[Pick]],Table2[Stat Category],"rushing",Table2[Stat Type],"TD"))))</f>
        <v>0</v>
      </c>
      <c r="L588" s="6">
        <f>IF(AND($C588="Rushing", $H588&lt;=0), 0, IF(AND($C588="Passing", $G$3&lt;=0), 0,IF(AND($C588="Receiving",$I588&lt;=0),0,SUMIFS(Table2[Stat],Table2[Week],Table1[[#This Row],[Week]],Table2[Athlete],Table1[[#This Row],[Pick]],Table2[Stat Category],"receiving",Table2[Stat Type],"TD"))))</f>
        <v>0</v>
      </c>
      <c r="M5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8" s="61">
        <f>SUMIFS(Data!$J:$J,Data!$A:$A,Info!$B588,Data!$G:$G,Info!$C588,Data!$I:$I,Info!$D588,Data!$H:$H,"TOT")</f>
        <v>0</v>
      </c>
      <c r="O588" s="61">
        <f>IF(C588="Defensive",SUMIFS(Data!$J:$J,Data!$A:$A,Info!$B588,Data!$I:$I,Info!$D588,Data!$H:$H,"INT"),0)</f>
        <v>0</v>
      </c>
      <c r="P588" s="61">
        <f>IF(Table1[[#This Row],[Role]]="Defensive",SUMIFS(Data!$J:$J,Data!$A:$A,Info!$B588,Data!$I:$I,Info!$D588,Data!$H:$H,$P$1),0)</f>
        <v>0</v>
      </c>
      <c r="Q588" s="65" t="str">
        <f>IF(Table1[[#This Row],[Pick]]="","",IF(S588&gt;1,400,IF(G588="","",IF(C588="Passing",(400-Table1[[#This Row],[Passing Yards]]-(30*Table1[[#This Row],[Passing TDs]])-(50*SUM(Table1[[#This Row],[Rushing TDs]:[Other TD''s]]))),IF(C588="Rushing",2*(200-Table1[[#This Row],[Rushing Yards]]-(30*Table1[[#This Row],[Passing TDs]])-50*(Table1[[#This Row],[Rushing TDs]]+Table1[[#This Row],[Receiving TDs]]+Table1[[#This Row],[Other TD''s]])),IF(C588="Receiving",2*(200-Table1[[#This Row],[Receiving Yards]]-(30*Table1[[#This Row],[Passing TDs]])-50*(Table1[[#This Row],[Rushing TDs]]+Table1[[#This Row],[Receiving TDs]]+Table1[[#This Row],[Other TD''s]])),IF(C588="Defensive",(25*(16-Table1[[#This Row],[Tackles]]-(8*(Table1[[#This Row],[Other TD''s]]+Table1[[#This Row],[Interceptions]]+Table1[[#This Row],[Fumbles Recovered]])))))))))))</f>
        <v/>
      </c>
      <c r="R588" s="3" t="str">
        <f t="shared" si="20"/>
        <v/>
      </c>
      <c r="S588" s="4">
        <f t="shared" si="19"/>
        <v>1048507</v>
      </c>
      <c r="T5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9" spans="1:20" hidden="1" x14ac:dyDescent="0.25">
      <c r="A589" t="s">
        <v>19</v>
      </c>
      <c r="B589" s="28" t="s">
        <v>52</v>
      </c>
      <c r="C589" t="s">
        <v>17</v>
      </c>
      <c r="D589" t="str">
        <f>_xlfn.XLOOKUP(Table1[[#This Row],[Player]]&amp;Table1[[#This Row],[Week]]&amp;Table1[[#This Row],[Role]],'Google Form Transform'!$A:$A,'Google Form Transform'!E:E,"")</f>
        <v/>
      </c>
      <c r="E589" t="str">
        <f>_xlfn.XLOOKUP(Table1[[#This Row],[Player]]&amp;Table1[[#This Row],[Week]]&amp;Table1[[#This Row],[Role]],'Google Form Transform'!$A:$A,'Google Form Transform'!F:F,"")</f>
        <v/>
      </c>
      <c r="F589" t="str">
        <f>_xlfn.XLOOKUP(Table1[[#This Row],[Player]]&amp;Table1[[#This Row],[Week]]&amp;Table1[[#This Row],[Role]],'Google Form Transform'!$A:$A,'Google Form Transform'!G:G,"")</f>
        <v/>
      </c>
      <c r="G589" s="59">
        <f>SUMIFS(Table2[Stat],Table2[Stat Category],"passing",Table2[Stat Type],"YDS",Table2[Athlete],Table1[[#This Row],[Pick]],Table2[Week],Table1[[#This Row],[Week]])</f>
        <v>0</v>
      </c>
      <c r="H589" s="59">
        <f>SUMIFS(Table2[Stat],Table2[Stat Category],"rushing",Table2[Stat Type],"YDS",Table2[Athlete],Table1[[#This Row],[Pick]],Table2[Week],Table1[[#This Row],[Week]])</f>
        <v>0</v>
      </c>
      <c r="I589" s="59">
        <f>SUMIFS(Table2[Stat],Table2[Stat Category],"receiving",Table2[Stat Type],"YDS",Table2[Athlete],Table1[[#This Row],[Pick]],Table2[Week],Table1[[#This Row],[Week]])</f>
        <v>0</v>
      </c>
      <c r="J589" s="6">
        <f>IF(AND($C589="Rushing", $H589&lt;=0), 0, IF(AND($C589="Passing", $G$3&lt;=0), 0,IF(AND($C589="Receiving",$I589&lt;=0), 0,SUMIFS(Table2[Stat],Table2[Week],Table1[[#This Row],[Week]],Table2[Athlete],Table1[[#This Row],[Pick]],Table2[Stat Category],"passing",Table2[Stat Type],"TD"))))</f>
        <v>0</v>
      </c>
      <c r="K589" s="6">
        <f>IF(AND($C589="Rushing", $H589&lt;=0), 0, IF(AND($C589="Passing", $G$3&lt;=0), 0,IF(AND($C589="Receiving",$I589&lt;=0),0,SUMIFS(Table2[Stat],Table2[Week],Table1[[#This Row],[Week]],Table2[Athlete],Table1[[#This Row],[Pick]],Table2[Stat Category],"rushing",Table2[Stat Type],"TD"))))</f>
        <v>0</v>
      </c>
      <c r="L589" s="6">
        <f>IF(AND($C589="Rushing", $H589&lt;=0), 0, IF(AND($C589="Passing", $G$3&lt;=0), 0,IF(AND($C589="Receiving",$I589&lt;=0),0,SUMIFS(Table2[Stat],Table2[Week],Table1[[#This Row],[Week]],Table2[Athlete],Table1[[#This Row],[Pick]],Table2[Stat Category],"receiving",Table2[Stat Type],"TD"))))</f>
        <v>0</v>
      </c>
      <c r="M5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9" s="61">
        <f>SUMIFS(Data!$J:$J,Data!$A:$A,Info!$B589,Data!$G:$G,Info!$C589,Data!$I:$I,Info!$D589,Data!$H:$H,"TOT")</f>
        <v>0</v>
      </c>
      <c r="O589" s="61">
        <f>IF(C589="Defensive",SUMIFS(Data!$J:$J,Data!$A:$A,Info!$B589,Data!$I:$I,Info!$D589,Data!$H:$H,"INT"),0)</f>
        <v>0</v>
      </c>
      <c r="P589" s="61">
        <f>IF(Table1[[#This Row],[Role]]="Defensive",SUMIFS(Data!$J:$J,Data!$A:$A,Info!$B589,Data!$I:$I,Info!$D589,Data!$H:$H,$P$1),0)</f>
        <v>0</v>
      </c>
      <c r="Q589" s="65" t="str">
        <f>IF(Table1[[#This Row],[Pick]]="","",IF(S589&gt;1,400,IF(G589="","",IF(C589="Passing",(400-Table1[[#This Row],[Passing Yards]]-(30*Table1[[#This Row],[Passing TDs]])-(50*SUM(Table1[[#This Row],[Rushing TDs]:[Other TD''s]]))),IF(C589="Rushing",2*(200-Table1[[#This Row],[Rushing Yards]]-(30*Table1[[#This Row],[Passing TDs]])-50*(Table1[[#This Row],[Rushing TDs]]+Table1[[#This Row],[Receiving TDs]]+Table1[[#This Row],[Other TD''s]])),IF(C589="Receiving",2*(200-Table1[[#This Row],[Receiving Yards]]-(30*Table1[[#This Row],[Passing TDs]])-50*(Table1[[#This Row],[Rushing TDs]]+Table1[[#This Row],[Receiving TDs]]+Table1[[#This Row],[Other TD''s]])),IF(C589="Defensive",(25*(16-Table1[[#This Row],[Tackles]]-(8*(Table1[[#This Row],[Other TD''s]]+Table1[[#This Row],[Interceptions]]+Table1[[#This Row],[Fumbles Recovered]])))))))))))</f>
        <v/>
      </c>
      <c r="R589" s="3" t="str">
        <f t="shared" si="20"/>
        <v/>
      </c>
      <c r="S589" s="4">
        <f t="shared" si="19"/>
        <v>1048507</v>
      </c>
      <c r="T5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0" spans="1:20" hidden="1" x14ac:dyDescent="0.25">
      <c r="A590" t="s">
        <v>19</v>
      </c>
      <c r="B590" s="28" t="s">
        <v>52</v>
      </c>
      <c r="C590" t="s">
        <v>20</v>
      </c>
      <c r="D590" t="str">
        <f>_xlfn.XLOOKUP(Table1[[#This Row],[Player]]&amp;Table1[[#This Row],[Week]]&amp;Table1[[#This Row],[Role]],'Google Form Transform'!$A:$A,'Google Form Transform'!E:E,"")</f>
        <v/>
      </c>
      <c r="E590" t="str">
        <f>_xlfn.XLOOKUP(Table1[[#This Row],[Player]]&amp;Table1[[#This Row],[Week]]&amp;Table1[[#This Row],[Role]],'Google Form Transform'!$A:$A,'Google Form Transform'!F:F,"")</f>
        <v/>
      </c>
      <c r="F590" t="str">
        <f>_xlfn.XLOOKUP(Table1[[#This Row],[Player]]&amp;Table1[[#This Row],[Week]]&amp;Table1[[#This Row],[Role]],'Google Form Transform'!$A:$A,'Google Form Transform'!G:G,"")</f>
        <v/>
      </c>
      <c r="G590" s="59">
        <f>SUMIFS(Table2[Stat],Table2[Stat Category],"passing",Table2[Stat Type],"YDS",Table2[Athlete],Table1[[#This Row],[Pick]],Table2[Week],Table1[[#This Row],[Week]])</f>
        <v>0</v>
      </c>
      <c r="H590" s="59">
        <f>SUMIFS(Table2[Stat],Table2[Stat Category],"rushing",Table2[Stat Type],"YDS",Table2[Athlete],Table1[[#This Row],[Pick]],Table2[Week],Table1[[#This Row],[Week]])</f>
        <v>0</v>
      </c>
      <c r="I590" s="59">
        <f>SUMIFS(Table2[Stat],Table2[Stat Category],"receiving",Table2[Stat Type],"YDS",Table2[Athlete],Table1[[#This Row],[Pick]],Table2[Week],Table1[[#This Row],[Week]])</f>
        <v>0</v>
      </c>
      <c r="J590" s="6">
        <f>IF(AND($C590="Rushing", $H590&lt;=0), 0, IF(AND($C590="Passing", $G$3&lt;=0), 0,IF(AND($C590="Receiving",$I590&lt;=0), 0,SUMIFS(Table2[Stat],Table2[Week],Table1[[#This Row],[Week]],Table2[Athlete],Table1[[#This Row],[Pick]],Table2[Stat Category],"passing",Table2[Stat Type],"TD"))))</f>
        <v>0</v>
      </c>
      <c r="K590" s="6">
        <f>IF(AND($C590="Rushing", $H590&lt;=0), 0, IF(AND($C590="Passing", $G$3&lt;=0), 0,IF(AND($C590="Receiving",$I590&lt;=0),0,SUMIFS(Table2[Stat],Table2[Week],Table1[[#This Row],[Week]],Table2[Athlete],Table1[[#This Row],[Pick]],Table2[Stat Category],"rushing",Table2[Stat Type],"TD"))))</f>
        <v>0</v>
      </c>
      <c r="L590" s="6">
        <f>IF(AND($C590="Rushing", $H590&lt;=0), 0, IF(AND($C590="Passing", $G$3&lt;=0), 0,IF(AND($C590="Receiving",$I590&lt;=0),0,SUMIFS(Table2[Stat],Table2[Week],Table1[[#This Row],[Week]],Table2[Athlete],Table1[[#This Row],[Pick]],Table2[Stat Category],"receiving",Table2[Stat Type],"TD"))))</f>
        <v>0</v>
      </c>
      <c r="M5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0" s="61">
        <f>SUMIFS(Data!$J:$J,Data!$A:$A,Info!$B590,Data!$G:$G,Info!$C590,Data!$I:$I,Info!$D590,Data!$H:$H,"TOT")</f>
        <v>0</v>
      </c>
      <c r="O590" s="61">
        <f>IF(C590="Defensive",SUMIFS(Data!$J:$J,Data!$A:$A,Info!$B590,Data!$I:$I,Info!$D590,Data!$H:$H,"INT"),0)</f>
        <v>0</v>
      </c>
      <c r="P590" s="61">
        <f>IF(Table1[[#This Row],[Role]]="Defensive",SUMIFS(Data!$J:$J,Data!$A:$A,Info!$B590,Data!$I:$I,Info!$D590,Data!$H:$H,$P$1),0)</f>
        <v>0</v>
      </c>
      <c r="Q590" s="65" t="str">
        <f>IF(Table1[[#This Row],[Pick]]="","",IF(S590&gt;1,400,IF(G590="","",IF(C590="Passing",(400-Table1[[#This Row],[Passing Yards]]-(30*Table1[[#This Row],[Passing TDs]])-(50*SUM(Table1[[#This Row],[Rushing TDs]:[Other TD''s]]))),IF(C590="Rushing",2*(200-Table1[[#This Row],[Rushing Yards]]-(30*Table1[[#This Row],[Passing TDs]])-50*(Table1[[#This Row],[Rushing TDs]]+Table1[[#This Row],[Receiving TDs]]+Table1[[#This Row],[Other TD''s]])),IF(C590="Receiving",2*(200-Table1[[#This Row],[Receiving Yards]]-(30*Table1[[#This Row],[Passing TDs]])-50*(Table1[[#This Row],[Rushing TDs]]+Table1[[#This Row],[Receiving TDs]]+Table1[[#This Row],[Other TD''s]])),IF(C590="Defensive",(25*(16-Table1[[#This Row],[Tackles]]-(8*(Table1[[#This Row],[Other TD''s]]+Table1[[#This Row],[Interceptions]]+Table1[[#This Row],[Fumbles Recovered]])))))))))))</f>
        <v/>
      </c>
      <c r="R590" s="3" t="str">
        <f t="shared" si="20"/>
        <v/>
      </c>
      <c r="S590" s="4">
        <f t="shared" si="19"/>
        <v>1048507</v>
      </c>
      <c r="T5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1" spans="1:20" hidden="1" x14ac:dyDescent="0.25">
      <c r="A591" t="s">
        <v>26</v>
      </c>
      <c r="B591" s="28" t="s">
        <v>52</v>
      </c>
      <c r="C591" t="s">
        <v>16</v>
      </c>
      <c r="D591" t="str">
        <f>_xlfn.XLOOKUP(Table1[[#This Row],[Player]]&amp;Table1[[#This Row],[Week]]&amp;Table1[[#This Row],[Role]],'Google Form Transform'!$A:$A,'Google Form Transform'!E:E,"")</f>
        <v/>
      </c>
      <c r="E591" t="str">
        <f>_xlfn.XLOOKUP(Table1[[#This Row],[Player]]&amp;Table1[[#This Row],[Week]]&amp;Table1[[#This Row],[Role]],'Google Form Transform'!$A:$A,'Google Form Transform'!F:F,"")</f>
        <v/>
      </c>
      <c r="F591" t="str">
        <f>_xlfn.XLOOKUP(Table1[[#This Row],[Player]]&amp;Table1[[#This Row],[Week]]&amp;Table1[[#This Row],[Role]],'Google Form Transform'!$A:$A,'Google Form Transform'!G:G,"")</f>
        <v/>
      </c>
      <c r="G591" s="59">
        <f>SUMIFS(Table2[Stat],Table2[Stat Category],"passing",Table2[Stat Type],"YDS",Table2[Athlete],Table1[[#This Row],[Pick]],Table2[Week],Table1[[#This Row],[Week]])</f>
        <v>0</v>
      </c>
      <c r="H591" s="59">
        <f>SUMIFS(Table2[Stat],Table2[Stat Category],"rushing",Table2[Stat Type],"YDS",Table2[Athlete],Table1[[#This Row],[Pick]],Table2[Week],Table1[[#This Row],[Week]])</f>
        <v>0</v>
      </c>
      <c r="I591" s="59">
        <f>SUMIFS(Table2[Stat],Table2[Stat Category],"receiving",Table2[Stat Type],"YDS",Table2[Athlete],Table1[[#This Row],[Pick]],Table2[Week],Table1[[#This Row],[Week]])</f>
        <v>0</v>
      </c>
      <c r="J591" s="6">
        <f>IF(AND($C591="Rushing", $H591&lt;=0), 0, IF(AND($C591="Passing", $G$3&lt;=0), 0,IF(AND($C591="Receiving",$I591&lt;=0), 0,SUMIFS(Table2[Stat],Table2[Week],Table1[[#This Row],[Week]],Table2[Athlete],Table1[[#This Row],[Pick]],Table2[Stat Category],"passing",Table2[Stat Type],"TD"))))</f>
        <v>0</v>
      </c>
      <c r="K591" s="6">
        <f>IF(AND($C591="Rushing", $H591&lt;=0), 0, IF(AND($C591="Passing", $G$3&lt;=0), 0,IF(AND($C591="Receiving",$I591&lt;=0),0,SUMIFS(Table2[Stat],Table2[Week],Table1[[#This Row],[Week]],Table2[Athlete],Table1[[#This Row],[Pick]],Table2[Stat Category],"rushing",Table2[Stat Type],"TD"))))</f>
        <v>0</v>
      </c>
      <c r="L591" s="6">
        <f>IF(AND($C591="Rushing", $H591&lt;=0), 0, IF(AND($C591="Passing", $G$3&lt;=0), 0,IF(AND($C591="Receiving",$I591&lt;=0),0,SUMIFS(Table2[Stat],Table2[Week],Table1[[#This Row],[Week]],Table2[Athlete],Table1[[#This Row],[Pick]],Table2[Stat Category],"receiving",Table2[Stat Type],"TD"))))</f>
        <v>0</v>
      </c>
      <c r="M5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1" s="61">
        <f>SUMIFS(Data!$J:$J,Data!$A:$A,Info!$B591,Data!$G:$G,Info!$C591,Data!$I:$I,Info!$D591,Data!$H:$H,"TOT")</f>
        <v>0</v>
      </c>
      <c r="O591" s="61">
        <f>IF(C591="Defensive",SUMIFS(Data!$J:$J,Data!$A:$A,Info!$B591,Data!$I:$I,Info!$D591,Data!$H:$H,"INT"),0)</f>
        <v>0</v>
      </c>
      <c r="P591" s="61">
        <f>IF(Table1[[#This Row],[Role]]="Defensive",SUMIFS(Data!$J:$J,Data!$A:$A,Info!$B591,Data!$I:$I,Info!$D591,Data!$H:$H,$P$1),0)</f>
        <v>0</v>
      </c>
      <c r="Q591" s="65" t="str">
        <f>IF(Table1[[#This Row],[Pick]]="","",IF(S591&gt;1,400,IF(G591="","",IF(C591="Passing",(400-Table1[[#This Row],[Passing Yards]]-(30*Table1[[#This Row],[Passing TDs]])-(50*SUM(Table1[[#This Row],[Rushing TDs]:[Other TD''s]]))),IF(C591="Rushing",2*(200-Table1[[#This Row],[Rushing Yards]]-(30*Table1[[#This Row],[Passing TDs]])-50*(Table1[[#This Row],[Rushing TDs]]+Table1[[#This Row],[Receiving TDs]]+Table1[[#This Row],[Other TD''s]])),IF(C591="Receiving",2*(200-Table1[[#This Row],[Receiving Yards]]-(30*Table1[[#This Row],[Passing TDs]])-50*(Table1[[#This Row],[Rushing TDs]]+Table1[[#This Row],[Receiving TDs]]+Table1[[#This Row],[Other TD''s]])),IF(C591="Defensive",(25*(16-Table1[[#This Row],[Tackles]]-(8*(Table1[[#This Row],[Other TD''s]]+Table1[[#This Row],[Interceptions]]+Table1[[#This Row],[Fumbles Recovered]])))))))))))</f>
        <v/>
      </c>
      <c r="R591" s="3" t="str">
        <f t="shared" si="20"/>
        <v/>
      </c>
      <c r="S591" s="4">
        <f t="shared" si="19"/>
        <v>1048507</v>
      </c>
      <c r="T5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2" spans="1:20" hidden="1" x14ac:dyDescent="0.25">
      <c r="A592" t="s">
        <v>26</v>
      </c>
      <c r="B592" s="28" t="s">
        <v>52</v>
      </c>
      <c r="C592" t="s">
        <v>6</v>
      </c>
      <c r="D592" t="str">
        <f>_xlfn.XLOOKUP(Table1[[#This Row],[Player]]&amp;Table1[[#This Row],[Week]]&amp;Table1[[#This Row],[Role]],'Google Form Transform'!$A:$A,'Google Form Transform'!E:E,"")</f>
        <v/>
      </c>
      <c r="E592" t="str">
        <f>_xlfn.XLOOKUP(Table1[[#This Row],[Player]]&amp;Table1[[#This Row],[Week]]&amp;Table1[[#This Row],[Role]],'Google Form Transform'!$A:$A,'Google Form Transform'!F:F,"")</f>
        <v/>
      </c>
      <c r="F592" t="str">
        <f>_xlfn.XLOOKUP(Table1[[#This Row],[Player]]&amp;Table1[[#This Row],[Week]]&amp;Table1[[#This Row],[Role]],'Google Form Transform'!$A:$A,'Google Form Transform'!G:G,"")</f>
        <v/>
      </c>
      <c r="G592" s="59">
        <f>SUMIFS(Table2[Stat],Table2[Stat Category],"passing",Table2[Stat Type],"YDS",Table2[Athlete],Table1[[#This Row],[Pick]],Table2[Week],Table1[[#This Row],[Week]])</f>
        <v>0</v>
      </c>
      <c r="H592" s="59">
        <f>SUMIFS(Table2[Stat],Table2[Stat Category],"rushing",Table2[Stat Type],"YDS",Table2[Athlete],Table1[[#This Row],[Pick]],Table2[Week],Table1[[#This Row],[Week]])</f>
        <v>0</v>
      </c>
      <c r="I592" s="59">
        <f>SUMIFS(Table2[Stat],Table2[Stat Category],"receiving",Table2[Stat Type],"YDS",Table2[Athlete],Table1[[#This Row],[Pick]],Table2[Week],Table1[[#This Row],[Week]])</f>
        <v>0</v>
      </c>
      <c r="J592" s="6">
        <f>IF(AND($C592="Rushing", $H592&lt;=0), 0, IF(AND($C592="Passing", $G$3&lt;=0), 0,IF(AND($C592="Receiving",$I592&lt;=0), 0,SUMIFS(Table2[Stat],Table2[Week],Table1[[#This Row],[Week]],Table2[Athlete],Table1[[#This Row],[Pick]],Table2[Stat Category],"passing",Table2[Stat Type],"TD"))))</f>
        <v>0</v>
      </c>
      <c r="K592" s="6">
        <f>IF(AND($C592="Rushing", $H592&lt;=0), 0, IF(AND($C592="Passing", $G$3&lt;=0), 0,IF(AND($C592="Receiving",$I592&lt;=0),0,SUMIFS(Table2[Stat],Table2[Week],Table1[[#This Row],[Week]],Table2[Athlete],Table1[[#This Row],[Pick]],Table2[Stat Category],"rushing",Table2[Stat Type],"TD"))))</f>
        <v>0</v>
      </c>
      <c r="L592" s="6">
        <f>IF(AND($C592="Rushing", $H592&lt;=0), 0, IF(AND($C592="Passing", $G$3&lt;=0), 0,IF(AND($C592="Receiving",$I592&lt;=0),0,SUMIFS(Table2[Stat],Table2[Week],Table1[[#This Row],[Week]],Table2[Athlete],Table1[[#This Row],[Pick]],Table2[Stat Category],"receiving",Table2[Stat Type],"TD"))))</f>
        <v>0</v>
      </c>
      <c r="M5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2" s="61">
        <f>SUMIFS(Data!$J:$J,Data!$A:$A,Info!$B592,Data!$G:$G,Info!$C592,Data!$I:$I,Info!$D592,Data!$H:$H,"TOT")</f>
        <v>0</v>
      </c>
      <c r="O592" s="61">
        <f>IF(C592="Defensive",SUMIFS(Data!$J:$J,Data!$A:$A,Info!$B592,Data!$I:$I,Info!$D592,Data!$H:$H,"INT"),0)</f>
        <v>0</v>
      </c>
      <c r="P592" s="61">
        <f>IF(Table1[[#This Row],[Role]]="Defensive",SUMIFS(Data!$J:$J,Data!$A:$A,Info!$B592,Data!$I:$I,Info!$D592,Data!$H:$H,$P$1),0)</f>
        <v>0</v>
      </c>
      <c r="Q592" s="65" t="str">
        <f>IF(Table1[[#This Row],[Pick]]="","",IF(S592&gt;1,400,IF(G592="","",IF(C592="Passing",(400-Table1[[#This Row],[Passing Yards]]-(30*Table1[[#This Row],[Passing TDs]])-(50*SUM(Table1[[#This Row],[Rushing TDs]:[Other TD''s]]))),IF(C592="Rushing",2*(200-Table1[[#This Row],[Rushing Yards]]-(30*Table1[[#This Row],[Passing TDs]])-50*(Table1[[#This Row],[Rushing TDs]]+Table1[[#This Row],[Receiving TDs]]+Table1[[#This Row],[Other TD''s]])),IF(C592="Receiving",2*(200-Table1[[#This Row],[Receiving Yards]]-(30*Table1[[#This Row],[Passing TDs]])-50*(Table1[[#This Row],[Rushing TDs]]+Table1[[#This Row],[Receiving TDs]]+Table1[[#This Row],[Other TD''s]])),IF(C592="Defensive",(25*(16-Table1[[#This Row],[Tackles]]-(8*(Table1[[#This Row],[Other TD''s]]+Table1[[#This Row],[Interceptions]]+Table1[[#This Row],[Fumbles Recovered]])))))))))))</f>
        <v/>
      </c>
      <c r="R592" s="3" t="str">
        <f t="shared" si="20"/>
        <v/>
      </c>
      <c r="S592" s="4">
        <f t="shared" si="19"/>
        <v>1048507</v>
      </c>
      <c r="T5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3" spans="1:20" hidden="1" x14ac:dyDescent="0.25">
      <c r="A593" t="s">
        <v>26</v>
      </c>
      <c r="B593" s="28" t="s">
        <v>52</v>
      </c>
      <c r="C593" t="s">
        <v>17</v>
      </c>
      <c r="D593" t="str">
        <f>_xlfn.XLOOKUP(Table1[[#This Row],[Player]]&amp;Table1[[#This Row],[Week]]&amp;Table1[[#This Row],[Role]],'Google Form Transform'!$A:$A,'Google Form Transform'!E:E,"")</f>
        <v/>
      </c>
      <c r="E593" t="str">
        <f>_xlfn.XLOOKUP(Table1[[#This Row],[Player]]&amp;Table1[[#This Row],[Week]]&amp;Table1[[#This Row],[Role]],'Google Form Transform'!$A:$A,'Google Form Transform'!F:F,"")</f>
        <v/>
      </c>
      <c r="F593" t="str">
        <f>_xlfn.XLOOKUP(Table1[[#This Row],[Player]]&amp;Table1[[#This Row],[Week]]&amp;Table1[[#This Row],[Role]],'Google Form Transform'!$A:$A,'Google Form Transform'!G:G,"")</f>
        <v/>
      </c>
      <c r="G593" s="59">
        <f>SUMIFS(Table2[Stat],Table2[Stat Category],"passing",Table2[Stat Type],"YDS",Table2[Athlete],Table1[[#This Row],[Pick]],Table2[Week],Table1[[#This Row],[Week]])</f>
        <v>0</v>
      </c>
      <c r="H593" s="59">
        <f>SUMIFS(Table2[Stat],Table2[Stat Category],"rushing",Table2[Stat Type],"YDS",Table2[Athlete],Table1[[#This Row],[Pick]],Table2[Week],Table1[[#This Row],[Week]])</f>
        <v>0</v>
      </c>
      <c r="I593" s="59">
        <f>SUMIFS(Table2[Stat],Table2[Stat Category],"receiving",Table2[Stat Type],"YDS",Table2[Athlete],Table1[[#This Row],[Pick]],Table2[Week],Table1[[#This Row],[Week]])</f>
        <v>0</v>
      </c>
      <c r="J593" s="6">
        <f>IF(AND($C593="Rushing", $H593&lt;=0), 0, IF(AND($C593="Passing", $G$3&lt;=0), 0,IF(AND($C593="Receiving",$I593&lt;=0), 0,SUMIFS(Table2[Stat],Table2[Week],Table1[[#This Row],[Week]],Table2[Athlete],Table1[[#This Row],[Pick]],Table2[Stat Category],"passing",Table2[Stat Type],"TD"))))</f>
        <v>0</v>
      </c>
      <c r="K593" s="6">
        <f>IF(AND($C593="Rushing", $H593&lt;=0), 0, IF(AND($C593="Passing", $G$3&lt;=0), 0,IF(AND($C593="Receiving",$I593&lt;=0),0,SUMIFS(Table2[Stat],Table2[Week],Table1[[#This Row],[Week]],Table2[Athlete],Table1[[#This Row],[Pick]],Table2[Stat Category],"rushing",Table2[Stat Type],"TD"))))</f>
        <v>0</v>
      </c>
      <c r="L593" s="6">
        <f>IF(AND($C593="Rushing", $H593&lt;=0), 0, IF(AND($C593="Passing", $G$3&lt;=0), 0,IF(AND($C593="Receiving",$I593&lt;=0),0,SUMIFS(Table2[Stat],Table2[Week],Table1[[#This Row],[Week]],Table2[Athlete],Table1[[#This Row],[Pick]],Table2[Stat Category],"receiving",Table2[Stat Type],"TD"))))</f>
        <v>0</v>
      </c>
      <c r="M5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3" s="61">
        <f>SUMIFS(Data!$J:$J,Data!$A:$A,Info!$B593,Data!$G:$G,Info!$C593,Data!$I:$I,Info!$D593,Data!$H:$H,"TOT")</f>
        <v>0</v>
      </c>
      <c r="O593" s="61">
        <f>IF(C593="Defensive",SUMIFS(Data!$J:$J,Data!$A:$A,Info!$B593,Data!$I:$I,Info!$D593,Data!$H:$H,"INT"),0)</f>
        <v>0</v>
      </c>
      <c r="P593" s="61">
        <f>IF(Table1[[#This Row],[Role]]="Defensive",SUMIFS(Data!$J:$J,Data!$A:$A,Info!$B593,Data!$I:$I,Info!$D593,Data!$H:$H,$P$1),0)</f>
        <v>0</v>
      </c>
      <c r="Q593" s="65" t="str">
        <f>IF(Table1[[#This Row],[Pick]]="","",IF(S593&gt;1,400,IF(G593="","",IF(C593="Passing",(400-Table1[[#This Row],[Passing Yards]]-(30*Table1[[#This Row],[Passing TDs]])-(50*SUM(Table1[[#This Row],[Rushing TDs]:[Other TD''s]]))),IF(C593="Rushing",2*(200-Table1[[#This Row],[Rushing Yards]]-(30*Table1[[#This Row],[Passing TDs]])-50*(Table1[[#This Row],[Rushing TDs]]+Table1[[#This Row],[Receiving TDs]]+Table1[[#This Row],[Other TD''s]])),IF(C593="Receiving",2*(200-Table1[[#This Row],[Receiving Yards]]-(30*Table1[[#This Row],[Passing TDs]])-50*(Table1[[#This Row],[Rushing TDs]]+Table1[[#This Row],[Receiving TDs]]+Table1[[#This Row],[Other TD''s]])),IF(C593="Defensive",(25*(16-Table1[[#This Row],[Tackles]]-(8*(Table1[[#This Row],[Other TD''s]]+Table1[[#This Row],[Interceptions]]+Table1[[#This Row],[Fumbles Recovered]])))))))))))</f>
        <v/>
      </c>
      <c r="R593" s="3" t="str">
        <f t="shared" si="20"/>
        <v/>
      </c>
      <c r="S593" s="4">
        <f t="shared" si="19"/>
        <v>1048507</v>
      </c>
      <c r="T5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4" spans="1:20" hidden="1" x14ac:dyDescent="0.25">
      <c r="A594" t="s">
        <v>26</v>
      </c>
      <c r="B594" s="28" t="s">
        <v>52</v>
      </c>
      <c r="C594" t="s">
        <v>20</v>
      </c>
      <c r="D594" t="str">
        <f>_xlfn.XLOOKUP(Table1[[#This Row],[Player]]&amp;Table1[[#This Row],[Week]]&amp;Table1[[#This Row],[Role]],'Google Form Transform'!$A:$A,'Google Form Transform'!E:E,"")</f>
        <v/>
      </c>
      <c r="E594" t="str">
        <f>_xlfn.XLOOKUP(Table1[[#This Row],[Player]]&amp;Table1[[#This Row],[Week]]&amp;Table1[[#This Row],[Role]],'Google Form Transform'!$A:$A,'Google Form Transform'!F:F,"")</f>
        <v/>
      </c>
      <c r="F594" t="str">
        <f>_xlfn.XLOOKUP(Table1[[#This Row],[Player]]&amp;Table1[[#This Row],[Week]]&amp;Table1[[#This Row],[Role]],'Google Form Transform'!$A:$A,'Google Form Transform'!G:G,"")</f>
        <v/>
      </c>
      <c r="G594" s="59">
        <f>SUMIFS(Table2[Stat],Table2[Stat Category],"passing",Table2[Stat Type],"YDS",Table2[Athlete],Table1[[#This Row],[Pick]],Table2[Week],Table1[[#This Row],[Week]])</f>
        <v>0</v>
      </c>
      <c r="H594" s="59">
        <f>SUMIFS(Table2[Stat],Table2[Stat Category],"rushing",Table2[Stat Type],"YDS",Table2[Athlete],Table1[[#This Row],[Pick]],Table2[Week],Table1[[#This Row],[Week]])</f>
        <v>0</v>
      </c>
      <c r="I594" s="59">
        <f>SUMIFS(Table2[Stat],Table2[Stat Category],"receiving",Table2[Stat Type],"YDS",Table2[Athlete],Table1[[#This Row],[Pick]],Table2[Week],Table1[[#This Row],[Week]])</f>
        <v>0</v>
      </c>
      <c r="J594" s="6">
        <f>IF(AND($C594="Rushing", $H594&lt;=0), 0, IF(AND($C594="Passing", $G$3&lt;=0), 0,IF(AND($C594="Receiving",$I594&lt;=0), 0,SUMIFS(Table2[Stat],Table2[Week],Table1[[#This Row],[Week]],Table2[Athlete],Table1[[#This Row],[Pick]],Table2[Stat Category],"passing",Table2[Stat Type],"TD"))))</f>
        <v>0</v>
      </c>
      <c r="K594" s="6">
        <f>IF(AND($C594="Rushing", $H594&lt;=0), 0, IF(AND($C594="Passing", $G$3&lt;=0), 0,IF(AND($C594="Receiving",$I594&lt;=0),0,SUMIFS(Table2[Stat],Table2[Week],Table1[[#This Row],[Week]],Table2[Athlete],Table1[[#This Row],[Pick]],Table2[Stat Category],"rushing",Table2[Stat Type],"TD"))))</f>
        <v>0</v>
      </c>
      <c r="L594" s="6">
        <f>IF(AND($C594="Rushing", $H594&lt;=0), 0, IF(AND($C594="Passing", $G$3&lt;=0), 0,IF(AND($C594="Receiving",$I594&lt;=0),0,SUMIFS(Table2[Stat],Table2[Week],Table1[[#This Row],[Week]],Table2[Athlete],Table1[[#This Row],[Pick]],Table2[Stat Category],"receiving",Table2[Stat Type],"TD"))))</f>
        <v>0</v>
      </c>
      <c r="M5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4" s="61">
        <f>SUMIFS(Data!$J:$J,Data!$A:$A,Info!$B594,Data!$G:$G,Info!$C594,Data!$I:$I,Info!$D594,Data!$H:$H,"TOT")</f>
        <v>0</v>
      </c>
      <c r="O594" s="61">
        <f>IF(C594="Defensive",SUMIFS(Data!$J:$J,Data!$A:$A,Info!$B594,Data!$I:$I,Info!$D594,Data!$H:$H,"INT"),0)</f>
        <v>0</v>
      </c>
      <c r="P594" s="61">
        <f>IF(Table1[[#This Row],[Role]]="Defensive",SUMIFS(Data!$J:$J,Data!$A:$A,Info!$B594,Data!$I:$I,Info!$D594,Data!$H:$H,$P$1),0)</f>
        <v>0</v>
      </c>
      <c r="Q594" s="65" t="str">
        <f>IF(Table1[[#This Row],[Pick]]="","",IF(S594&gt;1,400,IF(G594="","",IF(C594="Passing",(400-Table1[[#This Row],[Passing Yards]]-(30*Table1[[#This Row],[Passing TDs]])-(50*SUM(Table1[[#This Row],[Rushing TDs]:[Other TD''s]]))),IF(C594="Rushing",2*(200-Table1[[#This Row],[Rushing Yards]]-(30*Table1[[#This Row],[Passing TDs]])-50*(Table1[[#This Row],[Rushing TDs]]+Table1[[#This Row],[Receiving TDs]]+Table1[[#This Row],[Other TD''s]])),IF(C594="Receiving",2*(200-Table1[[#This Row],[Receiving Yards]]-(30*Table1[[#This Row],[Passing TDs]])-50*(Table1[[#This Row],[Rushing TDs]]+Table1[[#This Row],[Receiving TDs]]+Table1[[#This Row],[Other TD''s]])),IF(C594="Defensive",(25*(16-Table1[[#This Row],[Tackles]]-(8*(Table1[[#This Row],[Other TD''s]]+Table1[[#This Row],[Interceptions]]+Table1[[#This Row],[Fumbles Recovered]])))))))))))</f>
        <v/>
      </c>
      <c r="R594" s="3" t="str">
        <f t="shared" si="20"/>
        <v/>
      </c>
      <c r="S594" s="4">
        <f t="shared" si="19"/>
        <v>1048507</v>
      </c>
      <c r="T5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5" spans="1:20" hidden="1" x14ac:dyDescent="0.25">
      <c r="A595" t="s">
        <v>43</v>
      </c>
      <c r="B595" s="28" t="s">
        <v>52</v>
      </c>
      <c r="C595" t="s">
        <v>16</v>
      </c>
      <c r="D595" t="str">
        <f>_xlfn.XLOOKUP(Table1[[#This Row],[Player]]&amp;Table1[[#This Row],[Week]]&amp;Table1[[#This Row],[Role]],'Google Form Transform'!$A:$A,'Google Form Transform'!E:E,"")</f>
        <v/>
      </c>
      <c r="E595" t="str">
        <f>_xlfn.XLOOKUP(Table1[[#This Row],[Player]]&amp;Table1[[#This Row],[Week]]&amp;Table1[[#This Row],[Role]],'Google Form Transform'!$A:$A,'Google Form Transform'!F:F,"")</f>
        <v/>
      </c>
      <c r="F595" t="str">
        <f>_xlfn.XLOOKUP(Table1[[#This Row],[Player]]&amp;Table1[[#This Row],[Week]]&amp;Table1[[#This Row],[Role]],'Google Form Transform'!$A:$A,'Google Form Transform'!G:G,"")</f>
        <v/>
      </c>
      <c r="G595" s="59">
        <f>SUMIFS(Table2[Stat],Table2[Stat Category],"passing",Table2[Stat Type],"YDS",Table2[Athlete],Table1[[#This Row],[Pick]],Table2[Week],Table1[[#This Row],[Week]])</f>
        <v>0</v>
      </c>
      <c r="H595" s="59">
        <f>SUMIFS(Table2[Stat],Table2[Stat Category],"rushing",Table2[Stat Type],"YDS",Table2[Athlete],Table1[[#This Row],[Pick]],Table2[Week],Table1[[#This Row],[Week]])</f>
        <v>0</v>
      </c>
      <c r="I595" s="59">
        <f>SUMIFS(Table2[Stat],Table2[Stat Category],"receiving",Table2[Stat Type],"YDS",Table2[Athlete],Table1[[#This Row],[Pick]],Table2[Week],Table1[[#This Row],[Week]])</f>
        <v>0</v>
      </c>
      <c r="J595" s="6">
        <f>IF(AND($C595="Rushing", $H595&lt;=0), 0, IF(AND($C595="Passing", $G$3&lt;=0), 0,IF(AND($C595="Receiving",$I595&lt;=0), 0,SUMIFS(Table2[Stat],Table2[Week],Table1[[#This Row],[Week]],Table2[Athlete],Table1[[#This Row],[Pick]],Table2[Stat Category],"passing",Table2[Stat Type],"TD"))))</f>
        <v>0</v>
      </c>
      <c r="K595" s="6">
        <f>IF(AND($C595="Rushing", $H595&lt;=0), 0, IF(AND($C595="Passing", $G$3&lt;=0), 0,IF(AND($C595="Receiving",$I595&lt;=0),0,SUMIFS(Table2[Stat],Table2[Week],Table1[[#This Row],[Week]],Table2[Athlete],Table1[[#This Row],[Pick]],Table2[Stat Category],"rushing",Table2[Stat Type],"TD"))))</f>
        <v>0</v>
      </c>
      <c r="L595" s="6">
        <f>IF(AND($C595="Rushing", $H595&lt;=0), 0, IF(AND($C595="Passing", $G$3&lt;=0), 0,IF(AND($C595="Receiving",$I595&lt;=0),0,SUMIFS(Table2[Stat],Table2[Week],Table1[[#This Row],[Week]],Table2[Athlete],Table1[[#This Row],[Pick]],Table2[Stat Category],"receiving",Table2[Stat Type],"TD"))))</f>
        <v>0</v>
      </c>
      <c r="M5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5" s="61">
        <f>SUMIFS(Data!$J:$J,Data!$A:$A,Info!$B595,Data!$G:$G,Info!$C595,Data!$I:$I,Info!$D595,Data!$H:$H,"TOT")</f>
        <v>0</v>
      </c>
      <c r="O595" s="61">
        <f>IF(C595="Defensive",SUMIFS(Data!$J:$J,Data!$A:$A,Info!$B595,Data!$I:$I,Info!$D595,Data!$H:$H,"INT"),0)</f>
        <v>0</v>
      </c>
      <c r="P595" s="61">
        <f>IF(Table1[[#This Row],[Role]]="Defensive",SUMIFS(Data!$J:$J,Data!$A:$A,Info!$B595,Data!$I:$I,Info!$D595,Data!$H:$H,$P$1),0)</f>
        <v>0</v>
      </c>
      <c r="Q595" s="65" t="str">
        <f>IF(Table1[[#This Row],[Pick]]="","",IF(S595&gt;1,400,IF(G595="","",IF(C595="Passing",(400-Table1[[#This Row],[Passing Yards]]-(30*Table1[[#This Row],[Passing TDs]])-(50*SUM(Table1[[#This Row],[Rushing TDs]:[Other TD''s]]))),IF(C595="Rushing",2*(200-Table1[[#This Row],[Rushing Yards]]-(30*Table1[[#This Row],[Passing TDs]])-50*(Table1[[#This Row],[Rushing TDs]]+Table1[[#This Row],[Receiving TDs]]+Table1[[#This Row],[Other TD''s]])),IF(C595="Receiving",2*(200-Table1[[#This Row],[Receiving Yards]]-(30*Table1[[#This Row],[Passing TDs]])-50*(Table1[[#This Row],[Rushing TDs]]+Table1[[#This Row],[Receiving TDs]]+Table1[[#This Row],[Other TD''s]])),IF(C595="Defensive",(25*(16-Table1[[#This Row],[Tackles]]-(8*(Table1[[#This Row],[Other TD''s]]+Table1[[#This Row],[Interceptions]]+Table1[[#This Row],[Fumbles Recovered]])))))))))))</f>
        <v/>
      </c>
      <c r="R595" s="3" t="str">
        <f t="shared" si="20"/>
        <v/>
      </c>
      <c r="S595" s="4">
        <f t="shared" si="19"/>
        <v>1048507</v>
      </c>
      <c r="T5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6" spans="1:20" hidden="1" x14ac:dyDescent="0.25">
      <c r="A596" t="s">
        <v>43</v>
      </c>
      <c r="B596" s="28" t="s">
        <v>52</v>
      </c>
      <c r="C596" t="s">
        <v>6</v>
      </c>
      <c r="D596" t="str">
        <f>_xlfn.XLOOKUP(Table1[[#This Row],[Player]]&amp;Table1[[#This Row],[Week]]&amp;Table1[[#This Row],[Role]],'Google Form Transform'!$A:$A,'Google Form Transform'!E:E,"")</f>
        <v/>
      </c>
      <c r="E596" t="str">
        <f>_xlfn.XLOOKUP(Table1[[#This Row],[Player]]&amp;Table1[[#This Row],[Week]]&amp;Table1[[#This Row],[Role]],'Google Form Transform'!$A:$A,'Google Form Transform'!F:F,"")</f>
        <v/>
      </c>
      <c r="F596" t="str">
        <f>_xlfn.XLOOKUP(Table1[[#This Row],[Player]]&amp;Table1[[#This Row],[Week]]&amp;Table1[[#This Row],[Role]],'Google Form Transform'!$A:$A,'Google Form Transform'!G:G,"")</f>
        <v/>
      </c>
      <c r="G596" s="59">
        <f>SUMIFS(Table2[Stat],Table2[Stat Category],"passing",Table2[Stat Type],"YDS",Table2[Athlete],Table1[[#This Row],[Pick]],Table2[Week],Table1[[#This Row],[Week]])</f>
        <v>0</v>
      </c>
      <c r="H596" s="59">
        <f>SUMIFS(Table2[Stat],Table2[Stat Category],"rushing",Table2[Stat Type],"YDS",Table2[Athlete],Table1[[#This Row],[Pick]],Table2[Week],Table1[[#This Row],[Week]])</f>
        <v>0</v>
      </c>
      <c r="I596" s="59">
        <f>SUMIFS(Table2[Stat],Table2[Stat Category],"receiving",Table2[Stat Type],"YDS",Table2[Athlete],Table1[[#This Row],[Pick]],Table2[Week],Table1[[#This Row],[Week]])</f>
        <v>0</v>
      </c>
      <c r="J596" s="6">
        <f>IF(AND($C596="Rushing", $H596&lt;=0), 0, IF(AND($C596="Passing", $G$3&lt;=0), 0,IF(AND($C596="Receiving",$I596&lt;=0), 0,SUMIFS(Table2[Stat],Table2[Week],Table1[[#This Row],[Week]],Table2[Athlete],Table1[[#This Row],[Pick]],Table2[Stat Category],"passing",Table2[Stat Type],"TD"))))</f>
        <v>0</v>
      </c>
      <c r="K596" s="6">
        <f>IF(AND($C596="Rushing", $H596&lt;=0), 0, IF(AND($C596="Passing", $G$3&lt;=0), 0,IF(AND($C596="Receiving",$I596&lt;=0),0,SUMIFS(Table2[Stat],Table2[Week],Table1[[#This Row],[Week]],Table2[Athlete],Table1[[#This Row],[Pick]],Table2[Stat Category],"rushing",Table2[Stat Type],"TD"))))</f>
        <v>0</v>
      </c>
      <c r="L596" s="6">
        <f>IF(AND($C596="Rushing", $H596&lt;=0), 0, IF(AND($C596="Passing", $G$3&lt;=0), 0,IF(AND($C596="Receiving",$I596&lt;=0),0,SUMIFS(Table2[Stat],Table2[Week],Table1[[#This Row],[Week]],Table2[Athlete],Table1[[#This Row],[Pick]],Table2[Stat Category],"receiving",Table2[Stat Type],"TD"))))</f>
        <v>0</v>
      </c>
      <c r="M5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6" s="61">
        <f>SUMIFS(Data!$J:$J,Data!$A:$A,Info!$B596,Data!$G:$G,Info!$C596,Data!$I:$I,Info!$D596,Data!$H:$H,"TOT")</f>
        <v>0</v>
      </c>
      <c r="O596" s="61">
        <f>IF(C596="Defensive",SUMIFS(Data!$J:$J,Data!$A:$A,Info!$B596,Data!$I:$I,Info!$D596,Data!$H:$H,"INT"),0)</f>
        <v>0</v>
      </c>
      <c r="P596" s="61">
        <f>IF(Table1[[#This Row],[Role]]="Defensive",SUMIFS(Data!$J:$J,Data!$A:$A,Info!$B596,Data!$I:$I,Info!$D596,Data!$H:$H,$P$1),0)</f>
        <v>0</v>
      </c>
      <c r="Q596" s="65" t="str">
        <f>IF(Table1[[#This Row],[Pick]]="","",IF(S596&gt;1,400,IF(G596="","",IF(C596="Passing",(400-Table1[[#This Row],[Passing Yards]]-(30*Table1[[#This Row],[Passing TDs]])-(50*SUM(Table1[[#This Row],[Rushing TDs]:[Other TD''s]]))),IF(C596="Rushing",2*(200-Table1[[#This Row],[Rushing Yards]]-(30*Table1[[#This Row],[Passing TDs]])-50*(Table1[[#This Row],[Rushing TDs]]+Table1[[#This Row],[Receiving TDs]]+Table1[[#This Row],[Other TD''s]])),IF(C596="Receiving",2*(200-Table1[[#This Row],[Receiving Yards]]-(30*Table1[[#This Row],[Passing TDs]])-50*(Table1[[#This Row],[Rushing TDs]]+Table1[[#This Row],[Receiving TDs]]+Table1[[#This Row],[Other TD''s]])),IF(C596="Defensive",(25*(16-Table1[[#This Row],[Tackles]]-(8*(Table1[[#This Row],[Other TD''s]]+Table1[[#This Row],[Interceptions]]+Table1[[#This Row],[Fumbles Recovered]])))))))))))</f>
        <v/>
      </c>
      <c r="R596" s="3" t="str">
        <f t="shared" si="20"/>
        <v/>
      </c>
      <c r="S596" s="4">
        <f t="shared" si="19"/>
        <v>1048507</v>
      </c>
      <c r="T5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7" spans="1:20" hidden="1" x14ac:dyDescent="0.25">
      <c r="A597" t="s">
        <v>43</v>
      </c>
      <c r="B597" s="28" t="s">
        <v>52</v>
      </c>
      <c r="C597" t="s">
        <v>17</v>
      </c>
      <c r="D597" t="str">
        <f>_xlfn.XLOOKUP(Table1[[#This Row],[Player]]&amp;Table1[[#This Row],[Week]]&amp;Table1[[#This Row],[Role]],'Google Form Transform'!$A:$A,'Google Form Transform'!E:E,"")</f>
        <v/>
      </c>
      <c r="E597" t="str">
        <f>_xlfn.XLOOKUP(Table1[[#This Row],[Player]]&amp;Table1[[#This Row],[Week]]&amp;Table1[[#This Row],[Role]],'Google Form Transform'!$A:$A,'Google Form Transform'!F:F,"")</f>
        <v/>
      </c>
      <c r="F597" t="str">
        <f>_xlfn.XLOOKUP(Table1[[#This Row],[Player]]&amp;Table1[[#This Row],[Week]]&amp;Table1[[#This Row],[Role]],'Google Form Transform'!$A:$A,'Google Form Transform'!G:G,"")</f>
        <v/>
      </c>
      <c r="G597" s="59">
        <f>SUMIFS(Table2[Stat],Table2[Stat Category],"passing",Table2[Stat Type],"YDS",Table2[Athlete],Table1[[#This Row],[Pick]],Table2[Week],Table1[[#This Row],[Week]])</f>
        <v>0</v>
      </c>
      <c r="H597" s="59">
        <f>SUMIFS(Table2[Stat],Table2[Stat Category],"rushing",Table2[Stat Type],"YDS",Table2[Athlete],Table1[[#This Row],[Pick]],Table2[Week],Table1[[#This Row],[Week]])</f>
        <v>0</v>
      </c>
      <c r="I597" s="59">
        <f>SUMIFS(Table2[Stat],Table2[Stat Category],"receiving",Table2[Stat Type],"YDS",Table2[Athlete],Table1[[#This Row],[Pick]],Table2[Week],Table1[[#This Row],[Week]])</f>
        <v>0</v>
      </c>
      <c r="J597" s="6">
        <f>IF(AND($C597="Rushing", $H597&lt;=0), 0, IF(AND($C597="Passing", $G$3&lt;=0), 0,IF(AND($C597="Receiving",$I597&lt;=0), 0,SUMIFS(Table2[Stat],Table2[Week],Table1[[#This Row],[Week]],Table2[Athlete],Table1[[#This Row],[Pick]],Table2[Stat Category],"passing",Table2[Stat Type],"TD"))))</f>
        <v>0</v>
      </c>
      <c r="K597" s="6">
        <f>IF(AND($C597="Rushing", $H597&lt;=0), 0, IF(AND($C597="Passing", $G$3&lt;=0), 0,IF(AND($C597="Receiving",$I597&lt;=0),0,SUMIFS(Table2[Stat],Table2[Week],Table1[[#This Row],[Week]],Table2[Athlete],Table1[[#This Row],[Pick]],Table2[Stat Category],"rushing",Table2[Stat Type],"TD"))))</f>
        <v>0</v>
      </c>
      <c r="L597" s="6">
        <f>IF(AND($C597="Rushing", $H597&lt;=0), 0, IF(AND($C597="Passing", $G$3&lt;=0), 0,IF(AND($C597="Receiving",$I597&lt;=0),0,SUMIFS(Table2[Stat],Table2[Week],Table1[[#This Row],[Week]],Table2[Athlete],Table1[[#This Row],[Pick]],Table2[Stat Category],"receiving",Table2[Stat Type],"TD"))))</f>
        <v>0</v>
      </c>
      <c r="M5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7" s="61">
        <f>SUMIFS(Data!$J:$J,Data!$A:$A,Info!$B597,Data!$G:$G,Info!$C597,Data!$I:$I,Info!$D597,Data!$H:$H,"TOT")</f>
        <v>0</v>
      </c>
      <c r="O597" s="61">
        <f>IF(C597="Defensive",SUMIFS(Data!$J:$J,Data!$A:$A,Info!$B597,Data!$I:$I,Info!$D597,Data!$H:$H,"INT"),0)</f>
        <v>0</v>
      </c>
      <c r="P597" s="61">
        <f>IF(Table1[[#This Row],[Role]]="Defensive",SUMIFS(Data!$J:$J,Data!$A:$A,Info!$B597,Data!$I:$I,Info!$D597,Data!$H:$H,$P$1),0)</f>
        <v>0</v>
      </c>
      <c r="Q597" s="65" t="str">
        <f>IF(Table1[[#This Row],[Pick]]="","",IF(S597&gt;1,400,IF(G597="","",IF(C597="Passing",(400-Table1[[#This Row],[Passing Yards]]-(30*Table1[[#This Row],[Passing TDs]])-(50*SUM(Table1[[#This Row],[Rushing TDs]:[Other TD''s]]))),IF(C597="Rushing",2*(200-Table1[[#This Row],[Rushing Yards]]-(30*Table1[[#This Row],[Passing TDs]])-50*(Table1[[#This Row],[Rushing TDs]]+Table1[[#This Row],[Receiving TDs]]+Table1[[#This Row],[Other TD''s]])),IF(C597="Receiving",2*(200-Table1[[#This Row],[Receiving Yards]]-(30*Table1[[#This Row],[Passing TDs]])-50*(Table1[[#This Row],[Rushing TDs]]+Table1[[#This Row],[Receiving TDs]]+Table1[[#This Row],[Other TD''s]])),IF(C597="Defensive",(25*(16-Table1[[#This Row],[Tackles]]-(8*(Table1[[#This Row],[Other TD''s]]+Table1[[#This Row],[Interceptions]]+Table1[[#This Row],[Fumbles Recovered]])))))))))))</f>
        <v/>
      </c>
      <c r="R597" s="3" t="str">
        <f t="shared" si="20"/>
        <v/>
      </c>
      <c r="S597" s="4">
        <f t="shared" si="19"/>
        <v>1048507</v>
      </c>
      <c r="T5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8" spans="1:20" hidden="1" x14ac:dyDescent="0.25">
      <c r="A598" t="s">
        <v>43</v>
      </c>
      <c r="B598" s="28" t="s">
        <v>52</v>
      </c>
      <c r="C598" t="s">
        <v>20</v>
      </c>
      <c r="D598" t="str">
        <f>_xlfn.XLOOKUP(Table1[[#This Row],[Player]]&amp;Table1[[#This Row],[Week]]&amp;Table1[[#This Row],[Role]],'Google Form Transform'!$A:$A,'Google Form Transform'!E:E,"")</f>
        <v/>
      </c>
      <c r="E598" t="str">
        <f>_xlfn.XLOOKUP(Table1[[#This Row],[Player]]&amp;Table1[[#This Row],[Week]]&amp;Table1[[#This Row],[Role]],'Google Form Transform'!$A:$A,'Google Form Transform'!F:F,"")</f>
        <v/>
      </c>
      <c r="F598" t="str">
        <f>_xlfn.XLOOKUP(Table1[[#This Row],[Player]]&amp;Table1[[#This Row],[Week]]&amp;Table1[[#This Row],[Role]],'Google Form Transform'!$A:$A,'Google Form Transform'!G:G,"")</f>
        <v/>
      </c>
      <c r="G598" s="59">
        <f>SUMIFS(Table2[Stat],Table2[Stat Category],"passing",Table2[Stat Type],"YDS",Table2[Athlete],Table1[[#This Row],[Pick]],Table2[Week],Table1[[#This Row],[Week]])</f>
        <v>0</v>
      </c>
      <c r="H598" s="59">
        <f>SUMIFS(Table2[Stat],Table2[Stat Category],"rushing",Table2[Stat Type],"YDS",Table2[Athlete],Table1[[#This Row],[Pick]],Table2[Week],Table1[[#This Row],[Week]])</f>
        <v>0</v>
      </c>
      <c r="I598" s="59">
        <f>SUMIFS(Table2[Stat],Table2[Stat Category],"receiving",Table2[Stat Type],"YDS",Table2[Athlete],Table1[[#This Row],[Pick]],Table2[Week],Table1[[#This Row],[Week]])</f>
        <v>0</v>
      </c>
      <c r="J598" s="6">
        <f>IF(AND($C598="Rushing", $H598&lt;=0), 0, IF(AND($C598="Passing", $G$3&lt;=0), 0,IF(AND($C598="Receiving",$I598&lt;=0), 0,SUMIFS(Table2[Stat],Table2[Week],Table1[[#This Row],[Week]],Table2[Athlete],Table1[[#This Row],[Pick]],Table2[Stat Category],"passing",Table2[Stat Type],"TD"))))</f>
        <v>0</v>
      </c>
      <c r="K598" s="6">
        <f>IF(AND($C598="Rushing", $H598&lt;=0), 0, IF(AND($C598="Passing", $G$3&lt;=0), 0,IF(AND($C598="Receiving",$I598&lt;=0),0,SUMIFS(Table2[Stat],Table2[Week],Table1[[#This Row],[Week]],Table2[Athlete],Table1[[#This Row],[Pick]],Table2[Stat Category],"rushing",Table2[Stat Type],"TD"))))</f>
        <v>0</v>
      </c>
      <c r="L598" s="6">
        <f>IF(AND($C598="Rushing", $H598&lt;=0), 0, IF(AND($C598="Passing", $G$3&lt;=0), 0,IF(AND($C598="Receiving",$I598&lt;=0),0,SUMIFS(Table2[Stat],Table2[Week],Table1[[#This Row],[Week]],Table2[Athlete],Table1[[#This Row],[Pick]],Table2[Stat Category],"receiving",Table2[Stat Type],"TD"))))</f>
        <v>0</v>
      </c>
      <c r="M5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8" s="61">
        <f>SUMIFS(Data!$J:$J,Data!$A:$A,Info!$B598,Data!$G:$G,Info!$C598,Data!$I:$I,Info!$D598,Data!$H:$H,"TOT")</f>
        <v>0</v>
      </c>
      <c r="O598" s="61">
        <f>IF(C598="Defensive",SUMIFS(Data!$J:$J,Data!$A:$A,Info!$B598,Data!$I:$I,Info!$D598,Data!$H:$H,"INT"),0)</f>
        <v>0</v>
      </c>
      <c r="P598" s="61">
        <f>IF(Table1[[#This Row],[Role]]="Defensive",SUMIFS(Data!$J:$J,Data!$A:$A,Info!$B598,Data!$I:$I,Info!$D598,Data!$H:$H,$P$1),0)</f>
        <v>0</v>
      </c>
      <c r="Q598" s="65" t="str">
        <f>IF(Table1[[#This Row],[Pick]]="","",IF(S598&gt;1,400,IF(G598="","",IF(C598="Passing",(400-Table1[[#This Row],[Passing Yards]]-(30*Table1[[#This Row],[Passing TDs]])-(50*SUM(Table1[[#This Row],[Rushing TDs]:[Other TD''s]]))),IF(C598="Rushing",2*(200-Table1[[#This Row],[Rushing Yards]]-(30*Table1[[#This Row],[Passing TDs]])-50*(Table1[[#This Row],[Rushing TDs]]+Table1[[#This Row],[Receiving TDs]]+Table1[[#This Row],[Other TD''s]])),IF(C598="Receiving",2*(200-Table1[[#This Row],[Receiving Yards]]-(30*Table1[[#This Row],[Passing TDs]])-50*(Table1[[#This Row],[Rushing TDs]]+Table1[[#This Row],[Receiving TDs]]+Table1[[#This Row],[Other TD''s]])),IF(C598="Defensive",(25*(16-Table1[[#This Row],[Tackles]]-(8*(Table1[[#This Row],[Other TD''s]]+Table1[[#This Row],[Interceptions]]+Table1[[#This Row],[Fumbles Recovered]])))))))))))</f>
        <v/>
      </c>
      <c r="R598" s="3" t="str">
        <f t="shared" si="20"/>
        <v/>
      </c>
      <c r="S598" s="4">
        <f t="shared" si="19"/>
        <v>1048507</v>
      </c>
      <c r="T5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9" spans="1:20" hidden="1" x14ac:dyDescent="0.25">
      <c r="A599" t="s">
        <v>7</v>
      </c>
      <c r="B599" s="28" t="s">
        <v>52</v>
      </c>
      <c r="C599" t="s">
        <v>16</v>
      </c>
      <c r="D599" t="str">
        <f>_xlfn.XLOOKUP(Table1[[#This Row],[Player]]&amp;Table1[[#This Row],[Week]]&amp;Table1[[#This Row],[Role]],'Google Form Transform'!$A:$A,'Google Form Transform'!E:E,"")</f>
        <v/>
      </c>
      <c r="E599" t="str">
        <f>_xlfn.XLOOKUP(Table1[[#This Row],[Player]]&amp;Table1[[#This Row],[Week]]&amp;Table1[[#This Row],[Role]],'Google Form Transform'!$A:$A,'Google Form Transform'!F:F,"")</f>
        <v/>
      </c>
      <c r="F599" t="str">
        <f>_xlfn.XLOOKUP(Table1[[#This Row],[Player]]&amp;Table1[[#This Row],[Week]]&amp;Table1[[#This Row],[Role]],'Google Form Transform'!$A:$A,'Google Form Transform'!G:G,"")</f>
        <v/>
      </c>
      <c r="G599" s="59">
        <f>SUMIFS(Table2[Stat],Table2[Stat Category],"passing",Table2[Stat Type],"YDS",Table2[Athlete],Table1[[#This Row],[Pick]],Table2[Week],Table1[[#This Row],[Week]])</f>
        <v>0</v>
      </c>
      <c r="H599" s="59">
        <f>SUMIFS(Table2[Stat],Table2[Stat Category],"rushing",Table2[Stat Type],"YDS",Table2[Athlete],Table1[[#This Row],[Pick]],Table2[Week],Table1[[#This Row],[Week]])</f>
        <v>0</v>
      </c>
      <c r="I599" s="59">
        <f>SUMIFS(Table2[Stat],Table2[Stat Category],"receiving",Table2[Stat Type],"YDS",Table2[Athlete],Table1[[#This Row],[Pick]],Table2[Week],Table1[[#This Row],[Week]])</f>
        <v>0</v>
      </c>
      <c r="J599" s="6">
        <f>IF(AND($C599="Rushing", $H599&lt;=0), 0, IF(AND($C599="Passing", $G$3&lt;=0), 0,IF(AND($C599="Receiving",$I599&lt;=0), 0,SUMIFS(Table2[Stat],Table2[Week],Table1[[#This Row],[Week]],Table2[Athlete],Table1[[#This Row],[Pick]],Table2[Stat Category],"passing",Table2[Stat Type],"TD"))))</f>
        <v>0</v>
      </c>
      <c r="K599" s="6">
        <f>IF(AND($C599="Rushing", $H599&lt;=0), 0, IF(AND($C599="Passing", $G$3&lt;=0), 0,IF(AND($C599="Receiving",$I599&lt;=0),0,SUMIFS(Table2[Stat],Table2[Week],Table1[[#This Row],[Week]],Table2[Athlete],Table1[[#This Row],[Pick]],Table2[Stat Category],"rushing",Table2[Stat Type],"TD"))))</f>
        <v>0</v>
      </c>
      <c r="L599" s="6">
        <f>IF(AND($C599="Rushing", $H599&lt;=0), 0, IF(AND($C599="Passing", $G$3&lt;=0), 0,IF(AND($C599="Receiving",$I599&lt;=0),0,SUMIFS(Table2[Stat],Table2[Week],Table1[[#This Row],[Week]],Table2[Athlete],Table1[[#This Row],[Pick]],Table2[Stat Category],"receiving",Table2[Stat Type],"TD"))))</f>
        <v>0</v>
      </c>
      <c r="M5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9" s="61">
        <f>SUMIFS(Data!$J:$J,Data!$A:$A,Info!$B599,Data!$G:$G,Info!$C599,Data!$I:$I,Info!$D599,Data!$H:$H,"TOT")</f>
        <v>0</v>
      </c>
      <c r="O599" s="61">
        <f>IF(C599="Defensive",SUMIFS(Data!$J:$J,Data!$A:$A,Info!$B599,Data!$I:$I,Info!$D599,Data!$H:$H,"INT"),0)</f>
        <v>0</v>
      </c>
      <c r="P599" s="61">
        <f>IF(Table1[[#This Row],[Role]]="Defensive",SUMIFS(Data!$J:$J,Data!$A:$A,Info!$B599,Data!$I:$I,Info!$D599,Data!$H:$H,$P$1),0)</f>
        <v>0</v>
      </c>
      <c r="Q599" s="65" t="str">
        <f>IF(Table1[[#This Row],[Pick]]="","",IF(S599&gt;1,400,IF(G599="","",IF(C599="Passing",(400-Table1[[#This Row],[Passing Yards]]-(30*Table1[[#This Row],[Passing TDs]])-(50*SUM(Table1[[#This Row],[Rushing TDs]:[Other TD''s]]))),IF(C599="Rushing",2*(200-Table1[[#This Row],[Rushing Yards]]-(30*Table1[[#This Row],[Passing TDs]])-50*(Table1[[#This Row],[Rushing TDs]]+Table1[[#This Row],[Receiving TDs]]+Table1[[#This Row],[Other TD''s]])),IF(C599="Receiving",2*(200-Table1[[#This Row],[Receiving Yards]]-(30*Table1[[#This Row],[Passing TDs]])-50*(Table1[[#This Row],[Rushing TDs]]+Table1[[#This Row],[Receiving TDs]]+Table1[[#This Row],[Other TD''s]])),IF(C599="Defensive",(25*(16-Table1[[#This Row],[Tackles]]-(8*(Table1[[#This Row],[Other TD''s]]+Table1[[#This Row],[Interceptions]]+Table1[[#This Row],[Fumbles Recovered]])))))))))))</f>
        <v/>
      </c>
      <c r="R599" s="3" t="str">
        <f t="shared" si="20"/>
        <v/>
      </c>
      <c r="S599" s="4">
        <f t="shared" si="19"/>
        <v>1048507</v>
      </c>
      <c r="T5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0" spans="1:20" hidden="1" x14ac:dyDescent="0.25">
      <c r="A600" t="s">
        <v>7</v>
      </c>
      <c r="B600" s="28" t="s">
        <v>52</v>
      </c>
      <c r="C600" t="s">
        <v>6</v>
      </c>
      <c r="D600" t="str">
        <f>_xlfn.XLOOKUP(Table1[[#This Row],[Player]]&amp;Table1[[#This Row],[Week]]&amp;Table1[[#This Row],[Role]],'Google Form Transform'!$A:$A,'Google Form Transform'!E:E,"")</f>
        <v/>
      </c>
      <c r="E600" t="str">
        <f>_xlfn.XLOOKUP(Table1[[#This Row],[Player]]&amp;Table1[[#This Row],[Week]]&amp;Table1[[#This Row],[Role]],'Google Form Transform'!$A:$A,'Google Form Transform'!F:F,"")</f>
        <v/>
      </c>
      <c r="F600" t="str">
        <f>_xlfn.XLOOKUP(Table1[[#This Row],[Player]]&amp;Table1[[#This Row],[Week]]&amp;Table1[[#This Row],[Role]],'Google Form Transform'!$A:$A,'Google Form Transform'!G:G,"")</f>
        <v/>
      </c>
      <c r="G600" s="59">
        <f>SUMIFS(Table2[Stat],Table2[Stat Category],"passing",Table2[Stat Type],"YDS",Table2[Athlete],Table1[[#This Row],[Pick]],Table2[Week],Table1[[#This Row],[Week]])</f>
        <v>0</v>
      </c>
      <c r="H600" s="59">
        <f>SUMIFS(Table2[Stat],Table2[Stat Category],"rushing",Table2[Stat Type],"YDS",Table2[Athlete],Table1[[#This Row],[Pick]],Table2[Week],Table1[[#This Row],[Week]])</f>
        <v>0</v>
      </c>
      <c r="I600" s="59">
        <f>SUMIFS(Table2[Stat],Table2[Stat Category],"receiving",Table2[Stat Type],"YDS",Table2[Athlete],Table1[[#This Row],[Pick]],Table2[Week],Table1[[#This Row],[Week]])</f>
        <v>0</v>
      </c>
      <c r="J600" s="6">
        <f>IF(AND($C600="Rushing", $H600&lt;=0), 0, IF(AND($C600="Passing", $G$3&lt;=0), 0,IF(AND($C600="Receiving",$I600&lt;=0), 0,SUMIFS(Table2[Stat],Table2[Week],Table1[[#This Row],[Week]],Table2[Athlete],Table1[[#This Row],[Pick]],Table2[Stat Category],"passing",Table2[Stat Type],"TD"))))</f>
        <v>0</v>
      </c>
      <c r="K600" s="6">
        <f>IF(AND($C600="Rushing", $H600&lt;=0), 0, IF(AND($C600="Passing", $G$3&lt;=0), 0,IF(AND($C600="Receiving",$I600&lt;=0),0,SUMIFS(Table2[Stat],Table2[Week],Table1[[#This Row],[Week]],Table2[Athlete],Table1[[#This Row],[Pick]],Table2[Stat Category],"rushing",Table2[Stat Type],"TD"))))</f>
        <v>0</v>
      </c>
      <c r="L600" s="6">
        <f>IF(AND($C600="Rushing", $H600&lt;=0), 0, IF(AND($C600="Passing", $G$3&lt;=0), 0,IF(AND($C600="Receiving",$I600&lt;=0),0,SUMIFS(Table2[Stat],Table2[Week],Table1[[#This Row],[Week]],Table2[Athlete],Table1[[#This Row],[Pick]],Table2[Stat Category],"receiving",Table2[Stat Type],"TD"))))</f>
        <v>0</v>
      </c>
      <c r="M6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0" s="61">
        <f>SUMIFS(Data!$J:$J,Data!$A:$A,Info!$B600,Data!$G:$G,Info!$C600,Data!$I:$I,Info!$D600,Data!$H:$H,"TOT")</f>
        <v>0</v>
      </c>
      <c r="O600" s="61">
        <f>IF(C600="Defensive",SUMIFS(Data!$J:$J,Data!$A:$A,Info!$B600,Data!$I:$I,Info!$D600,Data!$H:$H,"INT"),0)</f>
        <v>0</v>
      </c>
      <c r="P600" s="61">
        <f>IF(Table1[[#This Row],[Role]]="Defensive",SUMIFS(Data!$J:$J,Data!$A:$A,Info!$B600,Data!$I:$I,Info!$D600,Data!$H:$H,$P$1),0)</f>
        <v>0</v>
      </c>
      <c r="Q600" s="65" t="str">
        <f>IF(Table1[[#This Row],[Pick]]="","",IF(S600&gt;1,400,IF(G600="","",IF(C600="Passing",(400-Table1[[#This Row],[Passing Yards]]-(30*Table1[[#This Row],[Passing TDs]])-(50*SUM(Table1[[#This Row],[Rushing TDs]:[Other TD''s]]))),IF(C600="Rushing",2*(200-Table1[[#This Row],[Rushing Yards]]-(30*Table1[[#This Row],[Passing TDs]])-50*(Table1[[#This Row],[Rushing TDs]]+Table1[[#This Row],[Receiving TDs]]+Table1[[#This Row],[Other TD''s]])),IF(C600="Receiving",2*(200-Table1[[#This Row],[Receiving Yards]]-(30*Table1[[#This Row],[Passing TDs]])-50*(Table1[[#This Row],[Rushing TDs]]+Table1[[#This Row],[Receiving TDs]]+Table1[[#This Row],[Other TD''s]])),IF(C600="Defensive",(25*(16-Table1[[#This Row],[Tackles]]-(8*(Table1[[#This Row],[Other TD''s]]+Table1[[#This Row],[Interceptions]]+Table1[[#This Row],[Fumbles Recovered]])))))))))))</f>
        <v/>
      </c>
      <c r="R600" s="3" t="str">
        <f t="shared" si="20"/>
        <v/>
      </c>
      <c r="S600" s="4">
        <f t="shared" si="19"/>
        <v>1048507</v>
      </c>
      <c r="T6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1" spans="1:20" hidden="1" x14ac:dyDescent="0.25">
      <c r="A601" t="s">
        <v>7</v>
      </c>
      <c r="B601" s="28" t="s">
        <v>52</v>
      </c>
      <c r="C601" t="s">
        <v>17</v>
      </c>
      <c r="D601" t="str">
        <f>_xlfn.XLOOKUP(Table1[[#This Row],[Player]]&amp;Table1[[#This Row],[Week]]&amp;Table1[[#This Row],[Role]],'Google Form Transform'!$A:$A,'Google Form Transform'!E:E,"")</f>
        <v/>
      </c>
      <c r="E601" t="str">
        <f>_xlfn.XLOOKUP(Table1[[#This Row],[Player]]&amp;Table1[[#This Row],[Week]]&amp;Table1[[#This Row],[Role]],'Google Form Transform'!$A:$A,'Google Form Transform'!F:F,"")</f>
        <v/>
      </c>
      <c r="F601" t="str">
        <f>_xlfn.XLOOKUP(Table1[[#This Row],[Player]]&amp;Table1[[#This Row],[Week]]&amp;Table1[[#This Row],[Role]],'Google Form Transform'!$A:$A,'Google Form Transform'!G:G,"")</f>
        <v/>
      </c>
      <c r="G601" s="59">
        <f>SUMIFS(Table2[Stat],Table2[Stat Category],"passing",Table2[Stat Type],"YDS",Table2[Athlete],Table1[[#This Row],[Pick]],Table2[Week],Table1[[#This Row],[Week]])</f>
        <v>0</v>
      </c>
      <c r="H601" s="59">
        <f>SUMIFS(Table2[Stat],Table2[Stat Category],"rushing",Table2[Stat Type],"YDS",Table2[Athlete],Table1[[#This Row],[Pick]],Table2[Week],Table1[[#This Row],[Week]])</f>
        <v>0</v>
      </c>
      <c r="I601" s="59">
        <f>SUMIFS(Table2[Stat],Table2[Stat Category],"receiving",Table2[Stat Type],"YDS",Table2[Athlete],Table1[[#This Row],[Pick]],Table2[Week],Table1[[#This Row],[Week]])</f>
        <v>0</v>
      </c>
      <c r="J601" s="6">
        <f>IF(AND($C601="Rushing", $H601&lt;=0), 0, IF(AND($C601="Passing", $G$3&lt;=0), 0,IF(AND($C601="Receiving",$I601&lt;=0), 0,SUMIFS(Table2[Stat],Table2[Week],Table1[[#This Row],[Week]],Table2[Athlete],Table1[[#This Row],[Pick]],Table2[Stat Category],"passing",Table2[Stat Type],"TD"))))</f>
        <v>0</v>
      </c>
      <c r="K601" s="6">
        <f>IF(AND($C601="Rushing", $H601&lt;=0), 0, IF(AND($C601="Passing", $G$3&lt;=0), 0,IF(AND($C601="Receiving",$I601&lt;=0),0,SUMIFS(Table2[Stat],Table2[Week],Table1[[#This Row],[Week]],Table2[Athlete],Table1[[#This Row],[Pick]],Table2[Stat Category],"rushing",Table2[Stat Type],"TD"))))</f>
        <v>0</v>
      </c>
      <c r="L601" s="6">
        <f>IF(AND($C601="Rushing", $H601&lt;=0), 0, IF(AND($C601="Passing", $G$3&lt;=0), 0,IF(AND($C601="Receiving",$I601&lt;=0),0,SUMIFS(Table2[Stat],Table2[Week],Table1[[#This Row],[Week]],Table2[Athlete],Table1[[#This Row],[Pick]],Table2[Stat Category],"receiving",Table2[Stat Type],"TD"))))</f>
        <v>0</v>
      </c>
      <c r="M6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1" s="61">
        <f>SUMIFS(Data!$J:$J,Data!$A:$A,Info!$B601,Data!$G:$G,Info!$C601,Data!$I:$I,Info!$D601,Data!$H:$H,"TOT")</f>
        <v>0</v>
      </c>
      <c r="O601" s="61">
        <f>IF(C601="Defensive",SUMIFS(Data!$J:$J,Data!$A:$A,Info!$B601,Data!$I:$I,Info!$D601,Data!$H:$H,"INT"),0)</f>
        <v>0</v>
      </c>
      <c r="P601" s="61">
        <f>IF(Table1[[#This Row],[Role]]="Defensive",SUMIFS(Data!$J:$J,Data!$A:$A,Info!$B601,Data!$I:$I,Info!$D601,Data!$H:$H,$P$1),0)</f>
        <v>0</v>
      </c>
      <c r="Q601" s="65" t="str">
        <f>IF(Table1[[#This Row],[Pick]]="","",IF(S601&gt;1,400,IF(G601="","",IF(C601="Passing",(400-Table1[[#This Row],[Passing Yards]]-(30*Table1[[#This Row],[Passing TDs]])-(50*SUM(Table1[[#This Row],[Rushing TDs]:[Other TD''s]]))),IF(C601="Rushing",2*(200-Table1[[#This Row],[Rushing Yards]]-(30*Table1[[#This Row],[Passing TDs]])-50*(Table1[[#This Row],[Rushing TDs]]+Table1[[#This Row],[Receiving TDs]]+Table1[[#This Row],[Other TD''s]])),IF(C601="Receiving",2*(200-Table1[[#This Row],[Receiving Yards]]-(30*Table1[[#This Row],[Passing TDs]])-50*(Table1[[#This Row],[Rushing TDs]]+Table1[[#This Row],[Receiving TDs]]+Table1[[#This Row],[Other TD''s]])),IF(C601="Defensive",(25*(16-Table1[[#This Row],[Tackles]]-(8*(Table1[[#This Row],[Other TD''s]]+Table1[[#This Row],[Interceptions]]+Table1[[#This Row],[Fumbles Recovered]])))))))))))</f>
        <v/>
      </c>
      <c r="R601" s="3" t="str">
        <f t="shared" si="20"/>
        <v/>
      </c>
      <c r="S601" s="4">
        <f t="shared" si="19"/>
        <v>1048507</v>
      </c>
      <c r="T6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2" spans="1:20" hidden="1" x14ac:dyDescent="0.25">
      <c r="A602" t="s">
        <v>7</v>
      </c>
      <c r="B602" s="28" t="s">
        <v>52</v>
      </c>
      <c r="C602" t="s">
        <v>20</v>
      </c>
      <c r="D602" t="str">
        <f>_xlfn.XLOOKUP(Table1[[#This Row],[Player]]&amp;Table1[[#This Row],[Week]]&amp;Table1[[#This Row],[Role]],'Google Form Transform'!$A:$A,'Google Form Transform'!E:E,"")</f>
        <v/>
      </c>
      <c r="E602" t="str">
        <f>_xlfn.XLOOKUP(Table1[[#This Row],[Player]]&amp;Table1[[#This Row],[Week]]&amp;Table1[[#This Row],[Role]],'Google Form Transform'!$A:$A,'Google Form Transform'!F:F,"")</f>
        <v/>
      </c>
      <c r="F602" t="str">
        <f>_xlfn.XLOOKUP(Table1[[#This Row],[Player]]&amp;Table1[[#This Row],[Week]]&amp;Table1[[#This Row],[Role]],'Google Form Transform'!$A:$A,'Google Form Transform'!G:G,"")</f>
        <v/>
      </c>
      <c r="G602" s="59">
        <f>SUMIFS(Table2[Stat],Table2[Stat Category],"passing",Table2[Stat Type],"YDS",Table2[Athlete],Table1[[#This Row],[Pick]],Table2[Week],Table1[[#This Row],[Week]])</f>
        <v>0</v>
      </c>
      <c r="H602" s="59">
        <f>SUMIFS(Table2[Stat],Table2[Stat Category],"rushing",Table2[Stat Type],"YDS",Table2[Athlete],Table1[[#This Row],[Pick]],Table2[Week],Table1[[#This Row],[Week]])</f>
        <v>0</v>
      </c>
      <c r="I602" s="59">
        <f>SUMIFS(Table2[Stat],Table2[Stat Category],"receiving",Table2[Stat Type],"YDS",Table2[Athlete],Table1[[#This Row],[Pick]],Table2[Week],Table1[[#This Row],[Week]])</f>
        <v>0</v>
      </c>
      <c r="J602" s="6">
        <f>IF(AND($C602="Rushing", $H602&lt;=0), 0, IF(AND($C602="Passing", $G$3&lt;=0), 0,IF(AND($C602="Receiving",$I602&lt;=0), 0,SUMIFS(Table2[Stat],Table2[Week],Table1[[#This Row],[Week]],Table2[Athlete],Table1[[#This Row],[Pick]],Table2[Stat Category],"passing",Table2[Stat Type],"TD"))))</f>
        <v>0</v>
      </c>
      <c r="K602" s="6">
        <f>IF(AND($C602="Rushing", $H602&lt;=0), 0, IF(AND($C602="Passing", $G$3&lt;=0), 0,IF(AND($C602="Receiving",$I602&lt;=0),0,SUMIFS(Table2[Stat],Table2[Week],Table1[[#This Row],[Week]],Table2[Athlete],Table1[[#This Row],[Pick]],Table2[Stat Category],"rushing",Table2[Stat Type],"TD"))))</f>
        <v>0</v>
      </c>
      <c r="L602" s="6">
        <f>IF(AND($C602="Rushing", $H602&lt;=0), 0, IF(AND($C602="Passing", $G$3&lt;=0), 0,IF(AND($C602="Receiving",$I602&lt;=0),0,SUMIFS(Table2[Stat],Table2[Week],Table1[[#This Row],[Week]],Table2[Athlete],Table1[[#This Row],[Pick]],Table2[Stat Category],"receiving",Table2[Stat Type],"TD"))))</f>
        <v>0</v>
      </c>
      <c r="M6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2" s="61">
        <f>SUMIFS(Data!$J:$J,Data!$A:$A,Info!$B602,Data!$G:$G,Info!$C602,Data!$I:$I,Info!$D602,Data!$H:$H,"TOT")</f>
        <v>0</v>
      </c>
      <c r="O602" s="61">
        <f>IF(C602="Defensive",SUMIFS(Data!$J:$J,Data!$A:$A,Info!$B602,Data!$I:$I,Info!$D602,Data!$H:$H,"INT"),0)</f>
        <v>0</v>
      </c>
      <c r="P602" s="61">
        <f>IF(Table1[[#This Row],[Role]]="Defensive",SUMIFS(Data!$J:$J,Data!$A:$A,Info!$B602,Data!$I:$I,Info!$D602,Data!$H:$H,$P$1),0)</f>
        <v>0</v>
      </c>
      <c r="Q602" s="65" t="str">
        <f>IF(Table1[[#This Row],[Pick]]="","",IF(S602&gt;1,400,IF(G602="","",IF(C602="Passing",(400-Table1[[#This Row],[Passing Yards]]-(30*Table1[[#This Row],[Passing TDs]])-(50*SUM(Table1[[#This Row],[Rushing TDs]:[Other TD''s]]))),IF(C602="Rushing",2*(200-Table1[[#This Row],[Rushing Yards]]-(30*Table1[[#This Row],[Passing TDs]])-50*(Table1[[#This Row],[Rushing TDs]]+Table1[[#This Row],[Receiving TDs]]+Table1[[#This Row],[Other TD''s]])),IF(C602="Receiving",2*(200-Table1[[#This Row],[Receiving Yards]]-(30*Table1[[#This Row],[Passing TDs]])-50*(Table1[[#This Row],[Rushing TDs]]+Table1[[#This Row],[Receiving TDs]]+Table1[[#This Row],[Other TD''s]])),IF(C602="Defensive",(25*(16-Table1[[#This Row],[Tackles]]-(8*(Table1[[#This Row],[Other TD''s]]+Table1[[#This Row],[Interceptions]]+Table1[[#This Row],[Fumbles Recovered]])))))))))))</f>
        <v/>
      </c>
      <c r="R602" s="3" t="str">
        <f t="shared" si="20"/>
        <v/>
      </c>
      <c r="S602" s="4">
        <f t="shared" si="19"/>
        <v>1048507</v>
      </c>
      <c r="T6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3" spans="1:20" hidden="1" x14ac:dyDescent="0.25">
      <c r="A603" t="s">
        <v>2</v>
      </c>
      <c r="B603" s="28" t="s">
        <v>53</v>
      </c>
      <c r="C603" t="s">
        <v>16</v>
      </c>
      <c r="D603" t="str">
        <f>_xlfn.XLOOKUP(Table1[[#This Row],[Player]]&amp;Table1[[#This Row],[Week]]&amp;Table1[[#This Row],[Role]],'Google Form Transform'!$A:$A,'Google Form Transform'!E:E,"")</f>
        <v/>
      </c>
      <c r="E603" t="str">
        <f>_xlfn.XLOOKUP(Table1[[#This Row],[Player]]&amp;Table1[[#This Row],[Week]]&amp;Table1[[#This Row],[Role]],'Google Form Transform'!$A:$A,'Google Form Transform'!F:F,"")</f>
        <v/>
      </c>
      <c r="F603" t="str">
        <f>_xlfn.XLOOKUP(Table1[[#This Row],[Player]]&amp;Table1[[#This Row],[Week]]&amp;Table1[[#This Row],[Role]],'Google Form Transform'!$A:$A,'Google Form Transform'!G:G,"")</f>
        <v/>
      </c>
      <c r="G603" s="59">
        <f>SUMIFS(Table2[Stat],Table2[Stat Category],"passing",Table2[Stat Type],"YDS",Table2[Athlete],Table1[[#This Row],[Pick]],Table2[Week],Table1[[#This Row],[Week]])</f>
        <v>0</v>
      </c>
      <c r="H603" s="59">
        <f>SUMIFS(Table2[Stat],Table2[Stat Category],"rushing",Table2[Stat Type],"YDS",Table2[Athlete],Table1[[#This Row],[Pick]],Table2[Week],Table1[[#This Row],[Week]])</f>
        <v>0</v>
      </c>
      <c r="I603" s="59">
        <f>SUMIFS(Table2[Stat],Table2[Stat Category],"receiving",Table2[Stat Type],"YDS",Table2[Athlete],Table1[[#This Row],[Pick]],Table2[Week],Table1[[#This Row],[Week]])</f>
        <v>0</v>
      </c>
      <c r="J603" s="6">
        <f>IF(AND($C603="Rushing", $H603&lt;=0), 0, IF(AND($C603="Passing", $G$3&lt;=0), 0,IF(AND($C603="Receiving",$I603&lt;=0), 0,SUMIFS(Table2[Stat],Table2[Week],Table1[[#This Row],[Week]],Table2[Athlete],Table1[[#This Row],[Pick]],Table2[Stat Category],"passing",Table2[Stat Type],"TD"))))</f>
        <v>0</v>
      </c>
      <c r="K603" s="6">
        <f>IF(AND($C603="Rushing", $H603&lt;=0), 0, IF(AND($C603="Passing", $G$3&lt;=0), 0,IF(AND($C603="Receiving",$I603&lt;=0),0,SUMIFS(Table2[Stat],Table2[Week],Table1[[#This Row],[Week]],Table2[Athlete],Table1[[#This Row],[Pick]],Table2[Stat Category],"rushing",Table2[Stat Type],"TD"))))</f>
        <v>0</v>
      </c>
      <c r="L603" s="6">
        <f>IF(AND($C603="Rushing", $H603&lt;=0), 0, IF(AND($C603="Passing", $G$3&lt;=0), 0,IF(AND($C603="Receiving",$I603&lt;=0),0,SUMIFS(Table2[Stat],Table2[Week],Table1[[#This Row],[Week]],Table2[Athlete],Table1[[#This Row],[Pick]],Table2[Stat Category],"receiving",Table2[Stat Type],"TD"))))</f>
        <v>0</v>
      </c>
      <c r="M6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3" s="61">
        <f>SUMIFS(Data!$J:$J,Data!$A:$A,Info!$B603,Data!$G:$G,Info!$C603,Data!$I:$I,Info!$D603,Data!$H:$H,"TOT")</f>
        <v>0</v>
      </c>
      <c r="O603" s="61">
        <f>IF(C603="Defensive",SUMIFS(Data!$J:$J,Data!$A:$A,Info!$B603,Data!$I:$I,Info!$D603,Data!$H:$H,"INT"),0)</f>
        <v>0</v>
      </c>
      <c r="P603" s="61">
        <f>IF(Table1[[#This Row],[Role]]="Defensive",SUMIFS(Data!$J:$J,Data!$A:$A,Info!$B603,Data!$I:$I,Info!$D603,Data!$H:$H,$P$1),0)</f>
        <v>0</v>
      </c>
      <c r="Q603" s="65" t="str">
        <f>IF(Table1[[#This Row],[Pick]]="","",IF(S603&gt;1,400,IF(G603="","",IF(C603="Passing",(400-Table1[[#This Row],[Passing Yards]]-(30*Table1[[#This Row],[Passing TDs]])-(50*SUM(Table1[[#This Row],[Rushing TDs]:[Other TD''s]]))),IF(C603="Rushing",2*(200-Table1[[#This Row],[Rushing Yards]]-(30*Table1[[#This Row],[Passing TDs]])-50*(Table1[[#This Row],[Rushing TDs]]+Table1[[#This Row],[Receiving TDs]]+Table1[[#This Row],[Other TD''s]])),IF(C603="Receiving",2*(200-Table1[[#This Row],[Receiving Yards]]-(30*Table1[[#This Row],[Passing TDs]])-50*(Table1[[#This Row],[Rushing TDs]]+Table1[[#This Row],[Receiving TDs]]+Table1[[#This Row],[Other TD''s]])),IF(C603="Defensive",(25*(16-Table1[[#This Row],[Tackles]]-(8*(Table1[[#This Row],[Other TD''s]]+Table1[[#This Row],[Interceptions]]+Table1[[#This Row],[Fumbles Recovered]])))))))))))</f>
        <v/>
      </c>
      <c r="R603" s="3" t="str">
        <f t="shared" si="20"/>
        <v/>
      </c>
      <c r="S603" s="4">
        <f t="shared" si="19"/>
        <v>1048507</v>
      </c>
      <c r="T6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4" spans="1:20" hidden="1" x14ac:dyDescent="0.25">
      <c r="A604" t="s">
        <v>2</v>
      </c>
      <c r="B604" s="28" t="s">
        <v>53</v>
      </c>
      <c r="C604" t="s">
        <v>6</v>
      </c>
      <c r="D604" t="str">
        <f>_xlfn.XLOOKUP(Table1[[#This Row],[Player]]&amp;Table1[[#This Row],[Week]]&amp;Table1[[#This Row],[Role]],'Google Form Transform'!$A:$A,'Google Form Transform'!E:E,"")</f>
        <v/>
      </c>
      <c r="E604" t="str">
        <f>_xlfn.XLOOKUP(Table1[[#This Row],[Player]]&amp;Table1[[#This Row],[Week]]&amp;Table1[[#This Row],[Role]],'Google Form Transform'!$A:$A,'Google Form Transform'!F:F,"")</f>
        <v/>
      </c>
      <c r="F604" t="str">
        <f>_xlfn.XLOOKUP(Table1[[#This Row],[Player]]&amp;Table1[[#This Row],[Week]]&amp;Table1[[#This Row],[Role]],'Google Form Transform'!$A:$A,'Google Form Transform'!G:G,"")</f>
        <v/>
      </c>
      <c r="G604" s="59">
        <f>SUMIFS(Table2[Stat],Table2[Stat Category],"passing",Table2[Stat Type],"YDS",Table2[Athlete],Table1[[#This Row],[Pick]],Table2[Week],Table1[[#This Row],[Week]])</f>
        <v>0</v>
      </c>
      <c r="H604" s="59">
        <f>SUMIFS(Table2[Stat],Table2[Stat Category],"rushing",Table2[Stat Type],"YDS",Table2[Athlete],Table1[[#This Row],[Pick]],Table2[Week],Table1[[#This Row],[Week]])</f>
        <v>0</v>
      </c>
      <c r="I604" s="59">
        <f>SUMIFS(Table2[Stat],Table2[Stat Category],"receiving",Table2[Stat Type],"YDS",Table2[Athlete],Table1[[#This Row],[Pick]],Table2[Week],Table1[[#This Row],[Week]])</f>
        <v>0</v>
      </c>
      <c r="J604" s="6">
        <f>IF(AND($C604="Rushing", $H604&lt;=0), 0, IF(AND($C604="Passing", $G$3&lt;=0), 0,IF(AND($C604="Receiving",$I604&lt;=0), 0,SUMIFS(Table2[Stat],Table2[Week],Table1[[#This Row],[Week]],Table2[Athlete],Table1[[#This Row],[Pick]],Table2[Stat Category],"passing",Table2[Stat Type],"TD"))))</f>
        <v>0</v>
      </c>
      <c r="K604" s="6">
        <f>IF(AND($C604="Rushing", $H604&lt;=0), 0, IF(AND($C604="Passing", $G$3&lt;=0), 0,IF(AND($C604="Receiving",$I604&lt;=0),0,SUMIFS(Table2[Stat],Table2[Week],Table1[[#This Row],[Week]],Table2[Athlete],Table1[[#This Row],[Pick]],Table2[Stat Category],"rushing",Table2[Stat Type],"TD"))))</f>
        <v>0</v>
      </c>
      <c r="L604" s="6">
        <f>IF(AND($C604="Rushing", $H604&lt;=0), 0, IF(AND($C604="Passing", $G$3&lt;=0), 0,IF(AND($C604="Receiving",$I604&lt;=0),0,SUMIFS(Table2[Stat],Table2[Week],Table1[[#This Row],[Week]],Table2[Athlete],Table1[[#This Row],[Pick]],Table2[Stat Category],"receiving",Table2[Stat Type],"TD"))))</f>
        <v>0</v>
      </c>
      <c r="M6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4" s="61">
        <f>SUMIFS(Data!$J:$J,Data!$A:$A,Info!$B604,Data!$G:$G,Info!$C604,Data!$I:$I,Info!$D604,Data!$H:$H,"TOT")</f>
        <v>0</v>
      </c>
      <c r="O604" s="61">
        <f>IF(C604="Defensive",SUMIFS(Data!$J:$J,Data!$A:$A,Info!$B604,Data!$I:$I,Info!$D604,Data!$H:$H,"INT"),0)</f>
        <v>0</v>
      </c>
      <c r="P604" s="61">
        <f>IF(Table1[[#This Row],[Role]]="Defensive",SUMIFS(Data!$J:$J,Data!$A:$A,Info!$B604,Data!$I:$I,Info!$D604,Data!$H:$H,$P$1),0)</f>
        <v>0</v>
      </c>
      <c r="Q604" s="65" t="str">
        <f>IF(Table1[[#This Row],[Pick]]="","",IF(S604&gt;1,400,IF(G604="","",IF(C604="Passing",(400-Table1[[#This Row],[Passing Yards]]-(30*Table1[[#This Row],[Passing TDs]])-(50*SUM(Table1[[#This Row],[Rushing TDs]:[Other TD''s]]))),IF(C604="Rushing",2*(200-Table1[[#This Row],[Rushing Yards]]-(30*Table1[[#This Row],[Passing TDs]])-50*(Table1[[#This Row],[Rushing TDs]]+Table1[[#This Row],[Receiving TDs]]+Table1[[#This Row],[Other TD''s]])),IF(C604="Receiving",2*(200-Table1[[#This Row],[Receiving Yards]]-(30*Table1[[#This Row],[Passing TDs]])-50*(Table1[[#This Row],[Rushing TDs]]+Table1[[#This Row],[Receiving TDs]]+Table1[[#This Row],[Other TD''s]])),IF(C604="Defensive",(25*(16-Table1[[#This Row],[Tackles]]-(8*(Table1[[#This Row],[Other TD''s]]+Table1[[#This Row],[Interceptions]]+Table1[[#This Row],[Fumbles Recovered]])))))))))))</f>
        <v/>
      </c>
      <c r="R604" s="3" t="str">
        <f t="shared" si="20"/>
        <v/>
      </c>
      <c r="S604" s="4">
        <f t="shared" si="19"/>
        <v>1048507</v>
      </c>
      <c r="T6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5" spans="1:20" hidden="1" x14ac:dyDescent="0.25">
      <c r="A605" t="s">
        <v>2</v>
      </c>
      <c r="B605" s="28" t="s">
        <v>53</v>
      </c>
      <c r="C605" t="s">
        <v>17</v>
      </c>
      <c r="D605" t="str">
        <f>_xlfn.XLOOKUP(Table1[[#This Row],[Player]]&amp;Table1[[#This Row],[Week]]&amp;Table1[[#This Row],[Role]],'Google Form Transform'!$A:$A,'Google Form Transform'!E:E,"")</f>
        <v/>
      </c>
      <c r="E605" t="str">
        <f>_xlfn.XLOOKUP(Table1[[#This Row],[Player]]&amp;Table1[[#This Row],[Week]]&amp;Table1[[#This Row],[Role]],'Google Form Transform'!$A:$A,'Google Form Transform'!F:F,"")</f>
        <v/>
      </c>
      <c r="F605" t="str">
        <f>_xlfn.XLOOKUP(Table1[[#This Row],[Player]]&amp;Table1[[#This Row],[Week]]&amp;Table1[[#This Row],[Role]],'Google Form Transform'!$A:$A,'Google Form Transform'!G:G,"")</f>
        <v/>
      </c>
      <c r="G605" s="59">
        <f>SUMIFS(Table2[Stat],Table2[Stat Category],"passing",Table2[Stat Type],"YDS",Table2[Athlete],Table1[[#This Row],[Pick]],Table2[Week],Table1[[#This Row],[Week]])</f>
        <v>0</v>
      </c>
      <c r="H605" s="59">
        <f>SUMIFS(Table2[Stat],Table2[Stat Category],"rushing",Table2[Stat Type],"YDS",Table2[Athlete],Table1[[#This Row],[Pick]],Table2[Week],Table1[[#This Row],[Week]])</f>
        <v>0</v>
      </c>
      <c r="I605" s="59">
        <f>SUMIFS(Table2[Stat],Table2[Stat Category],"receiving",Table2[Stat Type],"YDS",Table2[Athlete],Table1[[#This Row],[Pick]],Table2[Week],Table1[[#This Row],[Week]])</f>
        <v>0</v>
      </c>
      <c r="J605" s="6">
        <f>IF(AND($C605="Rushing", $H605&lt;=0), 0, IF(AND($C605="Passing", $G$3&lt;=0), 0,IF(AND($C605="Receiving",$I605&lt;=0), 0,SUMIFS(Table2[Stat],Table2[Week],Table1[[#This Row],[Week]],Table2[Athlete],Table1[[#This Row],[Pick]],Table2[Stat Category],"passing",Table2[Stat Type],"TD"))))</f>
        <v>0</v>
      </c>
      <c r="K605" s="6">
        <f>IF(AND($C605="Rushing", $H605&lt;=0), 0, IF(AND($C605="Passing", $G$3&lt;=0), 0,IF(AND($C605="Receiving",$I605&lt;=0),0,SUMIFS(Table2[Stat],Table2[Week],Table1[[#This Row],[Week]],Table2[Athlete],Table1[[#This Row],[Pick]],Table2[Stat Category],"rushing",Table2[Stat Type],"TD"))))</f>
        <v>0</v>
      </c>
      <c r="L605" s="6">
        <f>IF(AND($C605="Rushing", $H605&lt;=0), 0, IF(AND($C605="Passing", $G$3&lt;=0), 0,IF(AND($C605="Receiving",$I605&lt;=0),0,SUMIFS(Table2[Stat],Table2[Week],Table1[[#This Row],[Week]],Table2[Athlete],Table1[[#This Row],[Pick]],Table2[Stat Category],"receiving",Table2[Stat Type],"TD"))))</f>
        <v>0</v>
      </c>
      <c r="M6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5" s="61">
        <f>SUMIFS(Data!$J:$J,Data!$A:$A,Info!$B605,Data!$G:$G,Info!$C605,Data!$I:$I,Info!$D605,Data!$H:$H,"TOT")</f>
        <v>0</v>
      </c>
      <c r="O605" s="61">
        <f>IF(C605="Defensive",SUMIFS(Data!$J:$J,Data!$A:$A,Info!$B605,Data!$I:$I,Info!$D605,Data!$H:$H,"INT"),0)</f>
        <v>0</v>
      </c>
      <c r="P605" s="61">
        <f>IF(Table1[[#This Row],[Role]]="Defensive",SUMIFS(Data!$J:$J,Data!$A:$A,Info!$B605,Data!$I:$I,Info!$D605,Data!$H:$H,$P$1),0)</f>
        <v>0</v>
      </c>
      <c r="Q605" s="65" t="str">
        <f>IF(Table1[[#This Row],[Pick]]="","",IF(S605&gt;1,400,IF(G605="","",IF(C605="Passing",(400-Table1[[#This Row],[Passing Yards]]-(30*Table1[[#This Row],[Passing TDs]])-(50*SUM(Table1[[#This Row],[Rushing TDs]:[Other TD''s]]))),IF(C605="Rushing",2*(200-Table1[[#This Row],[Rushing Yards]]-(30*Table1[[#This Row],[Passing TDs]])-50*(Table1[[#This Row],[Rushing TDs]]+Table1[[#This Row],[Receiving TDs]]+Table1[[#This Row],[Other TD''s]])),IF(C605="Receiving",2*(200-Table1[[#This Row],[Receiving Yards]]-(30*Table1[[#This Row],[Passing TDs]])-50*(Table1[[#This Row],[Rushing TDs]]+Table1[[#This Row],[Receiving TDs]]+Table1[[#This Row],[Other TD''s]])),IF(C605="Defensive",(25*(16-Table1[[#This Row],[Tackles]]-(8*(Table1[[#This Row],[Other TD''s]]+Table1[[#This Row],[Interceptions]]+Table1[[#This Row],[Fumbles Recovered]])))))))))))</f>
        <v/>
      </c>
      <c r="R605" s="3" t="str">
        <f t="shared" si="20"/>
        <v/>
      </c>
      <c r="S605" s="4">
        <f t="shared" si="19"/>
        <v>1048507</v>
      </c>
      <c r="T6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6" spans="1:20" hidden="1" x14ac:dyDescent="0.25">
      <c r="A606" t="s">
        <v>2</v>
      </c>
      <c r="B606" s="28" t="s">
        <v>53</v>
      </c>
      <c r="C606" t="s">
        <v>20</v>
      </c>
      <c r="D606" t="str">
        <f>_xlfn.XLOOKUP(Table1[[#This Row],[Player]]&amp;Table1[[#This Row],[Week]]&amp;Table1[[#This Row],[Role]],'Google Form Transform'!$A:$A,'Google Form Transform'!E:E,"")</f>
        <v/>
      </c>
      <c r="E606" t="str">
        <f>_xlfn.XLOOKUP(Table1[[#This Row],[Player]]&amp;Table1[[#This Row],[Week]]&amp;Table1[[#This Row],[Role]],'Google Form Transform'!$A:$A,'Google Form Transform'!F:F,"")</f>
        <v/>
      </c>
      <c r="F606" t="str">
        <f>_xlfn.XLOOKUP(Table1[[#This Row],[Player]]&amp;Table1[[#This Row],[Week]]&amp;Table1[[#This Row],[Role]],'Google Form Transform'!$A:$A,'Google Form Transform'!G:G,"")</f>
        <v/>
      </c>
      <c r="G606" s="59">
        <f>SUMIFS(Table2[Stat],Table2[Stat Category],"passing",Table2[Stat Type],"YDS",Table2[Athlete],Table1[[#This Row],[Pick]],Table2[Week],Table1[[#This Row],[Week]])</f>
        <v>0</v>
      </c>
      <c r="H606" s="59">
        <f>SUMIFS(Table2[Stat],Table2[Stat Category],"rushing",Table2[Stat Type],"YDS",Table2[Athlete],Table1[[#This Row],[Pick]],Table2[Week],Table1[[#This Row],[Week]])</f>
        <v>0</v>
      </c>
      <c r="I606" s="59">
        <f>SUMIFS(Table2[Stat],Table2[Stat Category],"receiving",Table2[Stat Type],"YDS",Table2[Athlete],Table1[[#This Row],[Pick]],Table2[Week],Table1[[#This Row],[Week]])</f>
        <v>0</v>
      </c>
      <c r="J606" s="6">
        <f>IF(AND($C606="Rushing", $H606&lt;=0), 0, IF(AND($C606="Passing", $G$3&lt;=0), 0,IF(AND($C606="Receiving",$I606&lt;=0), 0,SUMIFS(Table2[Stat],Table2[Week],Table1[[#This Row],[Week]],Table2[Athlete],Table1[[#This Row],[Pick]],Table2[Stat Category],"passing",Table2[Stat Type],"TD"))))</f>
        <v>0</v>
      </c>
      <c r="K606" s="6">
        <f>IF(AND($C606="Rushing", $H606&lt;=0), 0, IF(AND($C606="Passing", $G$3&lt;=0), 0,IF(AND($C606="Receiving",$I606&lt;=0),0,SUMIFS(Table2[Stat],Table2[Week],Table1[[#This Row],[Week]],Table2[Athlete],Table1[[#This Row],[Pick]],Table2[Stat Category],"rushing",Table2[Stat Type],"TD"))))</f>
        <v>0</v>
      </c>
      <c r="L606" s="6">
        <f>IF(AND($C606="Rushing", $H606&lt;=0), 0, IF(AND($C606="Passing", $G$3&lt;=0), 0,IF(AND($C606="Receiving",$I606&lt;=0),0,SUMIFS(Table2[Stat],Table2[Week],Table1[[#This Row],[Week]],Table2[Athlete],Table1[[#This Row],[Pick]],Table2[Stat Category],"receiving",Table2[Stat Type],"TD"))))</f>
        <v>0</v>
      </c>
      <c r="M6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6" s="61">
        <f>SUMIFS(Data!$J:$J,Data!$A:$A,Info!$B606,Data!$G:$G,Info!$C606,Data!$I:$I,Info!$D606,Data!$H:$H,"TOT")</f>
        <v>0</v>
      </c>
      <c r="O606" s="61">
        <f>IF(C606="Defensive",SUMIFS(Data!$J:$J,Data!$A:$A,Info!$B606,Data!$I:$I,Info!$D606,Data!$H:$H,"INT"),0)</f>
        <v>0</v>
      </c>
      <c r="P606" s="61">
        <f>IF(Table1[[#This Row],[Role]]="Defensive",SUMIFS(Data!$J:$J,Data!$A:$A,Info!$B606,Data!$I:$I,Info!$D606,Data!$H:$H,$P$1),0)</f>
        <v>0</v>
      </c>
      <c r="Q606" s="65" t="str">
        <f>IF(Table1[[#This Row],[Pick]]="","",IF(S606&gt;1,400,IF(G606="","",IF(C606="Passing",(400-Table1[[#This Row],[Passing Yards]]-(30*Table1[[#This Row],[Passing TDs]])-(50*SUM(Table1[[#This Row],[Rushing TDs]:[Other TD''s]]))),IF(C606="Rushing",2*(200-Table1[[#This Row],[Rushing Yards]]-(30*Table1[[#This Row],[Passing TDs]])-50*(Table1[[#This Row],[Rushing TDs]]+Table1[[#This Row],[Receiving TDs]]+Table1[[#This Row],[Other TD''s]])),IF(C606="Receiving",2*(200-Table1[[#This Row],[Receiving Yards]]-(30*Table1[[#This Row],[Passing TDs]])-50*(Table1[[#This Row],[Rushing TDs]]+Table1[[#This Row],[Receiving TDs]]+Table1[[#This Row],[Other TD''s]])),IF(C606="Defensive",(25*(16-Table1[[#This Row],[Tackles]]-(8*(Table1[[#This Row],[Other TD''s]]+Table1[[#This Row],[Interceptions]]+Table1[[#This Row],[Fumbles Recovered]])))))))))))</f>
        <v/>
      </c>
      <c r="R606" s="3" t="str">
        <f t="shared" si="20"/>
        <v/>
      </c>
      <c r="S606" s="4">
        <f t="shared" si="19"/>
        <v>1048507</v>
      </c>
      <c r="T6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7" spans="1:20" hidden="1" x14ac:dyDescent="0.25">
      <c r="A607" t="s">
        <v>4</v>
      </c>
      <c r="B607" s="28" t="s">
        <v>53</v>
      </c>
      <c r="C607" t="s">
        <v>16</v>
      </c>
      <c r="D607" t="str">
        <f>_xlfn.XLOOKUP(Table1[[#This Row],[Player]]&amp;Table1[[#This Row],[Week]]&amp;Table1[[#This Row],[Role]],'Google Form Transform'!$A:$A,'Google Form Transform'!E:E,"")</f>
        <v/>
      </c>
      <c r="E607" t="str">
        <f>_xlfn.XLOOKUP(Table1[[#This Row],[Player]]&amp;Table1[[#This Row],[Week]]&amp;Table1[[#This Row],[Role]],'Google Form Transform'!$A:$A,'Google Form Transform'!F:F,"")</f>
        <v/>
      </c>
      <c r="F607" t="str">
        <f>_xlfn.XLOOKUP(Table1[[#This Row],[Player]]&amp;Table1[[#This Row],[Week]]&amp;Table1[[#This Row],[Role]],'Google Form Transform'!$A:$A,'Google Form Transform'!G:G,"")</f>
        <v/>
      </c>
      <c r="G607" s="59">
        <f>SUMIFS(Table2[Stat],Table2[Stat Category],"passing",Table2[Stat Type],"YDS",Table2[Athlete],Table1[[#This Row],[Pick]],Table2[Week],Table1[[#This Row],[Week]])</f>
        <v>0</v>
      </c>
      <c r="H607" s="59">
        <f>SUMIFS(Table2[Stat],Table2[Stat Category],"rushing",Table2[Stat Type],"YDS",Table2[Athlete],Table1[[#This Row],[Pick]],Table2[Week],Table1[[#This Row],[Week]])</f>
        <v>0</v>
      </c>
      <c r="I607" s="59">
        <f>SUMIFS(Table2[Stat],Table2[Stat Category],"receiving",Table2[Stat Type],"YDS",Table2[Athlete],Table1[[#This Row],[Pick]],Table2[Week],Table1[[#This Row],[Week]])</f>
        <v>0</v>
      </c>
      <c r="J607" s="6">
        <f>IF(AND($C607="Rushing", $H607&lt;=0), 0, IF(AND($C607="Passing", $G$3&lt;=0), 0,IF(AND($C607="Receiving",$I607&lt;=0), 0,SUMIFS(Table2[Stat],Table2[Week],Table1[[#This Row],[Week]],Table2[Athlete],Table1[[#This Row],[Pick]],Table2[Stat Category],"passing",Table2[Stat Type],"TD"))))</f>
        <v>0</v>
      </c>
      <c r="K607" s="6">
        <f>IF(AND($C607="Rushing", $H607&lt;=0), 0, IF(AND($C607="Passing", $G$3&lt;=0), 0,IF(AND($C607="Receiving",$I607&lt;=0),0,SUMIFS(Table2[Stat],Table2[Week],Table1[[#This Row],[Week]],Table2[Athlete],Table1[[#This Row],[Pick]],Table2[Stat Category],"rushing",Table2[Stat Type],"TD"))))</f>
        <v>0</v>
      </c>
      <c r="L607" s="6">
        <f>IF(AND($C607="Rushing", $H607&lt;=0), 0, IF(AND($C607="Passing", $G$3&lt;=0), 0,IF(AND($C607="Receiving",$I607&lt;=0),0,SUMIFS(Table2[Stat],Table2[Week],Table1[[#This Row],[Week]],Table2[Athlete],Table1[[#This Row],[Pick]],Table2[Stat Category],"receiving",Table2[Stat Type],"TD"))))</f>
        <v>0</v>
      </c>
      <c r="M6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7" s="61">
        <f>SUMIFS(Data!$J:$J,Data!$A:$A,Info!$B607,Data!$G:$G,Info!$C607,Data!$I:$I,Info!$D607,Data!$H:$H,"TOT")</f>
        <v>0</v>
      </c>
      <c r="O607" s="61">
        <f>IF(C607="Defensive",SUMIFS(Data!$J:$J,Data!$A:$A,Info!$B607,Data!$I:$I,Info!$D607,Data!$H:$H,"INT"),0)</f>
        <v>0</v>
      </c>
      <c r="P607" s="61">
        <f>IF(Table1[[#This Row],[Role]]="Defensive",SUMIFS(Data!$J:$J,Data!$A:$A,Info!$B607,Data!$I:$I,Info!$D607,Data!$H:$H,$P$1),0)</f>
        <v>0</v>
      </c>
      <c r="Q607" s="65" t="str">
        <f>IF(Table1[[#This Row],[Pick]]="","",IF(S607&gt;1,400,IF(G607="","",IF(C607="Passing",(400-Table1[[#This Row],[Passing Yards]]-(30*Table1[[#This Row],[Passing TDs]])-(50*SUM(Table1[[#This Row],[Rushing TDs]:[Other TD''s]]))),IF(C607="Rushing",2*(200-Table1[[#This Row],[Rushing Yards]]-(30*Table1[[#This Row],[Passing TDs]])-50*(Table1[[#This Row],[Rushing TDs]]+Table1[[#This Row],[Receiving TDs]]+Table1[[#This Row],[Other TD''s]])),IF(C607="Receiving",2*(200-Table1[[#This Row],[Receiving Yards]]-(30*Table1[[#This Row],[Passing TDs]])-50*(Table1[[#This Row],[Rushing TDs]]+Table1[[#This Row],[Receiving TDs]]+Table1[[#This Row],[Other TD''s]])),IF(C607="Defensive",(25*(16-Table1[[#This Row],[Tackles]]-(8*(Table1[[#This Row],[Other TD''s]]+Table1[[#This Row],[Interceptions]]+Table1[[#This Row],[Fumbles Recovered]])))))))))))</f>
        <v/>
      </c>
      <c r="R607" s="3" t="str">
        <f t="shared" si="20"/>
        <v/>
      </c>
      <c r="S607" s="4">
        <f t="shared" si="19"/>
        <v>1048507</v>
      </c>
      <c r="T6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8" spans="1:20" hidden="1" x14ac:dyDescent="0.25">
      <c r="A608" t="s">
        <v>4</v>
      </c>
      <c r="B608" s="28" t="s">
        <v>53</v>
      </c>
      <c r="C608" t="s">
        <v>6</v>
      </c>
      <c r="D608" t="str">
        <f>_xlfn.XLOOKUP(Table1[[#This Row],[Player]]&amp;Table1[[#This Row],[Week]]&amp;Table1[[#This Row],[Role]],'Google Form Transform'!$A:$A,'Google Form Transform'!E:E,"")</f>
        <v/>
      </c>
      <c r="E608" t="str">
        <f>_xlfn.XLOOKUP(Table1[[#This Row],[Player]]&amp;Table1[[#This Row],[Week]]&amp;Table1[[#This Row],[Role]],'Google Form Transform'!$A:$A,'Google Form Transform'!F:F,"")</f>
        <v/>
      </c>
      <c r="F608" t="str">
        <f>_xlfn.XLOOKUP(Table1[[#This Row],[Player]]&amp;Table1[[#This Row],[Week]]&amp;Table1[[#This Row],[Role]],'Google Form Transform'!$A:$A,'Google Form Transform'!G:G,"")</f>
        <v/>
      </c>
      <c r="G608" s="59">
        <f>SUMIFS(Table2[Stat],Table2[Stat Category],"passing",Table2[Stat Type],"YDS",Table2[Athlete],Table1[[#This Row],[Pick]],Table2[Week],Table1[[#This Row],[Week]])</f>
        <v>0</v>
      </c>
      <c r="H608" s="59">
        <f>SUMIFS(Table2[Stat],Table2[Stat Category],"rushing",Table2[Stat Type],"YDS",Table2[Athlete],Table1[[#This Row],[Pick]],Table2[Week],Table1[[#This Row],[Week]])</f>
        <v>0</v>
      </c>
      <c r="I608" s="59">
        <f>SUMIFS(Table2[Stat],Table2[Stat Category],"receiving",Table2[Stat Type],"YDS",Table2[Athlete],Table1[[#This Row],[Pick]],Table2[Week],Table1[[#This Row],[Week]])</f>
        <v>0</v>
      </c>
      <c r="J608" s="6">
        <f>IF(AND($C608="Rushing", $H608&lt;=0), 0, IF(AND($C608="Passing", $G$3&lt;=0), 0,IF(AND($C608="Receiving",$I608&lt;=0), 0,SUMIFS(Table2[Stat],Table2[Week],Table1[[#This Row],[Week]],Table2[Athlete],Table1[[#This Row],[Pick]],Table2[Stat Category],"passing",Table2[Stat Type],"TD"))))</f>
        <v>0</v>
      </c>
      <c r="K608" s="6">
        <f>IF(AND($C608="Rushing", $H608&lt;=0), 0, IF(AND($C608="Passing", $G$3&lt;=0), 0,IF(AND($C608="Receiving",$I608&lt;=0),0,SUMIFS(Table2[Stat],Table2[Week],Table1[[#This Row],[Week]],Table2[Athlete],Table1[[#This Row],[Pick]],Table2[Stat Category],"rushing",Table2[Stat Type],"TD"))))</f>
        <v>0</v>
      </c>
      <c r="L608" s="6">
        <f>IF(AND($C608="Rushing", $H608&lt;=0), 0, IF(AND($C608="Passing", $G$3&lt;=0), 0,IF(AND($C608="Receiving",$I608&lt;=0),0,SUMIFS(Table2[Stat],Table2[Week],Table1[[#This Row],[Week]],Table2[Athlete],Table1[[#This Row],[Pick]],Table2[Stat Category],"receiving",Table2[Stat Type],"TD"))))</f>
        <v>0</v>
      </c>
      <c r="M6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8" s="61">
        <f>SUMIFS(Data!$J:$J,Data!$A:$A,Info!$B608,Data!$G:$G,Info!$C608,Data!$I:$I,Info!$D608,Data!$H:$H,"TOT")</f>
        <v>0</v>
      </c>
      <c r="O608" s="61">
        <f>IF(C608="Defensive",SUMIFS(Data!$J:$J,Data!$A:$A,Info!$B608,Data!$I:$I,Info!$D608,Data!$H:$H,"INT"),0)</f>
        <v>0</v>
      </c>
      <c r="P608" s="61">
        <f>IF(Table1[[#This Row],[Role]]="Defensive",SUMIFS(Data!$J:$J,Data!$A:$A,Info!$B608,Data!$I:$I,Info!$D608,Data!$H:$H,$P$1),0)</f>
        <v>0</v>
      </c>
      <c r="Q608" s="65" t="str">
        <f>IF(Table1[[#This Row],[Pick]]="","",IF(S608&gt;1,400,IF(G608="","",IF(C608="Passing",(400-Table1[[#This Row],[Passing Yards]]-(30*Table1[[#This Row],[Passing TDs]])-(50*SUM(Table1[[#This Row],[Rushing TDs]:[Other TD''s]]))),IF(C608="Rushing",2*(200-Table1[[#This Row],[Rushing Yards]]-(30*Table1[[#This Row],[Passing TDs]])-50*(Table1[[#This Row],[Rushing TDs]]+Table1[[#This Row],[Receiving TDs]]+Table1[[#This Row],[Other TD''s]])),IF(C608="Receiving",2*(200-Table1[[#This Row],[Receiving Yards]]-(30*Table1[[#This Row],[Passing TDs]])-50*(Table1[[#This Row],[Rushing TDs]]+Table1[[#This Row],[Receiving TDs]]+Table1[[#This Row],[Other TD''s]])),IF(C608="Defensive",(25*(16-Table1[[#This Row],[Tackles]]-(8*(Table1[[#This Row],[Other TD''s]]+Table1[[#This Row],[Interceptions]]+Table1[[#This Row],[Fumbles Recovered]])))))))))))</f>
        <v/>
      </c>
      <c r="R608" s="3" t="str">
        <f t="shared" si="20"/>
        <v/>
      </c>
      <c r="S608" s="4">
        <f t="shared" si="19"/>
        <v>1048507</v>
      </c>
      <c r="T6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9" spans="1:20" hidden="1" x14ac:dyDescent="0.25">
      <c r="A609" t="s">
        <v>4</v>
      </c>
      <c r="B609" s="28" t="s">
        <v>53</v>
      </c>
      <c r="C609" t="s">
        <v>17</v>
      </c>
      <c r="D609" t="str">
        <f>_xlfn.XLOOKUP(Table1[[#This Row],[Player]]&amp;Table1[[#This Row],[Week]]&amp;Table1[[#This Row],[Role]],'Google Form Transform'!$A:$A,'Google Form Transform'!E:E,"")</f>
        <v/>
      </c>
      <c r="E609" t="str">
        <f>_xlfn.XLOOKUP(Table1[[#This Row],[Player]]&amp;Table1[[#This Row],[Week]]&amp;Table1[[#This Row],[Role]],'Google Form Transform'!$A:$A,'Google Form Transform'!F:F,"")</f>
        <v/>
      </c>
      <c r="F609" t="str">
        <f>_xlfn.XLOOKUP(Table1[[#This Row],[Player]]&amp;Table1[[#This Row],[Week]]&amp;Table1[[#This Row],[Role]],'Google Form Transform'!$A:$A,'Google Form Transform'!G:G,"")</f>
        <v/>
      </c>
      <c r="G609" s="59">
        <f>SUMIFS(Table2[Stat],Table2[Stat Category],"passing",Table2[Stat Type],"YDS",Table2[Athlete],Table1[[#This Row],[Pick]],Table2[Week],Table1[[#This Row],[Week]])</f>
        <v>0</v>
      </c>
      <c r="H609" s="59">
        <f>SUMIFS(Table2[Stat],Table2[Stat Category],"rushing",Table2[Stat Type],"YDS",Table2[Athlete],Table1[[#This Row],[Pick]],Table2[Week],Table1[[#This Row],[Week]])</f>
        <v>0</v>
      </c>
      <c r="I609" s="59">
        <f>SUMIFS(Table2[Stat],Table2[Stat Category],"receiving",Table2[Stat Type],"YDS",Table2[Athlete],Table1[[#This Row],[Pick]],Table2[Week],Table1[[#This Row],[Week]])</f>
        <v>0</v>
      </c>
      <c r="J609" s="6">
        <f>IF(AND($C609="Rushing", $H609&lt;=0), 0, IF(AND($C609="Passing", $G$3&lt;=0), 0,IF(AND($C609="Receiving",$I609&lt;=0), 0,SUMIFS(Table2[Stat],Table2[Week],Table1[[#This Row],[Week]],Table2[Athlete],Table1[[#This Row],[Pick]],Table2[Stat Category],"passing",Table2[Stat Type],"TD"))))</f>
        <v>0</v>
      </c>
      <c r="K609" s="6">
        <f>IF(AND($C609="Rushing", $H609&lt;=0), 0, IF(AND($C609="Passing", $G$3&lt;=0), 0,IF(AND($C609="Receiving",$I609&lt;=0),0,SUMIFS(Table2[Stat],Table2[Week],Table1[[#This Row],[Week]],Table2[Athlete],Table1[[#This Row],[Pick]],Table2[Stat Category],"rushing",Table2[Stat Type],"TD"))))</f>
        <v>0</v>
      </c>
      <c r="L609" s="6">
        <f>IF(AND($C609="Rushing", $H609&lt;=0), 0, IF(AND($C609="Passing", $G$3&lt;=0), 0,IF(AND($C609="Receiving",$I609&lt;=0),0,SUMIFS(Table2[Stat],Table2[Week],Table1[[#This Row],[Week]],Table2[Athlete],Table1[[#This Row],[Pick]],Table2[Stat Category],"receiving",Table2[Stat Type],"TD"))))</f>
        <v>0</v>
      </c>
      <c r="M6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9" s="61">
        <f>SUMIFS(Data!$J:$J,Data!$A:$A,Info!$B609,Data!$G:$G,Info!$C609,Data!$I:$I,Info!$D609,Data!$H:$H,"TOT")</f>
        <v>0</v>
      </c>
      <c r="O609" s="61">
        <f>IF(C609="Defensive",SUMIFS(Data!$J:$J,Data!$A:$A,Info!$B609,Data!$I:$I,Info!$D609,Data!$H:$H,"INT"),0)</f>
        <v>0</v>
      </c>
      <c r="P609" s="61">
        <f>IF(Table1[[#This Row],[Role]]="Defensive",SUMIFS(Data!$J:$J,Data!$A:$A,Info!$B609,Data!$I:$I,Info!$D609,Data!$H:$H,$P$1),0)</f>
        <v>0</v>
      </c>
      <c r="Q609" s="65" t="str">
        <f>IF(Table1[[#This Row],[Pick]]="","",IF(S609&gt;1,400,IF(G609="","",IF(C609="Passing",(400-Table1[[#This Row],[Passing Yards]]-(30*Table1[[#This Row],[Passing TDs]])-(50*SUM(Table1[[#This Row],[Rushing TDs]:[Other TD''s]]))),IF(C609="Rushing",2*(200-Table1[[#This Row],[Rushing Yards]]-(30*Table1[[#This Row],[Passing TDs]])-50*(Table1[[#This Row],[Rushing TDs]]+Table1[[#This Row],[Receiving TDs]]+Table1[[#This Row],[Other TD''s]])),IF(C609="Receiving",2*(200-Table1[[#This Row],[Receiving Yards]]-(30*Table1[[#This Row],[Passing TDs]])-50*(Table1[[#This Row],[Rushing TDs]]+Table1[[#This Row],[Receiving TDs]]+Table1[[#This Row],[Other TD''s]])),IF(C609="Defensive",(25*(16-Table1[[#This Row],[Tackles]]-(8*(Table1[[#This Row],[Other TD''s]]+Table1[[#This Row],[Interceptions]]+Table1[[#This Row],[Fumbles Recovered]])))))))))))</f>
        <v/>
      </c>
      <c r="R609" s="3" t="str">
        <f t="shared" si="20"/>
        <v/>
      </c>
      <c r="S609" s="4">
        <f t="shared" si="19"/>
        <v>1048507</v>
      </c>
      <c r="T6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0" spans="1:20" hidden="1" x14ac:dyDescent="0.25">
      <c r="A610" t="s">
        <v>4</v>
      </c>
      <c r="B610" s="28" t="s">
        <v>53</v>
      </c>
      <c r="C610" t="s">
        <v>20</v>
      </c>
      <c r="D610" t="str">
        <f>_xlfn.XLOOKUP(Table1[[#This Row],[Player]]&amp;Table1[[#This Row],[Week]]&amp;Table1[[#This Row],[Role]],'Google Form Transform'!$A:$A,'Google Form Transform'!E:E,"")</f>
        <v/>
      </c>
      <c r="E610" t="str">
        <f>_xlfn.XLOOKUP(Table1[[#This Row],[Player]]&amp;Table1[[#This Row],[Week]]&amp;Table1[[#This Row],[Role]],'Google Form Transform'!$A:$A,'Google Form Transform'!F:F,"")</f>
        <v/>
      </c>
      <c r="F610" t="str">
        <f>_xlfn.XLOOKUP(Table1[[#This Row],[Player]]&amp;Table1[[#This Row],[Week]]&amp;Table1[[#This Row],[Role]],'Google Form Transform'!$A:$A,'Google Form Transform'!G:G,"")</f>
        <v/>
      </c>
      <c r="G610" s="59">
        <f>SUMIFS(Table2[Stat],Table2[Stat Category],"passing",Table2[Stat Type],"YDS",Table2[Athlete],Table1[[#This Row],[Pick]],Table2[Week],Table1[[#This Row],[Week]])</f>
        <v>0</v>
      </c>
      <c r="H610" s="59">
        <f>SUMIFS(Table2[Stat],Table2[Stat Category],"rushing",Table2[Stat Type],"YDS",Table2[Athlete],Table1[[#This Row],[Pick]],Table2[Week],Table1[[#This Row],[Week]])</f>
        <v>0</v>
      </c>
      <c r="I610" s="59">
        <f>SUMIFS(Table2[Stat],Table2[Stat Category],"receiving",Table2[Stat Type],"YDS",Table2[Athlete],Table1[[#This Row],[Pick]],Table2[Week],Table1[[#This Row],[Week]])</f>
        <v>0</v>
      </c>
      <c r="J610" s="6">
        <f>IF(AND($C610="Rushing", $H610&lt;=0), 0, IF(AND($C610="Passing", $G$3&lt;=0), 0,IF(AND($C610="Receiving",$I610&lt;=0), 0,SUMIFS(Table2[Stat],Table2[Week],Table1[[#This Row],[Week]],Table2[Athlete],Table1[[#This Row],[Pick]],Table2[Stat Category],"passing",Table2[Stat Type],"TD"))))</f>
        <v>0</v>
      </c>
      <c r="K610" s="6">
        <f>IF(AND($C610="Rushing", $H610&lt;=0), 0, IF(AND($C610="Passing", $G$3&lt;=0), 0,IF(AND($C610="Receiving",$I610&lt;=0),0,SUMIFS(Table2[Stat],Table2[Week],Table1[[#This Row],[Week]],Table2[Athlete],Table1[[#This Row],[Pick]],Table2[Stat Category],"rushing",Table2[Stat Type],"TD"))))</f>
        <v>0</v>
      </c>
      <c r="L610" s="6">
        <f>IF(AND($C610="Rushing", $H610&lt;=0), 0, IF(AND($C610="Passing", $G$3&lt;=0), 0,IF(AND($C610="Receiving",$I610&lt;=0),0,SUMIFS(Table2[Stat],Table2[Week],Table1[[#This Row],[Week]],Table2[Athlete],Table1[[#This Row],[Pick]],Table2[Stat Category],"receiving",Table2[Stat Type],"TD"))))</f>
        <v>0</v>
      </c>
      <c r="M6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0" s="61">
        <f>SUMIFS(Data!$J:$J,Data!$A:$A,Info!$B610,Data!$G:$G,Info!$C610,Data!$I:$I,Info!$D610,Data!$H:$H,"TOT")</f>
        <v>0</v>
      </c>
      <c r="O610" s="61">
        <f>IF(C610="Defensive",SUMIFS(Data!$J:$J,Data!$A:$A,Info!$B610,Data!$I:$I,Info!$D610,Data!$H:$H,"INT"),0)</f>
        <v>0</v>
      </c>
      <c r="P610" s="61">
        <f>IF(Table1[[#This Row],[Role]]="Defensive",SUMIFS(Data!$J:$J,Data!$A:$A,Info!$B610,Data!$I:$I,Info!$D610,Data!$H:$H,$P$1),0)</f>
        <v>0</v>
      </c>
      <c r="Q610" s="65" t="str">
        <f>IF(Table1[[#This Row],[Pick]]="","",IF(S610&gt;1,400,IF(G610="","",IF(C610="Passing",(400-Table1[[#This Row],[Passing Yards]]-(30*Table1[[#This Row],[Passing TDs]])-(50*SUM(Table1[[#This Row],[Rushing TDs]:[Other TD''s]]))),IF(C610="Rushing",2*(200-Table1[[#This Row],[Rushing Yards]]-(30*Table1[[#This Row],[Passing TDs]])-50*(Table1[[#This Row],[Rushing TDs]]+Table1[[#This Row],[Receiving TDs]]+Table1[[#This Row],[Other TD''s]])),IF(C610="Receiving",2*(200-Table1[[#This Row],[Receiving Yards]]-(30*Table1[[#This Row],[Passing TDs]])-50*(Table1[[#This Row],[Rushing TDs]]+Table1[[#This Row],[Receiving TDs]]+Table1[[#This Row],[Other TD''s]])),IF(C610="Defensive",(25*(16-Table1[[#This Row],[Tackles]]-(8*(Table1[[#This Row],[Other TD''s]]+Table1[[#This Row],[Interceptions]]+Table1[[#This Row],[Fumbles Recovered]])))))))))))</f>
        <v/>
      </c>
      <c r="R610" s="3" t="str">
        <f t="shared" si="20"/>
        <v/>
      </c>
      <c r="S610" s="4">
        <f t="shared" si="19"/>
        <v>1048507</v>
      </c>
      <c r="T6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1" spans="1:20" hidden="1" x14ac:dyDescent="0.25">
      <c r="A611" t="s">
        <v>79</v>
      </c>
      <c r="B611" s="28" t="s">
        <v>53</v>
      </c>
      <c r="C611" t="s">
        <v>16</v>
      </c>
      <c r="D611" t="str">
        <f>_xlfn.XLOOKUP(Table1[[#This Row],[Player]]&amp;Table1[[#This Row],[Week]]&amp;Table1[[#This Row],[Role]],'Google Form Transform'!$A:$A,'Google Form Transform'!E:E,"")</f>
        <v/>
      </c>
      <c r="E611" t="str">
        <f>_xlfn.XLOOKUP(Table1[[#This Row],[Player]]&amp;Table1[[#This Row],[Week]]&amp;Table1[[#This Row],[Role]],'Google Form Transform'!$A:$A,'Google Form Transform'!F:F,"")</f>
        <v/>
      </c>
      <c r="F611" t="str">
        <f>_xlfn.XLOOKUP(Table1[[#This Row],[Player]]&amp;Table1[[#This Row],[Week]]&amp;Table1[[#This Row],[Role]],'Google Form Transform'!$A:$A,'Google Form Transform'!G:G,"")</f>
        <v/>
      </c>
      <c r="G611" s="59">
        <f>SUMIFS(Table2[Stat],Table2[Stat Category],"passing",Table2[Stat Type],"YDS",Table2[Athlete],Table1[[#This Row],[Pick]],Table2[Week],Table1[[#This Row],[Week]])</f>
        <v>0</v>
      </c>
      <c r="H611" s="59">
        <f>SUMIFS(Table2[Stat],Table2[Stat Category],"rushing",Table2[Stat Type],"YDS",Table2[Athlete],Table1[[#This Row],[Pick]],Table2[Week],Table1[[#This Row],[Week]])</f>
        <v>0</v>
      </c>
      <c r="I611" s="59">
        <f>SUMIFS(Table2[Stat],Table2[Stat Category],"receiving",Table2[Stat Type],"YDS",Table2[Athlete],Table1[[#This Row],[Pick]],Table2[Week],Table1[[#This Row],[Week]])</f>
        <v>0</v>
      </c>
      <c r="J611" s="6">
        <f>IF(AND($C611="Rushing", $H611&lt;=0), 0, IF(AND($C611="Passing", $G$3&lt;=0), 0,IF(AND($C611="Receiving",$I611&lt;=0), 0,SUMIFS(Table2[Stat],Table2[Week],Table1[[#This Row],[Week]],Table2[Athlete],Table1[[#This Row],[Pick]],Table2[Stat Category],"passing",Table2[Stat Type],"TD"))))</f>
        <v>0</v>
      </c>
      <c r="K611" s="6">
        <f>IF(AND($C611="Rushing", $H611&lt;=0), 0, IF(AND($C611="Passing", $G$3&lt;=0), 0,IF(AND($C611="Receiving",$I611&lt;=0),0,SUMIFS(Table2[Stat],Table2[Week],Table1[[#This Row],[Week]],Table2[Athlete],Table1[[#This Row],[Pick]],Table2[Stat Category],"rushing",Table2[Stat Type],"TD"))))</f>
        <v>0</v>
      </c>
      <c r="L611" s="6">
        <f>IF(AND($C611="Rushing", $H611&lt;=0), 0, IF(AND($C611="Passing", $G$3&lt;=0), 0,IF(AND($C611="Receiving",$I611&lt;=0),0,SUMIFS(Table2[Stat],Table2[Week],Table1[[#This Row],[Week]],Table2[Athlete],Table1[[#This Row],[Pick]],Table2[Stat Category],"receiving",Table2[Stat Type],"TD"))))</f>
        <v>0</v>
      </c>
      <c r="M6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1" s="61">
        <f>SUMIFS(Data!$J:$J,Data!$A:$A,Info!$B611,Data!$G:$G,Info!$C611,Data!$I:$I,Info!$D611,Data!$H:$H,"TOT")</f>
        <v>0</v>
      </c>
      <c r="O611" s="61">
        <f>IF(C611="Defensive",SUMIFS(Data!$J:$J,Data!$A:$A,Info!$B611,Data!$I:$I,Info!$D611,Data!$H:$H,"INT"),0)</f>
        <v>0</v>
      </c>
      <c r="P611" s="61">
        <f>IF(Table1[[#This Row],[Role]]="Defensive",SUMIFS(Data!$J:$J,Data!$A:$A,Info!$B611,Data!$I:$I,Info!$D611,Data!$H:$H,$P$1),0)</f>
        <v>0</v>
      </c>
      <c r="Q611" s="65" t="str">
        <f>IF(Table1[[#This Row],[Pick]]="","",IF(S611&gt;1,400,IF(G611="","",IF(C611="Passing",(400-Table1[[#This Row],[Passing Yards]]-(30*Table1[[#This Row],[Passing TDs]])-(50*SUM(Table1[[#This Row],[Rushing TDs]:[Other TD''s]]))),IF(C611="Rushing",2*(200-Table1[[#This Row],[Rushing Yards]]-(30*Table1[[#This Row],[Passing TDs]])-50*(Table1[[#This Row],[Rushing TDs]]+Table1[[#This Row],[Receiving TDs]]+Table1[[#This Row],[Other TD''s]])),IF(C611="Receiving",2*(200-Table1[[#This Row],[Receiving Yards]]-(30*Table1[[#This Row],[Passing TDs]])-50*(Table1[[#This Row],[Rushing TDs]]+Table1[[#This Row],[Receiving TDs]]+Table1[[#This Row],[Other TD''s]])),IF(C611="Defensive",(25*(16-Table1[[#This Row],[Tackles]]-(8*(Table1[[#This Row],[Other TD''s]]+Table1[[#This Row],[Interceptions]]+Table1[[#This Row],[Fumbles Recovered]])))))))))))</f>
        <v/>
      </c>
      <c r="R611" s="3" t="str">
        <f t="shared" si="20"/>
        <v/>
      </c>
      <c r="S611" s="4">
        <f t="shared" si="19"/>
        <v>1048507</v>
      </c>
      <c r="T6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2" spans="1:20" hidden="1" x14ac:dyDescent="0.25">
      <c r="A612" t="s">
        <v>79</v>
      </c>
      <c r="B612" s="28" t="s">
        <v>53</v>
      </c>
      <c r="C612" t="s">
        <v>6</v>
      </c>
      <c r="D612" t="str">
        <f>_xlfn.XLOOKUP(Table1[[#This Row],[Player]]&amp;Table1[[#This Row],[Week]]&amp;Table1[[#This Row],[Role]],'Google Form Transform'!$A:$A,'Google Form Transform'!E:E,"")</f>
        <v/>
      </c>
      <c r="E612" t="str">
        <f>_xlfn.XLOOKUP(Table1[[#This Row],[Player]]&amp;Table1[[#This Row],[Week]]&amp;Table1[[#This Row],[Role]],'Google Form Transform'!$A:$A,'Google Form Transform'!F:F,"")</f>
        <v/>
      </c>
      <c r="F612" t="str">
        <f>_xlfn.XLOOKUP(Table1[[#This Row],[Player]]&amp;Table1[[#This Row],[Week]]&amp;Table1[[#This Row],[Role]],'Google Form Transform'!$A:$A,'Google Form Transform'!G:G,"")</f>
        <v/>
      </c>
      <c r="G612" s="59">
        <f>SUMIFS(Table2[Stat],Table2[Stat Category],"passing",Table2[Stat Type],"YDS",Table2[Athlete],Table1[[#This Row],[Pick]],Table2[Week],Table1[[#This Row],[Week]])</f>
        <v>0</v>
      </c>
      <c r="H612" s="59">
        <f>SUMIFS(Table2[Stat],Table2[Stat Category],"rushing",Table2[Stat Type],"YDS",Table2[Athlete],Table1[[#This Row],[Pick]],Table2[Week],Table1[[#This Row],[Week]])</f>
        <v>0</v>
      </c>
      <c r="I612" s="59">
        <f>SUMIFS(Table2[Stat],Table2[Stat Category],"receiving",Table2[Stat Type],"YDS",Table2[Athlete],Table1[[#This Row],[Pick]],Table2[Week],Table1[[#This Row],[Week]])</f>
        <v>0</v>
      </c>
      <c r="J612" s="6">
        <f>IF(AND($C612="Rushing", $H612&lt;=0), 0, IF(AND($C612="Passing", $G$3&lt;=0), 0,IF(AND($C612="Receiving",$I612&lt;=0), 0,SUMIFS(Table2[Stat],Table2[Week],Table1[[#This Row],[Week]],Table2[Athlete],Table1[[#This Row],[Pick]],Table2[Stat Category],"passing",Table2[Stat Type],"TD"))))</f>
        <v>0</v>
      </c>
      <c r="K612" s="6">
        <f>IF(AND($C612="Rushing", $H612&lt;=0), 0, IF(AND($C612="Passing", $G$3&lt;=0), 0,IF(AND($C612="Receiving",$I612&lt;=0),0,SUMIFS(Table2[Stat],Table2[Week],Table1[[#This Row],[Week]],Table2[Athlete],Table1[[#This Row],[Pick]],Table2[Stat Category],"rushing",Table2[Stat Type],"TD"))))</f>
        <v>0</v>
      </c>
      <c r="L612" s="6">
        <f>IF(AND($C612="Rushing", $H612&lt;=0), 0, IF(AND($C612="Passing", $G$3&lt;=0), 0,IF(AND($C612="Receiving",$I612&lt;=0),0,SUMIFS(Table2[Stat],Table2[Week],Table1[[#This Row],[Week]],Table2[Athlete],Table1[[#This Row],[Pick]],Table2[Stat Category],"receiving",Table2[Stat Type],"TD"))))</f>
        <v>0</v>
      </c>
      <c r="M6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2" s="61">
        <f>SUMIFS(Data!$J:$J,Data!$A:$A,Info!$B612,Data!$G:$G,Info!$C612,Data!$I:$I,Info!$D612,Data!$H:$H,"TOT")</f>
        <v>0</v>
      </c>
      <c r="O612" s="61">
        <f>IF(C612="Defensive",SUMIFS(Data!$J:$J,Data!$A:$A,Info!$B612,Data!$I:$I,Info!$D612,Data!$H:$H,"INT"),0)</f>
        <v>0</v>
      </c>
      <c r="P612" s="61">
        <f>IF(Table1[[#This Row],[Role]]="Defensive",SUMIFS(Data!$J:$J,Data!$A:$A,Info!$B612,Data!$I:$I,Info!$D612,Data!$H:$H,$P$1),0)</f>
        <v>0</v>
      </c>
      <c r="Q612" s="65" t="str">
        <f>IF(Table1[[#This Row],[Pick]]="","",IF(S612&gt;1,400,IF(G612="","",IF(C612="Passing",(400-Table1[[#This Row],[Passing Yards]]-(30*Table1[[#This Row],[Passing TDs]])-(50*SUM(Table1[[#This Row],[Rushing TDs]:[Other TD''s]]))),IF(C612="Rushing",2*(200-Table1[[#This Row],[Rushing Yards]]-(30*Table1[[#This Row],[Passing TDs]])-50*(Table1[[#This Row],[Rushing TDs]]+Table1[[#This Row],[Receiving TDs]]+Table1[[#This Row],[Other TD''s]])),IF(C612="Receiving",2*(200-Table1[[#This Row],[Receiving Yards]]-(30*Table1[[#This Row],[Passing TDs]])-50*(Table1[[#This Row],[Rushing TDs]]+Table1[[#This Row],[Receiving TDs]]+Table1[[#This Row],[Other TD''s]])),IF(C612="Defensive",(25*(16-Table1[[#This Row],[Tackles]]-(8*(Table1[[#This Row],[Other TD''s]]+Table1[[#This Row],[Interceptions]]+Table1[[#This Row],[Fumbles Recovered]])))))))))))</f>
        <v/>
      </c>
      <c r="R612" s="3" t="str">
        <f t="shared" si="20"/>
        <v/>
      </c>
      <c r="S612" s="4">
        <f t="shared" si="19"/>
        <v>1048507</v>
      </c>
      <c r="T6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3" spans="1:20" hidden="1" x14ac:dyDescent="0.25">
      <c r="A613" t="s">
        <v>79</v>
      </c>
      <c r="B613" s="28" t="s">
        <v>53</v>
      </c>
      <c r="C613" t="s">
        <v>17</v>
      </c>
      <c r="D613" t="str">
        <f>_xlfn.XLOOKUP(Table1[[#This Row],[Player]]&amp;Table1[[#This Row],[Week]]&amp;Table1[[#This Row],[Role]],'Google Form Transform'!$A:$A,'Google Form Transform'!E:E,"")</f>
        <v/>
      </c>
      <c r="E613" t="str">
        <f>_xlfn.XLOOKUP(Table1[[#This Row],[Player]]&amp;Table1[[#This Row],[Week]]&amp;Table1[[#This Row],[Role]],'Google Form Transform'!$A:$A,'Google Form Transform'!F:F,"")</f>
        <v/>
      </c>
      <c r="F613" t="str">
        <f>_xlfn.XLOOKUP(Table1[[#This Row],[Player]]&amp;Table1[[#This Row],[Week]]&amp;Table1[[#This Row],[Role]],'Google Form Transform'!$A:$A,'Google Form Transform'!G:G,"")</f>
        <v/>
      </c>
      <c r="G613" s="59">
        <f>SUMIFS(Table2[Stat],Table2[Stat Category],"passing",Table2[Stat Type],"YDS",Table2[Athlete],Table1[[#This Row],[Pick]],Table2[Week],Table1[[#This Row],[Week]])</f>
        <v>0</v>
      </c>
      <c r="H613" s="59">
        <f>SUMIFS(Table2[Stat],Table2[Stat Category],"rushing",Table2[Stat Type],"YDS",Table2[Athlete],Table1[[#This Row],[Pick]],Table2[Week],Table1[[#This Row],[Week]])</f>
        <v>0</v>
      </c>
      <c r="I613" s="59">
        <f>SUMIFS(Table2[Stat],Table2[Stat Category],"receiving",Table2[Stat Type],"YDS",Table2[Athlete],Table1[[#This Row],[Pick]],Table2[Week],Table1[[#This Row],[Week]])</f>
        <v>0</v>
      </c>
      <c r="J613" s="6">
        <f>IF(AND($C613="Rushing", $H613&lt;=0), 0, IF(AND($C613="Passing", $G$3&lt;=0), 0,IF(AND($C613="Receiving",$I613&lt;=0), 0,SUMIFS(Table2[Stat],Table2[Week],Table1[[#This Row],[Week]],Table2[Athlete],Table1[[#This Row],[Pick]],Table2[Stat Category],"passing",Table2[Stat Type],"TD"))))</f>
        <v>0</v>
      </c>
      <c r="K613" s="6">
        <f>IF(AND($C613="Rushing", $H613&lt;=0), 0, IF(AND($C613="Passing", $G$3&lt;=0), 0,IF(AND($C613="Receiving",$I613&lt;=0),0,SUMIFS(Table2[Stat],Table2[Week],Table1[[#This Row],[Week]],Table2[Athlete],Table1[[#This Row],[Pick]],Table2[Stat Category],"rushing",Table2[Stat Type],"TD"))))</f>
        <v>0</v>
      </c>
      <c r="L613" s="6">
        <f>IF(AND($C613="Rushing", $H613&lt;=0), 0, IF(AND($C613="Passing", $G$3&lt;=0), 0,IF(AND($C613="Receiving",$I613&lt;=0),0,SUMIFS(Table2[Stat],Table2[Week],Table1[[#This Row],[Week]],Table2[Athlete],Table1[[#This Row],[Pick]],Table2[Stat Category],"receiving",Table2[Stat Type],"TD"))))</f>
        <v>0</v>
      </c>
      <c r="M6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3" s="61">
        <f>SUMIFS(Data!$J:$J,Data!$A:$A,Info!$B613,Data!$G:$G,Info!$C613,Data!$I:$I,Info!$D613,Data!$H:$H,"TOT")</f>
        <v>0</v>
      </c>
      <c r="O613" s="61">
        <f>IF(C613="Defensive",SUMIFS(Data!$J:$J,Data!$A:$A,Info!$B613,Data!$I:$I,Info!$D613,Data!$H:$H,"INT"),0)</f>
        <v>0</v>
      </c>
      <c r="P613" s="61">
        <f>IF(Table1[[#This Row],[Role]]="Defensive",SUMIFS(Data!$J:$J,Data!$A:$A,Info!$B613,Data!$I:$I,Info!$D613,Data!$H:$H,$P$1),0)</f>
        <v>0</v>
      </c>
      <c r="Q613" s="65" t="str">
        <f>IF(Table1[[#This Row],[Pick]]="","",IF(S613&gt;1,400,IF(G613="","",IF(C613="Passing",(400-Table1[[#This Row],[Passing Yards]]-(30*Table1[[#This Row],[Passing TDs]])-(50*SUM(Table1[[#This Row],[Rushing TDs]:[Other TD''s]]))),IF(C613="Rushing",2*(200-Table1[[#This Row],[Rushing Yards]]-(30*Table1[[#This Row],[Passing TDs]])-50*(Table1[[#This Row],[Rushing TDs]]+Table1[[#This Row],[Receiving TDs]]+Table1[[#This Row],[Other TD''s]])),IF(C613="Receiving",2*(200-Table1[[#This Row],[Receiving Yards]]-(30*Table1[[#This Row],[Passing TDs]])-50*(Table1[[#This Row],[Rushing TDs]]+Table1[[#This Row],[Receiving TDs]]+Table1[[#This Row],[Other TD''s]])),IF(C613="Defensive",(25*(16-Table1[[#This Row],[Tackles]]-(8*(Table1[[#This Row],[Other TD''s]]+Table1[[#This Row],[Interceptions]]+Table1[[#This Row],[Fumbles Recovered]])))))))))))</f>
        <v/>
      </c>
      <c r="R613" s="3" t="str">
        <f t="shared" si="20"/>
        <v/>
      </c>
      <c r="S613" s="4">
        <f t="shared" si="19"/>
        <v>1048507</v>
      </c>
      <c r="T6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4" spans="1:20" hidden="1" x14ac:dyDescent="0.25">
      <c r="A614" t="s">
        <v>79</v>
      </c>
      <c r="B614" s="28" t="s">
        <v>53</v>
      </c>
      <c r="C614" t="s">
        <v>20</v>
      </c>
      <c r="D614" t="str">
        <f>_xlfn.XLOOKUP(Table1[[#This Row],[Player]]&amp;Table1[[#This Row],[Week]]&amp;Table1[[#This Row],[Role]],'Google Form Transform'!$A:$A,'Google Form Transform'!E:E,"")</f>
        <v/>
      </c>
      <c r="E614" t="str">
        <f>_xlfn.XLOOKUP(Table1[[#This Row],[Player]]&amp;Table1[[#This Row],[Week]]&amp;Table1[[#This Row],[Role]],'Google Form Transform'!$A:$A,'Google Form Transform'!F:F,"")</f>
        <v/>
      </c>
      <c r="F614" t="str">
        <f>_xlfn.XLOOKUP(Table1[[#This Row],[Player]]&amp;Table1[[#This Row],[Week]]&amp;Table1[[#This Row],[Role]],'Google Form Transform'!$A:$A,'Google Form Transform'!G:G,"")</f>
        <v/>
      </c>
      <c r="G614" s="59">
        <f>SUMIFS(Table2[Stat],Table2[Stat Category],"passing",Table2[Stat Type],"YDS",Table2[Athlete],Table1[[#This Row],[Pick]],Table2[Week],Table1[[#This Row],[Week]])</f>
        <v>0</v>
      </c>
      <c r="H614" s="59">
        <f>SUMIFS(Table2[Stat],Table2[Stat Category],"rushing",Table2[Stat Type],"YDS",Table2[Athlete],Table1[[#This Row],[Pick]],Table2[Week],Table1[[#This Row],[Week]])</f>
        <v>0</v>
      </c>
      <c r="I614" s="59">
        <f>SUMIFS(Table2[Stat],Table2[Stat Category],"receiving",Table2[Stat Type],"YDS",Table2[Athlete],Table1[[#This Row],[Pick]],Table2[Week],Table1[[#This Row],[Week]])</f>
        <v>0</v>
      </c>
      <c r="J614" s="6">
        <f>IF(AND($C614="Rushing", $H614&lt;=0), 0, IF(AND($C614="Passing", $G$3&lt;=0), 0,IF(AND($C614="Receiving",$I614&lt;=0), 0,SUMIFS(Table2[Stat],Table2[Week],Table1[[#This Row],[Week]],Table2[Athlete],Table1[[#This Row],[Pick]],Table2[Stat Category],"passing",Table2[Stat Type],"TD"))))</f>
        <v>0</v>
      </c>
      <c r="K614" s="6">
        <f>IF(AND($C614="Rushing", $H614&lt;=0), 0, IF(AND($C614="Passing", $G$3&lt;=0), 0,IF(AND($C614="Receiving",$I614&lt;=0),0,SUMIFS(Table2[Stat],Table2[Week],Table1[[#This Row],[Week]],Table2[Athlete],Table1[[#This Row],[Pick]],Table2[Stat Category],"rushing",Table2[Stat Type],"TD"))))</f>
        <v>0</v>
      </c>
      <c r="L614" s="6">
        <f>IF(AND($C614="Rushing", $H614&lt;=0), 0, IF(AND($C614="Passing", $G$3&lt;=0), 0,IF(AND($C614="Receiving",$I614&lt;=0),0,SUMIFS(Table2[Stat],Table2[Week],Table1[[#This Row],[Week]],Table2[Athlete],Table1[[#This Row],[Pick]],Table2[Stat Category],"receiving",Table2[Stat Type],"TD"))))</f>
        <v>0</v>
      </c>
      <c r="M6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4" s="61">
        <f>SUMIFS(Data!$J:$J,Data!$A:$A,Info!$B614,Data!$G:$G,Info!$C614,Data!$I:$I,Info!$D614,Data!$H:$H,"TOT")</f>
        <v>0</v>
      </c>
      <c r="O614" s="61">
        <f>IF(C614="Defensive",SUMIFS(Data!$J:$J,Data!$A:$A,Info!$B614,Data!$I:$I,Info!$D614,Data!$H:$H,"INT"),0)</f>
        <v>0</v>
      </c>
      <c r="P614" s="61">
        <f>IF(Table1[[#This Row],[Role]]="Defensive",SUMIFS(Data!$J:$J,Data!$A:$A,Info!$B614,Data!$I:$I,Info!$D614,Data!$H:$H,$P$1),0)</f>
        <v>0</v>
      </c>
      <c r="Q614" s="65" t="str">
        <f>IF(Table1[[#This Row],[Pick]]="","",IF(S614&gt;1,400,IF(G614="","",IF(C614="Passing",(400-Table1[[#This Row],[Passing Yards]]-(30*Table1[[#This Row],[Passing TDs]])-(50*SUM(Table1[[#This Row],[Rushing TDs]:[Other TD''s]]))),IF(C614="Rushing",2*(200-Table1[[#This Row],[Rushing Yards]]-(30*Table1[[#This Row],[Passing TDs]])-50*(Table1[[#This Row],[Rushing TDs]]+Table1[[#This Row],[Receiving TDs]]+Table1[[#This Row],[Other TD''s]])),IF(C614="Receiving",2*(200-Table1[[#This Row],[Receiving Yards]]-(30*Table1[[#This Row],[Passing TDs]])-50*(Table1[[#This Row],[Rushing TDs]]+Table1[[#This Row],[Receiving TDs]]+Table1[[#This Row],[Other TD''s]])),IF(C614="Defensive",(25*(16-Table1[[#This Row],[Tackles]]-(8*(Table1[[#This Row],[Other TD''s]]+Table1[[#This Row],[Interceptions]]+Table1[[#This Row],[Fumbles Recovered]])))))))))))</f>
        <v/>
      </c>
      <c r="R614" s="3" t="str">
        <f t="shared" si="20"/>
        <v/>
      </c>
      <c r="S614" s="4">
        <f t="shared" si="19"/>
        <v>1048507</v>
      </c>
      <c r="T6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5" spans="1:20" hidden="1" x14ac:dyDescent="0.25">
      <c r="A615" t="s">
        <v>58</v>
      </c>
      <c r="B615" s="28" t="s">
        <v>53</v>
      </c>
      <c r="C615" t="s">
        <v>16</v>
      </c>
      <c r="D615" t="str">
        <f>_xlfn.XLOOKUP(Table1[[#This Row],[Player]]&amp;Table1[[#This Row],[Week]]&amp;Table1[[#This Row],[Role]],'Google Form Transform'!$A:$A,'Google Form Transform'!E:E,"")</f>
        <v/>
      </c>
      <c r="E615" t="str">
        <f>_xlfn.XLOOKUP(Table1[[#This Row],[Player]]&amp;Table1[[#This Row],[Week]]&amp;Table1[[#This Row],[Role]],'Google Form Transform'!$A:$A,'Google Form Transform'!F:F,"")</f>
        <v/>
      </c>
      <c r="F615" t="str">
        <f>_xlfn.XLOOKUP(Table1[[#This Row],[Player]]&amp;Table1[[#This Row],[Week]]&amp;Table1[[#This Row],[Role]],'Google Form Transform'!$A:$A,'Google Form Transform'!G:G,"")</f>
        <v/>
      </c>
      <c r="G615" s="59">
        <f>SUMIFS(Table2[Stat],Table2[Stat Category],"passing",Table2[Stat Type],"YDS",Table2[Athlete],Table1[[#This Row],[Pick]],Table2[Week],Table1[[#This Row],[Week]])</f>
        <v>0</v>
      </c>
      <c r="H615" s="59">
        <f>SUMIFS(Table2[Stat],Table2[Stat Category],"rushing",Table2[Stat Type],"YDS",Table2[Athlete],Table1[[#This Row],[Pick]],Table2[Week],Table1[[#This Row],[Week]])</f>
        <v>0</v>
      </c>
      <c r="I615" s="59">
        <f>SUMIFS(Table2[Stat],Table2[Stat Category],"receiving",Table2[Stat Type],"YDS",Table2[Athlete],Table1[[#This Row],[Pick]],Table2[Week],Table1[[#This Row],[Week]])</f>
        <v>0</v>
      </c>
      <c r="J615" s="6">
        <f>IF(AND($C615="Rushing", $H615&lt;=0), 0, IF(AND($C615="Passing", $G$3&lt;=0), 0,IF(AND($C615="Receiving",$I615&lt;=0), 0,SUMIFS(Table2[Stat],Table2[Week],Table1[[#This Row],[Week]],Table2[Athlete],Table1[[#This Row],[Pick]],Table2[Stat Category],"passing",Table2[Stat Type],"TD"))))</f>
        <v>0</v>
      </c>
      <c r="K615" s="6">
        <f>IF(AND($C615="Rushing", $H615&lt;=0), 0, IF(AND($C615="Passing", $G$3&lt;=0), 0,IF(AND($C615="Receiving",$I615&lt;=0),0,SUMIFS(Table2[Stat],Table2[Week],Table1[[#This Row],[Week]],Table2[Athlete],Table1[[#This Row],[Pick]],Table2[Stat Category],"rushing",Table2[Stat Type],"TD"))))</f>
        <v>0</v>
      </c>
      <c r="L615" s="6">
        <f>IF(AND($C615="Rushing", $H615&lt;=0), 0, IF(AND($C615="Passing", $G$3&lt;=0), 0,IF(AND($C615="Receiving",$I615&lt;=0),0,SUMIFS(Table2[Stat],Table2[Week],Table1[[#This Row],[Week]],Table2[Athlete],Table1[[#This Row],[Pick]],Table2[Stat Category],"receiving",Table2[Stat Type],"TD"))))</f>
        <v>0</v>
      </c>
      <c r="M6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5" s="61">
        <f>SUMIFS(Data!$J:$J,Data!$A:$A,Info!$B615,Data!$G:$G,Info!$C615,Data!$I:$I,Info!$D615,Data!$H:$H,"TOT")</f>
        <v>0</v>
      </c>
      <c r="O615" s="61">
        <f>IF(C615="Defensive",SUMIFS(Data!$J:$J,Data!$A:$A,Info!$B615,Data!$I:$I,Info!$D615,Data!$H:$H,"INT"),0)</f>
        <v>0</v>
      </c>
      <c r="P615" s="61">
        <f>IF(Table1[[#This Row],[Role]]="Defensive",SUMIFS(Data!$J:$J,Data!$A:$A,Info!$B615,Data!$I:$I,Info!$D615,Data!$H:$H,$P$1),0)</f>
        <v>0</v>
      </c>
      <c r="Q615" s="65" t="str">
        <f>IF(Table1[[#This Row],[Pick]]="","",IF(S615&gt;1,400,IF(G615="","",IF(C615="Passing",(400-Table1[[#This Row],[Passing Yards]]-(30*Table1[[#This Row],[Passing TDs]])-(50*SUM(Table1[[#This Row],[Rushing TDs]:[Other TD''s]]))),IF(C615="Rushing",2*(200-Table1[[#This Row],[Rushing Yards]]-(30*Table1[[#This Row],[Passing TDs]])-50*(Table1[[#This Row],[Rushing TDs]]+Table1[[#This Row],[Receiving TDs]]+Table1[[#This Row],[Other TD''s]])),IF(C615="Receiving",2*(200-Table1[[#This Row],[Receiving Yards]]-(30*Table1[[#This Row],[Passing TDs]])-50*(Table1[[#This Row],[Rushing TDs]]+Table1[[#This Row],[Receiving TDs]]+Table1[[#This Row],[Other TD''s]])),IF(C615="Defensive",(25*(16-Table1[[#This Row],[Tackles]]-(8*(Table1[[#This Row],[Other TD''s]]+Table1[[#This Row],[Interceptions]]+Table1[[#This Row],[Fumbles Recovered]])))))))))))</f>
        <v/>
      </c>
      <c r="R615" s="3" t="str">
        <f t="shared" si="20"/>
        <v/>
      </c>
      <c r="S615" s="4">
        <f t="shared" si="19"/>
        <v>1048507</v>
      </c>
      <c r="T6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6" spans="1:20" hidden="1" x14ac:dyDescent="0.25">
      <c r="A616" t="s">
        <v>58</v>
      </c>
      <c r="B616" s="28" t="s">
        <v>53</v>
      </c>
      <c r="C616" t="s">
        <v>6</v>
      </c>
      <c r="D616" t="str">
        <f>_xlfn.XLOOKUP(Table1[[#This Row],[Player]]&amp;Table1[[#This Row],[Week]]&amp;Table1[[#This Row],[Role]],'Google Form Transform'!$A:$A,'Google Form Transform'!E:E,"")</f>
        <v/>
      </c>
      <c r="E616" t="str">
        <f>_xlfn.XLOOKUP(Table1[[#This Row],[Player]]&amp;Table1[[#This Row],[Week]]&amp;Table1[[#This Row],[Role]],'Google Form Transform'!$A:$A,'Google Form Transform'!F:F,"")</f>
        <v/>
      </c>
      <c r="F616" t="str">
        <f>_xlfn.XLOOKUP(Table1[[#This Row],[Player]]&amp;Table1[[#This Row],[Week]]&amp;Table1[[#This Row],[Role]],'Google Form Transform'!$A:$A,'Google Form Transform'!G:G,"")</f>
        <v/>
      </c>
      <c r="G616" s="59">
        <f>SUMIFS(Table2[Stat],Table2[Stat Category],"passing",Table2[Stat Type],"YDS",Table2[Athlete],Table1[[#This Row],[Pick]],Table2[Week],Table1[[#This Row],[Week]])</f>
        <v>0</v>
      </c>
      <c r="H616" s="59">
        <f>SUMIFS(Table2[Stat],Table2[Stat Category],"rushing",Table2[Stat Type],"YDS",Table2[Athlete],Table1[[#This Row],[Pick]],Table2[Week],Table1[[#This Row],[Week]])</f>
        <v>0</v>
      </c>
      <c r="I616" s="59">
        <f>SUMIFS(Table2[Stat],Table2[Stat Category],"receiving",Table2[Stat Type],"YDS",Table2[Athlete],Table1[[#This Row],[Pick]],Table2[Week],Table1[[#This Row],[Week]])</f>
        <v>0</v>
      </c>
      <c r="J616" s="6">
        <f>IF(AND($C616="Rushing", $H616&lt;=0), 0, IF(AND($C616="Passing", $G$3&lt;=0), 0,IF(AND($C616="Receiving",$I616&lt;=0), 0,SUMIFS(Table2[Stat],Table2[Week],Table1[[#This Row],[Week]],Table2[Athlete],Table1[[#This Row],[Pick]],Table2[Stat Category],"passing",Table2[Stat Type],"TD"))))</f>
        <v>0</v>
      </c>
      <c r="K616" s="6">
        <f>IF(AND($C616="Rushing", $H616&lt;=0), 0, IF(AND($C616="Passing", $G$3&lt;=0), 0,IF(AND($C616="Receiving",$I616&lt;=0),0,SUMIFS(Table2[Stat],Table2[Week],Table1[[#This Row],[Week]],Table2[Athlete],Table1[[#This Row],[Pick]],Table2[Stat Category],"rushing",Table2[Stat Type],"TD"))))</f>
        <v>0</v>
      </c>
      <c r="L616" s="6">
        <f>IF(AND($C616="Rushing", $H616&lt;=0), 0, IF(AND($C616="Passing", $G$3&lt;=0), 0,IF(AND($C616="Receiving",$I616&lt;=0),0,SUMIFS(Table2[Stat],Table2[Week],Table1[[#This Row],[Week]],Table2[Athlete],Table1[[#This Row],[Pick]],Table2[Stat Category],"receiving",Table2[Stat Type],"TD"))))</f>
        <v>0</v>
      </c>
      <c r="M6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6" s="61">
        <f>SUMIFS(Data!$J:$J,Data!$A:$A,Info!$B616,Data!$G:$G,Info!$C616,Data!$I:$I,Info!$D616,Data!$H:$H,"TOT")</f>
        <v>0</v>
      </c>
      <c r="O616" s="61">
        <f>IF(C616="Defensive",SUMIFS(Data!$J:$J,Data!$A:$A,Info!$B616,Data!$I:$I,Info!$D616,Data!$H:$H,"INT"),0)</f>
        <v>0</v>
      </c>
      <c r="P616" s="61">
        <f>IF(Table1[[#This Row],[Role]]="Defensive",SUMIFS(Data!$J:$J,Data!$A:$A,Info!$B616,Data!$I:$I,Info!$D616,Data!$H:$H,$P$1),0)</f>
        <v>0</v>
      </c>
      <c r="Q616" s="65" t="str">
        <f>IF(Table1[[#This Row],[Pick]]="","",IF(S616&gt;1,400,IF(G616="","",IF(C616="Passing",(400-Table1[[#This Row],[Passing Yards]]-(30*Table1[[#This Row],[Passing TDs]])-(50*SUM(Table1[[#This Row],[Rushing TDs]:[Other TD''s]]))),IF(C616="Rushing",2*(200-Table1[[#This Row],[Rushing Yards]]-(30*Table1[[#This Row],[Passing TDs]])-50*(Table1[[#This Row],[Rushing TDs]]+Table1[[#This Row],[Receiving TDs]]+Table1[[#This Row],[Other TD''s]])),IF(C616="Receiving",2*(200-Table1[[#This Row],[Receiving Yards]]-(30*Table1[[#This Row],[Passing TDs]])-50*(Table1[[#This Row],[Rushing TDs]]+Table1[[#This Row],[Receiving TDs]]+Table1[[#This Row],[Other TD''s]])),IF(C616="Defensive",(25*(16-Table1[[#This Row],[Tackles]]-(8*(Table1[[#This Row],[Other TD''s]]+Table1[[#This Row],[Interceptions]]+Table1[[#This Row],[Fumbles Recovered]])))))))))))</f>
        <v/>
      </c>
      <c r="R616" s="3" t="str">
        <f t="shared" si="20"/>
        <v/>
      </c>
      <c r="S616" s="4">
        <f t="shared" si="19"/>
        <v>1048507</v>
      </c>
      <c r="T6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7" spans="1:20" hidden="1" x14ac:dyDescent="0.25">
      <c r="A617" t="s">
        <v>58</v>
      </c>
      <c r="B617" s="28" t="s">
        <v>53</v>
      </c>
      <c r="C617" t="s">
        <v>17</v>
      </c>
      <c r="D617" t="str">
        <f>_xlfn.XLOOKUP(Table1[[#This Row],[Player]]&amp;Table1[[#This Row],[Week]]&amp;Table1[[#This Row],[Role]],'Google Form Transform'!$A:$A,'Google Form Transform'!E:E,"")</f>
        <v/>
      </c>
      <c r="E617" t="str">
        <f>_xlfn.XLOOKUP(Table1[[#This Row],[Player]]&amp;Table1[[#This Row],[Week]]&amp;Table1[[#This Row],[Role]],'Google Form Transform'!$A:$A,'Google Form Transform'!F:F,"")</f>
        <v/>
      </c>
      <c r="F617" t="str">
        <f>_xlfn.XLOOKUP(Table1[[#This Row],[Player]]&amp;Table1[[#This Row],[Week]]&amp;Table1[[#This Row],[Role]],'Google Form Transform'!$A:$A,'Google Form Transform'!G:G,"")</f>
        <v/>
      </c>
      <c r="G617" s="59">
        <f>SUMIFS(Table2[Stat],Table2[Stat Category],"passing",Table2[Stat Type],"YDS",Table2[Athlete],Table1[[#This Row],[Pick]],Table2[Week],Table1[[#This Row],[Week]])</f>
        <v>0</v>
      </c>
      <c r="H617" s="59">
        <f>SUMIFS(Table2[Stat],Table2[Stat Category],"rushing",Table2[Stat Type],"YDS",Table2[Athlete],Table1[[#This Row],[Pick]],Table2[Week],Table1[[#This Row],[Week]])</f>
        <v>0</v>
      </c>
      <c r="I617" s="59">
        <f>SUMIFS(Table2[Stat],Table2[Stat Category],"receiving",Table2[Stat Type],"YDS",Table2[Athlete],Table1[[#This Row],[Pick]],Table2[Week],Table1[[#This Row],[Week]])</f>
        <v>0</v>
      </c>
      <c r="J617" s="6">
        <f>IF(AND($C617="Rushing", $H617&lt;=0), 0, IF(AND($C617="Passing", $G$3&lt;=0), 0,IF(AND($C617="Receiving",$I617&lt;=0), 0,SUMIFS(Table2[Stat],Table2[Week],Table1[[#This Row],[Week]],Table2[Athlete],Table1[[#This Row],[Pick]],Table2[Stat Category],"passing",Table2[Stat Type],"TD"))))</f>
        <v>0</v>
      </c>
      <c r="K617" s="6">
        <f>IF(AND($C617="Rushing", $H617&lt;=0), 0, IF(AND($C617="Passing", $G$3&lt;=0), 0,IF(AND($C617="Receiving",$I617&lt;=0),0,SUMIFS(Table2[Stat],Table2[Week],Table1[[#This Row],[Week]],Table2[Athlete],Table1[[#This Row],[Pick]],Table2[Stat Category],"rushing",Table2[Stat Type],"TD"))))</f>
        <v>0</v>
      </c>
      <c r="L617" s="6">
        <f>IF(AND($C617="Rushing", $H617&lt;=0), 0, IF(AND($C617="Passing", $G$3&lt;=0), 0,IF(AND($C617="Receiving",$I617&lt;=0),0,SUMIFS(Table2[Stat],Table2[Week],Table1[[#This Row],[Week]],Table2[Athlete],Table1[[#This Row],[Pick]],Table2[Stat Category],"receiving",Table2[Stat Type],"TD"))))</f>
        <v>0</v>
      </c>
      <c r="M6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7" s="61">
        <f>SUMIFS(Data!$J:$J,Data!$A:$A,Info!$B617,Data!$G:$G,Info!$C617,Data!$I:$I,Info!$D617,Data!$H:$H,"TOT")</f>
        <v>0</v>
      </c>
      <c r="O617" s="61">
        <f>IF(C617="Defensive",SUMIFS(Data!$J:$J,Data!$A:$A,Info!$B617,Data!$I:$I,Info!$D617,Data!$H:$H,"INT"),0)</f>
        <v>0</v>
      </c>
      <c r="P617" s="61">
        <f>IF(Table1[[#This Row],[Role]]="Defensive",SUMIFS(Data!$J:$J,Data!$A:$A,Info!$B617,Data!$I:$I,Info!$D617,Data!$H:$H,$P$1),0)</f>
        <v>0</v>
      </c>
      <c r="Q617" s="65" t="str">
        <f>IF(Table1[[#This Row],[Pick]]="","",IF(S617&gt;1,400,IF(G617="","",IF(C617="Passing",(400-Table1[[#This Row],[Passing Yards]]-(30*Table1[[#This Row],[Passing TDs]])-(50*SUM(Table1[[#This Row],[Rushing TDs]:[Other TD''s]]))),IF(C617="Rushing",2*(200-Table1[[#This Row],[Rushing Yards]]-(30*Table1[[#This Row],[Passing TDs]])-50*(Table1[[#This Row],[Rushing TDs]]+Table1[[#This Row],[Receiving TDs]]+Table1[[#This Row],[Other TD''s]])),IF(C617="Receiving",2*(200-Table1[[#This Row],[Receiving Yards]]-(30*Table1[[#This Row],[Passing TDs]])-50*(Table1[[#This Row],[Rushing TDs]]+Table1[[#This Row],[Receiving TDs]]+Table1[[#This Row],[Other TD''s]])),IF(C617="Defensive",(25*(16-Table1[[#This Row],[Tackles]]-(8*(Table1[[#This Row],[Other TD''s]]+Table1[[#This Row],[Interceptions]]+Table1[[#This Row],[Fumbles Recovered]])))))))))))</f>
        <v/>
      </c>
      <c r="R617" s="3" t="str">
        <f t="shared" si="20"/>
        <v/>
      </c>
      <c r="S617" s="4">
        <f t="shared" si="19"/>
        <v>1048507</v>
      </c>
      <c r="T6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8" spans="1:20" hidden="1" x14ac:dyDescent="0.25">
      <c r="A618" t="s">
        <v>58</v>
      </c>
      <c r="B618" s="28" t="s">
        <v>53</v>
      </c>
      <c r="C618" t="s">
        <v>20</v>
      </c>
      <c r="D618" t="str">
        <f>_xlfn.XLOOKUP(Table1[[#This Row],[Player]]&amp;Table1[[#This Row],[Week]]&amp;Table1[[#This Row],[Role]],'Google Form Transform'!$A:$A,'Google Form Transform'!E:E,"")</f>
        <v/>
      </c>
      <c r="E618" t="str">
        <f>_xlfn.XLOOKUP(Table1[[#This Row],[Player]]&amp;Table1[[#This Row],[Week]]&amp;Table1[[#This Row],[Role]],'Google Form Transform'!$A:$A,'Google Form Transform'!F:F,"")</f>
        <v/>
      </c>
      <c r="F618" t="str">
        <f>_xlfn.XLOOKUP(Table1[[#This Row],[Player]]&amp;Table1[[#This Row],[Week]]&amp;Table1[[#This Row],[Role]],'Google Form Transform'!$A:$A,'Google Form Transform'!G:G,"")</f>
        <v/>
      </c>
      <c r="G618" s="59">
        <f>SUMIFS(Table2[Stat],Table2[Stat Category],"passing",Table2[Stat Type],"YDS",Table2[Athlete],Table1[[#This Row],[Pick]],Table2[Week],Table1[[#This Row],[Week]])</f>
        <v>0</v>
      </c>
      <c r="H618" s="59">
        <f>SUMIFS(Table2[Stat],Table2[Stat Category],"rushing",Table2[Stat Type],"YDS",Table2[Athlete],Table1[[#This Row],[Pick]],Table2[Week],Table1[[#This Row],[Week]])</f>
        <v>0</v>
      </c>
      <c r="I618" s="59">
        <f>SUMIFS(Table2[Stat],Table2[Stat Category],"receiving",Table2[Stat Type],"YDS",Table2[Athlete],Table1[[#This Row],[Pick]],Table2[Week],Table1[[#This Row],[Week]])</f>
        <v>0</v>
      </c>
      <c r="J618" s="6">
        <f>IF(AND($C618="Rushing", $H618&lt;=0), 0, IF(AND($C618="Passing", $G$3&lt;=0), 0,IF(AND($C618="Receiving",$I618&lt;=0), 0,SUMIFS(Table2[Stat],Table2[Week],Table1[[#This Row],[Week]],Table2[Athlete],Table1[[#This Row],[Pick]],Table2[Stat Category],"passing",Table2[Stat Type],"TD"))))</f>
        <v>0</v>
      </c>
      <c r="K618" s="6">
        <f>IF(AND($C618="Rushing", $H618&lt;=0), 0, IF(AND($C618="Passing", $G$3&lt;=0), 0,IF(AND($C618="Receiving",$I618&lt;=0),0,SUMIFS(Table2[Stat],Table2[Week],Table1[[#This Row],[Week]],Table2[Athlete],Table1[[#This Row],[Pick]],Table2[Stat Category],"rushing",Table2[Stat Type],"TD"))))</f>
        <v>0</v>
      </c>
      <c r="L618" s="6">
        <f>IF(AND($C618="Rushing", $H618&lt;=0), 0, IF(AND($C618="Passing", $G$3&lt;=0), 0,IF(AND($C618="Receiving",$I618&lt;=0),0,SUMIFS(Table2[Stat],Table2[Week],Table1[[#This Row],[Week]],Table2[Athlete],Table1[[#This Row],[Pick]],Table2[Stat Category],"receiving",Table2[Stat Type],"TD"))))</f>
        <v>0</v>
      </c>
      <c r="M6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8" s="61">
        <f>SUMIFS(Data!$J:$J,Data!$A:$A,Info!$B618,Data!$G:$G,Info!$C618,Data!$I:$I,Info!$D618,Data!$H:$H,"TOT")</f>
        <v>0</v>
      </c>
      <c r="O618" s="61">
        <f>IF(C618="Defensive",SUMIFS(Data!$J:$J,Data!$A:$A,Info!$B618,Data!$I:$I,Info!$D618,Data!$H:$H,"INT"),0)</f>
        <v>0</v>
      </c>
      <c r="P618" s="61">
        <f>IF(Table1[[#This Row],[Role]]="Defensive",SUMIFS(Data!$J:$J,Data!$A:$A,Info!$B618,Data!$I:$I,Info!$D618,Data!$H:$H,$P$1),0)</f>
        <v>0</v>
      </c>
      <c r="Q618" s="65" t="str">
        <f>IF(Table1[[#This Row],[Pick]]="","",IF(S618&gt;1,400,IF(G618="","",IF(C618="Passing",(400-Table1[[#This Row],[Passing Yards]]-(30*Table1[[#This Row],[Passing TDs]])-(50*SUM(Table1[[#This Row],[Rushing TDs]:[Other TD''s]]))),IF(C618="Rushing",2*(200-Table1[[#This Row],[Rushing Yards]]-(30*Table1[[#This Row],[Passing TDs]])-50*(Table1[[#This Row],[Rushing TDs]]+Table1[[#This Row],[Receiving TDs]]+Table1[[#This Row],[Other TD''s]])),IF(C618="Receiving",2*(200-Table1[[#This Row],[Receiving Yards]]-(30*Table1[[#This Row],[Passing TDs]])-50*(Table1[[#This Row],[Rushing TDs]]+Table1[[#This Row],[Receiving TDs]]+Table1[[#This Row],[Other TD''s]])),IF(C618="Defensive",(25*(16-Table1[[#This Row],[Tackles]]-(8*(Table1[[#This Row],[Other TD''s]]+Table1[[#This Row],[Interceptions]]+Table1[[#This Row],[Fumbles Recovered]])))))))))))</f>
        <v/>
      </c>
      <c r="R618" s="3" t="str">
        <f t="shared" si="20"/>
        <v/>
      </c>
      <c r="S618" s="4">
        <f t="shared" si="19"/>
        <v>1048507</v>
      </c>
      <c r="T6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9" spans="1:20" hidden="1" x14ac:dyDescent="0.25">
      <c r="A619" t="s">
        <v>61</v>
      </c>
      <c r="B619" s="28" t="s">
        <v>53</v>
      </c>
      <c r="C619" t="s">
        <v>16</v>
      </c>
      <c r="D619" t="str">
        <f>_xlfn.XLOOKUP(Table1[[#This Row],[Player]]&amp;Table1[[#This Row],[Week]]&amp;Table1[[#This Row],[Role]],'Google Form Transform'!$A:$A,'Google Form Transform'!E:E,"")</f>
        <v/>
      </c>
      <c r="E619" t="str">
        <f>_xlfn.XLOOKUP(Table1[[#This Row],[Player]]&amp;Table1[[#This Row],[Week]]&amp;Table1[[#This Row],[Role]],'Google Form Transform'!$A:$A,'Google Form Transform'!F:F,"")</f>
        <v/>
      </c>
      <c r="F619" t="str">
        <f>_xlfn.XLOOKUP(Table1[[#This Row],[Player]]&amp;Table1[[#This Row],[Week]]&amp;Table1[[#This Row],[Role]],'Google Form Transform'!$A:$A,'Google Form Transform'!G:G,"")</f>
        <v/>
      </c>
      <c r="G619" s="59">
        <f>SUMIFS(Table2[Stat],Table2[Stat Category],"passing",Table2[Stat Type],"YDS",Table2[Athlete],Table1[[#This Row],[Pick]],Table2[Week],Table1[[#This Row],[Week]])</f>
        <v>0</v>
      </c>
      <c r="H619" s="59">
        <f>SUMIFS(Table2[Stat],Table2[Stat Category],"rushing",Table2[Stat Type],"YDS",Table2[Athlete],Table1[[#This Row],[Pick]],Table2[Week],Table1[[#This Row],[Week]])</f>
        <v>0</v>
      </c>
      <c r="I619" s="59">
        <f>SUMIFS(Table2[Stat],Table2[Stat Category],"receiving",Table2[Stat Type],"YDS",Table2[Athlete],Table1[[#This Row],[Pick]],Table2[Week],Table1[[#This Row],[Week]])</f>
        <v>0</v>
      </c>
      <c r="J619" s="6">
        <f>IF(AND($C619="Rushing", $H619&lt;=0), 0, IF(AND($C619="Passing", $G$3&lt;=0), 0,IF(AND($C619="Receiving",$I619&lt;=0), 0,SUMIFS(Table2[Stat],Table2[Week],Table1[[#This Row],[Week]],Table2[Athlete],Table1[[#This Row],[Pick]],Table2[Stat Category],"passing",Table2[Stat Type],"TD"))))</f>
        <v>0</v>
      </c>
      <c r="K619" s="6">
        <f>IF(AND($C619="Rushing", $H619&lt;=0), 0, IF(AND($C619="Passing", $G$3&lt;=0), 0,IF(AND($C619="Receiving",$I619&lt;=0),0,SUMIFS(Table2[Stat],Table2[Week],Table1[[#This Row],[Week]],Table2[Athlete],Table1[[#This Row],[Pick]],Table2[Stat Category],"rushing",Table2[Stat Type],"TD"))))</f>
        <v>0</v>
      </c>
      <c r="L619" s="6">
        <f>IF(AND($C619="Rushing", $H619&lt;=0), 0, IF(AND($C619="Passing", $G$3&lt;=0), 0,IF(AND($C619="Receiving",$I619&lt;=0),0,SUMIFS(Table2[Stat],Table2[Week],Table1[[#This Row],[Week]],Table2[Athlete],Table1[[#This Row],[Pick]],Table2[Stat Category],"receiving",Table2[Stat Type],"TD"))))</f>
        <v>0</v>
      </c>
      <c r="M6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9" s="61">
        <f>SUMIFS(Data!$J:$J,Data!$A:$A,Info!$B619,Data!$G:$G,Info!$C619,Data!$I:$I,Info!$D619,Data!$H:$H,"TOT")</f>
        <v>0</v>
      </c>
      <c r="O619" s="61">
        <f>IF(C619="Defensive",SUMIFS(Data!$J:$J,Data!$A:$A,Info!$B619,Data!$I:$I,Info!$D619,Data!$H:$H,"INT"),0)</f>
        <v>0</v>
      </c>
      <c r="P619" s="61">
        <f>IF(Table1[[#This Row],[Role]]="Defensive",SUMIFS(Data!$J:$J,Data!$A:$A,Info!$B619,Data!$I:$I,Info!$D619,Data!$H:$H,$P$1),0)</f>
        <v>0</v>
      </c>
      <c r="Q619" s="65" t="str">
        <f>IF(Table1[[#This Row],[Pick]]="","",IF(S619&gt;1,400,IF(G619="","",IF(C619="Passing",(400-Table1[[#This Row],[Passing Yards]]-(30*Table1[[#This Row],[Passing TDs]])-(50*SUM(Table1[[#This Row],[Rushing TDs]:[Other TD''s]]))),IF(C619="Rushing",2*(200-Table1[[#This Row],[Rushing Yards]]-(30*Table1[[#This Row],[Passing TDs]])-50*(Table1[[#This Row],[Rushing TDs]]+Table1[[#This Row],[Receiving TDs]]+Table1[[#This Row],[Other TD''s]])),IF(C619="Receiving",2*(200-Table1[[#This Row],[Receiving Yards]]-(30*Table1[[#This Row],[Passing TDs]])-50*(Table1[[#This Row],[Rushing TDs]]+Table1[[#This Row],[Receiving TDs]]+Table1[[#This Row],[Other TD''s]])),IF(C619="Defensive",(25*(16-Table1[[#This Row],[Tackles]]-(8*(Table1[[#This Row],[Other TD''s]]+Table1[[#This Row],[Interceptions]]+Table1[[#This Row],[Fumbles Recovered]])))))))))))</f>
        <v/>
      </c>
      <c r="R619" s="3" t="str">
        <f t="shared" si="20"/>
        <v/>
      </c>
      <c r="S619" s="4">
        <f t="shared" si="19"/>
        <v>1048507</v>
      </c>
      <c r="T6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0" spans="1:20" hidden="1" x14ac:dyDescent="0.25">
      <c r="A620" t="s">
        <v>61</v>
      </c>
      <c r="B620" s="28" t="s">
        <v>53</v>
      </c>
      <c r="C620" t="s">
        <v>6</v>
      </c>
      <c r="D620" t="str">
        <f>_xlfn.XLOOKUP(Table1[[#This Row],[Player]]&amp;Table1[[#This Row],[Week]]&amp;Table1[[#This Row],[Role]],'Google Form Transform'!$A:$A,'Google Form Transform'!E:E,"")</f>
        <v/>
      </c>
      <c r="E620" t="str">
        <f>_xlfn.XLOOKUP(Table1[[#This Row],[Player]]&amp;Table1[[#This Row],[Week]]&amp;Table1[[#This Row],[Role]],'Google Form Transform'!$A:$A,'Google Form Transform'!F:F,"")</f>
        <v/>
      </c>
      <c r="F620" t="str">
        <f>_xlfn.XLOOKUP(Table1[[#This Row],[Player]]&amp;Table1[[#This Row],[Week]]&amp;Table1[[#This Row],[Role]],'Google Form Transform'!$A:$A,'Google Form Transform'!G:G,"")</f>
        <v/>
      </c>
      <c r="G620" s="59">
        <f>SUMIFS(Table2[Stat],Table2[Stat Category],"passing",Table2[Stat Type],"YDS",Table2[Athlete],Table1[[#This Row],[Pick]],Table2[Week],Table1[[#This Row],[Week]])</f>
        <v>0</v>
      </c>
      <c r="H620" s="59">
        <f>SUMIFS(Table2[Stat],Table2[Stat Category],"rushing",Table2[Stat Type],"YDS",Table2[Athlete],Table1[[#This Row],[Pick]],Table2[Week],Table1[[#This Row],[Week]])</f>
        <v>0</v>
      </c>
      <c r="I620" s="59">
        <f>SUMIFS(Table2[Stat],Table2[Stat Category],"receiving",Table2[Stat Type],"YDS",Table2[Athlete],Table1[[#This Row],[Pick]],Table2[Week],Table1[[#This Row],[Week]])</f>
        <v>0</v>
      </c>
      <c r="J620" s="6">
        <f>IF(AND($C620="Rushing", $H620&lt;=0), 0, IF(AND($C620="Passing", $G$3&lt;=0), 0,IF(AND($C620="Receiving",$I620&lt;=0), 0,SUMIFS(Table2[Stat],Table2[Week],Table1[[#This Row],[Week]],Table2[Athlete],Table1[[#This Row],[Pick]],Table2[Stat Category],"passing",Table2[Stat Type],"TD"))))</f>
        <v>0</v>
      </c>
      <c r="K620" s="6">
        <f>IF(AND($C620="Rushing", $H620&lt;=0), 0, IF(AND($C620="Passing", $G$3&lt;=0), 0,IF(AND($C620="Receiving",$I620&lt;=0),0,SUMIFS(Table2[Stat],Table2[Week],Table1[[#This Row],[Week]],Table2[Athlete],Table1[[#This Row],[Pick]],Table2[Stat Category],"rushing",Table2[Stat Type],"TD"))))</f>
        <v>0</v>
      </c>
      <c r="L620" s="6">
        <f>IF(AND($C620="Rushing", $H620&lt;=0), 0, IF(AND($C620="Passing", $G$3&lt;=0), 0,IF(AND($C620="Receiving",$I620&lt;=0),0,SUMIFS(Table2[Stat],Table2[Week],Table1[[#This Row],[Week]],Table2[Athlete],Table1[[#This Row],[Pick]],Table2[Stat Category],"receiving",Table2[Stat Type],"TD"))))</f>
        <v>0</v>
      </c>
      <c r="M6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0" s="61">
        <f>SUMIFS(Data!$J:$J,Data!$A:$A,Info!$B620,Data!$G:$G,Info!$C620,Data!$I:$I,Info!$D620,Data!$H:$H,"TOT")</f>
        <v>0</v>
      </c>
      <c r="O620" s="61">
        <f>IF(C620="Defensive",SUMIFS(Data!$J:$J,Data!$A:$A,Info!$B620,Data!$I:$I,Info!$D620,Data!$H:$H,"INT"),0)</f>
        <v>0</v>
      </c>
      <c r="P620" s="61">
        <f>IF(Table1[[#This Row],[Role]]="Defensive",SUMIFS(Data!$J:$J,Data!$A:$A,Info!$B620,Data!$I:$I,Info!$D620,Data!$H:$H,$P$1),0)</f>
        <v>0</v>
      </c>
      <c r="Q620" s="65" t="str">
        <f>IF(Table1[[#This Row],[Pick]]="","",IF(S620&gt;1,400,IF(G620="","",IF(C620="Passing",(400-Table1[[#This Row],[Passing Yards]]-(30*Table1[[#This Row],[Passing TDs]])-(50*SUM(Table1[[#This Row],[Rushing TDs]:[Other TD''s]]))),IF(C620="Rushing",2*(200-Table1[[#This Row],[Rushing Yards]]-(30*Table1[[#This Row],[Passing TDs]])-50*(Table1[[#This Row],[Rushing TDs]]+Table1[[#This Row],[Receiving TDs]]+Table1[[#This Row],[Other TD''s]])),IF(C620="Receiving",2*(200-Table1[[#This Row],[Receiving Yards]]-(30*Table1[[#This Row],[Passing TDs]])-50*(Table1[[#This Row],[Rushing TDs]]+Table1[[#This Row],[Receiving TDs]]+Table1[[#This Row],[Other TD''s]])),IF(C620="Defensive",(25*(16-Table1[[#This Row],[Tackles]]-(8*(Table1[[#This Row],[Other TD''s]]+Table1[[#This Row],[Interceptions]]+Table1[[#This Row],[Fumbles Recovered]])))))))))))</f>
        <v/>
      </c>
      <c r="R620" s="3" t="str">
        <f t="shared" si="20"/>
        <v/>
      </c>
      <c r="S620" s="4">
        <f t="shared" si="19"/>
        <v>1048507</v>
      </c>
      <c r="T6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1" spans="1:20" hidden="1" x14ac:dyDescent="0.25">
      <c r="A621" t="s">
        <v>61</v>
      </c>
      <c r="B621" s="28" t="s">
        <v>53</v>
      </c>
      <c r="C621" t="s">
        <v>17</v>
      </c>
      <c r="D621" t="str">
        <f>_xlfn.XLOOKUP(Table1[[#This Row],[Player]]&amp;Table1[[#This Row],[Week]]&amp;Table1[[#This Row],[Role]],'Google Form Transform'!$A:$A,'Google Form Transform'!E:E,"")</f>
        <v/>
      </c>
      <c r="E621" t="str">
        <f>_xlfn.XLOOKUP(Table1[[#This Row],[Player]]&amp;Table1[[#This Row],[Week]]&amp;Table1[[#This Row],[Role]],'Google Form Transform'!$A:$A,'Google Form Transform'!F:F,"")</f>
        <v/>
      </c>
      <c r="F621" t="str">
        <f>_xlfn.XLOOKUP(Table1[[#This Row],[Player]]&amp;Table1[[#This Row],[Week]]&amp;Table1[[#This Row],[Role]],'Google Form Transform'!$A:$A,'Google Form Transform'!G:G,"")</f>
        <v/>
      </c>
      <c r="G621" s="59">
        <f>SUMIFS(Table2[Stat],Table2[Stat Category],"passing",Table2[Stat Type],"YDS",Table2[Athlete],Table1[[#This Row],[Pick]],Table2[Week],Table1[[#This Row],[Week]])</f>
        <v>0</v>
      </c>
      <c r="H621" s="59">
        <f>SUMIFS(Table2[Stat],Table2[Stat Category],"rushing",Table2[Stat Type],"YDS",Table2[Athlete],Table1[[#This Row],[Pick]],Table2[Week],Table1[[#This Row],[Week]])</f>
        <v>0</v>
      </c>
      <c r="I621" s="59">
        <f>SUMIFS(Table2[Stat],Table2[Stat Category],"receiving",Table2[Stat Type],"YDS",Table2[Athlete],Table1[[#This Row],[Pick]],Table2[Week],Table1[[#This Row],[Week]])</f>
        <v>0</v>
      </c>
      <c r="J621" s="6">
        <f>IF(AND($C621="Rushing", $H621&lt;=0), 0, IF(AND($C621="Passing", $G$3&lt;=0), 0,IF(AND($C621="Receiving",$I621&lt;=0), 0,SUMIFS(Table2[Stat],Table2[Week],Table1[[#This Row],[Week]],Table2[Athlete],Table1[[#This Row],[Pick]],Table2[Stat Category],"passing",Table2[Stat Type],"TD"))))</f>
        <v>0</v>
      </c>
      <c r="K621" s="6">
        <f>IF(AND($C621="Rushing", $H621&lt;=0), 0, IF(AND($C621="Passing", $G$3&lt;=0), 0,IF(AND($C621="Receiving",$I621&lt;=0),0,SUMIFS(Table2[Stat],Table2[Week],Table1[[#This Row],[Week]],Table2[Athlete],Table1[[#This Row],[Pick]],Table2[Stat Category],"rushing",Table2[Stat Type],"TD"))))</f>
        <v>0</v>
      </c>
      <c r="L621" s="6">
        <f>IF(AND($C621="Rushing", $H621&lt;=0), 0, IF(AND($C621="Passing", $G$3&lt;=0), 0,IF(AND($C621="Receiving",$I621&lt;=0),0,SUMIFS(Table2[Stat],Table2[Week],Table1[[#This Row],[Week]],Table2[Athlete],Table1[[#This Row],[Pick]],Table2[Stat Category],"receiving",Table2[Stat Type],"TD"))))</f>
        <v>0</v>
      </c>
      <c r="M6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1" s="61">
        <f>SUMIFS(Data!$J:$J,Data!$A:$A,Info!$B621,Data!$G:$G,Info!$C621,Data!$I:$I,Info!$D621,Data!$H:$H,"TOT")</f>
        <v>0</v>
      </c>
      <c r="O621" s="61">
        <f>IF(C621="Defensive",SUMIFS(Data!$J:$J,Data!$A:$A,Info!$B621,Data!$I:$I,Info!$D621,Data!$H:$H,"INT"),0)</f>
        <v>0</v>
      </c>
      <c r="P621" s="61">
        <f>IF(Table1[[#This Row],[Role]]="Defensive",SUMIFS(Data!$J:$J,Data!$A:$A,Info!$B621,Data!$I:$I,Info!$D621,Data!$H:$H,$P$1),0)</f>
        <v>0</v>
      </c>
      <c r="Q621" s="65" t="str">
        <f>IF(Table1[[#This Row],[Pick]]="","",IF(S621&gt;1,400,IF(G621="","",IF(C621="Passing",(400-Table1[[#This Row],[Passing Yards]]-(30*Table1[[#This Row],[Passing TDs]])-(50*SUM(Table1[[#This Row],[Rushing TDs]:[Other TD''s]]))),IF(C621="Rushing",2*(200-Table1[[#This Row],[Rushing Yards]]-(30*Table1[[#This Row],[Passing TDs]])-50*(Table1[[#This Row],[Rushing TDs]]+Table1[[#This Row],[Receiving TDs]]+Table1[[#This Row],[Other TD''s]])),IF(C621="Receiving",2*(200-Table1[[#This Row],[Receiving Yards]]-(30*Table1[[#This Row],[Passing TDs]])-50*(Table1[[#This Row],[Rushing TDs]]+Table1[[#This Row],[Receiving TDs]]+Table1[[#This Row],[Other TD''s]])),IF(C621="Defensive",(25*(16-Table1[[#This Row],[Tackles]]-(8*(Table1[[#This Row],[Other TD''s]]+Table1[[#This Row],[Interceptions]]+Table1[[#This Row],[Fumbles Recovered]])))))))))))</f>
        <v/>
      </c>
      <c r="R621" s="3" t="str">
        <f t="shared" si="20"/>
        <v/>
      </c>
      <c r="S621" s="4">
        <f t="shared" si="19"/>
        <v>1048507</v>
      </c>
      <c r="T6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2" spans="1:20" hidden="1" x14ac:dyDescent="0.25">
      <c r="A622" t="s">
        <v>61</v>
      </c>
      <c r="B622" s="28" t="s">
        <v>53</v>
      </c>
      <c r="C622" t="s">
        <v>20</v>
      </c>
      <c r="D622" t="str">
        <f>_xlfn.XLOOKUP(Table1[[#This Row],[Player]]&amp;Table1[[#This Row],[Week]]&amp;Table1[[#This Row],[Role]],'Google Form Transform'!$A:$A,'Google Form Transform'!E:E,"")</f>
        <v/>
      </c>
      <c r="E622" t="str">
        <f>_xlfn.XLOOKUP(Table1[[#This Row],[Player]]&amp;Table1[[#This Row],[Week]]&amp;Table1[[#This Row],[Role]],'Google Form Transform'!$A:$A,'Google Form Transform'!F:F,"")</f>
        <v/>
      </c>
      <c r="F622" t="str">
        <f>_xlfn.XLOOKUP(Table1[[#This Row],[Player]]&amp;Table1[[#This Row],[Week]]&amp;Table1[[#This Row],[Role]],'Google Form Transform'!$A:$A,'Google Form Transform'!G:G,"")</f>
        <v/>
      </c>
      <c r="G622" s="59">
        <f>SUMIFS(Table2[Stat],Table2[Stat Category],"passing",Table2[Stat Type],"YDS",Table2[Athlete],Table1[[#This Row],[Pick]],Table2[Week],Table1[[#This Row],[Week]])</f>
        <v>0</v>
      </c>
      <c r="H622" s="59">
        <f>SUMIFS(Table2[Stat],Table2[Stat Category],"rushing",Table2[Stat Type],"YDS",Table2[Athlete],Table1[[#This Row],[Pick]],Table2[Week],Table1[[#This Row],[Week]])</f>
        <v>0</v>
      </c>
      <c r="I622" s="59">
        <f>SUMIFS(Table2[Stat],Table2[Stat Category],"receiving",Table2[Stat Type],"YDS",Table2[Athlete],Table1[[#This Row],[Pick]],Table2[Week],Table1[[#This Row],[Week]])</f>
        <v>0</v>
      </c>
      <c r="J622" s="6">
        <f>IF(AND($C622="Rushing", $H622&lt;=0), 0, IF(AND($C622="Passing", $G$3&lt;=0), 0,IF(AND($C622="Receiving",$I622&lt;=0), 0,SUMIFS(Table2[Stat],Table2[Week],Table1[[#This Row],[Week]],Table2[Athlete],Table1[[#This Row],[Pick]],Table2[Stat Category],"passing",Table2[Stat Type],"TD"))))</f>
        <v>0</v>
      </c>
      <c r="K622" s="6">
        <f>IF(AND($C622="Rushing", $H622&lt;=0), 0, IF(AND($C622="Passing", $G$3&lt;=0), 0,IF(AND($C622="Receiving",$I622&lt;=0),0,SUMIFS(Table2[Stat],Table2[Week],Table1[[#This Row],[Week]],Table2[Athlete],Table1[[#This Row],[Pick]],Table2[Stat Category],"rushing",Table2[Stat Type],"TD"))))</f>
        <v>0</v>
      </c>
      <c r="L622" s="6">
        <f>IF(AND($C622="Rushing", $H622&lt;=0), 0, IF(AND($C622="Passing", $G$3&lt;=0), 0,IF(AND($C622="Receiving",$I622&lt;=0),0,SUMIFS(Table2[Stat],Table2[Week],Table1[[#This Row],[Week]],Table2[Athlete],Table1[[#This Row],[Pick]],Table2[Stat Category],"receiving",Table2[Stat Type],"TD"))))</f>
        <v>0</v>
      </c>
      <c r="M6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2" s="61">
        <f>SUMIFS(Data!$J:$J,Data!$A:$A,Info!$B622,Data!$G:$G,Info!$C622,Data!$I:$I,Info!$D622,Data!$H:$H,"TOT")</f>
        <v>0</v>
      </c>
      <c r="O622" s="61">
        <f>IF(C622="Defensive",SUMIFS(Data!$J:$J,Data!$A:$A,Info!$B622,Data!$I:$I,Info!$D622,Data!$H:$H,"INT"),0)</f>
        <v>0</v>
      </c>
      <c r="P622" s="61">
        <f>IF(Table1[[#This Row],[Role]]="Defensive",SUMIFS(Data!$J:$J,Data!$A:$A,Info!$B622,Data!$I:$I,Info!$D622,Data!$H:$H,$P$1),0)</f>
        <v>0</v>
      </c>
      <c r="Q622" s="65" t="str">
        <f>IF(Table1[[#This Row],[Pick]]="","",IF(S622&gt;1,400,IF(G622="","",IF(C622="Passing",(400-Table1[[#This Row],[Passing Yards]]-(30*Table1[[#This Row],[Passing TDs]])-(50*SUM(Table1[[#This Row],[Rushing TDs]:[Other TD''s]]))),IF(C622="Rushing",2*(200-Table1[[#This Row],[Rushing Yards]]-(30*Table1[[#This Row],[Passing TDs]])-50*(Table1[[#This Row],[Rushing TDs]]+Table1[[#This Row],[Receiving TDs]]+Table1[[#This Row],[Other TD''s]])),IF(C622="Receiving",2*(200-Table1[[#This Row],[Receiving Yards]]-(30*Table1[[#This Row],[Passing TDs]])-50*(Table1[[#This Row],[Rushing TDs]]+Table1[[#This Row],[Receiving TDs]]+Table1[[#This Row],[Other TD''s]])),IF(C622="Defensive",(25*(16-Table1[[#This Row],[Tackles]]-(8*(Table1[[#This Row],[Other TD''s]]+Table1[[#This Row],[Interceptions]]+Table1[[#This Row],[Fumbles Recovered]])))))))))))</f>
        <v/>
      </c>
      <c r="R622" s="3" t="str">
        <f t="shared" si="20"/>
        <v/>
      </c>
      <c r="S622" s="4">
        <f t="shared" si="19"/>
        <v>1048507</v>
      </c>
      <c r="T6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3" spans="1:20" hidden="1" x14ac:dyDescent="0.25">
      <c r="A623" t="s">
        <v>60</v>
      </c>
      <c r="B623" s="28" t="s">
        <v>53</v>
      </c>
      <c r="C623" t="s">
        <v>16</v>
      </c>
      <c r="D623" t="str">
        <f>_xlfn.XLOOKUP(Table1[[#This Row],[Player]]&amp;Table1[[#This Row],[Week]]&amp;Table1[[#This Row],[Role]],'Google Form Transform'!$A:$A,'Google Form Transform'!E:E,"")</f>
        <v/>
      </c>
      <c r="E623" t="str">
        <f>_xlfn.XLOOKUP(Table1[[#This Row],[Player]]&amp;Table1[[#This Row],[Week]]&amp;Table1[[#This Row],[Role]],'Google Form Transform'!$A:$A,'Google Form Transform'!F:F,"")</f>
        <v/>
      </c>
      <c r="F623" t="str">
        <f>_xlfn.XLOOKUP(Table1[[#This Row],[Player]]&amp;Table1[[#This Row],[Week]]&amp;Table1[[#This Row],[Role]],'Google Form Transform'!$A:$A,'Google Form Transform'!G:G,"")</f>
        <v/>
      </c>
      <c r="G623" s="59">
        <f>SUMIFS(Table2[Stat],Table2[Stat Category],"passing",Table2[Stat Type],"YDS",Table2[Athlete],Table1[[#This Row],[Pick]],Table2[Week],Table1[[#This Row],[Week]])</f>
        <v>0</v>
      </c>
      <c r="H623" s="59">
        <f>SUMIFS(Table2[Stat],Table2[Stat Category],"rushing",Table2[Stat Type],"YDS",Table2[Athlete],Table1[[#This Row],[Pick]],Table2[Week],Table1[[#This Row],[Week]])</f>
        <v>0</v>
      </c>
      <c r="I623" s="59">
        <f>SUMIFS(Table2[Stat],Table2[Stat Category],"receiving",Table2[Stat Type],"YDS",Table2[Athlete],Table1[[#This Row],[Pick]],Table2[Week],Table1[[#This Row],[Week]])</f>
        <v>0</v>
      </c>
      <c r="J623" s="6">
        <f>IF(AND($C623="Rushing", $H623&lt;=0), 0, IF(AND($C623="Passing", $G$3&lt;=0), 0,IF(AND($C623="Receiving",$I623&lt;=0), 0,SUMIFS(Table2[Stat],Table2[Week],Table1[[#This Row],[Week]],Table2[Athlete],Table1[[#This Row],[Pick]],Table2[Stat Category],"passing",Table2[Stat Type],"TD"))))</f>
        <v>0</v>
      </c>
      <c r="K623" s="6">
        <f>IF(AND($C623="Rushing", $H623&lt;=0), 0, IF(AND($C623="Passing", $G$3&lt;=0), 0,IF(AND($C623="Receiving",$I623&lt;=0),0,SUMIFS(Table2[Stat],Table2[Week],Table1[[#This Row],[Week]],Table2[Athlete],Table1[[#This Row],[Pick]],Table2[Stat Category],"rushing",Table2[Stat Type],"TD"))))</f>
        <v>0</v>
      </c>
      <c r="L623" s="6">
        <f>IF(AND($C623="Rushing", $H623&lt;=0), 0, IF(AND($C623="Passing", $G$3&lt;=0), 0,IF(AND($C623="Receiving",$I623&lt;=0),0,SUMIFS(Table2[Stat],Table2[Week],Table1[[#This Row],[Week]],Table2[Athlete],Table1[[#This Row],[Pick]],Table2[Stat Category],"receiving",Table2[Stat Type],"TD"))))</f>
        <v>0</v>
      </c>
      <c r="M6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3" s="61">
        <f>SUMIFS(Data!$J:$J,Data!$A:$A,Info!$B623,Data!$G:$G,Info!$C623,Data!$I:$I,Info!$D623,Data!$H:$H,"TOT")</f>
        <v>0</v>
      </c>
      <c r="O623" s="61">
        <f>IF(C623="Defensive",SUMIFS(Data!$J:$J,Data!$A:$A,Info!$B623,Data!$I:$I,Info!$D623,Data!$H:$H,"INT"),0)</f>
        <v>0</v>
      </c>
      <c r="P623" s="61">
        <f>IF(Table1[[#This Row],[Role]]="Defensive",SUMIFS(Data!$J:$J,Data!$A:$A,Info!$B623,Data!$I:$I,Info!$D623,Data!$H:$H,$P$1),0)</f>
        <v>0</v>
      </c>
      <c r="Q623" s="65" t="str">
        <f>IF(Table1[[#This Row],[Pick]]="","",IF(S623&gt;1,400,IF(G623="","",IF(C623="Passing",(400-Table1[[#This Row],[Passing Yards]]-(30*Table1[[#This Row],[Passing TDs]])-(50*SUM(Table1[[#This Row],[Rushing TDs]:[Other TD''s]]))),IF(C623="Rushing",2*(200-Table1[[#This Row],[Rushing Yards]]-(30*Table1[[#This Row],[Passing TDs]])-50*(Table1[[#This Row],[Rushing TDs]]+Table1[[#This Row],[Receiving TDs]]+Table1[[#This Row],[Other TD''s]])),IF(C623="Receiving",2*(200-Table1[[#This Row],[Receiving Yards]]-(30*Table1[[#This Row],[Passing TDs]])-50*(Table1[[#This Row],[Rushing TDs]]+Table1[[#This Row],[Receiving TDs]]+Table1[[#This Row],[Other TD''s]])),IF(C623="Defensive",(25*(16-Table1[[#This Row],[Tackles]]-(8*(Table1[[#This Row],[Other TD''s]]+Table1[[#This Row],[Interceptions]]+Table1[[#This Row],[Fumbles Recovered]])))))))))))</f>
        <v/>
      </c>
      <c r="R623" s="3" t="str">
        <f t="shared" si="20"/>
        <v/>
      </c>
      <c r="S623" s="4">
        <f t="shared" si="19"/>
        <v>1048507</v>
      </c>
      <c r="T6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4" spans="1:20" hidden="1" x14ac:dyDescent="0.25">
      <c r="A624" t="s">
        <v>60</v>
      </c>
      <c r="B624" s="28" t="s">
        <v>53</v>
      </c>
      <c r="C624" t="s">
        <v>6</v>
      </c>
      <c r="D624" t="str">
        <f>_xlfn.XLOOKUP(Table1[[#This Row],[Player]]&amp;Table1[[#This Row],[Week]]&amp;Table1[[#This Row],[Role]],'Google Form Transform'!$A:$A,'Google Form Transform'!E:E,"")</f>
        <v/>
      </c>
      <c r="E624" t="str">
        <f>_xlfn.XLOOKUP(Table1[[#This Row],[Player]]&amp;Table1[[#This Row],[Week]]&amp;Table1[[#This Row],[Role]],'Google Form Transform'!$A:$A,'Google Form Transform'!F:F,"")</f>
        <v/>
      </c>
      <c r="F624" t="str">
        <f>_xlfn.XLOOKUP(Table1[[#This Row],[Player]]&amp;Table1[[#This Row],[Week]]&amp;Table1[[#This Row],[Role]],'Google Form Transform'!$A:$A,'Google Form Transform'!G:G,"")</f>
        <v/>
      </c>
      <c r="G624" s="59">
        <f>SUMIFS(Table2[Stat],Table2[Stat Category],"passing",Table2[Stat Type],"YDS",Table2[Athlete],Table1[[#This Row],[Pick]],Table2[Week],Table1[[#This Row],[Week]])</f>
        <v>0</v>
      </c>
      <c r="H624" s="59">
        <f>SUMIFS(Table2[Stat],Table2[Stat Category],"rushing",Table2[Stat Type],"YDS",Table2[Athlete],Table1[[#This Row],[Pick]],Table2[Week],Table1[[#This Row],[Week]])</f>
        <v>0</v>
      </c>
      <c r="I624" s="59">
        <f>SUMIFS(Table2[Stat],Table2[Stat Category],"receiving",Table2[Stat Type],"YDS",Table2[Athlete],Table1[[#This Row],[Pick]],Table2[Week],Table1[[#This Row],[Week]])</f>
        <v>0</v>
      </c>
      <c r="J624" s="6">
        <f>IF(AND($C624="Rushing", $H624&lt;=0), 0, IF(AND($C624="Passing", $G$3&lt;=0), 0,IF(AND($C624="Receiving",$I624&lt;=0), 0,SUMIFS(Table2[Stat],Table2[Week],Table1[[#This Row],[Week]],Table2[Athlete],Table1[[#This Row],[Pick]],Table2[Stat Category],"passing",Table2[Stat Type],"TD"))))</f>
        <v>0</v>
      </c>
      <c r="K624" s="6">
        <f>IF(AND($C624="Rushing", $H624&lt;=0), 0, IF(AND($C624="Passing", $G$3&lt;=0), 0,IF(AND($C624="Receiving",$I624&lt;=0),0,SUMIFS(Table2[Stat],Table2[Week],Table1[[#This Row],[Week]],Table2[Athlete],Table1[[#This Row],[Pick]],Table2[Stat Category],"rushing",Table2[Stat Type],"TD"))))</f>
        <v>0</v>
      </c>
      <c r="L624" s="6">
        <f>IF(AND($C624="Rushing", $H624&lt;=0), 0, IF(AND($C624="Passing", $G$3&lt;=0), 0,IF(AND($C624="Receiving",$I624&lt;=0),0,SUMIFS(Table2[Stat],Table2[Week],Table1[[#This Row],[Week]],Table2[Athlete],Table1[[#This Row],[Pick]],Table2[Stat Category],"receiving",Table2[Stat Type],"TD"))))</f>
        <v>0</v>
      </c>
      <c r="M6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4" s="61">
        <f>SUMIFS(Data!$J:$J,Data!$A:$A,Info!$B624,Data!$G:$G,Info!$C624,Data!$I:$I,Info!$D624,Data!$H:$H,"TOT")</f>
        <v>0</v>
      </c>
      <c r="O624" s="61">
        <f>IF(C624="Defensive",SUMIFS(Data!$J:$J,Data!$A:$A,Info!$B624,Data!$I:$I,Info!$D624,Data!$H:$H,"INT"),0)</f>
        <v>0</v>
      </c>
      <c r="P624" s="61">
        <f>IF(Table1[[#This Row],[Role]]="Defensive",SUMIFS(Data!$J:$J,Data!$A:$A,Info!$B624,Data!$I:$I,Info!$D624,Data!$H:$H,$P$1),0)</f>
        <v>0</v>
      </c>
      <c r="Q624" s="65" t="str">
        <f>IF(Table1[[#This Row],[Pick]]="","",IF(S624&gt;1,400,IF(G624="","",IF(C624="Passing",(400-Table1[[#This Row],[Passing Yards]]-(30*Table1[[#This Row],[Passing TDs]])-(50*SUM(Table1[[#This Row],[Rushing TDs]:[Other TD''s]]))),IF(C624="Rushing",2*(200-Table1[[#This Row],[Rushing Yards]]-(30*Table1[[#This Row],[Passing TDs]])-50*(Table1[[#This Row],[Rushing TDs]]+Table1[[#This Row],[Receiving TDs]]+Table1[[#This Row],[Other TD''s]])),IF(C624="Receiving",2*(200-Table1[[#This Row],[Receiving Yards]]-(30*Table1[[#This Row],[Passing TDs]])-50*(Table1[[#This Row],[Rushing TDs]]+Table1[[#This Row],[Receiving TDs]]+Table1[[#This Row],[Other TD''s]])),IF(C624="Defensive",(25*(16-Table1[[#This Row],[Tackles]]-(8*(Table1[[#This Row],[Other TD''s]]+Table1[[#This Row],[Interceptions]]+Table1[[#This Row],[Fumbles Recovered]])))))))))))</f>
        <v/>
      </c>
      <c r="R624" s="3" t="str">
        <f t="shared" si="20"/>
        <v/>
      </c>
      <c r="S624" s="4">
        <f t="shared" si="19"/>
        <v>1048507</v>
      </c>
      <c r="T6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5" spans="1:20" hidden="1" x14ac:dyDescent="0.25">
      <c r="A625" t="s">
        <v>60</v>
      </c>
      <c r="B625" s="28" t="s">
        <v>53</v>
      </c>
      <c r="C625" t="s">
        <v>17</v>
      </c>
      <c r="D625" t="str">
        <f>_xlfn.XLOOKUP(Table1[[#This Row],[Player]]&amp;Table1[[#This Row],[Week]]&amp;Table1[[#This Row],[Role]],'Google Form Transform'!$A:$A,'Google Form Transform'!E:E,"")</f>
        <v/>
      </c>
      <c r="E625" t="str">
        <f>_xlfn.XLOOKUP(Table1[[#This Row],[Player]]&amp;Table1[[#This Row],[Week]]&amp;Table1[[#This Row],[Role]],'Google Form Transform'!$A:$A,'Google Form Transform'!F:F,"")</f>
        <v/>
      </c>
      <c r="F625" t="str">
        <f>_xlfn.XLOOKUP(Table1[[#This Row],[Player]]&amp;Table1[[#This Row],[Week]]&amp;Table1[[#This Row],[Role]],'Google Form Transform'!$A:$A,'Google Form Transform'!G:G,"")</f>
        <v/>
      </c>
      <c r="G625" s="59">
        <f>SUMIFS(Table2[Stat],Table2[Stat Category],"passing",Table2[Stat Type],"YDS",Table2[Athlete],Table1[[#This Row],[Pick]],Table2[Week],Table1[[#This Row],[Week]])</f>
        <v>0</v>
      </c>
      <c r="H625" s="59">
        <f>SUMIFS(Table2[Stat],Table2[Stat Category],"rushing",Table2[Stat Type],"YDS",Table2[Athlete],Table1[[#This Row],[Pick]],Table2[Week],Table1[[#This Row],[Week]])</f>
        <v>0</v>
      </c>
      <c r="I625" s="59">
        <f>SUMIFS(Table2[Stat],Table2[Stat Category],"receiving",Table2[Stat Type],"YDS",Table2[Athlete],Table1[[#This Row],[Pick]],Table2[Week],Table1[[#This Row],[Week]])</f>
        <v>0</v>
      </c>
      <c r="J625" s="6">
        <f>IF(AND($C625="Rushing", $H625&lt;=0), 0, IF(AND($C625="Passing", $G$3&lt;=0), 0,IF(AND($C625="Receiving",$I625&lt;=0), 0,SUMIFS(Table2[Stat],Table2[Week],Table1[[#This Row],[Week]],Table2[Athlete],Table1[[#This Row],[Pick]],Table2[Stat Category],"passing",Table2[Stat Type],"TD"))))</f>
        <v>0</v>
      </c>
      <c r="K625" s="6">
        <f>IF(AND($C625="Rushing", $H625&lt;=0), 0, IF(AND($C625="Passing", $G$3&lt;=0), 0,IF(AND($C625="Receiving",$I625&lt;=0),0,SUMIFS(Table2[Stat],Table2[Week],Table1[[#This Row],[Week]],Table2[Athlete],Table1[[#This Row],[Pick]],Table2[Stat Category],"rushing",Table2[Stat Type],"TD"))))</f>
        <v>0</v>
      </c>
      <c r="L625" s="6">
        <f>IF(AND($C625="Rushing", $H625&lt;=0), 0, IF(AND($C625="Passing", $G$3&lt;=0), 0,IF(AND($C625="Receiving",$I625&lt;=0),0,SUMIFS(Table2[Stat],Table2[Week],Table1[[#This Row],[Week]],Table2[Athlete],Table1[[#This Row],[Pick]],Table2[Stat Category],"receiving",Table2[Stat Type],"TD"))))</f>
        <v>0</v>
      </c>
      <c r="M6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5" s="61">
        <f>SUMIFS(Data!$J:$J,Data!$A:$A,Info!$B625,Data!$G:$G,Info!$C625,Data!$I:$I,Info!$D625,Data!$H:$H,"TOT")</f>
        <v>0</v>
      </c>
      <c r="O625" s="61">
        <f>IF(C625="Defensive",SUMIFS(Data!$J:$J,Data!$A:$A,Info!$B625,Data!$I:$I,Info!$D625,Data!$H:$H,"INT"),0)</f>
        <v>0</v>
      </c>
      <c r="P625" s="61">
        <f>IF(Table1[[#This Row],[Role]]="Defensive",SUMIFS(Data!$J:$J,Data!$A:$A,Info!$B625,Data!$I:$I,Info!$D625,Data!$H:$H,$P$1),0)</f>
        <v>0</v>
      </c>
      <c r="Q625" s="65" t="str">
        <f>IF(Table1[[#This Row],[Pick]]="","",IF(S625&gt;1,400,IF(G625="","",IF(C625="Passing",(400-Table1[[#This Row],[Passing Yards]]-(30*Table1[[#This Row],[Passing TDs]])-(50*SUM(Table1[[#This Row],[Rushing TDs]:[Other TD''s]]))),IF(C625="Rushing",2*(200-Table1[[#This Row],[Rushing Yards]]-(30*Table1[[#This Row],[Passing TDs]])-50*(Table1[[#This Row],[Rushing TDs]]+Table1[[#This Row],[Receiving TDs]]+Table1[[#This Row],[Other TD''s]])),IF(C625="Receiving",2*(200-Table1[[#This Row],[Receiving Yards]]-(30*Table1[[#This Row],[Passing TDs]])-50*(Table1[[#This Row],[Rushing TDs]]+Table1[[#This Row],[Receiving TDs]]+Table1[[#This Row],[Other TD''s]])),IF(C625="Defensive",(25*(16-Table1[[#This Row],[Tackles]]-(8*(Table1[[#This Row],[Other TD''s]]+Table1[[#This Row],[Interceptions]]+Table1[[#This Row],[Fumbles Recovered]])))))))))))</f>
        <v/>
      </c>
      <c r="R625" s="3" t="str">
        <f t="shared" si="20"/>
        <v/>
      </c>
      <c r="S625" s="4">
        <f t="shared" si="19"/>
        <v>1048507</v>
      </c>
      <c r="T6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6" spans="1:20" hidden="1" x14ac:dyDescent="0.25">
      <c r="A626" t="s">
        <v>60</v>
      </c>
      <c r="B626" s="28" t="s">
        <v>53</v>
      </c>
      <c r="C626" t="s">
        <v>20</v>
      </c>
      <c r="D626" t="str">
        <f>_xlfn.XLOOKUP(Table1[[#This Row],[Player]]&amp;Table1[[#This Row],[Week]]&amp;Table1[[#This Row],[Role]],'Google Form Transform'!$A:$A,'Google Form Transform'!E:E,"")</f>
        <v/>
      </c>
      <c r="E626" t="str">
        <f>_xlfn.XLOOKUP(Table1[[#This Row],[Player]]&amp;Table1[[#This Row],[Week]]&amp;Table1[[#This Row],[Role]],'Google Form Transform'!$A:$A,'Google Form Transform'!F:F,"")</f>
        <v/>
      </c>
      <c r="F626" t="str">
        <f>_xlfn.XLOOKUP(Table1[[#This Row],[Player]]&amp;Table1[[#This Row],[Week]]&amp;Table1[[#This Row],[Role]],'Google Form Transform'!$A:$A,'Google Form Transform'!G:G,"")</f>
        <v/>
      </c>
      <c r="G626" s="59">
        <f>SUMIFS(Table2[Stat],Table2[Stat Category],"passing",Table2[Stat Type],"YDS",Table2[Athlete],Table1[[#This Row],[Pick]],Table2[Week],Table1[[#This Row],[Week]])</f>
        <v>0</v>
      </c>
      <c r="H626" s="59">
        <f>SUMIFS(Table2[Stat],Table2[Stat Category],"rushing",Table2[Stat Type],"YDS",Table2[Athlete],Table1[[#This Row],[Pick]],Table2[Week],Table1[[#This Row],[Week]])</f>
        <v>0</v>
      </c>
      <c r="I626" s="59">
        <f>SUMIFS(Table2[Stat],Table2[Stat Category],"receiving",Table2[Stat Type],"YDS",Table2[Athlete],Table1[[#This Row],[Pick]],Table2[Week],Table1[[#This Row],[Week]])</f>
        <v>0</v>
      </c>
      <c r="J626" s="6">
        <f>IF(AND($C626="Rushing", $H626&lt;=0), 0, IF(AND($C626="Passing", $G$3&lt;=0), 0,IF(AND($C626="Receiving",$I626&lt;=0), 0,SUMIFS(Table2[Stat],Table2[Week],Table1[[#This Row],[Week]],Table2[Athlete],Table1[[#This Row],[Pick]],Table2[Stat Category],"passing",Table2[Stat Type],"TD"))))</f>
        <v>0</v>
      </c>
      <c r="K626" s="6">
        <f>IF(AND($C626="Rushing", $H626&lt;=0), 0, IF(AND($C626="Passing", $G$3&lt;=0), 0,IF(AND($C626="Receiving",$I626&lt;=0),0,SUMIFS(Table2[Stat],Table2[Week],Table1[[#This Row],[Week]],Table2[Athlete],Table1[[#This Row],[Pick]],Table2[Stat Category],"rushing",Table2[Stat Type],"TD"))))</f>
        <v>0</v>
      </c>
      <c r="L626" s="6">
        <f>IF(AND($C626="Rushing", $H626&lt;=0), 0, IF(AND($C626="Passing", $G$3&lt;=0), 0,IF(AND($C626="Receiving",$I626&lt;=0),0,SUMIFS(Table2[Stat],Table2[Week],Table1[[#This Row],[Week]],Table2[Athlete],Table1[[#This Row],[Pick]],Table2[Stat Category],"receiving",Table2[Stat Type],"TD"))))</f>
        <v>0</v>
      </c>
      <c r="M6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6" s="61">
        <f>SUMIFS(Data!$J:$J,Data!$A:$A,Info!$B626,Data!$G:$G,Info!$C626,Data!$I:$I,Info!$D626,Data!$H:$H,"TOT")</f>
        <v>0</v>
      </c>
      <c r="O626" s="61">
        <f>IF(C626="Defensive",SUMIFS(Data!$J:$J,Data!$A:$A,Info!$B626,Data!$I:$I,Info!$D626,Data!$H:$H,"INT"),0)</f>
        <v>0</v>
      </c>
      <c r="P626" s="61">
        <f>IF(Table1[[#This Row],[Role]]="Defensive",SUMIFS(Data!$J:$J,Data!$A:$A,Info!$B626,Data!$I:$I,Info!$D626,Data!$H:$H,$P$1),0)</f>
        <v>0</v>
      </c>
      <c r="Q626" s="65" t="str">
        <f>IF(Table1[[#This Row],[Pick]]="","",IF(S626&gt;1,400,IF(G626="","",IF(C626="Passing",(400-Table1[[#This Row],[Passing Yards]]-(30*Table1[[#This Row],[Passing TDs]])-(50*SUM(Table1[[#This Row],[Rushing TDs]:[Other TD''s]]))),IF(C626="Rushing",2*(200-Table1[[#This Row],[Rushing Yards]]-(30*Table1[[#This Row],[Passing TDs]])-50*(Table1[[#This Row],[Rushing TDs]]+Table1[[#This Row],[Receiving TDs]]+Table1[[#This Row],[Other TD''s]])),IF(C626="Receiving",2*(200-Table1[[#This Row],[Receiving Yards]]-(30*Table1[[#This Row],[Passing TDs]])-50*(Table1[[#This Row],[Rushing TDs]]+Table1[[#This Row],[Receiving TDs]]+Table1[[#This Row],[Other TD''s]])),IF(C626="Defensive",(25*(16-Table1[[#This Row],[Tackles]]-(8*(Table1[[#This Row],[Other TD''s]]+Table1[[#This Row],[Interceptions]]+Table1[[#This Row],[Fumbles Recovered]])))))))))))</f>
        <v/>
      </c>
      <c r="R626" s="3" t="str">
        <f t="shared" si="20"/>
        <v/>
      </c>
      <c r="S626" s="4">
        <f t="shared" si="19"/>
        <v>1048507</v>
      </c>
      <c r="T6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7" spans="1:20" hidden="1" x14ac:dyDescent="0.25">
      <c r="A627" t="s">
        <v>62</v>
      </c>
      <c r="B627" s="28" t="s">
        <v>53</v>
      </c>
      <c r="C627" t="s">
        <v>16</v>
      </c>
      <c r="D627" t="str">
        <f>_xlfn.XLOOKUP(Table1[[#This Row],[Player]]&amp;Table1[[#This Row],[Week]]&amp;Table1[[#This Row],[Role]],'Google Form Transform'!$A:$A,'Google Form Transform'!E:E,"")</f>
        <v/>
      </c>
      <c r="E627" t="str">
        <f>_xlfn.XLOOKUP(Table1[[#This Row],[Player]]&amp;Table1[[#This Row],[Week]]&amp;Table1[[#This Row],[Role]],'Google Form Transform'!$A:$A,'Google Form Transform'!F:F,"")</f>
        <v/>
      </c>
      <c r="F627" t="str">
        <f>_xlfn.XLOOKUP(Table1[[#This Row],[Player]]&amp;Table1[[#This Row],[Week]]&amp;Table1[[#This Row],[Role]],'Google Form Transform'!$A:$A,'Google Form Transform'!G:G,"")</f>
        <v/>
      </c>
      <c r="G627" s="59">
        <f>SUMIFS(Table2[Stat],Table2[Stat Category],"passing",Table2[Stat Type],"YDS",Table2[Athlete],Table1[[#This Row],[Pick]],Table2[Week],Table1[[#This Row],[Week]])</f>
        <v>0</v>
      </c>
      <c r="H627" s="59">
        <f>SUMIFS(Table2[Stat],Table2[Stat Category],"rushing",Table2[Stat Type],"YDS",Table2[Athlete],Table1[[#This Row],[Pick]],Table2[Week],Table1[[#This Row],[Week]])</f>
        <v>0</v>
      </c>
      <c r="I627" s="59">
        <f>SUMIFS(Table2[Stat],Table2[Stat Category],"receiving",Table2[Stat Type],"YDS",Table2[Athlete],Table1[[#This Row],[Pick]],Table2[Week],Table1[[#This Row],[Week]])</f>
        <v>0</v>
      </c>
      <c r="J627" s="6">
        <f>IF(AND($C627="Rushing", $H627&lt;=0), 0, IF(AND($C627="Passing", $G$3&lt;=0), 0,IF(AND($C627="Receiving",$I627&lt;=0), 0,SUMIFS(Table2[Stat],Table2[Week],Table1[[#This Row],[Week]],Table2[Athlete],Table1[[#This Row],[Pick]],Table2[Stat Category],"passing",Table2[Stat Type],"TD"))))</f>
        <v>0</v>
      </c>
      <c r="K627" s="6">
        <f>IF(AND($C627="Rushing", $H627&lt;=0), 0, IF(AND($C627="Passing", $G$3&lt;=0), 0,IF(AND($C627="Receiving",$I627&lt;=0),0,SUMIFS(Table2[Stat],Table2[Week],Table1[[#This Row],[Week]],Table2[Athlete],Table1[[#This Row],[Pick]],Table2[Stat Category],"rushing",Table2[Stat Type],"TD"))))</f>
        <v>0</v>
      </c>
      <c r="L627" s="6">
        <f>IF(AND($C627="Rushing", $H627&lt;=0), 0, IF(AND($C627="Passing", $G$3&lt;=0), 0,IF(AND($C627="Receiving",$I627&lt;=0),0,SUMIFS(Table2[Stat],Table2[Week],Table1[[#This Row],[Week]],Table2[Athlete],Table1[[#This Row],[Pick]],Table2[Stat Category],"receiving",Table2[Stat Type],"TD"))))</f>
        <v>0</v>
      </c>
      <c r="M6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7" s="61">
        <f>SUMIFS(Data!$J:$J,Data!$A:$A,Info!$B627,Data!$G:$G,Info!$C627,Data!$I:$I,Info!$D627,Data!$H:$H,"TOT")</f>
        <v>0</v>
      </c>
      <c r="O627" s="61">
        <f>IF(C627="Defensive",SUMIFS(Data!$J:$J,Data!$A:$A,Info!$B627,Data!$I:$I,Info!$D627,Data!$H:$H,"INT"),0)</f>
        <v>0</v>
      </c>
      <c r="P627" s="61">
        <f>IF(Table1[[#This Row],[Role]]="Defensive",SUMIFS(Data!$J:$J,Data!$A:$A,Info!$B627,Data!$I:$I,Info!$D627,Data!$H:$H,$P$1),0)</f>
        <v>0</v>
      </c>
      <c r="Q627" s="65" t="str">
        <f>IF(Table1[[#This Row],[Pick]]="","",IF(S627&gt;1,400,IF(G627="","",IF(C627="Passing",(400-Table1[[#This Row],[Passing Yards]]-(30*Table1[[#This Row],[Passing TDs]])-(50*SUM(Table1[[#This Row],[Rushing TDs]:[Other TD''s]]))),IF(C627="Rushing",2*(200-Table1[[#This Row],[Rushing Yards]]-(30*Table1[[#This Row],[Passing TDs]])-50*(Table1[[#This Row],[Rushing TDs]]+Table1[[#This Row],[Receiving TDs]]+Table1[[#This Row],[Other TD''s]])),IF(C627="Receiving",2*(200-Table1[[#This Row],[Receiving Yards]]-(30*Table1[[#This Row],[Passing TDs]])-50*(Table1[[#This Row],[Rushing TDs]]+Table1[[#This Row],[Receiving TDs]]+Table1[[#This Row],[Other TD''s]])),IF(C627="Defensive",(25*(16-Table1[[#This Row],[Tackles]]-(8*(Table1[[#This Row],[Other TD''s]]+Table1[[#This Row],[Interceptions]]+Table1[[#This Row],[Fumbles Recovered]])))))))))))</f>
        <v/>
      </c>
      <c r="R627" s="3" t="str">
        <f t="shared" si="20"/>
        <v/>
      </c>
      <c r="S627" s="4">
        <f t="shared" si="19"/>
        <v>1048507</v>
      </c>
      <c r="T6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8" spans="1:20" hidden="1" x14ac:dyDescent="0.25">
      <c r="A628" t="s">
        <v>62</v>
      </c>
      <c r="B628" s="28" t="s">
        <v>53</v>
      </c>
      <c r="C628" t="s">
        <v>6</v>
      </c>
      <c r="D628" t="str">
        <f>_xlfn.XLOOKUP(Table1[[#This Row],[Player]]&amp;Table1[[#This Row],[Week]]&amp;Table1[[#This Row],[Role]],'Google Form Transform'!$A:$A,'Google Form Transform'!E:E,"")</f>
        <v/>
      </c>
      <c r="E628" t="str">
        <f>_xlfn.XLOOKUP(Table1[[#This Row],[Player]]&amp;Table1[[#This Row],[Week]]&amp;Table1[[#This Row],[Role]],'Google Form Transform'!$A:$A,'Google Form Transform'!F:F,"")</f>
        <v/>
      </c>
      <c r="F628" t="str">
        <f>_xlfn.XLOOKUP(Table1[[#This Row],[Player]]&amp;Table1[[#This Row],[Week]]&amp;Table1[[#This Row],[Role]],'Google Form Transform'!$A:$A,'Google Form Transform'!G:G,"")</f>
        <v/>
      </c>
      <c r="G628" s="59">
        <f>SUMIFS(Table2[Stat],Table2[Stat Category],"passing",Table2[Stat Type],"YDS",Table2[Athlete],Table1[[#This Row],[Pick]],Table2[Week],Table1[[#This Row],[Week]])</f>
        <v>0</v>
      </c>
      <c r="H628" s="59">
        <f>SUMIFS(Table2[Stat],Table2[Stat Category],"rushing",Table2[Stat Type],"YDS",Table2[Athlete],Table1[[#This Row],[Pick]],Table2[Week],Table1[[#This Row],[Week]])</f>
        <v>0</v>
      </c>
      <c r="I628" s="59">
        <f>SUMIFS(Table2[Stat],Table2[Stat Category],"receiving",Table2[Stat Type],"YDS",Table2[Athlete],Table1[[#This Row],[Pick]],Table2[Week],Table1[[#This Row],[Week]])</f>
        <v>0</v>
      </c>
      <c r="J628" s="6">
        <f>IF(AND($C628="Rushing", $H628&lt;=0), 0, IF(AND($C628="Passing", $G$3&lt;=0), 0,IF(AND($C628="Receiving",$I628&lt;=0), 0,SUMIFS(Table2[Stat],Table2[Week],Table1[[#This Row],[Week]],Table2[Athlete],Table1[[#This Row],[Pick]],Table2[Stat Category],"passing",Table2[Stat Type],"TD"))))</f>
        <v>0</v>
      </c>
      <c r="K628" s="6">
        <f>IF(AND($C628="Rushing", $H628&lt;=0), 0, IF(AND($C628="Passing", $G$3&lt;=0), 0,IF(AND($C628="Receiving",$I628&lt;=0),0,SUMIFS(Table2[Stat],Table2[Week],Table1[[#This Row],[Week]],Table2[Athlete],Table1[[#This Row],[Pick]],Table2[Stat Category],"rushing",Table2[Stat Type],"TD"))))</f>
        <v>0</v>
      </c>
      <c r="L628" s="6">
        <f>IF(AND($C628="Rushing", $H628&lt;=0), 0, IF(AND($C628="Passing", $G$3&lt;=0), 0,IF(AND($C628="Receiving",$I628&lt;=0),0,SUMIFS(Table2[Stat],Table2[Week],Table1[[#This Row],[Week]],Table2[Athlete],Table1[[#This Row],[Pick]],Table2[Stat Category],"receiving",Table2[Stat Type],"TD"))))</f>
        <v>0</v>
      </c>
      <c r="M6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8" s="61">
        <f>SUMIFS(Data!$J:$J,Data!$A:$A,Info!$B628,Data!$G:$G,Info!$C628,Data!$I:$I,Info!$D628,Data!$H:$H,"TOT")</f>
        <v>0</v>
      </c>
      <c r="O628" s="61">
        <f>IF(C628="Defensive",SUMIFS(Data!$J:$J,Data!$A:$A,Info!$B628,Data!$I:$I,Info!$D628,Data!$H:$H,"INT"),0)</f>
        <v>0</v>
      </c>
      <c r="P628" s="61">
        <f>IF(Table1[[#This Row],[Role]]="Defensive",SUMIFS(Data!$J:$J,Data!$A:$A,Info!$B628,Data!$I:$I,Info!$D628,Data!$H:$H,$P$1),0)</f>
        <v>0</v>
      </c>
      <c r="Q628" s="65" t="str">
        <f>IF(Table1[[#This Row],[Pick]]="","",IF(S628&gt;1,400,IF(G628="","",IF(C628="Passing",(400-Table1[[#This Row],[Passing Yards]]-(30*Table1[[#This Row],[Passing TDs]])-(50*SUM(Table1[[#This Row],[Rushing TDs]:[Other TD''s]]))),IF(C628="Rushing",2*(200-Table1[[#This Row],[Rushing Yards]]-(30*Table1[[#This Row],[Passing TDs]])-50*(Table1[[#This Row],[Rushing TDs]]+Table1[[#This Row],[Receiving TDs]]+Table1[[#This Row],[Other TD''s]])),IF(C628="Receiving",2*(200-Table1[[#This Row],[Receiving Yards]]-(30*Table1[[#This Row],[Passing TDs]])-50*(Table1[[#This Row],[Rushing TDs]]+Table1[[#This Row],[Receiving TDs]]+Table1[[#This Row],[Other TD''s]])),IF(C628="Defensive",(25*(16-Table1[[#This Row],[Tackles]]-(8*(Table1[[#This Row],[Other TD''s]]+Table1[[#This Row],[Interceptions]]+Table1[[#This Row],[Fumbles Recovered]])))))))))))</f>
        <v/>
      </c>
      <c r="R628" s="3" t="str">
        <f t="shared" si="20"/>
        <v/>
      </c>
      <c r="S628" s="4">
        <f t="shared" si="19"/>
        <v>1048507</v>
      </c>
      <c r="T6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9" spans="1:20" hidden="1" x14ac:dyDescent="0.25">
      <c r="A629" t="s">
        <v>62</v>
      </c>
      <c r="B629" s="28" t="s">
        <v>53</v>
      </c>
      <c r="C629" t="s">
        <v>17</v>
      </c>
      <c r="D629" t="str">
        <f>_xlfn.XLOOKUP(Table1[[#This Row],[Player]]&amp;Table1[[#This Row],[Week]]&amp;Table1[[#This Row],[Role]],'Google Form Transform'!$A:$A,'Google Form Transform'!E:E,"")</f>
        <v/>
      </c>
      <c r="E629" t="str">
        <f>_xlfn.XLOOKUP(Table1[[#This Row],[Player]]&amp;Table1[[#This Row],[Week]]&amp;Table1[[#This Row],[Role]],'Google Form Transform'!$A:$A,'Google Form Transform'!F:F,"")</f>
        <v/>
      </c>
      <c r="F629" t="str">
        <f>_xlfn.XLOOKUP(Table1[[#This Row],[Player]]&amp;Table1[[#This Row],[Week]]&amp;Table1[[#This Row],[Role]],'Google Form Transform'!$A:$A,'Google Form Transform'!G:G,"")</f>
        <v/>
      </c>
      <c r="G629" s="59">
        <f>SUMIFS(Table2[Stat],Table2[Stat Category],"passing",Table2[Stat Type],"YDS",Table2[Athlete],Table1[[#This Row],[Pick]],Table2[Week],Table1[[#This Row],[Week]])</f>
        <v>0</v>
      </c>
      <c r="H629" s="59">
        <f>SUMIFS(Table2[Stat],Table2[Stat Category],"rushing",Table2[Stat Type],"YDS",Table2[Athlete],Table1[[#This Row],[Pick]],Table2[Week],Table1[[#This Row],[Week]])</f>
        <v>0</v>
      </c>
      <c r="I629" s="59">
        <f>SUMIFS(Table2[Stat],Table2[Stat Category],"receiving",Table2[Stat Type],"YDS",Table2[Athlete],Table1[[#This Row],[Pick]],Table2[Week],Table1[[#This Row],[Week]])</f>
        <v>0</v>
      </c>
      <c r="J629" s="6">
        <f>IF(AND($C629="Rushing", $H629&lt;=0), 0, IF(AND($C629="Passing", $G$3&lt;=0), 0,IF(AND($C629="Receiving",$I629&lt;=0), 0,SUMIFS(Table2[Stat],Table2[Week],Table1[[#This Row],[Week]],Table2[Athlete],Table1[[#This Row],[Pick]],Table2[Stat Category],"passing",Table2[Stat Type],"TD"))))</f>
        <v>0</v>
      </c>
      <c r="K629" s="6">
        <f>IF(AND($C629="Rushing", $H629&lt;=0), 0, IF(AND($C629="Passing", $G$3&lt;=0), 0,IF(AND($C629="Receiving",$I629&lt;=0),0,SUMIFS(Table2[Stat],Table2[Week],Table1[[#This Row],[Week]],Table2[Athlete],Table1[[#This Row],[Pick]],Table2[Stat Category],"rushing",Table2[Stat Type],"TD"))))</f>
        <v>0</v>
      </c>
      <c r="L629" s="6">
        <f>IF(AND($C629="Rushing", $H629&lt;=0), 0, IF(AND($C629="Passing", $G$3&lt;=0), 0,IF(AND($C629="Receiving",$I629&lt;=0),0,SUMIFS(Table2[Stat],Table2[Week],Table1[[#This Row],[Week]],Table2[Athlete],Table1[[#This Row],[Pick]],Table2[Stat Category],"receiving",Table2[Stat Type],"TD"))))</f>
        <v>0</v>
      </c>
      <c r="M6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9" s="61">
        <f>SUMIFS(Data!$J:$J,Data!$A:$A,Info!$B629,Data!$G:$G,Info!$C629,Data!$I:$I,Info!$D629,Data!$H:$H,"TOT")</f>
        <v>0</v>
      </c>
      <c r="O629" s="61">
        <f>IF(C629="Defensive",SUMIFS(Data!$J:$J,Data!$A:$A,Info!$B629,Data!$I:$I,Info!$D629,Data!$H:$H,"INT"),0)</f>
        <v>0</v>
      </c>
      <c r="P629" s="61">
        <f>IF(Table1[[#This Row],[Role]]="Defensive",SUMIFS(Data!$J:$J,Data!$A:$A,Info!$B629,Data!$I:$I,Info!$D629,Data!$H:$H,$P$1),0)</f>
        <v>0</v>
      </c>
      <c r="Q629" s="65" t="str">
        <f>IF(Table1[[#This Row],[Pick]]="","",IF(S629&gt;1,400,IF(G629="","",IF(C629="Passing",(400-Table1[[#This Row],[Passing Yards]]-(30*Table1[[#This Row],[Passing TDs]])-(50*SUM(Table1[[#This Row],[Rushing TDs]:[Other TD''s]]))),IF(C629="Rushing",2*(200-Table1[[#This Row],[Rushing Yards]]-(30*Table1[[#This Row],[Passing TDs]])-50*(Table1[[#This Row],[Rushing TDs]]+Table1[[#This Row],[Receiving TDs]]+Table1[[#This Row],[Other TD''s]])),IF(C629="Receiving",2*(200-Table1[[#This Row],[Receiving Yards]]-(30*Table1[[#This Row],[Passing TDs]])-50*(Table1[[#This Row],[Rushing TDs]]+Table1[[#This Row],[Receiving TDs]]+Table1[[#This Row],[Other TD''s]])),IF(C629="Defensive",(25*(16-Table1[[#This Row],[Tackles]]-(8*(Table1[[#This Row],[Other TD''s]]+Table1[[#This Row],[Interceptions]]+Table1[[#This Row],[Fumbles Recovered]])))))))))))</f>
        <v/>
      </c>
      <c r="R629" s="3" t="str">
        <f t="shared" si="20"/>
        <v/>
      </c>
      <c r="S629" s="4">
        <f t="shared" si="19"/>
        <v>1048507</v>
      </c>
      <c r="T6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0" spans="1:20" hidden="1" x14ac:dyDescent="0.25">
      <c r="A630" t="s">
        <v>62</v>
      </c>
      <c r="B630" s="28" t="s">
        <v>53</v>
      </c>
      <c r="C630" t="s">
        <v>20</v>
      </c>
      <c r="D630" t="str">
        <f>_xlfn.XLOOKUP(Table1[[#This Row],[Player]]&amp;Table1[[#This Row],[Week]]&amp;Table1[[#This Row],[Role]],'Google Form Transform'!$A:$A,'Google Form Transform'!E:E,"")</f>
        <v/>
      </c>
      <c r="E630" t="str">
        <f>_xlfn.XLOOKUP(Table1[[#This Row],[Player]]&amp;Table1[[#This Row],[Week]]&amp;Table1[[#This Row],[Role]],'Google Form Transform'!$A:$A,'Google Form Transform'!F:F,"")</f>
        <v/>
      </c>
      <c r="F630" t="str">
        <f>_xlfn.XLOOKUP(Table1[[#This Row],[Player]]&amp;Table1[[#This Row],[Week]]&amp;Table1[[#This Row],[Role]],'Google Form Transform'!$A:$A,'Google Form Transform'!G:G,"")</f>
        <v/>
      </c>
      <c r="G630" s="59">
        <f>SUMIFS(Table2[Stat],Table2[Stat Category],"passing",Table2[Stat Type],"YDS",Table2[Athlete],Table1[[#This Row],[Pick]],Table2[Week],Table1[[#This Row],[Week]])</f>
        <v>0</v>
      </c>
      <c r="H630" s="59">
        <f>SUMIFS(Table2[Stat],Table2[Stat Category],"rushing",Table2[Stat Type],"YDS",Table2[Athlete],Table1[[#This Row],[Pick]],Table2[Week],Table1[[#This Row],[Week]])</f>
        <v>0</v>
      </c>
      <c r="I630" s="59">
        <f>SUMIFS(Table2[Stat],Table2[Stat Category],"receiving",Table2[Stat Type],"YDS",Table2[Athlete],Table1[[#This Row],[Pick]],Table2[Week],Table1[[#This Row],[Week]])</f>
        <v>0</v>
      </c>
      <c r="J630" s="6">
        <f>IF(AND($C630="Rushing", $H630&lt;=0), 0, IF(AND($C630="Passing", $G$3&lt;=0), 0,IF(AND($C630="Receiving",$I630&lt;=0), 0,SUMIFS(Table2[Stat],Table2[Week],Table1[[#This Row],[Week]],Table2[Athlete],Table1[[#This Row],[Pick]],Table2[Stat Category],"passing",Table2[Stat Type],"TD"))))</f>
        <v>0</v>
      </c>
      <c r="K630" s="6">
        <f>IF(AND($C630="Rushing", $H630&lt;=0), 0, IF(AND($C630="Passing", $G$3&lt;=0), 0,IF(AND($C630="Receiving",$I630&lt;=0),0,SUMIFS(Table2[Stat],Table2[Week],Table1[[#This Row],[Week]],Table2[Athlete],Table1[[#This Row],[Pick]],Table2[Stat Category],"rushing",Table2[Stat Type],"TD"))))</f>
        <v>0</v>
      </c>
      <c r="L630" s="6">
        <f>IF(AND($C630="Rushing", $H630&lt;=0), 0, IF(AND($C630="Passing", $G$3&lt;=0), 0,IF(AND($C630="Receiving",$I630&lt;=0),0,SUMIFS(Table2[Stat],Table2[Week],Table1[[#This Row],[Week]],Table2[Athlete],Table1[[#This Row],[Pick]],Table2[Stat Category],"receiving",Table2[Stat Type],"TD"))))</f>
        <v>0</v>
      </c>
      <c r="M6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0" s="61">
        <f>SUMIFS(Data!$J:$J,Data!$A:$A,Info!$B630,Data!$G:$G,Info!$C630,Data!$I:$I,Info!$D630,Data!$H:$H,"TOT")</f>
        <v>0</v>
      </c>
      <c r="O630" s="61">
        <f>IF(C630="Defensive",SUMIFS(Data!$J:$J,Data!$A:$A,Info!$B630,Data!$I:$I,Info!$D630,Data!$H:$H,"INT"),0)</f>
        <v>0</v>
      </c>
      <c r="P630" s="61">
        <f>IF(Table1[[#This Row],[Role]]="Defensive",SUMIFS(Data!$J:$J,Data!$A:$A,Info!$B630,Data!$I:$I,Info!$D630,Data!$H:$H,$P$1),0)</f>
        <v>0</v>
      </c>
      <c r="Q630" s="65" t="str">
        <f>IF(Table1[[#This Row],[Pick]]="","",IF(S630&gt;1,400,IF(G630="","",IF(C630="Passing",(400-Table1[[#This Row],[Passing Yards]]-(30*Table1[[#This Row],[Passing TDs]])-(50*SUM(Table1[[#This Row],[Rushing TDs]:[Other TD''s]]))),IF(C630="Rushing",2*(200-Table1[[#This Row],[Rushing Yards]]-(30*Table1[[#This Row],[Passing TDs]])-50*(Table1[[#This Row],[Rushing TDs]]+Table1[[#This Row],[Receiving TDs]]+Table1[[#This Row],[Other TD''s]])),IF(C630="Receiving",2*(200-Table1[[#This Row],[Receiving Yards]]-(30*Table1[[#This Row],[Passing TDs]])-50*(Table1[[#This Row],[Rushing TDs]]+Table1[[#This Row],[Receiving TDs]]+Table1[[#This Row],[Other TD''s]])),IF(C630="Defensive",(25*(16-Table1[[#This Row],[Tackles]]-(8*(Table1[[#This Row],[Other TD''s]]+Table1[[#This Row],[Interceptions]]+Table1[[#This Row],[Fumbles Recovered]])))))))))))</f>
        <v/>
      </c>
      <c r="R630" s="3" t="str">
        <f t="shared" si="20"/>
        <v/>
      </c>
      <c r="S630" s="4">
        <f t="shared" si="19"/>
        <v>1048507</v>
      </c>
      <c r="T6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1" spans="1:20" hidden="1" x14ac:dyDescent="0.25">
      <c r="A631" t="s">
        <v>59</v>
      </c>
      <c r="B631" s="28" t="s">
        <v>53</v>
      </c>
      <c r="C631" t="s">
        <v>16</v>
      </c>
      <c r="D631" t="str">
        <f>_xlfn.XLOOKUP(Table1[[#This Row],[Player]]&amp;Table1[[#This Row],[Week]]&amp;Table1[[#This Row],[Role]],'Google Form Transform'!$A:$A,'Google Form Transform'!E:E,"")</f>
        <v/>
      </c>
      <c r="E631" t="str">
        <f>_xlfn.XLOOKUP(Table1[[#This Row],[Player]]&amp;Table1[[#This Row],[Week]]&amp;Table1[[#This Row],[Role]],'Google Form Transform'!$A:$A,'Google Form Transform'!F:F,"")</f>
        <v/>
      </c>
      <c r="F631" t="str">
        <f>_xlfn.XLOOKUP(Table1[[#This Row],[Player]]&amp;Table1[[#This Row],[Week]]&amp;Table1[[#This Row],[Role]],'Google Form Transform'!$A:$A,'Google Form Transform'!G:G,"")</f>
        <v/>
      </c>
      <c r="G631" s="59">
        <f>SUMIFS(Table2[Stat],Table2[Stat Category],"passing",Table2[Stat Type],"YDS",Table2[Athlete],Table1[[#This Row],[Pick]],Table2[Week],Table1[[#This Row],[Week]])</f>
        <v>0</v>
      </c>
      <c r="H631" s="59">
        <f>SUMIFS(Table2[Stat],Table2[Stat Category],"rushing",Table2[Stat Type],"YDS",Table2[Athlete],Table1[[#This Row],[Pick]],Table2[Week],Table1[[#This Row],[Week]])</f>
        <v>0</v>
      </c>
      <c r="I631" s="59">
        <f>SUMIFS(Table2[Stat],Table2[Stat Category],"receiving",Table2[Stat Type],"YDS",Table2[Athlete],Table1[[#This Row],[Pick]],Table2[Week],Table1[[#This Row],[Week]])</f>
        <v>0</v>
      </c>
      <c r="J631" s="6">
        <f>IF(AND($C631="Rushing", $H631&lt;=0), 0, IF(AND($C631="Passing", $G$3&lt;=0), 0,IF(AND($C631="Receiving",$I631&lt;=0), 0,SUMIFS(Table2[Stat],Table2[Week],Table1[[#This Row],[Week]],Table2[Athlete],Table1[[#This Row],[Pick]],Table2[Stat Category],"passing",Table2[Stat Type],"TD"))))</f>
        <v>0</v>
      </c>
      <c r="K631" s="6">
        <f>IF(AND($C631="Rushing", $H631&lt;=0), 0, IF(AND($C631="Passing", $G$3&lt;=0), 0,IF(AND($C631="Receiving",$I631&lt;=0),0,SUMIFS(Table2[Stat],Table2[Week],Table1[[#This Row],[Week]],Table2[Athlete],Table1[[#This Row],[Pick]],Table2[Stat Category],"rushing",Table2[Stat Type],"TD"))))</f>
        <v>0</v>
      </c>
      <c r="L631" s="6">
        <f>IF(AND($C631="Rushing", $H631&lt;=0), 0, IF(AND($C631="Passing", $G$3&lt;=0), 0,IF(AND($C631="Receiving",$I631&lt;=0),0,SUMIFS(Table2[Stat],Table2[Week],Table1[[#This Row],[Week]],Table2[Athlete],Table1[[#This Row],[Pick]],Table2[Stat Category],"receiving",Table2[Stat Type],"TD"))))</f>
        <v>0</v>
      </c>
      <c r="M6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1" s="61">
        <f>SUMIFS(Data!$J:$J,Data!$A:$A,Info!$B631,Data!$G:$G,Info!$C631,Data!$I:$I,Info!$D631,Data!$H:$H,"TOT")</f>
        <v>0</v>
      </c>
      <c r="O631" s="61">
        <f>IF(C631="Defensive",SUMIFS(Data!$J:$J,Data!$A:$A,Info!$B631,Data!$I:$I,Info!$D631,Data!$H:$H,"INT"),0)</f>
        <v>0</v>
      </c>
      <c r="P631" s="61">
        <f>IF(Table1[[#This Row],[Role]]="Defensive",SUMIFS(Data!$J:$J,Data!$A:$A,Info!$B631,Data!$I:$I,Info!$D631,Data!$H:$H,$P$1),0)</f>
        <v>0</v>
      </c>
      <c r="Q631" s="65" t="str">
        <f>IF(Table1[[#This Row],[Pick]]="","",IF(S631&gt;1,400,IF(G631="","",IF(C631="Passing",(400-Table1[[#This Row],[Passing Yards]]-(30*Table1[[#This Row],[Passing TDs]])-(50*SUM(Table1[[#This Row],[Rushing TDs]:[Other TD''s]]))),IF(C631="Rushing",2*(200-Table1[[#This Row],[Rushing Yards]]-(30*Table1[[#This Row],[Passing TDs]])-50*(Table1[[#This Row],[Rushing TDs]]+Table1[[#This Row],[Receiving TDs]]+Table1[[#This Row],[Other TD''s]])),IF(C631="Receiving",2*(200-Table1[[#This Row],[Receiving Yards]]-(30*Table1[[#This Row],[Passing TDs]])-50*(Table1[[#This Row],[Rushing TDs]]+Table1[[#This Row],[Receiving TDs]]+Table1[[#This Row],[Other TD''s]])),IF(C631="Defensive",(25*(16-Table1[[#This Row],[Tackles]]-(8*(Table1[[#This Row],[Other TD''s]]+Table1[[#This Row],[Interceptions]]+Table1[[#This Row],[Fumbles Recovered]])))))))))))</f>
        <v/>
      </c>
      <c r="R631" s="3" t="str">
        <f t="shared" si="20"/>
        <v/>
      </c>
      <c r="S631" s="4">
        <f t="shared" si="19"/>
        <v>1048507</v>
      </c>
      <c r="T6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2" spans="1:20" hidden="1" x14ac:dyDescent="0.25">
      <c r="A632" t="s">
        <v>59</v>
      </c>
      <c r="B632" s="28" t="s">
        <v>53</v>
      </c>
      <c r="C632" t="s">
        <v>6</v>
      </c>
      <c r="D632" t="str">
        <f>_xlfn.XLOOKUP(Table1[[#This Row],[Player]]&amp;Table1[[#This Row],[Week]]&amp;Table1[[#This Row],[Role]],'Google Form Transform'!$A:$A,'Google Form Transform'!E:E,"")</f>
        <v/>
      </c>
      <c r="E632" t="str">
        <f>_xlfn.XLOOKUP(Table1[[#This Row],[Player]]&amp;Table1[[#This Row],[Week]]&amp;Table1[[#This Row],[Role]],'Google Form Transform'!$A:$A,'Google Form Transform'!F:F,"")</f>
        <v/>
      </c>
      <c r="F632" t="str">
        <f>_xlfn.XLOOKUP(Table1[[#This Row],[Player]]&amp;Table1[[#This Row],[Week]]&amp;Table1[[#This Row],[Role]],'Google Form Transform'!$A:$A,'Google Form Transform'!G:G,"")</f>
        <v/>
      </c>
      <c r="G632" s="59">
        <f>SUMIFS(Table2[Stat],Table2[Stat Category],"passing",Table2[Stat Type],"YDS",Table2[Athlete],Table1[[#This Row],[Pick]],Table2[Week],Table1[[#This Row],[Week]])</f>
        <v>0</v>
      </c>
      <c r="H632" s="59">
        <f>SUMIFS(Table2[Stat],Table2[Stat Category],"rushing",Table2[Stat Type],"YDS",Table2[Athlete],Table1[[#This Row],[Pick]],Table2[Week],Table1[[#This Row],[Week]])</f>
        <v>0</v>
      </c>
      <c r="I632" s="59">
        <f>SUMIFS(Table2[Stat],Table2[Stat Category],"receiving",Table2[Stat Type],"YDS",Table2[Athlete],Table1[[#This Row],[Pick]],Table2[Week],Table1[[#This Row],[Week]])</f>
        <v>0</v>
      </c>
      <c r="J632" s="6">
        <f>IF(AND($C632="Rushing", $H632&lt;=0), 0, IF(AND($C632="Passing", $G$3&lt;=0), 0,IF(AND($C632="Receiving",$I632&lt;=0), 0,SUMIFS(Table2[Stat],Table2[Week],Table1[[#This Row],[Week]],Table2[Athlete],Table1[[#This Row],[Pick]],Table2[Stat Category],"passing",Table2[Stat Type],"TD"))))</f>
        <v>0</v>
      </c>
      <c r="K632" s="6">
        <f>IF(AND($C632="Rushing", $H632&lt;=0), 0, IF(AND($C632="Passing", $G$3&lt;=0), 0,IF(AND($C632="Receiving",$I632&lt;=0),0,SUMIFS(Table2[Stat],Table2[Week],Table1[[#This Row],[Week]],Table2[Athlete],Table1[[#This Row],[Pick]],Table2[Stat Category],"rushing",Table2[Stat Type],"TD"))))</f>
        <v>0</v>
      </c>
      <c r="L632" s="6">
        <f>IF(AND($C632="Rushing", $H632&lt;=0), 0, IF(AND($C632="Passing", $G$3&lt;=0), 0,IF(AND($C632="Receiving",$I632&lt;=0),0,SUMIFS(Table2[Stat],Table2[Week],Table1[[#This Row],[Week]],Table2[Athlete],Table1[[#This Row],[Pick]],Table2[Stat Category],"receiving",Table2[Stat Type],"TD"))))</f>
        <v>0</v>
      </c>
      <c r="M6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2" s="61">
        <f>SUMIFS(Data!$J:$J,Data!$A:$A,Info!$B632,Data!$G:$G,Info!$C632,Data!$I:$I,Info!$D632,Data!$H:$H,"TOT")</f>
        <v>0</v>
      </c>
      <c r="O632" s="61">
        <f>IF(C632="Defensive",SUMIFS(Data!$J:$J,Data!$A:$A,Info!$B632,Data!$I:$I,Info!$D632,Data!$H:$H,"INT"),0)</f>
        <v>0</v>
      </c>
      <c r="P632" s="61">
        <f>IF(Table1[[#This Row],[Role]]="Defensive",SUMIFS(Data!$J:$J,Data!$A:$A,Info!$B632,Data!$I:$I,Info!$D632,Data!$H:$H,$P$1),0)</f>
        <v>0</v>
      </c>
      <c r="Q632" s="65" t="str">
        <f>IF(Table1[[#This Row],[Pick]]="","",IF(S632&gt;1,400,IF(G632="","",IF(C632="Passing",(400-Table1[[#This Row],[Passing Yards]]-(30*Table1[[#This Row],[Passing TDs]])-(50*SUM(Table1[[#This Row],[Rushing TDs]:[Other TD''s]]))),IF(C632="Rushing",2*(200-Table1[[#This Row],[Rushing Yards]]-(30*Table1[[#This Row],[Passing TDs]])-50*(Table1[[#This Row],[Rushing TDs]]+Table1[[#This Row],[Receiving TDs]]+Table1[[#This Row],[Other TD''s]])),IF(C632="Receiving",2*(200-Table1[[#This Row],[Receiving Yards]]-(30*Table1[[#This Row],[Passing TDs]])-50*(Table1[[#This Row],[Rushing TDs]]+Table1[[#This Row],[Receiving TDs]]+Table1[[#This Row],[Other TD''s]])),IF(C632="Defensive",(25*(16-Table1[[#This Row],[Tackles]]-(8*(Table1[[#This Row],[Other TD''s]]+Table1[[#This Row],[Interceptions]]+Table1[[#This Row],[Fumbles Recovered]])))))))))))</f>
        <v/>
      </c>
      <c r="R632" s="3" t="str">
        <f t="shared" si="20"/>
        <v/>
      </c>
      <c r="S632" s="4">
        <f t="shared" si="19"/>
        <v>1048507</v>
      </c>
      <c r="T6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3" spans="1:20" hidden="1" x14ac:dyDescent="0.25">
      <c r="A633" t="s">
        <v>59</v>
      </c>
      <c r="B633" s="28" t="s">
        <v>53</v>
      </c>
      <c r="C633" t="s">
        <v>17</v>
      </c>
      <c r="D633" t="str">
        <f>_xlfn.XLOOKUP(Table1[[#This Row],[Player]]&amp;Table1[[#This Row],[Week]]&amp;Table1[[#This Row],[Role]],'Google Form Transform'!$A:$A,'Google Form Transform'!E:E,"")</f>
        <v/>
      </c>
      <c r="E633" t="str">
        <f>_xlfn.XLOOKUP(Table1[[#This Row],[Player]]&amp;Table1[[#This Row],[Week]]&amp;Table1[[#This Row],[Role]],'Google Form Transform'!$A:$A,'Google Form Transform'!F:F,"")</f>
        <v/>
      </c>
      <c r="F633" t="str">
        <f>_xlfn.XLOOKUP(Table1[[#This Row],[Player]]&amp;Table1[[#This Row],[Week]]&amp;Table1[[#This Row],[Role]],'Google Form Transform'!$A:$A,'Google Form Transform'!G:G,"")</f>
        <v/>
      </c>
      <c r="G633" s="59">
        <f>SUMIFS(Table2[Stat],Table2[Stat Category],"passing",Table2[Stat Type],"YDS",Table2[Athlete],Table1[[#This Row],[Pick]],Table2[Week],Table1[[#This Row],[Week]])</f>
        <v>0</v>
      </c>
      <c r="H633" s="59">
        <f>SUMIFS(Table2[Stat],Table2[Stat Category],"rushing",Table2[Stat Type],"YDS",Table2[Athlete],Table1[[#This Row],[Pick]],Table2[Week],Table1[[#This Row],[Week]])</f>
        <v>0</v>
      </c>
      <c r="I633" s="59">
        <f>SUMIFS(Table2[Stat],Table2[Stat Category],"receiving",Table2[Stat Type],"YDS",Table2[Athlete],Table1[[#This Row],[Pick]],Table2[Week],Table1[[#This Row],[Week]])</f>
        <v>0</v>
      </c>
      <c r="J633" s="6">
        <f>IF(AND($C633="Rushing", $H633&lt;=0), 0, IF(AND($C633="Passing", $G$3&lt;=0), 0,IF(AND($C633="Receiving",$I633&lt;=0), 0,SUMIFS(Table2[Stat],Table2[Week],Table1[[#This Row],[Week]],Table2[Athlete],Table1[[#This Row],[Pick]],Table2[Stat Category],"passing",Table2[Stat Type],"TD"))))</f>
        <v>0</v>
      </c>
      <c r="K633" s="6">
        <f>IF(AND($C633="Rushing", $H633&lt;=0), 0, IF(AND($C633="Passing", $G$3&lt;=0), 0,IF(AND($C633="Receiving",$I633&lt;=0),0,SUMIFS(Table2[Stat],Table2[Week],Table1[[#This Row],[Week]],Table2[Athlete],Table1[[#This Row],[Pick]],Table2[Stat Category],"rushing",Table2[Stat Type],"TD"))))</f>
        <v>0</v>
      </c>
      <c r="L633" s="6">
        <f>IF(AND($C633="Rushing", $H633&lt;=0), 0, IF(AND($C633="Passing", $G$3&lt;=0), 0,IF(AND($C633="Receiving",$I633&lt;=0),0,SUMIFS(Table2[Stat],Table2[Week],Table1[[#This Row],[Week]],Table2[Athlete],Table1[[#This Row],[Pick]],Table2[Stat Category],"receiving",Table2[Stat Type],"TD"))))</f>
        <v>0</v>
      </c>
      <c r="M6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3" s="61">
        <f>SUMIFS(Data!$J:$J,Data!$A:$A,Info!$B633,Data!$G:$G,Info!$C633,Data!$I:$I,Info!$D633,Data!$H:$H,"TOT")</f>
        <v>0</v>
      </c>
      <c r="O633" s="61">
        <f>IF(C633="Defensive",SUMIFS(Data!$J:$J,Data!$A:$A,Info!$B633,Data!$I:$I,Info!$D633,Data!$H:$H,"INT"),0)</f>
        <v>0</v>
      </c>
      <c r="P633" s="61">
        <f>IF(Table1[[#This Row],[Role]]="Defensive",SUMIFS(Data!$J:$J,Data!$A:$A,Info!$B633,Data!$I:$I,Info!$D633,Data!$H:$H,$P$1),0)</f>
        <v>0</v>
      </c>
      <c r="Q633" s="65" t="str">
        <f>IF(Table1[[#This Row],[Pick]]="","",IF(S633&gt;1,400,IF(G633="","",IF(C633="Passing",(400-Table1[[#This Row],[Passing Yards]]-(30*Table1[[#This Row],[Passing TDs]])-(50*SUM(Table1[[#This Row],[Rushing TDs]:[Other TD''s]]))),IF(C633="Rushing",2*(200-Table1[[#This Row],[Rushing Yards]]-(30*Table1[[#This Row],[Passing TDs]])-50*(Table1[[#This Row],[Rushing TDs]]+Table1[[#This Row],[Receiving TDs]]+Table1[[#This Row],[Other TD''s]])),IF(C633="Receiving",2*(200-Table1[[#This Row],[Receiving Yards]]-(30*Table1[[#This Row],[Passing TDs]])-50*(Table1[[#This Row],[Rushing TDs]]+Table1[[#This Row],[Receiving TDs]]+Table1[[#This Row],[Other TD''s]])),IF(C633="Defensive",(25*(16-Table1[[#This Row],[Tackles]]-(8*(Table1[[#This Row],[Other TD''s]]+Table1[[#This Row],[Interceptions]]+Table1[[#This Row],[Fumbles Recovered]])))))))))))</f>
        <v/>
      </c>
      <c r="R633" s="3" t="str">
        <f t="shared" si="20"/>
        <v/>
      </c>
      <c r="S633" s="4">
        <f t="shared" si="19"/>
        <v>1048507</v>
      </c>
      <c r="T6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4" spans="1:20" hidden="1" x14ac:dyDescent="0.25">
      <c r="A634" t="s">
        <v>59</v>
      </c>
      <c r="B634" s="28" t="s">
        <v>53</v>
      </c>
      <c r="C634" t="s">
        <v>20</v>
      </c>
      <c r="D634" t="str">
        <f>_xlfn.XLOOKUP(Table1[[#This Row],[Player]]&amp;Table1[[#This Row],[Week]]&amp;Table1[[#This Row],[Role]],'Google Form Transform'!$A:$A,'Google Form Transform'!E:E,"")</f>
        <v/>
      </c>
      <c r="E634" t="str">
        <f>_xlfn.XLOOKUP(Table1[[#This Row],[Player]]&amp;Table1[[#This Row],[Week]]&amp;Table1[[#This Row],[Role]],'Google Form Transform'!$A:$A,'Google Form Transform'!F:F,"")</f>
        <v/>
      </c>
      <c r="F634" t="str">
        <f>_xlfn.XLOOKUP(Table1[[#This Row],[Player]]&amp;Table1[[#This Row],[Week]]&amp;Table1[[#This Row],[Role]],'Google Form Transform'!$A:$A,'Google Form Transform'!G:G,"")</f>
        <v/>
      </c>
      <c r="G634" s="59">
        <f>SUMIFS(Table2[Stat],Table2[Stat Category],"passing",Table2[Stat Type],"YDS",Table2[Athlete],Table1[[#This Row],[Pick]],Table2[Week],Table1[[#This Row],[Week]])</f>
        <v>0</v>
      </c>
      <c r="H634" s="59">
        <f>SUMIFS(Table2[Stat],Table2[Stat Category],"rushing",Table2[Stat Type],"YDS",Table2[Athlete],Table1[[#This Row],[Pick]],Table2[Week],Table1[[#This Row],[Week]])</f>
        <v>0</v>
      </c>
      <c r="I634" s="59">
        <f>SUMIFS(Table2[Stat],Table2[Stat Category],"receiving",Table2[Stat Type],"YDS",Table2[Athlete],Table1[[#This Row],[Pick]],Table2[Week],Table1[[#This Row],[Week]])</f>
        <v>0</v>
      </c>
      <c r="J634" s="6">
        <f>IF(AND($C634="Rushing", $H634&lt;=0), 0, IF(AND($C634="Passing", $G$3&lt;=0), 0,IF(AND($C634="Receiving",$I634&lt;=0), 0,SUMIFS(Table2[Stat],Table2[Week],Table1[[#This Row],[Week]],Table2[Athlete],Table1[[#This Row],[Pick]],Table2[Stat Category],"passing",Table2[Stat Type],"TD"))))</f>
        <v>0</v>
      </c>
      <c r="K634" s="6">
        <f>IF(AND($C634="Rushing", $H634&lt;=0), 0, IF(AND($C634="Passing", $G$3&lt;=0), 0,IF(AND($C634="Receiving",$I634&lt;=0),0,SUMIFS(Table2[Stat],Table2[Week],Table1[[#This Row],[Week]],Table2[Athlete],Table1[[#This Row],[Pick]],Table2[Stat Category],"rushing",Table2[Stat Type],"TD"))))</f>
        <v>0</v>
      </c>
      <c r="L634" s="6">
        <f>IF(AND($C634="Rushing", $H634&lt;=0), 0, IF(AND($C634="Passing", $G$3&lt;=0), 0,IF(AND($C634="Receiving",$I634&lt;=0),0,SUMIFS(Table2[Stat],Table2[Week],Table1[[#This Row],[Week]],Table2[Athlete],Table1[[#This Row],[Pick]],Table2[Stat Category],"receiving",Table2[Stat Type],"TD"))))</f>
        <v>0</v>
      </c>
      <c r="M6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4" s="61">
        <f>SUMIFS(Data!$J:$J,Data!$A:$A,Info!$B634,Data!$G:$G,Info!$C634,Data!$I:$I,Info!$D634,Data!$H:$H,"TOT")</f>
        <v>0</v>
      </c>
      <c r="O634" s="61">
        <f>IF(C634="Defensive",SUMIFS(Data!$J:$J,Data!$A:$A,Info!$B634,Data!$I:$I,Info!$D634,Data!$H:$H,"INT"),0)</f>
        <v>0</v>
      </c>
      <c r="P634" s="61">
        <f>IF(Table1[[#This Row],[Role]]="Defensive",SUMIFS(Data!$J:$J,Data!$A:$A,Info!$B634,Data!$I:$I,Info!$D634,Data!$H:$H,$P$1),0)</f>
        <v>0</v>
      </c>
      <c r="Q634" s="65" t="str">
        <f>IF(Table1[[#This Row],[Pick]]="","",IF(S634&gt;1,400,IF(G634="","",IF(C634="Passing",(400-Table1[[#This Row],[Passing Yards]]-(30*Table1[[#This Row],[Passing TDs]])-(50*SUM(Table1[[#This Row],[Rushing TDs]:[Other TD''s]]))),IF(C634="Rushing",2*(200-Table1[[#This Row],[Rushing Yards]]-(30*Table1[[#This Row],[Passing TDs]])-50*(Table1[[#This Row],[Rushing TDs]]+Table1[[#This Row],[Receiving TDs]]+Table1[[#This Row],[Other TD''s]])),IF(C634="Receiving",2*(200-Table1[[#This Row],[Receiving Yards]]-(30*Table1[[#This Row],[Passing TDs]])-50*(Table1[[#This Row],[Rushing TDs]]+Table1[[#This Row],[Receiving TDs]]+Table1[[#This Row],[Other TD''s]])),IF(C634="Defensive",(25*(16-Table1[[#This Row],[Tackles]]-(8*(Table1[[#This Row],[Other TD''s]]+Table1[[#This Row],[Interceptions]]+Table1[[#This Row],[Fumbles Recovered]])))))))))))</f>
        <v/>
      </c>
      <c r="R634" s="3" t="str">
        <f t="shared" si="20"/>
        <v/>
      </c>
      <c r="S634" s="4">
        <f t="shared" si="19"/>
        <v>1048507</v>
      </c>
      <c r="T6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5" spans="1:20" hidden="1" x14ac:dyDescent="0.25">
      <c r="A635" t="s">
        <v>68</v>
      </c>
      <c r="B635" s="28" t="s">
        <v>53</v>
      </c>
      <c r="C635" t="s">
        <v>16</v>
      </c>
      <c r="D635" t="str">
        <f>_xlfn.XLOOKUP(Table1[[#This Row],[Player]]&amp;Table1[[#This Row],[Week]]&amp;Table1[[#This Row],[Role]],'Google Form Transform'!$A:$A,'Google Form Transform'!E:E,"")</f>
        <v/>
      </c>
      <c r="E635" t="str">
        <f>_xlfn.XLOOKUP(Table1[[#This Row],[Player]]&amp;Table1[[#This Row],[Week]]&amp;Table1[[#This Row],[Role]],'Google Form Transform'!$A:$A,'Google Form Transform'!F:F,"")</f>
        <v/>
      </c>
      <c r="F635" t="str">
        <f>_xlfn.XLOOKUP(Table1[[#This Row],[Player]]&amp;Table1[[#This Row],[Week]]&amp;Table1[[#This Row],[Role]],'Google Form Transform'!$A:$A,'Google Form Transform'!G:G,"")</f>
        <v/>
      </c>
      <c r="G635" s="59">
        <f>SUMIFS(Table2[Stat],Table2[Stat Category],"passing",Table2[Stat Type],"YDS",Table2[Athlete],Table1[[#This Row],[Pick]],Table2[Week],Table1[[#This Row],[Week]])</f>
        <v>0</v>
      </c>
      <c r="H635" s="59">
        <f>SUMIFS(Table2[Stat],Table2[Stat Category],"rushing",Table2[Stat Type],"YDS",Table2[Athlete],Table1[[#This Row],[Pick]],Table2[Week],Table1[[#This Row],[Week]])</f>
        <v>0</v>
      </c>
      <c r="I635" s="59">
        <f>SUMIFS(Table2[Stat],Table2[Stat Category],"receiving",Table2[Stat Type],"YDS",Table2[Athlete],Table1[[#This Row],[Pick]],Table2[Week],Table1[[#This Row],[Week]])</f>
        <v>0</v>
      </c>
      <c r="J635" s="6">
        <f>IF(AND($C635="Rushing", $H635&lt;=0), 0, IF(AND($C635="Passing", $G$3&lt;=0), 0,IF(AND($C635="Receiving",$I635&lt;=0), 0,SUMIFS(Table2[Stat],Table2[Week],Table1[[#This Row],[Week]],Table2[Athlete],Table1[[#This Row],[Pick]],Table2[Stat Category],"passing",Table2[Stat Type],"TD"))))</f>
        <v>0</v>
      </c>
      <c r="K635" s="6">
        <f>IF(AND($C635="Rushing", $H635&lt;=0), 0, IF(AND($C635="Passing", $G$3&lt;=0), 0,IF(AND($C635="Receiving",$I635&lt;=0),0,SUMIFS(Table2[Stat],Table2[Week],Table1[[#This Row],[Week]],Table2[Athlete],Table1[[#This Row],[Pick]],Table2[Stat Category],"rushing",Table2[Stat Type],"TD"))))</f>
        <v>0</v>
      </c>
      <c r="L635" s="6">
        <f>IF(AND($C635="Rushing", $H635&lt;=0), 0, IF(AND($C635="Passing", $G$3&lt;=0), 0,IF(AND($C635="Receiving",$I635&lt;=0),0,SUMIFS(Table2[Stat],Table2[Week],Table1[[#This Row],[Week]],Table2[Athlete],Table1[[#This Row],[Pick]],Table2[Stat Category],"receiving",Table2[Stat Type],"TD"))))</f>
        <v>0</v>
      </c>
      <c r="M6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5" s="61">
        <f>SUMIFS(Data!$J:$J,Data!$A:$A,Info!$B635,Data!$G:$G,Info!$C635,Data!$I:$I,Info!$D635,Data!$H:$H,"TOT")</f>
        <v>0</v>
      </c>
      <c r="O635" s="61">
        <f>IF(C635="Defensive",SUMIFS(Data!$J:$J,Data!$A:$A,Info!$B635,Data!$I:$I,Info!$D635,Data!$H:$H,"INT"),0)</f>
        <v>0</v>
      </c>
      <c r="P635" s="61">
        <f>IF(Table1[[#This Row],[Role]]="Defensive",SUMIFS(Data!$J:$J,Data!$A:$A,Info!$B635,Data!$I:$I,Info!$D635,Data!$H:$H,$P$1),0)</f>
        <v>0</v>
      </c>
      <c r="Q635" s="65" t="str">
        <f>IF(Table1[[#This Row],[Pick]]="","",IF(S635&gt;1,400,IF(G635="","",IF(C635="Passing",(400-Table1[[#This Row],[Passing Yards]]-(30*Table1[[#This Row],[Passing TDs]])-(50*SUM(Table1[[#This Row],[Rushing TDs]:[Other TD''s]]))),IF(C635="Rushing",2*(200-Table1[[#This Row],[Rushing Yards]]-(30*Table1[[#This Row],[Passing TDs]])-50*(Table1[[#This Row],[Rushing TDs]]+Table1[[#This Row],[Receiving TDs]]+Table1[[#This Row],[Other TD''s]])),IF(C635="Receiving",2*(200-Table1[[#This Row],[Receiving Yards]]-(30*Table1[[#This Row],[Passing TDs]])-50*(Table1[[#This Row],[Rushing TDs]]+Table1[[#This Row],[Receiving TDs]]+Table1[[#This Row],[Other TD''s]])),IF(C635="Defensive",(25*(16-Table1[[#This Row],[Tackles]]-(8*(Table1[[#This Row],[Other TD''s]]+Table1[[#This Row],[Interceptions]]+Table1[[#This Row],[Fumbles Recovered]])))))))))))</f>
        <v/>
      </c>
      <c r="R635" s="3" t="str">
        <f t="shared" si="20"/>
        <v/>
      </c>
      <c r="S635" s="4">
        <f t="shared" si="19"/>
        <v>1048507</v>
      </c>
      <c r="T6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6" spans="1:20" hidden="1" x14ac:dyDescent="0.25">
      <c r="A636" t="s">
        <v>68</v>
      </c>
      <c r="B636" s="28" t="s">
        <v>53</v>
      </c>
      <c r="C636" t="s">
        <v>6</v>
      </c>
      <c r="D636" t="str">
        <f>_xlfn.XLOOKUP(Table1[[#This Row],[Player]]&amp;Table1[[#This Row],[Week]]&amp;Table1[[#This Row],[Role]],'Google Form Transform'!$A:$A,'Google Form Transform'!E:E,"")</f>
        <v/>
      </c>
      <c r="E636" t="str">
        <f>_xlfn.XLOOKUP(Table1[[#This Row],[Player]]&amp;Table1[[#This Row],[Week]]&amp;Table1[[#This Row],[Role]],'Google Form Transform'!$A:$A,'Google Form Transform'!F:F,"")</f>
        <v/>
      </c>
      <c r="F636" t="str">
        <f>_xlfn.XLOOKUP(Table1[[#This Row],[Player]]&amp;Table1[[#This Row],[Week]]&amp;Table1[[#This Row],[Role]],'Google Form Transform'!$A:$A,'Google Form Transform'!G:G,"")</f>
        <v/>
      </c>
      <c r="G636" s="59">
        <f>SUMIFS(Table2[Stat],Table2[Stat Category],"passing",Table2[Stat Type],"YDS",Table2[Athlete],Table1[[#This Row],[Pick]],Table2[Week],Table1[[#This Row],[Week]])</f>
        <v>0</v>
      </c>
      <c r="H636" s="59">
        <f>SUMIFS(Table2[Stat],Table2[Stat Category],"rushing",Table2[Stat Type],"YDS",Table2[Athlete],Table1[[#This Row],[Pick]],Table2[Week],Table1[[#This Row],[Week]])</f>
        <v>0</v>
      </c>
      <c r="I636" s="59">
        <f>SUMIFS(Table2[Stat],Table2[Stat Category],"receiving",Table2[Stat Type],"YDS",Table2[Athlete],Table1[[#This Row],[Pick]],Table2[Week],Table1[[#This Row],[Week]])</f>
        <v>0</v>
      </c>
      <c r="J636" s="6">
        <f>IF(AND($C636="Rushing", $H636&lt;=0), 0, IF(AND($C636="Passing", $G$3&lt;=0), 0,IF(AND($C636="Receiving",$I636&lt;=0), 0,SUMIFS(Table2[Stat],Table2[Week],Table1[[#This Row],[Week]],Table2[Athlete],Table1[[#This Row],[Pick]],Table2[Stat Category],"passing",Table2[Stat Type],"TD"))))</f>
        <v>0</v>
      </c>
      <c r="K636" s="6">
        <f>IF(AND($C636="Rushing", $H636&lt;=0), 0, IF(AND($C636="Passing", $G$3&lt;=0), 0,IF(AND($C636="Receiving",$I636&lt;=0),0,SUMIFS(Table2[Stat],Table2[Week],Table1[[#This Row],[Week]],Table2[Athlete],Table1[[#This Row],[Pick]],Table2[Stat Category],"rushing",Table2[Stat Type],"TD"))))</f>
        <v>0</v>
      </c>
      <c r="L636" s="6">
        <f>IF(AND($C636="Rushing", $H636&lt;=0), 0, IF(AND($C636="Passing", $G$3&lt;=0), 0,IF(AND($C636="Receiving",$I636&lt;=0),0,SUMIFS(Table2[Stat],Table2[Week],Table1[[#This Row],[Week]],Table2[Athlete],Table1[[#This Row],[Pick]],Table2[Stat Category],"receiving",Table2[Stat Type],"TD"))))</f>
        <v>0</v>
      </c>
      <c r="M6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6" s="61">
        <f>SUMIFS(Data!$J:$J,Data!$A:$A,Info!$B636,Data!$G:$G,Info!$C636,Data!$I:$I,Info!$D636,Data!$H:$H,"TOT")</f>
        <v>0</v>
      </c>
      <c r="O636" s="61">
        <f>IF(C636="Defensive",SUMIFS(Data!$J:$J,Data!$A:$A,Info!$B636,Data!$I:$I,Info!$D636,Data!$H:$H,"INT"),0)</f>
        <v>0</v>
      </c>
      <c r="P636" s="61">
        <f>IF(Table1[[#This Row],[Role]]="Defensive",SUMIFS(Data!$J:$J,Data!$A:$A,Info!$B636,Data!$I:$I,Info!$D636,Data!$H:$H,$P$1),0)</f>
        <v>0</v>
      </c>
      <c r="Q636" s="65" t="str">
        <f>IF(Table1[[#This Row],[Pick]]="","",IF(S636&gt;1,400,IF(G636="","",IF(C636="Passing",(400-Table1[[#This Row],[Passing Yards]]-(30*Table1[[#This Row],[Passing TDs]])-(50*SUM(Table1[[#This Row],[Rushing TDs]:[Other TD''s]]))),IF(C636="Rushing",2*(200-Table1[[#This Row],[Rushing Yards]]-(30*Table1[[#This Row],[Passing TDs]])-50*(Table1[[#This Row],[Rushing TDs]]+Table1[[#This Row],[Receiving TDs]]+Table1[[#This Row],[Other TD''s]])),IF(C636="Receiving",2*(200-Table1[[#This Row],[Receiving Yards]]-(30*Table1[[#This Row],[Passing TDs]])-50*(Table1[[#This Row],[Rushing TDs]]+Table1[[#This Row],[Receiving TDs]]+Table1[[#This Row],[Other TD''s]])),IF(C636="Defensive",(25*(16-Table1[[#This Row],[Tackles]]-(8*(Table1[[#This Row],[Other TD''s]]+Table1[[#This Row],[Interceptions]]+Table1[[#This Row],[Fumbles Recovered]])))))))))))</f>
        <v/>
      </c>
      <c r="R636" s="3" t="str">
        <f t="shared" si="20"/>
        <v/>
      </c>
      <c r="S636" s="4">
        <f t="shared" si="19"/>
        <v>1048507</v>
      </c>
      <c r="T6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7" spans="1:20" hidden="1" x14ac:dyDescent="0.25">
      <c r="A637" t="s">
        <v>68</v>
      </c>
      <c r="B637" s="28" t="s">
        <v>53</v>
      </c>
      <c r="C637" t="s">
        <v>17</v>
      </c>
      <c r="D637" t="str">
        <f>_xlfn.XLOOKUP(Table1[[#This Row],[Player]]&amp;Table1[[#This Row],[Week]]&amp;Table1[[#This Row],[Role]],'Google Form Transform'!$A:$A,'Google Form Transform'!E:E,"")</f>
        <v/>
      </c>
      <c r="E637" t="str">
        <f>_xlfn.XLOOKUP(Table1[[#This Row],[Player]]&amp;Table1[[#This Row],[Week]]&amp;Table1[[#This Row],[Role]],'Google Form Transform'!$A:$A,'Google Form Transform'!F:F,"")</f>
        <v/>
      </c>
      <c r="F637" t="str">
        <f>_xlfn.XLOOKUP(Table1[[#This Row],[Player]]&amp;Table1[[#This Row],[Week]]&amp;Table1[[#This Row],[Role]],'Google Form Transform'!$A:$A,'Google Form Transform'!G:G,"")</f>
        <v/>
      </c>
      <c r="G637" s="59">
        <f>SUMIFS(Table2[Stat],Table2[Stat Category],"passing",Table2[Stat Type],"YDS",Table2[Athlete],Table1[[#This Row],[Pick]],Table2[Week],Table1[[#This Row],[Week]])</f>
        <v>0</v>
      </c>
      <c r="H637" s="59">
        <f>SUMIFS(Table2[Stat],Table2[Stat Category],"rushing",Table2[Stat Type],"YDS",Table2[Athlete],Table1[[#This Row],[Pick]],Table2[Week],Table1[[#This Row],[Week]])</f>
        <v>0</v>
      </c>
      <c r="I637" s="59">
        <f>SUMIFS(Table2[Stat],Table2[Stat Category],"receiving",Table2[Stat Type],"YDS",Table2[Athlete],Table1[[#This Row],[Pick]],Table2[Week],Table1[[#This Row],[Week]])</f>
        <v>0</v>
      </c>
      <c r="J637" s="6">
        <f>IF(AND($C637="Rushing", $H637&lt;=0), 0, IF(AND($C637="Passing", $G$3&lt;=0), 0,IF(AND($C637="Receiving",$I637&lt;=0), 0,SUMIFS(Table2[Stat],Table2[Week],Table1[[#This Row],[Week]],Table2[Athlete],Table1[[#This Row],[Pick]],Table2[Stat Category],"passing",Table2[Stat Type],"TD"))))</f>
        <v>0</v>
      </c>
      <c r="K637" s="6">
        <f>IF(AND($C637="Rushing", $H637&lt;=0), 0, IF(AND($C637="Passing", $G$3&lt;=0), 0,IF(AND($C637="Receiving",$I637&lt;=0),0,SUMIFS(Table2[Stat],Table2[Week],Table1[[#This Row],[Week]],Table2[Athlete],Table1[[#This Row],[Pick]],Table2[Stat Category],"rushing",Table2[Stat Type],"TD"))))</f>
        <v>0</v>
      </c>
      <c r="L637" s="6">
        <f>IF(AND($C637="Rushing", $H637&lt;=0), 0, IF(AND($C637="Passing", $G$3&lt;=0), 0,IF(AND($C637="Receiving",$I637&lt;=0),0,SUMIFS(Table2[Stat],Table2[Week],Table1[[#This Row],[Week]],Table2[Athlete],Table1[[#This Row],[Pick]],Table2[Stat Category],"receiving",Table2[Stat Type],"TD"))))</f>
        <v>0</v>
      </c>
      <c r="M6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7" s="61">
        <f>SUMIFS(Data!$J:$J,Data!$A:$A,Info!$B637,Data!$G:$G,Info!$C637,Data!$I:$I,Info!$D637,Data!$H:$H,"TOT")</f>
        <v>0</v>
      </c>
      <c r="O637" s="61">
        <f>IF(C637="Defensive",SUMIFS(Data!$J:$J,Data!$A:$A,Info!$B637,Data!$I:$I,Info!$D637,Data!$H:$H,"INT"),0)</f>
        <v>0</v>
      </c>
      <c r="P637" s="61">
        <f>IF(Table1[[#This Row],[Role]]="Defensive",SUMIFS(Data!$J:$J,Data!$A:$A,Info!$B637,Data!$I:$I,Info!$D637,Data!$H:$H,$P$1),0)</f>
        <v>0</v>
      </c>
      <c r="Q637" s="65" t="str">
        <f>IF(Table1[[#This Row],[Pick]]="","",IF(S637&gt;1,400,IF(G637="","",IF(C637="Passing",(400-Table1[[#This Row],[Passing Yards]]-(30*Table1[[#This Row],[Passing TDs]])-(50*SUM(Table1[[#This Row],[Rushing TDs]:[Other TD''s]]))),IF(C637="Rushing",2*(200-Table1[[#This Row],[Rushing Yards]]-(30*Table1[[#This Row],[Passing TDs]])-50*(Table1[[#This Row],[Rushing TDs]]+Table1[[#This Row],[Receiving TDs]]+Table1[[#This Row],[Other TD''s]])),IF(C637="Receiving",2*(200-Table1[[#This Row],[Receiving Yards]]-(30*Table1[[#This Row],[Passing TDs]])-50*(Table1[[#This Row],[Rushing TDs]]+Table1[[#This Row],[Receiving TDs]]+Table1[[#This Row],[Other TD''s]])),IF(C637="Defensive",(25*(16-Table1[[#This Row],[Tackles]]-(8*(Table1[[#This Row],[Other TD''s]]+Table1[[#This Row],[Interceptions]]+Table1[[#This Row],[Fumbles Recovered]])))))))))))</f>
        <v/>
      </c>
      <c r="R637" s="3" t="str">
        <f t="shared" si="20"/>
        <v/>
      </c>
      <c r="S637" s="4">
        <f t="shared" si="19"/>
        <v>1048507</v>
      </c>
      <c r="T6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8" spans="1:20" hidden="1" x14ac:dyDescent="0.25">
      <c r="A638" t="s">
        <v>68</v>
      </c>
      <c r="B638" s="28" t="s">
        <v>53</v>
      </c>
      <c r="C638" t="s">
        <v>20</v>
      </c>
      <c r="D638" t="str">
        <f>_xlfn.XLOOKUP(Table1[[#This Row],[Player]]&amp;Table1[[#This Row],[Week]]&amp;Table1[[#This Row],[Role]],'Google Form Transform'!$A:$A,'Google Form Transform'!E:E,"")</f>
        <v/>
      </c>
      <c r="E638" t="str">
        <f>_xlfn.XLOOKUP(Table1[[#This Row],[Player]]&amp;Table1[[#This Row],[Week]]&amp;Table1[[#This Row],[Role]],'Google Form Transform'!$A:$A,'Google Form Transform'!F:F,"")</f>
        <v/>
      </c>
      <c r="F638" t="str">
        <f>_xlfn.XLOOKUP(Table1[[#This Row],[Player]]&amp;Table1[[#This Row],[Week]]&amp;Table1[[#This Row],[Role]],'Google Form Transform'!$A:$A,'Google Form Transform'!G:G,"")</f>
        <v/>
      </c>
      <c r="G638" s="59">
        <f>SUMIFS(Table2[Stat],Table2[Stat Category],"passing",Table2[Stat Type],"YDS",Table2[Athlete],Table1[[#This Row],[Pick]],Table2[Week],Table1[[#This Row],[Week]])</f>
        <v>0</v>
      </c>
      <c r="H638" s="59">
        <f>SUMIFS(Table2[Stat],Table2[Stat Category],"rushing",Table2[Stat Type],"YDS",Table2[Athlete],Table1[[#This Row],[Pick]],Table2[Week],Table1[[#This Row],[Week]])</f>
        <v>0</v>
      </c>
      <c r="I638" s="59">
        <f>SUMIFS(Table2[Stat],Table2[Stat Category],"receiving",Table2[Stat Type],"YDS",Table2[Athlete],Table1[[#This Row],[Pick]],Table2[Week],Table1[[#This Row],[Week]])</f>
        <v>0</v>
      </c>
      <c r="J638" s="6">
        <f>IF(AND($C638="Rushing", $H638&lt;=0), 0, IF(AND($C638="Passing", $G$3&lt;=0), 0,IF(AND($C638="Receiving",$I638&lt;=0), 0,SUMIFS(Table2[Stat],Table2[Week],Table1[[#This Row],[Week]],Table2[Athlete],Table1[[#This Row],[Pick]],Table2[Stat Category],"passing",Table2[Stat Type],"TD"))))</f>
        <v>0</v>
      </c>
      <c r="K638" s="6">
        <f>IF(AND($C638="Rushing", $H638&lt;=0), 0, IF(AND($C638="Passing", $G$3&lt;=0), 0,IF(AND($C638="Receiving",$I638&lt;=0),0,SUMIFS(Table2[Stat],Table2[Week],Table1[[#This Row],[Week]],Table2[Athlete],Table1[[#This Row],[Pick]],Table2[Stat Category],"rushing",Table2[Stat Type],"TD"))))</f>
        <v>0</v>
      </c>
      <c r="L638" s="6">
        <f>IF(AND($C638="Rushing", $H638&lt;=0), 0, IF(AND($C638="Passing", $G$3&lt;=0), 0,IF(AND($C638="Receiving",$I638&lt;=0),0,SUMIFS(Table2[Stat],Table2[Week],Table1[[#This Row],[Week]],Table2[Athlete],Table1[[#This Row],[Pick]],Table2[Stat Category],"receiving",Table2[Stat Type],"TD"))))</f>
        <v>0</v>
      </c>
      <c r="M6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8" s="61">
        <f>SUMIFS(Data!$J:$J,Data!$A:$A,Info!$B638,Data!$G:$G,Info!$C638,Data!$I:$I,Info!$D638,Data!$H:$H,"TOT")</f>
        <v>0</v>
      </c>
      <c r="O638" s="61">
        <f>IF(C638="Defensive",SUMIFS(Data!$J:$J,Data!$A:$A,Info!$B638,Data!$I:$I,Info!$D638,Data!$H:$H,"INT"),0)</f>
        <v>0</v>
      </c>
      <c r="P638" s="61">
        <f>IF(Table1[[#This Row],[Role]]="Defensive",SUMIFS(Data!$J:$J,Data!$A:$A,Info!$B638,Data!$I:$I,Info!$D638,Data!$H:$H,$P$1),0)</f>
        <v>0</v>
      </c>
      <c r="Q638" s="65" t="str">
        <f>IF(Table1[[#This Row],[Pick]]="","",IF(S638&gt;1,400,IF(G638="","",IF(C638="Passing",(400-Table1[[#This Row],[Passing Yards]]-(30*Table1[[#This Row],[Passing TDs]])-(50*SUM(Table1[[#This Row],[Rushing TDs]:[Other TD''s]]))),IF(C638="Rushing",2*(200-Table1[[#This Row],[Rushing Yards]]-(30*Table1[[#This Row],[Passing TDs]])-50*(Table1[[#This Row],[Rushing TDs]]+Table1[[#This Row],[Receiving TDs]]+Table1[[#This Row],[Other TD''s]])),IF(C638="Receiving",2*(200-Table1[[#This Row],[Receiving Yards]]-(30*Table1[[#This Row],[Passing TDs]])-50*(Table1[[#This Row],[Rushing TDs]]+Table1[[#This Row],[Receiving TDs]]+Table1[[#This Row],[Other TD''s]])),IF(C638="Defensive",(25*(16-Table1[[#This Row],[Tackles]]-(8*(Table1[[#This Row],[Other TD''s]]+Table1[[#This Row],[Interceptions]]+Table1[[#This Row],[Fumbles Recovered]])))))))))))</f>
        <v/>
      </c>
      <c r="R638" s="3" t="str">
        <f t="shared" si="20"/>
        <v/>
      </c>
      <c r="S638" s="4">
        <f t="shared" si="19"/>
        <v>1048507</v>
      </c>
      <c r="T6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9" spans="1:20" hidden="1" x14ac:dyDescent="0.25">
      <c r="A639" t="s">
        <v>5</v>
      </c>
      <c r="B639" s="28" t="s">
        <v>53</v>
      </c>
      <c r="C639" t="s">
        <v>16</v>
      </c>
      <c r="D639" t="str">
        <f>_xlfn.XLOOKUP(Table1[[#This Row],[Player]]&amp;Table1[[#This Row],[Week]]&amp;Table1[[#This Row],[Role]],'Google Form Transform'!$A:$A,'Google Form Transform'!E:E,"")</f>
        <v/>
      </c>
      <c r="E639" t="str">
        <f>_xlfn.XLOOKUP(Table1[[#This Row],[Player]]&amp;Table1[[#This Row],[Week]]&amp;Table1[[#This Row],[Role]],'Google Form Transform'!$A:$A,'Google Form Transform'!F:F,"")</f>
        <v/>
      </c>
      <c r="F639" t="str">
        <f>_xlfn.XLOOKUP(Table1[[#This Row],[Player]]&amp;Table1[[#This Row],[Week]]&amp;Table1[[#This Row],[Role]],'Google Form Transform'!$A:$A,'Google Form Transform'!G:G,"")</f>
        <v/>
      </c>
      <c r="G639" s="59">
        <f>SUMIFS(Table2[Stat],Table2[Stat Category],"passing",Table2[Stat Type],"YDS",Table2[Athlete],Table1[[#This Row],[Pick]],Table2[Week],Table1[[#This Row],[Week]])</f>
        <v>0</v>
      </c>
      <c r="H639" s="59">
        <f>SUMIFS(Table2[Stat],Table2[Stat Category],"rushing",Table2[Stat Type],"YDS",Table2[Athlete],Table1[[#This Row],[Pick]],Table2[Week],Table1[[#This Row],[Week]])</f>
        <v>0</v>
      </c>
      <c r="I639" s="59">
        <f>SUMIFS(Table2[Stat],Table2[Stat Category],"receiving",Table2[Stat Type],"YDS",Table2[Athlete],Table1[[#This Row],[Pick]],Table2[Week],Table1[[#This Row],[Week]])</f>
        <v>0</v>
      </c>
      <c r="J639" s="6">
        <f>IF(AND($C639="Rushing", $H639&lt;=0), 0, IF(AND($C639="Passing", $G$3&lt;=0), 0,IF(AND($C639="Receiving",$I639&lt;=0), 0,SUMIFS(Table2[Stat],Table2[Week],Table1[[#This Row],[Week]],Table2[Athlete],Table1[[#This Row],[Pick]],Table2[Stat Category],"passing",Table2[Stat Type],"TD"))))</f>
        <v>0</v>
      </c>
      <c r="K639" s="6">
        <f>IF(AND($C639="Rushing", $H639&lt;=0), 0, IF(AND($C639="Passing", $G$3&lt;=0), 0,IF(AND($C639="Receiving",$I639&lt;=0),0,SUMIFS(Table2[Stat],Table2[Week],Table1[[#This Row],[Week]],Table2[Athlete],Table1[[#This Row],[Pick]],Table2[Stat Category],"rushing",Table2[Stat Type],"TD"))))</f>
        <v>0</v>
      </c>
      <c r="L639" s="6">
        <f>IF(AND($C639="Rushing", $H639&lt;=0), 0, IF(AND($C639="Passing", $G$3&lt;=0), 0,IF(AND($C639="Receiving",$I639&lt;=0),0,SUMIFS(Table2[Stat],Table2[Week],Table1[[#This Row],[Week]],Table2[Athlete],Table1[[#This Row],[Pick]],Table2[Stat Category],"receiving",Table2[Stat Type],"TD"))))</f>
        <v>0</v>
      </c>
      <c r="M6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9" s="61">
        <f>SUMIFS(Data!$J:$J,Data!$A:$A,Info!$B639,Data!$G:$G,Info!$C639,Data!$I:$I,Info!$D639,Data!$H:$H,"TOT")</f>
        <v>0</v>
      </c>
      <c r="O639" s="61">
        <f>IF(C639="Defensive",SUMIFS(Data!$J:$J,Data!$A:$A,Info!$B639,Data!$I:$I,Info!$D639,Data!$H:$H,"INT"),0)</f>
        <v>0</v>
      </c>
      <c r="P639" s="61">
        <f>IF(Table1[[#This Row],[Role]]="Defensive",SUMIFS(Data!$J:$J,Data!$A:$A,Info!$B639,Data!$I:$I,Info!$D639,Data!$H:$H,$P$1),0)</f>
        <v>0</v>
      </c>
      <c r="Q639" s="65" t="str">
        <f>IF(Table1[[#This Row],[Pick]]="","",IF(S639&gt;1,400,IF(G639="","",IF(C639="Passing",(400-Table1[[#This Row],[Passing Yards]]-(30*Table1[[#This Row],[Passing TDs]])-(50*SUM(Table1[[#This Row],[Rushing TDs]:[Other TD''s]]))),IF(C639="Rushing",2*(200-Table1[[#This Row],[Rushing Yards]]-(30*Table1[[#This Row],[Passing TDs]])-50*(Table1[[#This Row],[Rushing TDs]]+Table1[[#This Row],[Receiving TDs]]+Table1[[#This Row],[Other TD''s]])),IF(C639="Receiving",2*(200-Table1[[#This Row],[Receiving Yards]]-(30*Table1[[#This Row],[Passing TDs]])-50*(Table1[[#This Row],[Rushing TDs]]+Table1[[#This Row],[Receiving TDs]]+Table1[[#This Row],[Other TD''s]])),IF(C639="Defensive",(25*(16-Table1[[#This Row],[Tackles]]-(8*(Table1[[#This Row],[Other TD''s]]+Table1[[#This Row],[Interceptions]]+Table1[[#This Row],[Fumbles Recovered]])))))))))))</f>
        <v/>
      </c>
      <c r="R639" s="3" t="str">
        <f t="shared" si="20"/>
        <v/>
      </c>
      <c r="S639" s="4">
        <f t="shared" si="19"/>
        <v>1048507</v>
      </c>
      <c r="T6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0" spans="1:20" hidden="1" x14ac:dyDescent="0.25">
      <c r="A640" t="s">
        <v>5</v>
      </c>
      <c r="B640" s="28" t="s">
        <v>53</v>
      </c>
      <c r="C640" t="s">
        <v>6</v>
      </c>
      <c r="D640" t="str">
        <f>_xlfn.XLOOKUP(Table1[[#This Row],[Player]]&amp;Table1[[#This Row],[Week]]&amp;Table1[[#This Row],[Role]],'Google Form Transform'!$A:$A,'Google Form Transform'!E:E,"")</f>
        <v/>
      </c>
      <c r="E640" t="str">
        <f>_xlfn.XLOOKUP(Table1[[#This Row],[Player]]&amp;Table1[[#This Row],[Week]]&amp;Table1[[#This Row],[Role]],'Google Form Transform'!$A:$A,'Google Form Transform'!F:F,"")</f>
        <v/>
      </c>
      <c r="F640" t="str">
        <f>_xlfn.XLOOKUP(Table1[[#This Row],[Player]]&amp;Table1[[#This Row],[Week]]&amp;Table1[[#This Row],[Role]],'Google Form Transform'!$A:$A,'Google Form Transform'!G:G,"")</f>
        <v/>
      </c>
      <c r="G640" s="59">
        <f>SUMIFS(Table2[Stat],Table2[Stat Category],"passing",Table2[Stat Type],"YDS",Table2[Athlete],Table1[[#This Row],[Pick]],Table2[Week],Table1[[#This Row],[Week]])</f>
        <v>0</v>
      </c>
      <c r="H640" s="59">
        <f>SUMIFS(Table2[Stat],Table2[Stat Category],"rushing",Table2[Stat Type],"YDS",Table2[Athlete],Table1[[#This Row],[Pick]],Table2[Week],Table1[[#This Row],[Week]])</f>
        <v>0</v>
      </c>
      <c r="I640" s="59">
        <f>SUMIFS(Table2[Stat],Table2[Stat Category],"receiving",Table2[Stat Type],"YDS",Table2[Athlete],Table1[[#This Row],[Pick]],Table2[Week],Table1[[#This Row],[Week]])</f>
        <v>0</v>
      </c>
      <c r="J640" s="6">
        <f>IF(AND($C640="Rushing", $H640&lt;=0), 0, IF(AND($C640="Passing", $G$3&lt;=0), 0,IF(AND($C640="Receiving",$I640&lt;=0), 0,SUMIFS(Table2[Stat],Table2[Week],Table1[[#This Row],[Week]],Table2[Athlete],Table1[[#This Row],[Pick]],Table2[Stat Category],"passing",Table2[Stat Type],"TD"))))</f>
        <v>0</v>
      </c>
      <c r="K640" s="6">
        <f>IF(AND($C640="Rushing", $H640&lt;=0), 0, IF(AND($C640="Passing", $G$3&lt;=0), 0,IF(AND($C640="Receiving",$I640&lt;=0),0,SUMIFS(Table2[Stat],Table2[Week],Table1[[#This Row],[Week]],Table2[Athlete],Table1[[#This Row],[Pick]],Table2[Stat Category],"rushing",Table2[Stat Type],"TD"))))</f>
        <v>0</v>
      </c>
      <c r="L640" s="6">
        <f>IF(AND($C640="Rushing", $H640&lt;=0), 0, IF(AND($C640="Passing", $G$3&lt;=0), 0,IF(AND($C640="Receiving",$I640&lt;=0),0,SUMIFS(Table2[Stat],Table2[Week],Table1[[#This Row],[Week]],Table2[Athlete],Table1[[#This Row],[Pick]],Table2[Stat Category],"receiving",Table2[Stat Type],"TD"))))</f>
        <v>0</v>
      </c>
      <c r="M6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0" s="61">
        <f>SUMIFS(Data!$J:$J,Data!$A:$A,Info!$B640,Data!$G:$G,Info!$C640,Data!$I:$I,Info!$D640,Data!$H:$H,"TOT")</f>
        <v>0</v>
      </c>
      <c r="O640" s="61">
        <f>IF(C640="Defensive",SUMIFS(Data!$J:$J,Data!$A:$A,Info!$B640,Data!$I:$I,Info!$D640,Data!$H:$H,"INT"),0)</f>
        <v>0</v>
      </c>
      <c r="P640" s="61">
        <f>IF(Table1[[#This Row],[Role]]="Defensive",SUMIFS(Data!$J:$J,Data!$A:$A,Info!$B640,Data!$I:$I,Info!$D640,Data!$H:$H,$P$1),0)</f>
        <v>0</v>
      </c>
      <c r="Q640" s="65" t="str">
        <f>IF(Table1[[#This Row],[Pick]]="","",IF(S640&gt;1,400,IF(G640="","",IF(C640="Passing",(400-Table1[[#This Row],[Passing Yards]]-(30*Table1[[#This Row],[Passing TDs]])-(50*SUM(Table1[[#This Row],[Rushing TDs]:[Other TD''s]]))),IF(C640="Rushing",2*(200-Table1[[#This Row],[Rushing Yards]]-(30*Table1[[#This Row],[Passing TDs]])-50*(Table1[[#This Row],[Rushing TDs]]+Table1[[#This Row],[Receiving TDs]]+Table1[[#This Row],[Other TD''s]])),IF(C640="Receiving",2*(200-Table1[[#This Row],[Receiving Yards]]-(30*Table1[[#This Row],[Passing TDs]])-50*(Table1[[#This Row],[Rushing TDs]]+Table1[[#This Row],[Receiving TDs]]+Table1[[#This Row],[Other TD''s]])),IF(C640="Defensive",(25*(16-Table1[[#This Row],[Tackles]]-(8*(Table1[[#This Row],[Other TD''s]]+Table1[[#This Row],[Interceptions]]+Table1[[#This Row],[Fumbles Recovered]])))))))))))</f>
        <v/>
      </c>
      <c r="R640" s="3" t="str">
        <f t="shared" si="20"/>
        <v/>
      </c>
      <c r="S640" s="4">
        <f t="shared" si="19"/>
        <v>1048507</v>
      </c>
      <c r="T6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1" spans="1:20" hidden="1" x14ac:dyDescent="0.25">
      <c r="A641" t="s">
        <v>5</v>
      </c>
      <c r="B641" s="28" t="s">
        <v>53</v>
      </c>
      <c r="C641" t="s">
        <v>17</v>
      </c>
      <c r="D641" t="str">
        <f>_xlfn.XLOOKUP(Table1[[#This Row],[Player]]&amp;Table1[[#This Row],[Week]]&amp;Table1[[#This Row],[Role]],'Google Form Transform'!$A:$A,'Google Form Transform'!E:E,"")</f>
        <v/>
      </c>
      <c r="E641" t="str">
        <f>_xlfn.XLOOKUP(Table1[[#This Row],[Player]]&amp;Table1[[#This Row],[Week]]&amp;Table1[[#This Row],[Role]],'Google Form Transform'!$A:$A,'Google Form Transform'!F:F,"")</f>
        <v/>
      </c>
      <c r="F641" t="str">
        <f>_xlfn.XLOOKUP(Table1[[#This Row],[Player]]&amp;Table1[[#This Row],[Week]]&amp;Table1[[#This Row],[Role]],'Google Form Transform'!$A:$A,'Google Form Transform'!G:G,"")</f>
        <v/>
      </c>
      <c r="G641" s="59">
        <f>SUMIFS(Table2[Stat],Table2[Stat Category],"passing",Table2[Stat Type],"YDS",Table2[Athlete],Table1[[#This Row],[Pick]],Table2[Week],Table1[[#This Row],[Week]])</f>
        <v>0</v>
      </c>
      <c r="H641" s="59">
        <f>SUMIFS(Table2[Stat],Table2[Stat Category],"rushing",Table2[Stat Type],"YDS",Table2[Athlete],Table1[[#This Row],[Pick]],Table2[Week],Table1[[#This Row],[Week]])</f>
        <v>0</v>
      </c>
      <c r="I641" s="59">
        <f>SUMIFS(Table2[Stat],Table2[Stat Category],"receiving",Table2[Stat Type],"YDS",Table2[Athlete],Table1[[#This Row],[Pick]],Table2[Week],Table1[[#This Row],[Week]])</f>
        <v>0</v>
      </c>
      <c r="J641" s="6">
        <f>IF(AND($C641="Rushing", $H641&lt;=0), 0, IF(AND($C641="Passing", $G$3&lt;=0), 0,IF(AND($C641="Receiving",$I641&lt;=0), 0,SUMIFS(Table2[Stat],Table2[Week],Table1[[#This Row],[Week]],Table2[Athlete],Table1[[#This Row],[Pick]],Table2[Stat Category],"passing",Table2[Stat Type],"TD"))))</f>
        <v>0</v>
      </c>
      <c r="K641" s="6">
        <f>IF(AND($C641="Rushing", $H641&lt;=0), 0, IF(AND($C641="Passing", $G$3&lt;=0), 0,IF(AND($C641="Receiving",$I641&lt;=0),0,SUMIFS(Table2[Stat],Table2[Week],Table1[[#This Row],[Week]],Table2[Athlete],Table1[[#This Row],[Pick]],Table2[Stat Category],"rushing",Table2[Stat Type],"TD"))))</f>
        <v>0</v>
      </c>
      <c r="L641" s="6">
        <f>IF(AND($C641="Rushing", $H641&lt;=0), 0, IF(AND($C641="Passing", $G$3&lt;=0), 0,IF(AND($C641="Receiving",$I641&lt;=0),0,SUMIFS(Table2[Stat],Table2[Week],Table1[[#This Row],[Week]],Table2[Athlete],Table1[[#This Row],[Pick]],Table2[Stat Category],"receiving",Table2[Stat Type],"TD"))))</f>
        <v>0</v>
      </c>
      <c r="M6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1" s="61">
        <f>SUMIFS(Data!$J:$J,Data!$A:$A,Info!$B641,Data!$G:$G,Info!$C641,Data!$I:$I,Info!$D641,Data!$H:$H,"TOT")</f>
        <v>0</v>
      </c>
      <c r="O641" s="61">
        <f>IF(C641="Defensive",SUMIFS(Data!$J:$J,Data!$A:$A,Info!$B641,Data!$I:$I,Info!$D641,Data!$H:$H,"INT"),0)</f>
        <v>0</v>
      </c>
      <c r="P641" s="61">
        <f>IF(Table1[[#This Row],[Role]]="Defensive",SUMIFS(Data!$J:$J,Data!$A:$A,Info!$B641,Data!$I:$I,Info!$D641,Data!$H:$H,$P$1),0)</f>
        <v>0</v>
      </c>
      <c r="Q641" s="65" t="str">
        <f>IF(Table1[[#This Row],[Pick]]="","",IF(S641&gt;1,400,IF(G641="","",IF(C641="Passing",(400-Table1[[#This Row],[Passing Yards]]-(30*Table1[[#This Row],[Passing TDs]])-(50*SUM(Table1[[#This Row],[Rushing TDs]:[Other TD''s]]))),IF(C641="Rushing",2*(200-Table1[[#This Row],[Rushing Yards]]-(30*Table1[[#This Row],[Passing TDs]])-50*(Table1[[#This Row],[Rushing TDs]]+Table1[[#This Row],[Receiving TDs]]+Table1[[#This Row],[Other TD''s]])),IF(C641="Receiving",2*(200-Table1[[#This Row],[Receiving Yards]]-(30*Table1[[#This Row],[Passing TDs]])-50*(Table1[[#This Row],[Rushing TDs]]+Table1[[#This Row],[Receiving TDs]]+Table1[[#This Row],[Other TD''s]])),IF(C641="Defensive",(25*(16-Table1[[#This Row],[Tackles]]-(8*(Table1[[#This Row],[Other TD''s]]+Table1[[#This Row],[Interceptions]]+Table1[[#This Row],[Fumbles Recovered]])))))))))))</f>
        <v/>
      </c>
      <c r="R641" s="3" t="str">
        <f t="shared" si="20"/>
        <v/>
      </c>
      <c r="S641" s="4">
        <f t="shared" si="19"/>
        <v>1048507</v>
      </c>
      <c r="T6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2" spans="1:20" hidden="1" x14ac:dyDescent="0.25">
      <c r="A642" t="s">
        <v>5</v>
      </c>
      <c r="B642" s="28" t="s">
        <v>53</v>
      </c>
      <c r="C642" t="s">
        <v>20</v>
      </c>
      <c r="D642" t="str">
        <f>_xlfn.XLOOKUP(Table1[[#This Row],[Player]]&amp;Table1[[#This Row],[Week]]&amp;Table1[[#This Row],[Role]],'Google Form Transform'!$A:$A,'Google Form Transform'!E:E,"")</f>
        <v/>
      </c>
      <c r="E642" t="str">
        <f>_xlfn.XLOOKUP(Table1[[#This Row],[Player]]&amp;Table1[[#This Row],[Week]]&amp;Table1[[#This Row],[Role]],'Google Form Transform'!$A:$A,'Google Form Transform'!F:F,"")</f>
        <v/>
      </c>
      <c r="F642" t="str">
        <f>_xlfn.XLOOKUP(Table1[[#This Row],[Player]]&amp;Table1[[#This Row],[Week]]&amp;Table1[[#This Row],[Role]],'Google Form Transform'!$A:$A,'Google Form Transform'!G:G,"")</f>
        <v/>
      </c>
      <c r="G642" s="59">
        <f>SUMIFS(Table2[Stat],Table2[Stat Category],"passing",Table2[Stat Type],"YDS",Table2[Athlete],Table1[[#This Row],[Pick]],Table2[Week],Table1[[#This Row],[Week]])</f>
        <v>0</v>
      </c>
      <c r="H642" s="59">
        <f>SUMIFS(Table2[Stat],Table2[Stat Category],"rushing",Table2[Stat Type],"YDS",Table2[Athlete],Table1[[#This Row],[Pick]],Table2[Week],Table1[[#This Row],[Week]])</f>
        <v>0</v>
      </c>
      <c r="I642" s="59">
        <f>SUMIFS(Table2[Stat],Table2[Stat Category],"receiving",Table2[Stat Type],"YDS",Table2[Athlete],Table1[[#This Row],[Pick]],Table2[Week],Table1[[#This Row],[Week]])</f>
        <v>0</v>
      </c>
      <c r="J642" s="6">
        <f>IF(AND($C642="Rushing", $H642&lt;=0), 0, IF(AND($C642="Passing", $G$3&lt;=0), 0,IF(AND($C642="Receiving",$I642&lt;=0), 0,SUMIFS(Table2[Stat],Table2[Week],Table1[[#This Row],[Week]],Table2[Athlete],Table1[[#This Row],[Pick]],Table2[Stat Category],"passing",Table2[Stat Type],"TD"))))</f>
        <v>0</v>
      </c>
      <c r="K642" s="6">
        <f>IF(AND($C642="Rushing", $H642&lt;=0), 0, IF(AND($C642="Passing", $G$3&lt;=0), 0,IF(AND($C642="Receiving",$I642&lt;=0),0,SUMIFS(Table2[Stat],Table2[Week],Table1[[#This Row],[Week]],Table2[Athlete],Table1[[#This Row],[Pick]],Table2[Stat Category],"rushing",Table2[Stat Type],"TD"))))</f>
        <v>0</v>
      </c>
      <c r="L642" s="6">
        <f>IF(AND($C642="Rushing", $H642&lt;=0), 0, IF(AND($C642="Passing", $G$3&lt;=0), 0,IF(AND($C642="Receiving",$I642&lt;=0),0,SUMIFS(Table2[Stat],Table2[Week],Table1[[#This Row],[Week]],Table2[Athlete],Table1[[#This Row],[Pick]],Table2[Stat Category],"receiving",Table2[Stat Type],"TD"))))</f>
        <v>0</v>
      </c>
      <c r="M6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2" s="61">
        <f>SUMIFS(Data!$J:$J,Data!$A:$A,Info!$B642,Data!$G:$G,Info!$C642,Data!$I:$I,Info!$D642,Data!$H:$H,"TOT")</f>
        <v>0</v>
      </c>
      <c r="O642" s="61">
        <f>IF(C642="Defensive",SUMIFS(Data!$J:$J,Data!$A:$A,Info!$B642,Data!$I:$I,Info!$D642,Data!$H:$H,"INT"),0)</f>
        <v>0</v>
      </c>
      <c r="P642" s="61">
        <f>IF(Table1[[#This Row],[Role]]="Defensive",SUMIFS(Data!$J:$J,Data!$A:$A,Info!$B642,Data!$I:$I,Info!$D642,Data!$H:$H,$P$1),0)</f>
        <v>0</v>
      </c>
      <c r="Q642" s="65" t="str">
        <f>IF(Table1[[#This Row],[Pick]]="","",IF(S642&gt;1,400,IF(G642="","",IF(C642="Passing",(400-Table1[[#This Row],[Passing Yards]]-(30*Table1[[#This Row],[Passing TDs]])-(50*SUM(Table1[[#This Row],[Rushing TDs]:[Other TD''s]]))),IF(C642="Rushing",2*(200-Table1[[#This Row],[Rushing Yards]]-(30*Table1[[#This Row],[Passing TDs]])-50*(Table1[[#This Row],[Rushing TDs]]+Table1[[#This Row],[Receiving TDs]]+Table1[[#This Row],[Other TD''s]])),IF(C642="Receiving",2*(200-Table1[[#This Row],[Receiving Yards]]-(30*Table1[[#This Row],[Passing TDs]])-50*(Table1[[#This Row],[Rushing TDs]]+Table1[[#This Row],[Receiving TDs]]+Table1[[#This Row],[Other TD''s]])),IF(C642="Defensive",(25*(16-Table1[[#This Row],[Tackles]]-(8*(Table1[[#This Row],[Other TD''s]]+Table1[[#This Row],[Interceptions]]+Table1[[#This Row],[Fumbles Recovered]])))))))))))</f>
        <v/>
      </c>
      <c r="R642" s="3" t="str">
        <f t="shared" si="20"/>
        <v/>
      </c>
      <c r="S642" s="4">
        <f t="shared" si="19"/>
        <v>1048507</v>
      </c>
      <c r="T6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3" spans="1:20" hidden="1" x14ac:dyDescent="0.25">
      <c r="A643" t="s">
        <v>18</v>
      </c>
      <c r="B643" s="28" t="s">
        <v>53</v>
      </c>
      <c r="C643" t="s">
        <v>16</v>
      </c>
      <c r="D643" t="str">
        <f>_xlfn.XLOOKUP(Table1[[#This Row],[Player]]&amp;Table1[[#This Row],[Week]]&amp;Table1[[#This Row],[Role]],'Google Form Transform'!$A:$A,'Google Form Transform'!E:E,"")</f>
        <v/>
      </c>
      <c r="E643" t="str">
        <f>_xlfn.XLOOKUP(Table1[[#This Row],[Player]]&amp;Table1[[#This Row],[Week]]&amp;Table1[[#This Row],[Role]],'Google Form Transform'!$A:$A,'Google Form Transform'!F:F,"")</f>
        <v/>
      </c>
      <c r="F643" t="str">
        <f>_xlfn.XLOOKUP(Table1[[#This Row],[Player]]&amp;Table1[[#This Row],[Week]]&amp;Table1[[#This Row],[Role]],'Google Form Transform'!$A:$A,'Google Form Transform'!G:G,"")</f>
        <v/>
      </c>
      <c r="G643" s="59">
        <f>SUMIFS(Table2[Stat],Table2[Stat Category],"passing",Table2[Stat Type],"YDS",Table2[Athlete],Table1[[#This Row],[Pick]],Table2[Week],Table1[[#This Row],[Week]])</f>
        <v>0</v>
      </c>
      <c r="H643" s="59">
        <f>SUMIFS(Table2[Stat],Table2[Stat Category],"rushing",Table2[Stat Type],"YDS",Table2[Athlete],Table1[[#This Row],[Pick]],Table2[Week],Table1[[#This Row],[Week]])</f>
        <v>0</v>
      </c>
      <c r="I643" s="59">
        <f>SUMIFS(Table2[Stat],Table2[Stat Category],"receiving",Table2[Stat Type],"YDS",Table2[Athlete],Table1[[#This Row],[Pick]],Table2[Week],Table1[[#This Row],[Week]])</f>
        <v>0</v>
      </c>
      <c r="J643" s="6">
        <f>IF(AND($C643="Rushing", $H643&lt;=0), 0, IF(AND($C643="Passing", $G$3&lt;=0), 0,IF(AND($C643="Receiving",$I643&lt;=0), 0,SUMIFS(Table2[Stat],Table2[Week],Table1[[#This Row],[Week]],Table2[Athlete],Table1[[#This Row],[Pick]],Table2[Stat Category],"passing",Table2[Stat Type],"TD"))))</f>
        <v>0</v>
      </c>
      <c r="K643" s="6">
        <f>IF(AND($C643="Rushing", $H643&lt;=0), 0, IF(AND($C643="Passing", $G$3&lt;=0), 0,IF(AND($C643="Receiving",$I643&lt;=0),0,SUMIFS(Table2[Stat],Table2[Week],Table1[[#This Row],[Week]],Table2[Athlete],Table1[[#This Row],[Pick]],Table2[Stat Category],"rushing",Table2[Stat Type],"TD"))))</f>
        <v>0</v>
      </c>
      <c r="L643" s="6">
        <f>IF(AND($C643="Rushing", $H643&lt;=0), 0, IF(AND($C643="Passing", $G$3&lt;=0), 0,IF(AND($C643="Receiving",$I643&lt;=0),0,SUMIFS(Table2[Stat],Table2[Week],Table1[[#This Row],[Week]],Table2[Athlete],Table1[[#This Row],[Pick]],Table2[Stat Category],"receiving",Table2[Stat Type],"TD"))))</f>
        <v>0</v>
      </c>
      <c r="M6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3" s="61">
        <f>SUMIFS(Data!$J:$J,Data!$A:$A,Info!$B643,Data!$G:$G,Info!$C643,Data!$I:$I,Info!$D643,Data!$H:$H,"TOT")</f>
        <v>0</v>
      </c>
      <c r="O643" s="61">
        <f>IF(C643="Defensive",SUMIFS(Data!$J:$J,Data!$A:$A,Info!$B643,Data!$I:$I,Info!$D643,Data!$H:$H,"INT"),0)</f>
        <v>0</v>
      </c>
      <c r="P643" s="61">
        <f>IF(Table1[[#This Row],[Role]]="Defensive",SUMIFS(Data!$J:$J,Data!$A:$A,Info!$B643,Data!$I:$I,Info!$D643,Data!$H:$H,$P$1),0)</f>
        <v>0</v>
      </c>
      <c r="Q643" s="65" t="str">
        <f>IF(Table1[[#This Row],[Pick]]="","",IF(S643&gt;1,400,IF(G643="","",IF(C643="Passing",(400-Table1[[#This Row],[Passing Yards]]-(30*Table1[[#This Row],[Passing TDs]])-(50*SUM(Table1[[#This Row],[Rushing TDs]:[Other TD''s]]))),IF(C643="Rushing",2*(200-Table1[[#This Row],[Rushing Yards]]-(30*Table1[[#This Row],[Passing TDs]])-50*(Table1[[#This Row],[Rushing TDs]]+Table1[[#This Row],[Receiving TDs]]+Table1[[#This Row],[Other TD''s]])),IF(C643="Receiving",2*(200-Table1[[#This Row],[Receiving Yards]]-(30*Table1[[#This Row],[Passing TDs]])-50*(Table1[[#This Row],[Rushing TDs]]+Table1[[#This Row],[Receiving TDs]]+Table1[[#This Row],[Other TD''s]])),IF(C643="Defensive",(25*(16-Table1[[#This Row],[Tackles]]-(8*(Table1[[#This Row],[Other TD''s]]+Table1[[#This Row],[Interceptions]]+Table1[[#This Row],[Fumbles Recovered]])))))))))))</f>
        <v/>
      </c>
      <c r="R643" s="3" t="str">
        <f t="shared" si="20"/>
        <v/>
      </c>
      <c r="S643" s="4">
        <f t="shared" ref="S643:S706" si="21">COUNTIF(R:R,R643)</f>
        <v>1048507</v>
      </c>
      <c r="T6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4" spans="1:20" hidden="1" x14ac:dyDescent="0.25">
      <c r="A644" t="s">
        <v>18</v>
      </c>
      <c r="B644" s="28" t="s">
        <v>53</v>
      </c>
      <c r="C644" t="s">
        <v>6</v>
      </c>
      <c r="D644" t="str">
        <f>_xlfn.XLOOKUP(Table1[[#This Row],[Player]]&amp;Table1[[#This Row],[Week]]&amp;Table1[[#This Row],[Role]],'Google Form Transform'!$A:$A,'Google Form Transform'!E:E,"")</f>
        <v/>
      </c>
      <c r="E644" t="str">
        <f>_xlfn.XLOOKUP(Table1[[#This Row],[Player]]&amp;Table1[[#This Row],[Week]]&amp;Table1[[#This Row],[Role]],'Google Form Transform'!$A:$A,'Google Form Transform'!F:F,"")</f>
        <v/>
      </c>
      <c r="F644" t="str">
        <f>_xlfn.XLOOKUP(Table1[[#This Row],[Player]]&amp;Table1[[#This Row],[Week]]&amp;Table1[[#This Row],[Role]],'Google Form Transform'!$A:$A,'Google Form Transform'!G:G,"")</f>
        <v/>
      </c>
      <c r="G644" s="59">
        <f>SUMIFS(Table2[Stat],Table2[Stat Category],"passing",Table2[Stat Type],"YDS",Table2[Athlete],Table1[[#This Row],[Pick]],Table2[Week],Table1[[#This Row],[Week]])</f>
        <v>0</v>
      </c>
      <c r="H644" s="59">
        <f>SUMIFS(Table2[Stat],Table2[Stat Category],"rushing",Table2[Stat Type],"YDS",Table2[Athlete],Table1[[#This Row],[Pick]],Table2[Week],Table1[[#This Row],[Week]])</f>
        <v>0</v>
      </c>
      <c r="I644" s="59">
        <f>SUMIFS(Table2[Stat],Table2[Stat Category],"receiving",Table2[Stat Type],"YDS",Table2[Athlete],Table1[[#This Row],[Pick]],Table2[Week],Table1[[#This Row],[Week]])</f>
        <v>0</v>
      </c>
      <c r="J644" s="6">
        <f>IF(AND($C644="Rushing", $H644&lt;=0), 0, IF(AND($C644="Passing", $G$3&lt;=0), 0,IF(AND($C644="Receiving",$I644&lt;=0), 0,SUMIFS(Table2[Stat],Table2[Week],Table1[[#This Row],[Week]],Table2[Athlete],Table1[[#This Row],[Pick]],Table2[Stat Category],"passing",Table2[Stat Type],"TD"))))</f>
        <v>0</v>
      </c>
      <c r="K644" s="6">
        <f>IF(AND($C644="Rushing", $H644&lt;=0), 0, IF(AND($C644="Passing", $G$3&lt;=0), 0,IF(AND($C644="Receiving",$I644&lt;=0),0,SUMIFS(Table2[Stat],Table2[Week],Table1[[#This Row],[Week]],Table2[Athlete],Table1[[#This Row],[Pick]],Table2[Stat Category],"rushing",Table2[Stat Type],"TD"))))</f>
        <v>0</v>
      </c>
      <c r="L644" s="6">
        <f>IF(AND($C644="Rushing", $H644&lt;=0), 0, IF(AND($C644="Passing", $G$3&lt;=0), 0,IF(AND($C644="Receiving",$I644&lt;=0),0,SUMIFS(Table2[Stat],Table2[Week],Table1[[#This Row],[Week]],Table2[Athlete],Table1[[#This Row],[Pick]],Table2[Stat Category],"receiving",Table2[Stat Type],"TD"))))</f>
        <v>0</v>
      </c>
      <c r="M6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4" s="61">
        <f>SUMIFS(Data!$J:$J,Data!$A:$A,Info!$B644,Data!$G:$G,Info!$C644,Data!$I:$I,Info!$D644,Data!$H:$H,"TOT")</f>
        <v>0</v>
      </c>
      <c r="O644" s="61">
        <f>IF(C644="Defensive",SUMIFS(Data!$J:$J,Data!$A:$A,Info!$B644,Data!$I:$I,Info!$D644,Data!$H:$H,"INT"),0)</f>
        <v>0</v>
      </c>
      <c r="P644" s="61">
        <f>IF(Table1[[#This Row],[Role]]="Defensive",SUMIFS(Data!$J:$J,Data!$A:$A,Info!$B644,Data!$I:$I,Info!$D644,Data!$H:$H,$P$1),0)</f>
        <v>0</v>
      </c>
      <c r="Q644" s="65" t="str">
        <f>IF(Table1[[#This Row],[Pick]]="","",IF(S644&gt;1,400,IF(G644="","",IF(C644="Passing",(400-Table1[[#This Row],[Passing Yards]]-(30*Table1[[#This Row],[Passing TDs]])-(50*SUM(Table1[[#This Row],[Rushing TDs]:[Other TD''s]]))),IF(C644="Rushing",2*(200-Table1[[#This Row],[Rushing Yards]]-(30*Table1[[#This Row],[Passing TDs]])-50*(Table1[[#This Row],[Rushing TDs]]+Table1[[#This Row],[Receiving TDs]]+Table1[[#This Row],[Other TD''s]])),IF(C644="Receiving",2*(200-Table1[[#This Row],[Receiving Yards]]-(30*Table1[[#This Row],[Passing TDs]])-50*(Table1[[#This Row],[Rushing TDs]]+Table1[[#This Row],[Receiving TDs]]+Table1[[#This Row],[Other TD''s]])),IF(C644="Defensive",(25*(16-Table1[[#This Row],[Tackles]]-(8*(Table1[[#This Row],[Other TD''s]]+Table1[[#This Row],[Interceptions]]+Table1[[#This Row],[Fumbles Recovered]])))))))))))</f>
        <v/>
      </c>
      <c r="R644" s="3" t="str">
        <f t="shared" ref="R644:R707" si="22">IF(D644="","",A644&amp;C644&amp;D644)</f>
        <v/>
      </c>
      <c r="S644" s="4">
        <f t="shared" si="21"/>
        <v>1048507</v>
      </c>
      <c r="T6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5" spans="1:20" hidden="1" x14ac:dyDescent="0.25">
      <c r="A645" t="s">
        <v>18</v>
      </c>
      <c r="B645" s="28" t="s">
        <v>53</v>
      </c>
      <c r="C645" t="s">
        <v>17</v>
      </c>
      <c r="D645" t="str">
        <f>_xlfn.XLOOKUP(Table1[[#This Row],[Player]]&amp;Table1[[#This Row],[Week]]&amp;Table1[[#This Row],[Role]],'Google Form Transform'!$A:$A,'Google Form Transform'!E:E,"")</f>
        <v/>
      </c>
      <c r="E645" t="str">
        <f>_xlfn.XLOOKUP(Table1[[#This Row],[Player]]&amp;Table1[[#This Row],[Week]]&amp;Table1[[#This Row],[Role]],'Google Form Transform'!$A:$A,'Google Form Transform'!F:F,"")</f>
        <v/>
      </c>
      <c r="F645" t="str">
        <f>_xlfn.XLOOKUP(Table1[[#This Row],[Player]]&amp;Table1[[#This Row],[Week]]&amp;Table1[[#This Row],[Role]],'Google Form Transform'!$A:$A,'Google Form Transform'!G:G,"")</f>
        <v/>
      </c>
      <c r="G645" s="59">
        <f>SUMIFS(Table2[Stat],Table2[Stat Category],"passing",Table2[Stat Type],"YDS",Table2[Athlete],Table1[[#This Row],[Pick]],Table2[Week],Table1[[#This Row],[Week]])</f>
        <v>0</v>
      </c>
      <c r="H645" s="59">
        <f>SUMIFS(Table2[Stat],Table2[Stat Category],"rushing",Table2[Stat Type],"YDS",Table2[Athlete],Table1[[#This Row],[Pick]],Table2[Week],Table1[[#This Row],[Week]])</f>
        <v>0</v>
      </c>
      <c r="I645" s="59">
        <f>SUMIFS(Table2[Stat],Table2[Stat Category],"receiving",Table2[Stat Type],"YDS",Table2[Athlete],Table1[[#This Row],[Pick]],Table2[Week],Table1[[#This Row],[Week]])</f>
        <v>0</v>
      </c>
      <c r="J645" s="6">
        <f>IF(AND($C645="Rushing", $H645&lt;=0), 0, IF(AND($C645="Passing", $G$3&lt;=0), 0,IF(AND($C645="Receiving",$I645&lt;=0), 0,SUMIFS(Table2[Stat],Table2[Week],Table1[[#This Row],[Week]],Table2[Athlete],Table1[[#This Row],[Pick]],Table2[Stat Category],"passing",Table2[Stat Type],"TD"))))</f>
        <v>0</v>
      </c>
      <c r="K645" s="6">
        <f>IF(AND($C645="Rushing", $H645&lt;=0), 0, IF(AND($C645="Passing", $G$3&lt;=0), 0,IF(AND($C645="Receiving",$I645&lt;=0),0,SUMIFS(Table2[Stat],Table2[Week],Table1[[#This Row],[Week]],Table2[Athlete],Table1[[#This Row],[Pick]],Table2[Stat Category],"rushing",Table2[Stat Type],"TD"))))</f>
        <v>0</v>
      </c>
      <c r="L645" s="6">
        <f>IF(AND($C645="Rushing", $H645&lt;=0), 0, IF(AND($C645="Passing", $G$3&lt;=0), 0,IF(AND($C645="Receiving",$I645&lt;=0),0,SUMIFS(Table2[Stat],Table2[Week],Table1[[#This Row],[Week]],Table2[Athlete],Table1[[#This Row],[Pick]],Table2[Stat Category],"receiving",Table2[Stat Type],"TD"))))</f>
        <v>0</v>
      </c>
      <c r="M6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5" s="61">
        <f>SUMIFS(Data!$J:$J,Data!$A:$A,Info!$B645,Data!$G:$G,Info!$C645,Data!$I:$I,Info!$D645,Data!$H:$H,"TOT")</f>
        <v>0</v>
      </c>
      <c r="O645" s="61">
        <f>IF(C645="Defensive",SUMIFS(Data!$J:$J,Data!$A:$A,Info!$B645,Data!$I:$I,Info!$D645,Data!$H:$H,"INT"),0)</f>
        <v>0</v>
      </c>
      <c r="P645" s="61">
        <f>IF(Table1[[#This Row],[Role]]="Defensive",SUMIFS(Data!$J:$J,Data!$A:$A,Info!$B645,Data!$I:$I,Info!$D645,Data!$H:$H,$P$1),0)</f>
        <v>0</v>
      </c>
      <c r="Q645" s="65" t="str">
        <f>IF(Table1[[#This Row],[Pick]]="","",IF(S645&gt;1,400,IF(G645="","",IF(C645="Passing",(400-Table1[[#This Row],[Passing Yards]]-(30*Table1[[#This Row],[Passing TDs]])-(50*SUM(Table1[[#This Row],[Rushing TDs]:[Other TD''s]]))),IF(C645="Rushing",2*(200-Table1[[#This Row],[Rushing Yards]]-(30*Table1[[#This Row],[Passing TDs]])-50*(Table1[[#This Row],[Rushing TDs]]+Table1[[#This Row],[Receiving TDs]]+Table1[[#This Row],[Other TD''s]])),IF(C645="Receiving",2*(200-Table1[[#This Row],[Receiving Yards]]-(30*Table1[[#This Row],[Passing TDs]])-50*(Table1[[#This Row],[Rushing TDs]]+Table1[[#This Row],[Receiving TDs]]+Table1[[#This Row],[Other TD''s]])),IF(C645="Defensive",(25*(16-Table1[[#This Row],[Tackles]]-(8*(Table1[[#This Row],[Other TD''s]]+Table1[[#This Row],[Interceptions]]+Table1[[#This Row],[Fumbles Recovered]])))))))))))</f>
        <v/>
      </c>
      <c r="R645" s="3" t="str">
        <f t="shared" si="22"/>
        <v/>
      </c>
      <c r="S645" s="4">
        <f t="shared" si="21"/>
        <v>1048507</v>
      </c>
      <c r="T6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6" spans="1:20" hidden="1" x14ac:dyDescent="0.25">
      <c r="A646" t="s">
        <v>18</v>
      </c>
      <c r="B646" s="28" t="s">
        <v>53</v>
      </c>
      <c r="C646" t="s">
        <v>20</v>
      </c>
      <c r="D646" t="str">
        <f>_xlfn.XLOOKUP(Table1[[#This Row],[Player]]&amp;Table1[[#This Row],[Week]]&amp;Table1[[#This Row],[Role]],'Google Form Transform'!$A:$A,'Google Form Transform'!E:E,"")</f>
        <v/>
      </c>
      <c r="E646" t="str">
        <f>_xlfn.XLOOKUP(Table1[[#This Row],[Player]]&amp;Table1[[#This Row],[Week]]&amp;Table1[[#This Row],[Role]],'Google Form Transform'!$A:$A,'Google Form Transform'!F:F,"")</f>
        <v/>
      </c>
      <c r="F646" t="str">
        <f>_xlfn.XLOOKUP(Table1[[#This Row],[Player]]&amp;Table1[[#This Row],[Week]]&amp;Table1[[#This Row],[Role]],'Google Form Transform'!$A:$A,'Google Form Transform'!G:G,"")</f>
        <v/>
      </c>
      <c r="G646" s="59">
        <f>SUMIFS(Table2[Stat],Table2[Stat Category],"passing",Table2[Stat Type],"YDS",Table2[Athlete],Table1[[#This Row],[Pick]],Table2[Week],Table1[[#This Row],[Week]])</f>
        <v>0</v>
      </c>
      <c r="H646" s="59">
        <f>SUMIFS(Table2[Stat],Table2[Stat Category],"rushing",Table2[Stat Type],"YDS",Table2[Athlete],Table1[[#This Row],[Pick]],Table2[Week],Table1[[#This Row],[Week]])</f>
        <v>0</v>
      </c>
      <c r="I646" s="59">
        <f>SUMIFS(Table2[Stat],Table2[Stat Category],"receiving",Table2[Stat Type],"YDS",Table2[Athlete],Table1[[#This Row],[Pick]],Table2[Week],Table1[[#This Row],[Week]])</f>
        <v>0</v>
      </c>
      <c r="J646" s="6">
        <f>IF(AND($C646="Rushing", $H646&lt;=0), 0, IF(AND($C646="Passing", $G$3&lt;=0), 0,IF(AND($C646="Receiving",$I646&lt;=0), 0,SUMIFS(Table2[Stat],Table2[Week],Table1[[#This Row],[Week]],Table2[Athlete],Table1[[#This Row],[Pick]],Table2[Stat Category],"passing",Table2[Stat Type],"TD"))))</f>
        <v>0</v>
      </c>
      <c r="K646" s="6">
        <f>IF(AND($C646="Rushing", $H646&lt;=0), 0, IF(AND($C646="Passing", $G$3&lt;=0), 0,IF(AND($C646="Receiving",$I646&lt;=0),0,SUMIFS(Table2[Stat],Table2[Week],Table1[[#This Row],[Week]],Table2[Athlete],Table1[[#This Row],[Pick]],Table2[Stat Category],"rushing",Table2[Stat Type],"TD"))))</f>
        <v>0</v>
      </c>
      <c r="L646" s="6">
        <f>IF(AND($C646="Rushing", $H646&lt;=0), 0, IF(AND($C646="Passing", $G$3&lt;=0), 0,IF(AND($C646="Receiving",$I646&lt;=0),0,SUMIFS(Table2[Stat],Table2[Week],Table1[[#This Row],[Week]],Table2[Athlete],Table1[[#This Row],[Pick]],Table2[Stat Category],"receiving",Table2[Stat Type],"TD"))))</f>
        <v>0</v>
      </c>
      <c r="M6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6" s="61">
        <f>SUMIFS(Data!$J:$J,Data!$A:$A,Info!$B646,Data!$G:$G,Info!$C646,Data!$I:$I,Info!$D646,Data!$H:$H,"TOT")</f>
        <v>0</v>
      </c>
      <c r="O646" s="61">
        <f>IF(C646="Defensive",SUMIFS(Data!$J:$J,Data!$A:$A,Info!$B646,Data!$I:$I,Info!$D646,Data!$H:$H,"INT"),0)</f>
        <v>0</v>
      </c>
      <c r="P646" s="61">
        <f>IF(Table1[[#This Row],[Role]]="Defensive",SUMIFS(Data!$J:$J,Data!$A:$A,Info!$B646,Data!$I:$I,Info!$D646,Data!$H:$H,$P$1),0)</f>
        <v>0</v>
      </c>
      <c r="Q646" s="65" t="str">
        <f>IF(Table1[[#This Row],[Pick]]="","",IF(S646&gt;1,400,IF(G646="","",IF(C646="Passing",(400-Table1[[#This Row],[Passing Yards]]-(30*Table1[[#This Row],[Passing TDs]])-(50*SUM(Table1[[#This Row],[Rushing TDs]:[Other TD''s]]))),IF(C646="Rushing",2*(200-Table1[[#This Row],[Rushing Yards]]-(30*Table1[[#This Row],[Passing TDs]])-50*(Table1[[#This Row],[Rushing TDs]]+Table1[[#This Row],[Receiving TDs]]+Table1[[#This Row],[Other TD''s]])),IF(C646="Receiving",2*(200-Table1[[#This Row],[Receiving Yards]]-(30*Table1[[#This Row],[Passing TDs]])-50*(Table1[[#This Row],[Rushing TDs]]+Table1[[#This Row],[Receiving TDs]]+Table1[[#This Row],[Other TD''s]])),IF(C646="Defensive",(25*(16-Table1[[#This Row],[Tackles]]-(8*(Table1[[#This Row],[Other TD''s]]+Table1[[#This Row],[Interceptions]]+Table1[[#This Row],[Fumbles Recovered]])))))))))))</f>
        <v/>
      </c>
      <c r="R646" s="3" t="str">
        <f t="shared" si="22"/>
        <v/>
      </c>
      <c r="S646" s="4">
        <f t="shared" si="21"/>
        <v>1048507</v>
      </c>
      <c r="T6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7" spans="1:20" hidden="1" x14ac:dyDescent="0.25">
      <c r="A647" t="s">
        <v>19</v>
      </c>
      <c r="B647" s="28" t="s">
        <v>53</v>
      </c>
      <c r="C647" t="s">
        <v>16</v>
      </c>
      <c r="D647" t="str">
        <f>_xlfn.XLOOKUP(Table1[[#This Row],[Player]]&amp;Table1[[#This Row],[Week]]&amp;Table1[[#This Row],[Role]],'Google Form Transform'!$A:$A,'Google Form Transform'!E:E,"")</f>
        <v/>
      </c>
      <c r="E647" t="str">
        <f>_xlfn.XLOOKUP(Table1[[#This Row],[Player]]&amp;Table1[[#This Row],[Week]]&amp;Table1[[#This Row],[Role]],'Google Form Transform'!$A:$A,'Google Form Transform'!F:F,"")</f>
        <v/>
      </c>
      <c r="F647" t="str">
        <f>_xlfn.XLOOKUP(Table1[[#This Row],[Player]]&amp;Table1[[#This Row],[Week]]&amp;Table1[[#This Row],[Role]],'Google Form Transform'!$A:$A,'Google Form Transform'!G:G,"")</f>
        <v/>
      </c>
      <c r="G647" s="59">
        <f>SUMIFS(Table2[Stat],Table2[Stat Category],"passing",Table2[Stat Type],"YDS",Table2[Athlete],Table1[[#This Row],[Pick]],Table2[Week],Table1[[#This Row],[Week]])</f>
        <v>0</v>
      </c>
      <c r="H647" s="59">
        <f>SUMIFS(Table2[Stat],Table2[Stat Category],"rushing",Table2[Stat Type],"YDS",Table2[Athlete],Table1[[#This Row],[Pick]],Table2[Week],Table1[[#This Row],[Week]])</f>
        <v>0</v>
      </c>
      <c r="I647" s="59">
        <f>SUMIFS(Table2[Stat],Table2[Stat Category],"receiving",Table2[Stat Type],"YDS",Table2[Athlete],Table1[[#This Row],[Pick]],Table2[Week],Table1[[#This Row],[Week]])</f>
        <v>0</v>
      </c>
      <c r="J647" s="6">
        <f>IF(AND($C647="Rushing", $H647&lt;=0), 0, IF(AND($C647="Passing", $G$3&lt;=0), 0,IF(AND($C647="Receiving",$I647&lt;=0), 0,SUMIFS(Table2[Stat],Table2[Week],Table1[[#This Row],[Week]],Table2[Athlete],Table1[[#This Row],[Pick]],Table2[Stat Category],"passing",Table2[Stat Type],"TD"))))</f>
        <v>0</v>
      </c>
      <c r="K647" s="6">
        <f>IF(AND($C647="Rushing", $H647&lt;=0), 0, IF(AND($C647="Passing", $G$3&lt;=0), 0,IF(AND($C647="Receiving",$I647&lt;=0),0,SUMIFS(Table2[Stat],Table2[Week],Table1[[#This Row],[Week]],Table2[Athlete],Table1[[#This Row],[Pick]],Table2[Stat Category],"rushing",Table2[Stat Type],"TD"))))</f>
        <v>0</v>
      </c>
      <c r="L647" s="6">
        <f>IF(AND($C647="Rushing", $H647&lt;=0), 0, IF(AND($C647="Passing", $G$3&lt;=0), 0,IF(AND($C647="Receiving",$I647&lt;=0),0,SUMIFS(Table2[Stat],Table2[Week],Table1[[#This Row],[Week]],Table2[Athlete],Table1[[#This Row],[Pick]],Table2[Stat Category],"receiving",Table2[Stat Type],"TD"))))</f>
        <v>0</v>
      </c>
      <c r="M6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7" s="61">
        <f>SUMIFS(Data!$J:$J,Data!$A:$A,Info!$B647,Data!$G:$G,Info!$C647,Data!$I:$I,Info!$D647,Data!$H:$H,"TOT")</f>
        <v>0</v>
      </c>
      <c r="O647" s="61">
        <f>IF(C647="Defensive",SUMIFS(Data!$J:$J,Data!$A:$A,Info!$B647,Data!$I:$I,Info!$D647,Data!$H:$H,"INT"),0)</f>
        <v>0</v>
      </c>
      <c r="P647" s="61">
        <f>IF(Table1[[#This Row],[Role]]="Defensive",SUMIFS(Data!$J:$J,Data!$A:$A,Info!$B647,Data!$I:$I,Info!$D647,Data!$H:$H,$P$1),0)</f>
        <v>0</v>
      </c>
      <c r="Q647" s="65" t="str">
        <f>IF(Table1[[#This Row],[Pick]]="","",IF(S647&gt;1,400,IF(G647="","",IF(C647="Passing",(400-Table1[[#This Row],[Passing Yards]]-(30*Table1[[#This Row],[Passing TDs]])-(50*SUM(Table1[[#This Row],[Rushing TDs]:[Other TD''s]]))),IF(C647="Rushing",2*(200-Table1[[#This Row],[Rushing Yards]]-(30*Table1[[#This Row],[Passing TDs]])-50*(Table1[[#This Row],[Rushing TDs]]+Table1[[#This Row],[Receiving TDs]]+Table1[[#This Row],[Other TD''s]])),IF(C647="Receiving",2*(200-Table1[[#This Row],[Receiving Yards]]-(30*Table1[[#This Row],[Passing TDs]])-50*(Table1[[#This Row],[Rushing TDs]]+Table1[[#This Row],[Receiving TDs]]+Table1[[#This Row],[Other TD''s]])),IF(C647="Defensive",(25*(16-Table1[[#This Row],[Tackles]]-(8*(Table1[[#This Row],[Other TD''s]]+Table1[[#This Row],[Interceptions]]+Table1[[#This Row],[Fumbles Recovered]])))))))))))</f>
        <v/>
      </c>
      <c r="R647" s="3" t="str">
        <f t="shared" si="22"/>
        <v/>
      </c>
      <c r="S647" s="4">
        <f t="shared" si="21"/>
        <v>1048507</v>
      </c>
      <c r="T6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8" spans="1:20" hidden="1" x14ac:dyDescent="0.25">
      <c r="A648" t="s">
        <v>19</v>
      </c>
      <c r="B648" s="28" t="s">
        <v>53</v>
      </c>
      <c r="C648" t="s">
        <v>6</v>
      </c>
      <c r="D648" t="str">
        <f>_xlfn.XLOOKUP(Table1[[#This Row],[Player]]&amp;Table1[[#This Row],[Week]]&amp;Table1[[#This Row],[Role]],'Google Form Transform'!$A:$A,'Google Form Transform'!E:E,"")</f>
        <v/>
      </c>
      <c r="E648" t="str">
        <f>_xlfn.XLOOKUP(Table1[[#This Row],[Player]]&amp;Table1[[#This Row],[Week]]&amp;Table1[[#This Row],[Role]],'Google Form Transform'!$A:$A,'Google Form Transform'!F:F,"")</f>
        <v/>
      </c>
      <c r="F648" t="str">
        <f>_xlfn.XLOOKUP(Table1[[#This Row],[Player]]&amp;Table1[[#This Row],[Week]]&amp;Table1[[#This Row],[Role]],'Google Form Transform'!$A:$A,'Google Form Transform'!G:G,"")</f>
        <v/>
      </c>
      <c r="G648" s="59">
        <f>SUMIFS(Table2[Stat],Table2[Stat Category],"passing",Table2[Stat Type],"YDS",Table2[Athlete],Table1[[#This Row],[Pick]],Table2[Week],Table1[[#This Row],[Week]])</f>
        <v>0</v>
      </c>
      <c r="H648" s="59">
        <f>SUMIFS(Table2[Stat],Table2[Stat Category],"rushing",Table2[Stat Type],"YDS",Table2[Athlete],Table1[[#This Row],[Pick]],Table2[Week],Table1[[#This Row],[Week]])</f>
        <v>0</v>
      </c>
      <c r="I648" s="59">
        <f>SUMIFS(Table2[Stat],Table2[Stat Category],"receiving",Table2[Stat Type],"YDS",Table2[Athlete],Table1[[#This Row],[Pick]],Table2[Week],Table1[[#This Row],[Week]])</f>
        <v>0</v>
      </c>
      <c r="J648" s="6">
        <f>IF(AND($C648="Rushing", $H648&lt;=0), 0, IF(AND($C648="Passing", $G$3&lt;=0), 0,IF(AND($C648="Receiving",$I648&lt;=0), 0,SUMIFS(Table2[Stat],Table2[Week],Table1[[#This Row],[Week]],Table2[Athlete],Table1[[#This Row],[Pick]],Table2[Stat Category],"passing",Table2[Stat Type],"TD"))))</f>
        <v>0</v>
      </c>
      <c r="K648" s="6">
        <f>IF(AND($C648="Rushing", $H648&lt;=0), 0, IF(AND($C648="Passing", $G$3&lt;=0), 0,IF(AND($C648="Receiving",$I648&lt;=0),0,SUMIFS(Table2[Stat],Table2[Week],Table1[[#This Row],[Week]],Table2[Athlete],Table1[[#This Row],[Pick]],Table2[Stat Category],"rushing",Table2[Stat Type],"TD"))))</f>
        <v>0</v>
      </c>
      <c r="L648" s="6">
        <f>IF(AND($C648="Rushing", $H648&lt;=0), 0, IF(AND($C648="Passing", $G$3&lt;=0), 0,IF(AND($C648="Receiving",$I648&lt;=0),0,SUMIFS(Table2[Stat],Table2[Week],Table1[[#This Row],[Week]],Table2[Athlete],Table1[[#This Row],[Pick]],Table2[Stat Category],"receiving",Table2[Stat Type],"TD"))))</f>
        <v>0</v>
      </c>
      <c r="M6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8" s="61">
        <f>SUMIFS(Data!$J:$J,Data!$A:$A,Info!$B648,Data!$G:$G,Info!$C648,Data!$I:$I,Info!$D648,Data!$H:$H,"TOT")</f>
        <v>0</v>
      </c>
      <c r="O648" s="61">
        <f>IF(C648="Defensive",SUMIFS(Data!$J:$J,Data!$A:$A,Info!$B648,Data!$I:$I,Info!$D648,Data!$H:$H,"INT"),0)</f>
        <v>0</v>
      </c>
      <c r="P648" s="61">
        <f>IF(Table1[[#This Row],[Role]]="Defensive",SUMIFS(Data!$J:$J,Data!$A:$A,Info!$B648,Data!$I:$I,Info!$D648,Data!$H:$H,$P$1),0)</f>
        <v>0</v>
      </c>
      <c r="Q648" s="65" t="str">
        <f>IF(Table1[[#This Row],[Pick]]="","",IF(S648&gt;1,400,IF(G648="","",IF(C648="Passing",(400-Table1[[#This Row],[Passing Yards]]-(30*Table1[[#This Row],[Passing TDs]])-(50*SUM(Table1[[#This Row],[Rushing TDs]:[Other TD''s]]))),IF(C648="Rushing",2*(200-Table1[[#This Row],[Rushing Yards]]-(30*Table1[[#This Row],[Passing TDs]])-50*(Table1[[#This Row],[Rushing TDs]]+Table1[[#This Row],[Receiving TDs]]+Table1[[#This Row],[Other TD''s]])),IF(C648="Receiving",2*(200-Table1[[#This Row],[Receiving Yards]]-(30*Table1[[#This Row],[Passing TDs]])-50*(Table1[[#This Row],[Rushing TDs]]+Table1[[#This Row],[Receiving TDs]]+Table1[[#This Row],[Other TD''s]])),IF(C648="Defensive",(25*(16-Table1[[#This Row],[Tackles]]-(8*(Table1[[#This Row],[Other TD''s]]+Table1[[#This Row],[Interceptions]]+Table1[[#This Row],[Fumbles Recovered]])))))))))))</f>
        <v/>
      </c>
      <c r="R648" s="3" t="str">
        <f t="shared" si="22"/>
        <v/>
      </c>
      <c r="S648" s="4">
        <f t="shared" si="21"/>
        <v>1048507</v>
      </c>
      <c r="T6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9" spans="1:20" hidden="1" x14ac:dyDescent="0.25">
      <c r="A649" t="s">
        <v>19</v>
      </c>
      <c r="B649" s="28" t="s">
        <v>53</v>
      </c>
      <c r="C649" t="s">
        <v>17</v>
      </c>
      <c r="D649" t="str">
        <f>_xlfn.XLOOKUP(Table1[[#This Row],[Player]]&amp;Table1[[#This Row],[Week]]&amp;Table1[[#This Row],[Role]],'Google Form Transform'!$A:$A,'Google Form Transform'!E:E,"")</f>
        <v/>
      </c>
      <c r="E649" t="str">
        <f>_xlfn.XLOOKUP(Table1[[#This Row],[Player]]&amp;Table1[[#This Row],[Week]]&amp;Table1[[#This Row],[Role]],'Google Form Transform'!$A:$A,'Google Form Transform'!F:F,"")</f>
        <v/>
      </c>
      <c r="F649" t="str">
        <f>_xlfn.XLOOKUP(Table1[[#This Row],[Player]]&amp;Table1[[#This Row],[Week]]&amp;Table1[[#This Row],[Role]],'Google Form Transform'!$A:$A,'Google Form Transform'!G:G,"")</f>
        <v/>
      </c>
      <c r="G649" s="59">
        <f>SUMIFS(Table2[Stat],Table2[Stat Category],"passing",Table2[Stat Type],"YDS",Table2[Athlete],Table1[[#This Row],[Pick]],Table2[Week],Table1[[#This Row],[Week]])</f>
        <v>0</v>
      </c>
      <c r="H649" s="59">
        <f>SUMIFS(Table2[Stat],Table2[Stat Category],"rushing",Table2[Stat Type],"YDS",Table2[Athlete],Table1[[#This Row],[Pick]],Table2[Week],Table1[[#This Row],[Week]])</f>
        <v>0</v>
      </c>
      <c r="I649" s="59">
        <f>SUMIFS(Table2[Stat],Table2[Stat Category],"receiving",Table2[Stat Type],"YDS",Table2[Athlete],Table1[[#This Row],[Pick]],Table2[Week],Table1[[#This Row],[Week]])</f>
        <v>0</v>
      </c>
      <c r="J649" s="6">
        <f>IF(AND($C649="Rushing", $H649&lt;=0), 0, IF(AND($C649="Passing", $G$3&lt;=0), 0,IF(AND($C649="Receiving",$I649&lt;=0), 0,SUMIFS(Table2[Stat],Table2[Week],Table1[[#This Row],[Week]],Table2[Athlete],Table1[[#This Row],[Pick]],Table2[Stat Category],"passing",Table2[Stat Type],"TD"))))</f>
        <v>0</v>
      </c>
      <c r="K649" s="6">
        <f>IF(AND($C649="Rushing", $H649&lt;=0), 0, IF(AND($C649="Passing", $G$3&lt;=0), 0,IF(AND($C649="Receiving",$I649&lt;=0),0,SUMIFS(Table2[Stat],Table2[Week],Table1[[#This Row],[Week]],Table2[Athlete],Table1[[#This Row],[Pick]],Table2[Stat Category],"rushing",Table2[Stat Type],"TD"))))</f>
        <v>0</v>
      </c>
      <c r="L649" s="6">
        <f>IF(AND($C649="Rushing", $H649&lt;=0), 0, IF(AND($C649="Passing", $G$3&lt;=0), 0,IF(AND($C649="Receiving",$I649&lt;=0),0,SUMIFS(Table2[Stat],Table2[Week],Table1[[#This Row],[Week]],Table2[Athlete],Table1[[#This Row],[Pick]],Table2[Stat Category],"receiving",Table2[Stat Type],"TD"))))</f>
        <v>0</v>
      </c>
      <c r="M6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9" s="61">
        <f>SUMIFS(Data!$J:$J,Data!$A:$A,Info!$B649,Data!$G:$G,Info!$C649,Data!$I:$I,Info!$D649,Data!$H:$H,"TOT")</f>
        <v>0</v>
      </c>
      <c r="O649" s="61">
        <f>IF(C649="Defensive",SUMIFS(Data!$J:$J,Data!$A:$A,Info!$B649,Data!$I:$I,Info!$D649,Data!$H:$H,"INT"),0)</f>
        <v>0</v>
      </c>
      <c r="P649" s="61">
        <f>IF(Table1[[#This Row],[Role]]="Defensive",SUMIFS(Data!$J:$J,Data!$A:$A,Info!$B649,Data!$I:$I,Info!$D649,Data!$H:$H,$P$1),0)</f>
        <v>0</v>
      </c>
      <c r="Q649" s="65" t="str">
        <f>IF(Table1[[#This Row],[Pick]]="","",IF(S649&gt;1,400,IF(G649="","",IF(C649="Passing",(400-Table1[[#This Row],[Passing Yards]]-(30*Table1[[#This Row],[Passing TDs]])-(50*SUM(Table1[[#This Row],[Rushing TDs]:[Other TD''s]]))),IF(C649="Rushing",2*(200-Table1[[#This Row],[Rushing Yards]]-(30*Table1[[#This Row],[Passing TDs]])-50*(Table1[[#This Row],[Rushing TDs]]+Table1[[#This Row],[Receiving TDs]]+Table1[[#This Row],[Other TD''s]])),IF(C649="Receiving",2*(200-Table1[[#This Row],[Receiving Yards]]-(30*Table1[[#This Row],[Passing TDs]])-50*(Table1[[#This Row],[Rushing TDs]]+Table1[[#This Row],[Receiving TDs]]+Table1[[#This Row],[Other TD''s]])),IF(C649="Defensive",(25*(16-Table1[[#This Row],[Tackles]]-(8*(Table1[[#This Row],[Other TD''s]]+Table1[[#This Row],[Interceptions]]+Table1[[#This Row],[Fumbles Recovered]])))))))))))</f>
        <v/>
      </c>
      <c r="R649" s="3" t="str">
        <f t="shared" si="22"/>
        <v/>
      </c>
      <c r="S649" s="4">
        <f t="shared" si="21"/>
        <v>1048507</v>
      </c>
      <c r="T6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0" spans="1:20" hidden="1" x14ac:dyDescent="0.25">
      <c r="A650" t="s">
        <v>19</v>
      </c>
      <c r="B650" s="28" t="s">
        <v>53</v>
      </c>
      <c r="C650" t="s">
        <v>20</v>
      </c>
      <c r="D650" t="str">
        <f>_xlfn.XLOOKUP(Table1[[#This Row],[Player]]&amp;Table1[[#This Row],[Week]]&amp;Table1[[#This Row],[Role]],'Google Form Transform'!$A:$A,'Google Form Transform'!E:E,"")</f>
        <v/>
      </c>
      <c r="E650" t="str">
        <f>_xlfn.XLOOKUP(Table1[[#This Row],[Player]]&amp;Table1[[#This Row],[Week]]&amp;Table1[[#This Row],[Role]],'Google Form Transform'!$A:$A,'Google Form Transform'!F:F,"")</f>
        <v/>
      </c>
      <c r="F650" t="str">
        <f>_xlfn.XLOOKUP(Table1[[#This Row],[Player]]&amp;Table1[[#This Row],[Week]]&amp;Table1[[#This Row],[Role]],'Google Form Transform'!$A:$A,'Google Form Transform'!G:G,"")</f>
        <v/>
      </c>
      <c r="G650" s="59">
        <f>SUMIFS(Table2[Stat],Table2[Stat Category],"passing",Table2[Stat Type],"YDS",Table2[Athlete],Table1[[#This Row],[Pick]],Table2[Week],Table1[[#This Row],[Week]])</f>
        <v>0</v>
      </c>
      <c r="H650" s="59">
        <f>SUMIFS(Table2[Stat],Table2[Stat Category],"rushing",Table2[Stat Type],"YDS",Table2[Athlete],Table1[[#This Row],[Pick]],Table2[Week],Table1[[#This Row],[Week]])</f>
        <v>0</v>
      </c>
      <c r="I650" s="59">
        <f>SUMIFS(Table2[Stat],Table2[Stat Category],"receiving",Table2[Stat Type],"YDS",Table2[Athlete],Table1[[#This Row],[Pick]],Table2[Week],Table1[[#This Row],[Week]])</f>
        <v>0</v>
      </c>
      <c r="J650" s="6">
        <f>IF(AND($C650="Rushing", $H650&lt;=0), 0, IF(AND($C650="Passing", $G$3&lt;=0), 0,IF(AND($C650="Receiving",$I650&lt;=0), 0,SUMIFS(Table2[Stat],Table2[Week],Table1[[#This Row],[Week]],Table2[Athlete],Table1[[#This Row],[Pick]],Table2[Stat Category],"passing",Table2[Stat Type],"TD"))))</f>
        <v>0</v>
      </c>
      <c r="K650" s="6">
        <f>IF(AND($C650="Rushing", $H650&lt;=0), 0, IF(AND($C650="Passing", $G$3&lt;=0), 0,IF(AND($C650="Receiving",$I650&lt;=0),0,SUMIFS(Table2[Stat],Table2[Week],Table1[[#This Row],[Week]],Table2[Athlete],Table1[[#This Row],[Pick]],Table2[Stat Category],"rushing",Table2[Stat Type],"TD"))))</f>
        <v>0</v>
      </c>
      <c r="L650" s="6">
        <f>IF(AND($C650="Rushing", $H650&lt;=0), 0, IF(AND($C650="Passing", $G$3&lt;=0), 0,IF(AND($C650="Receiving",$I650&lt;=0),0,SUMIFS(Table2[Stat],Table2[Week],Table1[[#This Row],[Week]],Table2[Athlete],Table1[[#This Row],[Pick]],Table2[Stat Category],"receiving",Table2[Stat Type],"TD"))))</f>
        <v>0</v>
      </c>
      <c r="M6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0" s="61">
        <f>SUMIFS(Data!$J:$J,Data!$A:$A,Info!$B650,Data!$G:$G,Info!$C650,Data!$I:$I,Info!$D650,Data!$H:$H,"TOT")</f>
        <v>0</v>
      </c>
      <c r="O650" s="61">
        <f>IF(C650="Defensive",SUMIFS(Data!$J:$J,Data!$A:$A,Info!$B650,Data!$I:$I,Info!$D650,Data!$H:$H,"INT"),0)</f>
        <v>0</v>
      </c>
      <c r="P650" s="61">
        <f>IF(Table1[[#This Row],[Role]]="Defensive",SUMIFS(Data!$J:$J,Data!$A:$A,Info!$B650,Data!$I:$I,Info!$D650,Data!$H:$H,$P$1),0)</f>
        <v>0</v>
      </c>
      <c r="Q650" s="65" t="str">
        <f>IF(Table1[[#This Row],[Pick]]="","",IF(S650&gt;1,400,IF(G650="","",IF(C650="Passing",(400-Table1[[#This Row],[Passing Yards]]-(30*Table1[[#This Row],[Passing TDs]])-(50*SUM(Table1[[#This Row],[Rushing TDs]:[Other TD''s]]))),IF(C650="Rushing",2*(200-Table1[[#This Row],[Rushing Yards]]-(30*Table1[[#This Row],[Passing TDs]])-50*(Table1[[#This Row],[Rushing TDs]]+Table1[[#This Row],[Receiving TDs]]+Table1[[#This Row],[Other TD''s]])),IF(C650="Receiving",2*(200-Table1[[#This Row],[Receiving Yards]]-(30*Table1[[#This Row],[Passing TDs]])-50*(Table1[[#This Row],[Rushing TDs]]+Table1[[#This Row],[Receiving TDs]]+Table1[[#This Row],[Other TD''s]])),IF(C650="Defensive",(25*(16-Table1[[#This Row],[Tackles]]-(8*(Table1[[#This Row],[Other TD''s]]+Table1[[#This Row],[Interceptions]]+Table1[[#This Row],[Fumbles Recovered]])))))))))))</f>
        <v/>
      </c>
      <c r="R650" s="3" t="str">
        <f t="shared" si="22"/>
        <v/>
      </c>
      <c r="S650" s="4">
        <f t="shared" si="21"/>
        <v>1048507</v>
      </c>
      <c r="T6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1" spans="1:20" hidden="1" x14ac:dyDescent="0.25">
      <c r="A651" t="s">
        <v>26</v>
      </c>
      <c r="B651" s="28" t="s">
        <v>53</v>
      </c>
      <c r="C651" t="s">
        <v>16</v>
      </c>
      <c r="D651" t="str">
        <f>_xlfn.XLOOKUP(Table1[[#This Row],[Player]]&amp;Table1[[#This Row],[Week]]&amp;Table1[[#This Row],[Role]],'Google Form Transform'!$A:$A,'Google Form Transform'!E:E,"")</f>
        <v/>
      </c>
      <c r="E651" t="str">
        <f>_xlfn.XLOOKUP(Table1[[#This Row],[Player]]&amp;Table1[[#This Row],[Week]]&amp;Table1[[#This Row],[Role]],'Google Form Transform'!$A:$A,'Google Form Transform'!F:F,"")</f>
        <v/>
      </c>
      <c r="F651" t="str">
        <f>_xlfn.XLOOKUP(Table1[[#This Row],[Player]]&amp;Table1[[#This Row],[Week]]&amp;Table1[[#This Row],[Role]],'Google Form Transform'!$A:$A,'Google Form Transform'!G:G,"")</f>
        <v/>
      </c>
      <c r="G651" s="59">
        <f>SUMIFS(Table2[Stat],Table2[Stat Category],"passing",Table2[Stat Type],"YDS",Table2[Athlete],Table1[[#This Row],[Pick]],Table2[Week],Table1[[#This Row],[Week]])</f>
        <v>0</v>
      </c>
      <c r="H651" s="59">
        <f>SUMIFS(Table2[Stat],Table2[Stat Category],"rushing",Table2[Stat Type],"YDS",Table2[Athlete],Table1[[#This Row],[Pick]],Table2[Week],Table1[[#This Row],[Week]])</f>
        <v>0</v>
      </c>
      <c r="I651" s="59">
        <f>SUMIFS(Table2[Stat],Table2[Stat Category],"receiving",Table2[Stat Type],"YDS",Table2[Athlete],Table1[[#This Row],[Pick]],Table2[Week],Table1[[#This Row],[Week]])</f>
        <v>0</v>
      </c>
      <c r="J651" s="6">
        <f>IF(AND($C651="Rushing", $H651&lt;=0), 0, IF(AND($C651="Passing", $G$3&lt;=0), 0,IF(AND($C651="Receiving",$I651&lt;=0), 0,SUMIFS(Table2[Stat],Table2[Week],Table1[[#This Row],[Week]],Table2[Athlete],Table1[[#This Row],[Pick]],Table2[Stat Category],"passing",Table2[Stat Type],"TD"))))</f>
        <v>0</v>
      </c>
      <c r="K651" s="6">
        <f>IF(AND($C651="Rushing", $H651&lt;=0), 0, IF(AND($C651="Passing", $G$3&lt;=0), 0,IF(AND($C651="Receiving",$I651&lt;=0),0,SUMIFS(Table2[Stat],Table2[Week],Table1[[#This Row],[Week]],Table2[Athlete],Table1[[#This Row],[Pick]],Table2[Stat Category],"rushing",Table2[Stat Type],"TD"))))</f>
        <v>0</v>
      </c>
      <c r="L651" s="6">
        <f>IF(AND($C651="Rushing", $H651&lt;=0), 0, IF(AND($C651="Passing", $G$3&lt;=0), 0,IF(AND($C651="Receiving",$I651&lt;=0),0,SUMIFS(Table2[Stat],Table2[Week],Table1[[#This Row],[Week]],Table2[Athlete],Table1[[#This Row],[Pick]],Table2[Stat Category],"receiving",Table2[Stat Type],"TD"))))</f>
        <v>0</v>
      </c>
      <c r="M6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1" s="61">
        <f>SUMIFS(Data!$J:$J,Data!$A:$A,Info!$B651,Data!$G:$G,Info!$C651,Data!$I:$I,Info!$D651,Data!$H:$H,"TOT")</f>
        <v>0</v>
      </c>
      <c r="O651" s="61">
        <f>IF(C651="Defensive",SUMIFS(Data!$J:$J,Data!$A:$A,Info!$B651,Data!$I:$I,Info!$D651,Data!$H:$H,"INT"),0)</f>
        <v>0</v>
      </c>
      <c r="P651" s="61">
        <f>IF(Table1[[#This Row],[Role]]="Defensive",SUMIFS(Data!$J:$J,Data!$A:$A,Info!$B651,Data!$I:$I,Info!$D651,Data!$H:$H,$P$1),0)</f>
        <v>0</v>
      </c>
      <c r="Q651" s="65" t="str">
        <f>IF(Table1[[#This Row],[Pick]]="","",IF(S651&gt;1,400,IF(G651="","",IF(C651="Passing",(400-Table1[[#This Row],[Passing Yards]]-(30*Table1[[#This Row],[Passing TDs]])-(50*SUM(Table1[[#This Row],[Rushing TDs]:[Other TD''s]]))),IF(C651="Rushing",2*(200-Table1[[#This Row],[Rushing Yards]]-(30*Table1[[#This Row],[Passing TDs]])-50*(Table1[[#This Row],[Rushing TDs]]+Table1[[#This Row],[Receiving TDs]]+Table1[[#This Row],[Other TD''s]])),IF(C651="Receiving",2*(200-Table1[[#This Row],[Receiving Yards]]-(30*Table1[[#This Row],[Passing TDs]])-50*(Table1[[#This Row],[Rushing TDs]]+Table1[[#This Row],[Receiving TDs]]+Table1[[#This Row],[Other TD''s]])),IF(C651="Defensive",(25*(16-Table1[[#This Row],[Tackles]]-(8*(Table1[[#This Row],[Other TD''s]]+Table1[[#This Row],[Interceptions]]+Table1[[#This Row],[Fumbles Recovered]])))))))))))</f>
        <v/>
      </c>
      <c r="R651" s="3" t="str">
        <f t="shared" si="22"/>
        <v/>
      </c>
      <c r="S651" s="4">
        <f t="shared" si="21"/>
        <v>1048507</v>
      </c>
      <c r="T6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2" spans="1:20" hidden="1" x14ac:dyDescent="0.25">
      <c r="A652" t="s">
        <v>26</v>
      </c>
      <c r="B652" s="28" t="s">
        <v>53</v>
      </c>
      <c r="C652" t="s">
        <v>6</v>
      </c>
      <c r="D652" t="str">
        <f>_xlfn.XLOOKUP(Table1[[#This Row],[Player]]&amp;Table1[[#This Row],[Week]]&amp;Table1[[#This Row],[Role]],'Google Form Transform'!$A:$A,'Google Form Transform'!E:E,"")</f>
        <v/>
      </c>
      <c r="E652" t="str">
        <f>_xlfn.XLOOKUP(Table1[[#This Row],[Player]]&amp;Table1[[#This Row],[Week]]&amp;Table1[[#This Row],[Role]],'Google Form Transform'!$A:$A,'Google Form Transform'!F:F,"")</f>
        <v/>
      </c>
      <c r="F652" t="str">
        <f>_xlfn.XLOOKUP(Table1[[#This Row],[Player]]&amp;Table1[[#This Row],[Week]]&amp;Table1[[#This Row],[Role]],'Google Form Transform'!$A:$A,'Google Form Transform'!G:G,"")</f>
        <v/>
      </c>
      <c r="G652" s="59">
        <f>SUMIFS(Table2[Stat],Table2[Stat Category],"passing",Table2[Stat Type],"YDS",Table2[Athlete],Table1[[#This Row],[Pick]],Table2[Week],Table1[[#This Row],[Week]])</f>
        <v>0</v>
      </c>
      <c r="H652" s="59">
        <f>SUMIFS(Table2[Stat],Table2[Stat Category],"rushing",Table2[Stat Type],"YDS",Table2[Athlete],Table1[[#This Row],[Pick]],Table2[Week],Table1[[#This Row],[Week]])</f>
        <v>0</v>
      </c>
      <c r="I652" s="59">
        <f>SUMIFS(Table2[Stat],Table2[Stat Category],"receiving",Table2[Stat Type],"YDS",Table2[Athlete],Table1[[#This Row],[Pick]],Table2[Week],Table1[[#This Row],[Week]])</f>
        <v>0</v>
      </c>
      <c r="J652" s="6">
        <f>IF(AND($C652="Rushing", $H652&lt;=0), 0, IF(AND($C652="Passing", $G$3&lt;=0), 0,IF(AND($C652="Receiving",$I652&lt;=0), 0,SUMIFS(Table2[Stat],Table2[Week],Table1[[#This Row],[Week]],Table2[Athlete],Table1[[#This Row],[Pick]],Table2[Stat Category],"passing",Table2[Stat Type],"TD"))))</f>
        <v>0</v>
      </c>
      <c r="K652" s="6">
        <f>IF(AND($C652="Rushing", $H652&lt;=0), 0, IF(AND($C652="Passing", $G$3&lt;=0), 0,IF(AND($C652="Receiving",$I652&lt;=0),0,SUMIFS(Table2[Stat],Table2[Week],Table1[[#This Row],[Week]],Table2[Athlete],Table1[[#This Row],[Pick]],Table2[Stat Category],"rushing",Table2[Stat Type],"TD"))))</f>
        <v>0</v>
      </c>
      <c r="L652" s="6">
        <f>IF(AND($C652="Rushing", $H652&lt;=0), 0, IF(AND($C652="Passing", $G$3&lt;=0), 0,IF(AND($C652="Receiving",$I652&lt;=0),0,SUMIFS(Table2[Stat],Table2[Week],Table1[[#This Row],[Week]],Table2[Athlete],Table1[[#This Row],[Pick]],Table2[Stat Category],"receiving",Table2[Stat Type],"TD"))))</f>
        <v>0</v>
      </c>
      <c r="M6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2" s="61">
        <f>SUMIFS(Data!$J:$J,Data!$A:$A,Info!$B652,Data!$G:$G,Info!$C652,Data!$I:$I,Info!$D652,Data!$H:$H,"TOT")</f>
        <v>0</v>
      </c>
      <c r="O652" s="61">
        <f>IF(C652="Defensive",SUMIFS(Data!$J:$J,Data!$A:$A,Info!$B652,Data!$I:$I,Info!$D652,Data!$H:$H,"INT"),0)</f>
        <v>0</v>
      </c>
      <c r="P652" s="61">
        <f>IF(Table1[[#This Row],[Role]]="Defensive",SUMIFS(Data!$J:$J,Data!$A:$A,Info!$B652,Data!$I:$I,Info!$D652,Data!$H:$H,$P$1),0)</f>
        <v>0</v>
      </c>
      <c r="Q652" s="65" t="str">
        <f>IF(Table1[[#This Row],[Pick]]="","",IF(S652&gt;1,400,IF(G652="","",IF(C652="Passing",(400-Table1[[#This Row],[Passing Yards]]-(30*Table1[[#This Row],[Passing TDs]])-(50*SUM(Table1[[#This Row],[Rushing TDs]:[Other TD''s]]))),IF(C652="Rushing",2*(200-Table1[[#This Row],[Rushing Yards]]-(30*Table1[[#This Row],[Passing TDs]])-50*(Table1[[#This Row],[Rushing TDs]]+Table1[[#This Row],[Receiving TDs]]+Table1[[#This Row],[Other TD''s]])),IF(C652="Receiving",2*(200-Table1[[#This Row],[Receiving Yards]]-(30*Table1[[#This Row],[Passing TDs]])-50*(Table1[[#This Row],[Rushing TDs]]+Table1[[#This Row],[Receiving TDs]]+Table1[[#This Row],[Other TD''s]])),IF(C652="Defensive",(25*(16-Table1[[#This Row],[Tackles]]-(8*(Table1[[#This Row],[Other TD''s]]+Table1[[#This Row],[Interceptions]]+Table1[[#This Row],[Fumbles Recovered]])))))))))))</f>
        <v/>
      </c>
      <c r="R652" s="3" t="str">
        <f t="shared" si="22"/>
        <v/>
      </c>
      <c r="S652" s="4">
        <f t="shared" si="21"/>
        <v>1048507</v>
      </c>
      <c r="T6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3" spans="1:20" hidden="1" x14ac:dyDescent="0.25">
      <c r="A653" t="s">
        <v>26</v>
      </c>
      <c r="B653" s="28" t="s">
        <v>53</v>
      </c>
      <c r="C653" t="s">
        <v>17</v>
      </c>
      <c r="D653" t="str">
        <f>_xlfn.XLOOKUP(Table1[[#This Row],[Player]]&amp;Table1[[#This Row],[Week]]&amp;Table1[[#This Row],[Role]],'Google Form Transform'!$A:$A,'Google Form Transform'!E:E,"")</f>
        <v/>
      </c>
      <c r="E653" t="str">
        <f>_xlfn.XLOOKUP(Table1[[#This Row],[Player]]&amp;Table1[[#This Row],[Week]]&amp;Table1[[#This Row],[Role]],'Google Form Transform'!$A:$A,'Google Form Transform'!F:F,"")</f>
        <v/>
      </c>
      <c r="F653" t="str">
        <f>_xlfn.XLOOKUP(Table1[[#This Row],[Player]]&amp;Table1[[#This Row],[Week]]&amp;Table1[[#This Row],[Role]],'Google Form Transform'!$A:$A,'Google Form Transform'!G:G,"")</f>
        <v/>
      </c>
      <c r="G653" s="59">
        <f>SUMIFS(Table2[Stat],Table2[Stat Category],"passing",Table2[Stat Type],"YDS",Table2[Athlete],Table1[[#This Row],[Pick]],Table2[Week],Table1[[#This Row],[Week]])</f>
        <v>0</v>
      </c>
      <c r="H653" s="59">
        <f>SUMIFS(Table2[Stat],Table2[Stat Category],"rushing",Table2[Stat Type],"YDS",Table2[Athlete],Table1[[#This Row],[Pick]],Table2[Week],Table1[[#This Row],[Week]])</f>
        <v>0</v>
      </c>
      <c r="I653" s="59">
        <f>SUMIFS(Table2[Stat],Table2[Stat Category],"receiving",Table2[Stat Type],"YDS",Table2[Athlete],Table1[[#This Row],[Pick]],Table2[Week],Table1[[#This Row],[Week]])</f>
        <v>0</v>
      </c>
      <c r="J653" s="6">
        <f>IF(AND($C653="Rushing", $H653&lt;=0), 0, IF(AND($C653="Passing", $G$3&lt;=0), 0,IF(AND($C653="Receiving",$I653&lt;=0), 0,SUMIFS(Table2[Stat],Table2[Week],Table1[[#This Row],[Week]],Table2[Athlete],Table1[[#This Row],[Pick]],Table2[Stat Category],"passing",Table2[Stat Type],"TD"))))</f>
        <v>0</v>
      </c>
      <c r="K653" s="6">
        <f>IF(AND($C653="Rushing", $H653&lt;=0), 0, IF(AND($C653="Passing", $G$3&lt;=0), 0,IF(AND($C653="Receiving",$I653&lt;=0),0,SUMIFS(Table2[Stat],Table2[Week],Table1[[#This Row],[Week]],Table2[Athlete],Table1[[#This Row],[Pick]],Table2[Stat Category],"rushing",Table2[Stat Type],"TD"))))</f>
        <v>0</v>
      </c>
      <c r="L653" s="6">
        <f>IF(AND($C653="Rushing", $H653&lt;=0), 0, IF(AND($C653="Passing", $G$3&lt;=0), 0,IF(AND($C653="Receiving",$I653&lt;=0),0,SUMIFS(Table2[Stat],Table2[Week],Table1[[#This Row],[Week]],Table2[Athlete],Table1[[#This Row],[Pick]],Table2[Stat Category],"receiving",Table2[Stat Type],"TD"))))</f>
        <v>0</v>
      </c>
      <c r="M6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3" s="61">
        <f>SUMIFS(Data!$J:$J,Data!$A:$A,Info!$B653,Data!$G:$G,Info!$C653,Data!$I:$I,Info!$D653,Data!$H:$H,"TOT")</f>
        <v>0</v>
      </c>
      <c r="O653" s="61">
        <f>IF(C653="Defensive",SUMIFS(Data!$J:$J,Data!$A:$A,Info!$B653,Data!$I:$I,Info!$D653,Data!$H:$H,"INT"),0)</f>
        <v>0</v>
      </c>
      <c r="P653" s="61">
        <f>IF(Table1[[#This Row],[Role]]="Defensive",SUMIFS(Data!$J:$J,Data!$A:$A,Info!$B653,Data!$I:$I,Info!$D653,Data!$H:$H,$P$1),0)</f>
        <v>0</v>
      </c>
      <c r="Q653" s="65" t="str">
        <f>IF(Table1[[#This Row],[Pick]]="","",IF(S653&gt;1,400,IF(G653="","",IF(C653="Passing",(400-Table1[[#This Row],[Passing Yards]]-(30*Table1[[#This Row],[Passing TDs]])-(50*SUM(Table1[[#This Row],[Rushing TDs]:[Other TD''s]]))),IF(C653="Rushing",2*(200-Table1[[#This Row],[Rushing Yards]]-(30*Table1[[#This Row],[Passing TDs]])-50*(Table1[[#This Row],[Rushing TDs]]+Table1[[#This Row],[Receiving TDs]]+Table1[[#This Row],[Other TD''s]])),IF(C653="Receiving",2*(200-Table1[[#This Row],[Receiving Yards]]-(30*Table1[[#This Row],[Passing TDs]])-50*(Table1[[#This Row],[Rushing TDs]]+Table1[[#This Row],[Receiving TDs]]+Table1[[#This Row],[Other TD''s]])),IF(C653="Defensive",(25*(16-Table1[[#This Row],[Tackles]]-(8*(Table1[[#This Row],[Other TD''s]]+Table1[[#This Row],[Interceptions]]+Table1[[#This Row],[Fumbles Recovered]])))))))))))</f>
        <v/>
      </c>
      <c r="R653" s="3" t="str">
        <f t="shared" si="22"/>
        <v/>
      </c>
      <c r="S653" s="4">
        <f t="shared" si="21"/>
        <v>1048507</v>
      </c>
      <c r="T6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4" spans="1:20" hidden="1" x14ac:dyDescent="0.25">
      <c r="A654" t="s">
        <v>26</v>
      </c>
      <c r="B654" s="28" t="s">
        <v>53</v>
      </c>
      <c r="C654" t="s">
        <v>20</v>
      </c>
      <c r="D654" t="str">
        <f>_xlfn.XLOOKUP(Table1[[#This Row],[Player]]&amp;Table1[[#This Row],[Week]]&amp;Table1[[#This Row],[Role]],'Google Form Transform'!$A:$A,'Google Form Transform'!E:E,"")</f>
        <v/>
      </c>
      <c r="E654" t="str">
        <f>_xlfn.XLOOKUP(Table1[[#This Row],[Player]]&amp;Table1[[#This Row],[Week]]&amp;Table1[[#This Row],[Role]],'Google Form Transform'!$A:$A,'Google Form Transform'!F:F,"")</f>
        <v/>
      </c>
      <c r="F654" t="str">
        <f>_xlfn.XLOOKUP(Table1[[#This Row],[Player]]&amp;Table1[[#This Row],[Week]]&amp;Table1[[#This Row],[Role]],'Google Form Transform'!$A:$A,'Google Form Transform'!G:G,"")</f>
        <v/>
      </c>
      <c r="G654" s="59">
        <f>SUMIFS(Table2[Stat],Table2[Stat Category],"passing",Table2[Stat Type],"YDS",Table2[Athlete],Table1[[#This Row],[Pick]],Table2[Week],Table1[[#This Row],[Week]])</f>
        <v>0</v>
      </c>
      <c r="H654" s="59">
        <f>SUMIFS(Table2[Stat],Table2[Stat Category],"rushing",Table2[Stat Type],"YDS",Table2[Athlete],Table1[[#This Row],[Pick]],Table2[Week],Table1[[#This Row],[Week]])</f>
        <v>0</v>
      </c>
      <c r="I654" s="59">
        <f>SUMIFS(Table2[Stat],Table2[Stat Category],"receiving",Table2[Stat Type],"YDS",Table2[Athlete],Table1[[#This Row],[Pick]],Table2[Week],Table1[[#This Row],[Week]])</f>
        <v>0</v>
      </c>
      <c r="J654" s="6">
        <f>IF(AND($C654="Rushing", $H654&lt;=0), 0, IF(AND($C654="Passing", $G$3&lt;=0), 0,IF(AND($C654="Receiving",$I654&lt;=0), 0,SUMIFS(Table2[Stat],Table2[Week],Table1[[#This Row],[Week]],Table2[Athlete],Table1[[#This Row],[Pick]],Table2[Stat Category],"passing",Table2[Stat Type],"TD"))))</f>
        <v>0</v>
      </c>
      <c r="K654" s="6">
        <f>IF(AND($C654="Rushing", $H654&lt;=0), 0, IF(AND($C654="Passing", $G$3&lt;=0), 0,IF(AND($C654="Receiving",$I654&lt;=0),0,SUMIFS(Table2[Stat],Table2[Week],Table1[[#This Row],[Week]],Table2[Athlete],Table1[[#This Row],[Pick]],Table2[Stat Category],"rushing",Table2[Stat Type],"TD"))))</f>
        <v>0</v>
      </c>
      <c r="L654" s="6">
        <f>IF(AND($C654="Rushing", $H654&lt;=0), 0, IF(AND($C654="Passing", $G$3&lt;=0), 0,IF(AND($C654="Receiving",$I654&lt;=0),0,SUMIFS(Table2[Stat],Table2[Week],Table1[[#This Row],[Week]],Table2[Athlete],Table1[[#This Row],[Pick]],Table2[Stat Category],"receiving",Table2[Stat Type],"TD"))))</f>
        <v>0</v>
      </c>
      <c r="M6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4" s="61">
        <f>SUMIFS(Data!$J:$J,Data!$A:$A,Info!$B654,Data!$G:$G,Info!$C654,Data!$I:$I,Info!$D654,Data!$H:$H,"TOT")</f>
        <v>0</v>
      </c>
      <c r="O654" s="61">
        <f>IF(C654="Defensive",SUMIFS(Data!$J:$J,Data!$A:$A,Info!$B654,Data!$I:$I,Info!$D654,Data!$H:$H,"INT"),0)</f>
        <v>0</v>
      </c>
      <c r="P654" s="61">
        <f>IF(Table1[[#This Row],[Role]]="Defensive",SUMIFS(Data!$J:$J,Data!$A:$A,Info!$B654,Data!$I:$I,Info!$D654,Data!$H:$H,$P$1),0)</f>
        <v>0</v>
      </c>
      <c r="Q654" s="65" t="str">
        <f>IF(Table1[[#This Row],[Pick]]="","",IF(S654&gt;1,400,IF(G654="","",IF(C654="Passing",(400-Table1[[#This Row],[Passing Yards]]-(30*Table1[[#This Row],[Passing TDs]])-(50*SUM(Table1[[#This Row],[Rushing TDs]:[Other TD''s]]))),IF(C654="Rushing",2*(200-Table1[[#This Row],[Rushing Yards]]-(30*Table1[[#This Row],[Passing TDs]])-50*(Table1[[#This Row],[Rushing TDs]]+Table1[[#This Row],[Receiving TDs]]+Table1[[#This Row],[Other TD''s]])),IF(C654="Receiving",2*(200-Table1[[#This Row],[Receiving Yards]]-(30*Table1[[#This Row],[Passing TDs]])-50*(Table1[[#This Row],[Rushing TDs]]+Table1[[#This Row],[Receiving TDs]]+Table1[[#This Row],[Other TD''s]])),IF(C654="Defensive",(25*(16-Table1[[#This Row],[Tackles]]-(8*(Table1[[#This Row],[Other TD''s]]+Table1[[#This Row],[Interceptions]]+Table1[[#This Row],[Fumbles Recovered]])))))))))))</f>
        <v/>
      </c>
      <c r="R654" s="3" t="str">
        <f t="shared" si="22"/>
        <v/>
      </c>
      <c r="S654" s="4">
        <f t="shared" si="21"/>
        <v>1048507</v>
      </c>
      <c r="T6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5" spans="1:20" hidden="1" x14ac:dyDescent="0.25">
      <c r="A655" t="s">
        <v>43</v>
      </c>
      <c r="B655" s="28" t="s">
        <v>53</v>
      </c>
      <c r="C655" t="s">
        <v>16</v>
      </c>
      <c r="D655" t="str">
        <f>_xlfn.XLOOKUP(Table1[[#This Row],[Player]]&amp;Table1[[#This Row],[Week]]&amp;Table1[[#This Row],[Role]],'Google Form Transform'!$A:$A,'Google Form Transform'!E:E,"")</f>
        <v/>
      </c>
      <c r="E655" t="str">
        <f>_xlfn.XLOOKUP(Table1[[#This Row],[Player]]&amp;Table1[[#This Row],[Week]]&amp;Table1[[#This Row],[Role]],'Google Form Transform'!$A:$A,'Google Form Transform'!F:F,"")</f>
        <v/>
      </c>
      <c r="F655" t="str">
        <f>_xlfn.XLOOKUP(Table1[[#This Row],[Player]]&amp;Table1[[#This Row],[Week]]&amp;Table1[[#This Row],[Role]],'Google Form Transform'!$A:$A,'Google Form Transform'!G:G,"")</f>
        <v/>
      </c>
      <c r="G655" s="59">
        <f>SUMIFS(Table2[Stat],Table2[Stat Category],"passing",Table2[Stat Type],"YDS",Table2[Athlete],Table1[[#This Row],[Pick]],Table2[Week],Table1[[#This Row],[Week]])</f>
        <v>0</v>
      </c>
      <c r="H655" s="59">
        <f>SUMIFS(Table2[Stat],Table2[Stat Category],"rushing",Table2[Stat Type],"YDS",Table2[Athlete],Table1[[#This Row],[Pick]],Table2[Week],Table1[[#This Row],[Week]])</f>
        <v>0</v>
      </c>
      <c r="I655" s="59">
        <f>SUMIFS(Table2[Stat],Table2[Stat Category],"receiving",Table2[Stat Type],"YDS",Table2[Athlete],Table1[[#This Row],[Pick]],Table2[Week],Table1[[#This Row],[Week]])</f>
        <v>0</v>
      </c>
      <c r="J655" s="6">
        <f>IF(AND($C655="Rushing", $H655&lt;=0), 0, IF(AND($C655="Passing", $G$3&lt;=0), 0,IF(AND($C655="Receiving",$I655&lt;=0), 0,SUMIFS(Table2[Stat],Table2[Week],Table1[[#This Row],[Week]],Table2[Athlete],Table1[[#This Row],[Pick]],Table2[Stat Category],"passing",Table2[Stat Type],"TD"))))</f>
        <v>0</v>
      </c>
      <c r="K655" s="6">
        <f>IF(AND($C655="Rushing", $H655&lt;=0), 0, IF(AND($C655="Passing", $G$3&lt;=0), 0,IF(AND($C655="Receiving",$I655&lt;=0),0,SUMIFS(Table2[Stat],Table2[Week],Table1[[#This Row],[Week]],Table2[Athlete],Table1[[#This Row],[Pick]],Table2[Stat Category],"rushing",Table2[Stat Type],"TD"))))</f>
        <v>0</v>
      </c>
      <c r="L655" s="6">
        <f>IF(AND($C655="Rushing", $H655&lt;=0), 0, IF(AND($C655="Passing", $G$3&lt;=0), 0,IF(AND($C655="Receiving",$I655&lt;=0),0,SUMIFS(Table2[Stat],Table2[Week],Table1[[#This Row],[Week]],Table2[Athlete],Table1[[#This Row],[Pick]],Table2[Stat Category],"receiving",Table2[Stat Type],"TD"))))</f>
        <v>0</v>
      </c>
      <c r="M6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5" s="61">
        <f>SUMIFS(Data!$J:$J,Data!$A:$A,Info!$B655,Data!$G:$G,Info!$C655,Data!$I:$I,Info!$D655,Data!$H:$H,"TOT")</f>
        <v>0</v>
      </c>
      <c r="O655" s="61">
        <f>IF(C655="Defensive",SUMIFS(Data!$J:$J,Data!$A:$A,Info!$B655,Data!$I:$I,Info!$D655,Data!$H:$H,"INT"),0)</f>
        <v>0</v>
      </c>
      <c r="P655" s="61">
        <f>IF(Table1[[#This Row],[Role]]="Defensive",SUMIFS(Data!$J:$J,Data!$A:$A,Info!$B655,Data!$I:$I,Info!$D655,Data!$H:$H,$P$1),0)</f>
        <v>0</v>
      </c>
      <c r="Q655" s="65" t="str">
        <f>IF(Table1[[#This Row],[Pick]]="","",IF(S655&gt;1,400,IF(G655="","",IF(C655="Passing",(400-Table1[[#This Row],[Passing Yards]]-(30*Table1[[#This Row],[Passing TDs]])-(50*SUM(Table1[[#This Row],[Rushing TDs]:[Other TD''s]]))),IF(C655="Rushing",2*(200-Table1[[#This Row],[Rushing Yards]]-(30*Table1[[#This Row],[Passing TDs]])-50*(Table1[[#This Row],[Rushing TDs]]+Table1[[#This Row],[Receiving TDs]]+Table1[[#This Row],[Other TD''s]])),IF(C655="Receiving",2*(200-Table1[[#This Row],[Receiving Yards]]-(30*Table1[[#This Row],[Passing TDs]])-50*(Table1[[#This Row],[Rushing TDs]]+Table1[[#This Row],[Receiving TDs]]+Table1[[#This Row],[Other TD''s]])),IF(C655="Defensive",(25*(16-Table1[[#This Row],[Tackles]]-(8*(Table1[[#This Row],[Other TD''s]]+Table1[[#This Row],[Interceptions]]+Table1[[#This Row],[Fumbles Recovered]])))))))))))</f>
        <v/>
      </c>
      <c r="R655" s="3" t="str">
        <f t="shared" si="22"/>
        <v/>
      </c>
      <c r="S655" s="4">
        <f t="shared" si="21"/>
        <v>1048507</v>
      </c>
      <c r="T6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6" spans="1:20" hidden="1" x14ac:dyDescent="0.25">
      <c r="A656" t="s">
        <v>43</v>
      </c>
      <c r="B656" s="28" t="s">
        <v>53</v>
      </c>
      <c r="C656" t="s">
        <v>6</v>
      </c>
      <c r="D656" t="str">
        <f>_xlfn.XLOOKUP(Table1[[#This Row],[Player]]&amp;Table1[[#This Row],[Week]]&amp;Table1[[#This Row],[Role]],'Google Form Transform'!$A:$A,'Google Form Transform'!E:E,"")</f>
        <v/>
      </c>
      <c r="E656" t="str">
        <f>_xlfn.XLOOKUP(Table1[[#This Row],[Player]]&amp;Table1[[#This Row],[Week]]&amp;Table1[[#This Row],[Role]],'Google Form Transform'!$A:$A,'Google Form Transform'!F:F,"")</f>
        <v/>
      </c>
      <c r="F656" t="str">
        <f>_xlfn.XLOOKUP(Table1[[#This Row],[Player]]&amp;Table1[[#This Row],[Week]]&amp;Table1[[#This Row],[Role]],'Google Form Transform'!$A:$A,'Google Form Transform'!G:G,"")</f>
        <v/>
      </c>
      <c r="G656" s="59">
        <f>SUMIFS(Table2[Stat],Table2[Stat Category],"passing",Table2[Stat Type],"YDS",Table2[Athlete],Table1[[#This Row],[Pick]],Table2[Week],Table1[[#This Row],[Week]])</f>
        <v>0</v>
      </c>
      <c r="H656" s="59">
        <f>SUMIFS(Table2[Stat],Table2[Stat Category],"rushing",Table2[Stat Type],"YDS",Table2[Athlete],Table1[[#This Row],[Pick]],Table2[Week],Table1[[#This Row],[Week]])</f>
        <v>0</v>
      </c>
      <c r="I656" s="59">
        <f>SUMIFS(Table2[Stat],Table2[Stat Category],"receiving",Table2[Stat Type],"YDS",Table2[Athlete],Table1[[#This Row],[Pick]],Table2[Week],Table1[[#This Row],[Week]])</f>
        <v>0</v>
      </c>
      <c r="J656" s="6">
        <f>IF(AND($C656="Rushing", $H656&lt;=0), 0, IF(AND($C656="Passing", $G$3&lt;=0), 0,IF(AND($C656="Receiving",$I656&lt;=0), 0,SUMIFS(Table2[Stat],Table2[Week],Table1[[#This Row],[Week]],Table2[Athlete],Table1[[#This Row],[Pick]],Table2[Stat Category],"passing",Table2[Stat Type],"TD"))))</f>
        <v>0</v>
      </c>
      <c r="K656" s="6">
        <f>IF(AND($C656="Rushing", $H656&lt;=0), 0, IF(AND($C656="Passing", $G$3&lt;=0), 0,IF(AND($C656="Receiving",$I656&lt;=0),0,SUMIFS(Table2[Stat],Table2[Week],Table1[[#This Row],[Week]],Table2[Athlete],Table1[[#This Row],[Pick]],Table2[Stat Category],"rushing",Table2[Stat Type],"TD"))))</f>
        <v>0</v>
      </c>
      <c r="L656" s="6">
        <f>IF(AND($C656="Rushing", $H656&lt;=0), 0, IF(AND($C656="Passing", $G$3&lt;=0), 0,IF(AND($C656="Receiving",$I656&lt;=0),0,SUMIFS(Table2[Stat],Table2[Week],Table1[[#This Row],[Week]],Table2[Athlete],Table1[[#This Row],[Pick]],Table2[Stat Category],"receiving",Table2[Stat Type],"TD"))))</f>
        <v>0</v>
      </c>
      <c r="M6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6" s="61">
        <f>SUMIFS(Data!$J:$J,Data!$A:$A,Info!$B656,Data!$G:$G,Info!$C656,Data!$I:$I,Info!$D656,Data!$H:$H,"TOT")</f>
        <v>0</v>
      </c>
      <c r="O656" s="61">
        <f>IF(C656="Defensive",SUMIFS(Data!$J:$J,Data!$A:$A,Info!$B656,Data!$I:$I,Info!$D656,Data!$H:$H,"INT"),0)</f>
        <v>0</v>
      </c>
      <c r="P656" s="61">
        <f>IF(Table1[[#This Row],[Role]]="Defensive",SUMIFS(Data!$J:$J,Data!$A:$A,Info!$B656,Data!$I:$I,Info!$D656,Data!$H:$H,$P$1),0)</f>
        <v>0</v>
      </c>
      <c r="Q656" s="65" t="str">
        <f>IF(Table1[[#This Row],[Pick]]="","",IF(S656&gt;1,400,IF(G656="","",IF(C656="Passing",(400-Table1[[#This Row],[Passing Yards]]-(30*Table1[[#This Row],[Passing TDs]])-(50*SUM(Table1[[#This Row],[Rushing TDs]:[Other TD''s]]))),IF(C656="Rushing",2*(200-Table1[[#This Row],[Rushing Yards]]-(30*Table1[[#This Row],[Passing TDs]])-50*(Table1[[#This Row],[Rushing TDs]]+Table1[[#This Row],[Receiving TDs]]+Table1[[#This Row],[Other TD''s]])),IF(C656="Receiving",2*(200-Table1[[#This Row],[Receiving Yards]]-(30*Table1[[#This Row],[Passing TDs]])-50*(Table1[[#This Row],[Rushing TDs]]+Table1[[#This Row],[Receiving TDs]]+Table1[[#This Row],[Other TD''s]])),IF(C656="Defensive",(25*(16-Table1[[#This Row],[Tackles]]-(8*(Table1[[#This Row],[Other TD''s]]+Table1[[#This Row],[Interceptions]]+Table1[[#This Row],[Fumbles Recovered]])))))))))))</f>
        <v/>
      </c>
      <c r="R656" s="3" t="str">
        <f t="shared" si="22"/>
        <v/>
      </c>
      <c r="S656" s="4">
        <f t="shared" si="21"/>
        <v>1048507</v>
      </c>
      <c r="T6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7" spans="1:20" hidden="1" x14ac:dyDescent="0.25">
      <c r="A657" t="s">
        <v>43</v>
      </c>
      <c r="B657" s="28" t="s">
        <v>53</v>
      </c>
      <c r="C657" t="s">
        <v>17</v>
      </c>
      <c r="D657" t="str">
        <f>_xlfn.XLOOKUP(Table1[[#This Row],[Player]]&amp;Table1[[#This Row],[Week]]&amp;Table1[[#This Row],[Role]],'Google Form Transform'!$A:$A,'Google Form Transform'!E:E,"")</f>
        <v/>
      </c>
      <c r="E657" t="str">
        <f>_xlfn.XLOOKUP(Table1[[#This Row],[Player]]&amp;Table1[[#This Row],[Week]]&amp;Table1[[#This Row],[Role]],'Google Form Transform'!$A:$A,'Google Form Transform'!F:F,"")</f>
        <v/>
      </c>
      <c r="F657" t="str">
        <f>_xlfn.XLOOKUP(Table1[[#This Row],[Player]]&amp;Table1[[#This Row],[Week]]&amp;Table1[[#This Row],[Role]],'Google Form Transform'!$A:$A,'Google Form Transform'!G:G,"")</f>
        <v/>
      </c>
      <c r="G657" s="59">
        <f>SUMIFS(Table2[Stat],Table2[Stat Category],"passing",Table2[Stat Type],"YDS",Table2[Athlete],Table1[[#This Row],[Pick]],Table2[Week],Table1[[#This Row],[Week]])</f>
        <v>0</v>
      </c>
      <c r="H657" s="59">
        <f>SUMIFS(Table2[Stat],Table2[Stat Category],"rushing",Table2[Stat Type],"YDS",Table2[Athlete],Table1[[#This Row],[Pick]],Table2[Week],Table1[[#This Row],[Week]])</f>
        <v>0</v>
      </c>
      <c r="I657" s="59">
        <f>SUMIFS(Table2[Stat],Table2[Stat Category],"receiving",Table2[Stat Type],"YDS",Table2[Athlete],Table1[[#This Row],[Pick]],Table2[Week],Table1[[#This Row],[Week]])</f>
        <v>0</v>
      </c>
      <c r="J657" s="6">
        <f>IF(AND($C657="Rushing", $H657&lt;=0), 0, IF(AND($C657="Passing", $G$3&lt;=0), 0,IF(AND($C657="Receiving",$I657&lt;=0), 0,SUMIFS(Table2[Stat],Table2[Week],Table1[[#This Row],[Week]],Table2[Athlete],Table1[[#This Row],[Pick]],Table2[Stat Category],"passing",Table2[Stat Type],"TD"))))</f>
        <v>0</v>
      </c>
      <c r="K657" s="6">
        <f>IF(AND($C657="Rushing", $H657&lt;=0), 0, IF(AND($C657="Passing", $G$3&lt;=0), 0,IF(AND($C657="Receiving",$I657&lt;=0),0,SUMIFS(Table2[Stat],Table2[Week],Table1[[#This Row],[Week]],Table2[Athlete],Table1[[#This Row],[Pick]],Table2[Stat Category],"rushing",Table2[Stat Type],"TD"))))</f>
        <v>0</v>
      </c>
      <c r="L657" s="6">
        <f>IF(AND($C657="Rushing", $H657&lt;=0), 0, IF(AND($C657="Passing", $G$3&lt;=0), 0,IF(AND($C657="Receiving",$I657&lt;=0),0,SUMIFS(Table2[Stat],Table2[Week],Table1[[#This Row],[Week]],Table2[Athlete],Table1[[#This Row],[Pick]],Table2[Stat Category],"receiving",Table2[Stat Type],"TD"))))</f>
        <v>0</v>
      </c>
      <c r="M6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7" s="61">
        <f>SUMIFS(Data!$J:$J,Data!$A:$A,Info!$B657,Data!$G:$G,Info!$C657,Data!$I:$I,Info!$D657,Data!$H:$H,"TOT")</f>
        <v>0</v>
      </c>
      <c r="O657" s="61">
        <f>IF(C657="Defensive",SUMIFS(Data!$J:$J,Data!$A:$A,Info!$B657,Data!$I:$I,Info!$D657,Data!$H:$H,"INT"),0)</f>
        <v>0</v>
      </c>
      <c r="P657" s="61">
        <f>IF(Table1[[#This Row],[Role]]="Defensive",SUMIFS(Data!$J:$J,Data!$A:$A,Info!$B657,Data!$I:$I,Info!$D657,Data!$H:$H,$P$1),0)</f>
        <v>0</v>
      </c>
      <c r="Q657" s="65" t="str">
        <f>IF(Table1[[#This Row],[Pick]]="","",IF(S657&gt;1,400,IF(G657="","",IF(C657="Passing",(400-Table1[[#This Row],[Passing Yards]]-(30*Table1[[#This Row],[Passing TDs]])-(50*SUM(Table1[[#This Row],[Rushing TDs]:[Other TD''s]]))),IF(C657="Rushing",2*(200-Table1[[#This Row],[Rushing Yards]]-(30*Table1[[#This Row],[Passing TDs]])-50*(Table1[[#This Row],[Rushing TDs]]+Table1[[#This Row],[Receiving TDs]]+Table1[[#This Row],[Other TD''s]])),IF(C657="Receiving",2*(200-Table1[[#This Row],[Receiving Yards]]-(30*Table1[[#This Row],[Passing TDs]])-50*(Table1[[#This Row],[Rushing TDs]]+Table1[[#This Row],[Receiving TDs]]+Table1[[#This Row],[Other TD''s]])),IF(C657="Defensive",(25*(16-Table1[[#This Row],[Tackles]]-(8*(Table1[[#This Row],[Other TD''s]]+Table1[[#This Row],[Interceptions]]+Table1[[#This Row],[Fumbles Recovered]])))))))))))</f>
        <v/>
      </c>
      <c r="R657" s="3" t="str">
        <f t="shared" si="22"/>
        <v/>
      </c>
      <c r="S657" s="4">
        <f t="shared" si="21"/>
        <v>1048507</v>
      </c>
      <c r="T6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8" spans="1:20" hidden="1" x14ac:dyDescent="0.25">
      <c r="A658" t="s">
        <v>43</v>
      </c>
      <c r="B658" s="28" t="s">
        <v>53</v>
      </c>
      <c r="C658" t="s">
        <v>20</v>
      </c>
      <c r="D658" t="str">
        <f>_xlfn.XLOOKUP(Table1[[#This Row],[Player]]&amp;Table1[[#This Row],[Week]]&amp;Table1[[#This Row],[Role]],'Google Form Transform'!$A:$A,'Google Form Transform'!E:E,"")</f>
        <v/>
      </c>
      <c r="E658" t="str">
        <f>_xlfn.XLOOKUP(Table1[[#This Row],[Player]]&amp;Table1[[#This Row],[Week]]&amp;Table1[[#This Row],[Role]],'Google Form Transform'!$A:$A,'Google Form Transform'!F:F,"")</f>
        <v/>
      </c>
      <c r="F658" t="str">
        <f>_xlfn.XLOOKUP(Table1[[#This Row],[Player]]&amp;Table1[[#This Row],[Week]]&amp;Table1[[#This Row],[Role]],'Google Form Transform'!$A:$A,'Google Form Transform'!G:G,"")</f>
        <v/>
      </c>
      <c r="G658" s="59">
        <f>SUMIFS(Table2[Stat],Table2[Stat Category],"passing",Table2[Stat Type],"YDS",Table2[Athlete],Table1[[#This Row],[Pick]],Table2[Week],Table1[[#This Row],[Week]])</f>
        <v>0</v>
      </c>
      <c r="H658" s="59">
        <f>SUMIFS(Table2[Stat],Table2[Stat Category],"rushing",Table2[Stat Type],"YDS",Table2[Athlete],Table1[[#This Row],[Pick]],Table2[Week],Table1[[#This Row],[Week]])</f>
        <v>0</v>
      </c>
      <c r="I658" s="59">
        <f>SUMIFS(Table2[Stat],Table2[Stat Category],"receiving",Table2[Stat Type],"YDS",Table2[Athlete],Table1[[#This Row],[Pick]],Table2[Week],Table1[[#This Row],[Week]])</f>
        <v>0</v>
      </c>
      <c r="J658" s="6">
        <f>IF(AND($C658="Rushing", $H658&lt;=0), 0, IF(AND($C658="Passing", $G$3&lt;=0), 0,IF(AND($C658="Receiving",$I658&lt;=0), 0,SUMIFS(Table2[Stat],Table2[Week],Table1[[#This Row],[Week]],Table2[Athlete],Table1[[#This Row],[Pick]],Table2[Stat Category],"passing",Table2[Stat Type],"TD"))))</f>
        <v>0</v>
      </c>
      <c r="K658" s="6">
        <f>IF(AND($C658="Rushing", $H658&lt;=0), 0, IF(AND($C658="Passing", $G$3&lt;=0), 0,IF(AND($C658="Receiving",$I658&lt;=0),0,SUMIFS(Table2[Stat],Table2[Week],Table1[[#This Row],[Week]],Table2[Athlete],Table1[[#This Row],[Pick]],Table2[Stat Category],"rushing",Table2[Stat Type],"TD"))))</f>
        <v>0</v>
      </c>
      <c r="L658" s="6">
        <f>IF(AND($C658="Rushing", $H658&lt;=0), 0, IF(AND($C658="Passing", $G$3&lt;=0), 0,IF(AND($C658="Receiving",$I658&lt;=0),0,SUMIFS(Table2[Stat],Table2[Week],Table1[[#This Row],[Week]],Table2[Athlete],Table1[[#This Row],[Pick]],Table2[Stat Category],"receiving",Table2[Stat Type],"TD"))))</f>
        <v>0</v>
      </c>
      <c r="M6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8" s="61">
        <f>SUMIFS(Data!$J:$J,Data!$A:$A,Info!$B658,Data!$G:$G,Info!$C658,Data!$I:$I,Info!$D658,Data!$H:$H,"TOT")</f>
        <v>0</v>
      </c>
      <c r="O658" s="61">
        <f>IF(C658="Defensive",SUMIFS(Data!$J:$J,Data!$A:$A,Info!$B658,Data!$I:$I,Info!$D658,Data!$H:$H,"INT"),0)</f>
        <v>0</v>
      </c>
      <c r="P658" s="61">
        <f>IF(Table1[[#This Row],[Role]]="Defensive",SUMIFS(Data!$J:$J,Data!$A:$A,Info!$B658,Data!$I:$I,Info!$D658,Data!$H:$H,$P$1),0)</f>
        <v>0</v>
      </c>
      <c r="Q658" s="65" t="str">
        <f>IF(Table1[[#This Row],[Pick]]="","",IF(S658&gt;1,400,IF(G658="","",IF(C658="Passing",(400-Table1[[#This Row],[Passing Yards]]-(30*Table1[[#This Row],[Passing TDs]])-(50*SUM(Table1[[#This Row],[Rushing TDs]:[Other TD''s]]))),IF(C658="Rushing",2*(200-Table1[[#This Row],[Rushing Yards]]-(30*Table1[[#This Row],[Passing TDs]])-50*(Table1[[#This Row],[Rushing TDs]]+Table1[[#This Row],[Receiving TDs]]+Table1[[#This Row],[Other TD''s]])),IF(C658="Receiving",2*(200-Table1[[#This Row],[Receiving Yards]]-(30*Table1[[#This Row],[Passing TDs]])-50*(Table1[[#This Row],[Rushing TDs]]+Table1[[#This Row],[Receiving TDs]]+Table1[[#This Row],[Other TD''s]])),IF(C658="Defensive",(25*(16-Table1[[#This Row],[Tackles]]-(8*(Table1[[#This Row],[Other TD''s]]+Table1[[#This Row],[Interceptions]]+Table1[[#This Row],[Fumbles Recovered]])))))))))))</f>
        <v/>
      </c>
      <c r="R658" s="3" t="str">
        <f t="shared" si="22"/>
        <v/>
      </c>
      <c r="S658" s="4">
        <f t="shared" si="21"/>
        <v>1048507</v>
      </c>
      <c r="T6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9" spans="1:20" hidden="1" x14ac:dyDescent="0.25">
      <c r="A659" t="s">
        <v>7</v>
      </c>
      <c r="B659" s="28" t="s">
        <v>53</v>
      </c>
      <c r="C659" t="s">
        <v>16</v>
      </c>
      <c r="D659" t="str">
        <f>_xlfn.XLOOKUP(Table1[[#This Row],[Player]]&amp;Table1[[#This Row],[Week]]&amp;Table1[[#This Row],[Role]],'Google Form Transform'!$A:$A,'Google Form Transform'!E:E,"")</f>
        <v/>
      </c>
      <c r="E659" t="str">
        <f>_xlfn.XLOOKUP(Table1[[#This Row],[Player]]&amp;Table1[[#This Row],[Week]]&amp;Table1[[#This Row],[Role]],'Google Form Transform'!$A:$A,'Google Form Transform'!F:F,"")</f>
        <v/>
      </c>
      <c r="F659" t="str">
        <f>_xlfn.XLOOKUP(Table1[[#This Row],[Player]]&amp;Table1[[#This Row],[Week]]&amp;Table1[[#This Row],[Role]],'Google Form Transform'!$A:$A,'Google Form Transform'!G:G,"")</f>
        <v/>
      </c>
      <c r="G659" s="59">
        <f>SUMIFS(Table2[Stat],Table2[Stat Category],"passing",Table2[Stat Type],"YDS",Table2[Athlete],Table1[[#This Row],[Pick]],Table2[Week],Table1[[#This Row],[Week]])</f>
        <v>0</v>
      </c>
      <c r="H659" s="59">
        <f>SUMIFS(Table2[Stat],Table2[Stat Category],"rushing",Table2[Stat Type],"YDS",Table2[Athlete],Table1[[#This Row],[Pick]],Table2[Week],Table1[[#This Row],[Week]])</f>
        <v>0</v>
      </c>
      <c r="I659" s="59">
        <f>SUMIFS(Table2[Stat],Table2[Stat Category],"receiving",Table2[Stat Type],"YDS",Table2[Athlete],Table1[[#This Row],[Pick]],Table2[Week],Table1[[#This Row],[Week]])</f>
        <v>0</v>
      </c>
      <c r="J659" s="6">
        <f>IF(AND($C659="Rushing", $H659&lt;=0), 0, IF(AND($C659="Passing", $G$3&lt;=0), 0,IF(AND($C659="Receiving",$I659&lt;=0), 0,SUMIFS(Table2[Stat],Table2[Week],Table1[[#This Row],[Week]],Table2[Athlete],Table1[[#This Row],[Pick]],Table2[Stat Category],"passing",Table2[Stat Type],"TD"))))</f>
        <v>0</v>
      </c>
      <c r="K659" s="6">
        <f>IF(AND($C659="Rushing", $H659&lt;=0), 0, IF(AND($C659="Passing", $G$3&lt;=0), 0,IF(AND($C659="Receiving",$I659&lt;=0),0,SUMIFS(Table2[Stat],Table2[Week],Table1[[#This Row],[Week]],Table2[Athlete],Table1[[#This Row],[Pick]],Table2[Stat Category],"rushing",Table2[Stat Type],"TD"))))</f>
        <v>0</v>
      </c>
      <c r="L659" s="6">
        <f>IF(AND($C659="Rushing", $H659&lt;=0), 0, IF(AND($C659="Passing", $G$3&lt;=0), 0,IF(AND($C659="Receiving",$I659&lt;=0),0,SUMIFS(Table2[Stat],Table2[Week],Table1[[#This Row],[Week]],Table2[Athlete],Table1[[#This Row],[Pick]],Table2[Stat Category],"receiving",Table2[Stat Type],"TD"))))</f>
        <v>0</v>
      </c>
      <c r="M6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9" s="61">
        <f>SUMIFS(Data!$J:$J,Data!$A:$A,Info!$B659,Data!$G:$G,Info!$C659,Data!$I:$I,Info!$D659,Data!$H:$H,"TOT")</f>
        <v>0</v>
      </c>
      <c r="O659" s="61">
        <f>IF(C659="Defensive",SUMIFS(Data!$J:$J,Data!$A:$A,Info!$B659,Data!$I:$I,Info!$D659,Data!$H:$H,"INT"),0)</f>
        <v>0</v>
      </c>
      <c r="P659" s="61">
        <f>IF(Table1[[#This Row],[Role]]="Defensive",SUMIFS(Data!$J:$J,Data!$A:$A,Info!$B659,Data!$I:$I,Info!$D659,Data!$H:$H,$P$1),0)</f>
        <v>0</v>
      </c>
      <c r="Q659" s="65" t="str">
        <f>IF(Table1[[#This Row],[Pick]]="","",IF(S659&gt;1,400,IF(G659="","",IF(C659="Passing",(400-Table1[[#This Row],[Passing Yards]]-(30*Table1[[#This Row],[Passing TDs]])-(50*SUM(Table1[[#This Row],[Rushing TDs]:[Other TD''s]]))),IF(C659="Rushing",2*(200-Table1[[#This Row],[Rushing Yards]]-(30*Table1[[#This Row],[Passing TDs]])-50*(Table1[[#This Row],[Rushing TDs]]+Table1[[#This Row],[Receiving TDs]]+Table1[[#This Row],[Other TD''s]])),IF(C659="Receiving",2*(200-Table1[[#This Row],[Receiving Yards]]-(30*Table1[[#This Row],[Passing TDs]])-50*(Table1[[#This Row],[Rushing TDs]]+Table1[[#This Row],[Receiving TDs]]+Table1[[#This Row],[Other TD''s]])),IF(C659="Defensive",(25*(16-Table1[[#This Row],[Tackles]]-(8*(Table1[[#This Row],[Other TD''s]]+Table1[[#This Row],[Interceptions]]+Table1[[#This Row],[Fumbles Recovered]])))))))))))</f>
        <v/>
      </c>
      <c r="R659" s="3" t="str">
        <f t="shared" si="22"/>
        <v/>
      </c>
      <c r="S659" s="4">
        <f t="shared" si="21"/>
        <v>1048507</v>
      </c>
      <c r="T6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0" spans="1:20" hidden="1" x14ac:dyDescent="0.25">
      <c r="A660" t="s">
        <v>7</v>
      </c>
      <c r="B660" s="28" t="s">
        <v>53</v>
      </c>
      <c r="C660" t="s">
        <v>6</v>
      </c>
      <c r="D660" t="str">
        <f>_xlfn.XLOOKUP(Table1[[#This Row],[Player]]&amp;Table1[[#This Row],[Week]]&amp;Table1[[#This Row],[Role]],'Google Form Transform'!$A:$A,'Google Form Transform'!E:E,"")</f>
        <v/>
      </c>
      <c r="E660" t="str">
        <f>_xlfn.XLOOKUP(Table1[[#This Row],[Player]]&amp;Table1[[#This Row],[Week]]&amp;Table1[[#This Row],[Role]],'Google Form Transform'!$A:$A,'Google Form Transform'!F:F,"")</f>
        <v/>
      </c>
      <c r="F660" t="str">
        <f>_xlfn.XLOOKUP(Table1[[#This Row],[Player]]&amp;Table1[[#This Row],[Week]]&amp;Table1[[#This Row],[Role]],'Google Form Transform'!$A:$A,'Google Form Transform'!G:G,"")</f>
        <v/>
      </c>
      <c r="G660" s="59">
        <f>SUMIFS(Table2[Stat],Table2[Stat Category],"passing",Table2[Stat Type],"YDS",Table2[Athlete],Table1[[#This Row],[Pick]],Table2[Week],Table1[[#This Row],[Week]])</f>
        <v>0</v>
      </c>
      <c r="H660" s="59">
        <f>SUMIFS(Table2[Stat],Table2[Stat Category],"rushing",Table2[Stat Type],"YDS",Table2[Athlete],Table1[[#This Row],[Pick]],Table2[Week],Table1[[#This Row],[Week]])</f>
        <v>0</v>
      </c>
      <c r="I660" s="59">
        <f>SUMIFS(Table2[Stat],Table2[Stat Category],"receiving",Table2[Stat Type],"YDS",Table2[Athlete],Table1[[#This Row],[Pick]],Table2[Week],Table1[[#This Row],[Week]])</f>
        <v>0</v>
      </c>
      <c r="J660" s="6">
        <f>IF(AND($C660="Rushing", $H660&lt;=0), 0, IF(AND($C660="Passing", $G$3&lt;=0), 0,IF(AND($C660="Receiving",$I660&lt;=0), 0,SUMIFS(Table2[Stat],Table2[Week],Table1[[#This Row],[Week]],Table2[Athlete],Table1[[#This Row],[Pick]],Table2[Stat Category],"passing",Table2[Stat Type],"TD"))))</f>
        <v>0</v>
      </c>
      <c r="K660" s="6">
        <f>IF(AND($C660="Rushing", $H660&lt;=0), 0, IF(AND($C660="Passing", $G$3&lt;=0), 0,IF(AND($C660="Receiving",$I660&lt;=0),0,SUMIFS(Table2[Stat],Table2[Week],Table1[[#This Row],[Week]],Table2[Athlete],Table1[[#This Row],[Pick]],Table2[Stat Category],"rushing",Table2[Stat Type],"TD"))))</f>
        <v>0</v>
      </c>
      <c r="L660" s="6">
        <f>IF(AND($C660="Rushing", $H660&lt;=0), 0, IF(AND($C660="Passing", $G$3&lt;=0), 0,IF(AND($C660="Receiving",$I660&lt;=0),0,SUMIFS(Table2[Stat],Table2[Week],Table1[[#This Row],[Week]],Table2[Athlete],Table1[[#This Row],[Pick]],Table2[Stat Category],"receiving",Table2[Stat Type],"TD"))))</f>
        <v>0</v>
      </c>
      <c r="M6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0" s="61">
        <f>SUMIFS(Data!$J:$J,Data!$A:$A,Info!$B660,Data!$G:$G,Info!$C660,Data!$I:$I,Info!$D660,Data!$H:$H,"TOT")</f>
        <v>0</v>
      </c>
      <c r="O660" s="61">
        <f>IF(C660="Defensive",SUMIFS(Data!$J:$J,Data!$A:$A,Info!$B660,Data!$I:$I,Info!$D660,Data!$H:$H,"INT"),0)</f>
        <v>0</v>
      </c>
      <c r="P660" s="61">
        <f>IF(Table1[[#This Row],[Role]]="Defensive",SUMIFS(Data!$J:$J,Data!$A:$A,Info!$B660,Data!$I:$I,Info!$D660,Data!$H:$H,$P$1),0)</f>
        <v>0</v>
      </c>
      <c r="Q660" s="65" t="str">
        <f>IF(Table1[[#This Row],[Pick]]="","",IF(S660&gt;1,400,IF(G660="","",IF(C660="Passing",(400-Table1[[#This Row],[Passing Yards]]-(30*Table1[[#This Row],[Passing TDs]])-(50*SUM(Table1[[#This Row],[Rushing TDs]:[Other TD''s]]))),IF(C660="Rushing",2*(200-Table1[[#This Row],[Rushing Yards]]-(30*Table1[[#This Row],[Passing TDs]])-50*(Table1[[#This Row],[Rushing TDs]]+Table1[[#This Row],[Receiving TDs]]+Table1[[#This Row],[Other TD''s]])),IF(C660="Receiving",2*(200-Table1[[#This Row],[Receiving Yards]]-(30*Table1[[#This Row],[Passing TDs]])-50*(Table1[[#This Row],[Rushing TDs]]+Table1[[#This Row],[Receiving TDs]]+Table1[[#This Row],[Other TD''s]])),IF(C660="Defensive",(25*(16-Table1[[#This Row],[Tackles]]-(8*(Table1[[#This Row],[Other TD''s]]+Table1[[#This Row],[Interceptions]]+Table1[[#This Row],[Fumbles Recovered]])))))))))))</f>
        <v/>
      </c>
      <c r="R660" s="3" t="str">
        <f t="shared" si="22"/>
        <v/>
      </c>
      <c r="S660" s="4">
        <f t="shared" si="21"/>
        <v>1048507</v>
      </c>
      <c r="T6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1" spans="1:20" hidden="1" x14ac:dyDescent="0.25">
      <c r="A661" t="s">
        <v>7</v>
      </c>
      <c r="B661" s="28" t="s">
        <v>53</v>
      </c>
      <c r="C661" t="s">
        <v>17</v>
      </c>
      <c r="D661" t="str">
        <f>_xlfn.XLOOKUP(Table1[[#This Row],[Player]]&amp;Table1[[#This Row],[Week]]&amp;Table1[[#This Row],[Role]],'Google Form Transform'!$A:$A,'Google Form Transform'!E:E,"")</f>
        <v/>
      </c>
      <c r="E661" t="str">
        <f>_xlfn.XLOOKUP(Table1[[#This Row],[Player]]&amp;Table1[[#This Row],[Week]]&amp;Table1[[#This Row],[Role]],'Google Form Transform'!$A:$A,'Google Form Transform'!F:F,"")</f>
        <v/>
      </c>
      <c r="F661" t="str">
        <f>_xlfn.XLOOKUP(Table1[[#This Row],[Player]]&amp;Table1[[#This Row],[Week]]&amp;Table1[[#This Row],[Role]],'Google Form Transform'!$A:$A,'Google Form Transform'!G:G,"")</f>
        <v/>
      </c>
      <c r="G661" s="59">
        <f>SUMIFS(Table2[Stat],Table2[Stat Category],"passing",Table2[Stat Type],"YDS",Table2[Athlete],Table1[[#This Row],[Pick]],Table2[Week],Table1[[#This Row],[Week]])</f>
        <v>0</v>
      </c>
      <c r="H661" s="59">
        <f>SUMIFS(Table2[Stat],Table2[Stat Category],"rushing",Table2[Stat Type],"YDS",Table2[Athlete],Table1[[#This Row],[Pick]],Table2[Week],Table1[[#This Row],[Week]])</f>
        <v>0</v>
      </c>
      <c r="I661" s="59">
        <f>SUMIFS(Table2[Stat],Table2[Stat Category],"receiving",Table2[Stat Type],"YDS",Table2[Athlete],Table1[[#This Row],[Pick]],Table2[Week],Table1[[#This Row],[Week]])</f>
        <v>0</v>
      </c>
      <c r="J661" s="6">
        <f>IF(AND($C661="Rushing", $H661&lt;=0), 0, IF(AND($C661="Passing", $G$3&lt;=0), 0,IF(AND($C661="Receiving",$I661&lt;=0), 0,SUMIFS(Table2[Stat],Table2[Week],Table1[[#This Row],[Week]],Table2[Athlete],Table1[[#This Row],[Pick]],Table2[Stat Category],"passing",Table2[Stat Type],"TD"))))</f>
        <v>0</v>
      </c>
      <c r="K661" s="6">
        <f>IF(AND($C661="Rushing", $H661&lt;=0), 0, IF(AND($C661="Passing", $G$3&lt;=0), 0,IF(AND($C661="Receiving",$I661&lt;=0),0,SUMIFS(Table2[Stat],Table2[Week],Table1[[#This Row],[Week]],Table2[Athlete],Table1[[#This Row],[Pick]],Table2[Stat Category],"rushing",Table2[Stat Type],"TD"))))</f>
        <v>0</v>
      </c>
      <c r="L661" s="6">
        <f>IF(AND($C661="Rushing", $H661&lt;=0), 0, IF(AND($C661="Passing", $G$3&lt;=0), 0,IF(AND($C661="Receiving",$I661&lt;=0),0,SUMIFS(Table2[Stat],Table2[Week],Table1[[#This Row],[Week]],Table2[Athlete],Table1[[#This Row],[Pick]],Table2[Stat Category],"receiving",Table2[Stat Type],"TD"))))</f>
        <v>0</v>
      </c>
      <c r="M6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1" s="61">
        <f>SUMIFS(Data!$J:$J,Data!$A:$A,Info!$B661,Data!$G:$G,Info!$C661,Data!$I:$I,Info!$D661,Data!$H:$H,"TOT")</f>
        <v>0</v>
      </c>
      <c r="O661" s="61">
        <f>IF(C661="Defensive",SUMIFS(Data!$J:$J,Data!$A:$A,Info!$B661,Data!$I:$I,Info!$D661,Data!$H:$H,"INT"),0)</f>
        <v>0</v>
      </c>
      <c r="P661" s="61">
        <f>IF(Table1[[#This Row],[Role]]="Defensive",SUMIFS(Data!$J:$J,Data!$A:$A,Info!$B661,Data!$I:$I,Info!$D661,Data!$H:$H,$P$1),0)</f>
        <v>0</v>
      </c>
      <c r="Q661" s="65" t="str">
        <f>IF(Table1[[#This Row],[Pick]]="","",IF(S661&gt;1,400,IF(G661="","",IF(C661="Passing",(400-Table1[[#This Row],[Passing Yards]]-(30*Table1[[#This Row],[Passing TDs]])-(50*SUM(Table1[[#This Row],[Rushing TDs]:[Other TD''s]]))),IF(C661="Rushing",2*(200-Table1[[#This Row],[Rushing Yards]]-(30*Table1[[#This Row],[Passing TDs]])-50*(Table1[[#This Row],[Rushing TDs]]+Table1[[#This Row],[Receiving TDs]]+Table1[[#This Row],[Other TD''s]])),IF(C661="Receiving",2*(200-Table1[[#This Row],[Receiving Yards]]-(30*Table1[[#This Row],[Passing TDs]])-50*(Table1[[#This Row],[Rushing TDs]]+Table1[[#This Row],[Receiving TDs]]+Table1[[#This Row],[Other TD''s]])),IF(C661="Defensive",(25*(16-Table1[[#This Row],[Tackles]]-(8*(Table1[[#This Row],[Other TD''s]]+Table1[[#This Row],[Interceptions]]+Table1[[#This Row],[Fumbles Recovered]])))))))))))</f>
        <v/>
      </c>
      <c r="R661" s="3" t="str">
        <f t="shared" si="22"/>
        <v/>
      </c>
      <c r="S661" s="4">
        <f t="shared" si="21"/>
        <v>1048507</v>
      </c>
      <c r="T6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2" spans="1:20" hidden="1" x14ac:dyDescent="0.25">
      <c r="A662" t="s">
        <v>7</v>
      </c>
      <c r="B662" s="28" t="s">
        <v>53</v>
      </c>
      <c r="C662" t="s">
        <v>20</v>
      </c>
      <c r="D662" t="str">
        <f>_xlfn.XLOOKUP(Table1[[#This Row],[Player]]&amp;Table1[[#This Row],[Week]]&amp;Table1[[#This Row],[Role]],'Google Form Transform'!$A:$A,'Google Form Transform'!E:E,"")</f>
        <v/>
      </c>
      <c r="E662" t="str">
        <f>_xlfn.XLOOKUP(Table1[[#This Row],[Player]]&amp;Table1[[#This Row],[Week]]&amp;Table1[[#This Row],[Role]],'Google Form Transform'!$A:$A,'Google Form Transform'!F:F,"")</f>
        <v/>
      </c>
      <c r="F662" t="str">
        <f>_xlfn.XLOOKUP(Table1[[#This Row],[Player]]&amp;Table1[[#This Row],[Week]]&amp;Table1[[#This Row],[Role]],'Google Form Transform'!$A:$A,'Google Form Transform'!G:G,"")</f>
        <v/>
      </c>
      <c r="G662" s="59">
        <f>SUMIFS(Table2[Stat],Table2[Stat Category],"passing",Table2[Stat Type],"YDS",Table2[Athlete],Table1[[#This Row],[Pick]],Table2[Week],Table1[[#This Row],[Week]])</f>
        <v>0</v>
      </c>
      <c r="H662" s="59">
        <f>SUMIFS(Table2[Stat],Table2[Stat Category],"rushing",Table2[Stat Type],"YDS",Table2[Athlete],Table1[[#This Row],[Pick]],Table2[Week],Table1[[#This Row],[Week]])</f>
        <v>0</v>
      </c>
      <c r="I662" s="59">
        <f>SUMIFS(Table2[Stat],Table2[Stat Category],"receiving",Table2[Stat Type],"YDS",Table2[Athlete],Table1[[#This Row],[Pick]],Table2[Week],Table1[[#This Row],[Week]])</f>
        <v>0</v>
      </c>
      <c r="J662" s="6">
        <f>IF(AND($C662="Rushing", $H662&lt;=0), 0, IF(AND($C662="Passing", $G$3&lt;=0), 0,IF(AND($C662="Receiving",$I662&lt;=0), 0,SUMIFS(Table2[Stat],Table2[Week],Table1[[#This Row],[Week]],Table2[Athlete],Table1[[#This Row],[Pick]],Table2[Stat Category],"passing",Table2[Stat Type],"TD"))))</f>
        <v>0</v>
      </c>
      <c r="K662" s="6">
        <f>IF(AND($C662="Rushing", $H662&lt;=0), 0, IF(AND($C662="Passing", $G$3&lt;=0), 0,IF(AND($C662="Receiving",$I662&lt;=0),0,SUMIFS(Table2[Stat],Table2[Week],Table1[[#This Row],[Week]],Table2[Athlete],Table1[[#This Row],[Pick]],Table2[Stat Category],"rushing",Table2[Stat Type],"TD"))))</f>
        <v>0</v>
      </c>
      <c r="L662" s="6">
        <f>IF(AND($C662="Rushing", $H662&lt;=0), 0, IF(AND($C662="Passing", $G$3&lt;=0), 0,IF(AND($C662="Receiving",$I662&lt;=0),0,SUMIFS(Table2[Stat],Table2[Week],Table1[[#This Row],[Week]],Table2[Athlete],Table1[[#This Row],[Pick]],Table2[Stat Category],"receiving",Table2[Stat Type],"TD"))))</f>
        <v>0</v>
      </c>
      <c r="M6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2" s="61">
        <f>SUMIFS(Data!$J:$J,Data!$A:$A,Info!$B662,Data!$G:$G,Info!$C662,Data!$I:$I,Info!$D662,Data!$H:$H,"TOT")</f>
        <v>0</v>
      </c>
      <c r="O662" s="61">
        <f>IF(C662="Defensive",SUMIFS(Data!$J:$J,Data!$A:$A,Info!$B662,Data!$I:$I,Info!$D662,Data!$H:$H,"INT"),0)</f>
        <v>0</v>
      </c>
      <c r="P662" s="61">
        <f>IF(Table1[[#This Row],[Role]]="Defensive",SUMIFS(Data!$J:$J,Data!$A:$A,Info!$B662,Data!$I:$I,Info!$D662,Data!$H:$H,$P$1),0)</f>
        <v>0</v>
      </c>
      <c r="Q662" s="65" t="str">
        <f>IF(Table1[[#This Row],[Pick]]="","",IF(S662&gt;1,400,IF(G662="","",IF(C662="Passing",(400-Table1[[#This Row],[Passing Yards]]-(30*Table1[[#This Row],[Passing TDs]])-(50*SUM(Table1[[#This Row],[Rushing TDs]:[Other TD''s]]))),IF(C662="Rushing",2*(200-Table1[[#This Row],[Rushing Yards]]-(30*Table1[[#This Row],[Passing TDs]])-50*(Table1[[#This Row],[Rushing TDs]]+Table1[[#This Row],[Receiving TDs]]+Table1[[#This Row],[Other TD''s]])),IF(C662="Receiving",2*(200-Table1[[#This Row],[Receiving Yards]]-(30*Table1[[#This Row],[Passing TDs]])-50*(Table1[[#This Row],[Rushing TDs]]+Table1[[#This Row],[Receiving TDs]]+Table1[[#This Row],[Other TD''s]])),IF(C662="Defensive",(25*(16-Table1[[#This Row],[Tackles]]-(8*(Table1[[#This Row],[Other TD''s]]+Table1[[#This Row],[Interceptions]]+Table1[[#This Row],[Fumbles Recovered]])))))))))))</f>
        <v/>
      </c>
      <c r="R662" s="3" t="str">
        <f t="shared" si="22"/>
        <v/>
      </c>
      <c r="S662" s="4">
        <f t="shared" si="21"/>
        <v>1048507</v>
      </c>
      <c r="T6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3" spans="1:20" hidden="1" x14ac:dyDescent="0.25">
      <c r="A663" t="s">
        <v>2</v>
      </c>
      <c r="B663" s="28" t="s">
        <v>54</v>
      </c>
      <c r="C663" t="s">
        <v>16</v>
      </c>
      <c r="D663" t="str">
        <f>_xlfn.XLOOKUP(Table1[[#This Row],[Player]]&amp;Table1[[#This Row],[Week]]&amp;Table1[[#This Row],[Role]],'Google Form Transform'!$A:$A,'Google Form Transform'!E:E,"")</f>
        <v/>
      </c>
      <c r="E663" t="str">
        <f>_xlfn.XLOOKUP(Table1[[#This Row],[Player]]&amp;Table1[[#This Row],[Week]]&amp;Table1[[#This Row],[Role]],'Google Form Transform'!$A:$A,'Google Form Transform'!F:F,"")</f>
        <v/>
      </c>
      <c r="F663" t="str">
        <f>_xlfn.XLOOKUP(Table1[[#This Row],[Player]]&amp;Table1[[#This Row],[Week]]&amp;Table1[[#This Row],[Role]],'Google Form Transform'!$A:$A,'Google Form Transform'!G:G,"")</f>
        <v/>
      </c>
      <c r="G663" s="59">
        <f>SUMIFS(Table2[Stat],Table2[Stat Category],"passing",Table2[Stat Type],"YDS",Table2[Athlete],Table1[[#This Row],[Pick]],Table2[Week],Table1[[#This Row],[Week]])</f>
        <v>0</v>
      </c>
      <c r="H663" s="59">
        <f>SUMIFS(Table2[Stat],Table2[Stat Category],"rushing",Table2[Stat Type],"YDS",Table2[Athlete],Table1[[#This Row],[Pick]],Table2[Week],Table1[[#This Row],[Week]])</f>
        <v>0</v>
      </c>
      <c r="I663" s="59">
        <f>SUMIFS(Table2[Stat],Table2[Stat Category],"receiving",Table2[Stat Type],"YDS",Table2[Athlete],Table1[[#This Row],[Pick]],Table2[Week],Table1[[#This Row],[Week]])</f>
        <v>0</v>
      </c>
      <c r="J663" s="6">
        <f>IF(AND($C663="Rushing", $H663&lt;=0), 0, IF(AND($C663="Passing", $G$3&lt;=0), 0,IF(AND($C663="Receiving",$I663&lt;=0), 0,SUMIFS(Table2[Stat],Table2[Week],Table1[[#This Row],[Week]],Table2[Athlete],Table1[[#This Row],[Pick]],Table2[Stat Category],"passing",Table2[Stat Type],"TD"))))</f>
        <v>0</v>
      </c>
      <c r="K663" s="6">
        <f>IF(AND($C663="Rushing", $H663&lt;=0), 0, IF(AND($C663="Passing", $G$3&lt;=0), 0,IF(AND($C663="Receiving",$I663&lt;=0),0,SUMIFS(Table2[Stat],Table2[Week],Table1[[#This Row],[Week]],Table2[Athlete],Table1[[#This Row],[Pick]],Table2[Stat Category],"rushing",Table2[Stat Type],"TD"))))</f>
        <v>0</v>
      </c>
      <c r="L663" s="6">
        <f>IF(AND($C663="Rushing", $H663&lt;=0), 0, IF(AND($C663="Passing", $G$3&lt;=0), 0,IF(AND($C663="Receiving",$I663&lt;=0),0,SUMIFS(Table2[Stat],Table2[Week],Table1[[#This Row],[Week]],Table2[Athlete],Table1[[#This Row],[Pick]],Table2[Stat Category],"receiving",Table2[Stat Type],"TD"))))</f>
        <v>0</v>
      </c>
      <c r="M6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3" s="61">
        <f>SUMIFS(Data!$J:$J,Data!$A:$A,Info!$B663,Data!$G:$G,Info!$C663,Data!$I:$I,Info!$D663,Data!$H:$H,"TOT")</f>
        <v>0</v>
      </c>
      <c r="O663" s="61">
        <f>IF(C663="Defensive",SUMIFS(Data!$J:$J,Data!$A:$A,Info!$B663,Data!$I:$I,Info!$D663,Data!$H:$H,"INT"),0)</f>
        <v>0</v>
      </c>
      <c r="P663" s="61">
        <f>IF(Table1[[#This Row],[Role]]="Defensive",SUMIFS(Data!$J:$J,Data!$A:$A,Info!$B663,Data!$I:$I,Info!$D663,Data!$H:$H,$P$1),0)</f>
        <v>0</v>
      </c>
      <c r="Q663" s="65" t="str">
        <f>IF(Table1[[#This Row],[Pick]]="","",IF(S663&gt;1,400,IF(G663="","",IF(C663="Passing",(400-Table1[[#This Row],[Passing Yards]]-(30*Table1[[#This Row],[Passing TDs]])-(50*SUM(Table1[[#This Row],[Rushing TDs]:[Other TD''s]]))),IF(C663="Rushing",2*(200-Table1[[#This Row],[Rushing Yards]]-(30*Table1[[#This Row],[Passing TDs]])-50*(Table1[[#This Row],[Rushing TDs]]+Table1[[#This Row],[Receiving TDs]]+Table1[[#This Row],[Other TD''s]])),IF(C663="Receiving",2*(200-Table1[[#This Row],[Receiving Yards]]-(30*Table1[[#This Row],[Passing TDs]])-50*(Table1[[#This Row],[Rushing TDs]]+Table1[[#This Row],[Receiving TDs]]+Table1[[#This Row],[Other TD''s]])),IF(C663="Defensive",(25*(16-Table1[[#This Row],[Tackles]]-(8*(Table1[[#This Row],[Other TD''s]]+Table1[[#This Row],[Interceptions]]+Table1[[#This Row],[Fumbles Recovered]])))))))))))</f>
        <v/>
      </c>
      <c r="R663" s="3" t="str">
        <f t="shared" si="22"/>
        <v/>
      </c>
      <c r="S663" s="4">
        <f t="shared" si="21"/>
        <v>1048507</v>
      </c>
      <c r="T6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4" spans="1:20" hidden="1" x14ac:dyDescent="0.25">
      <c r="A664" t="s">
        <v>2</v>
      </c>
      <c r="B664" s="28" t="s">
        <v>54</v>
      </c>
      <c r="C664" t="s">
        <v>6</v>
      </c>
      <c r="D664" t="str">
        <f>_xlfn.XLOOKUP(Table1[[#This Row],[Player]]&amp;Table1[[#This Row],[Week]]&amp;Table1[[#This Row],[Role]],'Google Form Transform'!$A:$A,'Google Form Transform'!E:E,"")</f>
        <v/>
      </c>
      <c r="E664" t="str">
        <f>_xlfn.XLOOKUP(Table1[[#This Row],[Player]]&amp;Table1[[#This Row],[Week]]&amp;Table1[[#This Row],[Role]],'Google Form Transform'!$A:$A,'Google Form Transform'!F:F,"")</f>
        <v/>
      </c>
      <c r="F664" t="str">
        <f>_xlfn.XLOOKUP(Table1[[#This Row],[Player]]&amp;Table1[[#This Row],[Week]]&amp;Table1[[#This Row],[Role]],'Google Form Transform'!$A:$A,'Google Form Transform'!G:G,"")</f>
        <v/>
      </c>
      <c r="G664" s="59">
        <f>SUMIFS(Table2[Stat],Table2[Stat Category],"passing",Table2[Stat Type],"YDS",Table2[Athlete],Table1[[#This Row],[Pick]],Table2[Week],Table1[[#This Row],[Week]])</f>
        <v>0</v>
      </c>
      <c r="H664" s="59">
        <f>SUMIFS(Table2[Stat],Table2[Stat Category],"rushing",Table2[Stat Type],"YDS",Table2[Athlete],Table1[[#This Row],[Pick]],Table2[Week],Table1[[#This Row],[Week]])</f>
        <v>0</v>
      </c>
      <c r="I664" s="59">
        <f>SUMIFS(Table2[Stat],Table2[Stat Category],"receiving",Table2[Stat Type],"YDS",Table2[Athlete],Table1[[#This Row],[Pick]],Table2[Week],Table1[[#This Row],[Week]])</f>
        <v>0</v>
      </c>
      <c r="J664" s="6">
        <f>IF(AND($C664="Rushing", $H664&lt;=0), 0, IF(AND($C664="Passing", $G$3&lt;=0), 0,IF(AND($C664="Receiving",$I664&lt;=0), 0,SUMIFS(Table2[Stat],Table2[Week],Table1[[#This Row],[Week]],Table2[Athlete],Table1[[#This Row],[Pick]],Table2[Stat Category],"passing",Table2[Stat Type],"TD"))))</f>
        <v>0</v>
      </c>
      <c r="K664" s="6">
        <f>IF(AND($C664="Rushing", $H664&lt;=0), 0, IF(AND($C664="Passing", $G$3&lt;=0), 0,IF(AND($C664="Receiving",$I664&lt;=0),0,SUMIFS(Table2[Stat],Table2[Week],Table1[[#This Row],[Week]],Table2[Athlete],Table1[[#This Row],[Pick]],Table2[Stat Category],"rushing",Table2[Stat Type],"TD"))))</f>
        <v>0</v>
      </c>
      <c r="L664" s="6">
        <f>IF(AND($C664="Rushing", $H664&lt;=0), 0, IF(AND($C664="Passing", $G$3&lt;=0), 0,IF(AND($C664="Receiving",$I664&lt;=0),0,SUMIFS(Table2[Stat],Table2[Week],Table1[[#This Row],[Week]],Table2[Athlete],Table1[[#This Row],[Pick]],Table2[Stat Category],"receiving",Table2[Stat Type],"TD"))))</f>
        <v>0</v>
      </c>
      <c r="M6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4" s="61">
        <f>SUMIFS(Data!$J:$J,Data!$A:$A,Info!$B664,Data!$G:$G,Info!$C664,Data!$I:$I,Info!$D664,Data!$H:$H,"TOT")</f>
        <v>0</v>
      </c>
      <c r="O664" s="61">
        <f>IF(C664="Defensive",SUMIFS(Data!$J:$J,Data!$A:$A,Info!$B664,Data!$I:$I,Info!$D664,Data!$H:$H,"INT"),0)</f>
        <v>0</v>
      </c>
      <c r="P664" s="61">
        <f>IF(Table1[[#This Row],[Role]]="Defensive",SUMIFS(Data!$J:$J,Data!$A:$A,Info!$B664,Data!$I:$I,Info!$D664,Data!$H:$H,$P$1),0)</f>
        <v>0</v>
      </c>
      <c r="Q664" s="65" t="str">
        <f>IF(Table1[[#This Row],[Pick]]="","",IF(S664&gt;1,400,IF(G664="","",IF(C664="Passing",(400-Table1[[#This Row],[Passing Yards]]-(30*Table1[[#This Row],[Passing TDs]])-(50*SUM(Table1[[#This Row],[Rushing TDs]:[Other TD''s]]))),IF(C664="Rushing",2*(200-Table1[[#This Row],[Rushing Yards]]-(30*Table1[[#This Row],[Passing TDs]])-50*(Table1[[#This Row],[Rushing TDs]]+Table1[[#This Row],[Receiving TDs]]+Table1[[#This Row],[Other TD''s]])),IF(C664="Receiving",2*(200-Table1[[#This Row],[Receiving Yards]]-(30*Table1[[#This Row],[Passing TDs]])-50*(Table1[[#This Row],[Rushing TDs]]+Table1[[#This Row],[Receiving TDs]]+Table1[[#This Row],[Other TD''s]])),IF(C664="Defensive",(25*(16-Table1[[#This Row],[Tackles]]-(8*(Table1[[#This Row],[Other TD''s]]+Table1[[#This Row],[Interceptions]]+Table1[[#This Row],[Fumbles Recovered]])))))))))))</f>
        <v/>
      </c>
      <c r="R664" s="3" t="str">
        <f t="shared" si="22"/>
        <v/>
      </c>
      <c r="S664" s="4">
        <f t="shared" si="21"/>
        <v>1048507</v>
      </c>
      <c r="T6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5" spans="1:20" hidden="1" x14ac:dyDescent="0.25">
      <c r="A665" t="s">
        <v>2</v>
      </c>
      <c r="B665" s="28" t="s">
        <v>54</v>
      </c>
      <c r="C665" t="s">
        <v>17</v>
      </c>
      <c r="D665" t="str">
        <f>_xlfn.XLOOKUP(Table1[[#This Row],[Player]]&amp;Table1[[#This Row],[Week]]&amp;Table1[[#This Row],[Role]],'Google Form Transform'!$A:$A,'Google Form Transform'!E:E,"")</f>
        <v/>
      </c>
      <c r="E665" t="str">
        <f>_xlfn.XLOOKUP(Table1[[#This Row],[Player]]&amp;Table1[[#This Row],[Week]]&amp;Table1[[#This Row],[Role]],'Google Form Transform'!$A:$A,'Google Form Transform'!F:F,"")</f>
        <v/>
      </c>
      <c r="F665" t="str">
        <f>_xlfn.XLOOKUP(Table1[[#This Row],[Player]]&amp;Table1[[#This Row],[Week]]&amp;Table1[[#This Row],[Role]],'Google Form Transform'!$A:$A,'Google Form Transform'!G:G,"")</f>
        <v/>
      </c>
      <c r="G665" s="59">
        <f>SUMIFS(Table2[Stat],Table2[Stat Category],"passing",Table2[Stat Type],"YDS",Table2[Athlete],Table1[[#This Row],[Pick]],Table2[Week],Table1[[#This Row],[Week]])</f>
        <v>0</v>
      </c>
      <c r="H665" s="59">
        <f>SUMIFS(Table2[Stat],Table2[Stat Category],"rushing",Table2[Stat Type],"YDS",Table2[Athlete],Table1[[#This Row],[Pick]],Table2[Week],Table1[[#This Row],[Week]])</f>
        <v>0</v>
      </c>
      <c r="I665" s="59">
        <f>SUMIFS(Table2[Stat],Table2[Stat Category],"receiving",Table2[Stat Type],"YDS",Table2[Athlete],Table1[[#This Row],[Pick]],Table2[Week],Table1[[#This Row],[Week]])</f>
        <v>0</v>
      </c>
      <c r="J665" s="6">
        <f>IF(AND($C665="Rushing", $H665&lt;=0), 0, IF(AND($C665="Passing", $G$3&lt;=0), 0,IF(AND($C665="Receiving",$I665&lt;=0), 0,SUMIFS(Table2[Stat],Table2[Week],Table1[[#This Row],[Week]],Table2[Athlete],Table1[[#This Row],[Pick]],Table2[Stat Category],"passing",Table2[Stat Type],"TD"))))</f>
        <v>0</v>
      </c>
      <c r="K665" s="6">
        <f>IF(AND($C665="Rushing", $H665&lt;=0), 0, IF(AND($C665="Passing", $G$3&lt;=0), 0,IF(AND($C665="Receiving",$I665&lt;=0),0,SUMIFS(Table2[Stat],Table2[Week],Table1[[#This Row],[Week]],Table2[Athlete],Table1[[#This Row],[Pick]],Table2[Stat Category],"rushing",Table2[Stat Type],"TD"))))</f>
        <v>0</v>
      </c>
      <c r="L665" s="6">
        <f>IF(AND($C665="Rushing", $H665&lt;=0), 0, IF(AND($C665="Passing", $G$3&lt;=0), 0,IF(AND($C665="Receiving",$I665&lt;=0),0,SUMIFS(Table2[Stat],Table2[Week],Table1[[#This Row],[Week]],Table2[Athlete],Table1[[#This Row],[Pick]],Table2[Stat Category],"receiving",Table2[Stat Type],"TD"))))</f>
        <v>0</v>
      </c>
      <c r="M6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5" s="61">
        <f>SUMIFS(Data!$J:$J,Data!$A:$A,Info!$B665,Data!$G:$G,Info!$C665,Data!$I:$I,Info!$D665,Data!$H:$H,"TOT")</f>
        <v>0</v>
      </c>
      <c r="O665" s="61">
        <f>IF(C665="Defensive",SUMIFS(Data!$J:$J,Data!$A:$A,Info!$B665,Data!$I:$I,Info!$D665,Data!$H:$H,"INT"),0)</f>
        <v>0</v>
      </c>
      <c r="P665" s="61">
        <f>IF(Table1[[#This Row],[Role]]="Defensive",SUMIFS(Data!$J:$J,Data!$A:$A,Info!$B665,Data!$I:$I,Info!$D665,Data!$H:$H,$P$1),0)</f>
        <v>0</v>
      </c>
      <c r="Q665" s="65" t="str">
        <f>IF(Table1[[#This Row],[Pick]]="","",IF(S665&gt;1,400,IF(G665="","",IF(C665="Passing",(400-Table1[[#This Row],[Passing Yards]]-(30*Table1[[#This Row],[Passing TDs]])-(50*SUM(Table1[[#This Row],[Rushing TDs]:[Other TD''s]]))),IF(C665="Rushing",2*(200-Table1[[#This Row],[Rushing Yards]]-(30*Table1[[#This Row],[Passing TDs]])-50*(Table1[[#This Row],[Rushing TDs]]+Table1[[#This Row],[Receiving TDs]]+Table1[[#This Row],[Other TD''s]])),IF(C665="Receiving",2*(200-Table1[[#This Row],[Receiving Yards]]-(30*Table1[[#This Row],[Passing TDs]])-50*(Table1[[#This Row],[Rushing TDs]]+Table1[[#This Row],[Receiving TDs]]+Table1[[#This Row],[Other TD''s]])),IF(C665="Defensive",(25*(16-Table1[[#This Row],[Tackles]]-(8*(Table1[[#This Row],[Other TD''s]]+Table1[[#This Row],[Interceptions]]+Table1[[#This Row],[Fumbles Recovered]])))))))))))</f>
        <v/>
      </c>
      <c r="R665" s="3" t="str">
        <f t="shared" si="22"/>
        <v/>
      </c>
      <c r="S665" s="4">
        <f t="shared" si="21"/>
        <v>1048507</v>
      </c>
      <c r="T6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6" spans="1:20" hidden="1" x14ac:dyDescent="0.25">
      <c r="A666" t="s">
        <v>2</v>
      </c>
      <c r="B666" s="28" t="s">
        <v>54</v>
      </c>
      <c r="C666" t="s">
        <v>20</v>
      </c>
      <c r="D666" t="str">
        <f>_xlfn.XLOOKUP(Table1[[#This Row],[Player]]&amp;Table1[[#This Row],[Week]]&amp;Table1[[#This Row],[Role]],'Google Form Transform'!$A:$A,'Google Form Transform'!E:E,"")</f>
        <v/>
      </c>
      <c r="E666" t="str">
        <f>_xlfn.XLOOKUP(Table1[[#This Row],[Player]]&amp;Table1[[#This Row],[Week]]&amp;Table1[[#This Row],[Role]],'Google Form Transform'!$A:$A,'Google Form Transform'!F:F,"")</f>
        <v/>
      </c>
      <c r="F666" t="str">
        <f>_xlfn.XLOOKUP(Table1[[#This Row],[Player]]&amp;Table1[[#This Row],[Week]]&amp;Table1[[#This Row],[Role]],'Google Form Transform'!$A:$A,'Google Form Transform'!G:G,"")</f>
        <v/>
      </c>
      <c r="G666" s="59">
        <f>SUMIFS(Table2[Stat],Table2[Stat Category],"passing",Table2[Stat Type],"YDS",Table2[Athlete],Table1[[#This Row],[Pick]],Table2[Week],Table1[[#This Row],[Week]])</f>
        <v>0</v>
      </c>
      <c r="H666" s="59">
        <f>SUMIFS(Table2[Stat],Table2[Stat Category],"rushing",Table2[Stat Type],"YDS",Table2[Athlete],Table1[[#This Row],[Pick]],Table2[Week],Table1[[#This Row],[Week]])</f>
        <v>0</v>
      </c>
      <c r="I666" s="59">
        <f>SUMIFS(Table2[Stat],Table2[Stat Category],"receiving",Table2[Stat Type],"YDS",Table2[Athlete],Table1[[#This Row],[Pick]],Table2[Week],Table1[[#This Row],[Week]])</f>
        <v>0</v>
      </c>
      <c r="J666" s="6">
        <f>IF(AND($C666="Rushing", $H666&lt;=0), 0, IF(AND($C666="Passing", $G$3&lt;=0), 0,IF(AND($C666="Receiving",$I666&lt;=0), 0,SUMIFS(Table2[Stat],Table2[Week],Table1[[#This Row],[Week]],Table2[Athlete],Table1[[#This Row],[Pick]],Table2[Stat Category],"passing",Table2[Stat Type],"TD"))))</f>
        <v>0</v>
      </c>
      <c r="K666" s="6">
        <f>IF(AND($C666="Rushing", $H666&lt;=0), 0, IF(AND($C666="Passing", $G$3&lt;=0), 0,IF(AND($C666="Receiving",$I666&lt;=0),0,SUMIFS(Table2[Stat],Table2[Week],Table1[[#This Row],[Week]],Table2[Athlete],Table1[[#This Row],[Pick]],Table2[Stat Category],"rushing",Table2[Stat Type],"TD"))))</f>
        <v>0</v>
      </c>
      <c r="L666" s="6">
        <f>IF(AND($C666="Rushing", $H666&lt;=0), 0, IF(AND($C666="Passing", $G$3&lt;=0), 0,IF(AND($C666="Receiving",$I666&lt;=0),0,SUMIFS(Table2[Stat],Table2[Week],Table1[[#This Row],[Week]],Table2[Athlete],Table1[[#This Row],[Pick]],Table2[Stat Category],"receiving",Table2[Stat Type],"TD"))))</f>
        <v>0</v>
      </c>
      <c r="M6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6" s="61">
        <f>SUMIFS(Data!$J:$J,Data!$A:$A,Info!$B666,Data!$G:$G,Info!$C666,Data!$I:$I,Info!$D666,Data!$H:$H,"TOT")</f>
        <v>0</v>
      </c>
      <c r="O666" s="61">
        <f>IF(C666="Defensive",SUMIFS(Data!$J:$J,Data!$A:$A,Info!$B666,Data!$I:$I,Info!$D666,Data!$H:$H,"INT"),0)</f>
        <v>0</v>
      </c>
      <c r="P666" s="61">
        <f>IF(Table1[[#This Row],[Role]]="Defensive",SUMIFS(Data!$J:$J,Data!$A:$A,Info!$B666,Data!$I:$I,Info!$D666,Data!$H:$H,$P$1),0)</f>
        <v>0</v>
      </c>
      <c r="Q666" s="65" t="str">
        <f>IF(Table1[[#This Row],[Pick]]="","",IF(S666&gt;1,400,IF(G666="","",IF(C666="Passing",(400-Table1[[#This Row],[Passing Yards]]-(30*Table1[[#This Row],[Passing TDs]])-(50*SUM(Table1[[#This Row],[Rushing TDs]:[Other TD''s]]))),IF(C666="Rushing",2*(200-Table1[[#This Row],[Rushing Yards]]-(30*Table1[[#This Row],[Passing TDs]])-50*(Table1[[#This Row],[Rushing TDs]]+Table1[[#This Row],[Receiving TDs]]+Table1[[#This Row],[Other TD''s]])),IF(C666="Receiving",2*(200-Table1[[#This Row],[Receiving Yards]]-(30*Table1[[#This Row],[Passing TDs]])-50*(Table1[[#This Row],[Rushing TDs]]+Table1[[#This Row],[Receiving TDs]]+Table1[[#This Row],[Other TD''s]])),IF(C666="Defensive",(25*(16-Table1[[#This Row],[Tackles]]-(8*(Table1[[#This Row],[Other TD''s]]+Table1[[#This Row],[Interceptions]]+Table1[[#This Row],[Fumbles Recovered]])))))))))))</f>
        <v/>
      </c>
      <c r="R666" s="3" t="str">
        <f t="shared" si="22"/>
        <v/>
      </c>
      <c r="S666" s="4">
        <f t="shared" si="21"/>
        <v>1048507</v>
      </c>
      <c r="T6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7" spans="1:20" hidden="1" x14ac:dyDescent="0.25">
      <c r="A667" t="s">
        <v>4</v>
      </c>
      <c r="B667" s="28" t="s">
        <v>54</v>
      </c>
      <c r="C667" t="s">
        <v>16</v>
      </c>
      <c r="D667" t="str">
        <f>_xlfn.XLOOKUP(Table1[[#This Row],[Player]]&amp;Table1[[#This Row],[Week]]&amp;Table1[[#This Row],[Role]],'Google Form Transform'!$A:$A,'Google Form Transform'!E:E,"")</f>
        <v/>
      </c>
      <c r="E667" t="str">
        <f>_xlfn.XLOOKUP(Table1[[#This Row],[Player]]&amp;Table1[[#This Row],[Week]]&amp;Table1[[#This Row],[Role]],'Google Form Transform'!$A:$A,'Google Form Transform'!F:F,"")</f>
        <v/>
      </c>
      <c r="F667" t="str">
        <f>_xlfn.XLOOKUP(Table1[[#This Row],[Player]]&amp;Table1[[#This Row],[Week]]&amp;Table1[[#This Row],[Role]],'Google Form Transform'!$A:$A,'Google Form Transform'!G:G,"")</f>
        <v/>
      </c>
      <c r="G667" s="59">
        <f>SUMIFS(Table2[Stat],Table2[Stat Category],"passing",Table2[Stat Type],"YDS",Table2[Athlete],Table1[[#This Row],[Pick]],Table2[Week],Table1[[#This Row],[Week]])</f>
        <v>0</v>
      </c>
      <c r="H667" s="59">
        <f>SUMIFS(Table2[Stat],Table2[Stat Category],"rushing",Table2[Stat Type],"YDS",Table2[Athlete],Table1[[#This Row],[Pick]],Table2[Week],Table1[[#This Row],[Week]])</f>
        <v>0</v>
      </c>
      <c r="I667" s="59">
        <f>SUMIFS(Table2[Stat],Table2[Stat Category],"receiving",Table2[Stat Type],"YDS",Table2[Athlete],Table1[[#This Row],[Pick]],Table2[Week],Table1[[#This Row],[Week]])</f>
        <v>0</v>
      </c>
      <c r="J667" s="6">
        <f>IF(AND($C667="Rushing", $H667&lt;=0), 0, IF(AND($C667="Passing", $G$3&lt;=0), 0,IF(AND($C667="Receiving",$I667&lt;=0), 0,SUMIFS(Table2[Stat],Table2[Week],Table1[[#This Row],[Week]],Table2[Athlete],Table1[[#This Row],[Pick]],Table2[Stat Category],"passing",Table2[Stat Type],"TD"))))</f>
        <v>0</v>
      </c>
      <c r="K667" s="6">
        <f>IF(AND($C667="Rushing", $H667&lt;=0), 0, IF(AND($C667="Passing", $G$3&lt;=0), 0,IF(AND($C667="Receiving",$I667&lt;=0),0,SUMIFS(Table2[Stat],Table2[Week],Table1[[#This Row],[Week]],Table2[Athlete],Table1[[#This Row],[Pick]],Table2[Stat Category],"rushing",Table2[Stat Type],"TD"))))</f>
        <v>0</v>
      </c>
      <c r="L667" s="6">
        <f>IF(AND($C667="Rushing", $H667&lt;=0), 0, IF(AND($C667="Passing", $G$3&lt;=0), 0,IF(AND($C667="Receiving",$I667&lt;=0),0,SUMIFS(Table2[Stat],Table2[Week],Table1[[#This Row],[Week]],Table2[Athlete],Table1[[#This Row],[Pick]],Table2[Stat Category],"receiving",Table2[Stat Type],"TD"))))</f>
        <v>0</v>
      </c>
      <c r="M6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7" s="61">
        <f>SUMIFS(Data!$J:$J,Data!$A:$A,Info!$B667,Data!$G:$G,Info!$C667,Data!$I:$I,Info!$D667,Data!$H:$H,"TOT")</f>
        <v>0</v>
      </c>
      <c r="O667" s="61">
        <f>IF(C667="Defensive",SUMIFS(Data!$J:$J,Data!$A:$A,Info!$B667,Data!$I:$I,Info!$D667,Data!$H:$H,"INT"),0)</f>
        <v>0</v>
      </c>
      <c r="P667" s="61">
        <f>IF(Table1[[#This Row],[Role]]="Defensive",SUMIFS(Data!$J:$J,Data!$A:$A,Info!$B667,Data!$I:$I,Info!$D667,Data!$H:$H,$P$1),0)</f>
        <v>0</v>
      </c>
      <c r="Q667" s="65" t="str">
        <f>IF(Table1[[#This Row],[Pick]]="","",IF(S667&gt;1,400,IF(G667="","",IF(C667="Passing",(400-Table1[[#This Row],[Passing Yards]]-(30*Table1[[#This Row],[Passing TDs]])-(50*SUM(Table1[[#This Row],[Rushing TDs]:[Other TD''s]]))),IF(C667="Rushing",2*(200-Table1[[#This Row],[Rushing Yards]]-(30*Table1[[#This Row],[Passing TDs]])-50*(Table1[[#This Row],[Rushing TDs]]+Table1[[#This Row],[Receiving TDs]]+Table1[[#This Row],[Other TD''s]])),IF(C667="Receiving",2*(200-Table1[[#This Row],[Receiving Yards]]-(30*Table1[[#This Row],[Passing TDs]])-50*(Table1[[#This Row],[Rushing TDs]]+Table1[[#This Row],[Receiving TDs]]+Table1[[#This Row],[Other TD''s]])),IF(C667="Defensive",(25*(16-Table1[[#This Row],[Tackles]]-(8*(Table1[[#This Row],[Other TD''s]]+Table1[[#This Row],[Interceptions]]+Table1[[#This Row],[Fumbles Recovered]])))))))))))</f>
        <v/>
      </c>
      <c r="R667" s="3" t="str">
        <f t="shared" si="22"/>
        <v/>
      </c>
      <c r="S667" s="4">
        <f t="shared" si="21"/>
        <v>1048507</v>
      </c>
      <c r="T6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8" spans="1:20" hidden="1" x14ac:dyDescent="0.25">
      <c r="A668" t="s">
        <v>4</v>
      </c>
      <c r="B668" s="28" t="s">
        <v>54</v>
      </c>
      <c r="C668" t="s">
        <v>6</v>
      </c>
      <c r="D668" t="str">
        <f>_xlfn.XLOOKUP(Table1[[#This Row],[Player]]&amp;Table1[[#This Row],[Week]]&amp;Table1[[#This Row],[Role]],'Google Form Transform'!$A:$A,'Google Form Transform'!E:E,"")</f>
        <v/>
      </c>
      <c r="E668" t="str">
        <f>_xlfn.XLOOKUP(Table1[[#This Row],[Player]]&amp;Table1[[#This Row],[Week]]&amp;Table1[[#This Row],[Role]],'Google Form Transform'!$A:$A,'Google Form Transform'!F:F,"")</f>
        <v/>
      </c>
      <c r="F668" t="str">
        <f>_xlfn.XLOOKUP(Table1[[#This Row],[Player]]&amp;Table1[[#This Row],[Week]]&amp;Table1[[#This Row],[Role]],'Google Form Transform'!$A:$A,'Google Form Transform'!G:G,"")</f>
        <v/>
      </c>
      <c r="G668" s="59">
        <f>SUMIFS(Table2[Stat],Table2[Stat Category],"passing",Table2[Stat Type],"YDS",Table2[Athlete],Table1[[#This Row],[Pick]],Table2[Week],Table1[[#This Row],[Week]])</f>
        <v>0</v>
      </c>
      <c r="H668" s="59">
        <f>SUMIFS(Table2[Stat],Table2[Stat Category],"rushing",Table2[Stat Type],"YDS",Table2[Athlete],Table1[[#This Row],[Pick]],Table2[Week],Table1[[#This Row],[Week]])</f>
        <v>0</v>
      </c>
      <c r="I668" s="59">
        <f>SUMIFS(Table2[Stat],Table2[Stat Category],"receiving",Table2[Stat Type],"YDS",Table2[Athlete],Table1[[#This Row],[Pick]],Table2[Week],Table1[[#This Row],[Week]])</f>
        <v>0</v>
      </c>
      <c r="J668" s="6">
        <f>IF(AND($C668="Rushing", $H668&lt;=0), 0, IF(AND($C668="Passing", $G$3&lt;=0), 0,IF(AND($C668="Receiving",$I668&lt;=0), 0,SUMIFS(Table2[Stat],Table2[Week],Table1[[#This Row],[Week]],Table2[Athlete],Table1[[#This Row],[Pick]],Table2[Stat Category],"passing",Table2[Stat Type],"TD"))))</f>
        <v>0</v>
      </c>
      <c r="K668" s="6">
        <f>IF(AND($C668="Rushing", $H668&lt;=0), 0, IF(AND($C668="Passing", $G$3&lt;=0), 0,IF(AND($C668="Receiving",$I668&lt;=0),0,SUMIFS(Table2[Stat],Table2[Week],Table1[[#This Row],[Week]],Table2[Athlete],Table1[[#This Row],[Pick]],Table2[Stat Category],"rushing",Table2[Stat Type],"TD"))))</f>
        <v>0</v>
      </c>
      <c r="L668" s="6">
        <f>IF(AND($C668="Rushing", $H668&lt;=0), 0, IF(AND($C668="Passing", $G$3&lt;=0), 0,IF(AND($C668="Receiving",$I668&lt;=0),0,SUMIFS(Table2[Stat],Table2[Week],Table1[[#This Row],[Week]],Table2[Athlete],Table1[[#This Row],[Pick]],Table2[Stat Category],"receiving",Table2[Stat Type],"TD"))))</f>
        <v>0</v>
      </c>
      <c r="M6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8" s="61">
        <f>SUMIFS(Data!$J:$J,Data!$A:$A,Info!$B668,Data!$G:$G,Info!$C668,Data!$I:$I,Info!$D668,Data!$H:$H,"TOT")</f>
        <v>0</v>
      </c>
      <c r="O668" s="61">
        <f>IF(C668="Defensive",SUMIFS(Data!$J:$J,Data!$A:$A,Info!$B668,Data!$I:$I,Info!$D668,Data!$H:$H,"INT"),0)</f>
        <v>0</v>
      </c>
      <c r="P668" s="61">
        <f>IF(Table1[[#This Row],[Role]]="Defensive",SUMIFS(Data!$J:$J,Data!$A:$A,Info!$B668,Data!$I:$I,Info!$D668,Data!$H:$H,$P$1),0)</f>
        <v>0</v>
      </c>
      <c r="Q668" s="65" t="str">
        <f>IF(Table1[[#This Row],[Pick]]="","",IF(S668&gt;1,400,IF(G668="","",IF(C668="Passing",(400-Table1[[#This Row],[Passing Yards]]-(30*Table1[[#This Row],[Passing TDs]])-(50*SUM(Table1[[#This Row],[Rushing TDs]:[Other TD''s]]))),IF(C668="Rushing",2*(200-Table1[[#This Row],[Rushing Yards]]-(30*Table1[[#This Row],[Passing TDs]])-50*(Table1[[#This Row],[Rushing TDs]]+Table1[[#This Row],[Receiving TDs]]+Table1[[#This Row],[Other TD''s]])),IF(C668="Receiving",2*(200-Table1[[#This Row],[Receiving Yards]]-(30*Table1[[#This Row],[Passing TDs]])-50*(Table1[[#This Row],[Rushing TDs]]+Table1[[#This Row],[Receiving TDs]]+Table1[[#This Row],[Other TD''s]])),IF(C668="Defensive",(25*(16-Table1[[#This Row],[Tackles]]-(8*(Table1[[#This Row],[Other TD''s]]+Table1[[#This Row],[Interceptions]]+Table1[[#This Row],[Fumbles Recovered]])))))))))))</f>
        <v/>
      </c>
      <c r="R668" s="3" t="str">
        <f t="shared" si="22"/>
        <v/>
      </c>
      <c r="S668" s="4">
        <f t="shared" si="21"/>
        <v>1048507</v>
      </c>
      <c r="T6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9" spans="1:20" hidden="1" x14ac:dyDescent="0.25">
      <c r="A669" t="s">
        <v>4</v>
      </c>
      <c r="B669" s="28" t="s">
        <v>54</v>
      </c>
      <c r="C669" t="s">
        <v>17</v>
      </c>
      <c r="D669" t="str">
        <f>_xlfn.XLOOKUP(Table1[[#This Row],[Player]]&amp;Table1[[#This Row],[Week]]&amp;Table1[[#This Row],[Role]],'Google Form Transform'!$A:$A,'Google Form Transform'!E:E,"")</f>
        <v/>
      </c>
      <c r="E669" t="str">
        <f>_xlfn.XLOOKUP(Table1[[#This Row],[Player]]&amp;Table1[[#This Row],[Week]]&amp;Table1[[#This Row],[Role]],'Google Form Transform'!$A:$A,'Google Form Transform'!F:F,"")</f>
        <v/>
      </c>
      <c r="F669" t="str">
        <f>_xlfn.XLOOKUP(Table1[[#This Row],[Player]]&amp;Table1[[#This Row],[Week]]&amp;Table1[[#This Row],[Role]],'Google Form Transform'!$A:$A,'Google Form Transform'!G:G,"")</f>
        <v/>
      </c>
      <c r="G669" s="59">
        <f>SUMIFS(Table2[Stat],Table2[Stat Category],"passing",Table2[Stat Type],"YDS",Table2[Athlete],Table1[[#This Row],[Pick]],Table2[Week],Table1[[#This Row],[Week]])</f>
        <v>0</v>
      </c>
      <c r="H669" s="59">
        <f>SUMIFS(Table2[Stat],Table2[Stat Category],"rushing",Table2[Stat Type],"YDS",Table2[Athlete],Table1[[#This Row],[Pick]],Table2[Week],Table1[[#This Row],[Week]])</f>
        <v>0</v>
      </c>
      <c r="I669" s="59">
        <f>SUMIFS(Table2[Stat],Table2[Stat Category],"receiving",Table2[Stat Type],"YDS",Table2[Athlete],Table1[[#This Row],[Pick]],Table2[Week],Table1[[#This Row],[Week]])</f>
        <v>0</v>
      </c>
      <c r="J669" s="6">
        <f>IF(AND($C669="Rushing", $H669&lt;=0), 0, IF(AND($C669="Passing", $G$3&lt;=0), 0,IF(AND($C669="Receiving",$I669&lt;=0), 0,SUMIFS(Table2[Stat],Table2[Week],Table1[[#This Row],[Week]],Table2[Athlete],Table1[[#This Row],[Pick]],Table2[Stat Category],"passing",Table2[Stat Type],"TD"))))</f>
        <v>0</v>
      </c>
      <c r="K669" s="6">
        <f>IF(AND($C669="Rushing", $H669&lt;=0), 0, IF(AND($C669="Passing", $G$3&lt;=0), 0,IF(AND($C669="Receiving",$I669&lt;=0),0,SUMIFS(Table2[Stat],Table2[Week],Table1[[#This Row],[Week]],Table2[Athlete],Table1[[#This Row],[Pick]],Table2[Stat Category],"rushing",Table2[Stat Type],"TD"))))</f>
        <v>0</v>
      </c>
      <c r="L669" s="6">
        <f>IF(AND($C669="Rushing", $H669&lt;=0), 0, IF(AND($C669="Passing", $G$3&lt;=0), 0,IF(AND($C669="Receiving",$I669&lt;=0),0,SUMIFS(Table2[Stat],Table2[Week],Table1[[#This Row],[Week]],Table2[Athlete],Table1[[#This Row],[Pick]],Table2[Stat Category],"receiving",Table2[Stat Type],"TD"))))</f>
        <v>0</v>
      </c>
      <c r="M6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9" s="61">
        <f>SUMIFS(Data!$J:$J,Data!$A:$A,Info!$B669,Data!$G:$G,Info!$C669,Data!$I:$I,Info!$D669,Data!$H:$H,"TOT")</f>
        <v>0</v>
      </c>
      <c r="O669" s="61">
        <f>IF(C669="Defensive",SUMIFS(Data!$J:$J,Data!$A:$A,Info!$B669,Data!$I:$I,Info!$D669,Data!$H:$H,"INT"),0)</f>
        <v>0</v>
      </c>
      <c r="P669" s="61">
        <f>IF(Table1[[#This Row],[Role]]="Defensive",SUMIFS(Data!$J:$J,Data!$A:$A,Info!$B669,Data!$I:$I,Info!$D669,Data!$H:$H,$P$1),0)</f>
        <v>0</v>
      </c>
      <c r="Q669" s="65" t="str">
        <f>IF(Table1[[#This Row],[Pick]]="","",IF(S669&gt;1,400,IF(G669="","",IF(C669="Passing",(400-Table1[[#This Row],[Passing Yards]]-(30*Table1[[#This Row],[Passing TDs]])-(50*SUM(Table1[[#This Row],[Rushing TDs]:[Other TD''s]]))),IF(C669="Rushing",2*(200-Table1[[#This Row],[Rushing Yards]]-(30*Table1[[#This Row],[Passing TDs]])-50*(Table1[[#This Row],[Rushing TDs]]+Table1[[#This Row],[Receiving TDs]]+Table1[[#This Row],[Other TD''s]])),IF(C669="Receiving",2*(200-Table1[[#This Row],[Receiving Yards]]-(30*Table1[[#This Row],[Passing TDs]])-50*(Table1[[#This Row],[Rushing TDs]]+Table1[[#This Row],[Receiving TDs]]+Table1[[#This Row],[Other TD''s]])),IF(C669="Defensive",(25*(16-Table1[[#This Row],[Tackles]]-(8*(Table1[[#This Row],[Other TD''s]]+Table1[[#This Row],[Interceptions]]+Table1[[#This Row],[Fumbles Recovered]])))))))))))</f>
        <v/>
      </c>
      <c r="R669" s="3" t="str">
        <f t="shared" si="22"/>
        <v/>
      </c>
      <c r="S669" s="4">
        <f t="shared" si="21"/>
        <v>1048507</v>
      </c>
      <c r="T6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0" spans="1:20" hidden="1" x14ac:dyDescent="0.25">
      <c r="A670" t="s">
        <v>4</v>
      </c>
      <c r="B670" s="28" t="s">
        <v>54</v>
      </c>
      <c r="C670" t="s">
        <v>20</v>
      </c>
      <c r="D670" t="str">
        <f>_xlfn.XLOOKUP(Table1[[#This Row],[Player]]&amp;Table1[[#This Row],[Week]]&amp;Table1[[#This Row],[Role]],'Google Form Transform'!$A:$A,'Google Form Transform'!E:E,"")</f>
        <v/>
      </c>
      <c r="E670" t="str">
        <f>_xlfn.XLOOKUP(Table1[[#This Row],[Player]]&amp;Table1[[#This Row],[Week]]&amp;Table1[[#This Row],[Role]],'Google Form Transform'!$A:$A,'Google Form Transform'!F:F,"")</f>
        <v/>
      </c>
      <c r="F670" t="str">
        <f>_xlfn.XLOOKUP(Table1[[#This Row],[Player]]&amp;Table1[[#This Row],[Week]]&amp;Table1[[#This Row],[Role]],'Google Form Transform'!$A:$A,'Google Form Transform'!G:G,"")</f>
        <v/>
      </c>
      <c r="G670" s="59">
        <f>SUMIFS(Table2[Stat],Table2[Stat Category],"passing",Table2[Stat Type],"YDS",Table2[Athlete],Table1[[#This Row],[Pick]],Table2[Week],Table1[[#This Row],[Week]])</f>
        <v>0</v>
      </c>
      <c r="H670" s="59">
        <f>SUMIFS(Table2[Stat],Table2[Stat Category],"rushing",Table2[Stat Type],"YDS",Table2[Athlete],Table1[[#This Row],[Pick]],Table2[Week],Table1[[#This Row],[Week]])</f>
        <v>0</v>
      </c>
      <c r="I670" s="59">
        <f>SUMIFS(Table2[Stat],Table2[Stat Category],"receiving",Table2[Stat Type],"YDS",Table2[Athlete],Table1[[#This Row],[Pick]],Table2[Week],Table1[[#This Row],[Week]])</f>
        <v>0</v>
      </c>
      <c r="J670" s="6">
        <f>IF(AND($C670="Rushing", $H670&lt;=0), 0, IF(AND($C670="Passing", $G$3&lt;=0), 0,IF(AND($C670="Receiving",$I670&lt;=0), 0,SUMIFS(Table2[Stat],Table2[Week],Table1[[#This Row],[Week]],Table2[Athlete],Table1[[#This Row],[Pick]],Table2[Stat Category],"passing",Table2[Stat Type],"TD"))))</f>
        <v>0</v>
      </c>
      <c r="K670" s="6">
        <f>IF(AND($C670="Rushing", $H670&lt;=0), 0, IF(AND($C670="Passing", $G$3&lt;=0), 0,IF(AND($C670="Receiving",$I670&lt;=0),0,SUMIFS(Table2[Stat],Table2[Week],Table1[[#This Row],[Week]],Table2[Athlete],Table1[[#This Row],[Pick]],Table2[Stat Category],"rushing",Table2[Stat Type],"TD"))))</f>
        <v>0</v>
      </c>
      <c r="L670" s="6">
        <f>IF(AND($C670="Rushing", $H670&lt;=0), 0, IF(AND($C670="Passing", $G$3&lt;=0), 0,IF(AND($C670="Receiving",$I670&lt;=0),0,SUMIFS(Table2[Stat],Table2[Week],Table1[[#This Row],[Week]],Table2[Athlete],Table1[[#This Row],[Pick]],Table2[Stat Category],"receiving",Table2[Stat Type],"TD"))))</f>
        <v>0</v>
      </c>
      <c r="M6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0" s="61">
        <f>SUMIFS(Data!$J:$J,Data!$A:$A,Info!$B670,Data!$G:$G,Info!$C670,Data!$I:$I,Info!$D670,Data!$H:$H,"TOT")</f>
        <v>0</v>
      </c>
      <c r="O670" s="61">
        <f>IF(C670="Defensive",SUMIFS(Data!$J:$J,Data!$A:$A,Info!$B670,Data!$I:$I,Info!$D670,Data!$H:$H,"INT"),0)</f>
        <v>0</v>
      </c>
      <c r="P670" s="61">
        <f>IF(Table1[[#This Row],[Role]]="Defensive",SUMIFS(Data!$J:$J,Data!$A:$A,Info!$B670,Data!$I:$I,Info!$D670,Data!$H:$H,$P$1),0)</f>
        <v>0</v>
      </c>
      <c r="Q670" s="65" t="str">
        <f>IF(Table1[[#This Row],[Pick]]="","",IF(S670&gt;1,400,IF(G670="","",IF(C670="Passing",(400-Table1[[#This Row],[Passing Yards]]-(30*Table1[[#This Row],[Passing TDs]])-(50*SUM(Table1[[#This Row],[Rushing TDs]:[Other TD''s]]))),IF(C670="Rushing",2*(200-Table1[[#This Row],[Rushing Yards]]-(30*Table1[[#This Row],[Passing TDs]])-50*(Table1[[#This Row],[Rushing TDs]]+Table1[[#This Row],[Receiving TDs]]+Table1[[#This Row],[Other TD''s]])),IF(C670="Receiving",2*(200-Table1[[#This Row],[Receiving Yards]]-(30*Table1[[#This Row],[Passing TDs]])-50*(Table1[[#This Row],[Rushing TDs]]+Table1[[#This Row],[Receiving TDs]]+Table1[[#This Row],[Other TD''s]])),IF(C670="Defensive",(25*(16-Table1[[#This Row],[Tackles]]-(8*(Table1[[#This Row],[Other TD''s]]+Table1[[#This Row],[Interceptions]]+Table1[[#This Row],[Fumbles Recovered]])))))))))))</f>
        <v/>
      </c>
      <c r="R670" s="3" t="str">
        <f t="shared" si="22"/>
        <v/>
      </c>
      <c r="S670" s="4">
        <f t="shared" si="21"/>
        <v>1048507</v>
      </c>
      <c r="T6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1" spans="1:20" hidden="1" x14ac:dyDescent="0.25">
      <c r="A671" t="s">
        <v>79</v>
      </c>
      <c r="B671" s="28" t="s">
        <v>54</v>
      </c>
      <c r="C671" t="s">
        <v>16</v>
      </c>
      <c r="D671" t="str">
        <f>_xlfn.XLOOKUP(Table1[[#This Row],[Player]]&amp;Table1[[#This Row],[Week]]&amp;Table1[[#This Row],[Role]],'Google Form Transform'!$A:$A,'Google Form Transform'!E:E,"")</f>
        <v/>
      </c>
      <c r="E671" t="str">
        <f>_xlfn.XLOOKUP(Table1[[#This Row],[Player]]&amp;Table1[[#This Row],[Week]]&amp;Table1[[#This Row],[Role]],'Google Form Transform'!$A:$A,'Google Form Transform'!F:F,"")</f>
        <v/>
      </c>
      <c r="F671" t="str">
        <f>_xlfn.XLOOKUP(Table1[[#This Row],[Player]]&amp;Table1[[#This Row],[Week]]&amp;Table1[[#This Row],[Role]],'Google Form Transform'!$A:$A,'Google Form Transform'!G:G,"")</f>
        <v/>
      </c>
      <c r="G671" s="59">
        <f>SUMIFS(Table2[Stat],Table2[Stat Category],"passing",Table2[Stat Type],"YDS",Table2[Athlete],Table1[[#This Row],[Pick]],Table2[Week],Table1[[#This Row],[Week]])</f>
        <v>0</v>
      </c>
      <c r="H671" s="59">
        <f>SUMIFS(Table2[Stat],Table2[Stat Category],"rushing",Table2[Stat Type],"YDS",Table2[Athlete],Table1[[#This Row],[Pick]],Table2[Week],Table1[[#This Row],[Week]])</f>
        <v>0</v>
      </c>
      <c r="I671" s="59">
        <f>SUMIFS(Table2[Stat],Table2[Stat Category],"receiving",Table2[Stat Type],"YDS",Table2[Athlete],Table1[[#This Row],[Pick]],Table2[Week],Table1[[#This Row],[Week]])</f>
        <v>0</v>
      </c>
      <c r="J671" s="6">
        <f>IF(AND($C671="Rushing", $H671&lt;=0), 0, IF(AND($C671="Passing", $G$3&lt;=0), 0,IF(AND($C671="Receiving",$I671&lt;=0), 0,SUMIFS(Table2[Stat],Table2[Week],Table1[[#This Row],[Week]],Table2[Athlete],Table1[[#This Row],[Pick]],Table2[Stat Category],"passing",Table2[Stat Type],"TD"))))</f>
        <v>0</v>
      </c>
      <c r="K671" s="6">
        <f>IF(AND($C671="Rushing", $H671&lt;=0), 0, IF(AND($C671="Passing", $G$3&lt;=0), 0,IF(AND($C671="Receiving",$I671&lt;=0),0,SUMIFS(Table2[Stat],Table2[Week],Table1[[#This Row],[Week]],Table2[Athlete],Table1[[#This Row],[Pick]],Table2[Stat Category],"rushing",Table2[Stat Type],"TD"))))</f>
        <v>0</v>
      </c>
      <c r="L671" s="6">
        <f>IF(AND($C671="Rushing", $H671&lt;=0), 0, IF(AND($C671="Passing", $G$3&lt;=0), 0,IF(AND($C671="Receiving",$I671&lt;=0),0,SUMIFS(Table2[Stat],Table2[Week],Table1[[#This Row],[Week]],Table2[Athlete],Table1[[#This Row],[Pick]],Table2[Stat Category],"receiving",Table2[Stat Type],"TD"))))</f>
        <v>0</v>
      </c>
      <c r="M6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1" s="61">
        <f>SUMIFS(Data!$J:$J,Data!$A:$A,Info!$B671,Data!$G:$G,Info!$C671,Data!$I:$I,Info!$D671,Data!$H:$H,"TOT")</f>
        <v>0</v>
      </c>
      <c r="O671" s="61">
        <f>IF(C671="Defensive",SUMIFS(Data!$J:$J,Data!$A:$A,Info!$B671,Data!$I:$I,Info!$D671,Data!$H:$H,"INT"),0)</f>
        <v>0</v>
      </c>
      <c r="P671" s="61">
        <f>IF(Table1[[#This Row],[Role]]="Defensive",SUMIFS(Data!$J:$J,Data!$A:$A,Info!$B671,Data!$I:$I,Info!$D671,Data!$H:$H,$P$1),0)</f>
        <v>0</v>
      </c>
      <c r="Q671" s="65" t="str">
        <f>IF(Table1[[#This Row],[Pick]]="","",IF(S671&gt;1,400,IF(G671="","",IF(C671="Passing",(400-Table1[[#This Row],[Passing Yards]]-(30*Table1[[#This Row],[Passing TDs]])-(50*SUM(Table1[[#This Row],[Rushing TDs]:[Other TD''s]]))),IF(C671="Rushing",2*(200-Table1[[#This Row],[Rushing Yards]]-(30*Table1[[#This Row],[Passing TDs]])-50*(Table1[[#This Row],[Rushing TDs]]+Table1[[#This Row],[Receiving TDs]]+Table1[[#This Row],[Other TD''s]])),IF(C671="Receiving",2*(200-Table1[[#This Row],[Receiving Yards]]-(30*Table1[[#This Row],[Passing TDs]])-50*(Table1[[#This Row],[Rushing TDs]]+Table1[[#This Row],[Receiving TDs]]+Table1[[#This Row],[Other TD''s]])),IF(C671="Defensive",(25*(16-Table1[[#This Row],[Tackles]]-(8*(Table1[[#This Row],[Other TD''s]]+Table1[[#This Row],[Interceptions]]+Table1[[#This Row],[Fumbles Recovered]])))))))))))</f>
        <v/>
      </c>
      <c r="R671" s="3" t="str">
        <f t="shared" si="22"/>
        <v/>
      </c>
      <c r="S671" s="4">
        <f t="shared" si="21"/>
        <v>1048507</v>
      </c>
      <c r="T6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2" spans="1:20" hidden="1" x14ac:dyDescent="0.25">
      <c r="A672" t="s">
        <v>79</v>
      </c>
      <c r="B672" s="28" t="s">
        <v>54</v>
      </c>
      <c r="C672" t="s">
        <v>6</v>
      </c>
      <c r="D672" t="str">
        <f>_xlfn.XLOOKUP(Table1[[#This Row],[Player]]&amp;Table1[[#This Row],[Week]]&amp;Table1[[#This Row],[Role]],'Google Form Transform'!$A:$A,'Google Form Transform'!E:E,"")</f>
        <v/>
      </c>
      <c r="E672" t="str">
        <f>_xlfn.XLOOKUP(Table1[[#This Row],[Player]]&amp;Table1[[#This Row],[Week]]&amp;Table1[[#This Row],[Role]],'Google Form Transform'!$A:$A,'Google Form Transform'!F:F,"")</f>
        <v/>
      </c>
      <c r="F672" t="str">
        <f>_xlfn.XLOOKUP(Table1[[#This Row],[Player]]&amp;Table1[[#This Row],[Week]]&amp;Table1[[#This Row],[Role]],'Google Form Transform'!$A:$A,'Google Form Transform'!G:G,"")</f>
        <v/>
      </c>
      <c r="G672" s="59">
        <f>SUMIFS(Table2[Stat],Table2[Stat Category],"passing",Table2[Stat Type],"YDS",Table2[Athlete],Table1[[#This Row],[Pick]],Table2[Week],Table1[[#This Row],[Week]])</f>
        <v>0</v>
      </c>
      <c r="H672" s="59">
        <f>SUMIFS(Table2[Stat],Table2[Stat Category],"rushing",Table2[Stat Type],"YDS",Table2[Athlete],Table1[[#This Row],[Pick]],Table2[Week],Table1[[#This Row],[Week]])</f>
        <v>0</v>
      </c>
      <c r="I672" s="59">
        <f>SUMIFS(Table2[Stat],Table2[Stat Category],"receiving",Table2[Stat Type],"YDS",Table2[Athlete],Table1[[#This Row],[Pick]],Table2[Week],Table1[[#This Row],[Week]])</f>
        <v>0</v>
      </c>
      <c r="J672" s="6">
        <f>IF(AND($C672="Rushing", $H672&lt;=0), 0, IF(AND($C672="Passing", $G$3&lt;=0), 0,IF(AND($C672="Receiving",$I672&lt;=0), 0,SUMIFS(Table2[Stat],Table2[Week],Table1[[#This Row],[Week]],Table2[Athlete],Table1[[#This Row],[Pick]],Table2[Stat Category],"passing",Table2[Stat Type],"TD"))))</f>
        <v>0</v>
      </c>
      <c r="K672" s="6">
        <f>IF(AND($C672="Rushing", $H672&lt;=0), 0, IF(AND($C672="Passing", $G$3&lt;=0), 0,IF(AND($C672="Receiving",$I672&lt;=0),0,SUMIFS(Table2[Stat],Table2[Week],Table1[[#This Row],[Week]],Table2[Athlete],Table1[[#This Row],[Pick]],Table2[Stat Category],"rushing",Table2[Stat Type],"TD"))))</f>
        <v>0</v>
      </c>
      <c r="L672" s="6">
        <f>IF(AND($C672="Rushing", $H672&lt;=0), 0, IF(AND($C672="Passing", $G$3&lt;=0), 0,IF(AND($C672="Receiving",$I672&lt;=0),0,SUMIFS(Table2[Stat],Table2[Week],Table1[[#This Row],[Week]],Table2[Athlete],Table1[[#This Row],[Pick]],Table2[Stat Category],"receiving",Table2[Stat Type],"TD"))))</f>
        <v>0</v>
      </c>
      <c r="M6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2" s="61">
        <f>SUMIFS(Data!$J:$J,Data!$A:$A,Info!$B672,Data!$G:$G,Info!$C672,Data!$I:$I,Info!$D672,Data!$H:$H,"TOT")</f>
        <v>0</v>
      </c>
      <c r="O672" s="61">
        <f>IF(C672="Defensive",SUMIFS(Data!$J:$J,Data!$A:$A,Info!$B672,Data!$I:$I,Info!$D672,Data!$H:$H,"INT"),0)</f>
        <v>0</v>
      </c>
      <c r="P672" s="61">
        <f>IF(Table1[[#This Row],[Role]]="Defensive",SUMIFS(Data!$J:$J,Data!$A:$A,Info!$B672,Data!$I:$I,Info!$D672,Data!$H:$H,$P$1),0)</f>
        <v>0</v>
      </c>
      <c r="Q672" s="65" t="str">
        <f>IF(Table1[[#This Row],[Pick]]="","",IF(S672&gt;1,400,IF(G672="","",IF(C672="Passing",(400-Table1[[#This Row],[Passing Yards]]-(30*Table1[[#This Row],[Passing TDs]])-(50*SUM(Table1[[#This Row],[Rushing TDs]:[Other TD''s]]))),IF(C672="Rushing",2*(200-Table1[[#This Row],[Rushing Yards]]-(30*Table1[[#This Row],[Passing TDs]])-50*(Table1[[#This Row],[Rushing TDs]]+Table1[[#This Row],[Receiving TDs]]+Table1[[#This Row],[Other TD''s]])),IF(C672="Receiving",2*(200-Table1[[#This Row],[Receiving Yards]]-(30*Table1[[#This Row],[Passing TDs]])-50*(Table1[[#This Row],[Rushing TDs]]+Table1[[#This Row],[Receiving TDs]]+Table1[[#This Row],[Other TD''s]])),IF(C672="Defensive",(25*(16-Table1[[#This Row],[Tackles]]-(8*(Table1[[#This Row],[Other TD''s]]+Table1[[#This Row],[Interceptions]]+Table1[[#This Row],[Fumbles Recovered]])))))))))))</f>
        <v/>
      </c>
      <c r="R672" s="3" t="str">
        <f t="shared" si="22"/>
        <v/>
      </c>
      <c r="S672" s="4">
        <f t="shared" si="21"/>
        <v>1048507</v>
      </c>
      <c r="T6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3" spans="1:20" hidden="1" x14ac:dyDescent="0.25">
      <c r="A673" t="s">
        <v>79</v>
      </c>
      <c r="B673" s="28" t="s">
        <v>54</v>
      </c>
      <c r="C673" t="s">
        <v>17</v>
      </c>
      <c r="D673" t="str">
        <f>_xlfn.XLOOKUP(Table1[[#This Row],[Player]]&amp;Table1[[#This Row],[Week]]&amp;Table1[[#This Row],[Role]],'Google Form Transform'!$A:$A,'Google Form Transform'!E:E,"")</f>
        <v/>
      </c>
      <c r="E673" t="str">
        <f>_xlfn.XLOOKUP(Table1[[#This Row],[Player]]&amp;Table1[[#This Row],[Week]]&amp;Table1[[#This Row],[Role]],'Google Form Transform'!$A:$A,'Google Form Transform'!F:F,"")</f>
        <v/>
      </c>
      <c r="F673" t="str">
        <f>_xlfn.XLOOKUP(Table1[[#This Row],[Player]]&amp;Table1[[#This Row],[Week]]&amp;Table1[[#This Row],[Role]],'Google Form Transform'!$A:$A,'Google Form Transform'!G:G,"")</f>
        <v/>
      </c>
      <c r="G673" s="59">
        <f>SUMIFS(Table2[Stat],Table2[Stat Category],"passing",Table2[Stat Type],"YDS",Table2[Athlete],Table1[[#This Row],[Pick]],Table2[Week],Table1[[#This Row],[Week]])</f>
        <v>0</v>
      </c>
      <c r="H673" s="59">
        <f>SUMIFS(Table2[Stat],Table2[Stat Category],"rushing",Table2[Stat Type],"YDS",Table2[Athlete],Table1[[#This Row],[Pick]],Table2[Week],Table1[[#This Row],[Week]])</f>
        <v>0</v>
      </c>
      <c r="I673" s="59">
        <f>SUMIFS(Table2[Stat],Table2[Stat Category],"receiving",Table2[Stat Type],"YDS",Table2[Athlete],Table1[[#This Row],[Pick]],Table2[Week],Table1[[#This Row],[Week]])</f>
        <v>0</v>
      </c>
      <c r="J673" s="6">
        <f>IF(AND($C673="Rushing", $H673&lt;=0), 0, IF(AND($C673="Passing", $G$3&lt;=0), 0,IF(AND($C673="Receiving",$I673&lt;=0), 0,SUMIFS(Table2[Stat],Table2[Week],Table1[[#This Row],[Week]],Table2[Athlete],Table1[[#This Row],[Pick]],Table2[Stat Category],"passing",Table2[Stat Type],"TD"))))</f>
        <v>0</v>
      </c>
      <c r="K673" s="6">
        <f>IF(AND($C673="Rushing", $H673&lt;=0), 0, IF(AND($C673="Passing", $G$3&lt;=0), 0,IF(AND($C673="Receiving",$I673&lt;=0),0,SUMIFS(Table2[Stat],Table2[Week],Table1[[#This Row],[Week]],Table2[Athlete],Table1[[#This Row],[Pick]],Table2[Stat Category],"rushing",Table2[Stat Type],"TD"))))</f>
        <v>0</v>
      </c>
      <c r="L673" s="6">
        <f>IF(AND($C673="Rushing", $H673&lt;=0), 0, IF(AND($C673="Passing", $G$3&lt;=0), 0,IF(AND($C673="Receiving",$I673&lt;=0),0,SUMIFS(Table2[Stat],Table2[Week],Table1[[#This Row],[Week]],Table2[Athlete],Table1[[#This Row],[Pick]],Table2[Stat Category],"receiving",Table2[Stat Type],"TD"))))</f>
        <v>0</v>
      </c>
      <c r="M6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3" s="61">
        <f>SUMIFS(Data!$J:$J,Data!$A:$A,Info!$B673,Data!$G:$G,Info!$C673,Data!$I:$I,Info!$D673,Data!$H:$H,"TOT")</f>
        <v>0</v>
      </c>
      <c r="O673" s="61">
        <f>IF(C673="Defensive",SUMIFS(Data!$J:$J,Data!$A:$A,Info!$B673,Data!$I:$I,Info!$D673,Data!$H:$H,"INT"),0)</f>
        <v>0</v>
      </c>
      <c r="P673" s="61">
        <f>IF(Table1[[#This Row],[Role]]="Defensive",SUMIFS(Data!$J:$J,Data!$A:$A,Info!$B673,Data!$I:$I,Info!$D673,Data!$H:$H,$P$1),0)</f>
        <v>0</v>
      </c>
      <c r="Q673" s="65" t="str">
        <f>IF(Table1[[#This Row],[Pick]]="","",IF(S673&gt;1,400,IF(G673="","",IF(C673="Passing",(400-Table1[[#This Row],[Passing Yards]]-(30*Table1[[#This Row],[Passing TDs]])-(50*SUM(Table1[[#This Row],[Rushing TDs]:[Other TD''s]]))),IF(C673="Rushing",2*(200-Table1[[#This Row],[Rushing Yards]]-(30*Table1[[#This Row],[Passing TDs]])-50*(Table1[[#This Row],[Rushing TDs]]+Table1[[#This Row],[Receiving TDs]]+Table1[[#This Row],[Other TD''s]])),IF(C673="Receiving",2*(200-Table1[[#This Row],[Receiving Yards]]-(30*Table1[[#This Row],[Passing TDs]])-50*(Table1[[#This Row],[Rushing TDs]]+Table1[[#This Row],[Receiving TDs]]+Table1[[#This Row],[Other TD''s]])),IF(C673="Defensive",(25*(16-Table1[[#This Row],[Tackles]]-(8*(Table1[[#This Row],[Other TD''s]]+Table1[[#This Row],[Interceptions]]+Table1[[#This Row],[Fumbles Recovered]])))))))))))</f>
        <v/>
      </c>
      <c r="R673" s="3" t="str">
        <f t="shared" si="22"/>
        <v/>
      </c>
      <c r="S673" s="4">
        <f t="shared" si="21"/>
        <v>1048507</v>
      </c>
      <c r="T6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4" spans="1:20" hidden="1" x14ac:dyDescent="0.25">
      <c r="A674" t="s">
        <v>79</v>
      </c>
      <c r="B674" s="28" t="s">
        <v>54</v>
      </c>
      <c r="C674" t="s">
        <v>20</v>
      </c>
      <c r="D674" t="str">
        <f>_xlfn.XLOOKUP(Table1[[#This Row],[Player]]&amp;Table1[[#This Row],[Week]]&amp;Table1[[#This Row],[Role]],'Google Form Transform'!$A:$A,'Google Form Transform'!E:E,"")</f>
        <v/>
      </c>
      <c r="E674" t="str">
        <f>_xlfn.XLOOKUP(Table1[[#This Row],[Player]]&amp;Table1[[#This Row],[Week]]&amp;Table1[[#This Row],[Role]],'Google Form Transform'!$A:$A,'Google Form Transform'!F:F,"")</f>
        <v/>
      </c>
      <c r="F674" t="str">
        <f>_xlfn.XLOOKUP(Table1[[#This Row],[Player]]&amp;Table1[[#This Row],[Week]]&amp;Table1[[#This Row],[Role]],'Google Form Transform'!$A:$A,'Google Form Transform'!G:G,"")</f>
        <v/>
      </c>
      <c r="G674" s="59">
        <f>SUMIFS(Table2[Stat],Table2[Stat Category],"passing",Table2[Stat Type],"YDS",Table2[Athlete],Table1[[#This Row],[Pick]],Table2[Week],Table1[[#This Row],[Week]])</f>
        <v>0</v>
      </c>
      <c r="H674" s="59">
        <f>SUMIFS(Table2[Stat],Table2[Stat Category],"rushing",Table2[Stat Type],"YDS",Table2[Athlete],Table1[[#This Row],[Pick]],Table2[Week],Table1[[#This Row],[Week]])</f>
        <v>0</v>
      </c>
      <c r="I674" s="59">
        <f>SUMIFS(Table2[Stat],Table2[Stat Category],"receiving",Table2[Stat Type],"YDS",Table2[Athlete],Table1[[#This Row],[Pick]],Table2[Week],Table1[[#This Row],[Week]])</f>
        <v>0</v>
      </c>
      <c r="J674" s="6">
        <f>IF(AND($C674="Rushing", $H674&lt;=0), 0, IF(AND($C674="Passing", $G$3&lt;=0), 0,IF(AND($C674="Receiving",$I674&lt;=0), 0,SUMIFS(Table2[Stat],Table2[Week],Table1[[#This Row],[Week]],Table2[Athlete],Table1[[#This Row],[Pick]],Table2[Stat Category],"passing",Table2[Stat Type],"TD"))))</f>
        <v>0</v>
      </c>
      <c r="K674" s="6">
        <f>IF(AND($C674="Rushing", $H674&lt;=0), 0, IF(AND($C674="Passing", $G$3&lt;=0), 0,IF(AND($C674="Receiving",$I674&lt;=0),0,SUMIFS(Table2[Stat],Table2[Week],Table1[[#This Row],[Week]],Table2[Athlete],Table1[[#This Row],[Pick]],Table2[Stat Category],"rushing",Table2[Stat Type],"TD"))))</f>
        <v>0</v>
      </c>
      <c r="L674" s="6">
        <f>IF(AND($C674="Rushing", $H674&lt;=0), 0, IF(AND($C674="Passing", $G$3&lt;=0), 0,IF(AND($C674="Receiving",$I674&lt;=0),0,SUMIFS(Table2[Stat],Table2[Week],Table1[[#This Row],[Week]],Table2[Athlete],Table1[[#This Row],[Pick]],Table2[Stat Category],"receiving",Table2[Stat Type],"TD"))))</f>
        <v>0</v>
      </c>
      <c r="M6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4" s="61">
        <f>SUMIFS(Data!$J:$J,Data!$A:$A,Info!$B674,Data!$G:$G,Info!$C674,Data!$I:$I,Info!$D674,Data!$H:$H,"TOT")</f>
        <v>0</v>
      </c>
      <c r="O674" s="61">
        <f>IF(C674="Defensive",SUMIFS(Data!$J:$J,Data!$A:$A,Info!$B674,Data!$I:$I,Info!$D674,Data!$H:$H,"INT"),0)</f>
        <v>0</v>
      </c>
      <c r="P674" s="61">
        <f>IF(Table1[[#This Row],[Role]]="Defensive",SUMIFS(Data!$J:$J,Data!$A:$A,Info!$B674,Data!$I:$I,Info!$D674,Data!$H:$H,$P$1),0)</f>
        <v>0</v>
      </c>
      <c r="Q674" s="65" t="str">
        <f>IF(Table1[[#This Row],[Pick]]="","",IF(S674&gt;1,400,IF(G674="","",IF(C674="Passing",(400-Table1[[#This Row],[Passing Yards]]-(30*Table1[[#This Row],[Passing TDs]])-(50*SUM(Table1[[#This Row],[Rushing TDs]:[Other TD''s]]))),IF(C674="Rushing",2*(200-Table1[[#This Row],[Rushing Yards]]-(30*Table1[[#This Row],[Passing TDs]])-50*(Table1[[#This Row],[Rushing TDs]]+Table1[[#This Row],[Receiving TDs]]+Table1[[#This Row],[Other TD''s]])),IF(C674="Receiving",2*(200-Table1[[#This Row],[Receiving Yards]]-(30*Table1[[#This Row],[Passing TDs]])-50*(Table1[[#This Row],[Rushing TDs]]+Table1[[#This Row],[Receiving TDs]]+Table1[[#This Row],[Other TD''s]])),IF(C674="Defensive",(25*(16-Table1[[#This Row],[Tackles]]-(8*(Table1[[#This Row],[Other TD''s]]+Table1[[#This Row],[Interceptions]]+Table1[[#This Row],[Fumbles Recovered]])))))))))))</f>
        <v/>
      </c>
      <c r="R674" s="3" t="str">
        <f t="shared" si="22"/>
        <v/>
      </c>
      <c r="S674" s="4">
        <f t="shared" si="21"/>
        <v>1048507</v>
      </c>
      <c r="T6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5" spans="1:20" hidden="1" x14ac:dyDescent="0.25">
      <c r="A675" t="s">
        <v>58</v>
      </c>
      <c r="B675" s="28" t="s">
        <v>54</v>
      </c>
      <c r="C675" t="s">
        <v>16</v>
      </c>
      <c r="D675" t="str">
        <f>_xlfn.XLOOKUP(Table1[[#This Row],[Player]]&amp;Table1[[#This Row],[Week]]&amp;Table1[[#This Row],[Role]],'Google Form Transform'!$A:$A,'Google Form Transform'!E:E,"")</f>
        <v/>
      </c>
      <c r="E675" t="str">
        <f>_xlfn.XLOOKUP(Table1[[#This Row],[Player]]&amp;Table1[[#This Row],[Week]]&amp;Table1[[#This Row],[Role]],'Google Form Transform'!$A:$A,'Google Form Transform'!F:F,"")</f>
        <v/>
      </c>
      <c r="F675" t="str">
        <f>_xlfn.XLOOKUP(Table1[[#This Row],[Player]]&amp;Table1[[#This Row],[Week]]&amp;Table1[[#This Row],[Role]],'Google Form Transform'!$A:$A,'Google Form Transform'!G:G,"")</f>
        <v/>
      </c>
      <c r="G675" s="59">
        <f>SUMIFS(Table2[Stat],Table2[Stat Category],"passing",Table2[Stat Type],"YDS",Table2[Athlete],Table1[[#This Row],[Pick]],Table2[Week],Table1[[#This Row],[Week]])</f>
        <v>0</v>
      </c>
      <c r="H675" s="59">
        <f>SUMIFS(Table2[Stat],Table2[Stat Category],"rushing",Table2[Stat Type],"YDS",Table2[Athlete],Table1[[#This Row],[Pick]],Table2[Week],Table1[[#This Row],[Week]])</f>
        <v>0</v>
      </c>
      <c r="I675" s="59">
        <f>SUMIFS(Table2[Stat],Table2[Stat Category],"receiving",Table2[Stat Type],"YDS",Table2[Athlete],Table1[[#This Row],[Pick]],Table2[Week],Table1[[#This Row],[Week]])</f>
        <v>0</v>
      </c>
      <c r="J675" s="6">
        <f>IF(AND($C675="Rushing", $H675&lt;=0), 0, IF(AND($C675="Passing", $G$3&lt;=0), 0,IF(AND($C675="Receiving",$I675&lt;=0), 0,SUMIFS(Table2[Stat],Table2[Week],Table1[[#This Row],[Week]],Table2[Athlete],Table1[[#This Row],[Pick]],Table2[Stat Category],"passing",Table2[Stat Type],"TD"))))</f>
        <v>0</v>
      </c>
      <c r="K675" s="6">
        <f>IF(AND($C675="Rushing", $H675&lt;=0), 0, IF(AND($C675="Passing", $G$3&lt;=0), 0,IF(AND($C675="Receiving",$I675&lt;=0),0,SUMIFS(Table2[Stat],Table2[Week],Table1[[#This Row],[Week]],Table2[Athlete],Table1[[#This Row],[Pick]],Table2[Stat Category],"rushing",Table2[Stat Type],"TD"))))</f>
        <v>0</v>
      </c>
      <c r="L675" s="6">
        <f>IF(AND($C675="Rushing", $H675&lt;=0), 0, IF(AND($C675="Passing", $G$3&lt;=0), 0,IF(AND($C675="Receiving",$I675&lt;=0),0,SUMIFS(Table2[Stat],Table2[Week],Table1[[#This Row],[Week]],Table2[Athlete],Table1[[#This Row],[Pick]],Table2[Stat Category],"receiving",Table2[Stat Type],"TD"))))</f>
        <v>0</v>
      </c>
      <c r="M6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5" s="61">
        <f>SUMIFS(Data!$J:$J,Data!$A:$A,Info!$B675,Data!$G:$G,Info!$C675,Data!$I:$I,Info!$D675,Data!$H:$H,"TOT")</f>
        <v>0</v>
      </c>
      <c r="O675" s="61">
        <f>IF(C675="Defensive",SUMIFS(Data!$J:$J,Data!$A:$A,Info!$B675,Data!$I:$I,Info!$D675,Data!$H:$H,"INT"),0)</f>
        <v>0</v>
      </c>
      <c r="P675" s="61">
        <f>IF(Table1[[#This Row],[Role]]="Defensive",SUMIFS(Data!$J:$J,Data!$A:$A,Info!$B675,Data!$I:$I,Info!$D675,Data!$H:$H,$P$1),0)</f>
        <v>0</v>
      </c>
      <c r="Q675" s="65" t="str">
        <f>IF(Table1[[#This Row],[Pick]]="","",IF(S675&gt;1,400,IF(G675="","",IF(C675="Passing",(400-Table1[[#This Row],[Passing Yards]]-(30*Table1[[#This Row],[Passing TDs]])-(50*SUM(Table1[[#This Row],[Rushing TDs]:[Other TD''s]]))),IF(C675="Rushing",2*(200-Table1[[#This Row],[Rushing Yards]]-(30*Table1[[#This Row],[Passing TDs]])-50*(Table1[[#This Row],[Rushing TDs]]+Table1[[#This Row],[Receiving TDs]]+Table1[[#This Row],[Other TD''s]])),IF(C675="Receiving",2*(200-Table1[[#This Row],[Receiving Yards]]-(30*Table1[[#This Row],[Passing TDs]])-50*(Table1[[#This Row],[Rushing TDs]]+Table1[[#This Row],[Receiving TDs]]+Table1[[#This Row],[Other TD''s]])),IF(C675="Defensive",(25*(16-Table1[[#This Row],[Tackles]]-(8*(Table1[[#This Row],[Other TD''s]]+Table1[[#This Row],[Interceptions]]+Table1[[#This Row],[Fumbles Recovered]])))))))))))</f>
        <v/>
      </c>
      <c r="R675" s="3" t="str">
        <f t="shared" si="22"/>
        <v/>
      </c>
      <c r="S675" s="4">
        <f t="shared" si="21"/>
        <v>1048507</v>
      </c>
      <c r="T6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6" spans="1:20" hidden="1" x14ac:dyDescent="0.25">
      <c r="A676" t="s">
        <v>58</v>
      </c>
      <c r="B676" s="28" t="s">
        <v>54</v>
      </c>
      <c r="C676" t="s">
        <v>6</v>
      </c>
      <c r="D676" t="str">
        <f>_xlfn.XLOOKUP(Table1[[#This Row],[Player]]&amp;Table1[[#This Row],[Week]]&amp;Table1[[#This Row],[Role]],'Google Form Transform'!$A:$A,'Google Form Transform'!E:E,"")</f>
        <v/>
      </c>
      <c r="E676" t="str">
        <f>_xlfn.XLOOKUP(Table1[[#This Row],[Player]]&amp;Table1[[#This Row],[Week]]&amp;Table1[[#This Row],[Role]],'Google Form Transform'!$A:$A,'Google Form Transform'!F:F,"")</f>
        <v/>
      </c>
      <c r="F676" t="str">
        <f>_xlfn.XLOOKUP(Table1[[#This Row],[Player]]&amp;Table1[[#This Row],[Week]]&amp;Table1[[#This Row],[Role]],'Google Form Transform'!$A:$A,'Google Form Transform'!G:G,"")</f>
        <v/>
      </c>
      <c r="G676" s="59">
        <f>SUMIFS(Table2[Stat],Table2[Stat Category],"passing",Table2[Stat Type],"YDS",Table2[Athlete],Table1[[#This Row],[Pick]],Table2[Week],Table1[[#This Row],[Week]])</f>
        <v>0</v>
      </c>
      <c r="H676" s="59">
        <f>SUMIFS(Table2[Stat],Table2[Stat Category],"rushing",Table2[Stat Type],"YDS",Table2[Athlete],Table1[[#This Row],[Pick]],Table2[Week],Table1[[#This Row],[Week]])</f>
        <v>0</v>
      </c>
      <c r="I676" s="59">
        <f>SUMIFS(Table2[Stat],Table2[Stat Category],"receiving",Table2[Stat Type],"YDS",Table2[Athlete],Table1[[#This Row],[Pick]],Table2[Week],Table1[[#This Row],[Week]])</f>
        <v>0</v>
      </c>
      <c r="J676" s="6">
        <f>IF(AND($C676="Rushing", $H676&lt;=0), 0, IF(AND($C676="Passing", $G$3&lt;=0), 0,IF(AND($C676="Receiving",$I676&lt;=0), 0,SUMIFS(Table2[Stat],Table2[Week],Table1[[#This Row],[Week]],Table2[Athlete],Table1[[#This Row],[Pick]],Table2[Stat Category],"passing",Table2[Stat Type],"TD"))))</f>
        <v>0</v>
      </c>
      <c r="K676" s="6">
        <f>IF(AND($C676="Rushing", $H676&lt;=0), 0, IF(AND($C676="Passing", $G$3&lt;=0), 0,IF(AND($C676="Receiving",$I676&lt;=0),0,SUMIFS(Table2[Stat],Table2[Week],Table1[[#This Row],[Week]],Table2[Athlete],Table1[[#This Row],[Pick]],Table2[Stat Category],"rushing",Table2[Stat Type],"TD"))))</f>
        <v>0</v>
      </c>
      <c r="L676" s="6">
        <f>IF(AND($C676="Rushing", $H676&lt;=0), 0, IF(AND($C676="Passing", $G$3&lt;=0), 0,IF(AND($C676="Receiving",$I676&lt;=0),0,SUMIFS(Table2[Stat],Table2[Week],Table1[[#This Row],[Week]],Table2[Athlete],Table1[[#This Row],[Pick]],Table2[Stat Category],"receiving",Table2[Stat Type],"TD"))))</f>
        <v>0</v>
      </c>
      <c r="M6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6" s="61">
        <f>SUMIFS(Data!$J:$J,Data!$A:$A,Info!$B676,Data!$G:$G,Info!$C676,Data!$I:$I,Info!$D676,Data!$H:$H,"TOT")</f>
        <v>0</v>
      </c>
      <c r="O676" s="61">
        <f>IF(C676="Defensive",SUMIFS(Data!$J:$J,Data!$A:$A,Info!$B676,Data!$I:$I,Info!$D676,Data!$H:$H,"INT"),0)</f>
        <v>0</v>
      </c>
      <c r="P676" s="61">
        <f>IF(Table1[[#This Row],[Role]]="Defensive",SUMIFS(Data!$J:$J,Data!$A:$A,Info!$B676,Data!$I:$I,Info!$D676,Data!$H:$H,$P$1),0)</f>
        <v>0</v>
      </c>
      <c r="Q676" s="65" t="str">
        <f>IF(Table1[[#This Row],[Pick]]="","",IF(S676&gt;1,400,IF(G676="","",IF(C676="Passing",(400-Table1[[#This Row],[Passing Yards]]-(30*Table1[[#This Row],[Passing TDs]])-(50*SUM(Table1[[#This Row],[Rushing TDs]:[Other TD''s]]))),IF(C676="Rushing",2*(200-Table1[[#This Row],[Rushing Yards]]-(30*Table1[[#This Row],[Passing TDs]])-50*(Table1[[#This Row],[Rushing TDs]]+Table1[[#This Row],[Receiving TDs]]+Table1[[#This Row],[Other TD''s]])),IF(C676="Receiving",2*(200-Table1[[#This Row],[Receiving Yards]]-(30*Table1[[#This Row],[Passing TDs]])-50*(Table1[[#This Row],[Rushing TDs]]+Table1[[#This Row],[Receiving TDs]]+Table1[[#This Row],[Other TD''s]])),IF(C676="Defensive",(25*(16-Table1[[#This Row],[Tackles]]-(8*(Table1[[#This Row],[Other TD''s]]+Table1[[#This Row],[Interceptions]]+Table1[[#This Row],[Fumbles Recovered]])))))))))))</f>
        <v/>
      </c>
      <c r="R676" s="3" t="str">
        <f t="shared" si="22"/>
        <v/>
      </c>
      <c r="S676" s="4">
        <f t="shared" si="21"/>
        <v>1048507</v>
      </c>
      <c r="T6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7" spans="1:20" hidden="1" x14ac:dyDescent="0.25">
      <c r="A677" t="s">
        <v>58</v>
      </c>
      <c r="B677" s="28" t="s">
        <v>54</v>
      </c>
      <c r="C677" t="s">
        <v>17</v>
      </c>
      <c r="D677" t="str">
        <f>_xlfn.XLOOKUP(Table1[[#This Row],[Player]]&amp;Table1[[#This Row],[Week]]&amp;Table1[[#This Row],[Role]],'Google Form Transform'!$A:$A,'Google Form Transform'!E:E,"")</f>
        <v/>
      </c>
      <c r="E677" t="str">
        <f>_xlfn.XLOOKUP(Table1[[#This Row],[Player]]&amp;Table1[[#This Row],[Week]]&amp;Table1[[#This Row],[Role]],'Google Form Transform'!$A:$A,'Google Form Transform'!F:F,"")</f>
        <v/>
      </c>
      <c r="F677" t="str">
        <f>_xlfn.XLOOKUP(Table1[[#This Row],[Player]]&amp;Table1[[#This Row],[Week]]&amp;Table1[[#This Row],[Role]],'Google Form Transform'!$A:$A,'Google Form Transform'!G:G,"")</f>
        <v/>
      </c>
      <c r="G677" s="59">
        <f>SUMIFS(Table2[Stat],Table2[Stat Category],"passing",Table2[Stat Type],"YDS",Table2[Athlete],Table1[[#This Row],[Pick]],Table2[Week],Table1[[#This Row],[Week]])</f>
        <v>0</v>
      </c>
      <c r="H677" s="59">
        <f>SUMIFS(Table2[Stat],Table2[Stat Category],"rushing",Table2[Stat Type],"YDS",Table2[Athlete],Table1[[#This Row],[Pick]],Table2[Week],Table1[[#This Row],[Week]])</f>
        <v>0</v>
      </c>
      <c r="I677" s="59">
        <f>SUMIFS(Table2[Stat],Table2[Stat Category],"receiving",Table2[Stat Type],"YDS",Table2[Athlete],Table1[[#This Row],[Pick]],Table2[Week],Table1[[#This Row],[Week]])</f>
        <v>0</v>
      </c>
      <c r="J677" s="6">
        <f>IF(AND($C677="Rushing", $H677&lt;=0), 0, IF(AND($C677="Passing", $G$3&lt;=0), 0,IF(AND($C677="Receiving",$I677&lt;=0), 0,SUMIFS(Table2[Stat],Table2[Week],Table1[[#This Row],[Week]],Table2[Athlete],Table1[[#This Row],[Pick]],Table2[Stat Category],"passing",Table2[Stat Type],"TD"))))</f>
        <v>0</v>
      </c>
      <c r="K677" s="6">
        <f>IF(AND($C677="Rushing", $H677&lt;=0), 0, IF(AND($C677="Passing", $G$3&lt;=0), 0,IF(AND($C677="Receiving",$I677&lt;=0),0,SUMIFS(Table2[Stat],Table2[Week],Table1[[#This Row],[Week]],Table2[Athlete],Table1[[#This Row],[Pick]],Table2[Stat Category],"rushing",Table2[Stat Type],"TD"))))</f>
        <v>0</v>
      </c>
      <c r="L677" s="6">
        <f>IF(AND($C677="Rushing", $H677&lt;=0), 0, IF(AND($C677="Passing", $G$3&lt;=0), 0,IF(AND($C677="Receiving",$I677&lt;=0),0,SUMIFS(Table2[Stat],Table2[Week],Table1[[#This Row],[Week]],Table2[Athlete],Table1[[#This Row],[Pick]],Table2[Stat Category],"receiving",Table2[Stat Type],"TD"))))</f>
        <v>0</v>
      </c>
      <c r="M6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7" s="61">
        <f>SUMIFS(Data!$J:$J,Data!$A:$A,Info!$B677,Data!$G:$G,Info!$C677,Data!$I:$I,Info!$D677,Data!$H:$H,"TOT")</f>
        <v>0</v>
      </c>
      <c r="O677" s="61">
        <f>IF(C677="Defensive",SUMIFS(Data!$J:$J,Data!$A:$A,Info!$B677,Data!$I:$I,Info!$D677,Data!$H:$H,"INT"),0)</f>
        <v>0</v>
      </c>
      <c r="P677" s="61">
        <f>IF(Table1[[#This Row],[Role]]="Defensive",SUMIFS(Data!$J:$J,Data!$A:$A,Info!$B677,Data!$I:$I,Info!$D677,Data!$H:$H,$P$1),0)</f>
        <v>0</v>
      </c>
      <c r="Q677" s="65" t="str">
        <f>IF(Table1[[#This Row],[Pick]]="","",IF(S677&gt;1,400,IF(G677="","",IF(C677="Passing",(400-Table1[[#This Row],[Passing Yards]]-(30*Table1[[#This Row],[Passing TDs]])-(50*SUM(Table1[[#This Row],[Rushing TDs]:[Other TD''s]]))),IF(C677="Rushing",2*(200-Table1[[#This Row],[Rushing Yards]]-(30*Table1[[#This Row],[Passing TDs]])-50*(Table1[[#This Row],[Rushing TDs]]+Table1[[#This Row],[Receiving TDs]]+Table1[[#This Row],[Other TD''s]])),IF(C677="Receiving",2*(200-Table1[[#This Row],[Receiving Yards]]-(30*Table1[[#This Row],[Passing TDs]])-50*(Table1[[#This Row],[Rushing TDs]]+Table1[[#This Row],[Receiving TDs]]+Table1[[#This Row],[Other TD''s]])),IF(C677="Defensive",(25*(16-Table1[[#This Row],[Tackles]]-(8*(Table1[[#This Row],[Other TD''s]]+Table1[[#This Row],[Interceptions]]+Table1[[#This Row],[Fumbles Recovered]])))))))))))</f>
        <v/>
      </c>
      <c r="R677" s="3" t="str">
        <f t="shared" si="22"/>
        <v/>
      </c>
      <c r="S677" s="4">
        <f t="shared" si="21"/>
        <v>1048507</v>
      </c>
      <c r="T6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8" spans="1:20" hidden="1" x14ac:dyDescent="0.25">
      <c r="A678" t="s">
        <v>58</v>
      </c>
      <c r="B678" s="28" t="s">
        <v>54</v>
      </c>
      <c r="C678" t="s">
        <v>20</v>
      </c>
      <c r="D678" t="str">
        <f>_xlfn.XLOOKUP(Table1[[#This Row],[Player]]&amp;Table1[[#This Row],[Week]]&amp;Table1[[#This Row],[Role]],'Google Form Transform'!$A:$A,'Google Form Transform'!E:E,"")</f>
        <v/>
      </c>
      <c r="E678" t="str">
        <f>_xlfn.XLOOKUP(Table1[[#This Row],[Player]]&amp;Table1[[#This Row],[Week]]&amp;Table1[[#This Row],[Role]],'Google Form Transform'!$A:$A,'Google Form Transform'!F:F,"")</f>
        <v/>
      </c>
      <c r="F678" t="str">
        <f>_xlfn.XLOOKUP(Table1[[#This Row],[Player]]&amp;Table1[[#This Row],[Week]]&amp;Table1[[#This Row],[Role]],'Google Form Transform'!$A:$A,'Google Form Transform'!G:G,"")</f>
        <v/>
      </c>
      <c r="G678" s="59">
        <f>SUMIFS(Table2[Stat],Table2[Stat Category],"passing",Table2[Stat Type],"YDS",Table2[Athlete],Table1[[#This Row],[Pick]],Table2[Week],Table1[[#This Row],[Week]])</f>
        <v>0</v>
      </c>
      <c r="H678" s="59">
        <f>SUMIFS(Table2[Stat],Table2[Stat Category],"rushing",Table2[Stat Type],"YDS",Table2[Athlete],Table1[[#This Row],[Pick]],Table2[Week],Table1[[#This Row],[Week]])</f>
        <v>0</v>
      </c>
      <c r="I678" s="59">
        <f>SUMIFS(Table2[Stat],Table2[Stat Category],"receiving",Table2[Stat Type],"YDS",Table2[Athlete],Table1[[#This Row],[Pick]],Table2[Week],Table1[[#This Row],[Week]])</f>
        <v>0</v>
      </c>
      <c r="J678" s="6">
        <f>IF(AND($C678="Rushing", $H678&lt;=0), 0, IF(AND($C678="Passing", $G$3&lt;=0), 0,IF(AND($C678="Receiving",$I678&lt;=0), 0,SUMIFS(Table2[Stat],Table2[Week],Table1[[#This Row],[Week]],Table2[Athlete],Table1[[#This Row],[Pick]],Table2[Stat Category],"passing",Table2[Stat Type],"TD"))))</f>
        <v>0</v>
      </c>
      <c r="K678" s="6">
        <f>IF(AND($C678="Rushing", $H678&lt;=0), 0, IF(AND($C678="Passing", $G$3&lt;=0), 0,IF(AND($C678="Receiving",$I678&lt;=0),0,SUMIFS(Table2[Stat],Table2[Week],Table1[[#This Row],[Week]],Table2[Athlete],Table1[[#This Row],[Pick]],Table2[Stat Category],"rushing",Table2[Stat Type],"TD"))))</f>
        <v>0</v>
      </c>
      <c r="L678" s="6">
        <f>IF(AND($C678="Rushing", $H678&lt;=0), 0, IF(AND($C678="Passing", $G$3&lt;=0), 0,IF(AND($C678="Receiving",$I678&lt;=0),0,SUMIFS(Table2[Stat],Table2[Week],Table1[[#This Row],[Week]],Table2[Athlete],Table1[[#This Row],[Pick]],Table2[Stat Category],"receiving",Table2[Stat Type],"TD"))))</f>
        <v>0</v>
      </c>
      <c r="M6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8" s="61">
        <f>SUMIFS(Data!$J:$J,Data!$A:$A,Info!$B678,Data!$G:$G,Info!$C678,Data!$I:$I,Info!$D678,Data!$H:$H,"TOT")</f>
        <v>0</v>
      </c>
      <c r="O678" s="61">
        <f>IF(C678="Defensive",SUMIFS(Data!$J:$J,Data!$A:$A,Info!$B678,Data!$I:$I,Info!$D678,Data!$H:$H,"INT"),0)</f>
        <v>0</v>
      </c>
      <c r="P678" s="61">
        <f>IF(Table1[[#This Row],[Role]]="Defensive",SUMIFS(Data!$J:$J,Data!$A:$A,Info!$B678,Data!$I:$I,Info!$D678,Data!$H:$H,$P$1),0)</f>
        <v>0</v>
      </c>
      <c r="Q678" s="65" t="str">
        <f>IF(Table1[[#This Row],[Pick]]="","",IF(S678&gt;1,400,IF(G678="","",IF(C678="Passing",(400-Table1[[#This Row],[Passing Yards]]-(30*Table1[[#This Row],[Passing TDs]])-(50*SUM(Table1[[#This Row],[Rushing TDs]:[Other TD''s]]))),IF(C678="Rushing",2*(200-Table1[[#This Row],[Rushing Yards]]-(30*Table1[[#This Row],[Passing TDs]])-50*(Table1[[#This Row],[Rushing TDs]]+Table1[[#This Row],[Receiving TDs]]+Table1[[#This Row],[Other TD''s]])),IF(C678="Receiving",2*(200-Table1[[#This Row],[Receiving Yards]]-(30*Table1[[#This Row],[Passing TDs]])-50*(Table1[[#This Row],[Rushing TDs]]+Table1[[#This Row],[Receiving TDs]]+Table1[[#This Row],[Other TD''s]])),IF(C678="Defensive",(25*(16-Table1[[#This Row],[Tackles]]-(8*(Table1[[#This Row],[Other TD''s]]+Table1[[#This Row],[Interceptions]]+Table1[[#This Row],[Fumbles Recovered]])))))))))))</f>
        <v/>
      </c>
      <c r="R678" s="3" t="str">
        <f t="shared" si="22"/>
        <v/>
      </c>
      <c r="S678" s="4">
        <f t="shared" si="21"/>
        <v>1048507</v>
      </c>
      <c r="T6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9" spans="1:20" hidden="1" x14ac:dyDescent="0.25">
      <c r="A679" t="s">
        <v>61</v>
      </c>
      <c r="B679" s="28" t="s">
        <v>54</v>
      </c>
      <c r="C679" t="s">
        <v>16</v>
      </c>
      <c r="D679" t="str">
        <f>_xlfn.XLOOKUP(Table1[[#This Row],[Player]]&amp;Table1[[#This Row],[Week]]&amp;Table1[[#This Row],[Role]],'Google Form Transform'!$A:$A,'Google Form Transform'!E:E,"")</f>
        <v/>
      </c>
      <c r="E679" t="str">
        <f>_xlfn.XLOOKUP(Table1[[#This Row],[Player]]&amp;Table1[[#This Row],[Week]]&amp;Table1[[#This Row],[Role]],'Google Form Transform'!$A:$A,'Google Form Transform'!F:F,"")</f>
        <v/>
      </c>
      <c r="F679" t="str">
        <f>_xlfn.XLOOKUP(Table1[[#This Row],[Player]]&amp;Table1[[#This Row],[Week]]&amp;Table1[[#This Row],[Role]],'Google Form Transform'!$A:$A,'Google Form Transform'!G:G,"")</f>
        <v/>
      </c>
      <c r="G679" s="59">
        <f>SUMIFS(Table2[Stat],Table2[Stat Category],"passing",Table2[Stat Type],"YDS",Table2[Athlete],Table1[[#This Row],[Pick]],Table2[Week],Table1[[#This Row],[Week]])</f>
        <v>0</v>
      </c>
      <c r="H679" s="59">
        <f>SUMIFS(Table2[Stat],Table2[Stat Category],"rushing",Table2[Stat Type],"YDS",Table2[Athlete],Table1[[#This Row],[Pick]],Table2[Week],Table1[[#This Row],[Week]])</f>
        <v>0</v>
      </c>
      <c r="I679" s="59">
        <f>SUMIFS(Table2[Stat],Table2[Stat Category],"receiving",Table2[Stat Type],"YDS",Table2[Athlete],Table1[[#This Row],[Pick]],Table2[Week],Table1[[#This Row],[Week]])</f>
        <v>0</v>
      </c>
      <c r="J679" s="6">
        <f>IF(AND($C679="Rushing", $H679&lt;=0), 0, IF(AND($C679="Passing", $G$3&lt;=0), 0,IF(AND($C679="Receiving",$I679&lt;=0), 0,SUMIFS(Table2[Stat],Table2[Week],Table1[[#This Row],[Week]],Table2[Athlete],Table1[[#This Row],[Pick]],Table2[Stat Category],"passing",Table2[Stat Type],"TD"))))</f>
        <v>0</v>
      </c>
      <c r="K679" s="6">
        <f>IF(AND($C679="Rushing", $H679&lt;=0), 0, IF(AND($C679="Passing", $G$3&lt;=0), 0,IF(AND($C679="Receiving",$I679&lt;=0),0,SUMIFS(Table2[Stat],Table2[Week],Table1[[#This Row],[Week]],Table2[Athlete],Table1[[#This Row],[Pick]],Table2[Stat Category],"rushing",Table2[Stat Type],"TD"))))</f>
        <v>0</v>
      </c>
      <c r="L679" s="6">
        <f>IF(AND($C679="Rushing", $H679&lt;=0), 0, IF(AND($C679="Passing", $G$3&lt;=0), 0,IF(AND($C679="Receiving",$I679&lt;=0),0,SUMIFS(Table2[Stat],Table2[Week],Table1[[#This Row],[Week]],Table2[Athlete],Table1[[#This Row],[Pick]],Table2[Stat Category],"receiving",Table2[Stat Type],"TD"))))</f>
        <v>0</v>
      </c>
      <c r="M6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9" s="61">
        <f>SUMIFS(Data!$J:$J,Data!$A:$A,Info!$B679,Data!$G:$G,Info!$C679,Data!$I:$I,Info!$D679,Data!$H:$H,"TOT")</f>
        <v>0</v>
      </c>
      <c r="O679" s="61">
        <f>IF(C679="Defensive",SUMIFS(Data!$J:$J,Data!$A:$A,Info!$B679,Data!$I:$I,Info!$D679,Data!$H:$H,"INT"),0)</f>
        <v>0</v>
      </c>
      <c r="P679" s="61">
        <f>IF(Table1[[#This Row],[Role]]="Defensive",SUMIFS(Data!$J:$J,Data!$A:$A,Info!$B679,Data!$I:$I,Info!$D679,Data!$H:$H,$P$1),0)</f>
        <v>0</v>
      </c>
      <c r="Q679" s="65" t="str">
        <f>IF(Table1[[#This Row],[Pick]]="","",IF(S679&gt;1,400,IF(G679="","",IF(C679="Passing",(400-Table1[[#This Row],[Passing Yards]]-(30*Table1[[#This Row],[Passing TDs]])-(50*SUM(Table1[[#This Row],[Rushing TDs]:[Other TD''s]]))),IF(C679="Rushing",2*(200-Table1[[#This Row],[Rushing Yards]]-(30*Table1[[#This Row],[Passing TDs]])-50*(Table1[[#This Row],[Rushing TDs]]+Table1[[#This Row],[Receiving TDs]]+Table1[[#This Row],[Other TD''s]])),IF(C679="Receiving",2*(200-Table1[[#This Row],[Receiving Yards]]-(30*Table1[[#This Row],[Passing TDs]])-50*(Table1[[#This Row],[Rushing TDs]]+Table1[[#This Row],[Receiving TDs]]+Table1[[#This Row],[Other TD''s]])),IF(C679="Defensive",(25*(16-Table1[[#This Row],[Tackles]]-(8*(Table1[[#This Row],[Other TD''s]]+Table1[[#This Row],[Interceptions]]+Table1[[#This Row],[Fumbles Recovered]])))))))))))</f>
        <v/>
      </c>
      <c r="R679" s="3" t="str">
        <f t="shared" si="22"/>
        <v/>
      </c>
      <c r="S679" s="4">
        <f t="shared" si="21"/>
        <v>1048507</v>
      </c>
      <c r="T6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0" spans="1:20" hidden="1" x14ac:dyDescent="0.25">
      <c r="A680" t="s">
        <v>61</v>
      </c>
      <c r="B680" s="28" t="s">
        <v>54</v>
      </c>
      <c r="C680" t="s">
        <v>6</v>
      </c>
      <c r="D680" t="str">
        <f>_xlfn.XLOOKUP(Table1[[#This Row],[Player]]&amp;Table1[[#This Row],[Week]]&amp;Table1[[#This Row],[Role]],'Google Form Transform'!$A:$A,'Google Form Transform'!E:E,"")</f>
        <v/>
      </c>
      <c r="E680" t="str">
        <f>_xlfn.XLOOKUP(Table1[[#This Row],[Player]]&amp;Table1[[#This Row],[Week]]&amp;Table1[[#This Row],[Role]],'Google Form Transform'!$A:$A,'Google Form Transform'!F:F,"")</f>
        <v/>
      </c>
      <c r="F680" t="str">
        <f>_xlfn.XLOOKUP(Table1[[#This Row],[Player]]&amp;Table1[[#This Row],[Week]]&amp;Table1[[#This Row],[Role]],'Google Form Transform'!$A:$A,'Google Form Transform'!G:G,"")</f>
        <v/>
      </c>
      <c r="G680" s="59">
        <f>SUMIFS(Table2[Stat],Table2[Stat Category],"passing",Table2[Stat Type],"YDS",Table2[Athlete],Table1[[#This Row],[Pick]],Table2[Week],Table1[[#This Row],[Week]])</f>
        <v>0</v>
      </c>
      <c r="H680" s="59">
        <f>SUMIFS(Table2[Stat],Table2[Stat Category],"rushing",Table2[Stat Type],"YDS",Table2[Athlete],Table1[[#This Row],[Pick]],Table2[Week],Table1[[#This Row],[Week]])</f>
        <v>0</v>
      </c>
      <c r="I680" s="59">
        <f>SUMIFS(Table2[Stat],Table2[Stat Category],"receiving",Table2[Stat Type],"YDS",Table2[Athlete],Table1[[#This Row],[Pick]],Table2[Week],Table1[[#This Row],[Week]])</f>
        <v>0</v>
      </c>
      <c r="J680" s="6">
        <f>IF(AND($C680="Rushing", $H680&lt;=0), 0, IF(AND($C680="Passing", $G$3&lt;=0), 0,IF(AND($C680="Receiving",$I680&lt;=0), 0,SUMIFS(Table2[Stat],Table2[Week],Table1[[#This Row],[Week]],Table2[Athlete],Table1[[#This Row],[Pick]],Table2[Stat Category],"passing",Table2[Stat Type],"TD"))))</f>
        <v>0</v>
      </c>
      <c r="K680" s="6">
        <f>IF(AND($C680="Rushing", $H680&lt;=0), 0, IF(AND($C680="Passing", $G$3&lt;=0), 0,IF(AND($C680="Receiving",$I680&lt;=0),0,SUMIFS(Table2[Stat],Table2[Week],Table1[[#This Row],[Week]],Table2[Athlete],Table1[[#This Row],[Pick]],Table2[Stat Category],"rushing",Table2[Stat Type],"TD"))))</f>
        <v>0</v>
      </c>
      <c r="L680" s="6">
        <f>IF(AND($C680="Rushing", $H680&lt;=0), 0, IF(AND($C680="Passing", $G$3&lt;=0), 0,IF(AND($C680="Receiving",$I680&lt;=0),0,SUMIFS(Table2[Stat],Table2[Week],Table1[[#This Row],[Week]],Table2[Athlete],Table1[[#This Row],[Pick]],Table2[Stat Category],"receiving",Table2[Stat Type],"TD"))))</f>
        <v>0</v>
      </c>
      <c r="M6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0" s="61">
        <f>SUMIFS(Data!$J:$J,Data!$A:$A,Info!$B680,Data!$G:$G,Info!$C680,Data!$I:$I,Info!$D680,Data!$H:$H,"TOT")</f>
        <v>0</v>
      </c>
      <c r="O680" s="61">
        <f>IF(C680="Defensive",SUMIFS(Data!$J:$J,Data!$A:$A,Info!$B680,Data!$I:$I,Info!$D680,Data!$H:$H,"INT"),0)</f>
        <v>0</v>
      </c>
      <c r="P680" s="61">
        <f>IF(Table1[[#This Row],[Role]]="Defensive",SUMIFS(Data!$J:$J,Data!$A:$A,Info!$B680,Data!$I:$I,Info!$D680,Data!$H:$H,$P$1),0)</f>
        <v>0</v>
      </c>
      <c r="Q680" s="65" t="str">
        <f>IF(Table1[[#This Row],[Pick]]="","",IF(S680&gt;1,400,IF(G680="","",IF(C680="Passing",(400-Table1[[#This Row],[Passing Yards]]-(30*Table1[[#This Row],[Passing TDs]])-(50*SUM(Table1[[#This Row],[Rushing TDs]:[Other TD''s]]))),IF(C680="Rushing",2*(200-Table1[[#This Row],[Rushing Yards]]-(30*Table1[[#This Row],[Passing TDs]])-50*(Table1[[#This Row],[Rushing TDs]]+Table1[[#This Row],[Receiving TDs]]+Table1[[#This Row],[Other TD''s]])),IF(C680="Receiving",2*(200-Table1[[#This Row],[Receiving Yards]]-(30*Table1[[#This Row],[Passing TDs]])-50*(Table1[[#This Row],[Rushing TDs]]+Table1[[#This Row],[Receiving TDs]]+Table1[[#This Row],[Other TD''s]])),IF(C680="Defensive",(25*(16-Table1[[#This Row],[Tackles]]-(8*(Table1[[#This Row],[Other TD''s]]+Table1[[#This Row],[Interceptions]]+Table1[[#This Row],[Fumbles Recovered]])))))))))))</f>
        <v/>
      </c>
      <c r="R680" s="3" t="str">
        <f t="shared" si="22"/>
        <v/>
      </c>
      <c r="S680" s="4">
        <f t="shared" si="21"/>
        <v>1048507</v>
      </c>
      <c r="T6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1" spans="1:20" hidden="1" x14ac:dyDescent="0.25">
      <c r="A681" t="s">
        <v>61</v>
      </c>
      <c r="B681" s="28" t="s">
        <v>54</v>
      </c>
      <c r="C681" t="s">
        <v>17</v>
      </c>
      <c r="D681" t="str">
        <f>_xlfn.XLOOKUP(Table1[[#This Row],[Player]]&amp;Table1[[#This Row],[Week]]&amp;Table1[[#This Row],[Role]],'Google Form Transform'!$A:$A,'Google Form Transform'!E:E,"")</f>
        <v/>
      </c>
      <c r="E681" t="str">
        <f>_xlfn.XLOOKUP(Table1[[#This Row],[Player]]&amp;Table1[[#This Row],[Week]]&amp;Table1[[#This Row],[Role]],'Google Form Transform'!$A:$A,'Google Form Transform'!F:F,"")</f>
        <v/>
      </c>
      <c r="F681" t="str">
        <f>_xlfn.XLOOKUP(Table1[[#This Row],[Player]]&amp;Table1[[#This Row],[Week]]&amp;Table1[[#This Row],[Role]],'Google Form Transform'!$A:$A,'Google Form Transform'!G:G,"")</f>
        <v/>
      </c>
      <c r="G681" s="59">
        <f>SUMIFS(Table2[Stat],Table2[Stat Category],"passing",Table2[Stat Type],"YDS",Table2[Athlete],Table1[[#This Row],[Pick]],Table2[Week],Table1[[#This Row],[Week]])</f>
        <v>0</v>
      </c>
      <c r="H681" s="59">
        <f>SUMIFS(Table2[Stat],Table2[Stat Category],"rushing",Table2[Stat Type],"YDS",Table2[Athlete],Table1[[#This Row],[Pick]],Table2[Week],Table1[[#This Row],[Week]])</f>
        <v>0</v>
      </c>
      <c r="I681" s="59">
        <f>SUMIFS(Table2[Stat],Table2[Stat Category],"receiving",Table2[Stat Type],"YDS",Table2[Athlete],Table1[[#This Row],[Pick]],Table2[Week],Table1[[#This Row],[Week]])</f>
        <v>0</v>
      </c>
      <c r="J681" s="6">
        <f>IF(AND($C681="Rushing", $H681&lt;=0), 0, IF(AND($C681="Passing", $G$3&lt;=0), 0,IF(AND($C681="Receiving",$I681&lt;=0), 0,SUMIFS(Table2[Stat],Table2[Week],Table1[[#This Row],[Week]],Table2[Athlete],Table1[[#This Row],[Pick]],Table2[Stat Category],"passing",Table2[Stat Type],"TD"))))</f>
        <v>0</v>
      </c>
      <c r="K681" s="6">
        <f>IF(AND($C681="Rushing", $H681&lt;=0), 0, IF(AND($C681="Passing", $G$3&lt;=0), 0,IF(AND($C681="Receiving",$I681&lt;=0),0,SUMIFS(Table2[Stat],Table2[Week],Table1[[#This Row],[Week]],Table2[Athlete],Table1[[#This Row],[Pick]],Table2[Stat Category],"rushing",Table2[Stat Type],"TD"))))</f>
        <v>0</v>
      </c>
      <c r="L681" s="6">
        <f>IF(AND($C681="Rushing", $H681&lt;=0), 0, IF(AND($C681="Passing", $G$3&lt;=0), 0,IF(AND($C681="Receiving",$I681&lt;=0),0,SUMIFS(Table2[Stat],Table2[Week],Table1[[#This Row],[Week]],Table2[Athlete],Table1[[#This Row],[Pick]],Table2[Stat Category],"receiving",Table2[Stat Type],"TD"))))</f>
        <v>0</v>
      </c>
      <c r="M6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1" s="61">
        <f>SUMIFS(Data!$J:$J,Data!$A:$A,Info!$B681,Data!$G:$G,Info!$C681,Data!$I:$I,Info!$D681,Data!$H:$H,"TOT")</f>
        <v>0</v>
      </c>
      <c r="O681" s="61">
        <f>IF(C681="Defensive",SUMIFS(Data!$J:$J,Data!$A:$A,Info!$B681,Data!$I:$I,Info!$D681,Data!$H:$H,"INT"),0)</f>
        <v>0</v>
      </c>
      <c r="P681" s="61">
        <f>IF(Table1[[#This Row],[Role]]="Defensive",SUMIFS(Data!$J:$J,Data!$A:$A,Info!$B681,Data!$I:$I,Info!$D681,Data!$H:$H,$P$1),0)</f>
        <v>0</v>
      </c>
      <c r="Q681" s="65" t="str">
        <f>IF(Table1[[#This Row],[Pick]]="","",IF(S681&gt;1,400,IF(G681="","",IF(C681="Passing",(400-Table1[[#This Row],[Passing Yards]]-(30*Table1[[#This Row],[Passing TDs]])-(50*SUM(Table1[[#This Row],[Rushing TDs]:[Other TD''s]]))),IF(C681="Rushing",2*(200-Table1[[#This Row],[Rushing Yards]]-(30*Table1[[#This Row],[Passing TDs]])-50*(Table1[[#This Row],[Rushing TDs]]+Table1[[#This Row],[Receiving TDs]]+Table1[[#This Row],[Other TD''s]])),IF(C681="Receiving",2*(200-Table1[[#This Row],[Receiving Yards]]-(30*Table1[[#This Row],[Passing TDs]])-50*(Table1[[#This Row],[Rushing TDs]]+Table1[[#This Row],[Receiving TDs]]+Table1[[#This Row],[Other TD''s]])),IF(C681="Defensive",(25*(16-Table1[[#This Row],[Tackles]]-(8*(Table1[[#This Row],[Other TD''s]]+Table1[[#This Row],[Interceptions]]+Table1[[#This Row],[Fumbles Recovered]])))))))))))</f>
        <v/>
      </c>
      <c r="R681" s="3" t="str">
        <f t="shared" si="22"/>
        <v/>
      </c>
      <c r="S681" s="4">
        <f t="shared" si="21"/>
        <v>1048507</v>
      </c>
      <c r="T6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2" spans="1:20" hidden="1" x14ac:dyDescent="0.25">
      <c r="A682" t="s">
        <v>61</v>
      </c>
      <c r="B682" s="28" t="s">
        <v>54</v>
      </c>
      <c r="C682" t="s">
        <v>20</v>
      </c>
      <c r="D682" t="str">
        <f>_xlfn.XLOOKUP(Table1[[#This Row],[Player]]&amp;Table1[[#This Row],[Week]]&amp;Table1[[#This Row],[Role]],'Google Form Transform'!$A:$A,'Google Form Transform'!E:E,"")</f>
        <v/>
      </c>
      <c r="E682" t="str">
        <f>_xlfn.XLOOKUP(Table1[[#This Row],[Player]]&amp;Table1[[#This Row],[Week]]&amp;Table1[[#This Row],[Role]],'Google Form Transform'!$A:$A,'Google Form Transform'!F:F,"")</f>
        <v/>
      </c>
      <c r="F682" t="str">
        <f>_xlfn.XLOOKUP(Table1[[#This Row],[Player]]&amp;Table1[[#This Row],[Week]]&amp;Table1[[#This Row],[Role]],'Google Form Transform'!$A:$A,'Google Form Transform'!G:G,"")</f>
        <v/>
      </c>
      <c r="G682" s="59">
        <f>SUMIFS(Table2[Stat],Table2[Stat Category],"passing",Table2[Stat Type],"YDS",Table2[Athlete],Table1[[#This Row],[Pick]],Table2[Week],Table1[[#This Row],[Week]])</f>
        <v>0</v>
      </c>
      <c r="H682" s="59">
        <f>SUMIFS(Table2[Stat],Table2[Stat Category],"rushing",Table2[Stat Type],"YDS",Table2[Athlete],Table1[[#This Row],[Pick]],Table2[Week],Table1[[#This Row],[Week]])</f>
        <v>0</v>
      </c>
      <c r="I682" s="59">
        <f>SUMIFS(Table2[Stat],Table2[Stat Category],"receiving",Table2[Stat Type],"YDS",Table2[Athlete],Table1[[#This Row],[Pick]],Table2[Week],Table1[[#This Row],[Week]])</f>
        <v>0</v>
      </c>
      <c r="J682" s="6">
        <f>IF(AND($C682="Rushing", $H682&lt;=0), 0, IF(AND($C682="Passing", $G$3&lt;=0), 0,IF(AND($C682="Receiving",$I682&lt;=0), 0,SUMIFS(Table2[Stat],Table2[Week],Table1[[#This Row],[Week]],Table2[Athlete],Table1[[#This Row],[Pick]],Table2[Stat Category],"passing",Table2[Stat Type],"TD"))))</f>
        <v>0</v>
      </c>
      <c r="K682" s="6">
        <f>IF(AND($C682="Rushing", $H682&lt;=0), 0, IF(AND($C682="Passing", $G$3&lt;=0), 0,IF(AND($C682="Receiving",$I682&lt;=0),0,SUMIFS(Table2[Stat],Table2[Week],Table1[[#This Row],[Week]],Table2[Athlete],Table1[[#This Row],[Pick]],Table2[Stat Category],"rushing",Table2[Stat Type],"TD"))))</f>
        <v>0</v>
      </c>
      <c r="L682" s="6">
        <f>IF(AND($C682="Rushing", $H682&lt;=0), 0, IF(AND($C682="Passing", $G$3&lt;=0), 0,IF(AND($C682="Receiving",$I682&lt;=0),0,SUMIFS(Table2[Stat],Table2[Week],Table1[[#This Row],[Week]],Table2[Athlete],Table1[[#This Row],[Pick]],Table2[Stat Category],"receiving",Table2[Stat Type],"TD"))))</f>
        <v>0</v>
      </c>
      <c r="M6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2" s="61">
        <f>SUMIFS(Data!$J:$J,Data!$A:$A,Info!$B682,Data!$G:$G,Info!$C682,Data!$I:$I,Info!$D682,Data!$H:$H,"TOT")</f>
        <v>0</v>
      </c>
      <c r="O682" s="61">
        <f>IF(C682="Defensive",SUMIFS(Data!$J:$J,Data!$A:$A,Info!$B682,Data!$I:$I,Info!$D682,Data!$H:$H,"INT"),0)</f>
        <v>0</v>
      </c>
      <c r="P682" s="61">
        <f>IF(Table1[[#This Row],[Role]]="Defensive",SUMIFS(Data!$J:$J,Data!$A:$A,Info!$B682,Data!$I:$I,Info!$D682,Data!$H:$H,$P$1),0)</f>
        <v>0</v>
      </c>
      <c r="Q682" s="65" t="str">
        <f>IF(Table1[[#This Row],[Pick]]="","",IF(S682&gt;1,400,IF(G682="","",IF(C682="Passing",(400-Table1[[#This Row],[Passing Yards]]-(30*Table1[[#This Row],[Passing TDs]])-(50*SUM(Table1[[#This Row],[Rushing TDs]:[Other TD''s]]))),IF(C682="Rushing",2*(200-Table1[[#This Row],[Rushing Yards]]-(30*Table1[[#This Row],[Passing TDs]])-50*(Table1[[#This Row],[Rushing TDs]]+Table1[[#This Row],[Receiving TDs]]+Table1[[#This Row],[Other TD''s]])),IF(C682="Receiving",2*(200-Table1[[#This Row],[Receiving Yards]]-(30*Table1[[#This Row],[Passing TDs]])-50*(Table1[[#This Row],[Rushing TDs]]+Table1[[#This Row],[Receiving TDs]]+Table1[[#This Row],[Other TD''s]])),IF(C682="Defensive",(25*(16-Table1[[#This Row],[Tackles]]-(8*(Table1[[#This Row],[Other TD''s]]+Table1[[#This Row],[Interceptions]]+Table1[[#This Row],[Fumbles Recovered]])))))))))))</f>
        <v/>
      </c>
      <c r="R682" s="3" t="str">
        <f t="shared" si="22"/>
        <v/>
      </c>
      <c r="S682" s="4">
        <f t="shared" si="21"/>
        <v>1048507</v>
      </c>
      <c r="T6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3" spans="1:20" hidden="1" x14ac:dyDescent="0.25">
      <c r="A683" t="s">
        <v>60</v>
      </c>
      <c r="B683" s="28" t="s">
        <v>54</v>
      </c>
      <c r="C683" t="s">
        <v>16</v>
      </c>
      <c r="D683" t="str">
        <f>_xlfn.XLOOKUP(Table1[[#This Row],[Player]]&amp;Table1[[#This Row],[Week]]&amp;Table1[[#This Row],[Role]],'Google Form Transform'!$A:$A,'Google Form Transform'!E:E,"")</f>
        <v/>
      </c>
      <c r="E683" t="str">
        <f>_xlfn.XLOOKUP(Table1[[#This Row],[Player]]&amp;Table1[[#This Row],[Week]]&amp;Table1[[#This Row],[Role]],'Google Form Transform'!$A:$A,'Google Form Transform'!F:F,"")</f>
        <v/>
      </c>
      <c r="F683" t="str">
        <f>_xlfn.XLOOKUP(Table1[[#This Row],[Player]]&amp;Table1[[#This Row],[Week]]&amp;Table1[[#This Row],[Role]],'Google Form Transform'!$A:$A,'Google Form Transform'!G:G,"")</f>
        <v/>
      </c>
      <c r="G683" s="59">
        <f>SUMIFS(Table2[Stat],Table2[Stat Category],"passing",Table2[Stat Type],"YDS",Table2[Athlete],Table1[[#This Row],[Pick]],Table2[Week],Table1[[#This Row],[Week]])</f>
        <v>0</v>
      </c>
      <c r="H683" s="59">
        <f>SUMIFS(Table2[Stat],Table2[Stat Category],"rushing",Table2[Stat Type],"YDS",Table2[Athlete],Table1[[#This Row],[Pick]],Table2[Week],Table1[[#This Row],[Week]])</f>
        <v>0</v>
      </c>
      <c r="I683" s="59">
        <f>SUMIFS(Table2[Stat],Table2[Stat Category],"receiving",Table2[Stat Type],"YDS",Table2[Athlete],Table1[[#This Row],[Pick]],Table2[Week],Table1[[#This Row],[Week]])</f>
        <v>0</v>
      </c>
      <c r="J683" s="6">
        <f>IF(AND($C683="Rushing", $H683&lt;=0), 0, IF(AND($C683="Passing", $G$3&lt;=0), 0,IF(AND($C683="Receiving",$I683&lt;=0), 0,SUMIFS(Table2[Stat],Table2[Week],Table1[[#This Row],[Week]],Table2[Athlete],Table1[[#This Row],[Pick]],Table2[Stat Category],"passing",Table2[Stat Type],"TD"))))</f>
        <v>0</v>
      </c>
      <c r="K683" s="6">
        <f>IF(AND($C683="Rushing", $H683&lt;=0), 0, IF(AND($C683="Passing", $G$3&lt;=0), 0,IF(AND($C683="Receiving",$I683&lt;=0),0,SUMIFS(Table2[Stat],Table2[Week],Table1[[#This Row],[Week]],Table2[Athlete],Table1[[#This Row],[Pick]],Table2[Stat Category],"rushing",Table2[Stat Type],"TD"))))</f>
        <v>0</v>
      </c>
      <c r="L683" s="6">
        <f>IF(AND($C683="Rushing", $H683&lt;=0), 0, IF(AND($C683="Passing", $G$3&lt;=0), 0,IF(AND($C683="Receiving",$I683&lt;=0),0,SUMIFS(Table2[Stat],Table2[Week],Table1[[#This Row],[Week]],Table2[Athlete],Table1[[#This Row],[Pick]],Table2[Stat Category],"receiving",Table2[Stat Type],"TD"))))</f>
        <v>0</v>
      </c>
      <c r="M6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3" s="61">
        <f>SUMIFS(Data!$J:$J,Data!$A:$A,Info!$B683,Data!$G:$G,Info!$C683,Data!$I:$I,Info!$D683,Data!$H:$H,"TOT")</f>
        <v>0</v>
      </c>
      <c r="O683" s="61">
        <f>IF(C683="Defensive",SUMIFS(Data!$J:$J,Data!$A:$A,Info!$B683,Data!$I:$I,Info!$D683,Data!$H:$H,"INT"),0)</f>
        <v>0</v>
      </c>
      <c r="P683" s="61">
        <f>IF(Table1[[#This Row],[Role]]="Defensive",SUMIFS(Data!$J:$J,Data!$A:$A,Info!$B683,Data!$I:$I,Info!$D683,Data!$H:$H,$P$1),0)</f>
        <v>0</v>
      </c>
      <c r="Q683" s="65" t="str">
        <f>IF(Table1[[#This Row],[Pick]]="","",IF(S683&gt;1,400,IF(G683="","",IF(C683="Passing",(400-Table1[[#This Row],[Passing Yards]]-(30*Table1[[#This Row],[Passing TDs]])-(50*SUM(Table1[[#This Row],[Rushing TDs]:[Other TD''s]]))),IF(C683="Rushing",2*(200-Table1[[#This Row],[Rushing Yards]]-(30*Table1[[#This Row],[Passing TDs]])-50*(Table1[[#This Row],[Rushing TDs]]+Table1[[#This Row],[Receiving TDs]]+Table1[[#This Row],[Other TD''s]])),IF(C683="Receiving",2*(200-Table1[[#This Row],[Receiving Yards]]-(30*Table1[[#This Row],[Passing TDs]])-50*(Table1[[#This Row],[Rushing TDs]]+Table1[[#This Row],[Receiving TDs]]+Table1[[#This Row],[Other TD''s]])),IF(C683="Defensive",(25*(16-Table1[[#This Row],[Tackles]]-(8*(Table1[[#This Row],[Other TD''s]]+Table1[[#This Row],[Interceptions]]+Table1[[#This Row],[Fumbles Recovered]])))))))))))</f>
        <v/>
      </c>
      <c r="R683" s="3" t="str">
        <f t="shared" si="22"/>
        <v/>
      </c>
      <c r="S683" s="4">
        <f t="shared" si="21"/>
        <v>1048507</v>
      </c>
      <c r="T6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4" spans="1:20" hidden="1" x14ac:dyDescent="0.25">
      <c r="A684" t="s">
        <v>60</v>
      </c>
      <c r="B684" s="28" t="s">
        <v>54</v>
      </c>
      <c r="C684" t="s">
        <v>6</v>
      </c>
      <c r="D684" t="str">
        <f>_xlfn.XLOOKUP(Table1[[#This Row],[Player]]&amp;Table1[[#This Row],[Week]]&amp;Table1[[#This Row],[Role]],'Google Form Transform'!$A:$A,'Google Form Transform'!E:E,"")</f>
        <v/>
      </c>
      <c r="E684" t="str">
        <f>_xlfn.XLOOKUP(Table1[[#This Row],[Player]]&amp;Table1[[#This Row],[Week]]&amp;Table1[[#This Row],[Role]],'Google Form Transform'!$A:$A,'Google Form Transform'!F:F,"")</f>
        <v/>
      </c>
      <c r="F684" t="str">
        <f>_xlfn.XLOOKUP(Table1[[#This Row],[Player]]&amp;Table1[[#This Row],[Week]]&amp;Table1[[#This Row],[Role]],'Google Form Transform'!$A:$A,'Google Form Transform'!G:G,"")</f>
        <v/>
      </c>
      <c r="G684" s="59">
        <f>SUMIFS(Table2[Stat],Table2[Stat Category],"passing",Table2[Stat Type],"YDS",Table2[Athlete],Table1[[#This Row],[Pick]],Table2[Week],Table1[[#This Row],[Week]])</f>
        <v>0</v>
      </c>
      <c r="H684" s="59">
        <f>SUMIFS(Table2[Stat],Table2[Stat Category],"rushing",Table2[Stat Type],"YDS",Table2[Athlete],Table1[[#This Row],[Pick]],Table2[Week],Table1[[#This Row],[Week]])</f>
        <v>0</v>
      </c>
      <c r="I684" s="59">
        <f>SUMIFS(Table2[Stat],Table2[Stat Category],"receiving",Table2[Stat Type],"YDS",Table2[Athlete],Table1[[#This Row],[Pick]],Table2[Week],Table1[[#This Row],[Week]])</f>
        <v>0</v>
      </c>
      <c r="J684" s="6">
        <f>IF(AND($C684="Rushing", $H684&lt;=0), 0, IF(AND($C684="Passing", $G$3&lt;=0), 0,IF(AND($C684="Receiving",$I684&lt;=0), 0,SUMIFS(Table2[Stat],Table2[Week],Table1[[#This Row],[Week]],Table2[Athlete],Table1[[#This Row],[Pick]],Table2[Stat Category],"passing",Table2[Stat Type],"TD"))))</f>
        <v>0</v>
      </c>
      <c r="K684" s="6">
        <f>IF(AND($C684="Rushing", $H684&lt;=0), 0, IF(AND($C684="Passing", $G$3&lt;=0), 0,IF(AND($C684="Receiving",$I684&lt;=0),0,SUMIFS(Table2[Stat],Table2[Week],Table1[[#This Row],[Week]],Table2[Athlete],Table1[[#This Row],[Pick]],Table2[Stat Category],"rushing",Table2[Stat Type],"TD"))))</f>
        <v>0</v>
      </c>
      <c r="L684" s="6">
        <f>IF(AND($C684="Rushing", $H684&lt;=0), 0, IF(AND($C684="Passing", $G$3&lt;=0), 0,IF(AND($C684="Receiving",$I684&lt;=0),0,SUMIFS(Table2[Stat],Table2[Week],Table1[[#This Row],[Week]],Table2[Athlete],Table1[[#This Row],[Pick]],Table2[Stat Category],"receiving",Table2[Stat Type],"TD"))))</f>
        <v>0</v>
      </c>
      <c r="M6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4" s="61">
        <f>SUMIFS(Data!$J:$J,Data!$A:$A,Info!$B684,Data!$G:$G,Info!$C684,Data!$I:$I,Info!$D684,Data!$H:$H,"TOT")</f>
        <v>0</v>
      </c>
      <c r="O684" s="61">
        <f>IF(C684="Defensive",SUMIFS(Data!$J:$J,Data!$A:$A,Info!$B684,Data!$I:$I,Info!$D684,Data!$H:$H,"INT"),0)</f>
        <v>0</v>
      </c>
      <c r="P684" s="61">
        <f>IF(Table1[[#This Row],[Role]]="Defensive",SUMIFS(Data!$J:$J,Data!$A:$A,Info!$B684,Data!$I:$I,Info!$D684,Data!$H:$H,$P$1),0)</f>
        <v>0</v>
      </c>
      <c r="Q684" s="65" t="str">
        <f>IF(Table1[[#This Row],[Pick]]="","",IF(S684&gt;1,400,IF(G684="","",IF(C684="Passing",(400-Table1[[#This Row],[Passing Yards]]-(30*Table1[[#This Row],[Passing TDs]])-(50*SUM(Table1[[#This Row],[Rushing TDs]:[Other TD''s]]))),IF(C684="Rushing",2*(200-Table1[[#This Row],[Rushing Yards]]-(30*Table1[[#This Row],[Passing TDs]])-50*(Table1[[#This Row],[Rushing TDs]]+Table1[[#This Row],[Receiving TDs]]+Table1[[#This Row],[Other TD''s]])),IF(C684="Receiving",2*(200-Table1[[#This Row],[Receiving Yards]]-(30*Table1[[#This Row],[Passing TDs]])-50*(Table1[[#This Row],[Rushing TDs]]+Table1[[#This Row],[Receiving TDs]]+Table1[[#This Row],[Other TD''s]])),IF(C684="Defensive",(25*(16-Table1[[#This Row],[Tackles]]-(8*(Table1[[#This Row],[Other TD''s]]+Table1[[#This Row],[Interceptions]]+Table1[[#This Row],[Fumbles Recovered]])))))))))))</f>
        <v/>
      </c>
      <c r="R684" s="3" t="str">
        <f t="shared" si="22"/>
        <v/>
      </c>
      <c r="S684" s="4">
        <f t="shared" si="21"/>
        <v>1048507</v>
      </c>
      <c r="T6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5" spans="1:20" hidden="1" x14ac:dyDescent="0.25">
      <c r="A685" t="s">
        <v>60</v>
      </c>
      <c r="B685" s="28" t="s">
        <v>54</v>
      </c>
      <c r="C685" t="s">
        <v>17</v>
      </c>
      <c r="D685" t="str">
        <f>_xlfn.XLOOKUP(Table1[[#This Row],[Player]]&amp;Table1[[#This Row],[Week]]&amp;Table1[[#This Row],[Role]],'Google Form Transform'!$A:$A,'Google Form Transform'!E:E,"")</f>
        <v/>
      </c>
      <c r="E685" t="str">
        <f>_xlfn.XLOOKUP(Table1[[#This Row],[Player]]&amp;Table1[[#This Row],[Week]]&amp;Table1[[#This Row],[Role]],'Google Form Transform'!$A:$A,'Google Form Transform'!F:F,"")</f>
        <v/>
      </c>
      <c r="F685" t="str">
        <f>_xlfn.XLOOKUP(Table1[[#This Row],[Player]]&amp;Table1[[#This Row],[Week]]&amp;Table1[[#This Row],[Role]],'Google Form Transform'!$A:$A,'Google Form Transform'!G:G,"")</f>
        <v/>
      </c>
      <c r="G685" s="59">
        <f>SUMIFS(Table2[Stat],Table2[Stat Category],"passing",Table2[Stat Type],"YDS",Table2[Athlete],Table1[[#This Row],[Pick]],Table2[Week],Table1[[#This Row],[Week]])</f>
        <v>0</v>
      </c>
      <c r="H685" s="59">
        <f>SUMIFS(Table2[Stat],Table2[Stat Category],"rushing",Table2[Stat Type],"YDS",Table2[Athlete],Table1[[#This Row],[Pick]],Table2[Week],Table1[[#This Row],[Week]])</f>
        <v>0</v>
      </c>
      <c r="I685" s="59">
        <f>SUMIFS(Table2[Stat],Table2[Stat Category],"receiving",Table2[Stat Type],"YDS",Table2[Athlete],Table1[[#This Row],[Pick]],Table2[Week],Table1[[#This Row],[Week]])</f>
        <v>0</v>
      </c>
      <c r="J685" s="6">
        <f>IF(AND($C685="Rushing", $H685&lt;=0), 0, IF(AND($C685="Passing", $G$3&lt;=0), 0,IF(AND($C685="Receiving",$I685&lt;=0), 0,SUMIFS(Table2[Stat],Table2[Week],Table1[[#This Row],[Week]],Table2[Athlete],Table1[[#This Row],[Pick]],Table2[Stat Category],"passing",Table2[Stat Type],"TD"))))</f>
        <v>0</v>
      </c>
      <c r="K685" s="6">
        <f>IF(AND($C685="Rushing", $H685&lt;=0), 0, IF(AND($C685="Passing", $G$3&lt;=0), 0,IF(AND($C685="Receiving",$I685&lt;=0),0,SUMIFS(Table2[Stat],Table2[Week],Table1[[#This Row],[Week]],Table2[Athlete],Table1[[#This Row],[Pick]],Table2[Stat Category],"rushing",Table2[Stat Type],"TD"))))</f>
        <v>0</v>
      </c>
      <c r="L685" s="6">
        <f>IF(AND($C685="Rushing", $H685&lt;=0), 0, IF(AND($C685="Passing", $G$3&lt;=0), 0,IF(AND($C685="Receiving",$I685&lt;=0),0,SUMIFS(Table2[Stat],Table2[Week],Table1[[#This Row],[Week]],Table2[Athlete],Table1[[#This Row],[Pick]],Table2[Stat Category],"receiving",Table2[Stat Type],"TD"))))</f>
        <v>0</v>
      </c>
      <c r="M6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5" s="61">
        <f>SUMIFS(Data!$J:$J,Data!$A:$A,Info!$B685,Data!$G:$G,Info!$C685,Data!$I:$I,Info!$D685,Data!$H:$H,"TOT")</f>
        <v>0</v>
      </c>
      <c r="O685" s="61">
        <f>IF(C685="Defensive",SUMIFS(Data!$J:$J,Data!$A:$A,Info!$B685,Data!$I:$I,Info!$D685,Data!$H:$H,"INT"),0)</f>
        <v>0</v>
      </c>
      <c r="P685" s="61">
        <f>IF(Table1[[#This Row],[Role]]="Defensive",SUMIFS(Data!$J:$J,Data!$A:$A,Info!$B685,Data!$I:$I,Info!$D685,Data!$H:$H,$P$1),0)</f>
        <v>0</v>
      </c>
      <c r="Q685" s="65" t="str">
        <f>IF(Table1[[#This Row],[Pick]]="","",IF(S685&gt;1,400,IF(G685="","",IF(C685="Passing",(400-Table1[[#This Row],[Passing Yards]]-(30*Table1[[#This Row],[Passing TDs]])-(50*SUM(Table1[[#This Row],[Rushing TDs]:[Other TD''s]]))),IF(C685="Rushing",2*(200-Table1[[#This Row],[Rushing Yards]]-(30*Table1[[#This Row],[Passing TDs]])-50*(Table1[[#This Row],[Rushing TDs]]+Table1[[#This Row],[Receiving TDs]]+Table1[[#This Row],[Other TD''s]])),IF(C685="Receiving",2*(200-Table1[[#This Row],[Receiving Yards]]-(30*Table1[[#This Row],[Passing TDs]])-50*(Table1[[#This Row],[Rushing TDs]]+Table1[[#This Row],[Receiving TDs]]+Table1[[#This Row],[Other TD''s]])),IF(C685="Defensive",(25*(16-Table1[[#This Row],[Tackles]]-(8*(Table1[[#This Row],[Other TD''s]]+Table1[[#This Row],[Interceptions]]+Table1[[#This Row],[Fumbles Recovered]])))))))))))</f>
        <v/>
      </c>
      <c r="R685" s="3" t="str">
        <f t="shared" si="22"/>
        <v/>
      </c>
      <c r="S685" s="4">
        <f t="shared" si="21"/>
        <v>1048507</v>
      </c>
      <c r="T6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6" spans="1:20" hidden="1" x14ac:dyDescent="0.25">
      <c r="A686" t="s">
        <v>60</v>
      </c>
      <c r="B686" s="28" t="s">
        <v>54</v>
      </c>
      <c r="C686" t="s">
        <v>20</v>
      </c>
      <c r="D686" t="str">
        <f>_xlfn.XLOOKUP(Table1[[#This Row],[Player]]&amp;Table1[[#This Row],[Week]]&amp;Table1[[#This Row],[Role]],'Google Form Transform'!$A:$A,'Google Form Transform'!E:E,"")</f>
        <v/>
      </c>
      <c r="E686" t="str">
        <f>_xlfn.XLOOKUP(Table1[[#This Row],[Player]]&amp;Table1[[#This Row],[Week]]&amp;Table1[[#This Row],[Role]],'Google Form Transform'!$A:$A,'Google Form Transform'!F:F,"")</f>
        <v/>
      </c>
      <c r="F686" t="str">
        <f>_xlfn.XLOOKUP(Table1[[#This Row],[Player]]&amp;Table1[[#This Row],[Week]]&amp;Table1[[#This Row],[Role]],'Google Form Transform'!$A:$A,'Google Form Transform'!G:G,"")</f>
        <v/>
      </c>
      <c r="G686" s="59">
        <f>SUMIFS(Table2[Stat],Table2[Stat Category],"passing",Table2[Stat Type],"YDS",Table2[Athlete],Table1[[#This Row],[Pick]],Table2[Week],Table1[[#This Row],[Week]])</f>
        <v>0</v>
      </c>
      <c r="H686" s="59">
        <f>SUMIFS(Table2[Stat],Table2[Stat Category],"rushing",Table2[Stat Type],"YDS",Table2[Athlete],Table1[[#This Row],[Pick]],Table2[Week],Table1[[#This Row],[Week]])</f>
        <v>0</v>
      </c>
      <c r="I686" s="59">
        <f>SUMIFS(Table2[Stat],Table2[Stat Category],"receiving",Table2[Stat Type],"YDS",Table2[Athlete],Table1[[#This Row],[Pick]],Table2[Week],Table1[[#This Row],[Week]])</f>
        <v>0</v>
      </c>
      <c r="J686" s="6">
        <f>IF(AND($C686="Rushing", $H686&lt;=0), 0, IF(AND($C686="Passing", $G$3&lt;=0), 0,IF(AND($C686="Receiving",$I686&lt;=0), 0,SUMIFS(Table2[Stat],Table2[Week],Table1[[#This Row],[Week]],Table2[Athlete],Table1[[#This Row],[Pick]],Table2[Stat Category],"passing",Table2[Stat Type],"TD"))))</f>
        <v>0</v>
      </c>
      <c r="K686" s="6">
        <f>IF(AND($C686="Rushing", $H686&lt;=0), 0, IF(AND($C686="Passing", $G$3&lt;=0), 0,IF(AND($C686="Receiving",$I686&lt;=0),0,SUMIFS(Table2[Stat],Table2[Week],Table1[[#This Row],[Week]],Table2[Athlete],Table1[[#This Row],[Pick]],Table2[Stat Category],"rushing",Table2[Stat Type],"TD"))))</f>
        <v>0</v>
      </c>
      <c r="L686" s="6">
        <f>IF(AND($C686="Rushing", $H686&lt;=0), 0, IF(AND($C686="Passing", $G$3&lt;=0), 0,IF(AND($C686="Receiving",$I686&lt;=0),0,SUMIFS(Table2[Stat],Table2[Week],Table1[[#This Row],[Week]],Table2[Athlete],Table1[[#This Row],[Pick]],Table2[Stat Category],"receiving",Table2[Stat Type],"TD"))))</f>
        <v>0</v>
      </c>
      <c r="M6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6" s="61">
        <f>SUMIFS(Data!$J:$J,Data!$A:$A,Info!$B686,Data!$G:$G,Info!$C686,Data!$I:$I,Info!$D686,Data!$H:$H,"TOT")</f>
        <v>0</v>
      </c>
      <c r="O686" s="61">
        <f>IF(C686="Defensive",SUMIFS(Data!$J:$J,Data!$A:$A,Info!$B686,Data!$I:$I,Info!$D686,Data!$H:$H,"INT"),0)</f>
        <v>0</v>
      </c>
      <c r="P686" s="61">
        <f>IF(Table1[[#This Row],[Role]]="Defensive",SUMIFS(Data!$J:$J,Data!$A:$A,Info!$B686,Data!$I:$I,Info!$D686,Data!$H:$H,$P$1),0)</f>
        <v>0</v>
      </c>
      <c r="Q686" s="65" t="str">
        <f>IF(Table1[[#This Row],[Pick]]="","",IF(S686&gt;1,400,IF(G686="","",IF(C686="Passing",(400-Table1[[#This Row],[Passing Yards]]-(30*Table1[[#This Row],[Passing TDs]])-(50*SUM(Table1[[#This Row],[Rushing TDs]:[Other TD''s]]))),IF(C686="Rushing",2*(200-Table1[[#This Row],[Rushing Yards]]-(30*Table1[[#This Row],[Passing TDs]])-50*(Table1[[#This Row],[Rushing TDs]]+Table1[[#This Row],[Receiving TDs]]+Table1[[#This Row],[Other TD''s]])),IF(C686="Receiving",2*(200-Table1[[#This Row],[Receiving Yards]]-(30*Table1[[#This Row],[Passing TDs]])-50*(Table1[[#This Row],[Rushing TDs]]+Table1[[#This Row],[Receiving TDs]]+Table1[[#This Row],[Other TD''s]])),IF(C686="Defensive",(25*(16-Table1[[#This Row],[Tackles]]-(8*(Table1[[#This Row],[Other TD''s]]+Table1[[#This Row],[Interceptions]]+Table1[[#This Row],[Fumbles Recovered]])))))))))))</f>
        <v/>
      </c>
      <c r="R686" s="3" t="str">
        <f t="shared" si="22"/>
        <v/>
      </c>
      <c r="S686" s="4">
        <f t="shared" si="21"/>
        <v>1048507</v>
      </c>
      <c r="T6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7" spans="1:20" hidden="1" x14ac:dyDescent="0.25">
      <c r="A687" t="s">
        <v>62</v>
      </c>
      <c r="B687" s="28" t="s">
        <v>54</v>
      </c>
      <c r="C687" t="s">
        <v>16</v>
      </c>
      <c r="D687" t="str">
        <f>_xlfn.XLOOKUP(Table1[[#This Row],[Player]]&amp;Table1[[#This Row],[Week]]&amp;Table1[[#This Row],[Role]],'Google Form Transform'!$A:$A,'Google Form Transform'!E:E,"")</f>
        <v/>
      </c>
      <c r="E687" t="str">
        <f>_xlfn.XLOOKUP(Table1[[#This Row],[Player]]&amp;Table1[[#This Row],[Week]]&amp;Table1[[#This Row],[Role]],'Google Form Transform'!$A:$A,'Google Form Transform'!F:F,"")</f>
        <v/>
      </c>
      <c r="F687" t="str">
        <f>_xlfn.XLOOKUP(Table1[[#This Row],[Player]]&amp;Table1[[#This Row],[Week]]&amp;Table1[[#This Row],[Role]],'Google Form Transform'!$A:$A,'Google Form Transform'!G:G,"")</f>
        <v/>
      </c>
      <c r="G687" s="59">
        <f>SUMIFS(Table2[Stat],Table2[Stat Category],"passing",Table2[Stat Type],"YDS",Table2[Athlete],Table1[[#This Row],[Pick]],Table2[Week],Table1[[#This Row],[Week]])</f>
        <v>0</v>
      </c>
      <c r="H687" s="59">
        <f>SUMIFS(Table2[Stat],Table2[Stat Category],"rushing",Table2[Stat Type],"YDS",Table2[Athlete],Table1[[#This Row],[Pick]],Table2[Week],Table1[[#This Row],[Week]])</f>
        <v>0</v>
      </c>
      <c r="I687" s="59">
        <f>SUMIFS(Table2[Stat],Table2[Stat Category],"receiving",Table2[Stat Type],"YDS",Table2[Athlete],Table1[[#This Row],[Pick]],Table2[Week],Table1[[#This Row],[Week]])</f>
        <v>0</v>
      </c>
      <c r="J687" s="6">
        <f>IF(AND($C687="Rushing", $H687&lt;=0), 0, IF(AND($C687="Passing", $G$3&lt;=0), 0,IF(AND($C687="Receiving",$I687&lt;=0), 0,SUMIFS(Table2[Stat],Table2[Week],Table1[[#This Row],[Week]],Table2[Athlete],Table1[[#This Row],[Pick]],Table2[Stat Category],"passing",Table2[Stat Type],"TD"))))</f>
        <v>0</v>
      </c>
      <c r="K687" s="6">
        <f>IF(AND($C687="Rushing", $H687&lt;=0), 0, IF(AND($C687="Passing", $G$3&lt;=0), 0,IF(AND($C687="Receiving",$I687&lt;=0),0,SUMIFS(Table2[Stat],Table2[Week],Table1[[#This Row],[Week]],Table2[Athlete],Table1[[#This Row],[Pick]],Table2[Stat Category],"rushing",Table2[Stat Type],"TD"))))</f>
        <v>0</v>
      </c>
      <c r="L687" s="6">
        <f>IF(AND($C687="Rushing", $H687&lt;=0), 0, IF(AND($C687="Passing", $G$3&lt;=0), 0,IF(AND($C687="Receiving",$I687&lt;=0),0,SUMIFS(Table2[Stat],Table2[Week],Table1[[#This Row],[Week]],Table2[Athlete],Table1[[#This Row],[Pick]],Table2[Stat Category],"receiving",Table2[Stat Type],"TD"))))</f>
        <v>0</v>
      </c>
      <c r="M6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7" s="61">
        <f>SUMIFS(Data!$J:$J,Data!$A:$A,Info!$B687,Data!$G:$G,Info!$C687,Data!$I:$I,Info!$D687,Data!$H:$H,"TOT")</f>
        <v>0</v>
      </c>
      <c r="O687" s="61">
        <f>IF(C687="Defensive",SUMIFS(Data!$J:$J,Data!$A:$A,Info!$B687,Data!$I:$I,Info!$D687,Data!$H:$H,"INT"),0)</f>
        <v>0</v>
      </c>
      <c r="P687" s="61">
        <f>IF(Table1[[#This Row],[Role]]="Defensive",SUMIFS(Data!$J:$J,Data!$A:$A,Info!$B687,Data!$I:$I,Info!$D687,Data!$H:$H,$P$1),0)</f>
        <v>0</v>
      </c>
      <c r="Q687" s="65" t="str">
        <f>IF(Table1[[#This Row],[Pick]]="","",IF(S687&gt;1,400,IF(G687="","",IF(C687="Passing",(400-Table1[[#This Row],[Passing Yards]]-(30*Table1[[#This Row],[Passing TDs]])-(50*SUM(Table1[[#This Row],[Rushing TDs]:[Other TD''s]]))),IF(C687="Rushing",2*(200-Table1[[#This Row],[Rushing Yards]]-(30*Table1[[#This Row],[Passing TDs]])-50*(Table1[[#This Row],[Rushing TDs]]+Table1[[#This Row],[Receiving TDs]]+Table1[[#This Row],[Other TD''s]])),IF(C687="Receiving",2*(200-Table1[[#This Row],[Receiving Yards]]-(30*Table1[[#This Row],[Passing TDs]])-50*(Table1[[#This Row],[Rushing TDs]]+Table1[[#This Row],[Receiving TDs]]+Table1[[#This Row],[Other TD''s]])),IF(C687="Defensive",(25*(16-Table1[[#This Row],[Tackles]]-(8*(Table1[[#This Row],[Other TD''s]]+Table1[[#This Row],[Interceptions]]+Table1[[#This Row],[Fumbles Recovered]])))))))))))</f>
        <v/>
      </c>
      <c r="R687" s="3" t="str">
        <f t="shared" si="22"/>
        <v/>
      </c>
      <c r="S687" s="4">
        <f t="shared" si="21"/>
        <v>1048507</v>
      </c>
      <c r="T6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8" spans="1:20" hidden="1" x14ac:dyDescent="0.25">
      <c r="A688" t="s">
        <v>62</v>
      </c>
      <c r="B688" s="28" t="s">
        <v>54</v>
      </c>
      <c r="C688" t="s">
        <v>6</v>
      </c>
      <c r="D688" t="str">
        <f>_xlfn.XLOOKUP(Table1[[#This Row],[Player]]&amp;Table1[[#This Row],[Week]]&amp;Table1[[#This Row],[Role]],'Google Form Transform'!$A:$A,'Google Form Transform'!E:E,"")</f>
        <v/>
      </c>
      <c r="E688" t="str">
        <f>_xlfn.XLOOKUP(Table1[[#This Row],[Player]]&amp;Table1[[#This Row],[Week]]&amp;Table1[[#This Row],[Role]],'Google Form Transform'!$A:$A,'Google Form Transform'!F:F,"")</f>
        <v/>
      </c>
      <c r="F688" t="str">
        <f>_xlfn.XLOOKUP(Table1[[#This Row],[Player]]&amp;Table1[[#This Row],[Week]]&amp;Table1[[#This Row],[Role]],'Google Form Transform'!$A:$A,'Google Form Transform'!G:G,"")</f>
        <v/>
      </c>
      <c r="G688" s="59">
        <f>SUMIFS(Table2[Stat],Table2[Stat Category],"passing",Table2[Stat Type],"YDS",Table2[Athlete],Table1[[#This Row],[Pick]],Table2[Week],Table1[[#This Row],[Week]])</f>
        <v>0</v>
      </c>
      <c r="H688" s="59">
        <f>SUMIFS(Table2[Stat],Table2[Stat Category],"rushing",Table2[Stat Type],"YDS",Table2[Athlete],Table1[[#This Row],[Pick]],Table2[Week],Table1[[#This Row],[Week]])</f>
        <v>0</v>
      </c>
      <c r="I688" s="59">
        <f>SUMIFS(Table2[Stat],Table2[Stat Category],"receiving",Table2[Stat Type],"YDS",Table2[Athlete],Table1[[#This Row],[Pick]],Table2[Week],Table1[[#This Row],[Week]])</f>
        <v>0</v>
      </c>
      <c r="J688" s="6">
        <f>IF(AND($C688="Rushing", $H688&lt;=0), 0, IF(AND($C688="Passing", $G$3&lt;=0), 0,IF(AND($C688="Receiving",$I688&lt;=0), 0,SUMIFS(Table2[Stat],Table2[Week],Table1[[#This Row],[Week]],Table2[Athlete],Table1[[#This Row],[Pick]],Table2[Stat Category],"passing",Table2[Stat Type],"TD"))))</f>
        <v>0</v>
      </c>
      <c r="K688" s="6">
        <f>IF(AND($C688="Rushing", $H688&lt;=0), 0, IF(AND($C688="Passing", $G$3&lt;=0), 0,IF(AND($C688="Receiving",$I688&lt;=0),0,SUMIFS(Table2[Stat],Table2[Week],Table1[[#This Row],[Week]],Table2[Athlete],Table1[[#This Row],[Pick]],Table2[Stat Category],"rushing",Table2[Stat Type],"TD"))))</f>
        <v>0</v>
      </c>
      <c r="L688" s="6">
        <f>IF(AND($C688="Rushing", $H688&lt;=0), 0, IF(AND($C688="Passing", $G$3&lt;=0), 0,IF(AND($C688="Receiving",$I688&lt;=0),0,SUMIFS(Table2[Stat],Table2[Week],Table1[[#This Row],[Week]],Table2[Athlete],Table1[[#This Row],[Pick]],Table2[Stat Category],"receiving",Table2[Stat Type],"TD"))))</f>
        <v>0</v>
      </c>
      <c r="M6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8" s="61">
        <f>SUMIFS(Data!$J:$J,Data!$A:$A,Info!$B688,Data!$G:$G,Info!$C688,Data!$I:$I,Info!$D688,Data!$H:$H,"TOT")</f>
        <v>0</v>
      </c>
      <c r="O688" s="61">
        <f>IF(C688="Defensive",SUMIFS(Data!$J:$J,Data!$A:$A,Info!$B688,Data!$I:$I,Info!$D688,Data!$H:$H,"INT"),0)</f>
        <v>0</v>
      </c>
      <c r="P688" s="61">
        <f>IF(Table1[[#This Row],[Role]]="Defensive",SUMIFS(Data!$J:$J,Data!$A:$A,Info!$B688,Data!$I:$I,Info!$D688,Data!$H:$H,$P$1),0)</f>
        <v>0</v>
      </c>
      <c r="Q688" s="65" t="str">
        <f>IF(Table1[[#This Row],[Pick]]="","",IF(S688&gt;1,400,IF(G688="","",IF(C688="Passing",(400-Table1[[#This Row],[Passing Yards]]-(30*Table1[[#This Row],[Passing TDs]])-(50*SUM(Table1[[#This Row],[Rushing TDs]:[Other TD''s]]))),IF(C688="Rushing",2*(200-Table1[[#This Row],[Rushing Yards]]-(30*Table1[[#This Row],[Passing TDs]])-50*(Table1[[#This Row],[Rushing TDs]]+Table1[[#This Row],[Receiving TDs]]+Table1[[#This Row],[Other TD''s]])),IF(C688="Receiving",2*(200-Table1[[#This Row],[Receiving Yards]]-(30*Table1[[#This Row],[Passing TDs]])-50*(Table1[[#This Row],[Rushing TDs]]+Table1[[#This Row],[Receiving TDs]]+Table1[[#This Row],[Other TD''s]])),IF(C688="Defensive",(25*(16-Table1[[#This Row],[Tackles]]-(8*(Table1[[#This Row],[Other TD''s]]+Table1[[#This Row],[Interceptions]]+Table1[[#This Row],[Fumbles Recovered]])))))))))))</f>
        <v/>
      </c>
      <c r="R688" s="3" t="str">
        <f t="shared" si="22"/>
        <v/>
      </c>
      <c r="S688" s="4">
        <f t="shared" si="21"/>
        <v>1048507</v>
      </c>
      <c r="T6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9" spans="1:20" hidden="1" x14ac:dyDescent="0.25">
      <c r="A689" t="s">
        <v>62</v>
      </c>
      <c r="B689" s="28" t="s">
        <v>54</v>
      </c>
      <c r="C689" t="s">
        <v>17</v>
      </c>
      <c r="D689" t="str">
        <f>_xlfn.XLOOKUP(Table1[[#This Row],[Player]]&amp;Table1[[#This Row],[Week]]&amp;Table1[[#This Row],[Role]],'Google Form Transform'!$A:$A,'Google Form Transform'!E:E,"")</f>
        <v/>
      </c>
      <c r="E689" t="str">
        <f>_xlfn.XLOOKUP(Table1[[#This Row],[Player]]&amp;Table1[[#This Row],[Week]]&amp;Table1[[#This Row],[Role]],'Google Form Transform'!$A:$A,'Google Form Transform'!F:F,"")</f>
        <v/>
      </c>
      <c r="F689" t="str">
        <f>_xlfn.XLOOKUP(Table1[[#This Row],[Player]]&amp;Table1[[#This Row],[Week]]&amp;Table1[[#This Row],[Role]],'Google Form Transform'!$A:$A,'Google Form Transform'!G:G,"")</f>
        <v/>
      </c>
      <c r="G689" s="59">
        <f>SUMIFS(Table2[Stat],Table2[Stat Category],"passing",Table2[Stat Type],"YDS",Table2[Athlete],Table1[[#This Row],[Pick]],Table2[Week],Table1[[#This Row],[Week]])</f>
        <v>0</v>
      </c>
      <c r="H689" s="59">
        <f>SUMIFS(Table2[Stat],Table2[Stat Category],"rushing",Table2[Stat Type],"YDS",Table2[Athlete],Table1[[#This Row],[Pick]],Table2[Week],Table1[[#This Row],[Week]])</f>
        <v>0</v>
      </c>
      <c r="I689" s="59">
        <f>SUMIFS(Table2[Stat],Table2[Stat Category],"receiving",Table2[Stat Type],"YDS",Table2[Athlete],Table1[[#This Row],[Pick]],Table2[Week],Table1[[#This Row],[Week]])</f>
        <v>0</v>
      </c>
      <c r="J689" s="6">
        <f>IF(AND($C689="Rushing", $H689&lt;=0), 0, IF(AND($C689="Passing", $G$3&lt;=0), 0,IF(AND($C689="Receiving",$I689&lt;=0), 0,SUMIFS(Table2[Stat],Table2[Week],Table1[[#This Row],[Week]],Table2[Athlete],Table1[[#This Row],[Pick]],Table2[Stat Category],"passing",Table2[Stat Type],"TD"))))</f>
        <v>0</v>
      </c>
      <c r="K689" s="6">
        <f>IF(AND($C689="Rushing", $H689&lt;=0), 0, IF(AND($C689="Passing", $G$3&lt;=0), 0,IF(AND($C689="Receiving",$I689&lt;=0),0,SUMIFS(Table2[Stat],Table2[Week],Table1[[#This Row],[Week]],Table2[Athlete],Table1[[#This Row],[Pick]],Table2[Stat Category],"rushing",Table2[Stat Type],"TD"))))</f>
        <v>0</v>
      </c>
      <c r="L689" s="6">
        <f>IF(AND($C689="Rushing", $H689&lt;=0), 0, IF(AND($C689="Passing", $G$3&lt;=0), 0,IF(AND($C689="Receiving",$I689&lt;=0),0,SUMIFS(Table2[Stat],Table2[Week],Table1[[#This Row],[Week]],Table2[Athlete],Table1[[#This Row],[Pick]],Table2[Stat Category],"receiving",Table2[Stat Type],"TD"))))</f>
        <v>0</v>
      </c>
      <c r="M6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9" s="61">
        <f>SUMIFS(Data!$J:$J,Data!$A:$A,Info!$B689,Data!$G:$G,Info!$C689,Data!$I:$I,Info!$D689,Data!$H:$H,"TOT")</f>
        <v>0</v>
      </c>
      <c r="O689" s="61">
        <f>IF(C689="Defensive",SUMIFS(Data!$J:$J,Data!$A:$A,Info!$B689,Data!$I:$I,Info!$D689,Data!$H:$H,"INT"),0)</f>
        <v>0</v>
      </c>
      <c r="P689" s="61">
        <f>IF(Table1[[#This Row],[Role]]="Defensive",SUMIFS(Data!$J:$J,Data!$A:$A,Info!$B689,Data!$I:$I,Info!$D689,Data!$H:$H,$P$1),0)</f>
        <v>0</v>
      </c>
      <c r="Q689" s="65" t="str">
        <f>IF(Table1[[#This Row],[Pick]]="","",IF(S689&gt;1,400,IF(G689="","",IF(C689="Passing",(400-Table1[[#This Row],[Passing Yards]]-(30*Table1[[#This Row],[Passing TDs]])-(50*SUM(Table1[[#This Row],[Rushing TDs]:[Other TD''s]]))),IF(C689="Rushing",2*(200-Table1[[#This Row],[Rushing Yards]]-(30*Table1[[#This Row],[Passing TDs]])-50*(Table1[[#This Row],[Rushing TDs]]+Table1[[#This Row],[Receiving TDs]]+Table1[[#This Row],[Other TD''s]])),IF(C689="Receiving",2*(200-Table1[[#This Row],[Receiving Yards]]-(30*Table1[[#This Row],[Passing TDs]])-50*(Table1[[#This Row],[Rushing TDs]]+Table1[[#This Row],[Receiving TDs]]+Table1[[#This Row],[Other TD''s]])),IF(C689="Defensive",(25*(16-Table1[[#This Row],[Tackles]]-(8*(Table1[[#This Row],[Other TD''s]]+Table1[[#This Row],[Interceptions]]+Table1[[#This Row],[Fumbles Recovered]])))))))))))</f>
        <v/>
      </c>
      <c r="R689" s="3" t="str">
        <f t="shared" si="22"/>
        <v/>
      </c>
      <c r="S689" s="4">
        <f t="shared" si="21"/>
        <v>1048507</v>
      </c>
      <c r="T6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0" spans="1:20" hidden="1" x14ac:dyDescent="0.25">
      <c r="A690" t="s">
        <v>62</v>
      </c>
      <c r="B690" s="28" t="s">
        <v>54</v>
      </c>
      <c r="C690" t="s">
        <v>20</v>
      </c>
      <c r="D690" t="str">
        <f>_xlfn.XLOOKUP(Table1[[#This Row],[Player]]&amp;Table1[[#This Row],[Week]]&amp;Table1[[#This Row],[Role]],'Google Form Transform'!$A:$A,'Google Form Transform'!E:E,"")</f>
        <v/>
      </c>
      <c r="E690" t="str">
        <f>_xlfn.XLOOKUP(Table1[[#This Row],[Player]]&amp;Table1[[#This Row],[Week]]&amp;Table1[[#This Row],[Role]],'Google Form Transform'!$A:$A,'Google Form Transform'!F:F,"")</f>
        <v/>
      </c>
      <c r="F690" t="str">
        <f>_xlfn.XLOOKUP(Table1[[#This Row],[Player]]&amp;Table1[[#This Row],[Week]]&amp;Table1[[#This Row],[Role]],'Google Form Transform'!$A:$A,'Google Form Transform'!G:G,"")</f>
        <v/>
      </c>
      <c r="G690" s="59">
        <f>SUMIFS(Table2[Stat],Table2[Stat Category],"passing",Table2[Stat Type],"YDS",Table2[Athlete],Table1[[#This Row],[Pick]],Table2[Week],Table1[[#This Row],[Week]])</f>
        <v>0</v>
      </c>
      <c r="H690" s="59">
        <f>SUMIFS(Table2[Stat],Table2[Stat Category],"rushing",Table2[Stat Type],"YDS",Table2[Athlete],Table1[[#This Row],[Pick]],Table2[Week],Table1[[#This Row],[Week]])</f>
        <v>0</v>
      </c>
      <c r="I690" s="59">
        <f>SUMIFS(Table2[Stat],Table2[Stat Category],"receiving",Table2[Stat Type],"YDS",Table2[Athlete],Table1[[#This Row],[Pick]],Table2[Week],Table1[[#This Row],[Week]])</f>
        <v>0</v>
      </c>
      <c r="J690" s="6">
        <f>IF(AND($C690="Rushing", $H690&lt;=0), 0, IF(AND($C690="Passing", $G$3&lt;=0), 0,IF(AND($C690="Receiving",$I690&lt;=0), 0,SUMIFS(Table2[Stat],Table2[Week],Table1[[#This Row],[Week]],Table2[Athlete],Table1[[#This Row],[Pick]],Table2[Stat Category],"passing",Table2[Stat Type],"TD"))))</f>
        <v>0</v>
      </c>
      <c r="K690" s="6">
        <f>IF(AND($C690="Rushing", $H690&lt;=0), 0, IF(AND($C690="Passing", $G$3&lt;=0), 0,IF(AND($C690="Receiving",$I690&lt;=0),0,SUMIFS(Table2[Stat],Table2[Week],Table1[[#This Row],[Week]],Table2[Athlete],Table1[[#This Row],[Pick]],Table2[Stat Category],"rushing",Table2[Stat Type],"TD"))))</f>
        <v>0</v>
      </c>
      <c r="L690" s="6">
        <f>IF(AND($C690="Rushing", $H690&lt;=0), 0, IF(AND($C690="Passing", $G$3&lt;=0), 0,IF(AND($C690="Receiving",$I690&lt;=0),0,SUMIFS(Table2[Stat],Table2[Week],Table1[[#This Row],[Week]],Table2[Athlete],Table1[[#This Row],[Pick]],Table2[Stat Category],"receiving",Table2[Stat Type],"TD"))))</f>
        <v>0</v>
      </c>
      <c r="M6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0" s="61">
        <f>SUMIFS(Data!$J:$J,Data!$A:$A,Info!$B690,Data!$G:$G,Info!$C690,Data!$I:$I,Info!$D690,Data!$H:$H,"TOT")</f>
        <v>0</v>
      </c>
      <c r="O690" s="61">
        <f>IF(C690="Defensive",SUMIFS(Data!$J:$J,Data!$A:$A,Info!$B690,Data!$I:$I,Info!$D690,Data!$H:$H,"INT"),0)</f>
        <v>0</v>
      </c>
      <c r="P690" s="61">
        <f>IF(Table1[[#This Row],[Role]]="Defensive",SUMIFS(Data!$J:$J,Data!$A:$A,Info!$B690,Data!$I:$I,Info!$D690,Data!$H:$H,$P$1),0)</f>
        <v>0</v>
      </c>
      <c r="Q690" s="65" t="str">
        <f>IF(Table1[[#This Row],[Pick]]="","",IF(S690&gt;1,400,IF(G690="","",IF(C690="Passing",(400-Table1[[#This Row],[Passing Yards]]-(30*Table1[[#This Row],[Passing TDs]])-(50*SUM(Table1[[#This Row],[Rushing TDs]:[Other TD''s]]))),IF(C690="Rushing",2*(200-Table1[[#This Row],[Rushing Yards]]-(30*Table1[[#This Row],[Passing TDs]])-50*(Table1[[#This Row],[Rushing TDs]]+Table1[[#This Row],[Receiving TDs]]+Table1[[#This Row],[Other TD''s]])),IF(C690="Receiving",2*(200-Table1[[#This Row],[Receiving Yards]]-(30*Table1[[#This Row],[Passing TDs]])-50*(Table1[[#This Row],[Rushing TDs]]+Table1[[#This Row],[Receiving TDs]]+Table1[[#This Row],[Other TD''s]])),IF(C690="Defensive",(25*(16-Table1[[#This Row],[Tackles]]-(8*(Table1[[#This Row],[Other TD''s]]+Table1[[#This Row],[Interceptions]]+Table1[[#This Row],[Fumbles Recovered]])))))))))))</f>
        <v/>
      </c>
      <c r="R690" s="3" t="str">
        <f t="shared" si="22"/>
        <v/>
      </c>
      <c r="S690" s="4">
        <f t="shared" si="21"/>
        <v>1048507</v>
      </c>
      <c r="T6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1" spans="1:20" hidden="1" x14ac:dyDescent="0.25">
      <c r="A691" t="s">
        <v>59</v>
      </c>
      <c r="B691" s="28" t="s">
        <v>54</v>
      </c>
      <c r="C691" t="s">
        <v>16</v>
      </c>
      <c r="D691" t="str">
        <f>_xlfn.XLOOKUP(Table1[[#This Row],[Player]]&amp;Table1[[#This Row],[Week]]&amp;Table1[[#This Row],[Role]],'Google Form Transform'!$A:$A,'Google Form Transform'!E:E,"")</f>
        <v/>
      </c>
      <c r="E691" t="str">
        <f>_xlfn.XLOOKUP(Table1[[#This Row],[Player]]&amp;Table1[[#This Row],[Week]]&amp;Table1[[#This Row],[Role]],'Google Form Transform'!$A:$A,'Google Form Transform'!F:F,"")</f>
        <v/>
      </c>
      <c r="F691" t="str">
        <f>_xlfn.XLOOKUP(Table1[[#This Row],[Player]]&amp;Table1[[#This Row],[Week]]&amp;Table1[[#This Row],[Role]],'Google Form Transform'!$A:$A,'Google Form Transform'!G:G,"")</f>
        <v/>
      </c>
      <c r="G691" s="59">
        <f>SUMIFS(Table2[Stat],Table2[Stat Category],"passing",Table2[Stat Type],"YDS",Table2[Athlete],Table1[[#This Row],[Pick]],Table2[Week],Table1[[#This Row],[Week]])</f>
        <v>0</v>
      </c>
      <c r="H691" s="59">
        <f>SUMIFS(Table2[Stat],Table2[Stat Category],"rushing",Table2[Stat Type],"YDS",Table2[Athlete],Table1[[#This Row],[Pick]],Table2[Week],Table1[[#This Row],[Week]])</f>
        <v>0</v>
      </c>
      <c r="I691" s="59">
        <f>SUMIFS(Table2[Stat],Table2[Stat Category],"receiving",Table2[Stat Type],"YDS",Table2[Athlete],Table1[[#This Row],[Pick]],Table2[Week],Table1[[#This Row],[Week]])</f>
        <v>0</v>
      </c>
      <c r="J691" s="6">
        <f>IF(AND($C691="Rushing", $H691&lt;=0), 0, IF(AND($C691="Passing", $G$3&lt;=0), 0,IF(AND($C691="Receiving",$I691&lt;=0), 0,SUMIFS(Table2[Stat],Table2[Week],Table1[[#This Row],[Week]],Table2[Athlete],Table1[[#This Row],[Pick]],Table2[Stat Category],"passing",Table2[Stat Type],"TD"))))</f>
        <v>0</v>
      </c>
      <c r="K691" s="6">
        <f>IF(AND($C691="Rushing", $H691&lt;=0), 0, IF(AND($C691="Passing", $G$3&lt;=0), 0,IF(AND($C691="Receiving",$I691&lt;=0),0,SUMIFS(Table2[Stat],Table2[Week],Table1[[#This Row],[Week]],Table2[Athlete],Table1[[#This Row],[Pick]],Table2[Stat Category],"rushing",Table2[Stat Type],"TD"))))</f>
        <v>0</v>
      </c>
      <c r="L691" s="6">
        <f>IF(AND($C691="Rushing", $H691&lt;=0), 0, IF(AND($C691="Passing", $G$3&lt;=0), 0,IF(AND($C691="Receiving",$I691&lt;=0),0,SUMIFS(Table2[Stat],Table2[Week],Table1[[#This Row],[Week]],Table2[Athlete],Table1[[#This Row],[Pick]],Table2[Stat Category],"receiving",Table2[Stat Type],"TD"))))</f>
        <v>0</v>
      </c>
      <c r="M6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1" s="61">
        <f>SUMIFS(Data!$J:$J,Data!$A:$A,Info!$B691,Data!$G:$G,Info!$C691,Data!$I:$I,Info!$D691,Data!$H:$H,"TOT")</f>
        <v>0</v>
      </c>
      <c r="O691" s="61">
        <f>IF(C691="Defensive",SUMIFS(Data!$J:$J,Data!$A:$A,Info!$B691,Data!$I:$I,Info!$D691,Data!$H:$H,"INT"),0)</f>
        <v>0</v>
      </c>
      <c r="P691" s="61">
        <f>IF(Table1[[#This Row],[Role]]="Defensive",SUMIFS(Data!$J:$J,Data!$A:$A,Info!$B691,Data!$I:$I,Info!$D691,Data!$H:$H,$P$1),0)</f>
        <v>0</v>
      </c>
      <c r="Q691" s="65" t="str">
        <f>IF(Table1[[#This Row],[Pick]]="","",IF(S691&gt;1,400,IF(G691="","",IF(C691="Passing",(400-Table1[[#This Row],[Passing Yards]]-(30*Table1[[#This Row],[Passing TDs]])-(50*SUM(Table1[[#This Row],[Rushing TDs]:[Other TD''s]]))),IF(C691="Rushing",2*(200-Table1[[#This Row],[Rushing Yards]]-(30*Table1[[#This Row],[Passing TDs]])-50*(Table1[[#This Row],[Rushing TDs]]+Table1[[#This Row],[Receiving TDs]]+Table1[[#This Row],[Other TD''s]])),IF(C691="Receiving",2*(200-Table1[[#This Row],[Receiving Yards]]-(30*Table1[[#This Row],[Passing TDs]])-50*(Table1[[#This Row],[Rushing TDs]]+Table1[[#This Row],[Receiving TDs]]+Table1[[#This Row],[Other TD''s]])),IF(C691="Defensive",(25*(16-Table1[[#This Row],[Tackles]]-(8*(Table1[[#This Row],[Other TD''s]]+Table1[[#This Row],[Interceptions]]+Table1[[#This Row],[Fumbles Recovered]])))))))))))</f>
        <v/>
      </c>
      <c r="R691" s="3" t="str">
        <f t="shared" si="22"/>
        <v/>
      </c>
      <c r="S691" s="4">
        <f t="shared" si="21"/>
        <v>1048507</v>
      </c>
      <c r="T6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2" spans="1:20" hidden="1" x14ac:dyDescent="0.25">
      <c r="A692" t="s">
        <v>59</v>
      </c>
      <c r="B692" s="28" t="s">
        <v>54</v>
      </c>
      <c r="C692" t="s">
        <v>6</v>
      </c>
      <c r="D692" t="str">
        <f>_xlfn.XLOOKUP(Table1[[#This Row],[Player]]&amp;Table1[[#This Row],[Week]]&amp;Table1[[#This Row],[Role]],'Google Form Transform'!$A:$A,'Google Form Transform'!E:E,"")</f>
        <v/>
      </c>
      <c r="E692" t="str">
        <f>_xlfn.XLOOKUP(Table1[[#This Row],[Player]]&amp;Table1[[#This Row],[Week]]&amp;Table1[[#This Row],[Role]],'Google Form Transform'!$A:$A,'Google Form Transform'!F:F,"")</f>
        <v/>
      </c>
      <c r="F692" t="str">
        <f>_xlfn.XLOOKUP(Table1[[#This Row],[Player]]&amp;Table1[[#This Row],[Week]]&amp;Table1[[#This Row],[Role]],'Google Form Transform'!$A:$A,'Google Form Transform'!G:G,"")</f>
        <v/>
      </c>
      <c r="G692" s="59">
        <f>SUMIFS(Table2[Stat],Table2[Stat Category],"passing",Table2[Stat Type],"YDS",Table2[Athlete],Table1[[#This Row],[Pick]],Table2[Week],Table1[[#This Row],[Week]])</f>
        <v>0</v>
      </c>
      <c r="H692" s="59">
        <f>SUMIFS(Table2[Stat],Table2[Stat Category],"rushing",Table2[Stat Type],"YDS",Table2[Athlete],Table1[[#This Row],[Pick]],Table2[Week],Table1[[#This Row],[Week]])</f>
        <v>0</v>
      </c>
      <c r="I692" s="59">
        <f>SUMIFS(Table2[Stat],Table2[Stat Category],"receiving",Table2[Stat Type],"YDS",Table2[Athlete],Table1[[#This Row],[Pick]],Table2[Week],Table1[[#This Row],[Week]])</f>
        <v>0</v>
      </c>
      <c r="J692" s="6">
        <f>IF(AND($C692="Rushing", $H692&lt;=0), 0, IF(AND($C692="Passing", $G$3&lt;=0), 0,IF(AND($C692="Receiving",$I692&lt;=0), 0,SUMIFS(Table2[Stat],Table2[Week],Table1[[#This Row],[Week]],Table2[Athlete],Table1[[#This Row],[Pick]],Table2[Stat Category],"passing",Table2[Stat Type],"TD"))))</f>
        <v>0</v>
      </c>
      <c r="K692" s="6">
        <f>IF(AND($C692="Rushing", $H692&lt;=0), 0, IF(AND($C692="Passing", $G$3&lt;=0), 0,IF(AND($C692="Receiving",$I692&lt;=0),0,SUMIFS(Table2[Stat],Table2[Week],Table1[[#This Row],[Week]],Table2[Athlete],Table1[[#This Row],[Pick]],Table2[Stat Category],"rushing",Table2[Stat Type],"TD"))))</f>
        <v>0</v>
      </c>
      <c r="L692" s="6">
        <f>IF(AND($C692="Rushing", $H692&lt;=0), 0, IF(AND($C692="Passing", $G$3&lt;=0), 0,IF(AND($C692="Receiving",$I692&lt;=0),0,SUMIFS(Table2[Stat],Table2[Week],Table1[[#This Row],[Week]],Table2[Athlete],Table1[[#This Row],[Pick]],Table2[Stat Category],"receiving",Table2[Stat Type],"TD"))))</f>
        <v>0</v>
      </c>
      <c r="M6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2" s="61">
        <f>SUMIFS(Data!$J:$J,Data!$A:$A,Info!$B692,Data!$G:$G,Info!$C692,Data!$I:$I,Info!$D692,Data!$H:$H,"TOT")</f>
        <v>0</v>
      </c>
      <c r="O692" s="61">
        <f>IF(C692="Defensive",SUMIFS(Data!$J:$J,Data!$A:$A,Info!$B692,Data!$I:$I,Info!$D692,Data!$H:$H,"INT"),0)</f>
        <v>0</v>
      </c>
      <c r="P692" s="61">
        <f>IF(Table1[[#This Row],[Role]]="Defensive",SUMIFS(Data!$J:$J,Data!$A:$A,Info!$B692,Data!$I:$I,Info!$D692,Data!$H:$H,$P$1),0)</f>
        <v>0</v>
      </c>
      <c r="Q692" s="65" t="str">
        <f>IF(Table1[[#This Row],[Pick]]="","",IF(S692&gt;1,400,IF(G692="","",IF(C692="Passing",(400-Table1[[#This Row],[Passing Yards]]-(30*Table1[[#This Row],[Passing TDs]])-(50*SUM(Table1[[#This Row],[Rushing TDs]:[Other TD''s]]))),IF(C692="Rushing",2*(200-Table1[[#This Row],[Rushing Yards]]-(30*Table1[[#This Row],[Passing TDs]])-50*(Table1[[#This Row],[Rushing TDs]]+Table1[[#This Row],[Receiving TDs]]+Table1[[#This Row],[Other TD''s]])),IF(C692="Receiving",2*(200-Table1[[#This Row],[Receiving Yards]]-(30*Table1[[#This Row],[Passing TDs]])-50*(Table1[[#This Row],[Rushing TDs]]+Table1[[#This Row],[Receiving TDs]]+Table1[[#This Row],[Other TD''s]])),IF(C692="Defensive",(25*(16-Table1[[#This Row],[Tackles]]-(8*(Table1[[#This Row],[Other TD''s]]+Table1[[#This Row],[Interceptions]]+Table1[[#This Row],[Fumbles Recovered]])))))))))))</f>
        <v/>
      </c>
      <c r="R692" s="3" t="str">
        <f t="shared" si="22"/>
        <v/>
      </c>
      <c r="S692" s="4">
        <f t="shared" si="21"/>
        <v>1048507</v>
      </c>
      <c r="T6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3" spans="1:20" hidden="1" x14ac:dyDescent="0.25">
      <c r="A693" t="s">
        <v>59</v>
      </c>
      <c r="B693" s="28" t="s">
        <v>54</v>
      </c>
      <c r="C693" t="s">
        <v>17</v>
      </c>
      <c r="D693" t="str">
        <f>_xlfn.XLOOKUP(Table1[[#This Row],[Player]]&amp;Table1[[#This Row],[Week]]&amp;Table1[[#This Row],[Role]],'Google Form Transform'!$A:$A,'Google Form Transform'!E:E,"")</f>
        <v/>
      </c>
      <c r="E693" t="str">
        <f>_xlfn.XLOOKUP(Table1[[#This Row],[Player]]&amp;Table1[[#This Row],[Week]]&amp;Table1[[#This Row],[Role]],'Google Form Transform'!$A:$A,'Google Form Transform'!F:F,"")</f>
        <v/>
      </c>
      <c r="F693" t="str">
        <f>_xlfn.XLOOKUP(Table1[[#This Row],[Player]]&amp;Table1[[#This Row],[Week]]&amp;Table1[[#This Row],[Role]],'Google Form Transform'!$A:$A,'Google Form Transform'!G:G,"")</f>
        <v/>
      </c>
      <c r="G693" s="59">
        <f>SUMIFS(Table2[Stat],Table2[Stat Category],"passing",Table2[Stat Type],"YDS",Table2[Athlete],Table1[[#This Row],[Pick]],Table2[Week],Table1[[#This Row],[Week]])</f>
        <v>0</v>
      </c>
      <c r="H693" s="59">
        <f>SUMIFS(Table2[Stat],Table2[Stat Category],"rushing",Table2[Stat Type],"YDS",Table2[Athlete],Table1[[#This Row],[Pick]],Table2[Week],Table1[[#This Row],[Week]])</f>
        <v>0</v>
      </c>
      <c r="I693" s="59">
        <f>SUMIFS(Table2[Stat],Table2[Stat Category],"receiving",Table2[Stat Type],"YDS",Table2[Athlete],Table1[[#This Row],[Pick]],Table2[Week],Table1[[#This Row],[Week]])</f>
        <v>0</v>
      </c>
      <c r="J693" s="6">
        <f>IF(AND($C693="Rushing", $H693&lt;=0), 0, IF(AND($C693="Passing", $G$3&lt;=0), 0,IF(AND($C693="Receiving",$I693&lt;=0), 0,SUMIFS(Table2[Stat],Table2[Week],Table1[[#This Row],[Week]],Table2[Athlete],Table1[[#This Row],[Pick]],Table2[Stat Category],"passing",Table2[Stat Type],"TD"))))</f>
        <v>0</v>
      </c>
      <c r="K693" s="6">
        <f>IF(AND($C693="Rushing", $H693&lt;=0), 0, IF(AND($C693="Passing", $G$3&lt;=0), 0,IF(AND($C693="Receiving",$I693&lt;=0),0,SUMIFS(Table2[Stat],Table2[Week],Table1[[#This Row],[Week]],Table2[Athlete],Table1[[#This Row],[Pick]],Table2[Stat Category],"rushing",Table2[Stat Type],"TD"))))</f>
        <v>0</v>
      </c>
      <c r="L693" s="6">
        <f>IF(AND($C693="Rushing", $H693&lt;=0), 0, IF(AND($C693="Passing", $G$3&lt;=0), 0,IF(AND($C693="Receiving",$I693&lt;=0),0,SUMIFS(Table2[Stat],Table2[Week],Table1[[#This Row],[Week]],Table2[Athlete],Table1[[#This Row],[Pick]],Table2[Stat Category],"receiving",Table2[Stat Type],"TD"))))</f>
        <v>0</v>
      </c>
      <c r="M6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3" s="61">
        <f>SUMIFS(Data!$J:$J,Data!$A:$A,Info!$B693,Data!$G:$G,Info!$C693,Data!$I:$I,Info!$D693,Data!$H:$H,"TOT")</f>
        <v>0</v>
      </c>
      <c r="O693" s="61">
        <f>IF(C693="Defensive",SUMIFS(Data!$J:$J,Data!$A:$A,Info!$B693,Data!$I:$I,Info!$D693,Data!$H:$H,"INT"),0)</f>
        <v>0</v>
      </c>
      <c r="P693" s="61">
        <f>IF(Table1[[#This Row],[Role]]="Defensive",SUMIFS(Data!$J:$J,Data!$A:$A,Info!$B693,Data!$I:$I,Info!$D693,Data!$H:$H,$P$1),0)</f>
        <v>0</v>
      </c>
      <c r="Q693" s="65" t="str">
        <f>IF(Table1[[#This Row],[Pick]]="","",IF(S693&gt;1,400,IF(G693="","",IF(C693="Passing",(400-Table1[[#This Row],[Passing Yards]]-(30*Table1[[#This Row],[Passing TDs]])-(50*SUM(Table1[[#This Row],[Rushing TDs]:[Other TD''s]]))),IF(C693="Rushing",2*(200-Table1[[#This Row],[Rushing Yards]]-(30*Table1[[#This Row],[Passing TDs]])-50*(Table1[[#This Row],[Rushing TDs]]+Table1[[#This Row],[Receiving TDs]]+Table1[[#This Row],[Other TD''s]])),IF(C693="Receiving",2*(200-Table1[[#This Row],[Receiving Yards]]-(30*Table1[[#This Row],[Passing TDs]])-50*(Table1[[#This Row],[Rushing TDs]]+Table1[[#This Row],[Receiving TDs]]+Table1[[#This Row],[Other TD''s]])),IF(C693="Defensive",(25*(16-Table1[[#This Row],[Tackles]]-(8*(Table1[[#This Row],[Other TD''s]]+Table1[[#This Row],[Interceptions]]+Table1[[#This Row],[Fumbles Recovered]])))))))))))</f>
        <v/>
      </c>
      <c r="R693" s="3" t="str">
        <f t="shared" si="22"/>
        <v/>
      </c>
      <c r="S693" s="4">
        <f t="shared" si="21"/>
        <v>1048507</v>
      </c>
      <c r="T6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4" spans="1:20" hidden="1" x14ac:dyDescent="0.25">
      <c r="A694" t="s">
        <v>59</v>
      </c>
      <c r="B694" s="28" t="s">
        <v>54</v>
      </c>
      <c r="C694" t="s">
        <v>20</v>
      </c>
      <c r="D694" t="str">
        <f>_xlfn.XLOOKUP(Table1[[#This Row],[Player]]&amp;Table1[[#This Row],[Week]]&amp;Table1[[#This Row],[Role]],'Google Form Transform'!$A:$A,'Google Form Transform'!E:E,"")</f>
        <v/>
      </c>
      <c r="E694" t="str">
        <f>_xlfn.XLOOKUP(Table1[[#This Row],[Player]]&amp;Table1[[#This Row],[Week]]&amp;Table1[[#This Row],[Role]],'Google Form Transform'!$A:$A,'Google Form Transform'!F:F,"")</f>
        <v/>
      </c>
      <c r="F694" t="str">
        <f>_xlfn.XLOOKUP(Table1[[#This Row],[Player]]&amp;Table1[[#This Row],[Week]]&amp;Table1[[#This Row],[Role]],'Google Form Transform'!$A:$A,'Google Form Transform'!G:G,"")</f>
        <v/>
      </c>
      <c r="G694" s="59">
        <f>SUMIFS(Table2[Stat],Table2[Stat Category],"passing",Table2[Stat Type],"YDS",Table2[Athlete],Table1[[#This Row],[Pick]],Table2[Week],Table1[[#This Row],[Week]])</f>
        <v>0</v>
      </c>
      <c r="H694" s="59">
        <f>SUMIFS(Table2[Stat],Table2[Stat Category],"rushing",Table2[Stat Type],"YDS",Table2[Athlete],Table1[[#This Row],[Pick]],Table2[Week],Table1[[#This Row],[Week]])</f>
        <v>0</v>
      </c>
      <c r="I694" s="59">
        <f>SUMIFS(Table2[Stat],Table2[Stat Category],"receiving",Table2[Stat Type],"YDS",Table2[Athlete],Table1[[#This Row],[Pick]],Table2[Week],Table1[[#This Row],[Week]])</f>
        <v>0</v>
      </c>
      <c r="J694" s="6">
        <f>IF(AND($C694="Rushing", $H694&lt;=0), 0, IF(AND($C694="Passing", $G$3&lt;=0), 0,IF(AND($C694="Receiving",$I694&lt;=0), 0,SUMIFS(Table2[Stat],Table2[Week],Table1[[#This Row],[Week]],Table2[Athlete],Table1[[#This Row],[Pick]],Table2[Stat Category],"passing",Table2[Stat Type],"TD"))))</f>
        <v>0</v>
      </c>
      <c r="K694" s="6">
        <f>IF(AND($C694="Rushing", $H694&lt;=0), 0, IF(AND($C694="Passing", $G$3&lt;=0), 0,IF(AND($C694="Receiving",$I694&lt;=0),0,SUMIFS(Table2[Stat],Table2[Week],Table1[[#This Row],[Week]],Table2[Athlete],Table1[[#This Row],[Pick]],Table2[Stat Category],"rushing",Table2[Stat Type],"TD"))))</f>
        <v>0</v>
      </c>
      <c r="L694" s="6">
        <f>IF(AND($C694="Rushing", $H694&lt;=0), 0, IF(AND($C694="Passing", $G$3&lt;=0), 0,IF(AND($C694="Receiving",$I694&lt;=0),0,SUMIFS(Table2[Stat],Table2[Week],Table1[[#This Row],[Week]],Table2[Athlete],Table1[[#This Row],[Pick]],Table2[Stat Category],"receiving",Table2[Stat Type],"TD"))))</f>
        <v>0</v>
      </c>
      <c r="M6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4" s="61">
        <f>SUMIFS(Data!$J:$J,Data!$A:$A,Info!$B694,Data!$G:$G,Info!$C694,Data!$I:$I,Info!$D694,Data!$H:$H,"TOT")</f>
        <v>0</v>
      </c>
      <c r="O694" s="61">
        <f>IF(C694="Defensive",SUMIFS(Data!$J:$J,Data!$A:$A,Info!$B694,Data!$I:$I,Info!$D694,Data!$H:$H,"INT"),0)</f>
        <v>0</v>
      </c>
      <c r="P694" s="61">
        <f>IF(Table1[[#This Row],[Role]]="Defensive",SUMIFS(Data!$J:$J,Data!$A:$A,Info!$B694,Data!$I:$I,Info!$D694,Data!$H:$H,$P$1),0)</f>
        <v>0</v>
      </c>
      <c r="Q694" s="65" t="str">
        <f>IF(Table1[[#This Row],[Pick]]="","",IF(S694&gt;1,400,IF(G694="","",IF(C694="Passing",(400-Table1[[#This Row],[Passing Yards]]-(30*Table1[[#This Row],[Passing TDs]])-(50*SUM(Table1[[#This Row],[Rushing TDs]:[Other TD''s]]))),IF(C694="Rushing",2*(200-Table1[[#This Row],[Rushing Yards]]-(30*Table1[[#This Row],[Passing TDs]])-50*(Table1[[#This Row],[Rushing TDs]]+Table1[[#This Row],[Receiving TDs]]+Table1[[#This Row],[Other TD''s]])),IF(C694="Receiving",2*(200-Table1[[#This Row],[Receiving Yards]]-(30*Table1[[#This Row],[Passing TDs]])-50*(Table1[[#This Row],[Rushing TDs]]+Table1[[#This Row],[Receiving TDs]]+Table1[[#This Row],[Other TD''s]])),IF(C694="Defensive",(25*(16-Table1[[#This Row],[Tackles]]-(8*(Table1[[#This Row],[Other TD''s]]+Table1[[#This Row],[Interceptions]]+Table1[[#This Row],[Fumbles Recovered]])))))))))))</f>
        <v/>
      </c>
      <c r="R694" s="3" t="str">
        <f t="shared" si="22"/>
        <v/>
      </c>
      <c r="S694" s="4">
        <f t="shared" si="21"/>
        <v>1048507</v>
      </c>
      <c r="T6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5" spans="1:20" hidden="1" x14ac:dyDescent="0.25">
      <c r="A695" t="s">
        <v>68</v>
      </c>
      <c r="B695" s="28" t="s">
        <v>54</v>
      </c>
      <c r="C695" t="s">
        <v>16</v>
      </c>
      <c r="D695" t="str">
        <f>_xlfn.XLOOKUP(Table1[[#This Row],[Player]]&amp;Table1[[#This Row],[Week]]&amp;Table1[[#This Row],[Role]],'Google Form Transform'!$A:$A,'Google Form Transform'!E:E,"")</f>
        <v/>
      </c>
      <c r="E695" t="str">
        <f>_xlfn.XLOOKUP(Table1[[#This Row],[Player]]&amp;Table1[[#This Row],[Week]]&amp;Table1[[#This Row],[Role]],'Google Form Transform'!$A:$A,'Google Form Transform'!F:F,"")</f>
        <v/>
      </c>
      <c r="F695" t="str">
        <f>_xlfn.XLOOKUP(Table1[[#This Row],[Player]]&amp;Table1[[#This Row],[Week]]&amp;Table1[[#This Row],[Role]],'Google Form Transform'!$A:$A,'Google Form Transform'!G:G,"")</f>
        <v/>
      </c>
      <c r="G695" s="59">
        <f>SUMIFS(Table2[Stat],Table2[Stat Category],"passing",Table2[Stat Type],"YDS",Table2[Athlete],Table1[[#This Row],[Pick]],Table2[Week],Table1[[#This Row],[Week]])</f>
        <v>0</v>
      </c>
      <c r="H695" s="59">
        <f>SUMIFS(Table2[Stat],Table2[Stat Category],"rushing",Table2[Stat Type],"YDS",Table2[Athlete],Table1[[#This Row],[Pick]],Table2[Week],Table1[[#This Row],[Week]])</f>
        <v>0</v>
      </c>
      <c r="I695" s="59">
        <f>SUMIFS(Table2[Stat],Table2[Stat Category],"receiving",Table2[Stat Type],"YDS",Table2[Athlete],Table1[[#This Row],[Pick]],Table2[Week],Table1[[#This Row],[Week]])</f>
        <v>0</v>
      </c>
      <c r="J695" s="6">
        <f>IF(AND($C695="Rushing", $H695&lt;=0), 0, IF(AND($C695="Passing", $G$3&lt;=0), 0,IF(AND($C695="Receiving",$I695&lt;=0), 0,SUMIFS(Table2[Stat],Table2[Week],Table1[[#This Row],[Week]],Table2[Athlete],Table1[[#This Row],[Pick]],Table2[Stat Category],"passing",Table2[Stat Type],"TD"))))</f>
        <v>0</v>
      </c>
      <c r="K695" s="6">
        <f>IF(AND($C695="Rushing", $H695&lt;=0), 0, IF(AND($C695="Passing", $G$3&lt;=0), 0,IF(AND($C695="Receiving",$I695&lt;=0),0,SUMIFS(Table2[Stat],Table2[Week],Table1[[#This Row],[Week]],Table2[Athlete],Table1[[#This Row],[Pick]],Table2[Stat Category],"rushing",Table2[Stat Type],"TD"))))</f>
        <v>0</v>
      </c>
      <c r="L695" s="6">
        <f>IF(AND($C695="Rushing", $H695&lt;=0), 0, IF(AND($C695="Passing", $G$3&lt;=0), 0,IF(AND($C695="Receiving",$I695&lt;=0),0,SUMIFS(Table2[Stat],Table2[Week],Table1[[#This Row],[Week]],Table2[Athlete],Table1[[#This Row],[Pick]],Table2[Stat Category],"receiving",Table2[Stat Type],"TD"))))</f>
        <v>0</v>
      </c>
      <c r="M6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5" s="61">
        <f>SUMIFS(Data!$J:$J,Data!$A:$A,Info!$B695,Data!$G:$G,Info!$C695,Data!$I:$I,Info!$D695,Data!$H:$H,"TOT")</f>
        <v>0</v>
      </c>
      <c r="O695" s="61">
        <f>IF(C695="Defensive",SUMIFS(Data!$J:$J,Data!$A:$A,Info!$B695,Data!$I:$I,Info!$D695,Data!$H:$H,"INT"),0)</f>
        <v>0</v>
      </c>
      <c r="P695" s="61">
        <f>IF(Table1[[#This Row],[Role]]="Defensive",SUMIFS(Data!$J:$J,Data!$A:$A,Info!$B695,Data!$I:$I,Info!$D695,Data!$H:$H,$P$1),0)</f>
        <v>0</v>
      </c>
      <c r="Q695" s="65" t="str">
        <f>IF(Table1[[#This Row],[Pick]]="","",IF(S695&gt;1,400,IF(G695="","",IF(C695="Passing",(400-Table1[[#This Row],[Passing Yards]]-(30*Table1[[#This Row],[Passing TDs]])-(50*SUM(Table1[[#This Row],[Rushing TDs]:[Other TD''s]]))),IF(C695="Rushing",2*(200-Table1[[#This Row],[Rushing Yards]]-(30*Table1[[#This Row],[Passing TDs]])-50*(Table1[[#This Row],[Rushing TDs]]+Table1[[#This Row],[Receiving TDs]]+Table1[[#This Row],[Other TD''s]])),IF(C695="Receiving",2*(200-Table1[[#This Row],[Receiving Yards]]-(30*Table1[[#This Row],[Passing TDs]])-50*(Table1[[#This Row],[Rushing TDs]]+Table1[[#This Row],[Receiving TDs]]+Table1[[#This Row],[Other TD''s]])),IF(C695="Defensive",(25*(16-Table1[[#This Row],[Tackles]]-(8*(Table1[[#This Row],[Other TD''s]]+Table1[[#This Row],[Interceptions]]+Table1[[#This Row],[Fumbles Recovered]])))))))))))</f>
        <v/>
      </c>
      <c r="R695" s="3" t="str">
        <f t="shared" si="22"/>
        <v/>
      </c>
      <c r="S695" s="4">
        <f t="shared" si="21"/>
        <v>1048507</v>
      </c>
      <c r="T6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6" spans="1:20" hidden="1" x14ac:dyDescent="0.25">
      <c r="A696" t="s">
        <v>68</v>
      </c>
      <c r="B696" s="28" t="s">
        <v>54</v>
      </c>
      <c r="C696" t="s">
        <v>6</v>
      </c>
      <c r="D696" t="str">
        <f>_xlfn.XLOOKUP(Table1[[#This Row],[Player]]&amp;Table1[[#This Row],[Week]]&amp;Table1[[#This Row],[Role]],'Google Form Transform'!$A:$A,'Google Form Transform'!E:E,"")</f>
        <v/>
      </c>
      <c r="E696" t="str">
        <f>_xlfn.XLOOKUP(Table1[[#This Row],[Player]]&amp;Table1[[#This Row],[Week]]&amp;Table1[[#This Row],[Role]],'Google Form Transform'!$A:$A,'Google Form Transform'!F:F,"")</f>
        <v/>
      </c>
      <c r="F696" t="str">
        <f>_xlfn.XLOOKUP(Table1[[#This Row],[Player]]&amp;Table1[[#This Row],[Week]]&amp;Table1[[#This Row],[Role]],'Google Form Transform'!$A:$A,'Google Form Transform'!G:G,"")</f>
        <v/>
      </c>
      <c r="G696" s="59">
        <f>SUMIFS(Table2[Stat],Table2[Stat Category],"passing",Table2[Stat Type],"YDS",Table2[Athlete],Table1[[#This Row],[Pick]],Table2[Week],Table1[[#This Row],[Week]])</f>
        <v>0</v>
      </c>
      <c r="H696" s="59">
        <f>SUMIFS(Table2[Stat],Table2[Stat Category],"rushing",Table2[Stat Type],"YDS",Table2[Athlete],Table1[[#This Row],[Pick]],Table2[Week],Table1[[#This Row],[Week]])</f>
        <v>0</v>
      </c>
      <c r="I696" s="59">
        <f>SUMIFS(Table2[Stat],Table2[Stat Category],"receiving",Table2[Stat Type],"YDS",Table2[Athlete],Table1[[#This Row],[Pick]],Table2[Week],Table1[[#This Row],[Week]])</f>
        <v>0</v>
      </c>
      <c r="J696" s="6">
        <f>IF(AND($C696="Rushing", $H696&lt;=0), 0, IF(AND($C696="Passing", $G$3&lt;=0), 0,IF(AND($C696="Receiving",$I696&lt;=0), 0,SUMIFS(Table2[Stat],Table2[Week],Table1[[#This Row],[Week]],Table2[Athlete],Table1[[#This Row],[Pick]],Table2[Stat Category],"passing",Table2[Stat Type],"TD"))))</f>
        <v>0</v>
      </c>
      <c r="K696" s="6">
        <f>IF(AND($C696="Rushing", $H696&lt;=0), 0, IF(AND($C696="Passing", $G$3&lt;=0), 0,IF(AND($C696="Receiving",$I696&lt;=0),0,SUMIFS(Table2[Stat],Table2[Week],Table1[[#This Row],[Week]],Table2[Athlete],Table1[[#This Row],[Pick]],Table2[Stat Category],"rushing",Table2[Stat Type],"TD"))))</f>
        <v>0</v>
      </c>
      <c r="L696" s="6">
        <f>IF(AND($C696="Rushing", $H696&lt;=0), 0, IF(AND($C696="Passing", $G$3&lt;=0), 0,IF(AND($C696="Receiving",$I696&lt;=0),0,SUMIFS(Table2[Stat],Table2[Week],Table1[[#This Row],[Week]],Table2[Athlete],Table1[[#This Row],[Pick]],Table2[Stat Category],"receiving",Table2[Stat Type],"TD"))))</f>
        <v>0</v>
      </c>
      <c r="M6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6" s="61">
        <f>SUMIFS(Data!$J:$J,Data!$A:$A,Info!$B696,Data!$G:$G,Info!$C696,Data!$I:$I,Info!$D696,Data!$H:$H,"TOT")</f>
        <v>0</v>
      </c>
      <c r="O696" s="61">
        <f>IF(C696="Defensive",SUMIFS(Data!$J:$J,Data!$A:$A,Info!$B696,Data!$I:$I,Info!$D696,Data!$H:$H,"INT"),0)</f>
        <v>0</v>
      </c>
      <c r="P696" s="61">
        <f>IF(Table1[[#This Row],[Role]]="Defensive",SUMIFS(Data!$J:$J,Data!$A:$A,Info!$B696,Data!$I:$I,Info!$D696,Data!$H:$H,$P$1),0)</f>
        <v>0</v>
      </c>
      <c r="Q696" s="65" t="str">
        <f>IF(Table1[[#This Row],[Pick]]="","",IF(S696&gt;1,400,IF(G696="","",IF(C696="Passing",(400-Table1[[#This Row],[Passing Yards]]-(30*Table1[[#This Row],[Passing TDs]])-(50*SUM(Table1[[#This Row],[Rushing TDs]:[Other TD''s]]))),IF(C696="Rushing",2*(200-Table1[[#This Row],[Rushing Yards]]-(30*Table1[[#This Row],[Passing TDs]])-50*(Table1[[#This Row],[Rushing TDs]]+Table1[[#This Row],[Receiving TDs]]+Table1[[#This Row],[Other TD''s]])),IF(C696="Receiving",2*(200-Table1[[#This Row],[Receiving Yards]]-(30*Table1[[#This Row],[Passing TDs]])-50*(Table1[[#This Row],[Rushing TDs]]+Table1[[#This Row],[Receiving TDs]]+Table1[[#This Row],[Other TD''s]])),IF(C696="Defensive",(25*(16-Table1[[#This Row],[Tackles]]-(8*(Table1[[#This Row],[Other TD''s]]+Table1[[#This Row],[Interceptions]]+Table1[[#This Row],[Fumbles Recovered]])))))))))))</f>
        <v/>
      </c>
      <c r="R696" s="3" t="str">
        <f t="shared" si="22"/>
        <v/>
      </c>
      <c r="S696" s="4">
        <f t="shared" si="21"/>
        <v>1048507</v>
      </c>
      <c r="T6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7" spans="1:20" hidden="1" x14ac:dyDescent="0.25">
      <c r="A697" t="s">
        <v>68</v>
      </c>
      <c r="B697" s="28" t="s">
        <v>54</v>
      </c>
      <c r="C697" t="s">
        <v>17</v>
      </c>
      <c r="D697" t="str">
        <f>_xlfn.XLOOKUP(Table1[[#This Row],[Player]]&amp;Table1[[#This Row],[Week]]&amp;Table1[[#This Row],[Role]],'Google Form Transform'!$A:$A,'Google Form Transform'!E:E,"")</f>
        <v/>
      </c>
      <c r="E697" t="str">
        <f>_xlfn.XLOOKUP(Table1[[#This Row],[Player]]&amp;Table1[[#This Row],[Week]]&amp;Table1[[#This Row],[Role]],'Google Form Transform'!$A:$A,'Google Form Transform'!F:F,"")</f>
        <v/>
      </c>
      <c r="F697" t="str">
        <f>_xlfn.XLOOKUP(Table1[[#This Row],[Player]]&amp;Table1[[#This Row],[Week]]&amp;Table1[[#This Row],[Role]],'Google Form Transform'!$A:$A,'Google Form Transform'!G:G,"")</f>
        <v/>
      </c>
      <c r="G697" s="59">
        <f>SUMIFS(Table2[Stat],Table2[Stat Category],"passing",Table2[Stat Type],"YDS",Table2[Athlete],Table1[[#This Row],[Pick]],Table2[Week],Table1[[#This Row],[Week]])</f>
        <v>0</v>
      </c>
      <c r="H697" s="59">
        <f>SUMIFS(Table2[Stat],Table2[Stat Category],"rushing",Table2[Stat Type],"YDS",Table2[Athlete],Table1[[#This Row],[Pick]],Table2[Week],Table1[[#This Row],[Week]])</f>
        <v>0</v>
      </c>
      <c r="I697" s="59">
        <f>SUMIFS(Table2[Stat],Table2[Stat Category],"receiving",Table2[Stat Type],"YDS",Table2[Athlete],Table1[[#This Row],[Pick]],Table2[Week],Table1[[#This Row],[Week]])</f>
        <v>0</v>
      </c>
      <c r="J697" s="6">
        <f>IF(AND($C697="Rushing", $H697&lt;=0), 0, IF(AND($C697="Passing", $G$3&lt;=0), 0,IF(AND($C697="Receiving",$I697&lt;=0), 0,SUMIFS(Table2[Stat],Table2[Week],Table1[[#This Row],[Week]],Table2[Athlete],Table1[[#This Row],[Pick]],Table2[Stat Category],"passing",Table2[Stat Type],"TD"))))</f>
        <v>0</v>
      </c>
      <c r="K697" s="6">
        <f>IF(AND($C697="Rushing", $H697&lt;=0), 0, IF(AND($C697="Passing", $G$3&lt;=0), 0,IF(AND($C697="Receiving",$I697&lt;=0),0,SUMIFS(Table2[Stat],Table2[Week],Table1[[#This Row],[Week]],Table2[Athlete],Table1[[#This Row],[Pick]],Table2[Stat Category],"rushing",Table2[Stat Type],"TD"))))</f>
        <v>0</v>
      </c>
      <c r="L697" s="6">
        <f>IF(AND($C697="Rushing", $H697&lt;=0), 0, IF(AND($C697="Passing", $G$3&lt;=0), 0,IF(AND($C697="Receiving",$I697&lt;=0),0,SUMIFS(Table2[Stat],Table2[Week],Table1[[#This Row],[Week]],Table2[Athlete],Table1[[#This Row],[Pick]],Table2[Stat Category],"receiving",Table2[Stat Type],"TD"))))</f>
        <v>0</v>
      </c>
      <c r="M6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7" s="61">
        <f>SUMIFS(Data!$J:$J,Data!$A:$A,Info!$B697,Data!$G:$G,Info!$C697,Data!$I:$I,Info!$D697,Data!$H:$H,"TOT")</f>
        <v>0</v>
      </c>
      <c r="O697" s="61">
        <f>IF(C697="Defensive",SUMIFS(Data!$J:$J,Data!$A:$A,Info!$B697,Data!$I:$I,Info!$D697,Data!$H:$H,"INT"),0)</f>
        <v>0</v>
      </c>
      <c r="P697" s="61">
        <f>IF(Table1[[#This Row],[Role]]="Defensive",SUMIFS(Data!$J:$J,Data!$A:$A,Info!$B697,Data!$I:$I,Info!$D697,Data!$H:$H,$P$1),0)</f>
        <v>0</v>
      </c>
      <c r="Q697" s="65" t="str">
        <f>IF(Table1[[#This Row],[Pick]]="","",IF(S697&gt;1,400,IF(G697="","",IF(C697="Passing",(400-Table1[[#This Row],[Passing Yards]]-(30*Table1[[#This Row],[Passing TDs]])-(50*SUM(Table1[[#This Row],[Rushing TDs]:[Other TD''s]]))),IF(C697="Rushing",2*(200-Table1[[#This Row],[Rushing Yards]]-(30*Table1[[#This Row],[Passing TDs]])-50*(Table1[[#This Row],[Rushing TDs]]+Table1[[#This Row],[Receiving TDs]]+Table1[[#This Row],[Other TD''s]])),IF(C697="Receiving",2*(200-Table1[[#This Row],[Receiving Yards]]-(30*Table1[[#This Row],[Passing TDs]])-50*(Table1[[#This Row],[Rushing TDs]]+Table1[[#This Row],[Receiving TDs]]+Table1[[#This Row],[Other TD''s]])),IF(C697="Defensive",(25*(16-Table1[[#This Row],[Tackles]]-(8*(Table1[[#This Row],[Other TD''s]]+Table1[[#This Row],[Interceptions]]+Table1[[#This Row],[Fumbles Recovered]])))))))))))</f>
        <v/>
      </c>
      <c r="R697" s="3" t="str">
        <f t="shared" si="22"/>
        <v/>
      </c>
      <c r="S697" s="4">
        <f t="shared" si="21"/>
        <v>1048507</v>
      </c>
      <c r="T6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8" spans="1:20" hidden="1" x14ac:dyDescent="0.25">
      <c r="A698" t="s">
        <v>68</v>
      </c>
      <c r="B698" s="28" t="s">
        <v>54</v>
      </c>
      <c r="C698" t="s">
        <v>20</v>
      </c>
      <c r="D698" t="str">
        <f>_xlfn.XLOOKUP(Table1[[#This Row],[Player]]&amp;Table1[[#This Row],[Week]]&amp;Table1[[#This Row],[Role]],'Google Form Transform'!$A:$A,'Google Form Transform'!E:E,"")</f>
        <v/>
      </c>
      <c r="E698" t="str">
        <f>_xlfn.XLOOKUP(Table1[[#This Row],[Player]]&amp;Table1[[#This Row],[Week]]&amp;Table1[[#This Row],[Role]],'Google Form Transform'!$A:$A,'Google Form Transform'!F:F,"")</f>
        <v/>
      </c>
      <c r="F698" t="str">
        <f>_xlfn.XLOOKUP(Table1[[#This Row],[Player]]&amp;Table1[[#This Row],[Week]]&amp;Table1[[#This Row],[Role]],'Google Form Transform'!$A:$A,'Google Form Transform'!G:G,"")</f>
        <v/>
      </c>
      <c r="G698" s="59">
        <f>SUMIFS(Table2[Stat],Table2[Stat Category],"passing",Table2[Stat Type],"YDS",Table2[Athlete],Table1[[#This Row],[Pick]],Table2[Week],Table1[[#This Row],[Week]])</f>
        <v>0</v>
      </c>
      <c r="H698" s="59">
        <f>SUMIFS(Table2[Stat],Table2[Stat Category],"rushing",Table2[Stat Type],"YDS",Table2[Athlete],Table1[[#This Row],[Pick]],Table2[Week],Table1[[#This Row],[Week]])</f>
        <v>0</v>
      </c>
      <c r="I698" s="59">
        <f>SUMIFS(Table2[Stat],Table2[Stat Category],"receiving",Table2[Stat Type],"YDS",Table2[Athlete],Table1[[#This Row],[Pick]],Table2[Week],Table1[[#This Row],[Week]])</f>
        <v>0</v>
      </c>
      <c r="J698" s="6">
        <f>IF(AND($C698="Rushing", $H698&lt;=0), 0, IF(AND($C698="Passing", $G$3&lt;=0), 0,IF(AND($C698="Receiving",$I698&lt;=0), 0,SUMIFS(Table2[Stat],Table2[Week],Table1[[#This Row],[Week]],Table2[Athlete],Table1[[#This Row],[Pick]],Table2[Stat Category],"passing",Table2[Stat Type],"TD"))))</f>
        <v>0</v>
      </c>
      <c r="K698" s="6">
        <f>IF(AND($C698="Rushing", $H698&lt;=0), 0, IF(AND($C698="Passing", $G$3&lt;=0), 0,IF(AND($C698="Receiving",$I698&lt;=0),0,SUMIFS(Table2[Stat],Table2[Week],Table1[[#This Row],[Week]],Table2[Athlete],Table1[[#This Row],[Pick]],Table2[Stat Category],"rushing",Table2[Stat Type],"TD"))))</f>
        <v>0</v>
      </c>
      <c r="L698" s="6">
        <f>IF(AND($C698="Rushing", $H698&lt;=0), 0, IF(AND($C698="Passing", $G$3&lt;=0), 0,IF(AND($C698="Receiving",$I698&lt;=0),0,SUMIFS(Table2[Stat],Table2[Week],Table1[[#This Row],[Week]],Table2[Athlete],Table1[[#This Row],[Pick]],Table2[Stat Category],"receiving",Table2[Stat Type],"TD"))))</f>
        <v>0</v>
      </c>
      <c r="M6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8" s="61">
        <f>SUMIFS(Data!$J:$J,Data!$A:$A,Info!$B698,Data!$G:$G,Info!$C698,Data!$I:$I,Info!$D698,Data!$H:$H,"TOT")</f>
        <v>0</v>
      </c>
      <c r="O698" s="61">
        <f>IF(C698="Defensive",SUMIFS(Data!$J:$J,Data!$A:$A,Info!$B698,Data!$I:$I,Info!$D698,Data!$H:$H,"INT"),0)</f>
        <v>0</v>
      </c>
      <c r="P698" s="61">
        <f>IF(Table1[[#This Row],[Role]]="Defensive",SUMIFS(Data!$J:$J,Data!$A:$A,Info!$B698,Data!$I:$I,Info!$D698,Data!$H:$H,$P$1),0)</f>
        <v>0</v>
      </c>
      <c r="Q698" s="65" t="str">
        <f>IF(Table1[[#This Row],[Pick]]="","",IF(S698&gt;1,400,IF(G698="","",IF(C698="Passing",(400-Table1[[#This Row],[Passing Yards]]-(30*Table1[[#This Row],[Passing TDs]])-(50*SUM(Table1[[#This Row],[Rushing TDs]:[Other TD''s]]))),IF(C698="Rushing",2*(200-Table1[[#This Row],[Rushing Yards]]-(30*Table1[[#This Row],[Passing TDs]])-50*(Table1[[#This Row],[Rushing TDs]]+Table1[[#This Row],[Receiving TDs]]+Table1[[#This Row],[Other TD''s]])),IF(C698="Receiving",2*(200-Table1[[#This Row],[Receiving Yards]]-(30*Table1[[#This Row],[Passing TDs]])-50*(Table1[[#This Row],[Rushing TDs]]+Table1[[#This Row],[Receiving TDs]]+Table1[[#This Row],[Other TD''s]])),IF(C698="Defensive",(25*(16-Table1[[#This Row],[Tackles]]-(8*(Table1[[#This Row],[Other TD''s]]+Table1[[#This Row],[Interceptions]]+Table1[[#This Row],[Fumbles Recovered]])))))))))))</f>
        <v/>
      </c>
      <c r="R698" s="3" t="str">
        <f t="shared" si="22"/>
        <v/>
      </c>
      <c r="S698" s="4">
        <f t="shared" si="21"/>
        <v>1048507</v>
      </c>
      <c r="T6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9" spans="1:20" hidden="1" x14ac:dyDescent="0.25">
      <c r="A699" t="s">
        <v>5</v>
      </c>
      <c r="B699" s="28" t="s">
        <v>54</v>
      </c>
      <c r="C699" t="s">
        <v>16</v>
      </c>
      <c r="D699" t="str">
        <f>_xlfn.XLOOKUP(Table1[[#This Row],[Player]]&amp;Table1[[#This Row],[Week]]&amp;Table1[[#This Row],[Role]],'Google Form Transform'!$A:$A,'Google Form Transform'!E:E,"")</f>
        <v/>
      </c>
      <c r="E699" t="str">
        <f>_xlfn.XLOOKUP(Table1[[#This Row],[Player]]&amp;Table1[[#This Row],[Week]]&amp;Table1[[#This Row],[Role]],'Google Form Transform'!$A:$A,'Google Form Transform'!F:F,"")</f>
        <v/>
      </c>
      <c r="F699" t="str">
        <f>_xlfn.XLOOKUP(Table1[[#This Row],[Player]]&amp;Table1[[#This Row],[Week]]&amp;Table1[[#This Row],[Role]],'Google Form Transform'!$A:$A,'Google Form Transform'!G:G,"")</f>
        <v/>
      </c>
      <c r="G699" s="59">
        <f>SUMIFS(Table2[Stat],Table2[Stat Category],"passing",Table2[Stat Type],"YDS",Table2[Athlete],Table1[[#This Row],[Pick]],Table2[Week],Table1[[#This Row],[Week]])</f>
        <v>0</v>
      </c>
      <c r="H699" s="59">
        <f>SUMIFS(Table2[Stat],Table2[Stat Category],"rushing",Table2[Stat Type],"YDS",Table2[Athlete],Table1[[#This Row],[Pick]],Table2[Week],Table1[[#This Row],[Week]])</f>
        <v>0</v>
      </c>
      <c r="I699" s="59">
        <f>SUMIFS(Table2[Stat],Table2[Stat Category],"receiving",Table2[Stat Type],"YDS",Table2[Athlete],Table1[[#This Row],[Pick]],Table2[Week],Table1[[#This Row],[Week]])</f>
        <v>0</v>
      </c>
      <c r="J699" s="6">
        <f>IF(AND($C699="Rushing", $H699&lt;=0), 0, IF(AND($C699="Passing", $G$3&lt;=0), 0,IF(AND($C699="Receiving",$I699&lt;=0), 0,SUMIFS(Table2[Stat],Table2[Week],Table1[[#This Row],[Week]],Table2[Athlete],Table1[[#This Row],[Pick]],Table2[Stat Category],"passing",Table2[Stat Type],"TD"))))</f>
        <v>0</v>
      </c>
      <c r="K699" s="6">
        <f>IF(AND($C699="Rushing", $H699&lt;=0), 0, IF(AND($C699="Passing", $G$3&lt;=0), 0,IF(AND($C699="Receiving",$I699&lt;=0),0,SUMIFS(Table2[Stat],Table2[Week],Table1[[#This Row],[Week]],Table2[Athlete],Table1[[#This Row],[Pick]],Table2[Stat Category],"rushing",Table2[Stat Type],"TD"))))</f>
        <v>0</v>
      </c>
      <c r="L699" s="6">
        <f>IF(AND($C699="Rushing", $H699&lt;=0), 0, IF(AND($C699="Passing", $G$3&lt;=0), 0,IF(AND($C699="Receiving",$I699&lt;=0),0,SUMIFS(Table2[Stat],Table2[Week],Table1[[#This Row],[Week]],Table2[Athlete],Table1[[#This Row],[Pick]],Table2[Stat Category],"receiving",Table2[Stat Type],"TD"))))</f>
        <v>0</v>
      </c>
      <c r="M6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9" s="61">
        <f>SUMIFS(Data!$J:$J,Data!$A:$A,Info!$B699,Data!$G:$G,Info!$C699,Data!$I:$I,Info!$D699,Data!$H:$H,"TOT")</f>
        <v>0</v>
      </c>
      <c r="O699" s="61">
        <f>IF(C699="Defensive",SUMIFS(Data!$J:$J,Data!$A:$A,Info!$B699,Data!$I:$I,Info!$D699,Data!$H:$H,"INT"),0)</f>
        <v>0</v>
      </c>
      <c r="P699" s="61">
        <f>IF(Table1[[#This Row],[Role]]="Defensive",SUMIFS(Data!$J:$J,Data!$A:$A,Info!$B699,Data!$I:$I,Info!$D699,Data!$H:$H,$P$1),0)</f>
        <v>0</v>
      </c>
      <c r="Q699" s="65" t="str">
        <f>IF(Table1[[#This Row],[Pick]]="","",IF(S699&gt;1,400,IF(G699="","",IF(C699="Passing",(400-Table1[[#This Row],[Passing Yards]]-(30*Table1[[#This Row],[Passing TDs]])-(50*SUM(Table1[[#This Row],[Rushing TDs]:[Other TD''s]]))),IF(C699="Rushing",2*(200-Table1[[#This Row],[Rushing Yards]]-(30*Table1[[#This Row],[Passing TDs]])-50*(Table1[[#This Row],[Rushing TDs]]+Table1[[#This Row],[Receiving TDs]]+Table1[[#This Row],[Other TD''s]])),IF(C699="Receiving",2*(200-Table1[[#This Row],[Receiving Yards]]-(30*Table1[[#This Row],[Passing TDs]])-50*(Table1[[#This Row],[Rushing TDs]]+Table1[[#This Row],[Receiving TDs]]+Table1[[#This Row],[Other TD''s]])),IF(C699="Defensive",(25*(16-Table1[[#This Row],[Tackles]]-(8*(Table1[[#This Row],[Other TD''s]]+Table1[[#This Row],[Interceptions]]+Table1[[#This Row],[Fumbles Recovered]])))))))))))</f>
        <v/>
      </c>
      <c r="R699" s="3" t="str">
        <f t="shared" si="22"/>
        <v/>
      </c>
      <c r="S699" s="4">
        <f t="shared" si="21"/>
        <v>1048507</v>
      </c>
      <c r="T6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0" spans="1:20" hidden="1" x14ac:dyDescent="0.25">
      <c r="A700" t="s">
        <v>5</v>
      </c>
      <c r="B700" s="28" t="s">
        <v>54</v>
      </c>
      <c r="C700" t="s">
        <v>6</v>
      </c>
      <c r="D700" t="str">
        <f>_xlfn.XLOOKUP(Table1[[#This Row],[Player]]&amp;Table1[[#This Row],[Week]]&amp;Table1[[#This Row],[Role]],'Google Form Transform'!$A:$A,'Google Form Transform'!E:E,"")</f>
        <v/>
      </c>
      <c r="E700" t="str">
        <f>_xlfn.XLOOKUP(Table1[[#This Row],[Player]]&amp;Table1[[#This Row],[Week]]&amp;Table1[[#This Row],[Role]],'Google Form Transform'!$A:$A,'Google Form Transform'!F:F,"")</f>
        <v/>
      </c>
      <c r="F700" t="str">
        <f>_xlfn.XLOOKUP(Table1[[#This Row],[Player]]&amp;Table1[[#This Row],[Week]]&amp;Table1[[#This Row],[Role]],'Google Form Transform'!$A:$A,'Google Form Transform'!G:G,"")</f>
        <v/>
      </c>
      <c r="G700" s="59">
        <f>SUMIFS(Table2[Stat],Table2[Stat Category],"passing",Table2[Stat Type],"YDS",Table2[Athlete],Table1[[#This Row],[Pick]],Table2[Week],Table1[[#This Row],[Week]])</f>
        <v>0</v>
      </c>
      <c r="H700" s="59">
        <f>SUMIFS(Table2[Stat],Table2[Stat Category],"rushing",Table2[Stat Type],"YDS",Table2[Athlete],Table1[[#This Row],[Pick]],Table2[Week],Table1[[#This Row],[Week]])</f>
        <v>0</v>
      </c>
      <c r="I700" s="59">
        <f>SUMIFS(Table2[Stat],Table2[Stat Category],"receiving",Table2[Stat Type],"YDS",Table2[Athlete],Table1[[#This Row],[Pick]],Table2[Week],Table1[[#This Row],[Week]])</f>
        <v>0</v>
      </c>
      <c r="J700" s="6">
        <f>IF(AND($C700="Rushing", $H700&lt;=0), 0, IF(AND($C700="Passing", $G$3&lt;=0), 0,IF(AND($C700="Receiving",$I700&lt;=0), 0,SUMIFS(Table2[Stat],Table2[Week],Table1[[#This Row],[Week]],Table2[Athlete],Table1[[#This Row],[Pick]],Table2[Stat Category],"passing",Table2[Stat Type],"TD"))))</f>
        <v>0</v>
      </c>
      <c r="K700" s="6">
        <f>IF(AND($C700="Rushing", $H700&lt;=0), 0, IF(AND($C700="Passing", $G$3&lt;=0), 0,IF(AND($C700="Receiving",$I700&lt;=0),0,SUMIFS(Table2[Stat],Table2[Week],Table1[[#This Row],[Week]],Table2[Athlete],Table1[[#This Row],[Pick]],Table2[Stat Category],"rushing",Table2[Stat Type],"TD"))))</f>
        <v>0</v>
      </c>
      <c r="L700" s="6">
        <f>IF(AND($C700="Rushing", $H700&lt;=0), 0, IF(AND($C700="Passing", $G$3&lt;=0), 0,IF(AND($C700="Receiving",$I700&lt;=0),0,SUMIFS(Table2[Stat],Table2[Week],Table1[[#This Row],[Week]],Table2[Athlete],Table1[[#This Row],[Pick]],Table2[Stat Category],"receiving",Table2[Stat Type],"TD"))))</f>
        <v>0</v>
      </c>
      <c r="M7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0" s="61">
        <f>SUMIFS(Data!$J:$J,Data!$A:$A,Info!$B700,Data!$G:$G,Info!$C700,Data!$I:$I,Info!$D700,Data!$H:$H,"TOT")</f>
        <v>0</v>
      </c>
      <c r="O700" s="61">
        <f>IF(C700="Defensive",SUMIFS(Data!$J:$J,Data!$A:$A,Info!$B700,Data!$I:$I,Info!$D700,Data!$H:$H,"INT"),0)</f>
        <v>0</v>
      </c>
      <c r="P700" s="61">
        <f>IF(Table1[[#This Row],[Role]]="Defensive",SUMIFS(Data!$J:$J,Data!$A:$A,Info!$B700,Data!$I:$I,Info!$D700,Data!$H:$H,$P$1),0)</f>
        <v>0</v>
      </c>
      <c r="Q700" s="65" t="str">
        <f>IF(Table1[[#This Row],[Pick]]="","",IF(S700&gt;1,400,IF(G700="","",IF(C700="Passing",(400-Table1[[#This Row],[Passing Yards]]-(30*Table1[[#This Row],[Passing TDs]])-(50*SUM(Table1[[#This Row],[Rushing TDs]:[Other TD''s]]))),IF(C700="Rushing",2*(200-Table1[[#This Row],[Rushing Yards]]-(30*Table1[[#This Row],[Passing TDs]])-50*(Table1[[#This Row],[Rushing TDs]]+Table1[[#This Row],[Receiving TDs]]+Table1[[#This Row],[Other TD''s]])),IF(C700="Receiving",2*(200-Table1[[#This Row],[Receiving Yards]]-(30*Table1[[#This Row],[Passing TDs]])-50*(Table1[[#This Row],[Rushing TDs]]+Table1[[#This Row],[Receiving TDs]]+Table1[[#This Row],[Other TD''s]])),IF(C700="Defensive",(25*(16-Table1[[#This Row],[Tackles]]-(8*(Table1[[#This Row],[Other TD''s]]+Table1[[#This Row],[Interceptions]]+Table1[[#This Row],[Fumbles Recovered]])))))))))))</f>
        <v/>
      </c>
      <c r="R700" s="3" t="str">
        <f t="shared" si="22"/>
        <v/>
      </c>
      <c r="S700" s="4">
        <f t="shared" si="21"/>
        <v>1048507</v>
      </c>
      <c r="T7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1" spans="1:20" hidden="1" x14ac:dyDescent="0.25">
      <c r="A701" t="s">
        <v>5</v>
      </c>
      <c r="B701" s="28" t="s">
        <v>54</v>
      </c>
      <c r="C701" t="s">
        <v>17</v>
      </c>
      <c r="D701" t="str">
        <f>_xlfn.XLOOKUP(Table1[[#This Row],[Player]]&amp;Table1[[#This Row],[Week]]&amp;Table1[[#This Row],[Role]],'Google Form Transform'!$A:$A,'Google Form Transform'!E:E,"")</f>
        <v/>
      </c>
      <c r="E701" t="str">
        <f>_xlfn.XLOOKUP(Table1[[#This Row],[Player]]&amp;Table1[[#This Row],[Week]]&amp;Table1[[#This Row],[Role]],'Google Form Transform'!$A:$A,'Google Form Transform'!F:F,"")</f>
        <v/>
      </c>
      <c r="F701" t="str">
        <f>_xlfn.XLOOKUP(Table1[[#This Row],[Player]]&amp;Table1[[#This Row],[Week]]&amp;Table1[[#This Row],[Role]],'Google Form Transform'!$A:$A,'Google Form Transform'!G:G,"")</f>
        <v/>
      </c>
      <c r="G701" s="59">
        <f>SUMIFS(Table2[Stat],Table2[Stat Category],"passing",Table2[Stat Type],"YDS",Table2[Athlete],Table1[[#This Row],[Pick]],Table2[Week],Table1[[#This Row],[Week]])</f>
        <v>0</v>
      </c>
      <c r="H701" s="59">
        <f>SUMIFS(Table2[Stat],Table2[Stat Category],"rushing",Table2[Stat Type],"YDS",Table2[Athlete],Table1[[#This Row],[Pick]],Table2[Week],Table1[[#This Row],[Week]])</f>
        <v>0</v>
      </c>
      <c r="I701" s="59">
        <f>SUMIFS(Table2[Stat],Table2[Stat Category],"receiving",Table2[Stat Type],"YDS",Table2[Athlete],Table1[[#This Row],[Pick]],Table2[Week],Table1[[#This Row],[Week]])</f>
        <v>0</v>
      </c>
      <c r="J701" s="6">
        <f>IF(AND($C701="Rushing", $H701&lt;=0), 0, IF(AND($C701="Passing", $G$3&lt;=0), 0,IF(AND($C701="Receiving",$I701&lt;=0), 0,SUMIFS(Table2[Stat],Table2[Week],Table1[[#This Row],[Week]],Table2[Athlete],Table1[[#This Row],[Pick]],Table2[Stat Category],"passing",Table2[Stat Type],"TD"))))</f>
        <v>0</v>
      </c>
      <c r="K701" s="6">
        <f>IF(AND($C701="Rushing", $H701&lt;=0), 0, IF(AND($C701="Passing", $G$3&lt;=0), 0,IF(AND($C701="Receiving",$I701&lt;=0),0,SUMIFS(Table2[Stat],Table2[Week],Table1[[#This Row],[Week]],Table2[Athlete],Table1[[#This Row],[Pick]],Table2[Stat Category],"rushing",Table2[Stat Type],"TD"))))</f>
        <v>0</v>
      </c>
      <c r="L701" s="6">
        <f>IF(AND($C701="Rushing", $H701&lt;=0), 0, IF(AND($C701="Passing", $G$3&lt;=0), 0,IF(AND($C701="Receiving",$I701&lt;=0),0,SUMIFS(Table2[Stat],Table2[Week],Table1[[#This Row],[Week]],Table2[Athlete],Table1[[#This Row],[Pick]],Table2[Stat Category],"receiving",Table2[Stat Type],"TD"))))</f>
        <v>0</v>
      </c>
      <c r="M7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1" s="61">
        <f>SUMIFS(Data!$J:$J,Data!$A:$A,Info!$B701,Data!$G:$G,Info!$C701,Data!$I:$I,Info!$D701,Data!$H:$H,"TOT")</f>
        <v>0</v>
      </c>
      <c r="O701" s="61">
        <f>IF(C701="Defensive",SUMIFS(Data!$J:$J,Data!$A:$A,Info!$B701,Data!$I:$I,Info!$D701,Data!$H:$H,"INT"),0)</f>
        <v>0</v>
      </c>
      <c r="P701" s="61">
        <f>IF(Table1[[#This Row],[Role]]="Defensive",SUMIFS(Data!$J:$J,Data!$A:$A,Info!$B701,Data!$I:$I,Info!$D701,Data!$H:$H,$P$1),0)</f>
        <v>0</v>
      </c>
      <c r="Q701" s="65" t="str">
        <f>IF(Table1[[#This Row],[Pick]]="","",IF(S701&gt;1,400,IF(G701="","",IF(C701="Passing",(400-Table1[[#This Row],[Passing Yards]]-(30*Table1[[#This Row],[Passing TDs]])-(50*SUM(Table1[[#This Row],[Rushing TDs]:[Other TD''s]]))),IF(C701="Rushing",2*(200-Table1[[#This Row],[Rushing Yards]]-(30*Table1[[#This Row],[Passing TDs]])-50*(Table1[[#This Row],[Rushing TDs]]+Table1[[#This Row],[Receiving TDs]]+Table1[[#This Row],[Other TD''s]])),IF(C701="Receiving",2*(200-Table1[[#This Row],[Receiving Yards]]-(30*Table1[[#This Row],[Passing TDs]])-50*(Table1[[#This Row],[Rushing TDs]]+Table1[[#This Row],[Receiving TDs]]+Table1[[#This Row],[Other TD''s]])),IF(C701="Defensive",(25*(16-Table1[[#This Row],[Tackles]]-(8*(Table1[[#This Row],[Other TD''s]]+Table1[[#This Row],[Interceptions]]+Table1[[#This Row],[Fumbles Recovered]])))))))))))</f>
        <v/>
      </c>
      <c r="R701" s="3" t="str">
        <f t="shared" si="22"/>
        <v/>
      </c>
      <c r="S701" s="4">
        <f t="shared" si="21"/>
        <v>1048507</v>
      </c>
      <c r="T7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2" spans="1:20" hidden="1" x14ac:dyDescent="0.25">
      <c r="A702" t="s">
        <v>5</v>
      </c>
      <c r="B702" s="28" t="s">
        <v>54</v>
      </c>
      <c r="C702" t="s">
        <v>20</v>
      </c>
      <c r="D702" t="str">
        <f>_xlfn.XLOOKUP(Table1[[#This Row],[Player]]&amp;Table1[[#This Row],[Week]]&amp;Table1[[#This Row],[Role]],'Google Form Transform'!$A:$A,'Google Form Transform'!E:E,"")</f>
        <v/>
      </c>
      <c r="E702" t="str">
        <f>_xlfn.XLOOKUP(Table1[[#This Row],[Player]]&amp;Table1[[#This Row],[Week]]&amp;Table1[[#This Row],[Role]],'Google Form Transform'!$A:$A,'Google Form Transform'!F:F,"")</f>
        <v/>
      </c>
      <c r="F702" t="str">
        <f>_xlfn.XLOOKUP(Table1[[#This Row],[Player]]&amp;Table1[[#This Row],[Week]]&amp;Table1[[#This Row],[Role]],'Google Form Transform'!$A:$A,'Google Form Transform'!G:G,"")</f>
        <v/>
      </c>
      <c r="G702" s="59">
        <f>SUMIFS(Table2[Stat],Table2[Stat Category],"passing",Table2[Stat Type],"YDS",Table2[Athlete],Table1[[#This Row],[Pick]],Table2[Week],Table1[[#This Row],[Week]])</f>
        <v>0</v>
      </c>
      <c r="H702" s="59">
        <f>SUMIFS(Table2[Stat],Table2[Stat Category],"rushing",Table2[Stat Type],"YDS",Table2[Athlete],Table1[[#This Row],[Pick]],Table2[Week],Table1[[#This Row],[Week]])</f>
        <v>0</v>
      </c>
      <c r="I702" s="59">
        <f>SUMIFS(Table2[Stat],Table2[Stat Category],"receiving",Table2[Stat Type],"YDS",Table2[Athlete],Table1[[#This Row],[Pick]],Table2[Week],Table1[[#This Row],[Week]])</f>
        <v>0</v>
      </c>
      <c r="J702" s="6">
        <f>IF(AND($C702="Rushing", $H702&lt;=0), 0, IF(AND($C702="Passing", $G$3&lt;=0), 0,IF(AND($C702="Receiving",$I702&lt;=0), 0,SUMIFS(Table2[Stat],Table2[Week],Table1[[#This Row],[Week]],Table2[Athlete],Table1[[#This Row],[Pick]],Table2[Stat Category],"passing",Table2[Stat Type],"TD"))))</f>
        <v>0</v>
      </c>
      <c r="K702" s="6">
        <f>IF(AND($C702="Rushing", $H702&lt;=0), 0, IF(AND($C702="Passing", $G$3&lt;=0), 0,IF(AND($C702="Receiving",$I702&lt;=0),0,SUMIFS(Table2[Stat],Table2[Week],Table1[[#This Row],[Week]],Table2[Athlete],Table1[[#This Row],[Pick]],Table2[Stat Category],"rushing",Table2[Stat Type],"TD"))))</f>
        <v>0</v>
      </c>
      <c r="L702" s="6">
        <f>IF(AND($C702="Rushing", $H702&lt;=0), 0, IF(AND($C702="Passing", $G$3&lt;=0), 0,IF(AND($C702="Receiving",$I702&lt;=0),0,SUMIFS(Table2[Stat],Table2[Week],Table1[[#This Row],[Week]],Table2[Athlete],Table1[[#This Row],[Pick]],Table2[Stat Category],"receiving",Table2[Stat Type],"TD"))))</f>
        <v>0</v>
      </c>
      <c r="M7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2" s="61">
        <f>SUMIFS(Data!$J:$J,Data!$A:$A,Info!$B702,Data!$G:$G,Info!$C702,Data!$I:$I,Info!$D702,Data!$H:$H,"TOT")</f>
        <v>0</v>
      </c>
      <c r="O702" s="61">
        <f>IF(C702="Defensive",SUMIFS(Data!$J:$J,Data!$A:$A,Info!$B702,Data!$I:$I,Info!$D702,Data!$H:$H,"INT"),0)</f>
        <v>0</v>
      </c>
      <c r="P702" s="61">
        <f>IF(Table1[[#This Row],[Role]]="Defensive",SUMIFS(Data!$J:$J,Data!$A:$A,Info!$B702,Data!$I:$I,Info!$D702,Data!$H:$H,$P$1),0)</f>
        <v>0</v>
      </c>
      <c r="Q702" s="65" t="str">
        <f>IF(Table1[[#This Row],[Pick]]="","",IF(S702&gt;1,400,IF(G702="","",IF(C702="Passing",(400-Table1[[#This Row],[Passing Yards]]-(30*Table1[[#This Row],[Passing TDs]])-(50*SUM(Table1[[#This Row],[Rushing TDs]:[Other TD''s]]))),IF(C702="Rushing",2*(200-Table1[[#This Row],[Rushing Yards]]-(30*Table1[[#This Row],[Passing TDs]])-50*(Table1[[#This Row],[Rushing TDs]]+Table1[[#This Row],[Receiving TDs]]+Table1[[#This Row],[Other TD''s]])),IF(C702="Receiving",2*(200-Table1[[#This Row],[Receiving Yards]]-(30*Table1[[#This Row],[Passing TDs]])-50*(Table1[[#This Row],[Rushing TDs]]+Table1[[#This Row],[Receiving TDs]]+Table1[[#This Row],[Other TD''s]])),IF(C702="Defensive",(25*(16-Table1[[#This Row],[Tackles]]-(8*(Table1[[#This Row],[Other TD''s]]+Table1[[#This Row],[Interceptions]]+Table1[[#This Row],[Fumbles Recovered]])))))))))))</f>
        <v/>
      </c>
      <c r="R702" s="3" t="str">
        <f t="shared" si="22"/>
        <v/>
      </c>
      <c r="S702" s="4">
        <f t="shared" si="21"/>
        <v>1048507</v>
      </c>
      <c r="T7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3" spans="1:20" hidden="1" x14ac:dyDescent="0.25">
      <c r="A703" t="s">
        <v>18</v>
      </c>
      <c r="B703" s="28" t="s">
        <v>54</v>
      </c>
      <c r="C703" t="s">
        <v>16</v>
      </c>
      <c r="D703" t="str">
        <f>_xlfn.XLOOKUP(Table1[[#This Row],[Player]]&amp;Table1[[#This Row],[Week]]&amp;Table1[[#This Row],[Role]],'Google Form Transform'!$A:$A,'Google Form Transform'!E:E,"")</f>
        <v/>
      </c>
      <c r="E703" t="str">
        <f>_xlfn.XLOOKUP(Table1[[#This Row],[Player]]&amp;Table1[[#This Row],[Week]]&amp;Table1[[#This Row],[Role]],'Google Form Transform'!$A:$A,'Google Form Transform'!F:F,"")</f>
        <v/>
      </c>
      <c r="F703" t="str">
        <f>_xlfn.XLOOKUP(Table1[[#This Row],[Player]]&amp;Table1[[#This Row],[Week]]&amp;Table1[[#This Row],[Role]],'Google Form Transform'!$A:$A,'Google Form Transform'!G:G,"")</f>
        <v/>
      </c>
      <c r="G703" s="59">
        <f>SUMIFS(Table2[Stat],Table2[Stat Category],"passing",Table2[Stat Type],"YDS",Table2[Athlete],Table1[[#This Row],[Pick]],Table2[Week],Table1[[#This Row],[Week]])</f>
        <v>0</v>
      </c>
      <c r="H703" s="59">
        <f>SUMIFS(Table2[Stat],Table2[Stat Category],"rushing",Table2[Stat Type],"YDS",Table2[Athlete],Table1[[#This Row],[Pick]],Table2[Week],Table1[[#This Row],[Week]])</f>
        <v>0</v>
      </c>
      <c r="I703" s="59">
        <f>SUMIFS(Table2[Stat],Table2[Stat Category],"receiving",Table2[Stat Type],"YDS",Table2[Athlete],Table1[[#This Row],[Pick]],Table2[Week],Table1[[#This Row],[Week]])</f>
        <v>0</v>
      </c>
      <c r="J703" s="6">
        <f>IF(AND($C703="Rushing", $H703&lt;=0), 0, IF(AND($C703="Passing", $G$3&lt;=0), 0,IF(AND($C703="Receiving",$I703&lt;=0), 0,SUMIFS(Table2[Stat],Table2[Week],Table1[[#This Row],[Week]],Table2[Athlete],Table1[[#This Row],[Pick]],Table2[Stat Category],"passing",Table2[Stat Type],"TD"))))</f>
        <v>0</v>
      </c>
      <c r="K703" s="6">
        <f>IF(AND($C703="Rushing", $H703&lt;=0), 0, IF(AND($C703="Passing", $G$3&lt;=0), 0,IF(AND($C703="Receiving",$I703&lt;=0),0,SUMIFS(Table2[Stat],Table2[Week],Table1[[#This Row],[Week]],Table2[Athlete],Table1[[#This Row],[Pick]],Table2[Stat Category],"rushing",Table2[Stat Type],"TD"))))</f>
        <v>0</v>
      </c>
      <c r="L703" s="6">
        <f>IF(AND($C703="Rushing", $H703&lt;=0), 0, IF(AND($C703="Passing", $G$3&lt;=0), 0,IF(AND($C703="Receiving",$I703&lt;=0),0,SUMIFS(Table2[Stat],Table2[Week],Table1[[#This Row],[Week]],Table2[Athlete],Table1[[#This Row],[Pick]],Table2[Stat Category],"receiving",Table2[Stat Type],"TD"))))</f>
        <v>0</v>
      </c>
      <c r="M7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3" s="61">
        <f>SUMIFS(Data!$J:$J,Data!$A:$A,Info!$B703,Data!$G:$G,Info!$C703,Data!$I:$I,Info!$D703,Data!$H:$H,"TOT")</f>
        <v>0</v>
      </c>
      <c r="O703" s="61">
        <f>IF(C703="Defensive",SUMIFS(Data!$J:$J,Data!$A:$A,Info!$B703,Data!$I:$I,Info!$D703,Data!$H:$H,"INT"),0)</f>
        <v>0</v>
      </c>
      <c r="P703" s="61">
        <f>IF(Table1[[#This Row],[Role]]="Defensive",SUMIFS(Data!$J:$J,Data!$A:$A,Info!$B703,Data!$I:$I,Info!$D703,Data!$H:$H,$P$1),0)</f>
        <v>0</v>
      </c>
      <c r="Q703" s="65" t="str">
        <f>IF(Table1[[#This Row],[Pick]]="","",IF(S703&gt;1,400,IF(G703="","",IF(C703="Passing",(400-Table1[[#This Row],[Passing Yards]]-(30*Table1[[#This Row],[Passing TDs]])-(50*SUM(Table1[[#This Row],[Rushing TDs]:[Other TD''s]]))),IF(C703="Rushing",2*(200-Table1[[#This Row],[Rushing Yards]]-(30*Table1[[#This Row],[Passing TDs]])-50*(Table1[[#This Row],[Rushing TDs]]+Table1[[#This Row],[Receiving TDs]]+Table1[[#This Row],[Other TD''s]])),IF(C703="Receiving",2*(200-Table1[[#This Row],[Receiving Yards]]-(30*Table1[[#This Row],[Passing TDs]])-50*(Table1[[#This Row],[Rushing TDs]]+Table1[[#This Row],[Receiving TDs]]+Table1[[#This Row],[Other TD''s]])),IF(C703="Defensive",(25*(16-Table1[[#This Row],[Tackles]]-(8*(Table1[[#This Row],[Other TD''s]]+Table1[[#This Row],[Interceptions]]+Table1[[#This Row],[Fumbles Recovered]])))))))))))</f>
        <v/>
      </c>
      <c r="R703" s="3" t="str">
        <f t="shared" si="22"/>
        <v/>
      </c>
      <c r="S703" s="4">
        <f t="shared" si="21"/>
        <v>1048507</v>
      </c>
      <c r="T7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4" spans="1:20" hidden="1" x14ac:dyDescent="0.25">
      <c r="A704" t="s">
        <v>18</v>
      </c>
      <c r="B704" s="28" t="s">
        <v>54</v>
      </c>
      <c r="C704" t="s">
        <v>6</v>
      </c>
      <c r="D704" t="str">
        <f>_xlfn.XLOOKUP(Table1[[#This Row],[Player]]&amp;Table1[[#This Row],[Week]]&amp;Table1[[#This Row],[Role]],'Google Form Transform'!$A:$A,'Google Form Transform'!E:E,"")</f>
        <v/>
      </c>
      <c r="E704" t="str">
        <f>_xlfn.XLOOKUP(Table1[[#This Row],[Player]]&amp;Table1[[#This Row],[Week]]&amp;Table1[[#This Row],[Role]],'Google Form Transform'!$A:$A,'Google Form Transform'!F:F,"")</f>
        <v/>
      </c>
      <c r="F704" t="str">
        <f>_xlfn.XLOOKUP(Table1[[#This Row],[Player]]&amp;Table1[[#This Row],[Week]]&amp;Table1[[#This Row],[Role]],'Google Form Transform'!$A:$A,'Google Form Transform'!G:G,"")</f>
        <v/>
      </c>
      <c r="G704" s="59">
        <f>SUMIFS(Table2[Stat],Table2[Stat Category],"passing",Table2[Stat Type],"YDS",Table2[Athlete],Table1[[#This Row],[Pick]],Table2[Week],Table1[[#This Row],[Week]])</f>
        <v>0</v>
      </c>
      <c r="H704" s="59">
        <f>SUMIFS(Table2[Stat],Table2[Stat Category],"rushing",Table2[Stat Type],"YDS",Table2[Athlete],Table1[[#This Row],[Pick]],Table2[Week],Table1[[#This Row],[Week]])</f>
        <v>0</v>
      </c>
      <c r="I704" s="59">
        <f>SUMIFS(Table2[Stat],Table2[Stat Category],"receiving",Table2[Stat Type],"YDS",Table2[Athlete],Table1[[#This Row],[Pick]],Table2[Week],Table1[[#This Row],[Week]])</f>
        <v>0</v>
      </c>
      <c r="J704" s="6">
        <f>IF(AND($C704="Rushing", $H704&lt;=0), 0, IF(AND($C704="Passing", $G$3&lt;=0), 0,IF(AND($C704="Receiving",$I704&lt;=0), 0,SUMIFS(Table2[Stat],Table2[Week],Table1[[#This Row],[Week]],Table2[Athlete],Table1[[#This Row],[Pick]],Table2[Stat Category],"passing",Table2[Stat Type],"TD"))))</f>
        <v>0</v>
      </c>
      <c r="K704" s="6">
        <f>IF(AND($C704="Rushing", $H704&lt;=0), 0, IF(AND($C704="Passing", $G$3&lt;=0), 0,IF(AND($C704="Receiving",$I704&lt;=0),0,SUMIFS(Table2[Stat],Table2[Week],Table1[[#This Row],[Week]],Table2[Athlete],Table1[[#This Row],[Pick]],Table2[Stat Category],"rushing",Table2[Stat Type],"TD"))))</f>
        <v>0</v>
      </c>
      <c r="L704" s="6">
        <f>IF(AND($C704="Rushing", $H704&lt;=0), 0, IF(AND($C704="Passing", $G$3&lt;=0), 0,IF(AND($C704="Receiving",$I704&lt;=0),0,SUMIFS(Table2[Stat],Table2[Week],Table1[[#This Row],[Week]],Table2[Athlete],Table1[[#This Row],[Pick]],Table2[Stat Category],"receiving",Table2[Stat Type],"TD"))))</f>
        <v>0</v>
      </c>
      <c r="M7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4" s="61">
        <f>SUMIFS(Data!$J:$J,Data!$A:$A,Info!$B704,Data!$G:$G,Info!$C704,Data!$I:$I,Info!$D704,Data!$H:$H,"TOT")</f>
        <v>0</v>
      </c>
      <c r="O704" s="61">
        <f>IF(C704="Defensive",SUMIFS(Data!$J:$J,Data!$A:$A,Info!$B704,Data!$I:$I,Info!$D704,Data!$H:$H,"INT"),0)</f>
        <v>0</v>
      </c>
      <c r="P704" s="61">
        <f>IF(Table1[[#This Row],[Role]]="Defensive",SUMIFS(Data!$J:$J,Data!$A:$A,Info!$B704,Data!$I:$I,Info!$D704,Data!$H:$H,$P$1),0)</f>
        <v>0</v>
      </c>
      <c r="Q704" s="65" t="str">
        <f>IF(Table1[[#This Row],[Pick]]="","",IF(S704&gt;1,400,IF(G704="","",IF(C704="Passing",(400-Table1[[#This Row],[Passing Yards]]-(30*Table1[[#This Row],[Passing TDs]])-(50*SUM(Table1[[#This Row],[Rushing TDs]:[Other TD''s]]))),IF(C704="Rushing",2*(200-Table1[[#This Row],[Rushing Yards]]-(30*Table1[[#This Row],[Passing TDs]])-50*(Table1[[#This Row],[Rushing TDs]]+Table1[[#This Row],[Receiving TDs]]+Table1[[#This Row],[Other TD''s]])),IF(C704="Receiving",2*(200-Table1[[#This Row],[Receiving Yards]]-(30*Table1[[#This Row],[Passing TDs]])-50*(Table1[[#This Row],[Rushing TDs]]+Table1[[#This Row],[Receiving TDs]]+Table1[[#This Row],[Other TD''s]])),IF(C704="Defensive",(25*(16-Table1[[#This Row],[Tackles]]-(8*(Table1[[#This Row],[Other TD''s]]+Table1[[#This Row],[Interceptions]]+Table1[[#This Row],[Fumbles Recovered]])))))))))))</f>
        <v/>
      </c>
      <c r="R704" s="3" t="str">
        <f t="shared" si="22"/>
        <v/>
      </c>
      <c r="S704" s="4">
        <f t="shared" si="21"/>
        <v>1048507</v>
      </c>
      <c r="T7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5" spans="1:20" hidden="1" x14ac:dyDescent="0.25">
      <c r="A705" t="s">
        <v>18</v>
      </c>
      <c r="B705" s="28" t="s">
        <v>54</v>
      </c>
      <c r="C705" t="s">
        <v>17</v>
      </c>
      <c r="D705" t="str">
        <f>_xlfn.XLOOKUP(Table1[[#This Row],[Player]]&amp;Table1[[#This Row],[Week]]&amp;Table1[[#This Row],[Role]],'Google Form Transform'!$A:$A,'Google Form Transform'!E:E,"")</f>
        <v/>
      </c>
      <c r="E705" t="str">
        <f>_xlfn.XLOOKUP(Table1[[#This Row],[Player]]&amp;Table1[[#This Row],[Week]]&amp;Table1[[#This Row],[Role]],'Google Form Transform'!$A:$A,'Google Form Transform'!F:F,"")</f>
        <v/>
      </c>
      <c r="F705" t="str">
        <f>_xlfn.XLOOKUP(Table1[[#This Row],[Player]]&amp;Table1[[#This Row],[Week]]&amp;Table1[[#This Row],[Role]],'Google Form Transform'!$A:$A,'Google Form Transform'!G:G,"")</f>
        <v/>
      </c>
      <c r="G705" s="59">
        <f>SUMIFS(Table2[Stat],Table2[Stat Category],"passing",Table2[Stat Type],"YDS",Table2[Athlete],Table1[[#This Row],[Pick]],Table2[Week],Table1[[#This Row],[Week]])</f>
        <v>0</v>
      </c>
      <c r="H705" s="59">
        <f>SUMIFS(Table2[Stat],Table2[Stat Category],"rushing",Table2[Stat Type],"YDS",Table2[Athlete],Table1[[#This Row],[Pick]],Table2[Week],Table1[[#This Row],[Week]])</f>
        <v>0</v>
      </c>
      <c r="I705" s="59">
        <f>SUMIFS(Table2[Stat],Table2[Stat Category],"receiving",Table2[Stat Type],"YDS",Table2[Athlete],Table1[[#This Row],[Pick]],Table2[Week],Table1[[#This Row],[Week]])</f>
        <v>0</v>
      </c>
      <c r="J705" s="6">
        <f>IF(AND($C705="Rushing", $H705&lt;=0), 0, IF(AND($C705="Passing", $G$3&lt;=0), 0,IF(AND($C705="Receiving",$I705&lt;=0), 0,SUMIFS(Table2[Stat],Table2[Week],Table1[[#This Row],[Week]],Table2[Athlete],Table1[[#This Row],[Pick]],Table2[Stat Category],"passing",Table2[Stat Type],"TD"))))</f>
        <v>0</v>
      </c>
      <c r="K705" s="6">
        <f>IF(AND($C705="Rushing", $H705&lt;=0), 0, IF(AND($C705="Passing", $G$3&lt;=0), 0,IF(AND($C705="Receiving",$I705&lt;=0),0,SUMIFS(Table2[Stat],Table2[Week],Table1[[#This Row],[Week]],Table2[Athlete],Table1[[#This Row],[Pick]],Table2[Stat Category],"rushing",Table2[Stat Type],"TD"))))</f>
        <v>0</v>
      </c>
      <c r="L705" s="6">
        <f>IF(AND($C705="Rushing", $H705&lt;=0), 0, IF(AND($C705="Passing", $G$3&lt;=0), 0,IF(AND($C705="Receiving",$I705&lt;=0),0,SUMIFS(Table2[Stat],Table2[Week],Table1[[#This Row],[Week]],Table2[Athlete],Table1[[#This Row],[Pick]],Table2[Stat Category],"receiving",Table2[Stat Type],"TD"))))</f>
        <v>0</v>
      </c>
      <c r="M7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5" s="61">
        <f>SUMIFS(Data!$J:$J,Data!$A:$A,Info!$B705,Data!$G:$G,Info!$C705,Data!$I:$I,Info!$D705,Data!$H:$H,"TOT")</f>
        <v>0</v>
      </c>
      <c r="O705" s="61">
        <f>IF(C705="Defensive",SUMIFS(Data!$J:$J,Data!$A:$A,Info!$B705,Data!$I:$I,Info!$D705,Data!$H:$H,"INT"),0)</f>
        <v>0</v>
      </c>
      <c r="P705" s="61">
        <f>IF(Table1[[#This Row],[Role]]="Defensive",SUMIFS(Data!$J:$J,Data!$A:$A,Info!$B705,Data!$I:$I,Info!$D705,Data!$H:$H,$P$1),0)</f>
        <v>0</v>
      </c>
      <c r="Q705" s="65" t="str">
        <f>IF(Table1[[#This Row],[Pick]]="","",IF(S705&gt;1,400,IF(G705="","",IF(C705="Passing",(400-Table1[[#This Row],[Passing Yards]]-(30*Table1[[#This Row],[Passing TDs]])-(50*SUM(Table1[[#This Row],[Rushing TDs]:[Other TD''s]]))),IF(C705="Rushing",2*(200-Table1[[#This Row],[Rushing Yards]]-(30*Table1[[#This Row],[Passing TDs]])-50*(Table1[[#This Row],[Rushing TDs]]+Table1[[#This Row],[Receiving TDs]]+Table1[[#This Row],[Other TD''s]])),IF(C705="Receiving",2*(200-Table1[[#This Row],[Receiving Yards]]-(30*Table1[[#This Row],[Passing TDs]])-50*(Table1[[#This Row],[Rushing TDs]]+Table1[[#This Row],[Receiving TDs]]+Table1[[#This Row],[Other TD''s]])),IF(C705="Defensive",(25*(16-Table1[[#This Row],[Tackles]]-(8*(Table1[[#This Row],[Other TD''s]]+Table1[[#This Row],[Interceptions]]+Table1[[#This Row],[Fumbles Recovered]])))))))))))</f>
        <v/>
      </c>
      <c r="R705" s="3" t="str">
        <f t="shared" si="22"/>
        <v/>
      </c>
      <c r="S705" s="4">
        <f t="shared" si="21"/>
        <v>1048507</v>
      </c>
      <c r="T7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6" spans="1:20" hidden="1" x14ac:dyDescent="0.25">
      <c r="A706" t="s">
        <v>18</v>
      </c>
      <c r="B706" s="28" t="s">
        <v>54</v>
      </c>
      <c r="C706" t="s">
        <v>20</v>
      </c>
      <c r="D706" t="str">
        <f>_xlfn.XLOOKUP(Table1[[#This Row],[Player]]&amp;Table1[[#This Row],[Week]]&amp;Table1[[#This Row],[Role]],'Google Form Transform'!$A:$A,'Google Form Transform'!E:E,"")</f>
        <v/>
      </c>
      <c r="E706" t="str">
        <f>_xlfn.XLOOKUP(Table1[[#This Row],[Player]]&amp;Table1[[#This Row],[Week]]&amp;Table1[[#This Row],[Role]],'Google Form Transform'!$A:$A,'Google Form Transform'!F:F,"")</f>
        <v/>
      </c>
      <c r="F706" t="str">
        <f>_xlfn.XLOOKUP(Table1[[#This Row],[Player]]&amp;Table1[[#This Row],[Week]]&amp;Table1[[#This Row],[Role]],'Google Form Transform'!$A:$A,'Google Form Transform'!G:G,"")</f>
        <v/>
      </c>
      <c r="G706" s="59">
        <f>SUMIFS(Table2[Stat],Table2[Stat Category],"passing",Table2[Stat Type],"YDS",Table2[Athlete],Table1[[#This Row],[Pick]],Table2[Week],Table1[[#This Row],[Week]])</f>
        <v>0</v>
      </c>
      <c r="H706" s="59">
        <f>SUMIFS(Table2[Stat],Table2[Stat Category],"rushing",Table2[Stat Type],"YDS",Table2[Athlete],Table1[[#This Row],[Pick]],Table2[Week],Table1[[#This Row],[Week]])</f>
        <v>0</v>
      </c>
      <c r="I706" s="59">
        <f>SUMIFS(Table2[Stat],Table2[Stat Category],"receiving",Table2[Stat Type],"YDS",Table2[Athlete],Table1[[#This Row],[Pick]],Table2[Week],Table1[[#This Row],[Week]])</f>
        <v>0</v>
      </c>
      <c r="J706" s="6">
        <f>IF(AND($C706="Rushing", $H706&lt;=0), 0, IF(AND($C706="Passing", $G$3&lt;=0), 0,IF(AND($C706="Receiving",$I706&lt;=0), 0,SUMIFS(Table2[Stat],Table2[Week],Table1[[#This Row],[Week]],Table2[Athlete],Table1[[#This Row],[Pick]],Table2[Stat Category],"passing",Table2[Stat Type],"TD"))))</f>
        <v>0</v>
      </c>
      <c r="K706" s="6">
        <f>IF(AND($C706="Rushing", $H706&lt;=0), 0, IF(AND($C706="Passing", $G$3&lt;=0), 0,IF(AND($C706="Receiving",$I706&lt;=0),0,SUMIFS(Table2[Stat],Table2[Week],Table1[[#This Row],[Week]],Table2[Athlete],Table1[[#This Row],[Pick]],Table2[Stat Category],"rushing",Table2[Stat Type],"TD"))))</f>
        <v>0</v>
      </c>
      <c r="L706" s="6">
        <f>IF(AND($C706="Rushing", $H706&lt;=0), 0, IF(AND($C706="Passing", $G$3&lt;=0), 0,IF(AND($C706="Receiving",$I706&lt;=0),0,SUMIFS(Table2[Stat],Table2[Week],Table1[[#This Row],[Week]],Table2[Athlete],Table1[[#This Row],[Pick]],Table2[Stat Category],"receiving",Table2[Stat Type],"TD"))))</f>
        <v>0</v>
      </c>
      <c r="M7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6" s="61">
        <f>SUMIFS(Data!$J:$J,Data!$A:$A,Info!$B706,Data!$G:$G,Info!$C706,Data!$I:$I,Info!$D706,Data!$H:$H,"TOT")</f>
        <v>0</v>
      </c>
      <c r="O706" s="61">
        <f>IF(C706="Defensive",SUMIFS(Data!$J:$J,Data!$A:$A,Info!$B706,Data!$I:$I,Info!$D706,Data!$H:$H,"INT"),0)</f>
        <v>0</v>
      </c>
      <c r="P706" s="61">
        <f>IF(Table1[[#This Row],[Role]]="Defensive",SUMIFS(Data!$J:$J,Data!$A:$A,Info!$B706,Data!$I:$I,Info!$D706,Data!$H:$H,$P$1),0)</f>
        <v>0</v>
      </c>
      <c r="Q706" s="65" t="str">
        <f>IF(Table1[[#This Row],[Pick]]="","",IF(S706&gt;1,400,IF(G706="","",IF(C706="Passing",(400-Table1[[#This Row],[Passing Yards]]-(30*Table1[[#This Row],[Passing TDs]])-(50*SUM(Table1[[#This Row],[Rushing TDs]:[Other TD''s]]))),IF(C706="Rushing",2*(200-Table1[[#This Row],[Rushing Yards]]-(30*Table1[[#This Row],[Passing TDs]])-50*(Table1[[#This Row],[Rushing TDs]]+Table1[[#This Row],[Receiving TDs]]+Table1[[#This Row],[Other TD''s]])),IF(C706="Receiving",2*(200-Table1[[#This Row],[Receiving Yards]]-(30*Table1[[#This Row],[Passing TDs]])-50*(Table1[[#This Row],[Rushing TDs]]+Table1[[#This Row],[Receiving TDs]]+Table1[[#This Row],[Other TD''s]])),IF(C706="Defensive",(25*(16-Table1[[#This Row],[Tackles]]-(8*(Table1[[#This Row],[Other TD''s]]+Table1[[#This Row],[Interceptions]]+Table1[[#This Row],[Fumbles Recovered]])))))))))))</f>
        <v/>
      </c>
      <c r="R706" s="3" t="str">
        <f t="shared" si="22"/>
        <v/>
      </c>
      <c r="S706" s="4">
        <f t="shared" si="21"/>
        <v>1048507</v>
      </c>
      <c r="T7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7" spans="1:20" hidden="1" x14ac:dyDescent="0.25">
      <c r="A707" t="s">
        <v>19</v>
      </c>
      <c r="B707" s="28" t="s">
        <v>54</v>
      </c>
      <c r="C707" t="s">
        <v>16</v>
      </c>
      <c r="D707" t="str">
        <f>_xlfn.XLOOKUP(Table1[[#This Row],[Player]]&amp;Table1[[#This Row],[Week]]&amp;Table1[[#This Row],[Role]],'Google Form Transform'!$A:$A,'Google Form Transform'!E:E,"")</f>
        <v/>
      </c>
      <c r="E707" t="str">
        <f>_xlfn.XLOOKUP(Table1[[#This Row],[Player]]&amp;Table1[[#This Row],[Week]]&amp;Table1[[#This Row],[Role]],'Google Form Transform'!$A:$A,'Google Form Transform'!F:F,"")</f>
        <v/>
      </c>
      <c r="F707" t="str">
        <f>_xlfn.XLOOKUP(Table1[[#This Row],[Player]]&amp;Table1[[#This Row],[Week]]&amp;Table1[[#This Row],[Role]],'Google Form Transform'!$A:$A,'Google Form Transform'!G:G,"")</f>
        <v/>
      </c>
      <c r="G707" s="59">
        <f>SUMIFS(Table2[Stat],Table2[Stat Category],"passing",Table2[Stat Type],"YDS",Table2[Athlete],Table1[[#This Row],[Pick]],Table2[Week],Table1[[#This Row],[Week]])</f>
        <v>0</v>
      </c>
      <c r="H707" s="59">
        <f>SUMIFS(Table2[Stat],Table2[Stat Category],"rushing",Table2[Stat Type],"YDS",Table2[Athlete],Table1[[#This Row],[Pick]],Table2[Week],Table1[[#This Row],[Week]])</f>
        <v>0</v>
      </c>
      <c r="I707" s="59">
        <f>SUMIFS(Table2[Stat],Table2[Stat Category],"receiving",Table2[Stat Type],"YDS",Table2[Athlete],Table1[[#This Row],[Pick]],Table2[Week],Table1[[#This Row],[Week]])</f>
        <v>0</v>
      </c>
      <c r="J707" s="6">
        <f>IF(AND($C707="Rushing", $H707&lt;=0), 0, IF(AND($C707="Passing", $G$3&lt;=0), 0,IF(AND($C707="Receiving",$I707&lt;=0), 0,SUMIFS(Table2[Stat],Table2[Week],Table1[[#This Row],[Week]],Table2[Athlete],Table1[[#This Row],[Pick]],Table2[Stat Category],"passing",Table2[Stat Type],"TD"))))</f>
        <v>0</v>
      </c>
      <c r="K707" s="6">
        <f>IF(AND($C707="Rushing", $H707&lt;=0), 0, IF(AND($C707="Passing", $G$3&lt;=0), 0,IF(AND($C707="Receiving",$I707&lt;=0),0,SUMIFS(Table2[Stat],Table2[Week],Table1[[#This Row],[Week]],Table2[Athlete],Table1[[#This Row],[Pick]],Table2[Stat Category],"rushing",Table2[Stat Type],"TD"))))</f>
        <v>0</v>
      </c>
      <c r="L707" s="6">
        <f>IF(AND($C707="Rushing", $H707&lt;=0), 0, IF(AND($C707="Passing", $G$3&lt;=0), 0,IF(AND($C707="Receiving",$I707&lt;=0),0,SUMIFS(Table2[Stat],Table2[Week],Table1[[#This Row],[Week]],Table2[Athlete],Table1[[#This Row],[Pick]],Table2[Stat Category],"receiving",Table2[Stat Type],"TD"))))</f>
        <v>0</v>
      </c>
      <c r="M7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7" s="61">
        <f>SUMIFS(Data!$J:$J,Data!$A:$A,Info!$B707,Data!$G:$G,Info!$C707,Data!$I:$I,Info!$D707,Data!$H:$H,"TOT")</f>
        <v>0</v>
      </c>
      <c r="O707" s="61">
        <f>IF(C707="Defensive",SUMIFS(Data!$J:$J,Data!$A:$A,Info!$B707,Data!$I:$I,Info!$D707,Data!$H:$H,"INT"),0)</f>
        <v>0</v>
      </c>
      <c r="P707" s="61">
        <f>IF(Table1[[#This Row],[Role]]="Defensive",SUMIFS(Data!$J:$J,Data!$A:$A,Info!$B707,Data!$I:$I,Info!$D707,Data!$H:$H,$P$1),0)</f>
        <v>0</v>
      </c>
      <c r="Q707" s="65" t="str">
        <f>IF(Table1[[#This Row],[Pick]]="","",IF(S707&gt;1,400,IF(G707="","",IF(C707="Passing",(400-Table1[[#This Row],[Passing Yards]]-(30*Table1[[#This Row],[Passing TDs]])-(50*SUM(Table1[[#This Row],[Rushing TDs]:[Other TD''s]]))),IF(C707="Rushing",2*(200-Table1[[#This Row],[Rushing Yards]]-(30*Table1[[#This Row],[Passing TDs]])-50*(Table1[[#This Row],[Rushing TDs]]+Table1[[#This Row],[Receiving TDs]]+Table1[[#This Row],[Other TD''s]])),IF(C707="Receiving",2*(200-Table1[[#This Row],[Receiving Yards]]-(30*Table1[[#This Row],[Passing TDs]])-50*(Table1[[#This Row],[Rushing TDs]]+Table1[[#This Row],[Receiving TDs]]+Table1[[#This Row],[Other TD''s]])),IF(C707="Defensive",(25*(16-Table1[[#This Row],[Tackles]]-(8*(Table1[[#This Row],[Other TD''s]]+Table1[[#This Row],[Interceptions]]+Table1[[#This Row],[Fumbles Recovered]])))))))))))</f>
        <v/>
      </c>
      <c r="R707" s="3" t="str">
        <f t="shared" si="22"/>
        <v/>
      </c>
      <c r="S707" s="4">
        <f t="shared" ref="S707:S770" si="23">COUNTIF(R:R,R707)</f>
        <v>1048507</v>
      </c>
      <c r="T7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8" spans="1:20" hidden="1" x14ac:dyDescent="0.25">
      <c r="A708" t="s">
        <v>19</v>
      </c>
      <c r="B708" s="28" t="s">
        <v>54</v>
      </c>
      <c r="C708" t="s">
        <v>6</v>
      </c>
      <c r="D708" t="str">
        <f>_xlfn.XLOOKUP(Table1[[#This Row],[Player]]&amp;Table1[[#This Row],[Week]]&amp;Table1[[#This Row],[Role]],'Google Form Transform'!$A:$A,'Google Form Transform'!E:E,"")</f>
        <v/>
      </c>
      <c r="E708" t="str">
        <f>_xlfn.XLOOKUP(Table1[[#This Row],[Player]]&amp;Table1[[#This Row],[Week]]&amp;Table1[[#This Row],[Role]],'Google Form Transform'!$A:$A,'Google Form Transform'!F:F,"")</f>
        <v/>
      </c>
      <c r="F708" t="str">
        <f>_xlfn.XLOOKUP(Table1[[#This Row],[Player]]&amp;Table1[[#This Row],[Week]]&amp;Table1[[#This Row],[Role]],'Google Form Transform'!$A:$A,'Google Form Transform'!G:G,"")</f>
        <v/>
      </c>
      <c r="G708" s="59">
        <f>SUMIFS(Table2[Stat],Table2[Stat Category],"passing",Table2[Stat Type],"YDS",Table2[Athlete],Table1[[#This Row],[Pick]],Table2[Week],Table1[[#This Row],[Week]])</f>
        <v>0</v>
      </c>
      <c r="H708" s="59">
        <f>SUMIFS(Table2[Stat],Table2[Stat Category],"rushing",Table2[Stat Type],"YDS",Table2[Athlete],Table1[[#This Row],[Pick]],Table2[Week],Table1[[#This Row],[Week]])</f>
        <v>0</v>
      </c>
      <c r="I708" s="59">
        <f>SUMIFS(Table2[Stat],Table2[Stat Category],"receiving",Table2[Stat Type],"YDS",Table2[Athlete],Table1[[#This Row],[Pick]],Table2[Week],Table1[[#This Row],[Week]])</f>
        <v>0</v>
      </c>
      <c r="J708" s="6">
        <f>IF(AND($C708="Rushing", $H708&lt;=0), 0, IF(AND($C708="Passing", $G$3&lt;=0), 0,IF(AND($C708="Receiving",$I708&lt;=0), 0,SUMIFS(Table2[Stat],Table2[Week],Table1[[#This Row],[Week]],Table2[Athlete],Table1[[#This Row],[Pick]],Table2[Stat Category],"passing",Table2[Stat Type],"TD"))))</f>
        <v>0</v>
      </c>
      <c r="K708" s="6">
        <f>IF(AND($C708="Rushing", $H708&lt;=0), 0, IF(AND($C708="Passing", $G$3&lt;=0), 0,IF(AND($C708="Receiving",$I708&lt;=0),0,SUMIFS(Table2[Stat],Table2[Week],Table1[[#This Row],[Week]],Table2[Athlete],Table1[[#This Row],[Pick]],Table2[Stat Category],"rushing",Table2[Stat Type],"TD"))))</f>
        <v>0</v>
      </c>
      <c r="L708" s="6">
        <f>IF(AND($C708="Rushing", $H708&lt;=0), 0, IF(AND($C708="Passing", $G$3&lt;=0), 0,IF(AND($C708="Receiving",$I708&lt;=0),0,SUMIFS(Table2[Stat],Table2[Week],Table1[[#This Row],[Week]],Table2[Athlete],Table1[[#This Row],[Pick]],Table2[Stat Category],"receiving",Table2[Stat Type],"TD"))))</f>
        <v>0</v>
      </c>
      <c r="M7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8" s="61">
        <f>SUMIFS(Data!$J:$J,Data!$A:$A,Info!$B708,Data!$G:$G,Info!$C708,Data!$I:$I,Info!$D708,Data!$H:$H,"TOT")</f>
        <v>0</v>
      </c>
      <c r="O708" s="61">
        <f>IF(C708="Defensive",SUMIFS(Data!$J:$J,Data!$A:$A,Info!$B708,Data!$I:$I,Info!$D708,Data!$H:$H,"INT"),0)</f>
        <v>0</v>
      </c>
      <c r="P708" s="61">
        <f>IF(Table1[[#This Row],[Role]]="Defensive",SUMIFS(Data!$J:$J,Data!$A:$A,Info!$B708,Data!$I:$I,Info!$D708,Data!$H:$H,$P$1),0)</f>
        <v>0</v>
      </c>
      <c r="Q708" s="65" t="str">
        <f>IF(Table1[[#This Row],[Pick]]="","",IF(S708&gt;1,400,IF(G708="","",IF(C708="Passing",(400-Table1[[#This Row],[Passing Yards]]-(30*Table1[[#This Row],[Passing TDs]])-(50*SUM(Table1[[#This Row],[Rushing TDs]:[Other TD''s]]))),IF(C708="Rushing",2*(200-Table1[[#This Row],[Rushing Yards]]-(30*Table1[[#This Row],[Passing TDs]])-50*(Table1[[#This Row],[Rushing TDs]]+Table1[[#This Row],[Receiving TDs]]+Table1[[#This Row],[Other TD''s]])),IF(C708="Receiving",2*(200-Table1[[#This Row],[Receiving Yards]]-(30*Table1[[#This Row],[Passing TDs]])-50*(Table1[[#This Row],[Rushing TDs]]+Table1[[#This Row],[Receiving TDs]]+Table1[[#This Row],[Other TD''s]])),IF(C708="Defensive",(25*(16-Table1[[#This Row],[Tackles]]-(8*(Table1[[#This Row],[Other TD''s]]+Table1[[#This Row],[Interceptions]]+Table1[[#This Row],[Fumbles Recovered]])))))))))))</f>
        <v/>
      </c>
      <c r="R708" s="3" t="str">
        <f t="shared" ref="R708:R771" si="24">IF(D708="","",A708&amp;C708&amp;D708)</f>
        <v/>
      </c>
      <c r="S708" s="4">
        <f t="shared" si="23"/>
        <v>1048507</v>
      </c>
      <c r="T7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9" spans="1:20" hidden="1" x14ac:dyDescent="0.25">
      <c r="A709" t="s">
        <v>19</v>
      </c>
      <c r="B709" s="28" t="s">
        <v>54</v>
      </c>
      <c r="C709" t="s">
        <v>17</v>
      </c>
      <c r="D709" t="str">
        <f>_xlfn.XLOOKUP(Table1[[#This Row],[Player]]&amp;Table1[[#This Row],[Week]]&amp;Table1[[#This Row],[Role]],'Google Form Transform'!$A:$A,'Google Form Transform'!E:E,"")</f>
        <v/>
      </c>
      <c r="E709" t="str">
        <f>_xlfn.XLOOKUP(Table1[[#This Row],[Player]]&amp;Table1[[#This Row],[Week]]&amp;Table1[[#This Row],[Role]],'Google Form Transform'!$A:$A,'Google Form Transform'!F:F,"")</f>
        <v/>
      </c>
      <c r="F709" t="str">
        <f>_xlfn.XLOOKUP(Table1[[#This Row],[Player]]&amp;Table1[[#This Row],[Week]]&amp;Table1[[#This Row],[Role]],'Google Form Transform'!$A:$A,'Google Form Transform'!G:G,"")</f>
        <v/>
      </c>
      <c r="G709" s="59">
        <f>SUMIFS(Table2[Stat],Table2[Stat Category],"passing",Table2[Stat Type],"YDS",Table2[Athlete],Table1[[#This Row],[Pick]],Table2[Week],Table1[[#This Row],[Week]])</f>
        <v>0</v>
      </c>
      <c r="H709" s="59">
        <f>SUMIFS(Table2[Stat],Table2[Stat Category],"rushing",Table2[Stat Type],"YDS",Table2[Athlete],Table1[[#This Row],[Pick]],Table2[Week],Table1[[#This Row],[Week]])</f>
        <v>0</v>
      </c>
      <c r="I709" s="59">
        <f>SUMIFS(Table2[Stat],Table2[Stat Category],"receiving",Table2[Stat Type],"YDS",Table2[Athlete],Table1[[#This Row],[Pick]],Table2[Week],Table1[[#This Row],[Week]])</f>
        <v>0</v>
      </c>
      <c r="J709" s="6">
        <f>IF(AND($C709="Rushing", $H709&lt;=0), 0, IF(AND($C709="Passing", $G$3&lt;=0), 0,IF(AND($C709="Receiving",$I709&lt;=0), 0,SUMIFS(Table2[Stat],Table2[Week],Table1[[#This Row],[Week]],Table2[Athlete],Table1[[#This Row],[Pick]],Table2[Stat Category],"passing",Table2[Stat Type],"TD"))))</f>
        <v>0</v>
      </c>
      <c r="K709" s="6">
        <f>IF(AND($C709="Rushing", $H709&lt;=0), 0, IF(AND($C709="Passing", $G$3&lt;=0), 0,IF(AND($C709="Receiving",$I709&lt;=0),0,SUMIFS(Table2[Stat],Table2[Week],Table1[[#This Row],[Week]],Table2[Athlete],Table1[[#This Row],[Pick]],Table2[Stat Category],"rushing",Table2[Stat Type],"TD"))))</f>
        <v>0</v>
      </c>
      <c r="L709" s="6">
        <f>IF(AND($C709="Rushing", $H709&lt;=0), 0, IF(AND($C709="Passing", $G$3&lt;=0), 0,IF(AND($C709="Receiving",$I709&lt;=0),0,SUMIFS(Table2[Stat],Table2[Week],Table1[[#This Row],[Week]],Table2[Athlete],Table1[[#This Row],[Pick]],Table2[Stat Category],"receiving",Table2[Stat Type],"TD"))))</f>
        <v>0</v>
      </c>
      <c r="M7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9" s="61">
        <f>SUMIFS(Data!$J:$J,Data!$A:$A,Info!$B709,Data!$G:$G,Info!$C709,Data!$I:$I,Info!$D709,Data!$H:$H,"TOT")</f>
        <v>0</v>
      </c>
      <c r="O709" s="61">
        <f>IF(C709="Defensive",SUMIFS(Data!$J:$J,Data!$A:$A,Info!$B709,Data!$I:$I,Info!$D709,Data!$H:$H,"INT"),0)</f>
        <v>0</v>
      </c>
      <c r="P709" s="61">
        <f>IF(Table1[[#This Row],[Role]]="Defensive",SUMIFS(Data!$J:$J,Data!$A:$A,Info!$B709,Data!$I:$I,Info!$D709,Data!$H:$H,$P$1),0)</f>
        <v>0</v>
      </c>
      <c r="Q709" s="65" t="str">
        <f>IF(Table1[[#This Row],[Pick]]="","",IF(S709&gt;1,400,IF(G709="","",IF(C709="Passing",(400-Table1[[#This Row],[Passing Yards]]-(30*Table1[[#This Row],[Passing TDs]])-(50*SUM(Table1[[#This Row],[Rushing TDs]:[Other TD''s]]))),IF(C709="Rushing",2*(200-Table1[[#This Row],[Rushing Yards]]-(30*Table1[[#This Row],[Passing TDs]])-50*(Table1[[#This Row],[Rushing TDs]]+Table1[[#This Row],[Receiving TDs]]+Table1[[#This Row],[Other TD''s]])),IF(C709="Receiving",2*(200-Table1[[#This Row],[Receiving Yards]]-(30*Table1[[#This Row],[Passing TDs]])-50*(Table1[[#This Row],[Rushing TDs]]+Table1[[#This Row],[Receiving TDs]]+Table1[[#This Row],[Other TD''s]])),IF(C709="Defensive",(25*(16-Table1[[#This Row],[Tackles]]-(8*(Table1[[#This Row],[Other TD''s]]+Table1[[#This Row],[Interceptions]]+Table1[[#This Row],[Fumbles Recovered]])))))))))))</f>
        <v/>
      </c>
      <c r="R709" s="3" t="str">
        <f t="shared" si="24"/>
        <v/>
      </c>
      <c r="S709" s="4">
        <f t="shared" si="23"/>
        <v>1048507</v>
      </c>
      <c r="T7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0" spans="1:20" hidden="1" x14ac:dyDescent="0.25">
      <c r="A710" t="s">
        <v>19</v>
      </c>
      <c r="B710" s="28" t="s">
        <v>54</v>
      </c>
      <c r="C710" t="s">
        <v>20</v>
      </c>
      <c r="D710" t="str">
        <f>_xlfn.XLOOKUP(Table1[[#This Row],[Player]]&amp;Table1[[#This Row],[Week]]&amp;Table1[[#This Row],[Role]],'Google Form Transform'!$A:$A,'Google Form Transform'!E:E,"")</f>
        <v/>
      </c>
      <c r="E710" t="str">
        <f>_xlfn.XLOOKUP(Table1[[#This Row],[Player]]&amp;Table1[[#This Row],[Week]]&amp;Table1[[#This Row],[Role]],'Google Form Transform'!$A:$A,'Google Form Transform'!F:F,"")</f>
        <v/>
      </c>
      <c r="F710" t="str">
        <f>_xlfn.XLOOKUP(Table1[[#This Row],[Player]]&amp;Table1[[#This Row],[Week]]&amp;Table1[[#This Row],[Role]],'Google Form Transform'!$A:$A,'Google Form Transform'!G:G,"")</f>
        <v/>
      </c>
      <c r="G710" s="59">
        <f>SUMIFS(Table2[Stat],Table2[Stat Category],"passing",Table2[Stat Type],"YDS",Table2[Athlete],Table1[[#This Row],[Pick]],Table2[Week],Table1[[#This Row],[Week]])</f>
        <v>0</v>
      </c>
      <c r="H710" s="59">
        <f>SUMIFS(Table2[Stat],Table2[Stat Category],"rushing",Table2[Stat Type],"YDS",Table2[Athlete],Table1[[#This Row],[Pick]],Table2[Week],Table1[[#This Row],[Week]])</f>
        <v>0</v>
      </c>
      <c r="I710" s="59">
        <f>SUMIFS(Table2[Stat],Table2[Stat Category],"receiving",Table2[Stat Type],"YDS",Table2[Athlete],Table1[[#This Row],[Pick]],Table2[Week],Table1[[#This Row],[Week]])</f>
        <v>0</v>
      </c>
      <c r="J710" s="6">
        <f>IF(AND($C710="Rushing", $H710&lt;=0), 0, IF(AND($C710="Passing", $G$3&lt;=0), 0,IF(AND($C710="Receiving",$I710&lt;=0), 0,SUMIFS(Table2[Stat],Table2[Week],Table1[[#This Row],[Week]],Table2[Athlete],Table1[[#This Row],[Pick]],Table2[Stat Category],"passing",Table2[Stat Type],"TD"))))</f>
        <v>0</v>
      </c>
      <c r="K710" s="6">
        <f>IF(AND($C710="Rushing", $H710&lt;=0), 0, IF(AND($C710="Passing", $G$3&lt;=0), 0,IF(AND($C710="Receiving",$I710&lt;=0),0,SUMIFS(Table2[Stat],Table2[Week],Table1[[#This Row],[Week]],Table2[Athlete],Table1[[#This Row],[Pick]],Table2[Stat Category],"rushing",Table2[Stat Type],"TD"))))</f>
        <v>0</v>
      </c>
      <c r="L710" s="6">
        <f>IF(AND($C710="Rushing", $H710&lt;=0), 0, IF(AND($C710="Passing", $G$3&lt;=0), 0,IF(AND($C710="Receiving",$I710&lt;=0),0,SUMIFS(Table2[Stat],Table2[Week],Table1[[#This Row],[Week]],Table2[Athlete],Table1[[#This Row],[Pick]],Table2[Stat Category],"receiving",Table2[Stat Type],"TD"))))</f>
        <v>0</v>
      </c>
      <c r="M7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0" s="61">
        <f>SUMIFS(Data!$J:$J,Data!$A:$A,Info!$B710,Data!$G:$G,Info!$C710,Data!$I:$I,Info!$D710,Data!$H:$H,"TOT")</f>
        <v>0</v>
      </c>
      <c r="O710" s="61">
        <f>IF(C710="Defensive",SUMIFS(Data!$J:$J,Data!$A:$A,Info!$B710,Data!$I:$I,Info!$D710,Data!$H:$H,"INT"),0)</f>
        <v>0</v>
      </c>
      <c r="P710" s="61">
        <f>IF(Table1[[#This Row],[Role]]="Defensive",SUMIFS(Data!$J:$J,Data!$A:$A,Info!$B710,Data!$I:$I,Info!$D710,Data!$H:$H,$P$1),0)</f>
        <v>0</v>
      </c>
      <c r="Q710" s="65" t="str">
        <f>IF(Table1[[#This Row],[Pick]]="","",IF(S710&gt;1,400,IF(G710="","",IF(C710="Passing",(400-Table1[[#This Row],[Passing Yards]]-(30*Table1[[#This Row],[Passing TDs]])-(50*SUM(Table1[[#This Row],[Rushing TDs]:[Other TD''s]]))),IF(C710="Rushing",2*(200-Table1[[#This Row],[Rushing Yards]]-(30*Table1[[#This Row],[Passing TDs]])-50*(Table1[[#This Row],[Rushing TDs]]+Table1[[#This Row],[Receiving TDs]]+Table1[[#This Row],[Other TD''s]])),IF(C710="Receiving",2*(200-Table1[[#This Row],[Receiving Yards]]-(30*Table1[[#This Row],[Passing TDs]])-50*(Table1[[#This Row],[Rushing TDs]]+Table1[[#This Row],[Receiving TDs]]+Table1[[#This Row],[Other TD''s]])),IF(C710="Defensive",(25*(16-Table1[[#This Row],[Tackles]]-(8*(Table1[[#This Row],[Other TD''s]]+Table1[[#This Row],[Interceptions]]+Table1[[#This Row],[Fumbles Recovered]])))))))))))</f>
        <v/>
      </c>
      <c r="R710" s="3" t="str">
        <f t="shared" si="24"/>
        <v/>
      </c>
      <c r="S710" s="4">
        <f t="shared" si="23"/>
        <v>1048507</v>
      </c>
      <c r="T7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1" spans="1:20" hidden="1" x14ac:dyDescent="0.25">
      <c r="A711" t="s">
        <v>26</v>
      </c>
      <c r="B711" s="28" t="s">
        <v>54</v>
      </c>
      <c r="C711" t="s">
        <v>16</v>
      </c>
      <c r="D711" t="str">
        <f>_xlfn.XLOOKUP(Table1[[#This Row],[Player]]&amp;Table1[[#This Row],[Week]]&amp;Table1[[#This Row],[Role]],'Google Form Transform'!$A:$A,'Google Form Transform'!E:E,"")</f>
        <v/>
      </c>
      <c r="E711" t="str">
        <f>_xlfn.XLOOKUP(Table1[[#This Row],[Player]]&amp;Table1[[#This Row],[Week]]&amp;Table1[[#This Row],[Role]],'Google Form Transform'!$A:$A,'Google Form Transform'!F:F,"")</f>
        <v/>
      </c>
      <c r="F711" t="str">
        <f>_xlfn.XLOOKUP(Table1[[#This Row],[Player]]&amp;Table1[[#This Row],[Week]]&amp;Table1[[#This Row],[Role]],'Google Form Transform'!$A:$A,'Google Form Transform'!G:G,"")</f>
        <v/>
      </c>
      <c r="G711" s="59">
        <f>SUMIFS(Table2[Stat],Table2[Stat Category],"passing",Table2[Stat Type],"YDS",Table2[Athlete],Table1[[#This Row],[Pick]],Table2[Week],Table1[[#This Row],[Week]])</f>
        <v>0</v>
      </c>
      <c r="H711" s="59">
        <f>SUMIFS(Table2[Stat],Table2[Stat Category],"rushing",Table2[Stat Type],"YDS",Table2[Athlete],Table1[[#This Row],[Pick]],Table2[Week],Table1[[#This Row],[Week]])</f>
        <v>0</v>
      </c>
      <c r="I711" s="59">
        <f>SUMIFS(Table2[Stat],Table2[Stat Category],"receiving",Table2[Stat Type],"YDS",Table2[Athlete],Table1[[#This Row],[Pick]],Table2[Week],Table1[[#This Row],[Week]])</f>
        <v>0</v>
      </c>
      <c r="J711" s="6">
        <f>IF(AND($C711="Rushing", $H711&lt;=0), 0, IF(AND($C711="Passing", $G$3&lt;=0), 0,IF(AND($C711="Receiving",$I711&lt;=0), 0,SUMIFS(Table2[Stat],Table2[Week],Table1[[#This Row],[Week]],Table2[Athlete],Table1[[#This Row],[Pick]],Table2[Stat Category],"passing",Table2[Stat Type],"TD"))))</f>
        <v>0</v>
      </c>
      <c r="K711" s="6">
        <f>IF(AND($C711="Rushing", $H711&lt;=0), 0, IF(AND($C711="Passing", $G$3&lt;=0), 0,IF(AND($C711="Receiving",$I711&lt;=0),0,SUMIFS(Table2[Stat],Table2[Week],Table1[[#This Row],[Week]],Table2[Athlete],Table1[[#This Row],[Pick]],Table2[Stat Category],"rushing",Table2[Stat Type],"TD"))))</f>
        <v>0</v>
      </c>
      <c r="L711" s="6">
        <f>IF(AND($C711="Rushing", $H711&lt;=0), 0, IF(AND($C711="Passing", $G$3&lt;=0), 0,IF(AND($C711="Receiving",$I711&lt;=0),0,SUMIFS(Table2[Stat],Table2[Week],Table1[[#This Row],[Week]],Table2[Athlete],Table1[[#This Row],[Pick]],Table2[Stat Category],"receiving",Table2[Stat Type],"TD"))))</f>
        <v>0</v>
      </c>
      <c r="M7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1" s="61">
        <f>SUMIFS(Data!$J:$J,Data!$A:$A,Info!$B711,Data!$G:$G,Info!$C711,Data!$I:$I,Info!$D711,Data!$H:$H,"TOT")</f>
        <v>0</v>
      </c>
      <c r="O711" s="61">
        <f>IF(C711="Defensive",SUMIFS(Data!$J:$J,Data!$A:$A,Info!$B711,Data!$I:$I,Info!$D711,Data!$H:$H,"INT"),0)</f>
        <v>0</v>
      </c>
      <c r="P711" s="61">
        <f>IF(Table1[[#This Row],[Role]]="Defensive",SUMIFS(Data!$J:$J,Data!$A:$A,Info!$B711,Data!$I:$I,Info!$D711,Data!$H:$H,$P$1),0)</f>
        <v>0</v>
      </c>
      <c r="Q711" s="65" t="str">
        <f>IF(Table1[[#This Row],[Pick]]="","",IF(S711&gt;1,400,IF(G711="","",IF(C711="Passing",(400-Table1[[#This Row],[Passing Yards]]-(30*Table1[[#This Row],[Passing TDs]])-(50*SUM(Table1[[#This Row],[Rushing TDs]:[Other TD''s]]))),IF(C711="Rushing",2*(200-Table1[[#This Row],[Rushing Yards]]-(30*Table1[[#This Row],[Passing TDs]])-50*(Table1[[#This Row],[Rushing TDs]]+Table1[[#This Row],[Receiving TDs]]+Table1[[#This Row],[Other TD''s]])),IF(C711="Receiving",2*(200-Table1[[#This Row],[Receiving Yards]]-(30*Table1[[#This Row],[Passing TDs]])-50*(Table1[[#This Row],[Rushing TDs]]+Table1[[#This Row],[Receiving TDs]]+Table1[[#This Row],[Other TD''s]])),IF(C711="Defensive",(25*(16-Table1[[#This Row],[Tackles]]-(8*(Table1[[#This Row],[Other TD''s]]+Table1[[#This Row],[Interceptions]]+Table1[[#This Row],[Fumbles Recovered]])))))))))))</f>
        <v/>
      </c>
      <c r="R711" s="3" t="str">
        <f t="shared" si="24"/>
        <v/>
      </c>
      <c r="S711" s="4">
        <f t="shared" si="23"/>
        <v>1048507</v>
      </c>
      <c r="T7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2" spans="1:20" hidden="1" x14ac:dyDescent="0.25">
      <c r="A712" t="s">
        <v>26</v>
      </c>
      <c r="B712" s="28" t="s">
        <v>54</v>
      </c>
      <c r="C712" t="s">
        <v>6</v>
      </c>
      <c r="D712" t="str">
        <f>_xlfn.XLOOKUP(Table1[[#This Row],[Player]]&amp;Table1[[#This Row],[Week]]&amp;Table1[[#This Row],[Role]],'Google Form Transform'!$A:$A,'Google Form Transform'!E:E,"")</f>
        <v/>
      </c>
      <c r="E712" t="str">
        <f>_xlfn.XLOOKUP(Table1[[#This Row],[Player]]&amp;Table1[[#This Row],[Week]]&amp;Table1[[#This Row],[Role]],'Google Form Transform'!$A:$A,'Google Form Transform'!F:F,"")</f>
        <v/>
      </c>
      <c r="F712" t="str">
        <f>_xlfn.XLOOKUP(Table1[[#This Row],[Player]]&amp;Table1[[#This Row],[Week]]&amp;Table1[[#This Row],[Role]],'Google Form Transform'!$A:$A,'Google Form Transform'!G:G,"")</f>
        <v/>
      </c>
      <c r="G712" s="59">
        <f>SUMIFS(Table2[Stat],Table2[Stat Category],"passing",Table2[Stat Type],"YDS",Table2[Athlete],Table1[[#This Row],[Pick]],Table2[Week],Table1[[#This Row],[Week]])</f>
        <v>0</v>
      </c>
      <c r="H712" s="59">
        <f>SUMIFS(Table2[Stat],Table2[Stat Category],"rushing",Table2[Stat Type],"YDS",Table2[Athlete],Table1[[#This Row],[Pick]],Table2[Week],Table1[[#This Row],[Week]])</f>
        <v>0</v>
      </c>
      <c r="I712" s="59">
        <f>SUMIFS(Table2[Stat],Table2[Stat Category],"receiving",Table2[Stat Type],"YDS",Table2[Athlete],Table1[[#This Row],[Pick]],Table2[Week],Table1[[#This Row],[Week]])</f>
        <v>0</v>
      </c>
      <c r="J712" s="6">
        <f>IF(AND($C712="Rushing", $H712&lt;=0), 0, IF(AND($C712="Passing", $G$3&lt;=0), 0,IF(AND($C712="Receiving",$I712&lt;=0), 0,SUMIFS(Table2[Stat],Table2[Week],Table1[[#This Row],[Week]],Table2[Athlete],Table1[[#This Row],[Pick]],Table2[Stat Category],"passing",Table2[Stat Type],"TD"))))</f>
        <v>0</v>
      </c>
      <c r="K712" s="6">
        <f>IF(AND($C712="Rushing", $H712&lt;=0), 0, IF(AND($C712="Passing", $G$3&lt;=0), 0,IF(AND($C712="Receiving",$I712&lt;=0),0,SUMIFS(Table2[Stat],Table2[Week],Table1[[#This Row],[Week]],Table2[Athlete],Table1[[#This Row],[Pick]],Table2[Stat Category],"rushing",Table2[Stat Type],"TD"))))</f>
        <v>0</v>
      </c>
      <c r="L712" s="6">
        <f>IF(AND($C712="Rushing", $H712&lt;=0), 0, IF(AND($C712="Passing", $G$3&lt;=0), 0,IF(AND($C712="Receiving",$I712&lt;=0),0,SUMIFS(Table2[Stat],Table2[Week],Table1[[#This Row],[Week]],Table2[Athlete],Table1[[#This Row],[Pick]],Table2[Stat Category],"receiving",Table2[Stat Type],"TD"))))</f>
        <v>0</v>
      </c>
      <c r="M7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2" s="61">
        <f>SUMIFS(Data!$J:$J,Data!$A:$A,Info!$B712,Data!$G:$G,Info!$C712,Data!$I:$I,Info!$D712,Data!$H:$H,"TOT")</f>
        <v>0</v>
      </c>
      <c r="O712" s="61">
        <f>IF(C712="Defensive",SUMIFS(Data!$J:$J,Data!$A:$A,Info!$B712,Data!$I:$I,Info!$D712,Data!$H:$H,"INT"),0)</f>
        <v>0</v>
      </c>
      <c r="P712" s="61">
        <f>IF(Table1[[#This Row],[Role]]="Defensive",SUMIFS(Data!$J:$J,Data!$A:$A,Info!$B712,Data!$I:$I,Info!$D712,Data!$H:$H,$P$1),0)</f>
        <v>0</v>
      </c>
      <c r="Q712" s="65" t="str">
        <f>IF(Table1[[#This Row],[Pick]]="","",IF(S712&gt;1,400,IF(G712="","",IF(C712="Passing",(400-Table1[[#This Row],[Passing Yards]]-(30*Table1[[#This Row],[Passing TDs]])-(50*SUM(Table1[[#This Row],[Rushing TDs]:[Other TD''s]]))),IF(C712="Rushing",2*(200-Table1[[#This Row],[Rushing Yards]]-(30*Table1[[#This Row],[Passing TDs]])-50*(Table1[[#This Row],[Rushing TDs]]+Table1[[#This Row],[Receiving TDs]]+Table1[[#This Row],[Other TD''s]])),IF(C712="Receiving",2*(200-Table1[[#This Row],[Receiving Yards]]-(30*Table1[[#This Row],[Passing TDs]])-50*(Table1[[#This Row],[Rushing TDs]]+Table1[[#This Row],[Receiving TDs]]+Table1[[#This Row],[Other TD''s]])),IF(C712="Defensive",(25*(16-Table1[[#This Row],[Tackles]]-(8*(Table1[[#This Row],[Other TD''s]]+Table1[[#This Row],[Interceptions]]+Table1[[#This Row],[Fumbles Recovered]])))))))))))</f>
        <v/>
      </c>
      <c r="R712" s="3" t="str">
        <f t="shared" si="24"/>
        <v/>
      </c>
      <c r="S712" s="4">
        <f t="shared" si="23"/>
        <v>1048507</v>
      </c>
      <c r="T7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3" spans="1:20" hidden="1" x14ac:dyDescent="0.25">
      <c r="A713" t="s">
        <v>26</v>
      </c>
      <c r="B713" s="28" t="s">
        <v>54</v>
      </c>
      <c r="C713" t="s">
        <v>17</v>
      </c>
      <c r="D713" t="str">
        <f>_xlfn.XLOOKUP(Table1[[#This Row],[Player]]&amp;Table1[[#This Row],[Week]]&amp;Table1[[#This Row],[Role]],'Google Form Transform'!$A:$A,'Google Form Transform'!E:E,"")</f>
        <v/>
      </c>
      <c r="E713" t="str">
        <f>_xlfn.XLOOKUP(Table1[[#This Row],[Player]]&amp;Table1[[#This Row],[Week]]&amp;Table1[[#This Row],[Role]],'Google Form Transform'!$A:$A,'Google Form Transform'!F:F,"")</f>
        <v/>
      </c>
      <c r="F713" t="str">
        <f>_xlfn.XLOOKUP(Table1[[#This Row],[Player]]&amp;Table1[[#This Row],[Week]]&amp;Table1[[#This Row],[Role]],'Google Form Transform'!$A:$A,'Google Form Transform'!G:G,"")</f>
        <v/>
      </c>
      <c r="G713" s="59">
        <f>SUMIFS(Table2[Stat],Table2[Stat Category],"passing",Table2[Stat Type],"YDS",Table2[Athlete],Table1[[#This Row],[Pick]],Table2[Week],Table1[[#This Row],[Week]])</f>
        <v>0</v>
      </c>
      <c r="H713" s="59">
        <f>SUMIFS(Table2[Stat],Table2[Stat Category],"rushing",Table2[Stat Type],"YDS",Table2[Athlete],Table1[[#This Row],[Pick]],Table2[Week],Table1[[#This Row],[Week]])</f>
        <v>0</v>
      </c>
      <c r="I713" s="59">
        <f>SUMIFS(Table2[Stat],Table2[Stat Category],"receiving",Table2[Stat Type],"YDS",Table2[Athlete],Table1[[#This Row],[Pick]],Table2[Week],Table1[[#This Row],[Week]])</f>
        <v>0</v>
      </c>
      <c r="J713" s="6">
        <f>IF(AND($C713="Rushing", $H713&lt;=0), 0, IF(AND($C713="Passing", $G$3&lt;=0), 0,IF(AND($C713="Receiving",$I713&lt;=0), 0,SUMIFS(Table2[Stat],Table2[Week],Table1[[#This Row],[Week]],Table2[Athlete],Table1[[#This Row],[Pick]],Table2[Stat Category],"passing",Table2[Stat Type],"TD"))))</f>
        <v>0</v>
      </c>
      <c r="K713" s="6">
        <f>IF(AND($C713="Rushing", $H713&lt;=0), 0, IF(AND($C713="Passing", $G$3&lt;=0), 0,IF(AND($C713="Receiving",$I713&lt;=0),0,SUMIFS(Table2[Stat],Table2[Week],Table1[[#This Row],[Week]],Table2[Athlete],Table1[[#This Row],[Pick]],Table2[Stat Category],"rushing",Table2[Stat Type],"TD"))))</f>
        <v>0</v>
      </c>
      <c r="L713" s="6">
        <f>IF(AND($C713="Rushing", $H713&lt;=0), 0, IF(AND($C713="Passing", $G$3&lt;=0), 0,IF(AND($C713="Receiving",$I713&lt;=0),0,SUMIFS(Table2[Stat],Table2[Week],Table1[[#This Row],[Week]],Table2[Athlete],Table1[[#This Row],[Pick]],Table2[Stat Category],"receiving",Table2[Stat Type],"TD"))))</f>
        <v>0</v>
      </c>
      <c r="M7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3" s="61">
        <f>SUMIFS(Data!$J:$J,Data!$A:$A,Info!$B713,Data!$G:$G,Info!$C713,Data!$I:$I,Info!$D713,Data!$H:$H,"TOT")</f>
        <v>0</v>
      </c>
      <c r="O713" s="61">
        <f>IF(C713="Defensive",SUMIFS(Data!$J:$J,Data!$A:$A,Info!$B713,Data!$I:$I,Info!$D713,Data!$H:$H,"INT"),0)</f>
        <v>0</v>
      </c>
      <c r="P713" s="61">
        <f>IF(Table1[[#This Row],[Role]]="Defensive",SUMIFS(Data!$J:$J,Data!$A:$A,Info!$B713,Data!$I:$I,Info!$D713,Data!$H:$H,$P$1),0)</f>
        <v>0</v>
      </c>
      <c r="Q713" s="65" t="str">
        <f>IF(Table1[[#This Row],[Pick]]="","",IF(S713&gt;1,400,IF(G713="","",IF(C713="Passing",(400-Table1[[#This Row],[Passing Yards]]-(30*Table1[[#This Row],[Passing TDs]])-(50*SUM(Table1[[#This Row],[Rushing TDs]:[Other TD''s]]))),IF(C713="Rushing",2*(200-Table1[[#This Row],[Rushing Yards]]-(30*Table1[[#This Row],[Passing TDs]])-50*(Table1[[#This Row],[Rushing TDs]]+Table1[[#This Row],[Receiving TDs]]+Table1[[#This Row],[Other TD''s]])),IF(C713="Receiving",2*(200-Table1[[#This Row],[Receiving Yards]]-(30*Table1[[#This Row],[Passing TDs]])-50*(Table1[[#This Row],[Rushing TDs]]+Table1[[#This Row],[Receiving TDs]]+Table1[[#This Row],[Other TD''s]])),IF(C713="Defensive",(25*(16-Table1[[#This Row],[Tackles]]-(8*(Table1[[#This Row],[Other TD''s]]+Table1[[#This Row],[Interceptions]]+Table1[[#This Row],[Fumbles Recovered]])))))))))))</f>
        <v/>
      </c>
      <c r="R713" s="3" t="str">
        <f t="shared" si="24"/>
        <v/>
      </c>
      <c r="S713" s="4">
        <f t="shared" si="23"/>
        <v>1048507</v>
      </c>
      <c r="T7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4" spans="1:20" hidden="1" x14ac:dyDescent="0.25">
      <c r="A714" t="s">
        <v>26</v>
      </c>
      <c r="B714" s="28" t="s">
        <v>54</v>
      </c>
      <c r="C714" t="s">
        <v>20</v>
      </c>
      <c r="D714" t="str">
        <f>_xlfn.XLOOKUP(Table1[[#This Row],[Player]]&amp;Table1[[#This Row],[Week]]&amp;Table1[[#This Row],[Role]],'Google Form Transform'!$A:$A,'Google Form Transform'!E:E,"")</f>
        <v/>
      </c>
      <c r="E714" t="str">
        <f>_xlfn.XLOOKUP(Table1[[#This Row],[Player]]&amp;Table1[[#This Row],[Week]]&amp;Table1[[#This Row],[Role]],'Google Form Transform'!$A:$A,'Google Form Transform'!F:F,"")</f>
        <v/>
      </c>
      <c r="F714" t="str">
        <f>_xlfn.XLOOKUP(Table1[[#This Row],[Player]]&amp;Table1[[#This Row],[Week]]&amp;Table1[[#This Row],[Role]],'Google Form Transform'!$A:$A,'Google Form Transform'!G:G,"")</f>
        <v/>
      </c>
      <c r="G714" s="59">
        <f>SUMIFS(Table2[Stat],Table2[Stat Category],"passing",Table2[Stat Type],"YDS",Table2[Athlete],Table1[[#This Row],[Pick]],Table2[Week],Table1[[#This Row],[Week]])</f>
        <v>0</v>
      </c>
      <c r="H714" s="59">
        <f>SUMIFS(Table2[Stat],Table2[Stat Category],"rushing",Table2[Stat Type],"YDS",Table2[Athlete],Table1[[#This Row],[Pick]],Table2[Week],Table1[[#This Row],[Week]])</f>
        <v>0</v>
      </c>
      <c r="I714" s="59">
        <f>SUMIFS(Table2[Stat],Table2[Stat Category],"receiving",Table2[Stat Type],"YDS",Table2[Athlete],Table1[[#This Row],[Pick]],Table2[Week],Table1[[#This Row],[Week]])</f>
        <v>0</v>
      </c>
      <c r="J714" s="6">
        <f>IF(AND($C714="Rushing", $H714&lt;=0), 0, IF(AND($C714="Passing", $G$3&lt;=0), 0,IF(AND($C714="Receiving",$I714&lt;=0), 0,SUMIFS(Table2[Stat],Table2[Week],Table1[[#This Row],[Week]],Table2[Athlete],Table1[[#This Row],[Pick]],Table2[Stat Category],"passing",Table2[Stat Type],"TD"))))</f>
        <v>0</v>
      </c>
      <c r="K714" s="6">
        <f>IF(AND($C714="Rushing", $H714&lt;=0), 0, IF(AND($C714="Passing", $G$3&lt;=0), 0,IF(AND($C714="Receiving",$I714&lt;=0),0,SUMIFS(Table2[Stat],Table2[Week],Table1[[#This Row],[Week]],Table2[Athlete],Table1[[#This Row],[Pick]],Table2[Stat Category],"rushing",Table2[Stat Type],"TD"))))</f>
        <v>0</v>
      </c>
      <c r="L714" s="6">
        <f>IF(AND($C714="Rushing", $H714&lt;=0), 0, IF(AND($C714="Passing", $G$3&lt;=0), 0,IF(AND($C714="Receiving",$I714&lt;=0),0,SUMIFS(Table2[Stat],Table2[Week],Table1[[#This Row],[Week]],Table2[Athlete],Table1[[#This Row],[Pick]],Table2[Stat Category],"receiving",Table2[Stat Type],"TD"))))</f>
        <v>0</v>
      </c>
      <c r="M7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4" s="61">
        <f>SUMIFS(Data!$J:$J,Data!$A:$A,Info!$B714,Data!$G:$G,Info!$C714,Data!$I:$I,Info!$D714,Data!$H:$H,"TOT")</f>
        <v>0</v>
      </c>
      <c r="O714" s="61">
        <f>IF(C714="Defensive",SUMIFS(Data!$J:$J,Data!$A:$A,Info!$B714,Data!$I:$I,Info!$D714,Data!$H:$H,"INT"),0)</f>
        <v>0</v>
      </c>
      <c r="P714" s="61">
        <f>IF(Table1[[#This Row],[Role]]="Defensive",SUMIFS(Data!$J:$J,Data!$A:$A,Info!$B714,Data!$I:$I,Info!$D714,Data!$H:$H,$P$1),0)</f>
        <v>0</v>
      </c>
      <c r="Q714" s="65" t="str">
        <f>IF(Table1[[#This Row],[Pick]]="","",IF(S714&gt;1,400,IF(G714="","",IF(C714="Passing",(400-Table1[[#This Row],[Passing Yards]]-(30*Table1[[#This Row],[Passing TDs]])-(50*SUM(Table1[[#This Row],[Rushing TDs]:[Other TD''s]]))),IF(C714="Rushing",2*(200-Table1[[#This Row],[Rushing Yards]]-(30*Table1[[#This Row],[Passing TDs]])-50*(Table1[[#This Row],[Rushing TDs]]+Table1[[#This Row],[Receiving TDs]]+Table1[[#This Row],[Other TD''s]])),IF(C714="Receiving",2*(200-Table1[[#This Row],[Receiving Yards]]-(30*Table1[[#This Row],[Passing TDs]])-50*(Table1[[#This Row],[Rushing TDs]]+Table1[[#This Row],[Receiving TDs]]+Table1[[#This Row],[Other TD''s]])),IF(C714="Defensive",(25*(16-Table1[[#This Row],[Tackles]]-(8*(Table1[[#This Row],[Other TD''s]]+Table1[[#This Row],[Interceptions]]+Table1[[#This Row],[Fumbles Recovered]])))))))))))</f>
        <v/>
      </c>
      <c r="R714" s="3" t="str">
        <f t="shared" si="24"/>
        <v/>
      </c>
      <c r="S714" s="4">
        <f t="shared" si="23"/>
        <v>1048507</v>
      </c>
      <c r="T7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5" spans="1:20" hidden="1" x14ac:dyDescent="0.25">
      <c r="A715" t="s">
        <v>43</v>
      </c>
      <c r="B715" s="28" t="s">
        <v>54</v>
      </c>
      <c r="C715" t="s">
        <v>16</v>
      </c>
      <c r="D715" t="str">
        <f>_xlfn.XLOOKUP(Table1[[#This Row],[Player]]&amp;Table1[[#This Row],[Week]]&amp;Table1[[#This Row],[Role]],'Google Form Transform'!$A:$A,'Google Form Transform'!E:E,"")</f>
        <v/>
      </c>
      <c r="E715" t="str">
        <f>_xlfn.XLOOKUP(Table1[[#This Row],[Player]]&amp;Table1[[#This Row],[Week]]&amp;Table1[[#This Row],[Role]],'Google Form Transform'!$A:$A,'Google Form Transform'!F:F,"")</f>
        <v/>
      </c>
      <c r="F715" t="str">
        <f>_xlfn.XLOOKUP(Table1[[#This Row],[Player]]&amp;Table1[[#This Row],[Week]]&amp;Table1[[#This Row],[Role]],'Google Form Transform'!$A:$A,'Google Form Transform'!G:G,"")</f>
        <v/>
      </c>
      <c r="G715" s="59">
        <f>SUMIFS(Table2[Stat],Table2[Stat Category],"passing",Table2[Stat Type],"YDS",Table2[Athlete],Table1[[#This Row],[Pick]],Table2[Week],Table1[[#This Row],[Week]])</f>
        <v>0</v>
      </c>
      <c r="H715" s="59">
        <f>SUMIFS(Table2[Stat],Table2[Stat Category],"rushing",Table2[Stat Type],"YDS",Table2[Athlete],Table1[[#This Row],[Pick]],Table2[Week],Table1[[#This Row],[Week]])</f>
        <v>0</v>
      </c>
      <c r="I715" s="59">
        <f>SUMIFS(Table2[Stat],Table2[Stat Category],"receiving",Table2[Stat Type],"YDS",Table2[Athlete],Table1[[#This Row],[Pick]],Table2[Week],Table1[[#This Row],[Week]])</f>
        <v>0</v>
      </c>
      <c r="J715" s="6">
        <f>IF(AND($C715="Rushing", $H715&lt;=0), 0, IF(AND($C715="Passing", $G$3&lt;=0), 0,IF(AND($C715="Receiving",$I715&lt;=0), 0,SUMIFS(Table2[Stat],Table2[Week],Table1[[#This Row],[Week]],Table2[Athlete],Table1[[#This Row],[Pick]],Table2[Stat Category],"passing",Table2[Stat Type],"TD"))))</f>
        <v>0</v>
      </c>
      <c r="K715" s="6">
        <f>IF(AND($C715="Rushing", $H715&lt;=0), 0, IF(AND($C715="Passing", $G$3&lt;=0), 0,IF(AND($C715="Receiving",$I715&lt;=0),0,SUMIFS(Table2[Stat],Table2[Week],Table1[[#This Row],[Week]],Table2[Athlete],Table1[[#This Row],[Pick]],Table2[Stat Category],"rushing",Table2[Stat Type],"TD"))))</f>
        <v>0</v>
      </c>
      <c r="L715" s="6">
        <f>IF(AND($C715="Rushing", $H715&lt;=0), 0, IF(AND($C715="Passing", $G$3&lt;=0), 0,IF(AND($C715="Receiving",$I715&lt;=0),0,SUMIFS(Table2[Stat],Table2[Week],Table1[[#This Row],[Week]],Table2[Athlete],Table1[[#This Row],[Pick]],Table2[Stat Category],"receiving",Table2[Stat Type],"TD"))))</f>
        <v>0</v>
      </c>
      <c r="M7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5" s="61">
        <f>SUMIFS(Data!$J:$J,Data!$A:$A,Info!$B715,Data!$G:$G,Info!$C715,Data!$I:$I,Info!$D715,Data!$H:$H,"TOT")</f>
        <v>0</v>
      </c>
      <c r="O715" s="61">
        <f>IF(C715="Defensive",SUMIFS(Data!$J:$J,Data!$A:$A,Info!$B715,Data!$I:$I,Info!$D715,Data!$H:$H,"INT"),0)</f>
        <v>0</v>
      </c>
      <c r="P715" s="61">
        <f>IF(Table1[[#This Row],[Role]]="Defensive",SUMIFS(Data!$J:$J,Data!$A:$A,Info!$B715,Data!$I:$I,Info!$D715,Data!$H:$H,$P$1),0)</f>
        <v>0</v>
      </c>
      <c r="Q715" s="65" t="str">
        <f>IF(Table1[[#This Row],[Pick]]="","",IF(S715&gt;1,400,IF(G715="","",IF(C715="Passing",(400-Table1[[#This Row],[Passing Yards]]-(30*Table1[[#This Row],[Passing TDs]])-(50*SUM(Table1[[#This Row],[Rushing TDs]:[Other TD''s]]))),IF(C715="Rushing",2*(200-Table1[[#This Row],[Rushing Yards]]-(30*Table1[[#This Row],[Passing TDs]])-50*(Table1[[#This Row],[Rushing TDs]]+Table1[[#This Row],[Receiving TDs]]+Table1[[#This Row],[Other TD''s]])),IF(C715="Receiving",2*(200-Table1[[#This Row],[Receiving Yards]]-(30*Table1[[#This Row],[Passing TDs]])-50*(Table1[[#This Row],[Rushing TDs]]+Table1[[#This Row],[Receiving TDs]]+Table1[[#This Row],[Other TD''s]])),IF(C715="Defensive",(25*(16-Table1[[#This Row],[Tackles]]-(8*(Table1[[#This Row],[Other TD''s]]+Table1[[#This Row],[Interceptions]]+Table1[[#This Row],[Fumbles Recovered]])))))))))))</f>
        <v/>
      </c>
      <c r="R715" s="3" t="str">
        <f t="shared" si="24"/>
        <v/>
      </c>
      <c r="S715" s="4">
        <f t="shared" si="23"/>
        <v>1048507</v>
      </c>
      <c r="T7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6" spans="1:20" hidden="1" x14ac:dyDescent="0.25">
      <c r="A716" t="s">
        <v>43</v>
      </c>
      <c r="B716" s="28" t="s">
        <v>54</v>
      </c>
      <c r="C716" t="s">
        <v>6</v>
      </c>
      <c r="D716" t="str">
        <f>_xlfn.XLOOKUP(Table1[[#This Row],[Player]]&amp;Table1[[#This Row],[Week]]&amp;Table1[[#This Row],[Role]],'Google Form Transform'!$A:$A,'Google Form Transform'!E:E,"")</f>
        <v/>
      </c>
      <c r="E716" t="str">
        <f>_xlfn.XLOOKUP(Table1[[#This Row],[Player]]&amp;Table1[[#This Row],[Week]]&amp;Table1[[#This Row],[Role]],'Google Form Transform'!$A:$A,'Google Form Transform'!F:F,"")</f>
        <v/>
      </c>
      <c r="F716" t="str">
        <f>_xlfn.XLOOKUP(Table1[[#This Row],[Player]]&amp;Table1[[#This Row],[Week]]&amp;Table1[[#This Row],[Role]],'Google Form Transform'!$A:$A,'Google Form Transform'!G:G,"")</f>
        <v/>
      </c>
      <c r="G716" s="59">
        <f>SUMIFS(Table2[Stat],Table2[Stat Category],"passing",Table2[Stat Type],"YDS",Table2[Athlete],Table1[[#This Row],[Pick]],Table2[Week],Table1[[#This Row],[Week]])</f>
        <v>0</v>
      </c>
      <c r="H716" s="59">
        <f>SUMIFS(Table2[Stat],Table2[Stat Category],"rushing",Table2[Stat Type],"YDS",Table2[Athlete],Table1[[#This Row],[Pick]],Table2[Week],Table1[[#This Row],[Week]])</f>
        <v>0</v>
      </c>
      <c r="I716" s="59">
        <f>SUMIFS(Table2[Stat],Table2[Stat Category],"receiving",Table2[Stat Type],"YDS",Table2[Athlete],Table1[[#This Row],[Pick]],Table2[Week],Table1[[#This Row],[Week]])</f>
        <v>0</v>
      </c>
      <c r="J716" s="6">
        <f>IF(AND($C716="Rushing", $H716&lt;=0), 0, IF(AND($C716="Passing", $G$3&lt;=0), 0,IF(AND($C716="Receiving",$I716&lt;=0), 0,SUMIFS(Table2[Stat],Table2[Week],Table1[[#This Row],[Week]],Table2[Athlete],Table1[[#This Row],[Pick]],Table2[Stat Category],"passing",Table2[Stat Type],"TD"))))</f>
        <v>0</v>
      </c>
      <c r="K716" s="6">
        <f>IF(AND($C716="Rushing", $H716&lt;=0), 0, IF(AND($C716="Passing", $G$3&lt;=0), 0,IF(AND($C716="Receiving",$I716&lt;=0),0,SUMIFS(Table2[Stat],Table2[Week],Table1[[#This Row],[Week]],Table2[Athlete],Table1[[#This Row],[Pick]],Table2[Stat Category],"rushing",Table2[Stat Type],"TD"))))</f>
        <v>0</v>
      </c>
      <c r="L716" s="6">
        <f>IF(AND($C716="Rushing", $H716&lt;=0), 0, IF(AND($C716="Passing", $G$3&lt;=0), 0,IF(AND($C716="Receiving",$I716&lt;=0),0,SUMIFS(Table2[Stat],Table2[Week],Table1[[#This Row],[Week]],Table2[Athlete],Table1[[#This Row],[Pick]],Table2[Stat Category],"receiving",Table2[Stat Type],"TD"))))</f>
        <v>0</v>
      </c>
      <c r="M7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6" s="61">
        <f>SUMIFS(Data!$J:$J,Data!$A:$A,Info!$B716,Data!$G:$G,Info!$C716,Data!$I:$I,Info!$D716,Data!$H:$H,"TOT")</f>
        <v>0</v>
      </c>
      <c r="O716" s="61">
        <f>IF(C716="Defensive",SUMIFS(Data!$J:$J,Data!$A:$A,Info!$B716,Data!$I:$I,Info!$D716,Data!$H:$H,"INT"),0)</f>
        <v>0</v>
      </c>
      <c r="P716" s="61">
        <f>IF(Table1[[#This Row],[Role]]="Defensive",SUMIFS(Data!$J:$J,Data!$A:$A,Info!$B716,Data!$I:$I,Info!$D716,Data!$H:$H,$P$1),0)</f>
        <v>0</v>
      </c>
      <c r="Q716" s="65" t="str">
        <f>IF(Table1[[#This Row],[Pick]]="","",IF(S716&gt;1,400,IF(G716="","",IF(C716="Passing",(400-Table1[[#This Row],[Passing Yards]]-(30*Table1[[#This Row],[Passing TDs]])-(50*SUM(Table1[[#This Row],[Rushing TDs]:[Other TD''s]]))),IF(C716="Rushing",2*(200-Table1[[#This Row],[Rushing Yards]]-(30*Table1[[#This Row],[Passing TDs]])-50*(Table1[[#This Row],[Rushing TDs]]+Table1[[#This Row],[Receiving TDs]]+Table1[[#This Row],[Other TD''s]])),IF(C716="Receiving",2*(200-Table1[[#This Row],[Receiving Yards]]-(30*Table1[[#This Row],[Passing TDs]])-50*(Table1[[#This Row],[Rushing TDs]]+Table1[[#This Row],[Receiving TDs]]+Table1[[#This Row],[Other TD''s]])),IF(C716="Defensive",(25*(16-Table1[[#This Row],[Tackles]]-(8*(Table1[[#This Row],[Other TD''s]]+Table1[[#This Row],[Interceptions]]+Table1[[#This Row],[Fumbles Recovered]])))))))))))</f>
        <v/>
      </c>
      <c r="R716" s="3" t="str">
        <f t="shared" si="24"/>
        <v/>
      </c>
      <c r="S716" s="4">
        <f t="shared" si="23"/>
        <v>1048507</v>
      </c>
      <c r="T7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7" spans="1:20" hidden="1" x14ac:dyDescent="0.25">
      <c r="A717" t="s">
        <v>43</v>
      </c>
      <c r="B717" s="28" t="s">
        <v>54</v>
      </c>
      <c r="C717" t="s">
        <v>17</v>
      </c>
      <c r="D717" t="str">
        <f>_xlfn.XLOOKUP(Table1[[#This Row],[Player]]&amp;Table1[[#This Row],[Week]]&amp;Table1[[#This Row],[Role]],'Google Form Transform'!$A:$A,'Google Form Transform'!E:E,"")</f>
        <v/>
      </c>
      <c r="E717" t="str">
        <f>_xlfn.XLOOKUP(Table1[[#This Row],[Player]]&amp;Table1[[#This Row],[Week]]&amp;Table1[[#This Row],[Role]],'Google Form Transform'!$A:$A,'Google Form Transform'!F:F,"")</f>
        <v/>
      </c>
      <c r="F717" t="str">
        <f>_xlfn.XLOOKUP(Table1[[#This Row],[Player]]&amp;Table1[[#This Row],[Week]]&amp;Table1[[#This Row],[Role]],'Google Form Transform'!$A:$A,'Google Form Transform'!G:G,"")</f>
        <v/>
      </c>
      <c r="G717" s="59">
        <f>SUMIFS(Table2[Stat],Table2[Stat Category],"passing",Table2[Stat Type],"YDS",Table2[Athlete],Table1[[#This Row],[Pick]],Table2[Week],Table1[[#This Row],[Week]])</f>
        <v>0</v>
      </c>
      <c r="H717" s="59">
        <f>SUMIFS(Table2[Stat],Table2[Stat Category],"rushing",Table2[Stat Type],"YDS",Table2[Athlete],Table1[[#This Row],[Pick]],Table2[Week],Table1[[#This Row],[Week]])</f>
        <v>0</v>
      </c>
      <c r="I717" s="59">
        <f>SUMIFS(Table2[Stat],Table2[Stat Category],"receiving",Table2[Stat Type],"YDS",Table2[Athlete],Table1[[#This Row],[Pick]],Table2[Week],Table1[[#This Row],[Week]])</f>
        <v>0</v>
      </c>
      <c r="J717" s="6">
        <f>IF(AND($C717="Rushing", $H717&lt;=0), 0, IF(AND($C717="Passing", $G$3&lt;=0), 0,IF(AND($C717="Receiving",$I717&lt;=0), 0,SUMIFS(Table2[Stat],Table2[Week],Table1[[#This Row],[Week]],Table2[Athlete],Table1[[#This Row],[Pick]],Table2[Stat Category],"passing",Table2[Stat Type],"TD"))))</f>
        <v>0</v>
      </c>
      <c r="K717" s="6">
        <f>IF(AND($C717="Rushing", $H717&lt;=0), 0, IF(AND($C717="Passing", $G$3&lt;=0), 0,IF(AND($C717="Receiving",$I717&lt;=0),0,SUMIFS(Table2[Stat],Table2[Week],Table1[[#This Row],[Week]],Table2[Athlete],Table1[[#This Row],[Pick]],Table2[Stat Category],"rushing",Table2[Stat Type],"TD"))))</f>
        <v>0</v>
      </c>
      <c r="L717" s="6">
        <f>IF(AND($C717="Rushing", $H717&lt;=0), 0, IF(AND($C717="Passing", $G$3&lt;=0), 0,IF(AND($C717="Receiving",$I717&lt;=0),0,SUMIFS(Table2[Stat],Table2[Week],Table1[[#This Row],[Week]],Table2[Athlete],Table1[[#This Row],[Pick]],Table2[Stat Category],"receiving",Table2[Stat Type],"TD"))))</f>
        <v>0</v>
      </c>
      <c r="M7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7" s="61">
        <f>SUMIFS(Data!$J:$J,Data!$A:$A,Info!$B717,Data!$G:$G,Info!$C717,Data!$I:$I,Info!$D717,Data!$H:$H,"TOT")</f>
        <v>0</v>
      </c>
      <c r="O717" s="61">
        <f>IF(C717="Defensive",SUMIFS(Data!$J:$J,Data!$A:$A,Info!$B717,Data!$I:$I,Info!$D717,Data!$H:$H,"INT"),0)</f>
        <v>0</v>
      </c>
      <c r="P717" s="61">
        <f>IF(Table1[[#This Row],[Role]]="Defensive",SUMIFS(Data!$J:$J,Data!$A:$A,Info!$B717,Data!$I:$I,Info!$D717,Data!$H:$H,$P$1),0)</f>
        <v>0</v>
      </c>
      <c r="Q717" s="65" t="str">
        <f>IF(Table1[[#This Row],[Pick]]="","",IF(S717&gt;1,400,IF(G717="","",IF(C717="Passing",(400-Table1[[#This Row],[Passing Yards]]-(30*Table1[[#This Row],[Passing TDs]])-(50*SUM(Table1[[#This Row],[Rushing TDs]:[Other TD''s]]))),IF(C717="Rushing",2*(200-Table1[[#This Row],[Rushing Yards]]-(30*Table1[[#This Row],[Passing TDs]])-50*(Table1[[#This Row],[Rushing TDs]]+Table1[[#This Row],[Receiving TDs]]+Table1[[#This Row],[Other TD''s]])),IF(C717="Receiving",2*(200-Table1[[#This Row],[Receiving Yards]]-(30*Table1[[#This Row],[Passing TDs]])-50*(Table1[[#This Row],[Rushing TDs]]+Table1[[#This Row],[Receiving TDs]]+Table1[[#This Row],[Other TD''s]])),IF(C717="Defensive",(25*(16-Table1[[#This Row],[Tackles]]-(8*(Table1[[#This Row],[Other TD''s]]+Table1[[#This Row],[Interceptions]]+Table1[[#This Row],[Fumbles Recovered]])))))))))))</f>
        <v/>
      </c>
      <c r="R717" s="3" t="str">
        <f t="shared" si="24"/>
        <v/>
      </c>
      <c r="S717" s="4">
        <f t="shared" si="23"/>
        <v>1048507</v>
      </c>
      <c r="T7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8" spans="1:20" hidden="1" x14ac:dyDescent="0.25">
      <c r="A718" t="s">
        <v>43</v>
      </c>
      <c r="B718" s="28" t="s">
        <v>54</v>
      </c>
      <c r="C718" t="s">
        <v>20</v>
      </c>
      <c r="D718" t="str">
        <f>_xlfn.XLOOKUP(Table1[[#This Row],[Player]]&amp;Table1[[#This Row],[Week]]&amp;Table1[[#This Row],[Role]],'Google Form Transform'!$A:$A,'Google Form Transform'!E:E,"")</f>
        <v/>
      </c>
      <c r="E718" t="str">
        <f>_xlfn.XLOOKUP(Table1[[#This Row],[Player]]&amp;Table1[[#This Row],[Week]]&amp;Table1[[#This Row],[Role]],'Google Form Transform'!$A:$A,'Google Form Transform'!F:F,"")</f>
        <v/>
      </c>
      <c r="F718" t="str">
        <f>_xlfn.XLOOKUP(Table1[[#This Row],[Player]]&amp;Table1[[#This Row],[Week]]&amp;Table1[[#This Row],[Role]],'Google Form Transform'!$A:$A,'Google Form Transform'!G:G,"")</f>
        <v/>
      </c>
      <c r="G718" s="59">
        <f>SUMIFS(Table2[Stat],Table2[Stat Category],"passing",Table2[Stat Type],"YDS",Table2[Athlete],Table1[[#This Row],[Pick]],Table2[Week],Table1[[#This Row],[Week]])</f>
        <v>0</v>
      </c>
      <c r="H718" s="59">
        <f>SUMIFS(Table2[Stat],Table2[Stat Category],"rushing",Table2[Stat Type],"YDS",Table2[Athlete],Table1[[#This Row],[Pick]],Table2[Week],Table1[[#This Row],[Week]])</f>
        <v>0</v>
      </c>
      <c r="I718" s="59">
        <f>SUMIFS(Table2[Stat],Table2[Stat Category],"receiving",Table2[Stat Type],"YDS",Table2[Athlete],Table1[[#This Row],[Pick]],Table2[Week],Table1[[#This Row],[Week]])</f>
        <v>0</v>
      </c>
      <c r="J718" s="6">
        <f>IF(AND($C718="Rushing", $H718&lt;=0), 0, IF(AND($C718="Passing", $G$3&lt;=0), 0,IF(AND($C718="Receiving",$I718&lt;=0), 0,SUMIFS(Table2[Stat],Table2[Week],Table1[[#This Row],[Week]],Table2[Athlete],Table1[[#This Row],[Pick]],Table2[Stat Category],"passing",Table2[Stat Type],"TD"))))</f>
        <v>0</v>
      </c>
      <c r="K718" s="6">
        <f>IF(AND($C718="Rushing", $H718&lt;=0), 0, IF(AND($C718="Passing", $G$3&lt;=0), 0,IF(AND($C718="Receiving",$I718&lt;=0),0,SUMIFS(Table2[Stat],Table2[Week],Table1[[#This Row],[Week]],Table2[Athlete],Table1[[#This Row],[Pick]],Table2[Stat Category],"rushing",Table2[Stat Type],"TD"))))</f>
        <v>0</v>
      </c>
      <c r="L718" s="6">
        <f>IF(AND($C718="Rushing", $H718&lt;=0), 0, IF(AND($C718="Passing", $G$3&lt;=0), 0,IF(AND($C718="Receiving",$I718&lt;=0),0,SUMIFS(Table2[Stat],Table2[Week],Table1[[#This Row],[Week]],Table2[Athlete],Table1[[#This Row],[Pick]],Table2[Stat Category],"receiving",Table2[Stat Type],"TD"))))</f>
        <v>0</v>
      </c>
      <c r="M7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8" s="61">
        <f>SUMIFS(Data!$J:$J,Data!$A:$A,Info!$B718,Data!$G:$G,Info!$C718,Data!$I:$I,Info!$D718,Data!$H:$H,"TOT")</f>
        <v>0</v>
      </c>
      <c r="O718" s="61">
        <f>IF(C718="Defensive",SUMIFS(Data!$J:$J,Data!$A:$A,Info!$B718,Data!$I:$I,Info!$D718,Data!$H:$H,"INT"),0)</f>
        <v>0</v>
      </c>
      <c r="P718" s="61">
        <f>IF(Table1[[#This Row],[Role]]="Defensive",SUMIFS(Data!$J:$J,Data!$A:$A,Info!$B718,Data!$I:$I,Info!$D718,Data!$H:$H,$P$1),0)</f>
        <v>0</v>
      </c>
      <c r="Q718" s="65" t="str">
        <f>IF(Table1[[#This Row],[Pick]]="","",IF(S718&gt;1,400,IF(G718="","",IF(C718="Passing",(400-Table1[[#This Row],[Passing Yards]]-(30*Table1[[#This Row],[Passing TDs]])-(50*SUM(Table1[[#This Row],[Rushing TDs]:[Other TD''s]]))),IF(C718="Rushing",2*(200-Table1[[#This Row],[Rushing Yards]]-(30*Table1[[#This Row],[Passing TDs]])-50*(Table1[[#This Row],[Rushing TDs]]+Table1[[#This Row],[Receiving TDs]]+Table1[[#This Row],[Other TD''s]])),IF(C718="Receiving",2*(200-Table1[[#This Row],[Receiving Yards]]-(30*Table1[[#This Row],[Passing TDs]])-50*(Table1[[#This Row],[Rushing TDs]]+Table1[[#This Row],[Receiving TDs]]+Table1[[#This Row],[Other TD''s]])),IF(C718="Defensive",(25*(16-Table1[[#This Row],[Tackles]]-(8*(Table1[[#This Row],[Other TD''s]]+Table1[[#This Row],[Interceptions]]+Table1[[#This Row],[Fumbles Recovered]])))))))))))</f>
        <v/>
      </c>
      <c r="R718" s="3" t="str">
        <f t="shared" si="24"/>
        <v/>
      </c>
      <c r="S718" s="4">
        <f t="shared" si="23"/>
        <v>1048507</v>
      </c>
      <c r="T7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9" spans="1:20" hidden="1" x14ac:dyDescent="0.25">
      <c r="A719" t="s">
        <v>7</v>
      </c>
      <c r="B719" s="28" t="s">
        <v>54</v>
      </c>
      <c r="C719" t="s">
        <v>16</v>
      </c>
      <c r="D719" t="str">
        <f>_xlfn.XLOOKUP(Table1[[#This Row],[Player]]&amp;Table1[[#This Row],[Week]]&amp;Table1[[#This Row],[Role]],'Google Form Transform'!$A:$A,'Google Form Transform'!E:E,"")</f>
        <v/>
      </c>
      <c r="E719" t="str">
        <f>_xlfn.XLOOKUP(Table1[[#This Row],[Player]]&amp;Table1[[#This Row],[Week]]&amp;Table1[[#This Row],[Role]],'Google Form Transform'!$A:$A,'Google Form Transform'!F:F,"")</f>
        <v/>
      </c>
      <c r="F719" t="str">
        <f>_xlfn.XLOOKUP(Table1[[#This Row],[Player]]&amp;Table1[[#This Row],[Week]]&amp;Table1[[#This Row],[Role]],'Google Form Transform'!$A:$A,'Google Form Transform'!G:G,"")</f>
        <v/>
      </c>
      <c r="G719" s="59">
        <f>SUMIFS(Table2[Stat],Table2[Stat Category],"passing",Table2[Stat Type],"YDS",Table2[Athlete],Table1[[#This Row],[Pick]],Table2[Week],Table1[[#This Row],[Week]])</f>
        <v>0</v>
      </c>
      <c r="H719" s="59">
        <f>SUMIFS(Table2[Stat],Table2[Stat Category],"rushing",Table2[Stat Type],"YDS",Table2[Athlete],Table1[[#This Row],[Pick]],Table2[Week],Table1[[#This Row],[Week]])</f>
        <v>0</v>
      </c>
      <c r="I719" s="59">
        <f>SUMIFS(Table2[Stat],Table2[Stat Category],"receiving",Table2[Stat Type],"YDS",Table2[Athlete],Table1[[#This Row],[Pick]],Table2[Week],Table1[[#This Row],[Week]])</f>
        <v>0</v>
      </c>
      <c r="J719" s="6">
        <f>IF(AND($C719="Rushing", $H719&lt;=0), 0, IF(AND($C719="Passing", $G$3&lt;=0), 0,IF(AND($C719="Receiving",$I719&lt;=0), 0,SUMIFS(Table2[Stat],Table2[Week],Table1[[#This Row],[Week]],Table2[Athlete],Table1[[#This Row],[Pick]],Table2[Stat Category],"passing",Table2[Stat Type],"TD"))))</f>
        <v>0</v>
      </c>
      <c r="K719" s="6">
        <f>IF(AND($C719="Rushing", $H719&lt;=0), 0, IF(AND($C719="Passing", $G$3&lt;=0), 0,IF(AND($C719="Receiving",$I719&lt;=0),0,SUMIFS(Table2[Stat],Table2[Week],Table1[[#This Row],[Week]],Table2[Athlete],Table1[[#This Row],[Pick]],Table2[Stat Category],"rushing",Table2[Stat Type],"TD"))))</f>
        <v>0</v>
      </c>
      <c r="L719" s="6">
        <f>IF(AND($C719="Rushing", $H719&lt;=0), 0, IF(AND($C719="Passing", $G$3&lt;=0), 0,IF(AND($C719="Receiving",$I719&lt;=0),0,SUMIFS(Table2[Stat],Table2[Week],Table1[[#This Row],[Week]],Table2[Athlete],Table1[[#This Row],[Pick]],Table2[Stat Category],"receiving",Table2[Stat Type],"TD"))))</f>
        <v>0</v>
      </c>
      <c r="M7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9" s="61">
        <f>SUMIFS(Data!$J:$J,Data!$A:$A,Info!$B719,Data!$G:$G,Info!$C719,Data!$I:$I,Info!$D719,Data!$H:$H,"TOT")</f>
        <v>0</v>
      </c>
      <c r="O719" s="61">
        <f>IF(C719="Defensive",SUMIFS(Data!$J:$J,Data!$A:$A,Info!$B719,Data!$I:$I,Info!$D719,Data!$H:$H,"INT"),0)</f>
        <v>0</v>
      </c>
      <c r="P719" s="61">
        <f>IF(Table1[[#This Row],[Role]]="Defensive",SUMIFS(Data!$J:$J,Data!$A:$A,Info!$B719,Data!$I:$I,Info!$D719,Data!$H:$H,$P$1),0)</f>
        <v>0</v>
      </c>
      <c r="Q719" s="65" t="str">
        <f>IF(Table1[[#This Row],[Pick]]="","",IF(S719&gt;1,400,IF(G719="","",IF(C719="Passing",(400-Table1[[#This Row],[Passing Yards]]-(30*Table1[[#This Row],[Passing TDs]])-(50*SUM(Table1[[#This Row],[Rushing TDs]:[Other TD''s]]))),IF(C719="Rushing",2*(200-Table1[[#This Row],[Rushing Yards]]-(30*Table1[[#This Row],[Passing TDs]])-50*(Table1[[#This Row],[Rushing TDs]]+Table1[[#This Row],[Receiving TDs]]+Table1[[#This Row],[Other TD''s]])),IF(C719="Receiving",2*(200-Table1[[#This Row],[Receiving Yards]]-(30*Table1[[#This Row],[Passing TDs]])-50*(Table1[[#This Row],[Rushing TDs]]+Table1[[#This Row],[Receiving TDs]]+Table1[[#This Row],[Other TD''s]])),IF(C719="Defensive",(25*(16-Table1[[#This Row],[Tackles]]-(8*(Table1[[#This Row],[Other TD''s]]+Table1[[#This Row],[Interceptions]]+Table1[[#This Row],[Fumbles Recovered]])))))))))))</f>
        <v/>
      </c>
      <c r="R719" s="3" t="str">
        <f t="shared" si="24"/>
        <v/>
      </c>
      <c r="S719" s="4">
        <f t="shared" si="23"/>
        <v>1048507</v>
      </c>
      <c r="T7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0" spans="1:20" hidden="1" x14ac:dyDescent="0.25">
      <c r="A720" t="s">
        <v>7</v>
      </c>
      <c r="B720" s="28" t="s">
        <v>54</v>
      </c>
      <c r="C720" t="s">
        <v>6</v>
      </c>
      <c r="D720" t="str">
        <f>_xlfn.XLOOKUP(Table1[[#This Row],[Player]]&amp;Table1[[#This Row],[Week]]&amp;Table1[[#This Row],[Role]],'Google Form Transform'!$A:$A,'Google Form Transform'!E:E,"")</f>
        <v/>
      </c>
      <c r="E720" t="str">
        <f>_xlfn.XLOOKUP(Table1[[#This Row],[Player]]&amp;Table1[[#This Row],[Week]]&amp;Table1[[#This Row],[Role]],'Google Form Transform'!$A:$A,'Google Form Transform'!F:F,"")</f>
        <v/>
      </c>
      <c r="F720" t="str">
        <f>_xlfn.XLOOKUP(Table1[[#This Row],[Player]]&amp;Table1[[#This Row],[Week]]&amp;Table1[[#This Row],[Role]],'Google Form Transform'!$A:$A,'Google Form Transform'!G:G,"")</f>
        <v/>
      </c>
      <c r="G720" s="59">
        <f>SUMIFS(Table2[Stat],Table2[Stat Category],"passing",Table2[Stat Type],"YDS",Table2[Athlete],Table1[[#This Row],[Pick]],Table2[Week],Table1[[#This Row],[Week]])</f>
        <v>0</v>
      </c>
      <c r="H720" s="59">
        <f>SUMIFS(Table2[Stat],Table2[Stat Category],"rushing",Table2[Stat Type],"YDS",Table2[Athlete],Table1[[#This Row],[Pick]],Table2[Week],Table1[[#This Row],[Week]])</f>
        <v>0</v>
      </c>
      <c r="I720" s="59">
        <f>SUMIFS(Table2[Stat],Table2[Stat Category],"receiving",Table2[Stat Type],"YDS",Table2[Athlete],Table1[[#This Row],[Pick]],Table2[Week],Table1[[#This Row],[Week]])</f>
        <v>0</v>
      </c>
      <c r="J720" s="6">
        <f>IF(AND($C720="Rushing", $H720&lt;=0), 0, IF(AND($C720="Passing", $G$3&lt;=0), 0,IF(AND($C720="Receiving",$I720&lt;=0), 0,SUMIFS(Table2[Stat],Table2[Week],Table1[[#This Row],[Week]],Table2[Athlete],Table1[[#This Row],[Pick]],Table2[Stat Category],"passing",Table2[Stat Type],"TD"))))</f>
        <v>0</v>
      </c>
      <c r="K720" s="6">
        <f>IF(AND($C720="Rushing", $H720&lt;=0), 0, IF(AND($C720="Passing", $G$3&lt;=0), 0,IF(AND($C720="Receiving",$I720&lt;=0),0,SUMIFS(Table2[Stat],Table2[Week],Table1[[#This Row],[Week]],Table2[Athlete],Table1[[#This Row],[Pick]],Table2[Stat Category],"rushing",Table2[Stat Type],"TD"))))</f>
        <v>0</v>
      </c>
      <c r="L720" s="6">
        <f>IF(AND($C720="Rushing", $H720&lt;=0), 0, IF(AND($C720="Passing", $G$3&lt;=0), 0,IF(AND($C720="Receiving",$I720&lt;=0),0,SUMIFS(Table2[Stat],Table2[Week],Table1[[#This Row],[Week]],Table2[Athlete],Table1[[#This Row],[Pick]],Table2[Stat Category],"receiving",Table2[Stat Type],"TD"))))</f>
        <v>0</v>
      </c>
      <c r="M7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0" s="61">
        <f>SUMIFS(Data!$J:$J,Data!$A:$A,Info!$B720,Data!$G:$G,Info!$C720,Data!$I:$I,Info!$D720,Data!$H:$H,"TOT")</f>
        <v>0</v>
      </c>
      <c r="O720" s="61">
        <f>IF(C720="Defensive",SUMIFS(Data!$J:$J,Data!$A:$A,Info!$B720,Data!$I:$I,Info!$D720,Data!$H:$H,"INT"),0)</f>
        <v>0</v>
      </c>
      <c r="P720" s="61">
        <f>IF(Table1[[#This Row],[Role]]="Defensive",SUMIFS(Data!$J:$J,Data!$A:$A,Info!$B720,Data!$I:$I,Info!$D720,Data!$H:$H,$P$1),0)</f>
        <v>0</v>
      </c>
      <c r="Q720" s="65" t="str">
        <f>IF(Table1[[#This Row],[Pick]]="","",IF(S720&gt;1,400,IF(G720="","",IF(C720="Passing",(400-Table1[[#This Row],[Passing Yards]]-(30*Table1[[#This Row],[Passing TDs]])-(50*SUM(Table1[[#This Row],[Rushing TDs]:[Other TD''s]]))),IF(C720="Rushing",2*(200-Table1[[#This Row],[Rushing Yards]]-(30*Table1[[#This Row],[Passing TDs]])-50*(Table1[[#This Row],[Rushing TDs]]+Table1[[#This Row],[Receiving TDs]]+Table1[[#This Row],[Other TD''s]])),IF(C720="Receiving",2*(200-Table1[[#This Row],[Receiving Yards]]-(30*Table1[[#This Row],[Passing TDs]])-50*(Table1[[#This Row],[Rushing TDs]]+Table1[[#This Row],[Receiving TDs]]+Table1[[#This Row],[Other TD''s]])),IF(C720="Defensive",(25*(16-Table1[[#This Row],[Tackles]]-(8*(Table1[[#This Row],[Other TD''s]]+Table1[[#This Row],[Interceptions]]+Table1[[#This Row],[Fumbles Recovered]])))))))))))</f>
        <v/>
      </c>
      <c r="R720" s="3" t="str">
        <f t="shared" si="24"/>
        <v/>
      </c>
      <c r="S720" s="4">
        <f t="shared" si="23"/>
        <v>1048507</v>
      </c>
      <c r="T7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1" spans="1:20" hidden="1" x14ac:dyDescent="0.25">
      <c r="A721" t="s">
        <v>7</v>
      </c>
      <c r="B721" s="28" t="s">
        <v>54</v>
      </c>
      <c r="C721" t="s">
        <v>17</v>
      </c>
      <c r="D721" t="str">
        <f>_xlfn.XLOOKUP(Table1[[#This Row],[Player]]&amp;Table1[[#This Row],[Week]]&amp;Table1[[#This Row],[Role]],'Google Form Transform'!$A:$A,'Google Form Transform'!E:E,"")</f>
        <v/>
      </c>
      <c r="E721" t="str">
        <f>_xlfn.XLOOKUP(Table1[[#This Row],[Player]]&amp;Table1[[#This Row],[Week]]&amp;Table1[[#This Row],[Role]],'Google Form Transform'!$A:$A,'Google Form Transform'!F:F,"")</f>
        <v/>
      </c>
      <c r="F721" t="str">
        <f>_xlfn.XLOOKUP(Table1[[#This Row],[Player]]&amp;Table1[[#This Row],[Week]]&amp;Table1[[#This Row],[Role]],'Google Form Transform'!$A:$A,'Google Form Transform'!G:G,"")</f>
        <v/>
      </c>
      <c r="G721" s="59">
        <f>SUMIFS(Table2[Stat],Table2[Stat Category],"passing",Table2[Stat Type],"YDS",Table2[Athlete],Table1[[#This Row],[Pick]],Table2[Week],Table1[[#This Row],[Week]])</f>
        <v>0</v>
      </c>
      <c r="H721" s="59">
        <f>SUMIFS(Table2[Stat],Table2[Stat Category],"rushing",Table2[Stat Type],"YDS",Table2[Athlete],Table1[[#This Row],[Pick]],Table2[Week],Table1[[#This Row],[Week]])</f>
        <v>0</v>
      </c>
      <c r="I721" s="59">
        <f>SUMIFS(Table2[Stat],Table2[Stat Category],"receiving",Table2[Stat Type],"YDS",Table2[Athlete],Table1[[#This Row],[Pick]],Table2[Week],Table1[[#This Row],[Week]])</f>
        <v>0</v>
      </c>
      <c r="J721" s="6">
        <f>IF(AND($C721="Rushing", $H721&lt;=0), 0, IF(AND($C721="Passing", $G$3&lt;=0), 0,IF(AND($C721="Receiving",$I721&lt;=0), 0,SUMIFS(Table2[Stat],Table2[Week],Table1[[#This Row],[Week]],Table2[Athlete],Table1[[#This Row],[Pick]],Table2[Stat Category],"passing",Table2[Stat Type],"TD"))))</f>
        <v>0</v>
      </c>
      <c r="K721" s="6">
        <f>IF(AND($C721="Rushing", $H721&lt;=0), 0, IF(AND($C721="Passing", $G$3&lt;=0), 0,IF(AND($C721="Receiving",$I721&lt;=0),0,SUMIFS(Table2[Stat],Table2[Week],Table1[[#This Row],[Week]],Table2[Athlete],Table1[[#This Row],[Pick]],Table2[Stat Category],"rushing",Table2[Stat Type],"TD"))))</f>
        <v>0</v>
      </c>
      <c r="L721" s="6">
        <f>IF(AND($C721="Rushing", $H721&lt;=0), 0, IF(AND($C721="Passing", $G$3&lt;=0), 0,IF(AND($C721="Receiving",$I721&lt;=0),0,SUMIFS(Table2[Stat],Table2[Week],Table1[[#This Row],[Week]],Table2[Athlete],Table1[[#This Row],[Pick]],Table2[Stat Category],"receiving",Table2[Stat Type],"TD"))))</f>
        <v>0</v>
      </c>
      <c r="M7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1" s="61">
        <f>SUMIFS(Data!$J:$J,Data!$A:$A,Info!$B721,Data!$G:$G,Info!$C721,Data!$I:$I,Info!$D721,Data!$H:$H,"TOT")</f>
        <v>0</v>
      </c>
      <c r="O721" s="61">
        <f>IF(C721="Defensive",SUMIFS(Data!$J:$J,Data!$A:$A,Info!$B721,Data!$I:$I,Info!$D721,Data!$H:$H,"INT"),0)</f>
        <v>0</v>
      </c>
      <c r="P721" s="61">
        <f>IF(Table1[[#This Row],[Role]]="Defensive",SUMIFS(Data!$J:$J,Data!$A:$A,Info!$B721,Data!$I:$I,Info!$D721,Data!$H:$H,$P$1),0)</f>
        <v>0</v>
      </c>
      <c r="Q721" s="65" t="str">
        <f>IF(Table1[[#This Row],[Pick]]="","",IF(S721&gt;1,400,IF(G721="","",IF(C721="Passing",(400-Table1[[#This Row],[Passing Yards]]-(30*Table1[[#This Row],[Passing TDs]])-(50*SUM(Table1[[#This Row],[Rushing TDs]:[Other TD''s]]))),IF(C721="Rushing",2*(200-Table1[[#This Row],[Rushing Yards]]-(30*Table1[[#This Row],[Passing TDs]])-50*(Table1[[#This Row],[Rushing TDs]]+Table1[[#This Row],[Receiving TDs]]+Table1[[#This Row],[Other TD''s]])),IF(C721="Receiving",2*(200-Table1[[#This Row],[Receiving Yards]]-(30*Table1[[#This Row],[Passing TDs]])-50*(Table1[[#This Row],[Rushing TDs]]+Table1[[#This Row],[Receiving TDs]]+Table1[[#This Row],[Other TD''s]])),IF(C721="Defensive",(25*(16-Table1[[#This Row],[Tackles]]-(8*(Table1[[#This Row],[Other TD''s]]+Table1[[#This Row],[Interceptions]]+Table1[[#This Row],[Fumbles Recovered]])))))))))))</f>
        <v/>
      </c>
      <c r="R721" s="3" t="str">
        <f t="shared" si="24"/>
        <v/>
      </c>
      <c r="S721" s="4">
        <f t="shared" si="23"/>
        <v>1048507</v>
      </c>
      <c r="T7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2" spans="1:20" hidden="1" x14ac:dyDescent="0.25">
      <c r="A722" t="s">
        <v>7</v>
      </c>
      <c r="B722" s="28" t="s">
        <v>54</v>
      </c>
      <c r="C722" t="s">
        <v>20</v>
      </c>
      <c r="D722" t="str">
        <f>_xlfn.XLOOKUP(Table1[[#This Row],[Player]]&amp;Table1[[#This Row],[Week]]&amp;Table1[[#This Row],[Role]],'Google Form Transform'!$A:$A,'Google Form Transform'!E:E,"")</f>
        <v/>
      </c>
      <c r="E722" t="str">
        <f>_xlfn.XLOOKUP(Table1[[#This Row],[Player]]&amp;Table1[[#This Row],[Week]]&amp;Table1[[#This Row],[Role]],'Google Form Transform'!$A:$A,'Google Form Transform'!F:F,"")</f>
        <v/>
      </c>
      <c r="F722" t="str">
        <f>_xlfn.XLOOKUP(Table1[[#This Row],[Player]]&amp;Table1[[#This Row],[Week]]&amp;Table1[[#This Row],[Role]],'Google Form Transform'!$A:$A,'Google Form Transform'!G:G,"")</f>
        <v/>
      </c>
      <c r="G722" s="59">
        <f>SUMIFS(Table2[Stat],Table2[Stat Category],"passing",Table2[Stat Type],"YDS",Table2[Athlete],Table1[[#This Row],[Pick]],Table2[Week],Table1[[#This Row],[Week]])</f>
        <v>0</v>
      </c>
      <c r="H722" s="59">
        <f>SUMIFS(Table2[Stat],Table2[Stat Category],"rushing",Table2[Stat Type],"YDS",Table2[Athlete],Table1[[#This Row],[Pick]],Table2[Week],Table1[[#This Row],[Week]])</f>
        <v>0</v>
      </c>
      <c r="I722" s="59">
        <f>SUMIFS(Table2[Stat],Table2[Stat Category],"receiving",Table2[Stat Type],"YDS",Table2[Athlete],Table1[[#This Row],[Pick]],Table2[Week],Table1[[#This Row],[Week]])</f>
        <v>0</v>
      </c>
      <c r="J722" s="6">
        <f>IF(AND($C722="Rushing", $H722&lt;=0), 0, IF(AND($C722="Passing", $G$3&lt;=0), 0,IF(AND($C722="Receiving",$I722&lt;=0), 0,SUMIFS(Table2[Stat],Table2[Week],Table1[[#This Row],[Week]],Table2[Athlete],Table1[[#This Row],[Pick]],Table2[Stat Category],"passing",Table2[Stat Type],"TD"))))</f>
        <v>0</v>
      </c>
      <c r="K722" s="6">
        <f>IF(AND($C722="Rushing", $H722&lt;=0), 0, IF(AND($C722="Passing", $G$3&lt;=0), 0,IF(AND($C722="Receiving",$I722&lt;=0),0,SUMIFS(Table2[Stat],Table2[Week],Table1[[#This Row],[Week]],Table2[Athlete],Table1[[#This Row],[Pick]],Table2[Stat Category],"rushing",Table2[Stat Type],"TD"))))</f>
        <v>0</v>
      </c>
      <c r="L722" s="6">
        <f>IF(AND($C722="Rushing", $H722&lt;=0), 0, IF(AND($C722="Passing", $G$3&lt;=0), 0,IF(AND($C722="Receiving",$I722&lt;=0),0,SUMIFS(Table2[Stat],Table2[Week],Table1[[#This Row],[Week]],Table2[Athlete],Table1[[#This Row],[Pick]],Table2[Stat Category],"receiving",Table2[Stat Type],"TD"))))</f>
        <v>0</v>
      </c>
      <c r="M7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2" s="61">
        <f>SUMIFS(Data!$J:$J,Data!$A:$A,Info!$B722,Data!$G:$G,Info!$C722,Data!$I:$I,Info!$D722,Data!$H:$H,"TOT")</f>
        <v>0</v>
      </c>
      <c r="O722" s="61">
        <f>IF(C722="Defensive",SUMIFS(Data!$J:$J,Data!$A:$A,Info!$B722,Data!$I:$I,Info!$D722,Data!$H:$H,"INT"),0)</f>
        <v>0</v>
      </c>
      <c r="P722" s="61">
        <f>IF(Table1[[#This Row],[Role]]="Defensive",SUMIFS(Data!$J:$J,Data!$A:$A,Info!$B722,Data!$I:$I,Info!$D722,Data!$H:$H,$P$1),0)</f>
        <v>0</v>
      </c>
      <c r="Q722" s="65" t="str">
        <f>IF(Table1[[#This Row],[Pick]]="","",IF(S722&gt;1,400,IF(G722="","",IF(C722="Passing",(400-Table1[[#This Row],[Passing Yards]]-(30*Table1[[#This Row],[Passing TDs]])-(50*SUM(Table1[[#This Row],[Rushing TDs]:[Other TD''s]]))),IF(C722="Rushing",2*(200-Table1[[#This Row],[Rushing Yards]]-(30*Table1[[#This Row],[Passing TDs]])-50*(Table1[[#This Row],[Rushing TDs]]+Table1[[#This Row],[Receiving TDs]]+Table1[[#This Row],[Other TD''s]])),IF(C722="Receiving",2*(200-Table1[[#This Row],[Receiving Yards]]-(30*Table1[[#This Row],[Passing TDs]])-50*(Table1[[#This Row],[Rushing TDs]]+Table1[[#This Row],[Receiving TDs]]+Table1[[#This Row],[Other TD''s]])),IF(C722="Defensive",(25*(16-Table1[[#This Row],[Tackles]]-(8*(Table1[[#This Row],[Other TD''s]]+Table1[[#This Row],[Interceptions]]+Table1[[#This Row],[Fumbles Recovered]])))))))))))</f>
        <v/>
      </c>
      <c r="R722" s="3" t="str">
        <f t="shared" si="24"/>
        <v/>
      </c>
      <c r="S722" s="4">
        <f t="shared" si="23"/>
        <v>1048507</v>
      </c>
      <c r="T7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3" spans="1:20" hidden="1" x14ac:dyDescent="0.25">
      <c r="A723" t="s">
        <v>2</v>
      </c>
      <c r="B723" s="28" t="s">
        <v>15</v>
      </c>
      <c r="C723" t="s">
        <v>16</v>
      </c>
      <c r="D723" t="str">
        <f>_xlfn.XLOOKUP(Table1[[#This Row],[Player]]&amp;Table1[[#This Row],[Week]]&amp;Table1[[#This Row],[Role]],'Google Form Transform'!$A:$A,'Google Form Transform'!E:E,"")</f>
        <v/>
      </c>
      <c r="E723" t="str">
        <f>_xlfn.XLOOKUP(Table1[[#This Row],[Player]]&amp;Table1[[#This Row],[Week]]&amp;Table1[[#This Row],[Role]],'Google Form Transform'!$A:$A,'Google Form Transform'!F:F,"")</f>
        <v/>
      </c>
      <c r="F723" t="str">
        <f>_xlfn.XLOOKUP(Table1[[#This Row],[Player]]&amp;Table1[[#This Row],[Week]]&amp;Table1[[#This Row],[Role]],'Google Form Transform'!$A:$A,'Google Form Transform'!G:G,"")</f>
        <v/>
      </c>
      <c r="G723" s="59">
        <f>SUMIFS(Table2[Stat],Table2[Stat Category],"passing",Table2[Stat Type],"YDS",Table2[Athlete],Table1[[#This Row],[Pick]],Table2[Week],Table1[[#This Row],[Week]])</f>
        <v>0</v>
      </c>
      <c r="H723" s="59">
        <f>SUMIFS(Table2[Stat],Table2[Stat Category],"rushing",Table2[Stat Type],"YDS",Table2[Athlete],Table1[[#This Row],[Pick]],Table2[Week],Table1[[#This Row],[Week]])</f>
        <v>0</v>
      </c>
      <c r="I723" s="59">
        <f>SUMIFS(Table2[Stat],Table2[Stat Category],"receiving",Table2[Stat Type],"YDS",Table2[Athlete],Table1[[#This Row],[Pick]],Table2[Week],Table1[[#This Row],[Week]])</f>
        <v>0</v>
      </c>
      <c r="J723" s="6">
        <f>IF(AND($C723="Rushing", $H723&lt;=0), 0, IF(AND($C723="Passing", $G$3&lt;=0), 0,IF(AND($C723="Receiving",$I723&lt;=0), 0,SUMIFS(Table2[Stat],Table2[Week],Table1[[#This Row],[Week]],Table2[Athlete],Table1[[#This Row],[Pick]],Table2[Stat Category],"passing",Table2[Stat Type],"TD"))))</f>
        <v>0</v>
      </c>
      <c r="K723" s="6">
        <f>IF(AND($C723="Rushing", $H723&lt;=0), 0, IF(AND($C723="Passing", $G$3&lt;=0), 0,IF(AND($C723="Receiving",$I723&lt;=0),0,SUMIFS(Table2[Stat],Table2[Week],Table1[[#This Row],[Week]],Table2[Athlete],Table1[[#This Row],[Pick]],Table2[Stat Category],"rushing",Table2[Stat Type],"TD"))))</f>
        <v>0</v>
      </c>
      <c r="L723" s="6">
        <f>IF(AND($C723="Rushing", $H723&lt;=0), 0, IF(AND($C723="Passing", $G$3&lt;=0), 0,IF(AND($C723="Receiving",$I723&lt;=0),0,SUMIFS(Table2[Stat],Table2[Week],Table1[[#This Row],[Week]],Table2[Athlete],Table1[[#This Row],[Pick]],Table2[Stat Category],"receiving",Table2[Stat Type],"TD"))))</f>
        <v>0</v>
      </c>
      <c r="M7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3" s="61">
        <f>SUMIFS(Data!$J:$J,Data!$A:$A,Info!$B723,Data!$G:$G,Info!$C723,Data!$I:$I,Info!$D723,Data!$H:$H,"TOT")</f>
        <v>0</v>
      </c>
      <c r="O723" s="61">
        <f>IF(C723="Defensive",SUMIFS(Data!$J:$J,Data!$A:$A,Info!$B723,Data!$I:$I,Info!$D723,Data!$H:$H,"INT"),0)</f>
        <v>0</v>
      </c>
      <c r="P723" s="61">
        <f>IF(Table1[[#This Row],[Role]]="Defensive",SUMIFS(Data!$J:$J,Data!$A:$A,Info!$B723,Data!$I:$I,Info!$D723,Data!$H:$H,$P$1),0)</f>
        <v>0</v>
      </c>
      <c r="Q723" s="65" t="str">
        <f>IF(Table1[[#This Row],[Pick]]="","",IF(S723&gt;1,400,IF(G723="","",IF(C723="Passing",(400-Table1[[#This Row],[Passing Yards]]-(30*Table1[[#This Row],[Passing TDs]])-(50*SUM(Table1[[#This Row],[Rushing TDs]:[Other TD''s]]))),IF(C723="Rushing",2*(200-Table1[[#This Row],[Rushing Yards]]-(30*Table1[[#This Row],[Passing TDs]])-50*(Table1[[#This Row],[Rushing TDs]]+Table1[[#This Row],[Receiving TDs]]+Table1[[#This Row],[Other TD''s]])),IF(C723="Receiving",2*(200-Table1[[#This Row],[Receiving Yards]]-(30*Table1[[#This Row],[Passing TDs]])-50*(Table1[[#This Row],[Rushing TDs]]+Table1[[#This Row],[Receiving TDs]]+Table1[[#This Row],[Other TD''s]])),IF(C723="Defensive",(25*(16-Table1[[#This Row],[Tackles]]-(8*(Table1[[#This Row],[Other TD''s]]+Table1[[#This Row],[Interceptions]]+Table1[[#This Row],[Fumbles Recovered]])))))))))))</f>
        <v/>
      </c>
      <c r="R723" s="3" t="str">
        <f t="shared" si="24"/>
        <v/>
      </c>
      <c r="S723" s="4">
        <f t="shared" si="23"/>
        <v>1048507</v>
      </c>
      <c r="T7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4" spans="1:20" hidden="1" x14ac:dyDescent="0.25">
      <c r="A724" t="s">
        <v>2</v>
      </c>
      <c r="B724" s="28" t="s">
        <v>15</v>
      </c>
      <c r="C724" t="s">
        <v>6</v>
      </c>
      <c r="D724" t="str">
        <f>_xlfn.XLOOKUP(Table1[[#This Row],[Player]]&amp;Table1[[#This Row],[Week]]&amp;Table1[[#This Row],[Role]],'Google Form Transform'!$A:$A,'Google Form Transform'!E:E,"")</f>
        <v/>
      </c>
      <c r="E724" t="str">
        <f>_xlfn.XLOOKUP(Table1[[#This Row],[Player]]&amp;Table1[[#This Row],[Week]]&amp;Table1[[#This Row],[Role]],'Google Form Transform'!$A:$A,'Google Form Transform'!F:F,"")</f>
        <v/>
      </c>
      <c r="F724" t="str">
        <f>_xlfn.XLOOKUP(Table1[[#This Row],[Player]]&amp;Table1[[#This Row],[Week]]&amp;Table1[[#This Row],[Role]],'Google Form Transform'!$A:$A,'Google Form Transform'!G:G,"")</f>
        <v/>
      </c>
      <c r="G724" s="59">
        <f>SUMIFS(Table2[Stat],Table2[Stat Category],"passing",Table2[Stat Type],"YDS",Table2[Athlete],Table1[[#This Row],[Pick]],Table2[Week],Table1[[#This Row],[Week]])</f>
        <v>0</v>
      </c>
      <c r="H724" s="59">
        <f>SUMIFS(Table2[Stat],Table2[Stat Category],"rushing",Table2[Stat Type],"YDS",Table2[Athlete],Table1[[#This Row],[Pick]],Table2[Week],Table1[[#This Row],[Week]])</f>
        <v>0</v>
      </c>
      <c r="I724" s="59">
        <f>SUMIFS(Table2[Stat],Table2[Stat Category],"receiving",Table2[Stat Type],"YDS",Table2[Athlete],Table1[[#This Row],[Pick]],Table2[Week],Table1[[#This Row],[Week]])</f>
        <v>0</v>
      </c>
      <c r="J724" s="6">
        <f>IF(AND($C724="Rushing", $H724&lt;=0), 0, IF(AND($C724="Passing", $G$3&lt;=0), 0,IF(AND($C724="Receiving",$I724&lt;=0), 0,SUMIFS(Table2[Stat],Table2[Week],Table1[[#This Row],[Week]],Table2[Athlete],Table1[[#This Row],[Pick]],Table2[Stat Category],"passing",Table2[Stat Type],"TD"))))</f>
        <v>0</v>
      </c>
      <c r="K724" s="6">
        <f>IF(AND($C724="Rushing", $H724&lt;=0), 0, IF(AND($C724="Passing", $G$3&lt;=0), 0,IF(AND($C724="Receiving",$I724&lt;=0),0,SUMIFS(Table2[Stat],Table2[Week],Table1[[#This Row],[Week]],Table2[Athlete],Table1[[#This Row],[Pick]],Table2[Stat Category],"rushing",Table2[Stat Type],"TD"))))</f>
        <v>0</v>
      </c>
      <c r="L724" s="6">
        <f>IF(AND($C724="Rushing", $H724&lt;=0), 0, IF(AND($C724="Passing", $G$3&lt;=0), 0,IF(AND($C724="Receiving",$I724&lt;=0),0,SUMIFS(Table2[Stat],Table2[Week],Table1[[#This Row],[Week]],Table2[Athlete],Table1[[#This Row],[Pick]],Table2[Stat Category],"receiving",Table2[Stat Type],"TD"))))</f>
        <v>0</v>
      </c>
      <c r="M7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4" s="61">
        <f>SUMIFS(Data!$J:$J,Data!$A:$A,Info!$B724,Data!$G:$G,Info!$C724,Data!$I:$I,Info!$D724,Data!$H:$H,"TOT")</f>
        <v>0</v>
      </c>
      <c r="O724" s="61">
        <f>IF(C724="Defensive",SUMIFS(Data!$J:$J,Data!$A:$A,Info!$B724,Data!$I:$I,Info!$D724,Data!$H:$H,"INT"),0)</f>
        <v>0</v>
      </c>
      <c r="P724" s="61">
        <f>IF(Table1[[#This Row],[Role]]="Defensive",SUMIFS(Data!$J:$J,Data!$A:$A,Info!$B724,Data!$I:$I,Info!$D724,Data!$H:$H,$P$1),0)</f>
        <v>0</v>
      </c>
      <c r="Q724" s="65" t="str">
        <f>IF(Table1[[#This Row],[Pick]]="","",IF(S724&gt;1,400,IF(G724="","",IF(C724="Passing",(400-Table1[[#This Row],[Passing Yards]]-(30*Table1[[#This Row],[Passing TDs]])-(50*SUM(Table1[[#This Row],[Rushing TDs]:[Other TD''s]]))),IF(C724="Rushing",2*(200-Table1[[#This Row],[Rushing Yards]]-(30*Table1[[#This Row],[Passing TDs]])-50*(Table1[[#This Row],[Rushing TDs]]+Table1[[#This Row],[Receiving TDs]]+Table1[[#This Row],[Other TD''s]])),IF(C724="Receiving",2*(200-Table1[[#This Row],[Receiving Yards]]-(30*Table1[[#This Row],[Passing TDs]])-50*(Table1[[#This Row],[Rushing TDs]]+Table1[[#This Row],[Receiving TDs]]+Table1[[#This Row],[Other TD''s]])),IF(C724="Defensive",(25*(16-Table1[[#This Row],[Tackles]]-(8*(Table1[[#This Row],[Other TD''s]]+Table1[[#This Row],[Interceptions]]+Table1[[#This Row],[Fumbles Recovered]])))))))))))</f>
        <v/>
      </c>
      <c r="R724" s="3" t="str">
        <f t="shared" si="24"/>
        <v/>
      </c>
      <c r="S724" s="4">
        <f t="shared" si="23"/>
        <v>1048507</v>
      </c>
      <c r="T7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5" spans="1:20" hidden="1" x14ac:dyDescent="0.25">
      <c r="A725" t="s">
        <v>2</v>
      </c>
      <c r="B725" s="28" t="s">
        <v>15</v>
      </c>
      <c r="C725" t="s">
        <v>17</v>
      </c>
      <c r="D725" t="str">
        <f>_xlfn.XLOOKUP(Table1[[#This Row],[Player]]&amp;Table1[[#This Row],[Week]]&amp;Table1[[#This Row],[Role]],'Google Form Transform'!$A:$A,'Google Form Transform'!E:E,"")</f>
        <v/>
      </c>
      <c r="E725" t="str">
        <f>_xlfn.XLOOKUP(Table1[[#This Row],[Player]]&amp;Table1[[#This Row],[Week]]&amp;Table1[[#This Row],[Role]],'Google Form Transform'!$A:$A,'Google Form Transform'!F:F,"")</f>
        <v/>
      </c>
      <c r="F725" t="str">
        <f>_xlfn.XLOOKUP(Table1[[#This Row],[Player]]&amp;Table1[[#This Row],[Week]]&amp;Table1[[#This Row],[Role]],'Google Form Transform'!$A:$A,'Google Form Transform'!G:G,"")</f>
        <v/>
      </c>
      <c r="G725" s="59">
        <f>SUMIFS(Table2[Stat],Table2[Stat Category],"passing",Table2[Stat Type],"YDS",Table2[Athlete],Table1[[#This Row],[Pick]],Table2[Week],Table1[[#This Row],[Week]])</f>
        <v>0</v>
      </c>
      <c r="H725" s="59">
        <f>SUMIFS(Table2[Stat],Table2[Stat Category],"rushing",Table2[Stat Type],"YDS",Table2[Athlete],Table1[[#This Row],[Pick]],Table2[Week],Table1[[#This Row],[Week]])</f>
        <v>0</v>
      </c>
      <c r="I725" s="59">
        <f>SUMIFS(Table2[Stat],Table2[Stat Category],"receiving",Table2[Stat Type],"YDS",Table2[Athlete],Table1[[#This Row],[Pick]],Table2[Week],Table1[[#This Row],[Week]])</f>
        <v>0</v>
      </c>
      <c r="J725" s="6">
        <f>IF(AND($C725="Rushing", $H725&lt;=0), 0, IF(AND($C725="Passing", $G$3&lt;=0), 0,IF(AND($C725="Receiving",$I725&lt;=0), 0,SUMIFS(Table2[Stat],Table2[Week],Table1[[#This Row],[Week]],Table2[Athlete],Table1[[#This Row],[Pick]],Table2[Stat Category],"passing",Table2[Stat Type],"TD"))))</f>
        <v>0</v>
      </c>
      <c r="K725" s="6">
        <f>IF(AND($C725="Rushing", $H725&lt;=0), 0, IF(AND($C725="Passing", $G$3&lt;=0), 0,IF(AND($C725="Receiving",$I725&lt;=0),0,SUMIFS(Table2[Stat],Table2[Week],Table1[[#This Row],[Week]],Table2[Athlete],Table1[[#This Row],[Pick]],Table2[Stat Category],"rushing",Table2[Stat Type],"TD"))))</f>
        <v>0</v>
      </c>
      <c r="L725" s="6">
        <f>IF(AND($C725="Rushing", $H725&lt;=0), 0, IF(AND($C725="Passing", $G$3&lt;=0), 0,IF(AND($C725="Receiving",$I725&lt;=0),0,SUMIFS(Table2[Stat],Table2[Week],Table1[[#This Row],[Week]],Table2[Athlete],Table1[[#This Row],[Pick]],Table2[Stat Category],"receiving",Table2[Stat Type],"TD"))))</f>
        <v>0</v>
      </c>
      <c r="M7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5" s="61">
        <f>SUMIFS(Data!$J:$J,Data!$A:$A,Info!$B725,Data!$G:$G,Info!$C725,Data!$I:$I,Info!$D725,Data!$H:$H,"TOT")</f>
        <v>0</v>
      </c>
      <c r="O725" s="61">
        <f>IF(C725="Defensive",SUMIFS(Data!$J:$J,Data!$A:$A,Info!$B725,Data!$I:$I,Info!$D725,Data!$H:$H,"INT"),0)</f>
        <v>0</v>
      </c>
      <c r="P725" s="61">
        <f>IF(Table1[[#This Row],[Role]]="Defensive",SUMIFS(Data!$J:$J,Data!$A:$A,Info!$B725,Data!$I:$I,Info!$D725,Data!$H:$H,$P$1),0)</f>
        <v>0</v>
      </c>
      <c r="Q725" s="65" t="str">
        <f>IF(Table1[[#This Row],[Pick]]="","",IF(S725&gt;1,400,IF(G725="","",IF(C725="Passing",(400-Table1[[#This Row],[Passing Yards]]-(30*Table1[[#This Row],[Passing TDs]])-(50*SUM(Table1[[#This Row],[Rushing TDs]:[Other TD''s]]))),IF(C725="Rushing",2*(200-Table1[[#This Row],[Rushing Yards]]-(30*Table1[[#This Row],[Passing TDs]])-50*(Table1[[#This Row],[Rushing TDs]]+Table1[[#This Row],[Receiving TDs]]+Table1[[#This Row],[Other TD''s]])),IF(C725="Receiving",2*(200-Table1[[#This Row],[Receiving Yards]]-(30*Table1[[#This Row],[Passing TDs]])-50*(Table1[[#This Row],[Rushing TDs]]+Table1[[#This Row],[Receiving TDs]]+Table1[[#This Row],[Other TD''s]])),IF(C725="Defensive",(25*(16-Table1[[#This Row],[Tackles]]-(8*(Table1[[#This Row],[Other TD''s]]+Table1[[#This Row],[Interceptions]]+Table1[[#This Row],[Fumbles Recovered]])))))))))))</f>
        <v/>
      </c>
      <c r="R725" s="3" t="str">
        <f t="shared" si="24"/>
        <v/>
      </c>
      <c r="S725" s="4">
        <f t="shared" si="23"/>
        <v>1048507</v>
      </c>
      <c r="T7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6" spans="1:20" hidden="1" x14ac:dyDescent="0.25">
      <c r="A726" t="s">
        <v>2</v>
      </c>
      <c r="B726" s="28" t="s">
        <v>15</v>
      </c>
      <c r="C726" t="s">
        <v>20</v>
      </c>
      <c r="D726" t="str">
        <f>_xlfn.XLOOKUP(Table1[[#This Row],[Player]]&amp;Table1[[#This Row],[Week]]&amp;Table1[[#This Row],[Role]],'Google Form Transform'!$A:$A,'Google Form Transform'!E:E,"")</f>
        <v/>
      </c>
      <c r="E726" t="str">
        <f>_xlfn.XLOOKUP(Table1[[#This Row],[Player]]&amp;Table1[[#This Row],[Week]]&amp;Table1[[#This Row],[Role]],'Google Form Transform'!$A:$A,'Google Form Transform'!F:F,"")</f>
        <v/>
      </c>
      <c r="F726" t="str">
        <f>_xlfn.XLOOKUP(Table1[[#This Row],[Player]]&amp;Table1[[#This Row],[Week]]&amp;Table1[[#This Row],[Role]],'Google Form Transform'!$A:$A,'Google Form Transform'!G:G,"")</f>
        <v/>
      </c>
      <c r="G726" s="59">
        <f>SUMIFS(Table2[Stat],Table2[Stat Category],"passing",Table2[Stat Type],"YDS",Table2[Athlete],Table1[[#This Row],[Pick]],Table2[Week],Table1[[#This Row],[Week]])</f>
        <v>0</v>
      </c>
      <c r="H726" s="59">
        <f>SUMIFS(Table2[Stat],Table2[Stat Category],"rushing",Table2[Stat Type],"YDS",Table2[Athlete],Table1[[#This Row],[Pick]],Table2[Week],Table1[[#This Row],[Week]])</f>
        <v>0</v>
      </c>
      <c r="I726" s="59">
        <f>SUMIFS(Table2[Stat],Table2[Stat Category],"receiving",Table2[Stat Type],"YDS",Table2[Athlete],Table1[[#This Row],[Pick]],Table2[Week],Table1[[#This Row],[Week]])</f>
        <v>0</v>
      </c>
      <c r="J726" s="6">
        <f>IF(AND($C726="Rushing", $H726&lt;=0), 0, IF(AND($C726="Passing", $G$3&lt;=0), 0,IF(AND($C726="Receiving",$I726&lt;=0), 0,SUMIFS(Table2[Stat],Table2[Week],Table1[[#This Row],[Week]],Table2[Athlete],Table1[[#This Row],[Pick]],Table2[Stat Category],"passing",Table2[Stat Type],"TD"))))</f>
        <v>0</v>
      </c>
      <c r="K726" s="6">
        <f>IF(AND($C726="Rushing", $H726&lt;=0), 0, IF(AND($C726="Passing", $G$3&lt;=0), 0,IF(AND($C726="Receiving",$I726&lt;=0),0,SUMIFS(Table2[Stat],Table2[Week],Table1[[#This Row],[Week]],Table2[Athlete],Table1[[#This Row],[Pick]],Table2[Stat Category],"rushing",Table2[Stat Type],"TD"))))</f>
        <v>0</v>
      </c>
      <c r="L726" s="6">
        <f>IF(AND($C726="Rushing", $H726&lt;=0), 0, IF(AND($C726="Passing", $G$3&lt;=0), 0,IF(AND($C726="Receiving",$I726&lt;=0),0,SUMIFS(Table2[Stat],Table2[Week],Table1[[#This Row],[Week]],Table2[Athlete],Table1[[#This Row],[Pick]],Table2[Stat Category],"receiving",Table2[Stat Type],"TD"))))</f>
        <v>0</v>
      </c>
      <c r="M7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6" s="61">
        <f>SUMIFS(Data!$J:$J,Data!$A:$A,Info!$B726,Data!$G:$G,Info!$C726,Data!$I:$I,Info!$D726,Data!$H:$H,"TOT")</f>
        <v>0</v>
      </c>
      <c r="O726" s="61">
        <f>IF(C726="Defensive",SUMIFS(Data!$J:$J,Data!$A:$A,Info!$B726,Data!$I:$I,Info!$D726,Data!$H:$H,"INT"),0)</f>
        <v>0</v>
      </c>
      <c r="P726" s="61">
        <f>IF(Table1[[#This Row],[Role]]="Defensive",SUMIFS(Data!$J:$J,Data!$A:$A,Info!$B726,Data!$I:$I,Info!$D726,Data!$H:$H,$P$1),0)</f>
        <v>0</v>
      </c>
      <c r="Q726" s="65" t="str">
        <f>IF(Table1[[#This Row],[Pick]]="","",IF(S726&gt;1,400,IF(G726="","",IF(C726="Passing",(400-Table1[[#This Row],[Passing Yards]]-(30*Table1[[#This Row],[Passing TDs]])-(50*SUM(Table1[[#This Row],[Rushing TDs]:[Other TD''s]]))),IF(C726="Rushing",2*(200-Table1[[#This Row],[Rushing Yards]]-(30*Table1[[#This Row],[Passing TDs]])-50*(Table1[[#This Row],[Rushing TDs]]+Table1[[#This Row],[Receiving TDs]]+Table1[[#This Row],[Other TD''s]])),IF(C726="Receiving",2*(200-Table1[[#This Row],[Receiving Yards]]-(30*Table1[[#This Row],[Passing TDs]])-50*(Table1[[#This Row],[Rushing TDs]]+Table1[[#This Row],[Receiving TDs]]+Table1[[#This Row],[Other TD''s]])),IF(C726="Defensive",(25*(16-Table1[[#This Row],[Tackles]]-(8*(Table1[[#This Row],[Other TD''s]]+Table1[[#This Row],[Interceptions]]+Table1[[#This Row],[Fumbles Recovered]])))))))))))</f>
        <v/>
      </c>
      <c r="R726" s="3" t="str">
        <f t="shared" si="24"/>
        <v/>
      </c>
      <c r="S726" s="4">
        <f t="shared" si="23"/>
        <v>1048507</v>
      </c>
      <c r="T7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7" spans="1:20" hidden="1" x14ac:dyDescent="0.25">
      <c r="A727" t="s">
        <v>4</v>
      </c>
      <c r="B727" s="28" t="s">
        <v>15</v>
      </c>
      <c r="C727" t="s">
        <v>16</v>
      </c>
      <c r="D727" t="str">
        <f>_xlfn.XLOOKUP(Table1[[#This Row],[Player]]&amp;Table1[[#This Row],[Week]]&amp;Table1[[#This Row],[Role]],'Google Form Transform'!$A:$A,'Google Form Transform'!E:E,"")</f>
        <v/>
      </c>
      <c r="E727" t="str">
        <f>_xlfn.XLOOKUP(Table1[[#This Row],[Player]]&amp;Table1[[#This Row],[Week]]&amp;Table1[[#This Row],[Role]],'Google Form Transform'!$A:$A,'Google Form Transform'!F:F,"")</f>
        <v/>
      </c>
      <c r="F727" t="str">
        <f>_xlfn.XLOOKUP(Table1[[#This Row],[Player]]&amp;Table1[[#This Row],[Week]]&amp;Table1[[#This Row],[Role]],'Google Form Transform'!$A:$A,'Google Form Transform'!G:G,"")</f>
        <v/>
      </c>
      <c r="G727" s="59">
        <f>SUMIFS(Table2[Stat],Table2[Stat Category],"passing",Table2[Stat Type],"YDS",Table2[Athlete],Table1[[#This Row],[Pick]],Table2[Week],Table1[[#This Row],[Week]])</f>
        <v>0</v>
      </c>
      <c r="H727" s="59">
        <f>SUMIFS(Table2[Stat],Table2[Stat Category],"rushing",Table2[Stat Type],"YDS",Table2[Athlete],Table1[[#This Row],[Pick]],Table2[Week],Table1[[#This Row],[Week]])</f>
        <v>0</v>
      </c>
      <c r="I727" s="59">
        <f>SUMIFS(Table2[Stat],Table2[Stat Category],"receiving",Table2[Stat Type],"YDS",Table2[Athlete],Table1[[#This Row],[Pick]],Table2[Week],Table1[[#This Row],[Week]])</f>
        <v>0</v>
      </c>
      <c r="J727" s="6">
        <f>IF(AND($C727="Rushing", $H727&lt;=0), 0, IF(AND($C727="Passing", $G$3&lt;=0), 0,IF(AND($C727="Receiving",$I727&lt;=0), 0,SUMIFS(Table2[Stat],Table2[Week],Table1[[#This Row],[Week]],Table2[Athlete],Table1[[#This Row],[Pick]],Table2[Stat Category],"passing",Table2[Stat Type],"TD"))))</f>
        <v>0</v>
      </c>
      <c r="K727" s="6">
        <f>IF(AND($C727="Rushing", $H727&lt;=0), 0, IF(AND($C727="Passing", $G$3&lt;=0), 0,IF(AND($C727="Receiving",$I727&lt;=0),0,SUMIFS(Table2[Stat],Table2[Week],Table1[[#This Row],[Week]],Table2[Athlete],Table1[[#This Row],[Pick]],Table2[Stat Category],"rushing",Table2[Stat Type],"TD"))))</f>
        <v>0</v>
      </c>
      <c r="L727" s="6">
        <f>IF(AND($C727="Rushing", $H727&lt;=0), 0, IF(AND($C727="Passing", $G$3&lt;=0), 0,IF(AND($C727="Receiving",$I727&lt;=0),0,SUMIFS(Table2[Stat],Table2[Week],Table1[[#This Row],[Week]],Table2[Athlete],Table1[[#This Row],[Pick]],Table2[Stat Category],"receiving",Table2[Stat Type],"TD"))))</f>
        <v>0</v>
      </c>
      <c r="M7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7" s="61">
        <f>SUMIFS(Data!$J:$J,Data!$A:$A,Info!$B727,Data!$G:$G,Info!$C727,Data!$I:$I,Info!$D727,Data!$H:$H,"TOT")</f>
        <v>0</v>
      </c>
      <c r="O727" s="61">
        <f>IF(C727="Defensive",SUMIFS(Data!$J:$J,Data!$A:$A,Info!$B727,Data!$I:$I,Info!$D727,Data!$H:$H,"INT"),0)</f>
        <v>0</v>
      </c>
      <c r="P727" s="61">
        <f>IF(Table1[[#This Row],[Role]]="Defensive",SUMIFS(Data!$J:$J,Data!$A:$A,Info!$B727,Data!$I:$I,Info!$D727,Data!$H:$H,$P$1),0)</f>
        <v>0</v>
      </c>
      <c r="Q727" s="65" t="str">
        <f>IF(Table1[[#This Row],[Pick]]="","",IF(S727&gt;1,400,IF(G727="","",IF(C727="Passing",(400-Table1[[#This Row],[Passing Yards]]-(30*Table1[[#This Row],[Passing TDs]])-(50*SUM(Table1[[#This Row],[Rushing TDs]:[Other TD''s]]))),IF(C727="Rushing",2*(200-Table1[[#This Row],[Rushing Yards]]-(30*Table1[[#This Row],[Passing TDs]])-50*(Table1[[#This Row],[Rushing TDs]]+Table1[[#This Row],[Receiving TDs]]+Table1[[#This Row],[Other TD''s]])),IF(C727="Receiving",2*(200-Table1[[#This Row],[Receiving Yards]]-(30*Table1[[#This Row],[Passing TDs]])-50*(Table1[[#This Row],[Rushing TDs]]+Table1[[#This Row],[Receiving TDs]]+Table1[[#This Row],[Other TD''s]])),IF(C727="Defensive",(25*(16-Table1[[#This Row],[Tackles]]-(8*(Table1[[#This Row],[Other TD''s]]+Table1[[#This Row],[Interceptions]]+Table1[[#This Row],[Fumbles Recovered]])))))))))))</f>
        <v/>
      </c>
      <c r="R727" s="3" t="str">
        <f t="shared" si="24"/>
        <v/>
      </c>
      <c r="S727" s="4">
        <f t="shared" si="23"/>
        <v>1048507</v>
      </c>
      <c r="T7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8" spans="1:20" hidden="1" x14ac:dyDescent="0.25">
      <c r="A728" t="s">
        <v>4</v>
      </c>
      <c r="B728" s="28" t="s">
        <v>15</v>
      </c>
      <c r="C728" t="s">
        <v>6</v>
      </c>
      <c r="D728" t="str">
        <f>_xlfn.XLOOKUP(Table1[[#This Row],[Player]]&amp;Table1[[#This Row],[Week]]&amp;Table1[[#This Row],[Role]],'Google Form Transform'!$A:$A,'Google Form Transform'!E:E,"")</f>
        <v/>
      </c>
      <c r="E728" t="str">
        <f>_xlfn.XLOOKUP(Table1[[#This Row],[Player]]&amp;Table1[[#This Row],[Week]]&amp;Table1[[#This Row],[Role]],'Google Form Transform'!$A:$A,'Google Form Transform'!F:F,"")</f>
        <v/>
      </c>
      <c r="F728" t="str">
        <f>_xlfn.XLOOKUP(Table1[[#This Row],[Player]]&amp;Table1[[#This Row],[Week]]&amp;Table1[[#This Row],[Role]],'Google Form Transform'!$A:$A,'Google Form Transform'!G:G,"")</f>
        <v/>
      </c>
      <c r="G728" s="59">
        <f>SUMIFS(Table2[Stat],Table2[Stat Category],"passing",Table2[Stat Type],"YDS",Table2[Athlete],Table1[[#This Row],[Pick]],Table2[Week],Table1[[#This Row],[Week]])</f>
        <v>0</v>
      </c>
      <c r="H728" s="59">
        <f>SUMIFS(Table2[Stat],Table2[Stat Category],"rushing",Table2[Stat Type],"YDS",Table2[Athlete],Table1[[#This Row],[Pick]],Table2[Week],Table1[[#This Row],[Week]])</f>
        <v>0</v>
      </c>
      <c r="I728" s="59">
        <f>SUMIFS(Table2[Stat],Table2[Stat Category],"receiving",Table2[Stat Type],"YDS",Table2[Athlete],Table1[[#This Row],[Pick]],Table2[Week],Table1[[#This Row],[Week]])</f>
        <v>0</v>
      </c>
      <c r="J728" s="6">
        <f>IF(AND($C728="Rushing", $H728&lt;=0), 0, IF(AND($C728="Passing", $G$3&lt;=0), 0,IF(AND($C728="Receiving",$I728&lt;=0), 0,SUMIFS(Table2[Stat],Table2[Week],Table1[[#This Row],[Week]],Table2[Athlete],Table1[[#This Row],[Pick]],Table2[Stat Category],"passing",Table2[Stat Type],"TD"))))</f>
        <v>0</v>
      </c>
      <c r="K728" s="6">
        <f>IF(AND($C728="Rushing", $H728&lt;=0), 0, IF(AND($C728="Passing", $G$3&lt;=0), 0,IF(AND($C728="Receiving",$I728&lt;=0),0,SUMIFS(Table2[Stat],Table2[Week],Table1[[#This Row],[Week]],Table2[Athlete],Table1[[#This Row],[Pick]],Table2[Stat Category],"rushing",Table2[Stat Type],"TD"))))</f>
        <v>0</v>
      </c>
      <c r="L728" s="6">
        <f>IF(AND($C728="Rushing", $H728&lt;=0), 0, IF(AND($C728="Passing", $G$3&lt;=0), 0,IF(AND($C728="Receiving",$I728&lt;=0),0,SUMIFS(Table2[Stat],Table2[Week],Table1[[#This Row],[Week]],Table2[Athlete],Table1[[#This Row],[Pick]],Table2[Stat Category],"receiving",Table2[Stat Type],"TD"))))</f>
        <v>0</v>
      </c>
      <c r="M7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8" s="61">
        <f>SUMIFS(Data!$J:$J,Data!$A:$A,Info!$B728,Data!$G:$G,Info!$C728,Data!$I:$I,Info!$D728,Data!$H:$H,"TOT")</f>
        <v>0</v>
      </c>
      <c r="O728" s="61">
        <f>IF(C728="Defensive",SUMIFS(Data!$J:$J,Data!$A:$A,Info!$B728,Data!$I:$I,Info!$D728,Data!$H:$H,"INT"),0)</f>
        <v>0</v>
      </c>
      <c r="P728" s="61">
        <f>IF(Table1[[#This Row],[Role]]="Defensive",SUMIFS(Data!$J:$J,Data!$A:$A,Info!$B728,Data!$I:$I,Info!$D728,Data!$H:$H,$P$1),0)</f>
        <v>0</v>
      </c>
      <c r="Q728" s="65" t="str">
        <f>IF(Table1[[#This Row],[Pick]]="","",IF(S728&gt;1,400,IF(G728="","",IF(C728="Passing",(400-Table1[[#This Row],[Passing Yards]]-(30*Table1[[#This Row],[Passing TDs]])-(50*SUM(Table1[[#This Row],[Rushing TDs]:[Other TD''s]]))),IF(C728="Rushing",2*(200-Table1[[#This Row],[Rushing Yards]]-(30*Table1[[#This Row],[Passing TDs]])-50*(Table1[[#This Row],[Rushing TDs]]+Table1[[#This Row],[Receiving TDs]]+Table1[[#This Row],[Other TD''s]])),IF(C728="Receiving",2*(200-Table1[[#This Row],[Receiving Yards]]-(30*Table1[[#This Row],[Passing TDs]])-50*(Table1[[#This Row],[Rushing TDs]]+Table1[[#This Row],[Receiving TDs]]+Table1[[#This Row],[Other TD''s]])),IF(C728="Defensive",(25*(16-Table1[[#This Row],[Tackles]]-(8*(Table1[[#This Row],[Other TD''s]]+Table1[[#This Row],[Interceptions]]+Table1[[#This Row],[Fumbles Recovered]])))))))))))</f>
        <v/>
      </c>
      <c r="R728" s="3" t="str">
        <f t="shared" si="24"/>
        <v/>
      </c>
      <c r="S728" s="4">
        <f t="shared" si="23"/>
        <v>1048507</v>
      </c>
      <c r="T7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9" spans="1:20" hidden="1" x14ac:dyDescent="0.25">
      <c r="A729" t="s">
        <v>4</v>
      </c>
      <c r="B729" s="28" t="s">
        <v>15</v>
      </c>
      <c r="C729" t="s">
        <v>17</v>
      </c>
      <c r="D729" t="str">
        <f>_xlfn.XLOOKUP(Table1[[#This Row],[Player]]&amp;Table1[[#This Row],[Week]]&amp;Table1[[#This Row],[Role]],'Google Form Transform'!$A:$A,'Google Form Transform'!E:E,"")</f>
        <v/>
      </c>
      <c r="E729" t="str">
        <f>_xlfn.XLOOKUP(Table1[[#This Row],[Player]]&amp;Table1[[#This Row],[Week]]&amp;Table1[[#This Row],[Role]],'Google Form Transform'!$A:$A,'Google Form Transform'!F:F,"")</f>
        <v/>
      </c>
      <c r="F729" t="str">
        <f>_xlfn.XLOOKUP(Table1[[#This Row],[Player]]&amp;Table1[[#This Row],[Week]]&amp;Table1[[#This Row],[Role]],'Google Form Transform'!$A:$A,'Google Form Transform'!G:G,"")</f>
        <v/>
      </c>
      <c r="G729" s="59">
        <f>SUMIFS(Table2[Stat],Table2[Stat Category],"passing",Table2[Stat Type],"YDS",Table2[Athlete],Table1[[#This Row],[Pick]],Table2[Week],Table1[[#This Row],[Week]])</f>
        <v>0</v>
      </c>
      <c r="H729" s="59">
        <f>SUMIFS(Table2[Stat],Table2[Stat Category],"rushing",Table2[Stat Type],"YDS",Table2[Athlete],Table1[[#This Row],[Pick]],Table2[Week],Table1[[#This Row],[Week]])</f>
        <v>0</v>
      </c>
      <c r="I729" s="59">
        <f>SUMIFS(Table2[Stat],Table2[Stat Category],"receiving",Table2[Stat Type],"YDS",Table2[Athlete],Table1[[#This Row],[Pick]],Table2[Week],Table1[[#This Row],[Week]])</f>
        <v>0</v>
      </c>
      <c r="J729" s="6">
        <f>IF(AND($C729="Rushing", $H729&lt;=0), 0, IF(AND($C729="Passing", $G$3&lt;=0), 0,IF(AND($C729="Receiving",$I729&lt;=0), 0,SUMIFS(Table2[Stat],Table2[Week],Table1[[#This Row],[Week]],Table2[Athlete],Table1[[#This Row],[Pick]],Table2[Stat Category],"passing",Table2[Stat Type],"TD"))))</f>
        <v>0</v>
      </c>
      <c r="K729" s="6">
        <f>IF(AND($C729="Rushing", $H729&lt;=0), 0, IF(AND($C729="Passing", $G$3&lt;=0), 0,IF(AND($C729="Receiving",$I729&lt;=0),0,SUMIFS(Table2[Stat],Table2[Week],Table1[[#This Row],[Week]],Table2[Athlete],Table1[[#This Row],[Pick]],Table2[Stat Category],"rushing",Table2[Stat Type],"TD"))))</f>
        <v>0</v>
      </c>
      <c r="L729" s="6">
        <f>IF(AND($C729="Rushing", $H729&lt;=0), 0, IF(AND($C729="Passing", $G$3&lt;=0), 0,IF(AND($C729="Receiving",$I729&lt;=0),0,SUMIFS(Table2[Stat],Table2[Week],Table1[[#This Row],[Week]],Table2[Athlete],Table1[[#This Row],[Pick]],Table2[Stat Category],"receiving",Table2[Stat Type],"TD"))))</f>
        <v>0</v>
      </c>
      <c r="M7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9" s="61">
        <f>SUMIFS(Data!$J:$J,Data!$A:$A,Info!$B729,Data!$G:$G,Info!$C729,Data!$I:$I,Info!$D729,Data!$H:$H,"TOT")</f>
        <v>0</v>
      </c>
      <c r="O729" s="61">
        <f>IF(C729="Defensive",SUMIFS(Data!$J:$J,Data!$A:$A,Info!$B729,Data!$I:$I,Info!$D729,Data!$H:$H,"INT"),0)</f>
        <v>0</v>
      </c>
      <c r="P729" s="61">
        <f>IF(Table1[[#This Row],[Role]]="Defensive",SUMIFS(Data!$J:$J,Data!$A:$A,Info!$B729,Data!$I:$I,Info!$D729,Data!$H:$H,$P$1),0)</f>
        <v>0</v>
      </c>
      <c r="Q729" s="65" t="str">
        <f>IF(Table1[[#This Row],[Pick]]="","",IF(S729&gt;1,400,IF(G729="","",IF(C729="Passing",(400-Table1[[#This Row],[Passing Yards]]-(30*Table1[[#This Row],[Passing TDs]])-(50*SUM(Table1[[#This Row],[Rushing TDs]:[Other TD''s]]))),IF(C729="Rushing",2*(200-Table1[[#This Row],[Rushing Yards]]-(30*Table1[[#This Row],[Passing TDs]])-50*(Table1[[#This Row],[Rushing TDs]]+Table1[[#This Row],[Receiving TDs]]+Table1[[#This Row],[Other TD''s]])),IF(C729="Receiving",2*(200-Table1[[#This Row],[Receiving Yards]]-(30*Table1[[#This Row],[Passing TDs]])-50*(Table1[[#This Row],[Rushing TDs]]+Table1[[#This Row],[Receiving TDs]]+Table1[[#This Row],[Other TD''s]])),IF(C729="Defensive",(25*(16-Table1[[#This Row],[Tackles]]-(8*(Table1[[#This Row],[Other TD''s]]+Table1[[#This Row],[Interceptions]]+Table1[[#This Row],[Fumbles Recovered]])))))))))))</f>
        <v/>
      </c>
      <c r="R729" s="3" t="str">
        <f t="shared" si="24"/>
        <v/>
      </c>
      <c r="S729" s="4">
        <f t="shared" si="23"/>
        <v>1048507</v>
      </c>
      <c r="T7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0" spans="1:20" hidden="1" x14ac:dyDescent="0.25">
      <c r="A730" t="s">
        <v>4</v>
      </c>
      <c r="B730" s="28" t="s">
        <v>15</v>
      </c>
      <c r="C730" t="s">
        <v>20</v>
      </c>
      <c r="D730" t="str">
        <f>_xlfn.XLOOKUP(Table1[[#This Row],[Player]]&amp;Table1[[#This Row],[Week]]&amp;Table1[[#This Row],[Role]],'Google Form Transform'!$A:$A,'Google Form Transform'!E:E,"")</f>
        <v/>
      </c>
      <c r="E730" t="str">
        <f>_xlfn.XLOOKUP(Table1[[#This Row],[Player]]&amp;Table1[[#This Row],[Week]]&amp;Table1[[#This Row],[Role]],'Google Form Transform'!$A:$A,'Google Form Transform'!F:F,"")</f>
        <v/>
      </c>
      <c r="F730" t="str">
        <f>_xlfn.XLOOKUP(Table1[[#This Row],[Player]]&amp;Table1[[#This Row],[Week]]&amp;Table1[[#This Row],[Role]],'Google Form Transform'!$A:$A,'Google Form Transform'!G:G,"")</f>
        <v/>
      </c>
      <c r="G730" s="59">
        <f>SUMIFS(Table2[Stat],Table2[Stat Category],"passing",Table2[Stat Type],"YDS",Table2[Athlete],Table1[[#This Row],[Pick]],Table2[Week],Table1[[#This Row],[Week]])</f>
        <v>0</v>
      </c>
      <c r="H730" s="59">
        <f>SUMIFS(Table2[Stat],Table2[Stat Category],"rushing",Table2[Stat Type],"YDS",Table2[Athlete],Table1[[#This Row],[Pick]],Table2[Week],Table1[[#This Row],[Week]])</f>
        <v>0</v>
      </c>
      <c r="I730" s="59">
        <f>SUMIFS(Table2[Stat],Table2[Stat Category],"receiving",Table2[Stat Type],"YDS",Table2[Athlete],Table1[[#This Row],[Pick]],Table2[Week],Table1[[#This Row],[Week]])</f>
        <v>0</v>
      </c>
      <c r="J730" s="6">
        <f>IF(AND($C730="Rushing", $H730&lt;=0), 0, IF(AND($C730="Passing", $G$3&lt;=0), 0,IF(AND($C730="Receiving",$I730&lt;=0), 0,SUMIFS(Table2[Stat],Table2[Week],Table1[[#This Row],[Week]],Table2[Athlete],Table1[[#This Row],[Pick]],Table2[Stat Category],"passing",Table2[Stat Type],"TD"))))</f>
        <v>0</v>
      </c>
      <c r="K730" s="6">
        <f>IF(AND($C730="Rushing", $H730&lt;=0), 0, IF(AND($C730="Passing", $G$3&lt;=0), 0,IF(AND($C730="Receiving",$I730&lt;=0),0,SUMIFS(Table2[Stat],Table2[Week],Table1[[#This Row],[Week]],Table2[Athlete],Table1[[#This Row],[Pick]],Table2[Stat Category],"rushing",Table2[Stat Type],"TD"))))</f>
        <v>0</v>
      </c>
      <c r="L730" s="6">
        <f>IF(AND($C730="Rushing", $H730&lt;=0), 0, IF(AND($C730="Passing", $G$3&lt;=0), 0,IF(AND($C730="Receiving",$I730&lt;=0),0,SUMIFS(Table2[Stat],Table2[Week],Table1[[#This Row],[Week]],Table2[Athlete],Table1[[#This Row],[Pick]],Table2[Stat Category],"receiving",Table2[Stat Type],"TD"))))</f>
        <v>0</v>
      </c>
      <c r="M7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0" s="61">
        <f>SUMIFS(Data!$J:$J,Data!$A:$A,Info!$B730,Data!$G:$G,Info!$C730,Data!$I:$I,Info!$D730,Data!$H:$H,"TOT")</f>
        <v>0</v>
      </c>
      <c r="O730" s="61">
        <f>IF(C730="Defensive",SUMIFS(Data!$J:$J,Data!$A:$A,Info!$B730,Data!$I:$I,Info!$D730,Data!$H:$H,"INT"),0)</f>
        <v>0</v>
      </c>
      <c r="P730" s="61">
        <f>IF(Table1[[#This Row],[Role]]="Defensive",SUMIFS(Data!$J:$J,Data!$A:$A,Info!$B730,Data!$I:$I,Info!$D730,Data!$H:$H,$P$1),0)</f>
        <v>0</v>
      </c>
      <c r="Q730" s="65" t="str">
        <f>IF(Table1[[#This Row],[Pick]]="","",IF(S730&gt;1,400,IF(G730="","",IF(C730="Passing",(400-Table1[[#This Row],[Passing Yards]]-(30*Table1[[#This Row],[Passing TDs]])-(50*SUM(Table1[[#This Row],[Rushing TDs]:[Other TD''s]]))),IF(C730="Rushing",2*(200-Table1[[#This Row],[Rushing Yards]]-(30*Table1[[#This Row],[Passing TDs]])-50*(Table1[[#This Row],[Rushing TDs]]+Table1[[#This Row],[Receiving TDs]]+Table1[[#This Row],[Other TD''s]])),IF(C730="Receiving",2*(200-Table1[[#This Row],[Receiving Yards]]-(30*Table1[[#This Row],[Passing TDs]])-50*(Table1[[#This Row],[Rushing TDs]]+Table1[[#This Row],[Receiving TDs]]+Table1[[#This Row],[Other TD''s]])),IF(C730="Defensive",(25*(16-Table1[[#This Row],[Tackles]]-(8*(Table1[[#This Row],[Other TD''s]]+Table1[[#This Row],[Interceptions]]+Table1[[#This Row],[Fumbles Recovered]])))))))))))</f>
        <v/>
      </c>
      <c r="R730" s="3" t="str">
        <f t="shared" si="24"/>
        <v/>
      </c>
      <c r="S730" s="4">
        <f t="shared" si="23"/>
        <v>1048507</v>
      </c>
      <c r="T7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1" spans="1:20" hidden="1" x14ac:dyDescent="0.25">
      <c r="A731" t="s">
        <v>79</v>
      </c>
      <c r="B731" s="28" t="s">
        <v>15</v>
      </c>
      <c r="C731" t="s">
        <v>16</v>
      </c>
      <c r="D731" t="str">
        <f>_xlfn.XLOOKUP(Table1[[#This Row],[Player]]&amp;Table1[[#This Row],[Week]]&amp;Table1[[#This Row],[Role]],'Google Form Transform'!$A:$A,'Google Form Transform'!E:E,"")</f>
        <v/>
      </c>
      <c r="E731" t="str">
        <f>_xlfn.XLOOKUP(Table1[[#This Row],[Player]]&amp;Table1[[#This Row],[Week]]&amp;Table1[[#This Row],[Role]],'Google Form Transform'!$A:$A,'Google Form Transform'!F:F,"")</f>
        <v/>
      </c>
      <c r="F731" t="str">
        <f>_xlfn.XLOOKUP(Table1[[#This Row],[Player]]&amp;Table1[[#This Row],[Week]]&amp;Table1[[#This Row],[Role]],'Google Form Transform'!$A:$A,'Google Form Transform'!G:G,"")</f>
        <v/>
      </c>
      <c r="G731" s="59">
        <f>SUMIFS(Table2[Stat],Table2[Stat Category],"passing",Table2[Stat Type],"YDS",Table2[Athlete],Table1[[#This Row],[Pick]],Table2[Week],Table1[[#This Row],[Week]])</f>
        <v>0</v>
      </c>
      <c r="H731" s="59">
        <f>SUMIFS(Table2[Stat],Table2[Stat Category],"rushing",Table2[Stat Type],"YDS",Table2[Athlete],Table1[[#This Row],[Pick]],Table2[Week],Table1[[#This Row],[Week]])</f>
        <v>0</v>
      </c>
      <c r="I731" s="59">
        <f>SUMIFS(Table2[Stat],Table2[Stat Category],"receiving",Table2[Stat Type],"YDS",Table2[Athlete],Table1[[#This Row],[Pick]],Table2[Week],Table1[[#This Row],[Week]])</f>
        <v>0</v>
      </c>
      <c r="J731" s="6">
        <f>IF(AND($C731="Rushing", $H731&lt;=0), 0, IF(AND($C731="Passing", $G$3&lt;=0), 0,IF(AND($C731="Receiving",$I731&lt;=0), 0,SUMIFS(Table2[Stat],Table2[Week],Table1[[#This Row],[Week]],Table2[Athlete],Table1[[#This Row],[Pick]],Table2[Stat Category],"passing",Table2[Stat Type],"TD"))))</f>
        <v>0</v>
      </c>
      <c r="K731" s="6">
        <f>IF(AND($C731="Rushing", $H731&lt;=0), 0, IF(AND($C731="Passing", $G$3&lt;=0), 0,IF(AND($C731="Receiving",$I731&lt;=0),0,SUMIFS(Table2[Stat],Table2[Week],Table1[[#This Row],[Week]],Table2[Athlete],Table1[[#This Row],[Pick]],Table2[Stat Category],"rushing",Table2[Stat Type],"TD"))))</f>
        <v>0</v>
      </c>
      <c r="L731" s="6">
        <f>IF(AND($C731="Rushing", $H731&lt;=0), 0, IF(AND($C731="Passing", $G$3&lt;=0), 0,IF(AND($C731="Receiving",$I731&lt;=0),0,SUMIFS(Table2[Stat],Table2[Week],Table1[[#This Row],[Week]],Table2[Athlete],Table1[[#This Row],[Pick]],Table2[Stat Category],"receiving",Table2[Stat Type],"TD"))))</f>
        <v>0</v>
      </c>
      <c r="M7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1" s="61">
        <f>SUMIFS(Data!$J:$J,Data!$A:$A,Info!$B731,Data!$G:$G,Info!$C731,Data!$I:$I,Info!$D731,Data!$H:$H,"TOT")</f>
        <v>0</v>
      </c>
      <c r="O731" s="61">
        <f>IF(C731="Defensive",SUMIFS(Data!$J:$J,Data!$A:$A,Info!$B731,Data!$I:$I,Info!$D731,Data!$H:$H,"INT"),0)</f>
        <v>0</v>
      </c>
      <c r="P731" s="61">
        <f>IF(Table1[[#This Row],[Role]]="Defensive",SUMIFS(Data!$J:$J,Data!$A:$A,Info!$B731,Data!$I:$I,Info!$D731,Data!$H:$H,$P$1),0)</f>
        <v>0</v>
      </c>
      <c r="Q731" s="65" t="str">
        <f>IF(Table1[[#This Row],[Pick]]="","",IF(S731&gt;1,400,IF(G731="","",IF(C731="Passing",(400-Table1[[#This Row],[Passing Yards]]-(30*Table1[[#This Row],[Passing TDs]])-(50*SUM(Table1[[#This Row],[Rushing TDs]:[Other TD''s]]))),IF(C731="Rushing",2*(200-Table1[[#This Row],[Rushing Yards]]-(30*Table1[[#This Row],[Passing TDs]])-50*(Table1[[#This Row],[Rushing TDs]]+Table1[[#This Row],[Receiving TDs]]+Table1[[#This Row],[Other TD''s]])),IF(C731="Receiving",2*(200-Table1[[#This Row],[Receiving Yards]]-(30*Table1[[#This Row],[Passing TDs]])-50*(Table1[[#This Row],[Rushing TDs]]+Table1[[#This Row],[Receiving TDs]]+Table1[[#This Row],[Other TD''s]])),IF(C731="Defensive",(25*(16-Table1[[#This Row],[Tackles]]-(8*(Table1[[#This Row],[Other TD''s]]+Table1[[#This Row],[Interceptions]]+Table1[[#This Row],[Fumbles Recovered]])))))))))))</f>
        <v/>
      </c>
      <c r="R731" s="3" t="str">
        <f t="shared" si="24"/>
        <v/>
      </c>
      <c r="S731" s="4">
        <f t="shared" si="23"/>
        <v>1048507</v>
      </c>
      <c r="T7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2" spans="1:20" hidden="1" x14ac:dyDescent="0.25">
      <c r="A732" t="s">
        <v>79</v>
      </c>
      <c r="B732" s="28" t="s">
        <v>15</v>
      </c>
      <c r="C732" t="s">
        <v>6</v>
      </c>
      <c r="D732" t="str">
        <f>_xlfn.XLOOKUP(Table1[[#This Row],[Player]]&amp;Table1[[#This Row],[Week]]&amp;Table1[[#This Row],[Role]],'Google Form Transform'!$A:$A,'Google Form Transform'!E:E,"")</f>
        <v/>
      </c>
      <c r="E732" t="str">
        <f>_xlfn.XLOOKUP(Table1[[#This Row],[Player]]&amp;Table1[[#This Row],[Week]]&amp;Table1[[#This Row],[Role]],'Google Form Transform'!$A:$A,'Google Form Transform'!F:F,"")</f>
        <v/>
      </c>
      <c r="F732" t="str">
        <f>_xlfn.XLOOKUP(Table1[[#This Row],[Player]]&amp;Table1[[#This Row],[Week]]&amp;Table1[[#This Row],[Role]],'Google Form Transform'!$A:$A,'Google Form Transform'!G:G,"")</f>
        <v/>
      </c>
      <c r="G732" s="59">
        <f>SUMIFS(Table2[Stat],Table2[Stat Category],"passing",Table2[Stat Type],"YDS",Table2[Athlete],Table1[[#This Row],[Pick]],Table2[Week],Table1[[#This Row],[Week]])</f>
        <v>0</v>
      </c>
      <c r="H732" s="59">
        <f>SUMIFS(Table2[Stat],Table2[Stat Category],"rushing",Table2[Stat Type],"YDS",Table2[Athlete],Table1[[#This Row],[Pick]],Table2[Week],Table1[[#This Row],[Week]])</f>
        <v>0</v>
      </c>
      <c r="I732" s="59">
        <f>SUMIFS(Table2[Stat],Table2[Stat Category],"receiving",Table2[Stat Type],"YDS",Table2[Athlete],Table1[[#This Row],[Pick]],Table2[Week],Table1[[#This Row],[Week]])</f>
        <v>0</v>
      </c>
      <c r="J732" s="6">
        <f>IF(AND($C732="Rushing", $H732&lt;=0), 0, IF(AND($C732="Passing", $G$3&lt;=0), 0,IF(AND($C732="Receiving",$I732&lt;=0), 0,SUMIFS(Table2[Stat],Table2[Week],Table1[[#This Row],[Week]],Table2[Athlete],Table1[[#This Row],[Pick]],Table2[Stat Category],"passing",Table2[Stat Type],"TD"))))</f>
        <v>0</v>
      </c>
      <c r="K732" s="6">
        <f>IF(AND($C732="Rushing", $H732&lt;=0), 0, IF(AND($C732="Passing", $G$3&lt;=0), 0,IF(AND($C732="Receiving",$I732&lt;=0),0,SUMIFS(Table2[Stat],Table2[Week],Table1[[#This Row],[Week]],Table2[Athlete],Table1[[#This Row],[Pick]],Table2[Stat Category],"rushing",Table2[Stat Type],"TD"))))</f>
        <v>0</v>
      </c>
      <c r="L732" s="6">
        <f>IF(AND($C732="Rushing", $H732&lt;=0), 0, IF(AND($C732="Passing", $G$3&lt;=0), 0,IF(AND($C732="Receiving",$I732&lt;=0),0,SUMIFS(Table2[Stat],Table2[Week],Table1[[#This Row],[Week]],Table2[Athlete],Table1[[#This Row],[Pick]],Table2[Stat Category],"receiving",Table2[Stat Type],"TD"))))</f>
        <v>0</v>
      </c>
      <c r="M7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2" s="61">
        <f>SUMIFS(Data!$J:$J,Data!$A:$A,Info!$B732,Data!$G:$G,Info!$C732,Data!$I:$I,Info!$D732,Data!$H:$H,"TOT")</f>
        <v>0</v>
      </c>
      <c r="O732" s="61">
        <f>IF(C732="Defensive",SUMIFS(Data!$J:$J,Data!$A:$A,Info!$B732,Data!$I:$I,Info!$D732,Data!$H:$H,"INT"),0)</f>
        <v>0</v>
      </c>
      <c r="P732" s="61">
        <f>IF(Table1[[#This Row],[Role]]="Defensive",SUMIFS(Data!$J:$J,Data!$A:$A,Info!$B732,Data!$I:$I,Info!$D732,Data!$H:$H,$P$1),0)</f>
        <v>0</v>
      </c>
      <c r="Q732" s="65" t="str">
        <f>IF(Table1[[#This Row],[Pick]]="","",IF(S732&gt;1,400,IF(G732="","",IF(C732="Passing",(400-Table1[[#This Row],[Passing Yards]]-(30*Table1[[#This Row],[Passing TDs]])-(50*SUM(Table1[[#This Row],[Rushing TDs]:[Other TD''s]]))),IF(C732="Rushing",2*(200-Table1[[#This Row],[Rushing Yards]]-(30*Table1[[#This Row],[Passing TDs]])-50*(Table1[[#This Row],[Rushing TDs]]+Table1[[#This Row],[Receiving TDs]]+Table1[[#This Row],[Other TD''s]])),IF(C732="Receiving",2*(200-Table1[[#This Row],[Receiving Yards]]-(30*Table1[[#This Row],[Passing TDs]])-50*(Table1[[#This Row],[Rushing TDs]]+Table1[[#This Row],[Receiving TDs]]+Table1[[#This Row],[Other TD''s]])),IF(C732="Defensive",(25*(16-Table1[[#This Row],[Tackles]]-(8*(Table1[[#This Row],[Other TD''s]]+Table1[[#This Row],[Interceptions]]+Table1[[#This Row],[Fumbles Recovered]])))))))))))</f>
        <v/>
      </c>
      <c r="R732" s="3" t="str">
        <f t="shared" si="24"/>
        <v/>
      </c>
      <c r="S732" s="4">
        <f t="shared" si="23"/>
        <v>1048507</v>
      </c>
      <c r="T7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3" spans="1:20" hidden="1" x14ac:dyDescent="0.25">
      <c r="A733" t="s">
        <v>79</v>
      </c>
      <c r="B733" s="28" t="s">
        <v>15</v>
      </c>
      <c r="C733" t="s">
        <v>17</v>
      </c>
      <c r="D733" t="str">
        <f>_xlfn.XLOOKUP(Table1[[#This Row],[Player]]&amp;Table1[[#This Row],[Week]]&amp;Table1[[#This Row],[Role]],'Google Form Transform'!$A:$A,'Google Form Transform'!E:E,"")</f>
        <v/>
      </c>
      <c r="E733" t="str">
        <f>_xlfn.XLOOKUP(Table1[[#This Row],[Player]]&amp;Table1[[#This Row],[Week]]&amp;Table1[[#This Row],[Role]],'Google Form Transform'!$A:$A,'Google Form Transform'!F:F,"")</f>
        <v/>
      </c>
      <c r="F733" t="str">
        <f>_xlfn.XLOOKUP(Table1[[#This Row],[Player]]&amp;Table1[[#This Row],[Week]]&amp;Table1[[#This Row],[Role]],'Google Form Transform'!$A:$A,'Google Form Transform'!G:G,"")</f>
        <v/>
      </c>
      <c r="G733" s="59">
        <f>SUMIFS(Table2[Stat],Table2[Stat Category],"passing",Table2[Stat Type],"YDS",Table2[Athlete],Table1[[#This Row],[Pick]],Table2[Week],Table1[[#This Row],[Week]])</f>
        <v>0</v>
      </c>
      <c r="H733" s="59">
        <f>SUMIFS(Table2[Stat],Table2[Stat Category],"rushing",Table2[Stat Type],"YDS",Table2[Athlete],Table1[[#This Row],[Pick]],Table2[Week],Table1[[#This Row],[Week]])</f>
        <v>0</v>
      </c>
      <c r="I733" s="59">
        <f>SUMIFS(Table2[Stat],Table2[Stat Category],"receiving",Table2[Stat Type],"YDS",Table2[Athlete],Table1[[#This Row],[Pick]],Table2[Week],Table1[[#This Row],[Week]])</f>
        <v>0</v>
      </c>
      <c r="J733" s="6">
        <f>IF(AND($C733="Rushing", $H733&lt;=0), 0, IF(AND($C733="Passing", $G$3&lt;=0), 0,IF(AND($C733="Receiving",$I733&lt;=0), 0,SUMIFS(Table2[Stat],Table2[Week],Table1[[#This Row],[Week]],Table2[Athlete],Table1[[#This Row],[Pick]],Table2[Stat Category],"passing",Table2[Stat Type],"TD"))))</f>
        <v>0</v>
      </c>
      <c r="K733" s="6">
        <f>IF(AND($C733="Rushing", $H733&lt;=0), 0, IF(AND($C733="Passing", $G$3&lt;=0), 0,IF(AND($C733="Receiving",$I733&lt;=0),0,SUMIFS(Table2[Stat],Table2[Week],Table1[[#This Row],[Week]],Table2[Athlete],Table1[[#This Row],[Pick]],Table2[Stat Category],"rushing",Table2[Stat Type],"TD"))))</f>
        <v>0</v>
      </c>
      <c r="L733" s="6">
        <f>IF(AND($C733="Rushing", $H733&lt;=0), 0, IF(AND($C733="Passing", $G$3&lt;=0), 0,IF(AND($C733="Receiving",$I733&lt;=0),0,SUMIFS(Table2[Stat],Table2[Week],Table1[[#This Row],[Week]],Table2[Athlete],Table1[[#This Row],[Pick]],Table2[Stat Category],"receiving",Table2[Stat Type],"TD"))))</f>
        <v>0</v>
      </c>
      <c r="M7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3" s="61">
        <f>SUMIFS(Data!$J:$J,Data!$A:$A,Info!$B733,Data!$G:$G,Info!$C733,Data!$I:$I,Info!$D733,Data!$H:$H,"TOT")</f>
        <v>0</v>
      </c>
      <c r="O733" s="61">
        <f>IF(C733="Defensive",SUMIFS(Data!$J:$J,Data!$A:$A,Info!$B733,Data!$I:$I,Info!$D733,Data!$H:$H,"INT"),0)</f>
        <v>0</v>
      </c>
      <c r="P733" s="61">
        <f>IF(Table1[[#This Row],[Role]]="Defensive",SUMIFS(Data!$J:$J,Data!$A:$A,Info!$B733,Data!$I:$I,Info!$D733,Data!$H:$H,$P$1),0)</f>
        <v>0</v>
      </c>
      <c r="Q733" s="65" t="str">
        <f>IF(Table1[[#This Row],[Pick]]="","",IF(S733&gt;1,400,IF(G733="","",IF(C733="Passing",(400-Table1[[#This Row],[Passing Yards]]-(30*Table1[[#This Row],[Passing TDs]])-(50*SUM(Table1[[#This Row],[Rushing TDs]:[Other TD''s]]))),IF(C733="Rushing",2*(200-Table1[[#This Row],[Rushing Yards]]-(30*Table1[[#This Row],[Passing TDs]])-50*(Table1[[#This Row],[Rushing TDs]]+Table1[[#This Row],[Receiving TDs]]+Table1[[#This Row],[Other TD''s]])),IF(C733="Receiving",2*(200-Table1[[#This Row],[Receiving Yards]]-(30*Table1[[#This Row],[Passing TDs]])-50*(Table1[[#This Row],[Rushing TDs]]+Table1[[#This Row],[Receiving TDs]]+Table1[[#This Row],[Other TD''s]])),IF(C733="Defensive",(25*(16-Table1[[#This Row],[Tackles]]-(8*(Table1[[#This Row],[Other TD''s]]+Table1[[#This Row],[Interceptions]]+Table1[[#This Row],[Fumbles Recovered]])))))))))))</f>
        <v/>
      </c>
      <c r="R733" s="3" t="str">
        <f t="shared" si="24"/>
        <v/>
      </c>
      <c r="S733" s="4">
        <f t="shared" si="23"/>
        <v>1048507</v>
      </c>
      <c r="T7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4" spans="1:20" hidden="1" x14ac:dyDescent="0.25">
      <c r="A734" t="s">
        <v>79</v>
      </c>
      <c r="B734" s="28" t="s">
        <v>15</v>
      </c>
      <c r="C734" t="s">
        <v>20</v>
      </c>
      <c r="D734" t="str">
        <f>_xlfn.XLOOKUP(Table1[[#This Row],[Player]]&amp;Table1[[#This Row],[Week]]&amp;Table1[[#This Row],[Role]],'Google Form Transform'!$A:$A,'Google Form Transform'!E:E,"")</f>
        <v/>
      </c>
      <c r="E734" t="str">
        <f>_xlfn.XLOOKUP(Table1[[#This Row],[Player]]&amp;Table1[[#This Row],[Week]]&amp;Table1[[#This Row],[Role]],'Google Form Transform'!$A:$A,'Google Form Transform'!F:F,"")</f>
        <v/>
      </c>
      <c r="F734" t="str">
        <f>_xlfn.XLOOKUP(Table1[[#This Row],[Player]]&amp;Table1[[#This Row],[Week]]&amp;Table1[[#This Row],[Role]],'Google Form Transform'!$A:$A,'Google Form Transform'!G:G,"")</f>
        <v/>
      </c>
      <c r="G734" s="59">
        <f>SUMIFS(Table2[Stat],Table2[Stat Category],"passing",Table2[Stat Type],"YDS",Table2[Athlete],Table1[[#This Row],[Pick]],Table2[Week],Table1[[#This Row],[Week]])</f>
        <v>0</v>
      </c>
      <c r="H734" s="59">
        <f>SUMIFS(Table2[Stat],Table2[Stat Category],"rushing",Table2[Stat Type],"YDS",Table2[Athlete],Table1[[#This Row],[Pick]],Table2[Week],Table1[[#This Row],[Week]])</f>
        <v>0</v>
      </c>
      <c r="I734" s="59">
        <f>SUMIFS(Table2[Stat],Table2[Stat Category],"receiving",Table2[Stat Type],"YDS",Table2[Athlete],Table1[[#This Row],[Pick]],Table2[Week],Table1[[#This Row],[Week]])</f>
        <v>0</v>
      </c>
      <c r="J734" s="6">
        <f>IF(AND($C734="Rushing", $H734&lt;=0), 0, IF(AND($C734="Passing", $G$3&lt;=0), 0,IF(AND($C734="Receiving",$I734&lt;=0), 0,SUMIFS(Table2[Stat],Table2[Week],Table1[[#This Row],[Week]],Table2[Athlete],Table1[[#This Row],[Pick]],Table2[Stat Category],"passing",Table2[Stat Type],"TD"))))</f>
        <v>0</v>
      </c>
      <c r="K734" s="6">
        <f>IF(AND($C734="Rushing", $H734&lt;=0), 0, IF(AND($C734="Passing", $G$3&lt;=0), 0,IF(AND($C734="Receiving",$I734&lt;=0),0,SUMIFS(Table2[Stat],Table2[Week],Table1[[#This Row],[Week]],Table2[Athlete],Table1[[#This Row],[Pick]],Table2[Stat Category],"rushing",Table2[Stat Type],"TD"))))</f>
        <v>0</v>
      </c>
      <c r="L734" s="6">
        <f>IF(AND($C734="Rushing", $H734&lt;=0), 0, IF(AND($C734="Passing", $G$3&lt;=0), 0,IF(AND($C734="Receiving",$I734&lt;=0),0,SUMIFS(Table2[Stat],Table2[Week],Table1[[#This Row],[Week]],Table2[Athlete],Table1[[#This Row],[Pick]],Table2[Stat Category],"receiving",Table2[Stat Type],"TD"))))</f>
        <v>0</v>
      </c>
      <c r="M7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4" s="61">
        <f>SUMIFS(Data!$J:$J,Data!$A:$A,Info!$B734,Data!$G:$G,Info!$C734,Data!$I:$I,Info!$D734,Data!$H:$H,"TOT")</f>
        <v>0</v>
      </c>
      <c r="O734" s="61">
        <f>IF(C734="Defensive",SUMIFS(Data!$J:$J,Data!$A:$A,Info!$B734,Data!$I:$I,Info!$D734,Data!$H:$H,"INT"),0)</f>
        <v>0</v>
      </c>
      <c r="P734" s="61">
        <f>IF(Table1[[#This Row],[Role]]="Defensive",SUMIFS(Data!$J:$J,Data!$A:$A,Info!$B734,Data!$I:$I,Info!$D734,Data!$H:$H,$P$1),0)</f>
        <v>0</v>
      </c>
      <c r="Q734" s="65" t="str">
        <f>IF(Table1[[#This Row],[Pick]]="","",IF(S734&gt;1,400,IF(G734="","",IF(C734="Passing",(400-Table1[[#This Row],[Passing Yards]]-(30*Table1[[#This Row],[Passing TDs]])-(50*SUM(Table1[[#This Row],[Rushing TDs]:[Other TD''s]]))),IF(C734="Rushing",2*(200-Table1[[#This Row],[Rushing Yards]]-(30*Table1[[#This Row],[Passing TDs]])-50*(Table1[[#This Row],[Rushing TDs]]+Table1[[#This Row],[Receiving TDs]]+Table1[[#This Row],[Other TD''s]])),IF(C734="Receiving",2*(200-Table1[[#This Row],[Receiving Yards]]-(30*Table1[[#This Row],[Passing TDs]])-50*(Table1[[#This Row],[Rushing TDs]]+Table1[[#This Row],[Receiving TDs]]+Table1[[#This Row],[Other TD''s]])),IF(C734="Defensive",(25*(16-Table1[[#This Row],[Tackles]]-(8*(Table1[[#This Row],[Other TD''s]]+Table1[[#This Row],[Interceptions]]+Table1[[#This Row],[Fumbles Recovered]])))))))))))</f>
        <v/>
      </c>
      <c r="R734" s="3" t="str">
        <f t="shared" si="24"/>
        <v/>
      </c>
      <c r="S734" s="4">
        <f t="shared" si="23"/>
        <v>1048507</v>
      </c>
      <c r="T7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5" spans="1:20" hidden="1" x14ac:dyDescent="0.25">
      <c r="A735" t="s">
        <v>58</v>
      </c>
      <c r="B735" s="28" t="s">
        <v>15</v>
      </c>
      <c r="C735" t="s">
        <v>16</v>
      </c>
      <c r="D735" t="str">
        <f>_xlfn.XLOOKUP(Table1[[#This Row],[Player]]&amp;Table1[[#This Row],[Week]]&amp;Table1[[#This Row],[Role]],'Google Form Transform'!$A:$A,'Google Form Transform'!E:E,"")</f>
        <v/>
      </c>
      <c r="E735" t="str">
        <f>_xlfn.XLOOKUP(Table1[[#This Row],[Player]]&amp;Table1[[#This Row],[Week]]&amp;Table1[[#This Row],[Role]],'Google Form Transform'!$A:$A,'Google Form Transform'!F:F,"")</f>
        <v/>
      </c>
      <c r="F735" t="str">
        <f>_xlfn.XLOOKUP(Table1[[#This Row],[Player]]&amp;Table1[[#This Row],[Week]]&amp;Table1[[#This Row],[Role]],'Google Form Transform'!$A:$A,'Google Form Transform'!G:G,"")</f>
        <v/>
      </c>
      <c r="G735" s="59">
        <f>SUMIFS(Table2[Stat],Table2[Stat Category],"passing",Table2[Stat Type],"YDS",Table2[Athlete],Table1[[#This Row],[Pick]],Table2[Week],Table1[[#This Row],[Week]])</f>
        <v>0</v>
      </c>
      <c r="H735" s="59">
        <f>SUMIFS(Table2[Stat],Table2[Stat Category],"rushing",Table2[Stat Type],"YDS",Table2[Athlete],Table1[[#This Row],[Pick]],Table2[Week],Table1[[#This Row],[Week]])</f>
        <v>0</v>
      </c>
      <c r="I735" s="59">
        <f>SUMIFS(Table2[Stat],Table2[Stat Category],"receiving",Table2[Stat Type],"YDS",Table2[Athlete],Table1[[#This Row],[Pick]],Table2[Week],Table1[[#This Row],[Week]])</f>
        <v>0</v>
      </c>
      <c r="J735" s="6">
        <f>IF(AND($C735="Rushing", $H735&lt;=0), 0, IF(AND($C735="Passing", $G$3&lt;=0), 0,IF(AND($C735="Receiving",$I735&lt;=0), 0,SUMIFS(Table2[Stat],Table2[Week],Table1[[#This Row],[Week]],Table2[Athlete],Table1[[#This Row],[Pick]],Table2[Stat Category],"passing",Table2[Stat Type],"TD"))))</f>
        <v>0</v>
      </c>
      <c r="K735" s="6">
        <f>IF(AND($C735="Rushing", $H735&lt;=0), 0, IF(AND($C735="Passing", $G$3&lt;=0), 0,IF(AND($C735="Receiving",$I735&lt;=0),0,SUMIFS(Table2[Stat],Table2[Week],Table1[[#This Row],[Week]],Table2[Athlete],Table1[[#This Row],[Pick]],Table2[Stat Category],"rushing",Table2[Stat Type],"TD"))))</f>
        <v>0</v>
      </c>
      <c r="L735" s="6">
        <f>IF(AND($C735="Rushing", $H735&lt;=0), 0, IF(AND($C735="Passing", $G$3&lt;=0), 0,IF(AND($C735="Receiving",$I735&lt;=0),0,SUMIFS(Table2[Stat],Table2[Week],Table1[[#This Row],[Week]],Table2[Athlete],Table1[[#This Row],[Pick]],Table2[Stat Category],"receiving",Table2[Stat Type],"TD"))))</f>
        <v>0</v>
      </c>
      <c r="M7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5" s="61">
        <f>SUMIFS(Data!$J:$J,Data!$A:$A,Info!$B735,Data!$G:$G,Info!$C735,Data!$I:$I,Info!$D735,Data!$H:$H,"TOT")</f>
        <v>0</v>
      </c>
      <c r="O735" s="61">
        <f>IF(C735="Defensive",SUMIFS(Data!$J:$J,Data!$A:$A,Info!$B735,Data!$I:$I,Info!$D735,Data!$H:$H,"INT"),0)</f>
        <v>0</v>
      </c>
      <c r="P735" s="61">
        <f>IF(Table1[[#This Row],[Role]]="Defensive",SUMIFS(Data!$J:$J,Data!$A:$A,Info!$B735,Data!$I:$I,Info!$D735,Data!$H:$H,$P$1),0)</f>
        <v>0</v>
      </c>
      <c r="Q735" s="65" t="str">
        <f>IF(Table1[[#This Row],[Pick]]="","",IF(S735&gt;1,400,IF(G735="","",IF(C735="Passing",(400-Table1[[#This Row],[Passing Yards]]-(30*Table1[[#This Row],[Passing TDs]])-(50*SUM(Table1[[#This Row],[Rushing TDs]:[Other TD''s]]))),IF(C735="Rushing",2*(200-Table1[[#This Row],[Rushing Yards]]-(30*Table1[[#This Row],[Passing TDs]])-50*(Table1[[#This Row],[Rushing TDs]]+Table1[[#This Row],[Receiving TDs]]+Table1[[#This Row],[Other TD''s]])),IF(C735="Receiving",2*(200-Table1[[#This Row],[Receiving Yards]]-(30*Table1[[#This Row],[Passing TDs]])-50*(Table1[[#This Row],[Rushing TDs]]+Table1[[#This Row],[Receiving TDs]]+Table1[[#This Row],[Other TD''s]])),IF(C735="Defensive",(25*(16-Table1[[#This Row],[Tackles]]-(8*(Table1[[#This Row],[Other TD''s]]+Table1[[#This Row],[Interceptions]]+Table1[[#This Row],[Fumbles Recovered]])))))))))))</f>
        <v/>
      </c>
      <c r="R735" s="3" t="str">
        <f t="shared" si="24"/>
        <v/>
      </c>
      <c r="S735" s="4">
        <f t="shared" si="23"/>
        <v>1048507</v>
      </c>
      <c r="T7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6" spans="1:20" hidden="1" x14ac:dyDescent="0.25">
      <c r="A736" t="s">
        <v>58</v>
      </c>
      <c r="B736" s="28" t="s">
        <v>15</v>
      </c>
      <c r="C736" t="s">
        <v>6</v>
      </c>
      <c r="D736" t="str">
        <f>_xlfn.XLOOKUP(Table1[[#This Row],[Player]]&amp;Table1[[#This Row],[Week]]&amp;Table1[[#This Row],[Role]],'Google Form Transform'!$A:$A,'Google Form Transform'!E:E,"")</f>
        <v/>
      </c>
      <c r="E736" t="str">
        <f>_xlfn.XLOOKUP(Table1[[#This Row],[Player]]&amp;Table1[[#This Row],[Week]]&amp;Table1[[#This Row],[Role]],'Google Form Transform'!$A:$A,'Google Form Transform'!F:F,"")</f>
        <v/>
      </c>
      <c r="F736" t="str">
        <f>_xlfn.XLOOKUP(Table1[[#This Row],[Player]]&amp;Table1[[#This Row],[Week]]&amp;Table1[[#This Row],[Role]],'Google Form Transform'!$A:$A,'Google Form Transform'!G:G,"")</f>
        <v/>
      </c>
      <c r="G736" s="59">
        <f>SUMIFS(Table2[Stat],Table2[Stat Category],"passing",Table2[Stat Type],"YDS",Table2[Athlete],Table1[[#This Row],[Pick]],Table2[Week],Table1[[#This Row],[Week]])</f>
        <v>0</v>
      </c>
      <c r="H736" s="59">
        <f>SUMIFS(Table2[Stat],Table2[Stat Category],"rushing",Table2[Stat Type],"YDS",Table2[Athlete],Table1[[#This Row],[Pick]],Table2[Week],Table1[[#This Row],[Week]])</f>
        <v>0</v>
      </c>
      <c r="I736" s="59">
        <f>SUMIFS(Table2[Stat],Table2[Stat Category],"receiving",Table2[Stat Type],"YDS",Table2[Athlete],Table1[[#This Row],[Pick]],Table2[Week],Table1[[#This Row],[Week]])</f>
        <v>0</v>
      </c>
      <c r="J736" s="6">
        <f>IF(AND($C736="Rushing", $H736&lt;=0), 0, IF(AND($C736="Passing", $G$3&lt;=0), 0,IF(AND($C736="Receiving",$I736&lt;=0), 0,SUMIFS(Table2[Stat],Table2[Week],Table1[[#This Row],[Week]],Table2[Athlete],Table1[[#This Row],[Pick]],Table2[Stat Category],"passing",Table2[Stat Type],"TD"))))</f>
        <v>0</v>
      </c>
      <c r="K736" s="6">
        <f>IF(AND($C736="Rushing", $H736&lt;=0), 0, IF(AND($C736="Passing", $G$3&lt;=0), 0,IF(AND($C736="Receiving",$I736&lt;=0),0,SUMIFS(Table2[Stat],Table2[Week],Table1[[#This Row],[Week]],Table2[Athlete],Table1[[#This Row],[Pick]],Table2[Stat Category],"rushing",Table2[Stat Type],"TD"))))</f>
        <v>0</v>
      </c>
      <c r="L736" s="6">
        <f>IF(AND($C736="Rushing", $H736&lt;=0), 0, IF(AND($C736="Passing", $G$3&lt;=0), 0,IF(AND($C736="Receiving",$I736&lt;=0),0,SUMIFS(Table2[Stat],Table2[Week],Table1[[#This Row],[Week]],Table2[Athlete],Table1[[#This Row],[Pick]],Table2[Stat Category],"receiving",Table2[Stat Type],"TD"))))</f>
        <v>0</v>
      </c>
      <c r="M7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6" s="61">
        <f>SUMIFS(Data!$J:$J,Data!$A:$A,Info!$B736,Data!$G:$G,Info!$C736,Data!$I:$I,Info!$D736,Data!$H:$H,"TOT")</f>
        <v>0</v>
      </c>
      <c r="O736" s="61">
        <f>IF(C736="Defensive",SUMIFS(Data!$J:$J,Data!$A:$A,Info!$B736,Data!$I:$I,Info!$D736,Data!$H:$H,"INT"),0)</f>
        <v>0</v>
      </c>
      <c r="P736" s="61">
        <f>IF(Table1[[#This Row],[Role]]="Defensive",SUMIFS(Data!$J:$J,Data!$A:$A,Info!$B736,Data!$I:$I,Info!$D736,Data!$H:$H,$P$1),0)</f>
        <v>0</v>
      </c>
      <c r="Q736" s="65" t="str">
        <f>IF(Table1[[#This Row],[Pick]]="","",IF(S736&gt;1,400,IF(G736="","",IF(C736="Passing",(400-Table1[[#This Row],[Passing Yards]]-(30*Table1[[#This Row],[Passing TDs]])-(50*SUM(Table1[[#This Row],[Rushing TDs]:[Other TD''s]]))),IF(C736="Rushing",2*(200-Table1[[#This Row],[Rushing Yards]]-(30*Table1[[#This Row],[Passing TDs]])-50*(Table1[[#This Row],[Rushing TDs]]+Table1[[#This Row],[Receiving TDs]]+Table1[[#This Row],[Other TD''s]])),IF(C736="Receiving",2*(200-Table1[[#This Row],[Receiving Yards]]-(30*Table1[[#This Row],[Passing TDs]])-50*(Table1[[#This Row],[Rushing TDs]]+Table1[[#This Row],[Receiving TDs]]+Table1[[#This Row],[Other TD''s]])),IF(C736="Defensive",(25*(16-Table1[[#This Row],[Tackles]]-(8*(Table1[[#This Row],[Other TD''s]]+Table1[[#This Row],[Interceptions]]+Table1[[#This Row],[Fumbles Recovered]])))))))))))</f>
        <v/>
      </c>
      <c r="R736" s="3" t="str">
        <f t="shared" si="24"/>
        <v/>
      </c>
      <c r="S736" s="4">
        <f t="shared" si="23"/>
        <v>1048507</v>
      </c>
      <c r="T7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7" spans="1:20" hidden="1" x14ac:dyDescent="0.25">
      <c r="A737" t="s">
        <v>58</v>
      </c>
      <c r="B737" s="28" t="s">
        <v>15</v>
      </c>
      <c r="C737" t="s">
        <v>17</v>
      </c>
      <c r="D737" t="str">
        <f>_xlfn.XLOOKUP(Table1[[#This Row],[Player]]&amp;Table1[[#This Row],[Week]]&amp;Table1[[#This Row],[Role]],'Google Form Transform'!$A:$A,'Google Form Transform'!E:E,"")</f>
        <v/>
      </c>
      <c r="E737" t="str">
        <f>_xlfn.XLOOKUP(Table1[[#This Row],[Player]]&amp;Table1[[#This Row],[Week]]&amp;Table1[[#This Row],[Role]],'Google Form Transform'!$A:$A,'Google Form Transform'!F:F,"")</f>
        <v/>
      </c>
      <c r="F737" t="str">
        <f>_xlfn.XLOOKUP(Table1[[#This Row],[Player]]&amp;Table1[[#This Row],[Week]]&amp;Table1[[#This Row],[Role]],'Google Form Transform'!$A:$A,'Google Form Transform'!G:G,"")</f>
        <v/>
      </c>
      <c r="G737" s="59">
        <f>SUMIFS(Table2[Stat],Table2[Stat Category],"passing",Table2[Stat Type],"YDS",Table2[Athlete],Table1[[#This Row],[Pick]],Table2[Week],Table1[[#This Row],[Week]])</f>
        <v>0</v>
      </c>
      <c r="H737" s="59">
        <f>SUMIFS(Table2[Stat],Table2[Stat Category],"rushing",Table2[Stat Type],"YDS",Table2[Athlete],Table1[[#This Row],[Pick]],Table2[Week],Table1[[#This Row],[Week]])</f>
        <v>0</v>
      </c>
      <c r="I737" s="59">
        <f>SUMIFS(Table2[Stat],Table2[Stat Category],"receiving",Table2[Stat Type],"YDS",Table2[Athlete],Table1[[#This Row],[Pick]],Table2[Week],Table1[[#This Row],[Week]])</f>
        <v>0</v>
      </c>
      <c r="J737" s="6">
        <f>IF(AND($C737="Rushing", $H737&lt;=0), 0, IF(AND($C737="Passing", $G$3&lt;=0), 0,IF(AND($C737="Receiving",$I737&lt;=0), 0,SUMIFS(Table2[Stat],Table2[Week],Table1[[#This Row],[Week]],Table2[Athlete],Table1[[#This Row],[Pick]],Table2[Stat Category],"passing",Table2[Stat Type],"TD"))))</f>
        <v>0</v>
      </c>
      <c r="K737" s="6">
        <f>IF(AND($C737="Rushing", $H737&lt;=0), 0, IF(AND($C737="Passing", $G$3&lt;=0), 0,IF(AND($C737="Receiving",$I737&lt;=0),0,SUMIFS(Table2[Stat],Table2[Week],Table1[[#This Row],[Week]],Table2[Athlete],Table1[[#This Row],[Pick]],Table2[Stat Category],"rushing",Table2[Stat Type],"TD"))))</f>
        <v>0</v>
      </c>
      <c r="L737" s="6">
        <f>IF(AND($C737="Rushing", $H737&lt;=0), 0, IF(AND($C737="Passing", $G$3&lt;=0), 0,IF(AND($C737="Receiving",$I737&lt;=0),0,SUMIFS(Table2[Stat],Table2[Week],Table1[[#This Row],[Week]],Table2[Athlete],Table1[[#This Row],[Pick]],Table2[Stat Category],"receiving",Table2[Stat Type],"TD"))))</f>
        <v>0</v>
      </c>
      <c r="M7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7" s="61">
        <f>SUMIFS(Data!$J:$J,Data!$A:$A,Info!$B737,Data!$G:$G,Info!$C737,Data!$I:$I,Info!$D737,Data!$H:$H,"TOT")</f>
        <v>0</v>
      </c>
      <c r="O737" s="61">
        <f>IF(C737="Defensive",SUMIFS(Data!$J:$J,Data!$A:$A,Info!$B737,Data!$I:$I,Info!$D737,Data!$H:$H,"INT"),0)</f>
        <v>0</v>
      </c>
      <c r="P737" s="61">
        <f>IF(Table1[[#This Row],[Role]]="Defensive",SUMIFS(Data!$J:$J,Data!$A:$A,Info!$B737,Data!$I:$I,Info!$D737,Data!$H:$H,$P$1),0)</f>
        <v>0</v>
      </c>
      <c r="Q737" s="65" t="str">
        <f>IF(Table1[[#This Row],[Pick]]="","",IF(S737&gt;1,400,IF(G737="","",IF(C737="Passing",(400-Table1[[#This Row],[Passing Yards]]-(30*Table1[[#This Row],[Passing TDs]])-(50*SUM(Table1[[#This Row],[Rushing TDs]:[Other TD''s]]))),IF(C737="Rushing",2*(200-Table1[[#This Row],[Rushing Yards]]-(30*Table1[[#This Row],[Passing TDs]])-50*(Table1[[#This Row],[Rushing TDs]]+Table1[[#This Row],[Receiving TDs]]+Table1[[#This Row],[Other TD''s]])),IF(C737="Receiving",2*(200-Table1[[#This Row],[Receiving Yards]]-(30*Table1[[#This Row],[Passing TDs]])-50*(Table1[[#This Row],[Rushing TDs]]+Table1[[#This Row],[Receiving TDs]]+Table1[[#This Row],[Other TD''s]])),IF(C737="Defensive",(25*(16-Table1[[#This Row],[Tackles]]-(8*(Table1[[#This Row],[Other TD''s]]+Table1[[#This Row],[Interceptions]]+Table1[[#This Row],[Fumbles Recovered]])))))))))))</f>
        <v/>
      </c>
      <c r="R737" s="3" t="str">
        <f t="shared" si="24"/>
        <v/>
      </c>
      <c r="S737" s="4">
        <f t="shared" si="23"/>
        <v>1048507</v>
      </c>
      <c r="T7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8" spans="1:20" hidden="1" x14ac:dyDescent="0.25">
      <c r="A738" t="s">
        <v>58</v>
      </c>
      <c r="B738" s="28" t="s">
        <v>15</v>
      </c>
      <c r="C738" t="s">
        <v>20</v>
      </c>
      <c r="D738" t="str">
        <f>_xlfn.XLOOKUP(Table1[[#This Row],[Player]]&amp;Table1[[#This Row],[Week]]&amp;Table1[[#This Row],[Role]],'Google Form Transform'!$A:$A,'Google Form Transform'!E:E,"")</f>
        <v/>
      </c>
      <c r="E738" t="str">
        <f>_xlfn.XLOOKUP(Table1[[#This Row],[Player]]&amp;Table1[[#This Row],[Week]]&amp;Table1[[#This Row],[Role]],'Google Form Transform'!$A:$A,'Google Form Transform'!F:F,"")</f>
        <v/>
      </c>
      <c r="F738" t="str">
        <f>_xlfn.XLOOKUP(Table1[[#This Row],[Player]]&amp;Table1[[#This Row],[Week]]&amp;Table1[[#This Row],[Role]],'Google Form Transform'!$A:$A,'Google Form Transform'!G:G,"")</f>
        <v/>
      </c>
      <c r="G738" s="59">
        <f>SUMIFS(Table2[Stat],Table2[Stat Category],"passing",Table2[Stat Type],"YDS",Table2[Athlete],Table1[[#This Row],[Pick]],Table2[Week],Table1[[#This Row],[Week]])</f>
        <v>0</v>
      </c>
      <c r="H738" s="59">
        <f>SUMIFS(Table2[Stat],Table2[Stat Category],"rushing",Table2[Stat Type],"YDS",Table2[Athlete],Table1[[#This Row],[Pick]],Table2[Week],Table1[[#This Row],[Week]])</f>
        <v>0</v>
      </c>
      <c r="I738" s="59">
        <f>SUMIFS(Table2[Stat],Table2[Stat Category],"receiving",Table2[Stat Type],"YDS",Table2[Athlete],Table1[[#This Row],[Pick]],Table2[Week],Table1[[#This Row],[Week]])</f>
        <v>0</v>
      </c>
      <c r="J738" s="6">
        <f>IF(AND($C738="Rushing", $H738&lt;=0), 0, IF(AND($C738="Passing", $G$3&lt;=0), 0,IF(AND($C738="Receiving",$I738&lt;=0), 0,SUMIFS(Table2[Stat],Table2[Week],Table1[[#This Row],[Week]],Table2[Athlete],Table1[[#This Row],[Pick]],Table2[Stat Category],"passing",Table2[Stat Type],"TD"))))</f>
        <v>0</v>
      </c>
      <c r="K738" s="6">
        <f>IF(AND($C738="Rushing", $H738&lt;=0), 0, IF(AND($C738="Passing", $G$3&lt;=0), 0,IF(AND($C738="Receiving",$I738&lt;=0),0,SUMIFS(Table2[Stat],Table2[Week],Table1[[#This Row],[Week]],Table2[Athlete],Table1[[#This Row],[Pick]],Table2[Stat Category],"rushing",Table2[Stat Type],"TD"))))</f>
        <v>0</v>
      </c>
      <c r="L738" s="6">
        <f>IF(AND($C738="Rushing", $H738&lt;=0), 0, IF(AND($C738="Passing", $G$3&lt;=0), 0,IF(AND($C738="Receiving",$I738&lt;=0),0,SUMIFS(Table2[Stat],Table2[Week],Table1[[#This Row],[Week]],Table2[Athlete],Table1[[#This Row],[Pick]],Table2[Stat Category],"receiving",Table2[Stat Type],"TD"))))</f>
        <v>0</v>
      </c>
      <c r="M7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8" s="61">
        <f>SUMIFS(Data!$J:$J,Data!$A:$A,Info!$B738,Data!$G:$G,Info!$C738,Data!$I:$I,Info!$D738,Data!$H:$H,"TOT")</f>
        <v>0</v>
      </c>
      <c r="O738" s="61">
        <f>IF(C738="Defensive",SUMIFS(Data!$J:$J,Data!$A:$A,Info!$B738,Data!$I:$I,Info!$D738,Data!$H:$H,"INT"),0)</f>
        <v>0</v>
      </c>
      <c r="P738" s="61">
        <f>IF(Table1[[#This Row],[Role]]="Defensive",SUMIFS(Data!$J:$J,Data!$A:$A,Info!$B738,Data!$I:$I,Info!$D738,Data!$H:$H,$P$1),0)</f>
        <v>0</v>
      </c>
      <c r="Q738" s="65" t="str">
        <f>IF(Table1[[#This Row],[Pick]]="","",IF(S738&gt;1,400,IF(G738="","",IF(C738="Passing",(400-Table1[[#This Row],[Passing Yards]]-(30*Table1[[#This Row],[Passing TDs]])-(50*SUM(Table1[[#This Row],[Rushing TDs]:[Other TD''s]]))),IF(C738="Rushing",2*(200-Table1[[#This Row],[Rushing Yards]]-(30*Table1[[#This Row],[Passing TDs]])-50*(Table1[[#This Row],[Rushing TDs]]+Table1[[#This Row],[Receiving TDs]]+Table1[[#This Row],[Other TD''s]])),IF(C738="Receiving",2*(200-Table1[[#This Row],[Receiving Yards]]-(30*Table1[[#This Row],[Passing TDs]])-50*(Table1[[#This Row],[Rushing TDs]]+Table1[[#This Row],[Receiving TDs]]+Table1[[#This Row],[Other TD''s]])),IF(C738="Defensive",(25*(16-Table1[[#This Row],[Tackles]]-(8*(Table1[[#This Row],[Other TD''s]]+Table1[[#This Row],[Interceptions]]+Table1[[#This Row],[Fumbles Recovered]])))))))))))</f>
        <v/>
      </c>
      <c r="R738" s="3" t="str">
        <f t="shared" si="24"/>
        <v/>
      </c>
      <c r="S738" s="4">
        <f t="shared" si="23"/>
        <v>1048507</v>
      </c>
      <c r="T7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9" spans="1:20" hidden="1" x14ac:dyDescent="0.25">
      <c r="A739" t="s">
        <v>61</v>
      </c>
      <c r="B739" s="28" t="s">
        <v>15</v>
      </c>
      <c r="C739" t="s">
        <v>16</v>
      </c>
      <c r="D739" t="str">
        <f>_xlfn.XLOOKUP(Table1[[#This Row],[Player]]&amp;Table1[[#This Row],[Week]]&amp;Table1[[#This Row],[Role]],'Google Form Transform'!$A:$A,'Google Form Transform'!E:E,"")</f>
        <v/>
      </c>
      <c r="E739" t="str">
        <f>_xlfn.XLOOKUP(Table1[[#This Row],[Player]]&amp;Table1[[#This Row],[Week]]&amp;Table1[[#This Row],[Role]],'Google Form Transform'!$A:$A,'Google Form Transform'!F:F,"")</f>
        <v/>
      </c>
      <c r="F739" t="str">
        <f>_xlfn.XLOOKUP(Table1[[#This Row],[Player]]&amp;Table1[[#This Row],[Week]]&amp;Table1[[#This Row],[Role]],'Google Form Transform'!$A:$A,'Google Form Transform'!G:G,"")</f>
        <v/>
      </c>
      <c r="G739" s="59">
        <f>SUMIFS(Table2[Stat],Table2[Stat Category],"passing",Table2[Stat Type],"YDS",Table2[Athlete],Table1[[#This Row],[Pick]],Table2[Week],Table1[[#This Row],[Week]])</f>
        <v>0</v>
      </c>
      <c r="H739" s="59">
        <f>SUMIFS(Table2[Stat],Table2[Stat Category],"rushing",Table2[Stat Type],"YDS",Table2[Athlete],Table1[[#This Row],[Pick]],Table2[Week],Table1[[#This Row],[Week]])</f>
        <v>0</v>
      </c>
      <c r="I739" s="59">
        <f>SUMIFS(Table2[Stat],Table2[Stat Category],"receiving",Table2[Stat Type],"YDS",Table2[Athlete],Table1[[#This Row],[Pick]],Table2[Week],Table1[[#This Row],[Week]])</f>
        <v>0</v>
      </c>
      <c r="J739" s="6">
        <f>IF(AND($C739="Rushing", $H739&lt;=0), 0, IF(AND($C739="Passing", $G$3&lt;=0), 0,IF(AND($C739="Receiving",$I739&lt;=0), 0,SUMIFS(Table2[Stat],Table2[Week],Table1[[#This Row],[Week]],Table2[Athlete],Table1[[#This Row],[Pick]],Table2[Stat Category],"passing",Table2[Stat Type],"TD"))))</f>
        <v>0</v>
      </c>
      <c r="K739" s="6">
        <f>IF(AND($C739="Rushing", $H739&lt;=0), 0, IF(AND($C739="Passing", $G$3&lt;=0), 0,IF(AND($C739="Receiving",$I739&lt;=0),0,SUMIFS(Table2[Stat],Table2[Week],Table1[[#This Row],[Week]],Table2[Athlete],Table1[[#This Row],[Pick]],Table2[Stat Category],"rushing",Table2[Stat Type],"TD"))))</f>
        <v>0</v>
      </c>
      <c r="L739" s="6">
        <f>IF(AND($C739="Rushing", $H739&lt;=0), 0, IF(AND($C739="Passing", $G$3&lt;=0), 0,IF(AND($C739="Receiving",$I739&lt;=0),0,SUMIFS(Table2[Stat],Table2[Week],Table1[[#This Row],[Week]],Table2[Athlete],Table1[[#This Row],[Pick]],Table2[Stat Category],"receiving",Table2[Stat Type],"TD"))))</f>
        <v>0</v>
      </c>
      <c r="M7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9" s="61">
        <f>SUMIFS(Data!$J:$J,Data!$A:$A,Info!$B739,Data!$G:$G,Info!$C739,Data!$I:$I,Info!$D739,Data!$H:$H,"TOT")</f>
        <v>0</v>
      </c>
      <c r="O739" s="61">
        <f>IF(C739="Defensive",SUMIFS(Data!$J:$J,Data!$A:$A,Info!$B739,Data!$I:$I,Info!$D739,Data!$H:$H,"INT"),0)</f>
        <v>0</v>
      </c>
      <c r="P739" s="61">
        <f>IF(Table1[[#This Row],[Role]]="Defensive",SUMIFS(Data!$J:$J,Data!$A:$A,Info!$B739,Data!$I:$I,Info!$D739,Data!$H:$H,$P$1),0)</f>
        <v>0</v>
      </c>
      <c r="Q739" s="65" t="str">
        <f>IF(Table1[[#This Row],[Pick]]="","",IF(S739&gt;1,400,IF(G739="","",IF(C739="Passing",(400-Table1[[#This Row],[Passing Yards]]-(30*Table1[[#This Row],[Passing TDs]])-(50*SUM(Table1[[#This Row],[Rushing TDs]:[Other TD''s]]))),IF(C739="Rushing",2*(200-Table1[[#This Row],[Rushing Yards]]-(30*Table1[[#This Row],[Passing TDs]])-50*(Table1[[#This Row],[Rushing TDs]]+Table1[[#This Row],[Receiving TDs]]+Table1[[#This Row],[Other TD''s]])),IF(C739="Receiving",2*(200-Table1[[#This Row],[Receiving Yards]]-(30*Table1[[#This Row],[Passing TDs]])-50*(Table1[[#This Row],[Rushing TDs]]+Table1[[#This Row],[Receiving TDs]]+Table1[[#This Row],[Other TD''s]])),IF(C739="Defensive",(25*(16-Table1[[#This Row],[Tackles]]-(8*(Table1[[#This Row],[Other TD''s]]+Table1[[#This Row],[Interceptions]]+Table1[[#This Row],[Fumbles Recovered]])))))))))))</f>
        <v/>
      </c>
      <c r="R739" s="3" t="str">
        <f t="shared" si="24"/>
        <v/>
      </c>
      <c r="S739" s="4">
        <f t="shared" si="23"/>
        <v>1048507</v>
      </c>
      <c r="T7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0" spans="1:20" hidden="1" x14ac:dyDescent="0.25">
      <c r="A740" t="s">
        <v>61</v>
      </c>
      <c r="B740" s="28" t="s">
        <v>15</v>
      </c>
      <c r="C740" t="s">
        <v>6</v>
      </c>
      <c r="D740" t="str">
        <f>_xlfn.XLOOKUP(Table1[[#This Row],[Player]]&amp;Table1[[#This Row],[Week]]&amp;Table1[[#This Row],[Role]],'Google Form Transform'!$A:$A,'Google Form Transform'!E:E,"")</f>
        <v/>
      </c>
      <c r="E740" t="str">
        <f>_xlfn.XLOOKUP(Table1[[#This Row],[Player]]&amp;Table1[[#This Row],[Week]]&amp;Table1[[#This Row],[Role]],'Google Form Transform'!$A:$A,'Google Form Transform'!F:F,"")</f>
        <v/>
      </c>
      <c r="F740" t="str">
        <f>_xlfn.XLOOKUP(Table1[[#This Row],[Player]]&amp;Table1[[#This Row],[Week]]&amp;Table1[[#This Row],[Role]],'Google Form Transform'!$A:$A,'Google Form Transform'!G:G,"")</f>
        <v/>
      </c>
      <c r="G740" s="59">
        <f>SUMIFS(Table2[Stat],Table2[Stat Category],"passing",Table2[Stat Type],"YDS",Table2[Athlete],Table1[[#This Row],[Pick]],Table2[Week],Table1[[#This Row],[Week]])</f>
        <v>0</v>
      </c>
      <c r="H740" s="59">
        <f>SUMIFS(Table2[Stat],Table2[Stat Category],"rushing",Table2[Stat Type],"YDS",Table2[Athlete],Table1[[#This Row],[Pick]],Table2[Week],Table1[[#This Row],[Week]])</f>
        <v>0</v>
      </c>
      <c r="I740" s="59">
        <f>SUMIFS(Table2[Stat],Table2[Stat Category],"receiving",Table2[Stat Type],"YDS",Table2[Athlete],Table1[[#This Row],[Pick]],Table2[Week],Table1[[#This Row],[Week]])</f>
        <v>0</v>
      </c>
      <c r="J740" s="6">
        <f>IF(AND($C740="Rushing", $H740&lt;=0), 0, IF(AND($C740="Passing", $G$3&lt;=0), 0,IF(AND($C740="Receiving",$I740&lt;=0), 0,SUMIFS(Table2[Stat],Table2[Week],Table1[[#This Row],[Week]],Table2[Athlete],Table1[[#This Row],[Pick]],Table2[Stat Category],"passing",Table2[Stat Type],"TD"))))</f>
        <v>0</v>
      </c>
      <c r="K740" s="6">
        <f>IF(AND($C740="Rushing", $H740&lt;=0), 0, IF(AND($C740="Passing", $G$3&lt;=0), 0,IF(AND($C740="Receiving",$I740&lt;=0),0,SUMIFS(Table2[Stat],Table2[Week],Table1[[#This Row],[Week]],Table2[Athlete],Table1[[#This Row],[Pick]],Table2[Stat Category],"rushing",Table2[Stat Type],"TD"))))</f>
        <v>0</v>
      </c>
      <c r="L740" s="6">
        <f>IF(AND($C740="Rushing", $H740&lt;=0), 0, IF(AND($C740="Passing", $G$3&lt;=0), 0,IF(AND($C740="Receiving",$I740&lt;=0),0,SUMIFS(Table2[Stat],Table2[Week],Table1[[#This Row],[Week]],Table2[Athlete],Table1[[#This Row],[Pick]],Table2[Stat Category],"receiving",Table2[Stat Type],"TD"))))</f>
        <v>0</v>
      </c>
      <c r="M7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0" s="61">
        <f>SUMIFS(Data!$J:$J,Data!$A:$A,Info!$B740,Data!$G:$G,Info!$C740,Data!$I:$I,Info!$D740,Data!$H:$H,"TOT")</f>
        <v>0</v>
      </c>
      <c r="O740" s="61">
        <f>IF(C740="Defensive",SUMIFS(Data!$J:$J,Data!$A:$A,Info!$B740,Data!$I:$I,Info!$D740,Data!$H:$H,"INT"),0)</f>
        <v>0</v>
      </c>
      <c r="P740" s="61">
        <f>IF(Table1[[#This Row],[Role]]="Defensive",SUMIFS(Data!$J:$J,Data!$A:$A,Info!$B740,Data!$I:$I,Info!$D740,Data!$H:$H,$P$1),0)</f>
        <v>0</v>
      </c>
      <c r="Q740" s="65" t="str">
        <f>IF(Table1[[#This Row],[Pick]]="","",IF(S740&gt;1,400,IF(G740="","",IF(C740="Passing",(400-Table1[[#This Row],[Passing Yards]]-(30*Table1[[#This Row],[Passing TDs]])-(50*SUM(Table1[[#This Row],[Rushing TDs]:[Other TD''s]]))),IF(C740="Rushing",2*(200-Table1[[#This Row],[Rushing Yards]]-(30*Table1[[#This Row],[Passing TDs]])-50*(Table1[[#This Row],[Rushing TDs]]+Table1[[#This Row],[Receiving TDs]]+Table1[[#This Row],[Other TD''s]])),IF(C740="Receiving",2*(200-Table1[[#This Row],[Receiving Yards]]-(30*Table1[[#This Row],[Passing TDs]])-50*(Table1[[#This Row],[Rushing TDs]]+Table1[[#This Row],[Receiving TDs]]+Table1[[#This Row],[Other TD''s]])),IF(C740="Defensive",(25*(16-Table1[[#This Row],[Tackles]]-(8*(Table1[[#This Row],[Other TD''s]]+Table1[[#This Row],[Interceptions]]+Table1[[#This Row],[Fumbles Recovered]])))))))))))</f>
        <v/>
      </c>
      <c r="R740" s="3" t="str">
        <f t="shared" si="24"/>
        <v/>
      </c>
      <c r="S740" s="4">
        <f t="shared" si="23"/>
        <v>1048507</v>
      </c>
      <c r="T7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1" spans="1:20" hidden="1" x14ac:dyDescent="0.25">
      <c r="A741" t="s">
        <v>61</v>
      </c>
      <c r="B741" s="28" t="s">
        <v>15</v>
      </c>
      <c r="C741" t="s">
        <v>17</v>
      </c>
      <c r="D741" t="str">
        <f>_xlfn.XLOOKUP(Table1[[#This Row],[Player]]&amp;Table1[[#This Row],[Week]]&amp;Table1[[#This Row],[Role]],'Google Form Transform'!$A:$A,'Google Form Transform'!E:E,"")</f>
        <v/>
      </c>
      <c r="E741" t="str">
        <f>_xlfn.XLOOKUP(Table1[[#This Row],[Player]]&amp;Table1[[#This Row],[Week]]&amp;Table1[[#This Row],[Role]],'Google Form Transform'!$A:$A,'Google Form Transform'!F:F,"")</f>
        <v/>
      </c>
      <c r="F741" t="str">
        <f>_xlfn.XLOOKUP(Table1[[#This Row],[Player]]&amp;Table1[[#This Row],[Week]]&amp;Table1[[#This Row],[Role]],'Google Form Transform'!$A:$A,'Google Form Transform'!G:G,"")</f>
        <v/>
      </c>
      <c r="G741" s="59">
        <f>SUMIFS(Table2[Stat],Table2[Stat Category],"passing",Table2[Stat Type],"YDS",Table2[Athlete],Table1[[#This Row],[Pick]],Table2[Week],Table1[[#This Row],[Week]])</f>
        <v>0</v>
      </c>
      <c r="H741" s="59">
        <f>SUMIFS(Table2[Stat],Table2[Stat Category],"rushing",Table2[Stat Type],"YDS",Table2[Athlete],Table1[[#This Row],[Pick]],Table2[Week],Table1[[#This Row],[Week]])</f>
        <v>0</v>
      </c>
      <c r="I741" s="59">
        <f>SUMIFS(Table2[Stat],Table2[Stat Category],"receiving",Table2[Stat Type],"YDS",Table2[Athlete],Table1[[#This Row],[Pick]],Table2[Week],Table1[[#This Row],[Week]])</f>
        <v>0</v>
      </c>
      <c r="J741" s="6">
        <f>IF(AND($C741="Rushing", $H741&lt;=0), 0, IF(AND($C741="Passing", $G$3&lt;=0), 0,IF(AND($C741="Receiving",$I741&lt;=0), 0,SUMIFS(Table2[Stat],Table2[Week],Table1[[#This Row],[Week]],Table2[Athlete],Table1[[#This Row],[Pick]],Table2[Stat Category],"passing",Table2[Stat Type],"TD"))))</f>
        <v>0</v>
      </c>
      <c r="K741" s="6">
        <f>IF(AND($C741="Rushing", $H741&lt;=0), 0, IF(AND($C741="Passing", $G$3&lt;=0), 0,IF(AND($C741="Receiving",$I741&lt;=0),0,SUMIFS(Table2[Stat],Table2[Week],Table1[[#This Row],[Week]],Table2[Athlete],Table1[[#This Row],[Pick]],Table2[Stat Category],"rushing",Table2[Stat Type],"TD"))))</f>
        <v>0</v>
      </c>
      <c r="L741" s="6">
        <f>IF(AND($C741="Rushing", $H741&lt;=0), 0, IF(AND($C741="Passing", $G$3&lt;=0), 0,IF(AND($C741="Receiving",$I741&lt;=0),0,SUMIFS(Table2[Stat],Table2[Week],Table1[[#This Row],[Week]],Table2[Athlete],Table1[[#This Row],[Pick]],Table2[Stat Category],"receiving",Table2[Stat Type],"TD"))))</f>
        <v>0</v>
      </c>
      <c r="M7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1" s="61">
        <f>SUMIFS(Data!$J:$J,Data!$A:$A,Info!$B741,Data!$G:$G,Info!$C741,Data!$I:$I,Info!$D741,Data!$H:$H,"TOT")</f>
        <v>0</v>
      </c>
      <c r="O741" s="61">
        <f>IF(C741="Defensive",SUMIFS(Data!$J:$J,Data!$A:$A,Info!$B741,Data!$I:$I,Info!$D741,Data!$H:$H,"INT"),0)</f>
        <v>0</v>
      </c>
      <c r="P741" s="61">
        <f>IF(Table1[[#This Row],[Role]]="Defensive",SUMIFS(Data!$J:$J,Data!$A:$A,Info!$B741,Data!$I:$I,Info!$D741,Data!$H:$H,$P$1),0)</f>
        <v>0</v>
      </c>
      <c r="Q741" s="65" t="str">
        <f>IF(Table1[[#This Row],[Pick]]="","",IF(S741&gt;1,400,IF(G741="","",IF(C741="Passing",(400-Table1[[#This Row],[Passing Yards]]-(30*Table1[[#This Row],[Passing TDs]])-(50*SUM(Table1[[#This Row],[Rushing TDs]:[Other TD''s]]))),IF(C741="Rushing",2*(200-Table1[[#This Row],[Rushing Yards]]-(30*Table1[[#This Row],[Passing TDs]])-50*(Table1[[#This Row],[Rushing TDs]]+Table1[[#This Row],[Receiving TDs]]+Table1[[#This Row],[Other TD''s]])),IF(C741="Receiving",2*(200-Table1[[#This Row],[Receiving Yards]]-(30*Table1[[#This Row],[Passing TDs]])-50*(Table1[[#This Row],[Rushing TDs]]+Table1[[#This Row],[Receiving TDs]]+Table1[[#This Row],[Other TD''s]])),IF(C741="Defensive",(25*(16-Table1[[#This Row],[Tackles]]-(8*(Table1[[#This Row],[Other TD''s]]+Table1[[#This Row],[Interceptions]]+Table1[[#This Row],[Fumbles Recovered]])))))))))))</f>
        <v/>
      </c>
      <c r="R741" s="3" t="str">
        <f t="shared" si="24"/>
        <v/>
      </c>
      <c r="S741" s="4">
        <f t="shared" si="23"/>
        <v>1048507</v>
      </c>
      <c r="T7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2" spans="1:20" hidden="1" x14ac:dyDescent="0.25">
      <c r="A742" t="s">
        <v>61</v>
      </c>
      <c r="B742" s="28" t="s">
        <v>15</v>
      </c>
      <c r="C742" t="s">
        <v>20</v>
      </c>
      <c r="D742" t="str">
        <f>_xlfn.XLOOKUP(Table1[[#This Row],[Player]]&amp;Table1[[#This Row],[Week]]&amp;Table1[[#This Row],[Role]],'Google Form Transform'!$A:$A,'Google Form Transform'!E:E,"")</f>
        <v/>
      </c>
      <c r="E742" t="str">
        <f>_xlfn.XLOOKUP(Table1[[#This Row],[Player]]&amp;Table1[[#This Row],[Week]]&amp;Table1[[#This Row],[Role]],'Google Form Transform'!$A:$A,'Google Form Transform'!F:F,"")</f>
        <v/>
      </c>
      <c r="F742" t="str">
        <f>_xlfn.XLOOKUP(Table1[[#This Row],[Player]]&amp;Table1[[#This Row],[Week]]&amp;Table1[[#This Row],[Role]],'Google Form Transform'!$A:$A,'Google Form Transform'!G:G,"")</f>
        <v/>
      </c>
      <c r="G742" s="59">
        <f>SUMIFS(Table2[Stat],Table2[Stat Category],"passing",Table2[Stat Type],"YDS",Table2[Athlete],Table1[[#This Row],[Pick]],Table2[Week],Table1[[#This Row],[Week]])</f>
        <v>0</v>
      </c>
      <c r="H742" s="59">
        <f>SUMIFS(Table2[Stat],Table2[Stat Category],"rushing",Table2[Stat Type],"YDS",Table2[Athlete],Table1[[#This Row],[Pick]],Table2[Week],Table1[[#This Row],[Week]])</f>
        <v>0</v>
      </c>
      <c r="I742" s="59">
        <f>SUMIFS(Table2[Stat],Table2[Stat Category],"receiving",Table2[Stat Type],"YDS",Table2[Athlete],Table1[[#This Row],[Pick]],Table2[Week],Table1[[#This Row],[Week]])</f>
        <v>0</v>
      </c>
      <c r="J742" s="6">
        <f>IF(AND($C742="Rushing", $H742&lt;=0), 0, IF(AND($C742="Passing", $G$3&lt;=0), 0,IF(AND($C742="Receiving",$I742&lt;=0), 0,SUMIFS(Table2[Stat],Table2[Week],Table1[[#This Row],[Week]],Table2[Athlete],Table1[[#This Row],[Pick]],Table2[Stat Category],"passing",Table2[Stat Type],"TD"))))</f>
        <v>0</v>
      </c>
      <c r="K742" s="6">
        <f>IF(AND($C742="Rushing", $H742&lt;=0), 0, IF(AND($C742="Passing", $G$3&lt;=0), 0,IF(AND($C742="Receiving",$I742&lt;=0),0,SUMIFS(Table2[Stat],Table2[Week],Table1[[#This Row],[Week]],Table2[Athlete],Table1[[#This Row],[Pick]],Table2[Stat Category],"rushing",Table2[Stat Type],"TD"))))</f>
        <v>0</v>
      </c>
      <c r="L742" s="6">
        <f>IF(AND($C742="Rushing", $H742&lt;=0), 0, IF(AND($C742="Passing", $G$3&lt;=0), 0,IF(AND($C742="Receiving",$I742&lt;=0),0,SUMIFS(Table2[Stat],Table2[Week],Table1[[#This Row],[Week]],Table2[Athlete],Table1[[#This Row],[Pick]],Table2[Stat Category],"receiving",Table2[Stat Type],"TD"))))</f>
        <v>0</v>
      </c>
      <c r="M7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2" s="61">
        <f>SUMIFS(Data!$J:$J,Data!$A:$A,Info!$B742,Data!$G:$G,Info!$C742,Data!$I:$I,Info!$D742,Data!$H:$H,"TOT")</f>
        <v>0</v>
      </c>
      <c r="O742" s="61">
        <f>IF(C742="Defensive",SUMIFS(Data!$J:$J,Data!$A:$A,Info!$B742,Data!$I:$I,Info!$D742,Data!$H:$H,"INT"),0)</f>
        <v>0</v>
      </c>
      <c r="P742" s="61">
        <f>IF(Table1[[#This Row],[Role]]="Defensive",SUMIFS(Data!$J:$J,Data!$A:$A,Info!$B742,Data!$I:$I,Info!$D742,Data!$H:$H,$P$1),0)</f>
        <v>0</v>
      </c>
      <c r="Q742" s="65" t="str">
        <f>IF(Table1[[#This Row],[Pick]]="","",IF(S742&gt;1,400,IF(G742="","",IF(C742="Passing",(400-Table1[[#This Row],[Passing Yards]]-(30*Table1[[#This Row],[Passing TDs]])-(50*SUM(Table1[[#This Row],[Rushing TDs]:[Other TD''s]]))),IF(C742="Rushing",2*(200-Table1[[#This Row],[Rushing Yards]]-(30*Table1[[#This Row],[Passing TDs]])-50*(Table1[[#This Row],[Rushing TDs]]+Table1[[#This Row],[Receiving TDs]]+Table1[[#This Row],[Other TD''s]])),IF(C742="Receiving",2*(200-Table1[[#This Row],[Receiving Yards]]-(30*Table1[[#This Row],[Passing TDs]])-50*(Table1[[#This Row],[Rushing TDs]]+Table1[[#This Row],[Receiving TDs]]+Table1[[#This Row],[Other TD''s]])),IF(C742="Defensive",(25*(16-Table1[[#This Row],[Tackles]]-(8*(Table1[[#This Row],[Other TD''s]]+Table1[[#This Row],[Interceptions]]+Table1[[#This Row],[Fumbles Recovered]])))))))))))</f>
        <v/>
      </c>
      <c r="R742" s="3" t="str">
        <f t="shared" si="24"/>
        <v/>
      </c>
      <c r="S742" s="4">
        <f t="shared" si="23"/>
        <v>1048507</v>
      </c>
      <c r="T7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3" spans="1:20" hidden="1" x14ac:dyDescent="0.25">
      <c r="A743" t="s">
        <v>60</v>
      </c>
      <c r="B743" s="28" t="s">
        <v>15</v>
      </c>
      <c r="C743" t="s">
        <v>16</v>
      </c>
      <c r="D743" t="str">
        <f>_xlfn.XLOOKUP(Table1[[#This Row],[Player]]&amp;Table1[[#This Row],[Week]]&amp;Table1[[#This Row],[Role]],'Google Form Transform'!$A:$A,'Google Form Transform'!E:E,"")</f>
        <v/>
      </c>
      <c r="E743" t="str">
        <f>_xlfn.XLOOKUP(Table1[[#This Row],[Player]]&amp;Table1[[#This Row],[Week]]&amp;Table1[[#This Row],[Role]],'Google Form Transform'!$A:$A,'Google Form Transform'!F:F,"")</f>
        <v/>
      </c>
      <c r="F743" t="str">
        <f>_xlfn.XLOOKUP(Table1[[#This Row],[Player]]&amp;Table1[[#This Row],[Week]]&amp;Table1[[#This Row],[Role]],'Google Form Transform'!$A:$A,'Google Form Transform'!G:G,"")</f>
        <v/>
      </c>
      <c r="G743" s="59">
        <f>SUMIFS(Table2[Stat],Table2[Stat Category],"passing",Table2[Stat Type],"YDS",Table2[Athlete],Table1[[#This Row],[Pick]],Table2[Week],Table1[[#This Row],[Week]])</f>
        <v>0</v>
      </c>
      <c r="H743" s="59">
        <f>SUMIFS(Table2[Stat],Table2[Stat Category],"rushing",Table2[Stat Type],"YDS",Table2[Athlete],Table1[[#This Row],[Pick]],Table2[Week],Table1[[#This Row],[Week]])</f>
        <v>0</v>
      </c>
      <c r="I743" s="59">
        <f>SUMIFS(Table2[Stat],Table2[Stat Category],"receiving",Table2[Stat Type],"YDS",Table2[Athlete],Table1[[#This Row],[Pick]],Table2[Week],Table1[[#This Row],[Week]])</f>
        <v>0</v>
      </c>
      <c r="J743" s="6">
        <f>IF(AND($C743="Rushing", $H743&lt;=0), 0, IF(AND($C743="Passing", $G$3&lt;=0), 0,IF(AND($C743="Receiving",$I743&lt;=0), 0,SUMIFS(Table2[Stat],Table2[Week],Table1[[#This Row],[Week]],Table2[Athlete],Table1[[#This Row],[Pick]],Table2[Stat Category],"passing",Table2[Stat Type],"TD"))))</f>
        <v>0</v>
      </c>
      <c r="K743" s="6">
        <f>IF(AND($C743="Rushing", $H743&lt;=0), 0, IF(AND($C743="Passing", $G$3&lt;=0), 0,IF(AND($C743="Receiving",$I743&lt;=0),0,SUMIFS(Table2[Stat],Table2[Week],Table1[[#This Row],[Week]],Table2[Athlete],Table1[[#This Row],[Pick]],Table2[Stat Category],"rushing",Table2[Stat Type],"TD"))))</f>
        <v>0</v>
      </c>
      <c r="L743" s="6">
        <f>IF(AND($C743="Rushing", $H743&lt;=0), 0, IF(AND($C743="Passing", $G$3&lt;=0), 0,IF(AND($C743="Receiving",$I743&lt;=0),0,SUMIFS(Table2[Stat],Table2[Week],Table1[[#This Row],[Week]],Table2[Athlete],Table1[[#This Row],[Pick]],Table2[Stat Category],"receiving",Table2[Stat Type],"TD"))))</f>
        <v>0</v>
      </c>
      <c r="M7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3" s="61">
        <f>SUMIFS(Data!$J:$J,Data!$A:$A,Info!$B743,Data!$G:$G,Info!$C743,Data!$I:$I,Info!$D743,Data!$H:$H,"TOT")</f>
        <v>0</v>
      </c>
      <c r="O743" s="61">
        <f>IF(C743="Defensive",SUMIFS(Data!$J:$J,Data!$A:$A,Info!$B743,Data!$I:$I,Info!$D743,Data!$H:$H,"INT"),0)</f>
        <v>0</v>
      </c>
      <c r="P743" s="61">
        <f>IF(Table1[[#This Row],[Role]]="Defensive",SUMIFS(Data!$J:$J,Data!$A:$A,Info!$B743,Data!$I:$I,Info!$D743,Data!$H:$H,$P$1),0)</f>
        <v>0</v>
      </c>
      <c r="Q743" s="65" t="str">
        <f>IF(Table1[[#This Row],[Pick]]="","",IF(S743&gt;1,400,IF(G743="","",IF(C743="Passing",(400-Table1[[#This Row],[Passing Yards]]-(30*Table1[[#This Row],[Passing TDs]])-(50*SUM(Table1[[#This Row],[Rushing TDs]:[Other TD''s]]))),IF(C743="Rushing",2*(200-Table1[[#This Row],[Rushing Yards]]-(30*Table1[[#This Row],[Passing TDs]])-50*(Table1[[#This Row],[Rushing TDs]]+Table1[[#This Row],[Receiving TDs]]+Table1[[#This Row],[Other TD''s]])),IF(C743="Receiving",2*(200-Table1[[#This Row],[Receiving Yards]]-(30*Table1[[#This Row],[Passing TDs]])-50*(Table1[[#This Row],[Rushing TDs]]+Table1[[#This Row],[Receiving TDs]]+Table1[[#This Row],[Other TD''s]])),IF(C743="Defensive",(25*(16-Table1[[#This Row],[Tackles]]-(8*(Table1[[#This Row],[Other TD''s]]+Table1[[#This Row],[Interceptions]]+Table1[[#This Row],[Fumbles Recovered]])))))))))))</f>
        <v/>
      </c>
      <c r="R743" s="3" t="str">
        <f t="shared" si="24"/>
        <v/>
      </c>
      <c r="S743" s="4">
        <f t="shared" si="23"/>
        <v>1048507</v>
      </c>
      <c r="T7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4" spans="1:20" hidden="1" x14ac:dyDescent="0.25">
      <c r="A744" t="s">
        <v>60</v>
      </c>
      <c r="B744" s="28" t="s">
        <v>15</v>
      </c>
      <c r="C744" t="s">
        <v>6</v>
      </c>
      <c r="D744" t="str">
        <f>_xlfn.XLOOKUP(Table1[[#This Row],[Player]]&amp;Table1[[#This Row],[Week]]&amp;Table1[[#This Row],[Role]],'Google Form Transform'!$A:$A,'Google Form Transform'!E:E,"")</f>
        <v/>
      </c>
      <c r="E744" t="str">
        <f>_xlfn.XLOOKUP(Table1[[#This Row],[Player]]&amp;Table1[[#This Row],[Week]]&amp;Table1[[#This Row],[Role]],'Google Form Transform'!$A:$A,'Google Form Transform'!F:F,"")</f>
        <v/>
      </c>
      <c r="F744" t="str">
        <f>_xlfn.XLOOKUP(Table1[[#This Row],[Player]]&amp;Table1[[#This Row],[Week]]&amp;Table1[[#This Row],[Role]],'Google Form Transform'!$A:$A,'Google Form Transform'!G:G,"")</f>
        <v/>
      </c>
      <c r="G744" s="59">
        <f>SUMIFS(Table2[Stat],Table2[Stat Category],"passing",Table2[Stat Type],"YDS",Table2[Athlete],Table1[[#This Row],[Pick]],Table2[Week],Table1[[#This Row],[Week]])</f>
        <v>0</v>
      </c>
      <c r="H744" s="59">
        <f>SUMIFS(Table2[Stat],Table2[Stat Category],"rushing",Table2[Stat Type],"YDS",Table2[Athlete],Table1[[#This Row],[Pick]],Table2[Week],Table1[[#This Row],[Week]])</f>
        <v>0</v>
      </c>
      <c r="I744" s="59">
        <f>SUMIFS(Table2[Stat],Table2[Stat Category],"receiving",Table2[Stat Type],"YDS",Table2[Athlete],Table1[[#This Row],[Pick]],Table2[Week],Table1[[#This Row],[Week]])</f>
        <v>0</v>
      </c>
      <c r="J744" s="6">
        <f>IF(AND($C744="Rushing", $H744&lt;=0), 0, IF(AND($C744="Passing", $G$3&lt;=0), 0,IF(AND($C744="Receiving",$I744&lt;=0), 0,SUMIFS(Table2[Stat],Table2[Week],Table1[[#This Row],[Week]],Table2[Athlete],Table1[[#This Row],[Pick]],Table2[Stat Category],"passing",Table2[Stat Type],"TD"))))</f>
        <v>0</v>
      </c>
      <c r="K744" s="6">
        <f>IF(AND($C744="Rushing", $H744&lt;=0), 0, IF(AND($C744="Passing", $G$3&lt;=0), 0,IF(AND($C744="Receiving",$I744&lt;=0),0,SUMIFS(Table2[Stat],Table2[Week],Table1[[#This Row],[Week]],Table2[Athlete],Table1[[#This Row],[Pick]],Table2[Stat Category],"rushing",Table2[Stat Type],"TD"))))</f>
        <v>0</v>
      </c>
      <c r="L744" s="6">
        <f>IF(AND($C744="Rushing", $H744&lt;=0), 0, IF(AND($C744="Passing", $G$3&lt;=0), 0,IF(AND($C744="Receiving",$I744&lt;=0),0,SUMIFS(Table2[Stat],Table2[Week],Table1[[#This Row],[Week]],Table2[Athlete],Table1[[#This Row],[Pick]],Table2[Stat Category],"receiving",Table2[Stat Type],"TD"))))</f>
        <v>0</v>
      </c>
      <c r="M7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4" s="61">
        <f>SUMIFS(Data!$J:$J,Data!$A:$A,Info!$B744,Data!$G:$G,Info!$C744,Data!$I:$I,Info!$D744,Data!$H:$H,"TOT")</f>
        <v>0</v>
      </c>
      <c r="O744" s="61">
        <f>IF(C744="Defensive",SUMIFS(Data!$J:$J,Data!$A:$A,Info!$B744,Data!$I:$I,Info!$D744,Data!$H:$H,"INT"),0)</f>
        <v>0</v>
      </c>
      <c r="P744" s="61">
        <f>IF(Table1[[#This Row],[Role]]="Defensive",SUMIFS(Data!$J:$J,Data!$A:$A,Info!$B744,Data!$I:$I,Info!$D744,Data!$H:$H,$P$1),0)</f>
        <v>0</v>
      </c>
      <c r="Q744" s="65" t="str">
        <f>IF(Table1[[#This Row],[Pick]]="","",IF(S744&gt;1,400,IF(G744="","",IF(C744="Passing",(400-Table1[[#This Row],[Passing Yards]]-(30*Table1[[#This Row],[Passing TDs]])-(50*SUM(Table1[[#This Row],[Rushing TDs]:[Other TD''s]]))),IF(C744="Rushing",2*(200-Table1[[#This Row],[Rushing Yards]]-(30*Table1[[#This Row],[Passing TDs]])-50*(Table1[[#This Row],[Rushing TDs]]+Table1[[#This Row],[Receiving TDs]]+Table1[[#This Row],[Other TD''s]])),IF(C744="Receiving",2*(200-Table1[[#This Row],[Receiving Yards]]-(30*Table1[[#This Row],[Passing TDs]])-50*(Table1[[#This Row],[Rushing TDs]]+Table1[[#This Row],[Receiving TDs]]+Table1[[#This Row],[Other TD''s]])),IF(C744="Defensive",(25*(16-Table1[[#This Row],[Tackles]]-(8*(Table1[[#This Row],[Other TD''s]]+Table1[[#This Row],[Interceptions]]+Table1[[#This Row],[Fumbles Recovered]])))))))))))</f>
        <v/>
      </c>
      <c r="R744" s="3" t="str">
        <f t="shared" si="24"/>
        <v/>
      </c>
      <c r="S744" s="4">
        <f t="shared" si="23"/>
        <v>1048507</v>
      </c>
      <c r="T7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5" spans="1:20" hidden="1" x14ac:dyDescent="0.25">
      <c r="A745" t="s">
        <v>60</v>
      </c>
      <c r="B745" s="28" t="s">
        <v>15</v>
      </c>
      <c r="C745" t="s">
        <v>17</v>
      </c>
      <c r="D745" t="str">
        <f>_xlfn.XLOOKUP(Table1[[#This Row],[Player]]&amp;Table1[[#This Row],[Week]]&amp;Table1[[#This Row],[Role]],'Google Form Transform'!$A:$A,'Google Form Transform'!E:E,"")</f>
        <v/>
      </c>
      <c r="E745" t="str">
        <f>_xlfn.XLOOKUP(Table1[[#This Row],[Player]]&amp;Table1[[#This Row],[Week]]&amp;Table1[[#This Row],[Role]],'Google Form Transform'!$A:$A,'Google Form Transform'!F:F,"")</f>
        <v/>
      </c>
      <c r="F745" t="str">
        <f>_xlfn.XLOOKUP(Table1[[#This Row],[Player]]&amp;Table1[[#This Row],[Week]]&amp;Table1[[#This Row],[Role]],'Google Form Transform'!$A:$A,'Google Form Transform'!G:G,"")</f>
        <v/>
      </c>
      <c r="G745" s="59">
        <f>SUMIFS(Table2[Stat],Table2[Stat Category],"passing",Table2[Stat Type],"YDS",Table2[Athlete],Table1[[#This Row],[Pick]],Table2[Week],Table1[[#This Row],[Week]])</f>
        <v>0</v>
      </c>
      <c r="H745" s="59">
        <f>SUMIFS(Table2[Stat],Table2[Stat Category],"rushing",Table2[Stat Type],"YDS",Table2[Athlete],Table1[[#This Row],[Pick]],Table2[Week],Table1[[#This Row],[Week]])</f>
        <v>0</v>
      </c>
      <c r="I745" s="59">
        <f>SUMIFS(Table2[Stat],Table2[Stat Category],"receiving",Table2[Stat Type],"YDS",Table2[Athlete],Table1[[#This Row],[Pick]],Table2[Week],Table1[[#This Row],[Week]])</f>
        <v>0</v>
      </c>
      <c r="J745" s="6">
        <f>IF(AND($C745="Rushing", $H745&lt;=0), 0, IF(AND($C745="Passing", $G$3&lt;=0), 0,IF(AND($C745="Receiving",$I745&lt;=0), 0,SUMIFS(Table2[Stat],Table2[Week],Table1[[#This Row],[Week]],Table2[Athlete],Table1[[#This Row],[Pick]],Table2[Stat Category],"passing",Table2[Stat Type],"TD"))))</f>
        <v>0</v>
      </c>
      <c r="K745" s="6">
        <f>IF(AND($C745="Rushing", $H745&lt;=0), 0, IF(AND($C745="Passing", $G$3&lt;=0), 0,IF(AND($C745="Receiving",$I745&lt;=0),0,SUMIFS(Table2[Stat],Table2[Week],Table1[[#This Row],[Week]],Table2[Athlete],Table1[[#This Row],[Pick]],Table2[Stat Category],"rushing",Table2[Stat Type],"TD"))))</f>
        <v>0</v>
      </c>
      <c r="L745" s="6">
        <f>IF(AND($C745="Rushing", $H745&lt;=0), 0, IF(AND($C745="Passing", $G$3&lt;=0), 0,IF(AND($C745="Receiving",$I745&lt;=0),0,SUMIFS(Table2[Stat],Table2[Week],Table1[[#This Row],[Week]],Table2[Athlete],Table1[[#This Row],[Pick]],Table2[Stat Category],"receiving",Table2[Stat Type],"TD"))))</f>
        <v>0</v>
      </c>
      <c r="M7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5" s="61">
        <f>SUMIFS(Data!$J:$J,Data!$A:$A,Info!$B745,Data!$G:$G,Info!$C745,Data!$I:$I,Info!$D745,Data!$H:$H,"TOT")</f>
        <v>0</v>
      </c>
      <c r="O745" s="61">
        <f>IF(C745="Defensive",SUMIFS(Data!$J:$J,Data!$A:$A,Info!$B745,Data!$I:$I,Info!$D745,Data!$H:$H,"INT"),0)</f>
        <v>0</v>
      </c>
      <c r="P745" s="61">
        <f>IF(Table1[[#This Row],[Role]]="Defensive",SUMIFS(Data!$J:$J,Data!$A:$A,Info!$B745,Data!$I:$I,Info!$D745,Data!$H:$H,$P$1),0)</f>
        <v>0</v>
      </c>
      <c r="Q745" s="65" t="str">
        <f>IF(Table1[[#This Row],[Pick]]="","",IF(S745&gt;1,400,IF(G745="","",IF(C745="Passing",(400-Table1[[#This Row],[Passing Yards]]-(30*Table1[[#This Row],[Passing TDs]])-(50*SUM(Table1[[#This Row],[Rushing TDs]:[Other TD''s]]))),IF(C745="Rushing",2*(200-Table1[[#This Row],[Rushing Yards]]-(30*Table1[[#This Row],[Passing TDs]])-50*(Table1[[#This Row],[Rushing TDs]]+Table1[[#This Row],[Receiving TDs]]+Table1[[#This Row],[Other TD''s]])),IF(C745="Receiving",2*(200-Table1[[#This Row],[Receiving Yards]]-(30*Table1[[#This Row],[Passing TDs]])-50*(Table1[[#This Row],[Rushing TDs]]+Table1[[#This Row],[Receiving TDs]]+Table1[[#This Row],[Other TD''s]])),IF(C745="Defensive",(25*(16-Table1[[#This Row],[Tackles]]-(8*(Table1[[#This Row],[Other TD''s]]+Table1[[#This Row],[Interceptions]]+Table1[[#This Row],[Fumbles Recovered]])))))))))))</f>
        <v/>
      </c>
      <c r="R745" s="3" t="str">
        <f t="shared" si="24"/>
        <v/>
      </c>
      <c r="S745" s="4">
        <f t="shared" si="23"/>
        <v>1048507</v>
      </c>
      <c r="T7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6" spans="1:20" hidden="1" x14ac:dyDescent="0.25">
      <c r="A746" t="s">
        <v>60</v>
      </c>
      <c r="B746" s="28" t="s">
        <v>15</v>
      </c>
      <c r="C746" t="s">
        <v>20</v>
      </c>
      <c r="D746" t="str">
        <f>_xlfn.XLOOKUP(Table1[[#This Row],[Player]]&amp;Table1[[#This Row],[Week]]&amp;Table1[[#This Row],[Role]],'Google Form Transform'!$A:$A,'Google Form Transform'!E:E,"")</f>
        <v/>
      </c>
      <c r="E746" t="str">
        <f>_xlfn.XLOOKUP(Table1[[#This Row],[Player]]&amp;Table1[[#This Row],[Week]]&amp;Table1[[#This Row],[Role]],'Google Form Transform'!$A:$A,'Google Form Transform'!F:F,"")</f>
        <v/>
      </c>
      <c r="F746" t="str">
        <f>_xlfn.XLOOKUP(Table1[[#This Row],[Player]]&amp;Table1[[#This Row],[Week]]&amp;Table1[[#This Row],[Role]],'Google Form Transform'!$A:$A,'Google Form Transform'!G:G,"")</f>
        <v/>
      </c>
      <c r="G746" s="59">
        <f>SUMIFS(Table2[Stat],Table2[Stat Category],"passing",Table2[Stat Type],"YDS",Table2[Athlete],Table1[[#This Row],[Pick]],Table2[Week],Table1[[#This Row],[Week]])</f>
        <v>0</v>
      </c>
      <c r="H746" s="59">
        <f>SUMIFS(Table2[Stat],Table2[Stat Category],"rushing",Table2[Stat Type],"YDS",Table2[Athlete],Table1[[#This Row],[Pick]],Table2[Week],Table1[[#This Row],[Week]])</f>
        <v>0</v>
      </c>
      <c r="I746" s="59">
        <f>SUMIFS(Table2[Stat],Table2[Stat Category],"receiving",Table2[Stat Type],"YDS",Table2[Athlete],Table1[[#This Row],[Pick]],Table2[Week],Table1[[#This Row],[Week]])</f>
        <v>0</v>
      </c>
      <c r="J746" s="6">
        <f>IF(AND($C746="Rushing", $H746&lt;=0), 0, IF(AND($C746="Passing", $G$3&lt;=0), 0,IF(AND($C746="Receiving",$I746&lt;=0), 0,SUMIFS(Table2[Stat],Table2[Week],Table1[[#This Row],[Week]],Table2[Athlete],Table1[[#This Row],[Pick]],Table2[Stat Category],"passing",Table2[Stat Type],"TD"))))</f>
        <v>0</v>
      </c>
      <c r="K746" s="6">
        <f>IF(AND($C746="Rushing", $H746&lt;=0), 0, IF(AND($C746="Passing", $G$3&lt;=0), 0,IF(AND($C746="Receiving",$I746&lt;=0),0,SUMIFS(Table2[Stat],Table2[Week],Table1[[#This Row],[Week]],Table2[Athlete],Table1[[#This Row],[Pick]],Table2[Stat Category],"rushing",Table2[Stat Type],"TD"))))</f>
        <v>0</v>
      </c>
      <c r="L746" s="6">
        <f>IF(AND($C746="Rushing", $H746&lt;=0), 0, IF(AND($C746="Passing", $G$3&lt;=0), 0,IF(AND($C746="Receiving",$I746&lt;=0),0,SUMIFS(Table2[Stat],Table2[Week],Table1[[#This Row],[Week]],Table2[Athlete],Table1[[#This Row],[Pick]],Table2[Stat Category],"receiving",Table2[Stat Type],"TD"))))</f>
        <v>0</v>
      </c>
      <c r="M7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6" s="61">
        <f>SUMIFS(Data!$J:$J,Data!$A:$A,Info!$B746,Data!$G:$G,Info!$C746,Data!$I:$I,Info!$D746,Data!$H:$H,"TOT")</f>
        <v>0</v>
      </c>
      <c r="O746" s="61">
        <f>IF(C746="Defensive",SUMIFS(Data!$J:$J,Data!$A:$A,Info!$B746,Data!$I:$I,Info!$D746,Data!$H:$H,"INT"),0)</f>
        <v>0</v>
      </c>
      <c r="P746" s="61">
        <f>IF(Table1[[#This Row],[Role]]="Defensive",SUMIFS(Data!$J:$J,Data!$A:$A,Info!$B746,Data!$I:$I,Info!$D746,Data!$H:$H,$P$1),0)</f>
        <v>0</v>
      </c>
      <c r="Q746" s="65" t="str">
        <f>IF(Table1[[#This Row],[Pick]]="","",IF(S746&gt;1,400,IF(G746="","",IF(C746="Passing",(400-Table1[[#This Row],[Passing Yards]]-(30*Table1[[#This Row],[Passing TDs]])-(50*SUM(Table1[[#This Row],[Rushing TDs]:[Other TD''s]]))),IF(C746="Rushing",2*(200-Table1[[#This Row],[Rushing Yards]]-(30*Table1[[#This Row],[Passing TDs]])-50*(Table1[[#This Row],[Rushing TDs]]+Table1[[#This Row],[Receiving TDs]]+Table1[[#This Row],[Other TD''s]])),IF(C746="Receiving",2*(200-Table1[[#This Row],[Receiving Yards]]-(30*Table1[[#This Row],[Passing TDs]])-50*(Table1[[#This Row],[Rushing TDs]]+Table1[[#This Row],[Receiving TDs]]+Table1[[#This Row],[Other TD''s]])),IF(C746="Defensive",(25*(16-Table1[[#This Row],[Tackles]]-(8*(Table1[[#This Row],[Other TD''s]]+Table1[[#This Row],[Interceptions]]+Table1[[#This Row],[Fumbles Recovered]])))))))))))</f>
        <v/>
      </c>
      <c r="R746" s="3" t="str">
        <f t="shared" si="24"/>
        <v/>
      </c>
      <c r="S746" s="4">
        <f t="shared" si="23"/>
        <v>1048507</v>
      </c>
      <c r="T7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7" spans="1:20" hidden="1" x14ac:dyDescent="0.25">
      <c r="A747" t="s">
        <v>62</v>
      </c>
      <c r="B747" s="28" t="s">
        <v>15</v>
      </c>
      <c r="C747" t="s">
        <v>16</v>
      </c>
      <c r="D747" t="str">
        <f>_xlfn.XLOOKUP(Table1[[#This Row],[Player]]&amp;Table1[[#This Row],[Week]]&amp;Table1[[#This Row],[Role]],'Google Form Transform'!$A:$A,'Google Form Transform'!E:E,"")</f>
        <v/>
      </c>
      <c r="E747" t="str">
        <f>_xlfn.XLOOKUP(Table1[[#This Row],[Player]]&amp;Table1[[#This Row],[Week]]&amp;Table1[[#This Row],[Role]],'Google Form Transform'!$A:$A,'Google Form Transform'!F:F,"")</f>
        <v/>
      </c>
      <c r="F747" t="str">
        <f>_xlfn.XLOOKUP(Table1[[#This Row],[Player]]&amp;Table1[[#This Row],[Week]]&amp;Table1[[#This Row],[Role]],'Google Form Transform'!$A:$A,'Google Form Transform'!G:G,"")</f>
        <v/>
      </c>
      <c r="G747" s="59">
        <f>SUMIFS(Table2[Stat],Table2[Stat Category],"passing",Table2[Stat Type],"YDS",Table2[Athlete],Table1[[#This Row],[Pick]],Table2[Week],Table1[[#This Row],[Week]])</f>
        <v>0</v>
      </c>
      <c r="H747" s="59">
        <f>SUMIFS(Table2[Stat],Table2[Stat Category],"rushing",Table2[Stat Type],"YDS",Table2[Athlete],Table1[[#This Row],[Pick]],Table2[Week],Table1[[#This Row],[Week]])</f>
        <v>0</v>
      </c>
      <c r="I747" s="59">
        <f>SUMIFS(Table2[Stat],Table2[Stat Category],"receiving",Table2[Stat Type],"YDS",Table2[Athlete],Table1[[#This Row],[Pick]],Table2[Week],Table1[[#This Row],[Week]])</f>
        <v>0</v>
      </c>
      <c r="J747" s="6">
        <f>IF(AND($C747="Rushing", $H747&lt;=0), 0, IF(AND($C747="Passing", $G$3&lt;=0), 0,IF(AND($C747="Receiving",$I747&lt;=0), 0,SUMIFS(Table2[Stat],Table2[Week],Table1[[#This Row],[Week]],Table2[Athlete],Table1[[#This Row],[Pick]],Table2[Stat Category],"passing",Table2[Stat Type],"TD"))))</f>
        <v>0</v>
      </c>
      <c r="K747" s="6">
        <f>IF(AND($C747="Rushing", $H747&lt;=0), 0, IF(AND($C747="Passing", $G$3&lt;=0), 0,IF(AND($C747="Receiving",$I747&lt;=0),0,SUMIFS(Table2[Stat],Table2[Week],Table1[[#This Row],[Week]],Table2[Athlete],Table1[[#This Row],[Pick]],Table2[Stat Category],"rushing",Table2[Stat Type],"TD"))))</f>
        <v>0</v>
      </c>
      <c r="L747" s="6">
        <f>IF(AND($C747="Rushing", $H747&lt;=0), 0, IF(AND($C747="Passing", $G$3&lt;=0), 0,IF(AND($C747="Receiving",$I747&lt;=0),0,SUMIFS(Table2[Stat],Table2[Week],Table1[[#This Row],[Week]],Table2[Athlete],Table1[[#This Row],[Pick]],Table2[Stat Category],"receiving",Table2[Stat Type],"TD"))))</f>
        <v>0</v>
      </c>
      <c r="M7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7" s="61">
        <f>SUMIFS(Data!$J:$J,Data!$A:$A,Info!$B747,Data!$G:$G,Info!$C747,Data!$I:$I,Info!$D747,Data!$H:$H,"TOT")</f>
        <v>0</v>
      </c>
      <c r="O747" s="61">
        <f>IF(C747="Defensive",SUMIFS(Data!$J:$J,Data!$A:$A,Info!$B747,Data!$I:$I,Info!$D747,Data!$H:$H,"INT"),0)</f>
        <v>0</v>
      </c>
      <c r="P747" s="61">
        <f>IF(Table1[[#This Row],[Role]]="Defensive",SUMIFS(Data!$J:$J,Data!$A:$A,Info!$B747,Data!$I:$I,Info!$D747,Data!$H:$H,$P$1),0)</f>
        <v>0</v>
      </c>
      <c r="Q747" s="65" t="str">
        <f>IF(Table1[[#This Row],[Pick]]="","",IF(S747&gt;1,400,IF(G747="","",IF(C747="Passing",(400-Table1[[#This Row],[Passing Yards]]-(30*Table1[[#This Row],[Passing TDs]])-(50*SUM(Table1[[#This Row],[Rushing TDs]:[Other TD''s]]))),IF(C747="Rushing",2*(200-Table1[[#This Row],[Rushing Yards]]-(30*Table1[[#This Row],[Passing TDs]])-50*(Table1[[#This Row],[Rushing TDs]]+Table1[[#This Row],[Receiving TDs]]+Table1[[#This Row],[Other TD''s]])),IF(C747="Receiving",2*(200-Table1[[#This Row],[Receiving Yards]]-(30*Table1[[#This Row],[Passing TDs]])-50*(Table1[[#This Row],[Rushing TDs]]+Table1[[#This Row],[Receiving TDs]]+Table1[[#This Row],[Other TD''s]])),IF(C747="Defensive",(25*(16-Table1[[#This Row],[Tackles]]-(8*(Table1[[#This Row],[Other TD''s]]+Table1[[#This Row],[Interceptions]]+Table1[[#This Row],[Fumbles Recovered]])))))))))))</f>
        <v/>
      </c>
      <c r="R747" s="3" t="str">
        <f t="shared" si="24"/>
        <v/>
      </c>
      <c r="S747" s="4">
        <f t="shared" si="23"/>
        <v>1048507</v>
      </c>
      <c r="T7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8" spans="1:20" hidden="1" x14ac:dyDescent="0.25">
      <c r="A748" t="s">
        <v>62</v>
      </c>
      <c r="B748" s="28" t="s">
        <v>15</v>
      </c>
      <c r="C748" t="s">
        <v>6</v>
      </c>
      <c r="D748" t="str">
        <f>_xlfn.XLOOKUP(Table1[[#This Row],[Player]]&amp;Table1[[#This Row],[Week]]&amp;Table1[[#This Row],[Role]],'Google Form Transform'!$A:$A,'Google Form Transform'!E:E,"")</f>
        <v/>
      </c>
      <c r="E748" t="str">
        <f>_xlfn.XLOOKUP(Table1[[#This Row],[Player]]&amp;Table1[[#This Row],[Week]]&amp;Table1[[#This Row],[Role]],'Google Form Transform'!$A:$A,'Google Form Transform'!F:F,"")</f>
        <v/>
      </c>
      <c r="F748" t="str">
        <f>_xlfn.XLOOKUP(Table1[[#This Row],[Player]]&amp;Table1[[#This Row],[Week]]&amp;Table1[[#This Row],[Role]],'Google Form Transform'!$A:$A,'Google Form Transform'!G:G,"")</f>
        <v/>
      </c>
      <c r="G748" s="59">
        <f>SUMIFS(Table2[Stat],Table2[Stat Category],"passing",Table2[Stat Type],"YDS",Table2[Athlete],Table1[[#This Row],[Pick]],Table2[Week],Table1[[#This Row],[Week]])</f>
        <v>0</v>
      </c>
      <c r="H748" s="59">
        <f>SUMIFS(Table2[Stat],Table2[Stat Category],"rushing",Table2[Stat Type],"YDS",Table2[Athlete],Table1[[#This Row],[Pick]],Table2[Week],Table1[[#This Row],[Week]])</f>
        <v>0</v>
      </c>
      <c r="I748" s="59">
        <f>SUMIFS(Table2[Stat],Table2[Stat Category],"receiving",Table2[Stat Type],"YDS",Table2[Athlete],Table1[[#This Row],[Pick]],Table2[Week],Table1[[#This Row],[Week]])</f>
        <v>0</v>
      </c>
      <c r="J748" s="6">
        <f>IF(AND($C748="Rushing", $H748&lt;=0), 0, IF(AND($C748="Passing", $G$3&lt;=0), 0,IF(AND($C748="Receiving",$I748&lt;=0), 0,SUMIFS(Table2[Stat],Table2[Week],Table1[[#This Row],[Week]],Table2[Athlete],Table1[[#This Row],[Pick]],Table2[Stat Category],"passing",Table2[Stat Type],"TD"))))</f>
        <v>0</v>
      </c>
      <c r="K748" s="6">
        <f>IF(AND($C748="Rushing", $H748&lt;=0), 0, IF(AND($C748="Passing", $G$3&lt;=0), 0,IF(AND($C748="Receiving",$I748&lt;=0),0,SUMIFS(Table2[Stat],Table2[Week],Table1[[#This Row],[Week]],Table2[Athlete],Table1[[#This Row],[Pick]],Table2[Stat Category],"rushing",Table2[Stat Type],"TD"))))</f>
        <v>0</v>
      </c>
      <c r="L748" s="6">
        <f>IF(AND($C748="Rushing", $H748&lt;=0), 0, IF(AND($C748="Passing", $G$3&lt;=0), 0,IF(AND($C748="Receiving",$I748&lt;=0),0,SUMIFS(Table2[Stat],Table2[Week],Table1[[#This Row],[Week]],Table2[Athlete],Table1[[#This Row],[Pick]],Table2[Stat Category],"receiving",Table2[Stat Type],"TD"))))</f>
        <v>0</v>
      </c>
      <c r="M7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8" s="61">
        <f>SUMIFS(Data!$J:$J,Data!$A:$A,Info!$B748,Data!$G:$G,Info!$C748,Data!$I:$I,Info!$D748,Data!$H:$H,"TOT")</f>
        <v>0</v>
      </c>
      <c r="O748" s="61">
        <f>IF(C748="Defensive",SUMIFS(Data!$J:$J,Data!$A:$A,Info!$B748,Data!$I:$I,Info!$D748,Data!$H:$H,"INT"),0)</f>
        <v>0</v>
      </c>
      <c r="P748" s="61">
        <f>IF(Table1[[#This Row],[Role]]="Defensive",SUMIFS(Data!$J:$J,Data!$A:$A,Info!$B748,Data!$I:$I,Info!$D748,Data!$H:$H,$P$1),0)</f>
        <v>0</v>
      </c>
      <c r="Q748" s="65" t="str">
        <f>IF(Table1[[#This Row],[Pick]]="","",IF(S748&gt;1,400,IF(G748="","",IF(C748="Passing",(400-Table1[[#This Row],[Passing Yards]]-(30*Table1[[#This Row],[Passing TDs]])-(50*SUM(Table1[[#This Row],[Rushing TDs]:[Other TD''s]]))),IF(C748="Rushing",2*(200-Table1[[#This Row],[Rushing Yards]]-(30*Table1[[#This Row],[Passing TDs]])-50*(Table1[[#This Row],[Rushing TDs]]+Table1[[#This Row],[Receiving TDs]]+Table1[[#This Row],[Other TD''s]])),IF(C748="Receiving",2*(200-Table1[[#This Row],[Receiving Yards]]-(30*Table1[[#This Row],[Passing TDs]])-50*(Table1[[#This Row],[Rushing TDs]]+Table1[[#This Row],[Receiving TDs]]+Table1[[#This Row],[Other TD''s]])),IF(C748="Defensive",(25*(16-Table1[[#This Row],[Tackles]]-(8*(Table1[[#This Row],[Other TD''s]]+Table1[[#This Row],[Interceptions]]+Table1[[#This Row],[Fumbles Recovered]])))))))))))</f>
        <v/>
      </c>
      <c r="R748" s="3" t="str">
        <f t="shared" si="24"/>
        <v/>
      </c>
      <c r="S748" s="4">
        <f t="shared" si="23"/>
        <v>1048507</v>
      </c>
      <c r="T7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9" spans="1:20" hidden="1" x14ac:dyDescent="0.25">
      <c r="A749" t="s">
        <v>62</v>
      </c>
      <c r="B749" s="28" t="s">
        <v>15</v>
      </c>
      <c r="C749" t="s">
        <v>17</v>
      </c>
      <c r="D749" t="str">
        <f>_xlfn.XLOOKUP(Table1[[#This Row],[Player]]&amp;Table1[[#This Row],[Week]]&amp;Table1[[#This Row],[Role]],'Google Form Transform'!$A:$A,'Google Form Transform'!E:E,"")</f>
        <v/>
      </c>
      <c r="E749" t="str">
        <f>_xlfn.XLOOKUP(Table1[[#This Row],[Player]]&amp;Table1[[#This Row],[Week]]&amp;Table1[[#This Row],[Role]],'Google Form Transform'!$A:$A,'Google Form Transform'!F:F,"")</f>
        <v/>
      </c>
      <c r="F749" t="str">
        <f>_xlfn.XLOOKUP(Table1[[#This Row],[Player]]&amp;Table1[[#This Row],[Week]]&amp;Table1[[#This Row],[Role]],'Google Form Transform'!$A:$A,'Google Form Transform'!G:G,"")</f>
        <v/>
      </c>
      <c r="G749" s="59">
        <f>SUMIFS(Table2[Stat],Table2[Stat Category],"passing",Table2[Stat Type],"YDS",Table2[Athlete],Table1[[#This Row],[Pick]],Table2[Week],Table1[[#This Row],[Week]])</f>
        <v>0</v>
      </c>
      <c r="H749" s="59">
        <f>SUMIFS(Table2[Stat],Table2[Stat Category],"rushing",Table2[Stat Type],"YDS",Table2[Athlete],Table1[[#This Row],[Pick]],Table2[Week],Table1[[#This Row],[Week]])</f>
        <v>0</v>
      </c>
      <c r="I749" s="59">
        <f>SUMIFS(Table2[Stat],Table2[Stat Category],"receiving",Table2[Stat Type],"YDS",Table2[Athlete],Table1[[#This Row],[Pick]],Table2[Week],Table1[[#This Row],[Week]])</f>
        <v>0</v>
      </c>
      <c r="J749" s="6">
        <f>IF(AND($C749="Rushing", $H749&lt;=0), 0, IF(AND($C749="Passing", $G$3&lt;=0), 0,IF(AND($C749="Receiving",$I749&lt;=0), 0,SUMIFS(Table2[Stat],Table2[Week],Table1[[#This Row],[Week]],Table2[Athlete],Table1[[#This Row],[Pick]],Table2[Stat Category],"passing",Table2[Stat Type],"TD"))))</f>
        <v>0</v>
      </c>
      <c r="K749" s="6">
        <f>IF(AND($C749="Rushing", $H749&lt;=0), 0, IF(AND($C749="Passing", $G$3&lt;=0), 0,IF(AND($C749="Receiving",$I749&lt;=0),0,SUMIFS(Table2[Stat],Table2[Week],Table1[[#This Row],[Week]],Table2[Athlete],Table1[[#This Row],[Pick]],Table2[Stat Category],"rushing",Table2[Stat Type],"TD"))))</f>
        <v>0</v>
      </c>
      <c r="L749" s="6">
        <f>IF(AND($C749="Rushing", $H749&lt;=0), 0, IF(AND($C749="Passing", $G$3&lt;=0), 0,IF(AND($C749="Receiving",$I749&lt;=0),0,SUMIFS(Table2[Stat],Table2[Week],Table1[[#This Row],[Week]],Table2[Athlete],Table1[[#This Row],[Pick]],Table2[Stat Category],"receiving",Table2[Stat Type],"TD"))))</f>
        <v>0</v>
      </c>
      <c r="M7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9" s="61">
        <f>SUMIFS(Data!$J:$J,Data!$A:$A,Info!$B749,Data!$G:$G,Info!$C749,Data!$I:$I,Info!$D749,Data!$H:$H,"TOT")</f>
        <v>0</v>
      </c>
      <c r="O749" s="61">
        <f>IF(C749="Defensive",SUMIFS(Data!$J:$J,Data!$A:$A,Info!$B749,Data!$I:$I,Info!$D749,Data!$H:$H,"INT"),0)</f>
        <v>0</v>
      </c>
      <c r="P749" s="61">
        <f>IF(Table1[[#This Row],[Role]]="Defensive",SUMIFS(Data!$J:$J,Data!$A:$A,Info!$B749,Data!$I:$I,Info!$D749,Data!$H:$H,$P$1),0)</f>
        <v>0</v>
      </c>
      <c r="Q749" s="65" t="str">
        <f>IF(Table1[[#This Row],[Pick]]="","",IF(S749&gt;1,400,IF(G749="","",IF(C749="Passing",(400-Table1[[#This Row],[Passing Yards]]-(30*Table1[[#This Row],[Passing TDs]])-(50*SUM(Table1[[#This Row],[Rushing TDs]:[Other TD''s]]))),IF(C749="Rushing",2*(200-Table1[[#This Row],[Rushing Yards]]-(30*Table1[[#This Row],[Passing TDs]])-50*(Table1[[#This Row],[Rushing TDs]]+Table1[[#This Row],[Receiving TDs]]+Table1[[#This Row],[Other TD''s]])),IF(C749="Receiving",2*(200-Table1[[#This Row],[Receiving Yards]]-(30*Table1[[#This Row],[Passing TDs]])-50*(Table1[[#This Row],[Rushing TDs]]+Table1[[#This Row],[Receiving TDs]]+Table1[[#This Row],[Other TD''s]])),IF(C749="Defensive",(25*(16-Table1[[#This Row],[Tackles]]-(8*(Table1[[#This Row],[Other TD''s]]+Table1[[#This Row],[Interceptions]]+Table1[[#This Row],[Fumbles Recovered]])))))))))))</f>
        <v/>
      </c>
      <c r="R749" s="3" t="str">
        <f t="shared" si="24"/>
        <v/>
      </c>
      <c r="S749" s="4">
        <f t="shared" si="23"/>
        <v>1048507</v>
      </c>
      <c r="T7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0" spans="1:20" hidden="1" x14ac:dyDescent="0.25">
      <c r="A750" t="s">
        <v>62</v>
      </c>
      <c r="B750" s="28" t="s">
        <v>15</v>
      </c>
      <c r="C750" t="s">
        <v>20</v>
      </c>
      <c r="D750" t="str">
        <f>_xlfn.XLOOKUP(Table1[[#This Row],[Player]]&amp;Table1[[#This Row],[Week]]&amp;Table1[[#This Row],[Role]],'Google Form Transform'!$A:$A,'Google Form Transform'!E:E,"")</f>
        <v/>
      </c>
      <c r="E750" t="str">
        <f>_xlfn.XLOOKUP(Table1[[#This Row],[Player]]&amp;Table1[[#This Row],[Week]]&amp;Table1[[#This Row],[Role]],'Google Form Transform'!$A:$A,'Google Form Transform'!F:F,"")</f>
        <v/>
      </c>
      <c r="F750" t="str">
        <f>_xlfn.XLOOKUP(Table1[[#This Row],[Player]]&amp;Table1[[#This Row],[Week]]&amp;Table1[[#This Row],[Role]],'Google Form Transform'!$A:$A,'Google Form Transform'!G:G,"")</f>
        <v/>
      </c>
      <c r="G750" s="59">
        <f>SUMIFS(Table2[Stat],Table2[Stat Category],"passing",Table2[Stat Type],"YDS",Table2[Athlete],Table1[[#This Row],[Pick]],Table2[Week],Table1[[#This Row],[Week]])</f>
        <v>0</v>
      </c>
      <c r="H750" s="59">
        <f>SUMIFS(Table2[Stat],Table2[Stat Category],"rushing",Table2[Stat Type],"YDS",Table2[Athlete],Table1[[#This Row],[Pick]],Table2[Week],Table1[[#This Row],[Week]])</f>
        <v>0</v>
      </c>
      <c r="I750" s="59">
        <f>SUMIFS(Table2[Stat],Table2[Stat Category],"receiving",Table2[Stat Type],"YDS",Table2[Athlete],Table1[[#This Row],[Pick]],Table2[Week],Table1[[#This Row],[Week]])</f>
        <v>0</v>
      </c>
      <c r="J750" s="6">
        <f>IF(AND($C750="Rushing", $H750&lt;=0), 0, IF(AND($C750="Passing", $G$3&lt;=0), 0,IF(AND($C750="Receiving",$I750&lt;=0), 0,SUMIFS(Table2[Stat],Table2[Week],Table1[[#This Row],[Week]],Table2[Athlete],Table1[[#This Row],[Pick]],Table2[Stat Category],"passing",Table2[Stat Type],"TD"))))</f>
        <v>0</v>
      </c>
      <c r="K750" s="6">
        <f>IF(AND($C750="Rushing", $H750&lt;=0), 0, IF(AND($C750="Passing", $G$3&lt;=0), 0,IF(AND($C750="Receiving",$I750&lt;=0),0,SUMIFS(Table2[Stat],Table2[Week],Table1[[#This Row],[Week]],Table2[Athlete],Table1[[#This Row],[Pick]],Table2[Stat Category],"rushing",Table2[Stat Type],"TD"))))</f>
        <v>0</v>
      </c>
      <c r="L750" s="6">
        <f>IF(AND($C750="Rushing", $H750&lt;=0), 0, IF(AND($C750="Passing", $G$3&lt;=0), 0,IF(AND($C750="Receiving",$I750&lt;=0),0,SUMIFS(Table2[Stat],Table2[Week],Table1[[#This Row],[Week]],Table2[Athlete],Table1[[#This Row],[Pick]],Table2[Stat Category],"receiving",Table2[Stat Type],"TD"))))</f>
        <v>0</v>
      </c>
      <c r="M7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0" s="61">
        <f>SUMIFS(Data!$J:$J,Data!$A:$A,Info!$B750,Data!$G:$G,Info!$C750,Data!$I:$I,Info!$D750,Data!$H:$H,"TOT")</f>
        <v>0</v>
      </c>
      <c r="O750" s="61">
        <f>IF(C750="Defensive",SUMIFS(Data!$J:$J,Data!$A:$A,Info!$B750,Data!$I:$I,Info!$D750,Data!$H:$H,"INT"),0)</f>
        <v>0</v>
      </c>
      <c r="P750" s="61">
        <f>IF(Table1[[#This Row],[Role]]="Defensive",SUMIFS(Data!$J:$J,Data!$A:$A,Info!$B750,Data!$I:$I,Info!$D750,Data!$H:$H,$P$1),0)</f>
        <v>0</v>
      </c>
      <c r="Q750" s="65" t="str">
        <f>IF(Table1[[#This Row],[Pick]]="","",IF(S750&gt;1,400,IF(G750="","",IF(C750="Passing",(400-Table1[[#This Row],[Passing Yards]]-(30*Table1[[#This Row],[Passing TDs]])-(50*SUM(Table1[[#This Row],[Rushing TDs]:[Other TD''s]]))),IF(C750="Rushing",2*(200-Table1[[#This Row],[Rushing Yards]]-(30*Table1[[#This Row],[Passing TDs]])-50*(Table1[[#This Row],[Rushing TDs]]+Table1[[#This Row],[Receiving TDs]]+Table1[[#This Row],[Other TD''s]])),IF(C750="Receiving",2*(200-Table1[[#This Row],[Receiving Yards]]-(30*Table1[[#This Row],[Passing TDs]])-50*(Table1[[#This Row],[Rushing TDs]]+Table1[[#This Row],[Receiving TDs]]+Table1[[#This Row],[Other TD''s]])),IF(C750="Defensive",(25*(16-Table1[[#This Row],[Tackles]]-(8*(Table1[[#This Row],[Other TD''s]]+Table1[[#This Row],[Interceptions]]+Table1[[#This Row],[Fumbles Recovered]])))))))))))</f>
        <v/>
      </c>
      <c r="R750" s="3" t="str">
        <f t="shared" si="24"/>
        <v/>
      </c>
      <c r="S750" s="4">
        <f t="shared" si="23"/>
        <v>1048507</v>
      </c>
      <c r="T7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1" spans="1:20" hidden="1" x14ac:dyDescent="0.25">
      <c r="A751" t="s">
        <v>59</v>
      </c>
      <c r="B751" s="28" t="s">
        <v>15</v>
      </c>
      <c r="C751" t="s">
        <v>16</v>
      </c>
      <c r="D751" t="str">
        <f>_xlfn.XLOOKUP(Table1[[#This Row],[Player]]&amp;Table1[[#This Row],[Week]]&amp;Table1[[#This Row],[Role]],'Google Form Transform'!$A:$A,'Google Form Transform'!E:E,"")</f>
        <v/>
      </c>
      <c r="E751" t="str">
        <f>_xlfn.XLOOKUP(Table1[[#This Row],[Player]]&amp;Table1[[#This Row],[Week]]&amp;Table1[[#This Row],[Role]],'Google Form Transform'!$A:$A,'Google Form Transform'!F:F,"")</f>
        <v/>
      </c>
      <c r="F751" t="str">
        <f>_xlfn.XLOOKUP(Table1[[#This Row],[Player]]&amp;Table1[[#This Row],[Week]]&amp;Table1[[#This Row],[Role]],'Google Form Transform'!$A:$A,'Google Form Transform'!G:G,"")</f>
        <v/>
      </c>
      <c r="G751" s="59">
        <f>SUMIFS(Table2[Stat],Table2[Stat Category],"passing",Table2[Stat Type],"YDS",Table2[Athlete],Table1[[#This Row],[Pick]],Table2[Week],Table1[[#This Row],[Week]])</f>
        <v>0</v>
      </c>
      <c r="H751" s="59">
        <f>SUMIFS(Table2[Stat],Table2[Stat Category],"rushing",Table2[Stat Type],"YDS",Table2[Athlete],Table1[[#This Row],[Pick]],Table2[Week],Table1[[#This Row],[Week]])</f>
        <v>0</v>
      </c>
      <c r="I751" s="59">
        <f>SUMIFS(Table2[Stat],Table2[Stat Category],"receiving",Table2[Stat Type],"YDS",Table2[Athlete],Table1[[#This Row],[Pick]],Table2[Week],Table1[[#This Row],[Week]])</f>
        <v>0</v>
      </c>
      <c r="J751" s="6">
        <f>IF(AND($C751="Rushing", $H751&lt;=0), 0, IF(AND($C751="Passing", $G$3&lt;=0), 0,IF(AND($C751="Receiving",$I751&lt;=0), 0,SUMIFS(Table2[Stat],Table2[Week],Table1[[#This Row],[Week]],Table2[Athlete],Table1[[#This Row],[Pick]],Table2[Stat Category],"passing",Table2[Stat Type],"TD"))))</f>
        <v>0</v>
      </c>
      <c r="K751" s="6">
        <f>IF(AND($C751="Rushing", $H751&lt;=0), 0, IF(AND($C751="Passing", $G$3&lt;=0), 0,IF(AND($C751="Receiving",$I751&lt;=0),0,SUMIFS(Table2[Stat],Table2[Week],Table1[[#This Row],[Week]],Table2[Athlete],Table1[[#This Row],[Pick]],Table2[Stat Category],"rushing",Table2[Stat Type],"TD"))))</f>
        <v>0</v>
      </c>
      <c r="L751" s="6">
        <f>IF(AND($C751="Rushing", $H751&lt;=0), 0, IF(AND($C751="Passing", $G$3&lt;=0), 0,IF(AND($C751="Receiving",$I751&lt;=0),0,SUMIFS(Table2[Stat],Table2[Week],Table1[[#This Row],[Week]],Table2[Athlete],Table1[[#This Row],[Pick]],Table2[Stat Category],"receiving",Table2[Stat Type],"TD"))))</f>
        <v>0</v>
      </c>
      <c r="M7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1" s="61">
        <f>SUMIFS(Data!$J:$J,Data!$A:$A,Info!$B751,Data!$G:$G,Info!$C751,Data!$I:$I,Info!$D751,Data!$H:$H,"TOT")</f>
        <v>0</v>
      </c>
      <c r="O751" s="61">
        <f>IF(C751="Defensive",SUMIFS(Data!$J:$J,Data!$A:$A,Info!$B751,Data!$I:$I,Info!$D751,Data!$H:$H,"INT"),0)</f>
        <v>0</v>
      </c>
      <c r="P751" s="61">
        <f>IF(Table1[[#This Row],[Role]]="Defensive",SUMIFS(Data!$J:$J,Data!$A:$A,Info!$B751,Data!$I:$I,Info!$D751,Data!$H:$H,$P$1),0)</f>
        <v>0</v>
      </c>
      <c r="Q751" s="65" t="str">
        <f>IF(Table1[[#This Row],[Pick]]="","",IF(S751&gt;1,400,IF(G751="","",IF(C751="Passing",(400-Table1[[#This Row],[Passing Yards]]-(30*Table1[[#This Row],[Passing TDs]])-(50*SUM(Table1[[#This Row],[Rushing TDs]:[Other TD''s]]))),IF(C751="Rushing",2*(200-Table1[[#This Row],[Rushing Yards]]-(30*Table1[[#This Row],[Passing TDs]])-50*(Table1[[#This Row],[Rushing TDs]]+Table1[[#This Row],[Receiving TDs]]+Table1[[#This Row],[Other TD''s]])),IF(C751="Receiving",2*(200-Table1[[#This Row],[Receiving Yards]]-(30*Table1[[#This Row],[Passing TDs]])-50*(Table1[[#This Row],[Rushing TDs]]+Table1[[#This Row],[Receiving TDs]]+Table1[[#This Row],[Other TD''s]])),IF(C751="Defensive",(25*(16-Table1[[#This Row],[Tackles]]-(8*(Table1[[#This Row],[Other TD''s]]+Table1[[#This Row],[Interceptions]]+Table1[[#This Row],[Fumbles Recovered]])))))))))))</f>
        <v/>
      </c>
      <c r="R751" s="3" t="str">
        <f t="shared" si="24"/>
        <v/>
      </c>
      <c r="S751" s="4">
        <f t="shared" si="23"/>
        <v>1048507</v>
      </c>
      <c r="T7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2" spans="1:20" hidden="1" x14ac:dyDescent="0.25">
      <c r="A752" t="s">
        <v>59</v>
      </c>
      <c r="B752" s="28" t="s">
        <v>15</v>
      </c>
      <c r="C752" t="s">
        <v>6</v>
      </c>
      <c r="D752" t="str">
        <f>_xlfn.XLOOKUP(Table1[[#This Row],[Player]]&amp;Table1[[#This Row],[Week]]&amp;Table1[[#This Row],[Role]],'Google Form Transform'!$A:$A,'Google Form Transform'!E:E,"")</f>
        <v/>
      </c>
      <c r="E752" t="str">
        <f>_xlfn.XLOOKUP(Table1[[#This Row],[Player]]&amp;Table1[[#This Row],[Week]]&amp;Table1[[#This Row],[Role]],'Google Form Transform'!$A:$A,'Google Form Transform'!F:F,"")</f>
        <v/>
      </c>
      <c r="F752" t="str">
        <f>_xlfn.XLOOKUP(Table1[[#This Row],[Player]]&amp;Table1[[#This Row],[Week]]&amp;Table1[[#This Row],[Role]],'Google Form Transform'!$A:$A,'Google Form Transform'!G:G,"")</f>
        <v/>
      </c>
      <c r="G752" s="59">
        <f>SUMIFS(Table2[Stat],Table2[Stat Category],"passing",Table2[Stat Type],"YDS",Table2[Athlete],Table1[[#This Row],[Pick]],Table2[Week],Table1[[#This Row],[Week]])</f>
        <v>0</v>
      </c>
      <c r="H752" s="59">
        <f>SUMIFS(Table2[Stat],Table2[Stat Category],"rushing",Table2[Stat Type],"YDS",Table2[Athlete],Table1[[#This Row],[Pick]],Table2[Week],Table1[[#This Row],[Week]])</f>
        <v>0</v>
      </c>
      <c r="I752" s="59">
        <f>SUMIFS(Table2[Stat],Table2[Stat Category],"receiving",Table2[Stat Type],"YDS",Table2[Athlete],Table1[[#This Row],[Pick]],Table2[Week],Table1[[#This Row],[Week]])</f>
        <v>0</v>
      </c>
      <c r="J752" s="6">
        <f>IF(AND($C752="Rushing", $H752&lt;=0), 0, IF(AND($C752="Passing", $G$3&lt;=0), 0,IF(AND($C752="Receiving",$I752&lt;=0), 0,SUMIFS(Table2[Stat],Table2[Week],Table1[[#This Row],[Week]],Table2[Athlete],Table1[[#This Row],[Pick]],Table2[Stat Category],"passing",Table2[Stat Type],"TD"))))</f>
        <v>0</v>
      </c>
      <c r="K752" s="6">
        <f>IF(AND($C752="Rushing", $H752&lt;=0), 0, IF(AND($C752="Passing", $G$3&lt;=0), 0,IF(AND($C752="Receiving",$I752&lt;=0),0,SUMIFS(Table2[Stat],Table2[Week],Table1[[#This Row],[Week]],Table2[Athlete],Table1[[#This Row],[Pick]],Table2[Stat Category],"rushing",Table2[Stat Type],"TD"))))</f>
        <v>0</v>
      </c>
      <c r="L752" s="6">
        <f>IF(AND($C752="Rushing", $H752&lt;=0), 0, IF(AND($C752="Passing", $G$3&lt;=0), 0,IF(AND($C752="Receiving",$I752&lt;=0),0,SUMIFS(Table2[Stat],Table2[Week],Table1[[#This Row],[Week]],Table2[Athlete],Table1[[#This Row],[Pick]],Table2[Stat Category],"receiving",Table2[Stat Type],"TD"))))</f>
        <v>0</v>
      </c>
      <c r="M7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2" s="61">
        <f>SUMIFS(Data!$J:$J,Data!$A:$A,Info!$B752,Data!$G:$G,Info!$C752,Data!$I:$I,Info!$D752,Data!$H:$H,"TOT")</f>
        <v>0</v>
      </c>
      <c r="O752" s="61">
        <f>IF(C752="Defensive",SUMIFS(Data!$J:$J,Data!$A:$A,Info!$B752,Data!$I:$I,Info!$D752,Data!$H:$H,"INT"),0)</f>
        <v>0</v>
      </c>
      <c r="P752" s="61">
        <f>IF(Table1[[#This Row],[Role]]="Defensive",SUMIFS(Data!$J:$J,Data!$A:$A,Info!$B752,Data!$I:$I,Info!$D752,Data!$H:$H,$P$1),0)</f>
        <v>0</v>
      </c>
      <c r="Q752" s="65" t="str">
        <f>IF(Table1[[#This Row],[Pick]]="","",IF(S752&gt;1,400,IF(G752="","",IF(C752="Passing",(400-Table1[[#This Row],[Passing Yards]]-(30*Table1[[#This Row],[Passing TDs]])-(50*SUM(Table1[[#This Row],[Rushing TDs]:[Other TD''s]]))),IF(C752="Rushing",2*(200-Table1[[#This Row],[Rushing Yards]]-(30*Table1[[#This Row],[Passing TDs]])-50*(Table1[[#This Row],[Rushing TDs]]+Table1[[#This Row],[Receiving TDs]]+Table1[[#This Row],[Other TD''s]])),IF(C752="Receiving",2*(200-Table1[[#This Row],[Receiving Yards]]-(30*Table1[[#This Row],[Passing TDs]])-50*(Table1[[#This Row],[Rushing TDs]]+Table1[[#This Row],[Receiving TDs]]+Table1[[#This Row],[Other TD''s]])),IF(C752="Defensive",(25*(16-Table1[[#This Row],[Tackles]]-(8*(Table1[[#This Row],[Other TD''s]]+Table1[[#This Row],[Interceptions]]+Table1[[#This Row],[Fumbles Recovered]])))))))))))</f>
        <v/>
      </c>
      <c r="R752" s="3" t="str">
        <f t="shared" si="24"/>
        <v/>
      </c>
      <c r="S752" s="4">
        <f t="shared" si="23"/>
        <v>1048507</v>
      </c>
      <c r="T7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3" spans="1:20" hidden="1" x14ac:dyDescent="0.25">
      <c r="A753" t="s">
        <v>59</v>
      </c>
      <c r="B753" s="28" t="s">
        <v>15</v>
      </c>
      <c r="C753" t="s">
        <v>17</v>
      </c>
      <c r="D753" t="str">
        <f>_xlfn.XLOOKUP(Table1[[#This Row],[Player]]&amp;Table1[[#This Row],[Week]]&amp;Table1[[#This Row],[Role]],'Google Form Transform'!$A:$A,'Google Form Transform'!E:E,"")</f>
        <v/>
      </c>
      <c r="E753" t="str">
        <f>_xlfn.XLOOKUP(Table1[[#This Row],[Player]]&amp;Table1[[#This Row],[Week]]&amp;Table1[[#This Row],[Role]],'Google Form Transform'!$A:$A,'Google Form Transform'!F:F,"")</f>
        <v/>
      </c>
      <c r="F753" t="str">
        <f>_xlfn.XLOOKUP(Table1[[#This Row],[Player]]&amp;Table1[[#This Row],[Week]]&amp;Table1[[#This Row],[Role]],'Google Form Transform'!$A:$A,'Google Form Transform'!G:G,"")</f>
        <v/>
      </c>
      <c r="G753" s="59">
        <f>SUMIFS(Table2[Stat],Table2[Stat Category],"passing",Table2[Stat Type],"YDS",Table2[Athlete],Table1[[#This Row],[Pick]],Table2[Week],Table1[[#This Row],[Week]])</f>
        <v>0</v>
      </c>
      <c r="H753" s="59">
        <f>SUMIFS(Table2[Stat],Table2[Stat Category],"rushing",Table2[Stat Type],"YDS",Table2[Athlete],Table1[[#This Row],[Pick]],Table2[Week],Table1[[#This Row],[Week]])</f>
        <v>0</v>
      </c>
      <c r="I753" s="59">
        <f>SUMIFS(Table2[Stat],Table2[Stat Category],"receiving",Table2[Stat Type],"YDS",Table2[Athlete],Table1[[#This Row],[Pick]],Table2[Week],Table1[[#This Row],[Week]])</f>
        <v>0</v>
      </c>
      <c r="J753" s="6">
        <f>IF(AND($C753="Rushing", $H753&lt;=0), 0, IF(AND($C753="Passing", $G$3&lt;=0), 0,IF(AND($C753="Receiving",$I753&lt;=0), 0,SUMIFS(Table2[Stat],Table2[Week],Table1[[#This Row],[Week]],Table2[Athlete],Table1[[#This Row],[Pick]],Table2[Stat Category],"passing",Table2[Stat Type],"TD"))))</f>
        <v>0</v>
      </c>
      <c r="K753" s="6">
        <f>IF(AND($C753="Rushing", $H753&lt;=0), 0, IF(AND($C753="Passing", $G$3&lt;=0), 0,IF(AND($C753="Receiving",$I753&lt;=0),0,SUMIFS(Table2[Stat],Table2[Week],Table1[[#This Row],[Week]],Table2[Athlete],Table1[[#This Row],[Pick]],Table2[Stat Category],"rushing",Table2[Stat Type],"TD"))))</f>
        <v>0</v>
      </c>
      <c r="L753" s="6">
        <f>IF(AND($C753="Rushing", $H753&lt;=0), 0, IF(AND($C753="Passing", $G$3&lt;=0), 0,IF(AND($C753="Receiving",$I753&lt;=0),0,SUMIFS(Table2[Stat],Table2[Week],Table1[[#This Row],[Week]],Table2[Athlete],Table1[[#This Row],[Pick]],Table2[Stat Category],"receiving",Table2[Stat Type],"TD"))))</f>
        <v>0</v>
      </c>
      <c r="M7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3" s="61">
        <f>SUMIFS(Data!$J:$J,Data!$A:$A,Info!$B753,Data!$G:$G,Info!$C753,Data!$I:$I,Info!$D753,Data!$H:$H,"TOT")</f>
        <v>0</v>
      </c>
      <c r="O753" s="61">
        <f>IF(C753="Defensive",SUMIFS(Data!$J:$J,Data!$A:$A,Info!$B753,Data!$I:$I,Info!$D753,Data!$H:$H,"INT"),0)</f>
        <v>0</v>
      </c>
      <c r="P753" s="61">
        <f>IF(Table1[[#This Row],[Role]]="Defensive",SUMIFS(Data!$J:$J,Data!$A:$A,Info!$B753,Data!$I:$I,Info!$D753,Data!$H:$H,$P$1),0)</f>
        <v>0</v>
      </c>
      <c r="Q753" s="65" t="str">
        <f>IF(Table1[[#This Row],[Pick]]="","",IF(S753&gt;1,400,IF(G753="","",IF(C753="Passing",(400-Table1[[#This Row],[Passing Yards]]-(30*Table1[[#This Row],[Passing TDs]])-(50*SUM(Table1[[#This Row],[Rushing TDs]:[Other TD''s]]))),IF(C753="Rushing",2*(200-Table1[[#This Row],[Rushing Yards]]-(30*Table1[[#This Row],[Passing TDs]])-50*(Table1[[#This Row],[Rushing TDs]]+Table1[[#This Row],[Receiving TDs]]+Table1[[#This Row],[Other TD''s]])),IF(C753="Receiving",2*(200-Table1[[#This Row],[Receiving Yards]]-(30*Table1[[#This Row],[Passing TDs]])-50*(Table1[[#This Row],[Rushing TDs]]+Table1[[#This Row],[Receiving TDs]]+Table1[[#This Row],[Other TD''s]])),IF(C753="Defensive",(25*(16-Table1[[#This Row],[Tackles]]-(8*(Table1[[#This Row],[Other TD''s]]+Table1[[#This Row],[Interceptions]]+Table1[[#This Row],[Fumbles Recovered]])))))))))))</f>
        <v/>
      </c>
      <c r="R753" s="3" t="str">
        <f t="shared" si="24"/>
        <v/>
      </c>
      <c r="S753" s="4">
        <f t="shared" si="23"/>
        <v>1048507</v>
      </c>
      <c r="T7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4" spans="1:20" hidden="1" x14ac:dyDescent="0.25">
      <c r="A754" t="s">
        <v>59</v>
      </c>
      <c r="B754" s="28" t="s">
        <v>15</v>
      </c>
      <c r="C754" t="s">
        <v>20</v>
      </c>
      <c r="D754" t="str">
        <f>_xlfn.XLOOKUP(Table1[[#This Row],[Player]]&amp;Table1[[#This Row],[Week]]&amp;Table1[[#This Row],[Role]],'Google Form Transform'!$A:$A,'Google Form Transform'!E:E,"")</f>
        <v/>
      </c>
      <c r="E754" t="str">
        <f>_xlfn.XLOOKUP(Table1[[#This Row],[Player]]&amp;Table1[[#This Row],[Week]]&amp;Table1[[#This Row],[Role]],'Google Form Transform'!$A:$A,'Google Form Transform'!F:F,"")</f>
        <v/>
      </c>
      <c r="F754" t="str">
        <f>_xlfn.XLOOKUP(Table1[[#This Row],[Player]]&amp;Table1[[#This Row],[Week]]&amp;Table1[[#This Row],[Role]],'Google Form Transform'!$A:$A,'Google Form Transform'!G:G,"")</f>
        <v/>
      </c>
      <c r="G754" s="59">
        <f>SUMIFS(Table2[Stat],Table2[Stat Category],"passing",Table2[Stat Type],"YDS",Table2[Athlete],Table1[[#This Row],[Pick]],Table2[Week],Table1[[#This Row],[Week]])</f>
        <v>0</v>
      </c>
      <c r="H754" s="59">
        <f>SUMIFS(Table2[Stat],Table2[Stat Category],"rushing",Table2[Stat Type],"YDS",Table2[Athlete],Table1[[#This Row],[Pick]],Table2[Week],Table1[[#This Row],[Week]])</f>
        <v>0</v>
      </c>
      <c r="I754" s="59">
        <f>SUMIFS(Table2[Stat],Table2[Stat Category],"receiving",Table2[Stat Type],"YDS",Table2[Athlete],Table1[[#This Row],[Pick]],Table2[Week],Table1[[#This Row],[Week]])</f>
        <v>0</v>
      </c>
      <c r="J754" s="6">
        <f>IF(AND($C754="Rushing", $H754&lt;=0), 0, IF(AND($C754="Passing", $G$3&lt;=0), 0,IF(AND($C754="Receiving",$I754&lt;=0), 0,SUMIFS(Table2[Stat],Table2[Week],Table1[[#This Row],[Week]],Table2[Athlete],Table1[[#This Row],[Pick]],Table2[Stat Category],"passing",Table2[Stat Type],"TD"))))</f>
        <v>0</v>
      </c>
      <c r="K754" s="6">
        <f>IF(AND($C754="Rushing", $H754&lt;=0), 0, IF(AND($C754="Passing", $G$3&lt;=0), 0,IF(AND($C754="Receiving",$I754&lt;=0),0,SUMIFS(Table2[Stat],Table2[Week],Table1[[#This Row],[Week]],Table2[Athlete],Table1[[#This Row],[Pick]],Table2[Stat Category],"rushing",Table2[Stat Type],"TD"))))</f>
        <v>0</v>
      </c>
      <c r="L754" s="6">
        <f>IF(AND($C754="Rushing", $H754&lt;=0), 0, IF(AND($C754="Passing", $G$3&lt;=0), 0,IF(AND($C754="Receiving",$I754&lt;=0),0,SUMIFS(Table2[Stat],Table2[Week],Table1[[#This Row],[Week]],Table2[Athlete],Table1[[#This Row],[Pick]],Table2[Stat Category],"receiving",Table2[Stat Type],"TD"))))</f>
        <v>0</v>
      </c>
      <c r="M7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4" s="61">
        <f>SUMIFS(Data!$J:$J,Data!$A:$A,Info!$B754,Data!$G:$G,Info!$C754,Data!$I:$I,Info!$D754,Data!$H:$H,"TOT")</f>
        <v>0</v>
      </c>
      <c r="O754" s="61">
        <f>IF(C754="Defensive",SUMIFS(Data!$J:$J,Data!$A:$A,Info!$B754,Data!$I:$I,Info!$D754,Data!$H:$H,"INT"),0)</f>
        <v>0</v>
      </c>
      <c r="P754" s="61">
        <f>IF(Table1[[#This Row],[Role]]="Defensive",SUMIFS(Data!$J:$J,Data!$A:$A,Info!$B754,Data!$I:$I,Info!$D754,Data!$H:$H,$P$1),0)</f>
        <v>0</v>
      </c>
      <c r="Q754" s="65" t="str">
        <f>IF(Table1[[#This Row],[Pick]]="","",IF(S754&gt;1,400,IF(G754="","",IF(C754="Passing",(400-Table1[[#This Row],[Passing Yards]]-(30*Table1[[#This Row],[Passing TDs]])-(50*SUM(Table1[[#This Row],[Rushing TDs]:[Other TD''s]]))),IF(C754="Rushing",2*(200-Table1[[#This Row],[Rushing Yards]]-(30*Table1[[#This Row],[Passing TDs]])-50*(Table1[[#This Row],[Rushing TDs]]+Table1[[#This Row],[Receiving TDs]]+Table1[[#This Row],[Other TD''s]])),IF(C754="Receiving",2*(200-Table1[[#This Row],[Receiving Yards]]-(30*Table1[[#This Row],[Passing TDs]])-50*(Table1[[#This Row],[Rushing TDs]]+Table1[[#This Row],[Receiving TDs]]+Table1[[#This Row],[Other TD''s]])),IF(C754="Defensive",(25*(16-Table1[[#This Row],[Tackles]]-(8*(Table1[[#This Row],[Other TD''s]]+Table1[[#This Row],[Interceptions]]+Table1[[#This Row],[Fumbles Recovered]])))))))))))</f>
        <v/>
      </c>
      <c r="R754" s="3" t="str">
        <f t="shared" si="24"/>
        <v/>
      </c>
      <c r="S754" s="4">
        <f t="shared" si="23"/>
        <v>1048507</v>
      </c>
      <c r="T7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5" spans="1:20" hidden="1" x14ac:dyDescent="0.25">
      <c r="A755" t="s">
        <v>68</v>
      </c>
      <c r="B755" s="28" t="s">
        <v>15</v>
      </c>
      <c r="C755" t="s">
        <v>16</v>
      </c>
      <c r="D755" t="str">
        <f>_xlfn.XLOOKUP(Table1[[#This Row],[Player]]&amp;Table1[[#This Row],[Week]]&amp;Table1[[#This Row],[Role]],'Google Form Transform'!$A:$A,'Google Form Transform'!E:E,"")</f>
        <v/>
      </c>
      <c r="E755" t="str">
        <f>_xlfn.XLOOKUP(Table1[[#This Row],[Player]]&amp;Table1[[#This Row],[Week]]&amp;Table1[[#This Row],[Role]],'Google Form Transform'!$A:$A,'Google Form Transform'!F:F,"")</f>
        <v/>
      </c>
      <c r="F755" t="str">
        <f>_xlfn.XLOOKUP(Table1[[#This Row],[Player]]&amp;Table1[[#This Row],[Week]]&amp;Table1[[#This Row],[Role]],'Google Form Transform'!$A:$A,'Google Form Transform'!G:G,"")</f>
        <v/>
      </c>
      <c r="G755" s="59">
        <f>SUMIFS(Table2[Stat],Table2[Stat Category],"passing",Table2[Stat Type],"YDS",Table2[Athlete],Table1[[#This Row],[Pick]],Table2[Week],Table1[[#This Row],[Week]])</f>
        <v>0</v>
      </c>
      <c r="H755" s="59">
        <f>SUMIFS(Table2[Stat],Table2[Stat Category],"rushing",Table2[Stat Type],"YDS",Table2[Athlete],Table1[[#This Row],[Pick]],Table2[Week],Table1[[#This Row],[Week]])</f>
        <v>0</v>
      </c>
      <c r="I755" s="59">
        <f>SUMIFS(Table2[Stat],Table2[Stat Category],"receiving",Table2[Stat Type],"YDS",Table2[Athlete],Table1[[#This Row],[Pick]],Table2[Week],Table1[[#This Row],[Week]])</f>
        <v>0</v>
      </c>
      <c r="J755" s="6">
        <f>IF(AND($C755="Rushing", $H755&lt;=0), 0, IF(AND($C755="Passing", $G$3&lt;=0), 0,IF(AND($C755="Receiving",$I755&lt;=0), 0,SUMIFS(Table2[Stat],Table2[Week],Table1[[#This Row],[Week]],Table2[Athlete],Table1[[#This Row],[Pick]],Table2[Stat Category],"passing",Table2[Stat Type],"TD"))))</f>
        <v>0</v>
      </c>
      <c r="K755" s="6">
        <f>IF(AND($C755="Rushing", $H755&lt;=0), 0, IF(AND($C755="Passing", $G$3&lt;=0), 0,IF(AND($C755="Receiving",$I755&lt;=0),0,SUMIFS(Table2[Stat],Table2[Week],Table1[[#This Row],[Week]],Table2[Athlete],Table1[[#This Row],[Pick]],Table2[Stat Category],"rushing",Table2[Stat Type],"TD"))))</f>
        <v>0</v>
      </c>
      <c r="L755" s="6">
        <f>IF(AND($C755="Rushing", $H755&lt;=0), 0, IF(AND($C755="Passing", $G$3&lt;=0), 0,IF(AND($C755="Receiving",$I755&lt;=0),0,SUMIFS(Table2[Stat],Table2[Week],Table1[[#This Row],[Week]],Table2[Athlete],Table1[[#This Row],[Pick]],Table2[Stat Category],"receiving",Table2[Stat Type],"TD"))))</f>
        <v>0</v>
      </c>
      <c r="M7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5" s="61">
        <f>SUMIFS(Data!$J:$J,Data!$A:$A,Info!$B755,Data!$G:$G,Info!$C755,Data!$I:$I,Info!$D755,Data!$H:$H,"TOT")</f>
        <v>0</v>
      </c>
      <c r="O755" s="61">
        <f>IF(C755="Defensive",SUMIFS(Data!$J:$J,Data!$A:$A,Info!$B755,Data!$I:$I,Info!$D755,Data!$H:$H,"INT"),0)</f>
        <v>0</v>
      </c>
      <c r="P755" s="61">
        <f>IF(Table1[[#This Row],[Role]]="Defensive",SUMIFS(Data!$J:$J,Data!$A:$A,Info!$B755,Data!$I:$I,Info!$D755,Data!$H:$H,$P$1),0)</f>
        <v>0</v>
      </c>
      <c r="Q755" s="65" t="str">
        <f>IF(Table1[[#This Row],[Pick]]="","",IF(S755&gt;1,400,IF(G755="","",IF(C755="Passing",(400-Table1[[#This Row],[Passing Yards]]-(30*Table1[[#This Row],[Passing TDs]])-(50*SUM(Table1[[#This Row],[Rushing TDs]:[Other TD''s]]))),IF(C755="Rushing",2*(200-Table1[[#This Row],[Rushing Yards]]-(30*Table1[[#This Row],[Passing TDs]])-50*(Table1[[#This Row],[Rushing TDs]]+Table1[[#This Row],[Receiving TDs]]+Table1[[#This Row],[Other TD''s]])),IF(C755="Receiving",2*(200-Table1[[#This Row],[Receiving Yards]]-(30*Table1[[#This Row],[Passing TDs]])-50*(Table1[[#This Row],[Rushing TDs]]+Table1[[#This Row],[Receiving TDs]]+Table1[[#This Row],[Other TD''s]])),IF(C755="Defensive",(25*(16-Table1[[#This Row],[Tackles]]-(8*(Table1[[#This Row],[Other TD''s]]+Table1[[#This Row],[Interceptions]]+Table1[[#This Row],[Fumbles Recovered]])))))))))))</f>
        <v/>
      </c>
      <c r="R755" s="3" t="str">
        <f t="shared" si="24"/>
        <v/>
      </c>
      <c r="S755" s="4">
        <f t="shared" si="23"/>
        <v>1048507</v>
      </c>
      <c r="T7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6" spans="1:20" hidden="1" x14ac:dyDescent="0.25">
      <c r="A756" t="s">
        <v>68</v>
      </c>
      <c r="B756" s="28" t="s">
        <v>15</v>
      </c>
      <c r="C756" t="s">
        <v>6</v>
      </c>
      <c r="D756" t="str">
        <f>_xlfn.XLOOKUP(Table1[[#This Row],[Player]]&amp;Table1[[#This Row],[Week]]&amp;Table1[[#This Row],[Role]],'Google Form Transform'!$A:$A,'Google Form Transform'!E:E,"")</f>
        <v/>
      </c>
      <c r="E756" t="str">
        <f>_xlfn.XLOOKUP(Table1[[#This Row],[Player]]&amp;Table1[[#This Row],[Week]]&amp;Table1[[#This Row],[Role]],'Google Form Transform'!$A:$A,'Google Form Transform'!F:F,"")</f>
        <v/>
      </c>
      <c r="F756" t="str">
        <f>_xlfn.XLOOKUP(Table1[[#This Row],[Player]]&amp;Table1[[#This Row],[Week]]&amp;Table1[[#This Row],[Role]],'Google Form Transform'!$A:$A,'Google Form Transform'!G:G,"")</f>
        <v/>
      </c>
      <c r="G756" s="59">
        <f>SUMIFS(Table2[Stat],Table2[Stat Category],"passing",Table2[Stat Type],"YDS",Table2[Athlete],Table1[[#This Row],[Pick]],Table2[Week],Table1[[#This Row],[Week]])</f>
        <v>0</v>
      </c>
      <c r="H756" s="59">
        <f>SUMIFS(Table2[Stat],Table2[Stat Category],"rushing",Table2[Stat Type],"YDS",Table2[Athlete],Table1[[#This Row],[Pick]],Table2[Week],Table1[[#This Row],[Week]])</f>
        <v>0</v>
      </c>
      <c r="I756" s="59">
        <f>SUMIFS(Table2[Stat],Table2[Stat Category],"receiving",Table2[Stat Type],"YDS",Table2[Athlete],Table1[[#This Row],[Pick]],Table2[Week],Table1[[#This Row],[Week]])</f>
        <v>0</v>
      </c>
      <c r="J756" s="6">
        <f>IF(AND($C756="Rushing", $H756&lt;=0), 0, IF(AND($C756="Passing", $G$3&lt;=0), 0,IF(AND($C756="Receiving",$I756&lt;=0), 0,SUMIFS(Table2[Stat],Table2[Week],Table1[[#This Row],[Week]],Table2[Athlete],Table1[[#This Row],[Pick]],Table2[Stat Category],"passing",Table2[Stat Type],"TD"))))</f>
        <v>0</v>
      </c>
      <c r="K756" s="6">
        <f>IF(AND($C756="Rushing", $H756&lt;=0), 0, IF(AND($C756="Passing", $G$3&lt;=0), 0,IF(AND($C756="Receiving",$I756&lt;=0),0,SUMIFS(Table2[Stat],Table2[Week],Table1[[#This Row],[Week]],Table2[Athlete],Table1[[#This Row],[Pick]],Table2[Stat Category],"rushing",Table2[Stat Type],"TD"))))</f>
        <v>0</v>
      </c>
      <c r="L756" s="6">
        <f>IF(AND($C756="Rushing", $H756&lt;=0), 0, IF(AND($C756="Passing", $G$3&lt;=0), 0,IF(AND($C756="Receiving",$I756&lt;=0),0,SUMIFS(Table2[Stat],Table2[Week],Table1[[#This Row],[Week]],Table2[Athlete],Table1[[#This Row],[Pick]],Table2[Stat Category],"receiving",Table2[Stat Type],"TD"))))</f>
        <v>0</v>
      </c>
      <c r="M7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6" s="61">
        <f>SUMIFS(Data!$J:$J,Data!$A:$A,Info!$B756,Data!$G:$G,Info!$C756,Data!$I:$I,Info!$D756,Data!$H:$H,"TOT")</f>
        <v>0</v>
      </c>
      <c r="O756" s="61">
        <f>IF(C756="Defensive",SUMIFS(Data!$J:$J,Data!$A:$A,Info!$B756,Data!$I:$I,Info!$D756,Data!$H:$H,"INT"),0)</f>
        <v>0</v>
      </c>
      <c r="P756" s="61">
        <f>IF(Table1[[#This Row],[Role]]="Defensive",SUMIFS(Data!$J:$J,Data!$A:$A,Info!$B756,Data!$I:$I,Info!$D756,Data!$H:$H,$P$1),0)</f>
        <v>0</v>
      </c>
      <c r="Q756" s="65" t="str">
        <f>IF(Table1[[#This Row],[Pick]]="","",IF(S756&gt;1,400,IF(G756="","",IF(C756="Passing",(400-Table1[[#This Row],[Passing Yards]]-(30*Table1[[#This Row],[Passing TDs]])-(50*SUM(Table1[[#This Row],[Rushing TDs]:[Other TD''s]]))),IF(C756="Rushing",2*(200-Table1[[#This Row],[Rushing Yards]]-(30*Table1[[#This Row],[Passing TDs]])-50*(Table1[[#This Row],[Rushing TDs]]+Table1[[#This Row],[Receiving TDs]]+Table1[[#This Row],[Other TD''s]])),IF(C756="Receiving",2*(200-Table1[[#This Row],[Receiving Yards]]-(30*Table1[[#This Row],[Passing TDs]])-50*(Table1[[#This Row],[Rushing TDs]]+Table1[[#This Row],[Receiving TDs]]+Table1[[#This Row],[Other TD''s]])),IF(C756="Defensive",(25*(16-Table1[[#This Row],[Tackles]]-(8*(Table1[[#This Row],[Other TD''s]]+Table1[[#This Row],[Interceptions]]+Table1[[#This Row],[Fumbles Recovered]])))))))))))</f>
        <v/>
      </c>
      <c r="R756" s="3" t="str">
        <f t="shared" si="24"/>
        <v/>
      </c>
      <c r="S756" s="4">
        <f t="shared" si="23"/>
        <v>1048507</v>
      </c>
      <c r="T7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7" spans="1:20" hidden="1" x14ac:dyDescent="0.25">
      <c r="A757" t="s">
        <v>68</v>
      </c>
      <c r="B757" s="28" t="s">
        <v>15</v>
      </c>
      <c r="C757" t="s">
        <v>17</v>
      </c>
      <c r="D757" t="str">
        <f>_xlfn.XLOOKUP(Table1[[#This Row],[Player]]&amp;Table1[[#This Row],[Week]]&amp;Table1[[#This Row],[Role]],'Google Form Transform'!$A:$A,'Google Form Transform'!E:E,"")</f>
        <v/>
      </c>
      <c r="E757" t="str">
        <f>_xlfn.XLOOKUP(Table1[[#This Row],[Player]]&amp;Table1[[#This Row],[Week]]&amp;Table1[[#This Row],[Role]],'Google Form Transform'!$A:$A,'Google Form Transform'!F:F,"")</f>
        <v/>
      </c>
      <c r="F757" t="str">
        <f>_xlfn.XLOOKUP(Table1[[#This Row],[Player]]&amp;Table1[[#This Row],[Week]]&amp;Table1[[#This Row],[Role]],'Google Form Transform'!$A:$A,'Google Form Transform'!G:G,"")</f>
        <v/>
      </c>
      <c r="G757" s="59">
        <f>SUMIFS(Table2[Stat],Table2[Stat Category],"passing",Table2[Stat Type],"YDS",Table2[Athlete],Table1[[#This Row],[Pick]],Table2[Week],Table1[[#This Row],[Week]])</f>
        <v>0</v>
      </c>
      <c r="H757" s="59">
        <f>SUMIFS(Table2[Stat],Table2[Stat Category],"rushing",Table2[Stat Type],"YDS",Table2[Athlete],Table1[[#This Row],[Pick]],Table2[Week],Table1[[#This Row],[Week]])</f>
        <v>0</v>
      </c>
      <c r="I757" s="59">
        <f>SUMIFS(Table2[Stat],Table2[Stat Category],"receiving",Table2[Stat Type],"YDS",Table2[Athlete],Table1[[#This Row],[Pick]],Table2[Week],Table1[[#This Row],[Week]])</f>
        <v>0</v>
      </c>
      <c r="J757" s="6">
        <f>IF(AND($C757="Rushing", $H757&lt;=0), 0, IF(AND($C757="Passing", $G$3&lt;=0), 0,IF(AND($C757="Receiving",$I757&lt;=0), 0,SUMIFS(Table2[Stat],Table2[Week],Table1[[#This Row],[Week]],Table2[Athlete],Table1[[#This Row],[Pick]],Table2[Stat Category],"passing",Table2[Stat Type],"TD"))))</f>
        <v>0</v>
      </c>
      <c r="K757" s="6">
        <f>IF(AND($C757="Rushing", $H757&lt;=0), 0, IF(AND($C757="Passing", $G$3&lt;=0), 0,IF(AND($C757="Receiving",$I757&lt;=0),0,SUMIFS(Table2[Stat],Table2[Week],Table1[[#This Row],[Week]],Table2[Athlete],Table1[[#This Row],[Pick]],Table2[Stat Category],"rushing",Table2[Stat Type],"TD"))))</f>
        <v>0</v>
      </c>
      <c r="L757" s="6">
        <f>IF(AND($C757="Rushing", $H757&lt;=0), 0, IF(AND($C757="Passing", $G$3&lt;=0), 0,IF(AND($C757="Receiving",$I757&lt;=0),0,SUMIFS(Table2[Stat],Table2[Week],Table1[[#This Row],[Week]],Table2[Athlete],Table1[[#This Row],[Pick]],Table2[Stat Category],"receiving",Table2[Stat Type],"TD"))))</f>
        <v>0</v>
      </c>
      <c r="M7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7" s="61">
        <f>SUMIFS(Data!$J:$J,Data!$A:$A,Info!$B757,Data!$G:$G,Info!$C757,Data!$I:$I,Info!$D757,Data!$H:$H,"TOT")</f>
        <v>0</v>
      </c>
      <c r="O757" s="61">
        <f>IF(C757="Defensive",SUMIFS(Data!$J:$J,Data!$A:$A,Info!$B757,Data!$I:$I,Info!$D757,Data!$H:$H,"INT"),0)</f>
        <v>0</v>
      </c>
      <c r="P757" s="61">
        <f>IF(Table1[[#This Row],[Role]]="Defensive",SUMIFS(Data!$J:$J,Data!$A:$A,Info!$B757,Data!$I:$I,Info!$D757,Data!$H:$H,$P$1),0)</f>
        <v>0</v>
      </c>
      <c r="Q757" s="65" t="str">
        <f>IF(Table1[[#This Row],[Pick]]="","",IF(S757&gt;1,400,IF(G757="","",IF(C757="Passing",(400-Table1[[#This Row],[Passing Yards]]-(30*Table1[[#This Row],[Passing TDs]])-(50*SUM(Table1[[#This Row],[Rushing TDs]:[Other TD''s]]))),IF(C757="Rushing",2*(200-Table1[[#This Row],[Rushing Yards]]-(30*Table1[[#This Row],[Passing TDs]])-50*(Table1[[#This Row],[Rushing TDs]]+Table1[[#This Row],[Receiving TDs]]+Table1[[#This Row],[Other TD''s]])),IF(C757="Receiving",2*(200-Table1[[#This Row],[Receiving Yards]]-(30*Table1[[#This Row],[Passing TDs]])-50*(Table1[[#This Row],[Rushing TDs]]+Table1[[#This Row],[Receiving TDs]]+Table1[[#This Row],[Other TD''s]])),IF(C757="Defensive",(25*(16-Table1[[#This Row],[Tackles]]-(8*(Table1[[#This Row],[Other TD''s]]+Table1[[#This Row],[Interceptions]]+Table1[[#This Row],[Fumbles Recovered]])))))))))))</f>
        <v/>
      </c>
      <c r="R757" s="3" t="str">
        <f t="shared" si="24"/>
        <v/>
      </c>
      <c r="S757" s="4">
        <f t="shared" si="23"/>
        <v>1048507</v>
      </c>
      <c r="T7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8" spans="1:20" hidden="1" x14ac:dyDescent="0.25">
      <c r="A758" t="s">
        <v>68</v>
      </c>
      <c r="B758" s="28" t="s">
        <v>15</v>
      </c>
      <c r="C758" t="s">
        <v>20</v>
      </c>
      <c r="D758" t="str">
        <f>_xlfn.XLOOKUP(Table1[[#This Row],[Player]]&amp;Table1[[#This Row],[Week]]&amp;Table1[[#This Row],[Role]],'Google Form Transform'!$A:$A,'Google Form Transform'!E:E,"")</f>
        <v/>
      </c>
      <c r="E758" t="str">
        <f>_xlfn.XLOOKUP(Table1[[#This Row],[Player]]&amp;Table1[[#This Row],[Week]]&amp;Table1[[#This Row],[Role]],'Google Form Transform'!$A:$A,'Google Form Transform'!F:F,"")</f>
        <v/>
      </c>
      <c r="F758" t="str">
        <f>_xlfn.XLOOKUP(Table1[[#This Row],[Player]]&amp;Table1[[#This Row],[Week]]&amp;Table1[[#This Row],[Role]],'Google Form Transform'!$A:$A,'Google Form Transform'!G:G,"")</f>
        <v/>
      </c>
      <c r="G758" s="59">
        <f>SUMIFS(Table2[Stat],Table2[Stat Category],"passing",Table2[Stat Type],"YDS",Table2[Athlete],Table1[[#This Row],[Pick]],Table2[Week],Table1[[#This Row],[Week]])</f>
        <v>0</v>
      </c>
      <c r="H758" s="59">
        <f>SUMIFS(Table2[Stat],Table2[Stat Category],"rushing",Table2[Stat Type],"YDS",Table2[Athlete],Table1[[#This Row],[Pick]],Table2[Week],Table1[[#This Row],[Week]])</f>
        <v>0</v>
      </c>
      <c r="I758" s="59">
        <f>SUMIFS(Table2[Stat],Table2[Stat Category],"receiving",Table2[Stat Type],"YDS",Table2[Athlete],Table1[[#This Row],[Pick]],Table2[Week],Table1[[#This Row],[Week]])</f>
        <v>0</v>
      </c>
      <c r="J758" s="6">
        <f>IF(AND($C758="Rushing", $H758&lt;=0), 0, IF(AND($C758="Passing", $G$3&lt;=0), 0,IF(AND($C758="Receiving",$I758&lt;=0), 0,SUMIFS(Table2[Stat],Table2[Week],Table1[[#This Row],[Week]],Table2[Athlete],Table1[[#This Row],[Pick]],Table2[Stat Category],"passing",Table2[Stat Type],"TD"))))</f>
        <v>0</v>
      </c>
      <c r="K758" s="6">
        <f>IF(AND($C758="Rushing", $H758&lt;=0), 0, IF(AND($C758="Passing", $G$3&lt;=0), 0,IF(AND($C758="Receiving",$I758&lt;=0),0,SUMIFS(Table2[Stat],Table2[Week],Table1[[#This Row],[Week]],Table2[Athlete],Table1[[#This Row],[Pick]],Table2[Stat Category],"rushing",Table2[Stat Type],"TD"))))</f>
        <v>0</v>
      </c>
      <c r="L758" s="6">
        <f>IF(AND($C758="Rushing", $H758&lt;=0), 0, IF(AND($C758="Passing", $G$3&lt;=0), 0,IF(AND($C758="Receiving",$I758&lt;=0),0,SUMIFS(Table2[Stat],Table2[Week],Table1[[#This Row],[Week]],Table2[Athlete],Table1[[#This Row],[Pick]],Table2[Stat Category],"receiving",Table2[Stat Type],"TD"))))</f>
        <v>0</v>
      </c>
      <c r="M7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8" s="61">
        <f>SUMIFS(Data!$J:$J,Data!$A:$A,Info!$B758,Data!$G:$G,Info!$C758,Data!$I:$I,Info!$D758,Data!$H:$H,"TOT")</f>
        <v>0</v>
      </c>
      <c r="O758" s="61">
        <f>IF(C758="Defensive",SUMIFS(Data!$J:$J,Data!$A:$A,Info!$B758,Data!$I:$I,Info!$D758,Data!$H:$H,"INT"),0)</f>
        <v>0</v>
      </c>
      <c r="P758" s="61">
        <f>IF(Table1[[#This Row],[Role]]="Defensive",SUMIFS(Data!$J:$J,Data!$A:$A,Info!$B758,Data!$I:$I,Info!$D758,Data!$H:$H,$P$1),0)</f>
        <v>0</v>
      </c>
      <c r="Q758" s="65" t="str">
        <f>IF(Table1[[#This Row],[Pick]]="","",IF(S758&gt;1,400,IF(G758="","",IF(C758="Passing",(400-Table1[[#This Row],[Passing Yards]]-(30*Table1[[#This Row],[Passing TDs]])-(50*SUM(Table1[[#This Row],[Rushing TDs]:[Other TD''s]]))),IF(C758="Rushing",2*(200-Table1[[#This Row],[Rushing Yards]]-(30*Table1[[#This Row],[Passing TDs]])-50*(Table1[[#This Row],[Rushing TDs]]+Table1[[#This Row],[Receiving TDs]]+Table1[[#This Row],[Other TD''s]])),IF(C758="Receiving",2*(200-Table1[[#This Row],[Receiving Yards]]-(30*Table1[[#This Row],[Passing TDs]])-50*(Table1[[#This Row],[Rushing TDs]]+Table1[[#This Row],[Receiving TDs]]+Table1[[#This Row],[Other TD''s]])),IF(C758="Defensive",(25*(16-Table1[[#This Row],[Tackles]]-(8*(Table1[[#This Row],[Other TD''s]]+Table1[[#This Row],[Interceptions]]+Table1[[#This Row],[Fumbles Recovered]])))))))))))</f>
        <v/>
      </c>
      <c r="R758" s="3" t="str">
        <f t="shared" si="24"/>
        <v/>
      </c>
      <c r="S758" s="4">
        <f t="shared" si="23"/>
        <v>1048507</v>
      </c>
      <c r="T7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9" spans="1:20" hidden="1" x14ac:dyDescent="0.25">
      <c r="A759" t="s">
        <v>5</v>
      </c>
      <c r="B759" s="28" t="s">
        <v>15</v>
      </c>
      <c r="C759" t="s">
        <v>16</v>
      </c>
      <c r="D759" t="str">
        <f>_xlfn.XLOOKUP(Table1[[#This Row],[Player]]&amp;Table1[[#This Row],[Week]]&amp;Table1[[#This Row],[Role]],'Google Form Transform'!$A:$A,'Google Form Transform'!E:E,"")</f>
        <v/>
      </c>
      <c r="E759" t="str">
        <f>_xlfn.XLOOKUP(Table1[[#This Row],[Player]]&amp;Table1[[#This Row],[Week]]&amp;Table1[[#This Row],[Role]],'Google Form Transform'!$A:$A,'Google Form Transform'!F:F,"")</f>
        <v/>
      </c>
      <c r="F759" t="str">
        <f>_xlfn.XLOOKUP(Table1[[#This Row],[Player]]&amp;Table1[[#This Row],[Week]]&amp;Table1[[#This Row],[Role]],'Google Form Transform'!$A:$A,'Google Form Transform'!G:G,"")</f>
        <v/>
      </c>
      <c r="G759" s="59">
        <f>SUMIFS(Table2[Stat],Table2[Stat Category],"passing",Table2[Stat Type],"YDS",Table2[Athlete],Table1[[#This Row],[Pick]],Table2[Week],Table1[[#This Row],[Week]])</f>
        <v>0</v>
      </c>
      <c r="H759" s="59">
        <f>SUMIFS(Table2[Stat],Table2[Stat Category],"rushing",Table2[Stat Type],"YDS",Table2[Athlete],Table1[[#This Row],[Pick]],Table2[Week],Table1[[#This Row],[Week]])</f>
        <v>0</v>
      </c>
      <c r="I759" s="59">
        <f>SUMIFS(Table2[Stat],Table2[Stat Category],"receiving",Table2[Stat Type],"YDS",Table2[Athlete],Table1[[#This Row],[Pick]],Table2[Week],Table1[[#This Row],[Week]])</f>
        <v>0</v>
      </c>
      <c r="J759" s="6">
        <f>IF(AND($C759="Rushing", $H759&lt;=0), 0, IF(AND($C759="Passing", $G$3&lt;=0), 0,IF(AND($C759="Receiving",$I759&lt;=0), 0,SUMIFS(Table2[Stat],Table2[Week],Table1[[#This Row],[Week]],Table2[Athlete],Table1[[#This Row],[Pick]],Table2[Stat Category],"passing",Table2[Stat Type],"TD"))))</f>
        <v>0</v>
      </c>
      <c r="K759" s="6">
        <f>IF(AND($C759="Rushing", $H759&lt;=0), 0, IF(AND($C759="Passing", $G$3&lt;=0), 0,IF(AND($C759="Receiving",$I759&lt;=0),0,SUMIFS(Table2[Stat],Table2[Week],Table1[[#This Row],[Week]],Table2[Athlete],Table1[[#This Row],[Pick]],Table2[Stat Category],"rushing",Table2[Stat Type],"TD"))))</f>
        <v>0</v>
      </c>
      <c r="L759" s="6">
        <f>IF(AND($C759="Rushing", $H759&lt;=0), 0, IF(AND($C759="Passing", $G$3&lt;=0), 0,IF(AND($C759="Receiving",$I759&lt;=0),0,SUMIFS(Table2[Stat],Table2[Week],Table1[[#This Row],[Week]],Table2[Athlete],Table1[[#This Row],[Pick]],Table2[Stat Category],"receiving",Table2[Stat Type],"TD"))))</f>
        <v>0</v>
      </c>
      <c r="M7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9" s="61">
        <f>SUMIFS(Data!$J:$J,Data!$A:$A,Info!$B759,Data!$G:$G,Info!$C759,Data!$I:$I,Info!$D759,Data!$H:$H,"TOT")</f>
        <v>0</v>
      </c>
      <c r="O759" s="61">
        <f>IF(C759="Defensive",SUMIFS(Data!$J:$J,Data!$A:$A,Info!$B759,Data!$I:$I,Info!$D759,Data!$H:$H,"INT"),0)</f>
        <v>0</v>
      </c>
      <c r="P759" s="61">
        <f>IF(Table1[[#This Row],[Role]]="Defensive",SUMIFS(Data!$J:$J,Data!$A:$A,Info!$B759,Data!$I:$I,Info!$D759,Data!$H:$H,$P$1),0)</f>
        <v>0</v>
      </c>
      <c r="Q759" s="65" t="str">
        <f>IF(Table1[[#This Row],[Pick]]="","",IF(S759&gt;1,400,IF(G759="","",IF(C759="Passing",(400-Table1[[#This Row],[Passing Yards]]-(30*Table1[[#This Row],[Passing TDs]])-(50*SUM(Table1[[#This Row],[Rushing TDs]:[Other TD''s]]))),IF(C759="Rushing",2*(200-Table1[[#This Row],[Rushing Yards]]-(30*Table1[[#This Row],[Passing TDs]])-50*(Table1[[#This Row],[Rushing TDs]]+Table1[[#This Row],[Receiving TDs]]+Table1[[#This Row],[Other TD''s]])),IF(C759="Receiving",2*(200-Table1[[#This Row],[Receiving Yards]]-(30*Table1[[#This Row],[Passing TDs]])-50*(Table1[[#This Row],[Rushing TDs]]+Table1[[#This Row],[Receiving TDs]]+Table1[[#This Row],[Other TD''s]])),IF(C759="Defensive",(25*(16-Table1[[#This Row],[Tackles]]-(8*(Table1[[#This Row],[Other TD''s]]+Table1[[#This Row],[Interceptions]]+Table1[[#This Row],[Fumbles Recovered]])))))))))))</f>
        <v/>
      </c>
      <c r="R759" s="3" t="str">
        <f t="shared" si="24"/>
        <v/>
      </c>
      <c r="S759" s="4">
        <f t="shared" si="23"/>
        <v>1048507</v>
      </c>
      <c r="T7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0" spans="1:20" hidden="1" x14ac:dyDescent="0.25">
      <c r="A760" t="s">
        <v>5</v>
      </c>
      <c r="B760" s="28" t="s">
        <v>15</v>
      </c>
      <c r="C760" t="s">
        <v>6</v>
      </c>
      <c r="D760" t="str">
        <f>_xlfn.XLOOKUP(Table1[[#This Row],[Player]]&amp;Table1[[#This Row],[Week]]&amp;Table1[[#This Row],[Role]],'Google Form Transform'!$A:$A,'Google Form Transform'!E:E,"")</f>
        <v/>
      </c>
      <c r="E760" t="str">
        <f>_xlfn.XLOOKUP(Table1[[#This Row],[Player]]&amp;Table1[[#This Row],[Week]]&amp;Table1[[#This Row],[Role]],'Google Form Transform'!$A:$A,'Google Form Transform'!F:F,"")</f>
        <v/>
      </c>
      <c r="F760" t="str">
        <f>_xlfn.XLOOKUP(Table1[[#This Row],[Player]]&amp;Table1[[#This Row],[Week]]&amp;Table1[[#This Row],[Role]],'Google Form Transform'!$A:$A,'Google Form Transform'!G:G,"")</f>
        <v/>
      </c>
      <c r="G760" s="59">
        <f>SUMIFS(Table2[Stat],Table2[Stat Category],"passing",Table2[Stat Type],"YDS",Table2[Athlete],Table1[[#This Row],[Pick]],Table2[Week],Table1[[#This Row],[Week]])</f>
        <v>0</v>
      </c>
      <c r="H760" s="59">
        <f>SUMIFS(Table2[Stat],Table2[Stat Category],"rushing",Table2[Stat Type],"YDS",Table2[Athlete],Table1[[#This Row],[Pick]],Table2[Week],Table1[[#This Row],[Week]])</f>
        <v>0</v>
      </c>
      <c r="I760" s="59">
        <f>SUMIFS(Table2[Stat],Table2[Stat Category],"receiving",Table2[Stat Type],"YDS",Table2[Athlete],Table1[[#This Row],[Pick]],Table2[Week],Table1[[#This Row],[Week]])</f>
        <v>0</v>
      </c>
      <c r="J760" s="6">
        <f>IF(AND($C760="Rushing", $H760&lt;=0), 0, IF(AND($C760="Passing", $G$3&lt;=0), 0,IF(AND($C760="Receiving",$I760&lt;=0), 0,SUMIFS(Table2[Stat],Table2[Week],Table1[[#This Row],[Week]],Table2[Athlete],Table1[[#This Row],[Pick]],Table2[Stat Category],"passing",Table2[Stat Type],"TD"))))</f>
        <v>0</v>
      </c>
      <c r="K760" s="6">
        <f>IF(AND($C760="Rushing", $H760&lt;=0), 0, IF(AND($C760="Passing", $G$3&lt;=0), 0,IF(AND($C760="Receiving",$I760&lt;=0),0,SUMIFS(Table2[Stat],Table2[Week],Table1[[#This Row],[Week]],Table2[Athlete],Table1[[#This Row],[Pick]],Table2[Stat Category],"rushing",Table2[Stat Type],"TD"))))</f>
        <v>0</v>
      </c>
      <c r="L760" s="6">
        <f>IF(AND($C760="Rushing", $H760&lt;=0), 0, IF(AND($C760="Passing", $G$3&lt;=0), 0,IF(AND($C760="Receiving",$I760&lt;=0),0,SUMIFS(Table2[Stat],Table2[Week],Table1[[#This Row],[Week]],Table2[Athlete],Table1[[#This Row],[Pick]],Table2[Stat Category],"receiving",Table2[Stat Type],"TD"))))</f>
        <v>0</v>
      </c>
      <c r="M7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0" s="61">
        <f>SUMIFS(Data!$J:$J,Data!$A:$A,Info!$B760,Data!$G:$G,Info!$C760,Data!$I:$I,Info!$D760,Data!$H:$H,"TOT")</f>
        <v>0</v>
      </c>
      <c r="O760" s="61">
        <f>IF(C760="Defensive",SUMIFS(Data!$J:$J,Data!$A:$A,Info!$B760,Data!$I:$I,Info!$D760,Data!$H:$H,"INT"),0)</f>
        <v>0</v>
      </c>
      <c r="P760" s="61">
        <f>IF(Table1[[#This Row],[Role]]="Defensive",SUMIFS(Data!$J:$J,Data!$A:$A,Info!$B760,Data!$I:$I,Info!$D760,Data!$H:$H,$P$1),0)</f>
        <v>0</v>
      </c>
      <c r="Q760" s="65" t="str">
        <f>IF(Table1[[#This Row],[Pick]]="","",IF(S760&gt;1,400,IF(G760="","",IF(C760="Passing",(400-Table1[[#This Row],[Passing Yards]]-(30*Table1[[#This Row],[Passing TDs]])-(50*SUM(Table1[[#This Row],[Rushing TDs]:[Other TD''s]]))),IF(C760="Rushing",2*(200-Table1[[#This Row],[Rushing Yards]]-(30*Table1[[#This Row],[Passing TDs]])-50*(Table1[[#This Row],[Rushing TDs]]+Table1[[#This Row],[Receiving TDs]]+Table1[[#This Row],[Other TD''s]])),IF(C760="Receiving",2*(200-Table1[[#This Row],[Receiving Yards]]-(30*Table1[[#This Row],[Passing TDs]])-50*(Table1[[#This Row],[Rushing TDs]]+Table1[[#This Row],[Receiving TDs]]+Table1[[#This Row],[Other TD''s]])),IF(C760="Defensive",(25*(16-Table1[[#This Row],[Tackles]]-(8*(Table1[[#This Row],[Other TD''s]]+Table1[[#This Row],[Interceptions]]+Table1[[#This Row],[Fumbles Recovered]])))))))))))</f>
        <v/>
      </c>
      <c r="R760" s="3" t="str">
        <f t="shared" si="24"/>
        <v/>
      </c>
      <c r="S760" s="4">
        <f t="shared" si="23"/>
        <v>1048507</v>
      </c>
      <c r="T7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1" spans="1:20" hidden="1" x14ac:dyDescent="0.25">
      <c r="A761" t="s">
        <v>5</v>
      </c>
      <c r="B761" s="28" t="s">
        <v>15</v>
      </c>
      <c r="C761" t="s">
        <v>17</v>
      </c>
      <c r="D761" t="str">
        <f>_xlfn.XLOOKUP(Table1[[#This Row],[Player]]&amp;Table1[[#This Row],[Week]]&amp;Table1[[#This Row],[Role]],'Google Form Transform'!$A:$A,'Google Form Transform'!E:E,"")</f>
        <v/>
      </c>
      <c r="E761" t="str">
        <f>_xlfn.XLOOKUP(Table1[[#This Row],[Player]]&amp;Table1[[#This Row],[Week]]&amp;Table1[[#This Row],[Role]],'Google Form Transform'!$A:$A,'Google Form Transform'!F:F,"")</f>
        <v/>
      </c>
      <c r="F761" t="str">
        <f>_xlfn.XLOOKUP(Table1[[#This Row],[Player]]&amp;Table1[[#This Row],[Week]]&amp;Table1[[#This Row],[Role]],'Google Form Transform'!$A:$A,'Google Form Transform'!G:G,"")</f>
        <v/>
      </c>
      <c r="G761" s="59">
        <f>SUMIFS(Table2[Stat],Table2[Stat Category],"passing",Table2[Stat Type],"YDS",Table2[Athlete],Table1[[#This Row],[Pick]],Table2[Week],Table1[[#This Row],[Week]])</f>
        <v>0</v>
      </c>
      <c r="H761" s="59">
        <f>SUMIFS(Table2[Stat],Table2[Stat Category],"rushing",Table2[Stat Type],"YDS",Table2[Athlete],Table1[[#This Row],[Pick]],Table2[Week],Table1[[#This Row],[Week]])</f>
        <v>0</v>
      </c>
      <c r="I761" s="59">
        <f>SUMIFS(Table2[Stat],Table2[Stat Category],"receiving",Table2[Stat Type],"YDS",Table2[Athlete],Table1[[#This Row],[Pick]],Table2[Week],Table1[[#This Row],[Week]])</f>
        <v>0</v>
      </c>
      <c r="J761" s="6">
        <f>IF(AND($C761="Rushing", $H761&lt;=0), 0, IF(AND($C761="Passing", $G$3&lt;=0), 0,IF(AND($C761="Receiving",$I761&lt;=0), 0,SUMIFS(Table2[Stat],Table2[Week],Table1[[#This Row],[Week]],Table2[Athlete],Table1[[#This Row],[Pick]],Table2[Stat Category],"passing",Table2[Stat Type],"TD"))))</f>
        <v>0</v>
      </c>
      <c r="K761" s="6">
        <f>IF(AND($C761="Rushing", $H761&lt;=0), 0, IF(AND($C761="Passing", $G$3&lt;=0), 0,IF(AND($C761="Receiving",$I761&lt;=0),0,SUMIFS(Table2[Stat],Table2[Week],Table1[[#This Row],[Week]],Table2[Athlete],Table1[[#This Row],[Pick]],Table2[Stat Category],"rushing",Table2[Stat Type],"TD"))))</f>
        <v>0</v>
      </c>
      <c r="L761" s="6">
        <f>IF(AND($C761="Rushing", $H761&lt;=0), 0, IF(AND($C761="Passing", $G$3&lt;=0), 0,IF(AND($C761="Receiving",$I761&lt;=0),0,SUMIFS(Table2[Stat],Table2[Week],Table1[[#This Row],[Week]],Table2[Athlete],Table1[[#This Row],[Pick]],Table2[Stat Category],"receiving",Table2[Stat Type],"TD"))))</f>
        <v>0</v>
      </c>
      <c r="M7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1" s="61">
        <f>SUMIFS(Data!$J:$J,Data!$A:$A,Info!$B761,Data!$G:$G,Info!$C761,Data!$I:$I,Info!$D761,Data!$H:$H,"TOT")</f>
        <v>0</v>
      </c>
      <c r="O761" s="61">
        <f>IF(C761="Defensive",SUMIFS(Data!$J:$J,Data!$A:$A,Info!$B761,Data!$I:$I,Info!$D761,Data!$H:$H,"INT"),0)</f>
        <v>0</v>
      </c>
      <c r="P761" s="61">
        <f>IF(Table1[[#This Row],[Role]]="Defensive",SUMIFS(Data!$J:$J,Data!$A:$A,Info!$B761,Data!$I:$I,Info!$D761,Data!$H:$H,$P$1),0)</f>
        <v>0</v>
      </c>
      <c r="Q761" s="65" t="str">
        <f>IF(Table1[[#This Row],[Pick]]="","",IF(S761&gt;1,400,IF(G761="","",IF(C761="Passing",(400-Table1[[#This Row],[Passing Yards]]-(30*Table1[[#This Row],[Passing TDs]])-(50*SUM(Table1[[#This Row],[Rushing TDs]:[Other TD''s]]))),IF(C761="Rushing",2*(200-Table1[[#This Row],[Rushing Yards]]-(30*Table1[[#This Row],[Passing TDs]])-50*(Table1[[#This Row],[Rushing TDs]]+Table1[[#This Row],[Receiving TDs]]+Table1[[#This Row],[Other TD''s]])),IF(C761="Receiving",2*(200-Table1[[#This Row],[Receiving Yards]]-(30*Table1[[#This Row],[Passing TDs]])-50*(Table1[[#This Row],[Rushing TDs]]+Table1[[#This Row],[Receiving TDs]]+Table1[[#This Row],[Other TD''s]])),IF(C761="Defensive",(25*(16-Table1[[#This Row],[Tackles]]-(8*(Table1[[#This Row],[Other TD''s]]+Table1[[#This Row],[Interceptions]]+Table1[[#This Row],[Fumbles Recovered]])))))))))))</f>
        <v/>
      </c>
      <c r="R761" s="3" t="str">
        <f t="shared" si="24"/>
        <v/>
      </c>
      <c r="S761" s="4">
        <f t="shared" si="23"/>
        <v>1048507</v>
      </c>
      <c r="T7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2" spans="1:20" hidden="1" x14ac:dyDescent="0.25">
      <c r="A762" t="s">
        <v>5</v>
      </c>
      <c r="B762" s="28" t="s">
        <v>15</v>
      </c>
      <c r="C762" t="s">
        <v>20</v>
      </c>
      <c r="D762" t="str">
        <f>_xlfn.XLOOKUP(Table1[[#This Row],[Player]]&amp;Table1[[#This Row],[Week]]&amp;Table1[[#This Row],[Role]],'Google Form Transform'!$A:$A,'Google Form Transform'!E:E,"")</f>
        <v/>
      </c>
      <c r="E762" t="str">
        <f>_xlfn.XLOOKUP(Table1[[#This Row],[Player]]&amp;Table1[[#This Row],[Week]]&amp;Table1[[#This Row],[Role]],'Google Form Transform'!$A:$A,'Google Form Transform'!F:F,"")</f>
        <v/>
      </c>
      <c r="F762" t="str">
        <f>_xlfn.XLOOKUP(Table1[[#This Row],[Player]]&amp;Table1[[#This Row],[Week]]&amp;Table1[[#This Row],[Role]],'Google Form Transform'!$A:$A,'Google Form Transform'!G:G,"")</f>
        <v/>
      </c>
      <c r="G762" s="59">
        <f>SUMIFS(Table2[Stat],Table2[Stat Category],"passing",Table2[Stat Type],"YDS",Table2[Athlete],Table1[[#This Row],[Pick]],Table2[Week],Table1[[#This Row],[Week]])</f>
        <v>0</v>
      </c>
      <c r="H762" s="59">
        <f>SUMIFS(Table2[Stat],Table2[Stat Category],"rushing",Table2[Stat Type],"YDS",Table2[Athlete],Table1[[#This Row],[Pick]],Table2[Week],Table1[[#This Row],[Week]])</f>
        <v>0</v>
      </c>
      <c r="I762" s="59">
        <f>SUMIFS(Table2[Stat],Table2[Stat Category],"receiving",Table2[Stat Type],"YDS",Table2[Athlete],Table1[[#This Row],[Pick]],Table2[Week],Table1[[#This Row],[Week]])</f>
        <v>0</v>
      </c>
      <c r="J762" s="6">
        <f>IF(AND($C762="Rushing", $H762&lt;=0), 0, IF(AND($C762="Passing", $G$3&lt;=0), 0,IF(AND($C762="Receiving",$I762&lt;=0), 0,SUMIFS(Table2[Stat],Table2[Week],Table1[[#This Row],[Week]],Table2[Athlete],Table1[[#This Row],[Pick]],Table2[Stat Category],"passing",Table2[Stat Type],"TD"))))</f>
        <v>0</v>
      </c>
      <c r="K762" s="6">
        <f>IF(AND($C762="Rushing", $H762&lt;=0), 0, IF(AND($C762="Passing", $G$3&lt;=0), 0,IF(AND($C762="Receiving",$I762&lt;=0),0,SUMIFS(Table2[Stat],Table2[Week],Table1[[#This Row],[Week]],Table2[Athlete],Table1[[#This Row],[Pick]],Table2[Stat Category],"rushing",Table2[Stat Type],"TD"))))</f>
        <v>0</v>
      </c>
      <c r="L762" s="6">
        <f>IF(AND($C762="Rushing", $H762&lt;=0), 0, IF(AND($C762="Passing", $G$3&lt;=0), 0,IF(AND($C762="Receiving",$I762&lt;=0),0,SUMIFS(Table2[Stat],Table2[Week],Table1[[#This Row],[Week]],Table2[Athlete],Table1[[#This Row],[Pick]],Table2[Stat Category],"receiving",Table2[Stat Type],"TD"))))</f>
        <v>0</v>
      </c>
      <c r="M7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2" s="61">
        <f>SUMIFS(Data!$J:$J,Data!$A:$A,Info!$B762,Data!$G:$G,Info!$C762,Data!$I:$I,Info!$D762,Data!$H:$H,"TOT")</f>
        <v>0</v>
      </c>
      <c r="O762" s="61">
        <f>IF(C762="Defensive",SUMIFS(Data!$J:$J,Data!$A:$A,Info!$B762,Data!$I:$I,Info!$D762,Data!$H:$H,"INT"),0)</f>
        <v>0</v>
      </c>
      <c r="P762" s="61">
        <f>IF(Table1[[#This Row],[Role]]="Defensive",SUMIFS(Data!$J:$J,Data!$A:$A,Info!$B762,Data!$I:$I,Info!$D762,Data!$H:$H,$P$1),0)</f>
        <v>0</v>
      </c>
      <c r="Q762" s="65" t="str">
        <f>IF(Table1[[#This Row],[Pick]]="","",IF(S762&gt;1,400,IF(G762="","",IF(C762="Passing",(400-Table1[[#This Row],[Passing Yards]]-(30*Table1[[#This Row],[Passing TDs]])-(50*SUM(Table1[[#This Row],[Rushing TDs]:[Other TD''s]]))),IF(C762="Rushing",2*(200-Table1[[#This Row],[Rushing Yards]]-(30*Table1[[#This Row],[Passing TDs]])-50*(Table1[[#This Row],[Rushing TDs]]+Table1[[#This Row],[Receiving TDs]]+Table1[[#This Row],[Other TD''s]])),IF(C762="Receiving",2*(200-Table1[[#This Row],[Receiving Yards]]-(30*Table1[[#This Row],[Passing TDs]])-50*(Table1[[#This Row],[Rushing TDs]]+Table1[[#This Row],[Receiving TDs]]+Table1[[#This Row],[Other TD''s]])),IF(C762="Defensive",(25*(16-Table1[[#This Row],[Tackles]]-(8*(Table1[[#This Row],[Other TD''s]]+Table1[[#This Row],[Interceptions]]+Table1[[#This Row],[Fumbles Recovered]])))))))))))</f>
        <v/>
      </c>
      <c r="R762" s="3" t="str">
        <f t="shared" si="24"/>
        <v/>
      </c>
      <c r="S762" s="4">
        <f t="shared" si="23"/>
        <v>1048507</v>
      </c>
      <c r="T7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3" spans="1:20" hidden="1" x14ac:dyDescent="0.25">
      <c r="A763" t="s">
        <v>18</v>
      </c>
      <c r="B763" s="28" t="s">
        <v>15</v>
      </c>
      <c r="C763" t="s">
        <v>16</v>
      </c>
      <c r="D763" t="str">
        <f>_xlfn.XLOOKUP(Table1[[#This Row],[Player]]&amp;Table1[[#This Row],[Week]]&amp;Table1[[#This Row],[Role]],'Google Form Transform'!$A:$A,'Google Form Transform'!E:E,"")</f>
        <v/>
      </c>
      <c r="E763" t="str">
        <f>_xlfn.XLOOKUP(Table1[[#This Row],[Player]]&amp;Table1[[#This Row],[Week]]&amp;Table1[[#This Row],[Role]],'Google Form Transform'!$A:$A,'Google Form Transform'!F:F,"")</f>
        <v/>
      </c>
      <c r="F763" t="str">
        <f>_xlfn.XLOOKUP(Table1[[#This Row],[Player]]&amp;Table1[[#This Row],[Week]]&amp;Table1[[#This Row],[Role]],'Google Form Transform'!$A:$A,'Google Form Transform'!G:G,"")</f>
        <v/>
      </c>
      <c r="G763" s="59">
        <f>SUMIFS(Table2[Stat],Table2[Stat Category],"passing",Table2[Stat Type],"YDS",Table2[Athlete],Table1[[#This Row],[Pick]],Table2[Week],Table1[[#This Row],[Week]])</f>
        <v>0</v>
      </c>
      <c r="H763" s="59">
        <f>SUMIFS(Table2[Stat],Table2[Stat Category],"rushing",Table2[Stat Type],"YDS",Table2[Athlete],Table1[[#This Row],[Pick]],Table2[Week],Table1[[#This Row],[Week]])</f>
        <v>0</v>
      </c>
      <c r="I763" s="59">
        <f>SUMIFS(Table2[Stat],Table2[Stat Category],"receiving",Table2[Stat Type],"YDS",Table2[Athlete],Table1[[#This Row],[Pick]],Table2[Week],Table1[[#This Row],[Week]])</f>
        <v>0</v>
      </c>
      <c r="J763" s="6">
        <f>IF(AND($C763="Rushing", $H763&lt;=0), 0, IF(AND($C763="Passing", $G$3&lt;=0), 0,IF(AND($C763="Receiving",$I763&lt;=0), 0,SUMIFS(Table2[Stat],Table2[Week],Table1[[#This Row],[Week]],Table2[Athlete],Table1[[#This Row],[Pick]],Table2[Stat Category],"passing",Table2[Stat Type],"TD"))))</f>
        <v>0</v>
      </c>
      <c r="K763" s="6">
        <f>IF(AND($C763="Rushing", $H763&lt;=0), 0, IF(AND($C763="Passing", $G$3&lt;=0), 0,IF(AND($C763="Receiving",$I763&lt;=0),0,SUMIFS(Table2[Stat],Table2[Week],Table1[[#This Row],[Week]],Table2[Athlete],Table1[[#This Row],[Pick]],Table2[Stat Category],"rushing",Table2[Stat Type],"TD"))))</f>
        <v>0</v>
      </c>
      <c r="L763" s="6">
        <f>IF(AND($C763="Rushing", $H763&lt;=0), 0, IF(AND($C763="Passing", $G$3&lt;=0), 0,IF(AND($C763="Receiving",$I763&lt;=0),0,SUMIFS(Table2[Stat],Table2[Week],Table1[[#This Row],[Week]],Table2[Athlete],Table1[[#This Row],[Pick]],Table2[Stat Category],"receiving",Table2[Stat Type],"TD"))))</f>
        <v>0</v>
      </c>
      <c r="M7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3" s="61">
        <f>SUMIFS(Data!$J:$J,Data!$A:$A,Info!$B763,Data!$G:$G,Info!$C763,Data!$I:$I,Info!$D763,Data!$H:$H,"TOT")</f>
        <v>0</v>
      </c>
      <c r="O763" s="61">
        <f>IF(C763="Defensive",SUMIFS(Data!$J:$J,Data!$A:$A,Info!$B763,Data!$I:$I,Info!$D763,Data!$H:$H,"INT"),0)</f>
        <v>0</v>
      </c>
      <c r="P763" s="61">
        <f>IF(Table1[[#This Row],[Role]]="Defensive",SUMIFS(Data!$J:$J,Data!$A:$A,Info!$B763,Data!$I:$I,Info!$D763,Data!$H:$H,$P$1),0)</f>
        <v>0</v>
      </c>
      <c r="Q763" s="65" t="str">
        <f>IF(Table1[[#This Row],[Pick]]="","",IF(S763&gt;1,400,IF(G763="","",IF(C763="Passing",(400-Table1[[#This Row],[Passing Yards]]-(30*Table1[[#This Row],[Passing TDs]])-(50*SUM(Table1[[#This Row],[Rushing TDs]:[Other TD''s]]))),IF(C763="Rushing",2*(200-Table1[[#This Row],[Rushing Yards]]-(30*Table1[[#This Row],[Passing TDs]])-50*(Table1[[#This Row],[Rushing TDs]]+Table1[[#This Row],[Receiving TDs]]+Table1[[#This Row],[Other TD''s]])),IF(C763="Receiving",2*(200-Table1[[#This Row],[Receiving Yards]]-(30*Table1[[#This Row],[Passing TDs]])-50*(Table1[[#This Row],[Rushing TDs]]+Table1[[#This Row],[Receiving TDs]]+Table1[[#This Row],[Other TD''s]])),IF(C763="Defensive",(25*(16-Table1[[#This Row],[Tackles]]-(8*(Table1[[#This Row],[Other TD''s]]+Table1[[#This Row],[Interceptions]]+Table1[[#This Row],[Fumbles Recovered]])))))))))))</f>
        <v/>
      </c>
      <c r="R763" s="3" t="str">
        <f t="shared" si="24"/>
        <v/>
      </c>
      <c r="S763" s="4">
        <f t="shared" si="23"/>
        <v>1048507</v>
      </c>
      <c r="T7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4" spans="1:20" hidden="1" x14ac:dyDescent="0.25">
      <c r="A764" t="s">
        <v>18</v>
      </c>
      <c r="B764" s="28" t="s">
        <v>15</v>
      </c>
      <c r="C764" t="s">
        <v>6</v>
      </c>
      <c r="D764" t="str">
        <f>_xlfn.XLOOKUP(Table1[[#This Row],[Player]]&amp;Table1[[#This Row],[Week]]&amp;Table1[[#This Row],[Role]],'Google Form Transform'!$A:$A,'Google Form Transform'!E:E,"")</f>
        <v/>
      </c>
      <c r="E764" t="str">
        <f>_xlfn.XLOOKUP(Table1[[#This Row],[Player]]&amp;Table1[[#This Row],[Week]]&amp;Table1[[#This Row],[Role]],'Google Form Transform'!$A:$A,'Google Form Transform'!F:F,"")</f>
        <v/>
      </c>
      <c r="F764" t="str">
        <f>_xlfn.XLOOKUP(Table1[[#This Row],[Player]]&amp;Table1[[#This Row],[Week]]&amp;Table1[[#This Row],[Role]],'Google Form Transform'!$A:$A,'Google Form Transform'!G:G,"")</f>
        <v/>
      </c>
      <c r="G764" s="59">
        <f>SUMIFS(Table2[Stat],Table2[Stat Category],"passing",Table2[Stat Type],"YDS",Table2[Athlete],Table1[[#This Row],[Pick]],Table2[Week],Table1[[#This Row],[Week]])</f>
        <v>0</v>
      </c>
      <c r="H764" s="59">
        <f>SUMIFS(Table2[Stat],Table2[Stat Category],"rushing",Table2[Stat Type],"YDS",Table2[Athlete],Table1[[#This Row],[Pick]],Table2[Week],Table1[[#This Row],[Week]])</f>
        <v>0</v>
      </c>
      <c r="I764" s="59">
        <f>SUMIFS(Table2[Stat],Table2[Stat Category],"receiving",Table2[Stat Type],"YDS",Table2[Athlete],Table1[[#This Row],[Pick]],Table2[Week],Table1[[#This Row],[Week]])</f>
        <v>0</v>
      </c>
      <c r="J764" s="6">
        <f>IF(AND($C764="Rushing", $H764&lt;=0), 0, IF(AND($C764="Passing", $G$3&lt;=0), 0,IF(AND($C764="Receiving",$I764&lt;=0), 0,SUMIFS(Table2[Stat],Table2[Week],Table1[[#This Row],[Week]],Table2[Athlete],Table1[[#This Row],[Pick]],Table2[Stat Category],"passing",Table2[Stat Type],"TD"))))</f>
        <v>0</v>
      </c>
      <c r="K764" s="6">
        <f>IF(AND($C764="Rushing", $H764&lt;=0), 0, IF(AND($C764="Passing", $G$3&lt;=0), 0,IF(AND($C764="Receiving",$I764&lt;=0),0,SUMIFS(Table2[Stat],Table2[Week],Table1[[#This Row],[Week]],Table2[Athlete],Table1[[#This Row],[Pick]],Table2[Stat Category],"rushing",Table2[Stat Type],"TD"))))</f>
        <v>0</v>
      </c>
      <c r="L764" s="6">
        <f>IF(AND($C764="Rushing", $H764&lt;=0), 0, IF(AND($C764="Passing", $G$3&lt;=0), 0,IF(AND($C764="Receiving",$I764&lt;=0),0,SUMIFS(Table2[Stat],Table2[Week],Table1[[#This Row],[Week]],Table2[Athlete],Table1[[#This Row],[Pick]],Table2[Stat Category],"receiving",Table2[Stat Type],"TD"))))</f>
        <v>0</v>
      </c>
      <c r="M7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4" s="61">
        <f>SUMIFS(Data!$J:$J,Data!$A:$A,Info!$B764,Data!$G:$G,Info!$C764,Data!$I:$I,Info!$D764,Data!$H:$H,"TOT")</f>
        <v>0</v>
      </c>
      <c r="O764" s="61">
        <f>IF(C764="Defensive",SUMIFS(Data!$J:$J,Data!$A:$A,Info!$B764,Data!$I:$I,Info!$D764,Data!$H:$H,"INT"),0)</f>
        <v>0</v>
      </c>
      <c r="P764" s="61">
        <f>IF(Table1[[#This Row],[Role]]="Defensive",SUMIFS(Data!$J:$J,Data!$A:$A,Info!$B764,Data!$I:$I,Info!$D764,Data!$H:$H,$P$1),0)</f>
        <v>0</v>
      </c>
      <c r="Q764" s="65" t="str">
        <f>IF(Table1[[#This Row],[Pick]]="","",IF(S764&gt;1,400,IF(G764="","",IF(C764="Passing",(400-Table1[[#This Row],[Passing Yards]]-(30*Table1[[#This Row],[Passing TDs]])-(50*SUM(Table1[[#This Row],[Rushing TDs]:[Other TD''s]]))),IF(C764="Rushing",2*(200-Table1[[#This Row],[Rushing Yards]]-(30*Table1[[#This Row],[Passing TDs]])-50*(Table1[[#This Row],[Rushing TDs]]+Table1[[#This Row],[Receiving TDs]]+Table1[[#This Row],[Other TD''s]])),IF(C764="Receiving",2*(200-Table1[[#This Row],[Receiving Yards]]-(30*Table1[[#This Row],[Passing TDs]])-50*(Table1[[#This Row],[Rushing TDs]]+Table1[[#This Row],[Receiving TDs]]+Table1[[#This Row],[Other TD''s]])),IF(C764="Defensive",(25*(16-Table1[[#This Row],[Tackles]]-(8*(Table1[[#This Row],[Other TD''s]]+Table1[[#This Row],[Interceptions]]+Table1[[#This Row],[Fumbles Recovered]])))))))))))</f>
        <v/>
      </c>
      <c r="R764" s="3" t="str">
        <f t="shared" si="24"/>
        <v/>
      </c>
      <c r="S764" s="4">
        <f t="shared" si="23"/>
        <v>1048507</v>
      </c>
      <c r="T7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5" spans="1:20" hidden="1" x14ac:dyDescent="0.25">
      <c r="A765" t="s">
        <v>18</v>
      </c>
      <c r="B765" s="28" t="s">
        <v>15</v>
      </c>
      <c r="C765" t="s">
        <v>17</v>
      </c>
      <c r="D765" t="str">
        <f>_xlfn.XLOOKUP(Table1[[#This Row],[Player]]&amp;Table1[[#This Row],[Week]]&amp;Table1[[#This Row],[Role]],'Google Form Transform'!$A:$A,'Google Form Transform'!E:E,"")</f>
        <v/>
      </c>
      <c r="E765" t="str">
        <f>_xlfn.XLOOKUP(Table1[[#This Row],[Player]]&amp;Table1[[#This Row],[Week]]&amp;Table1[[#This Row],[Role]],'Google Form Transform'!$A:$A,'Google Form Transform'!F:F,"")</f>
        <v/>
      </c>
      <c r="F765" t="str">
        <f>_xlfn.XLOOKUP(Table1[[#This Row],[Player]]&amp;Table1[[#This Row],[Week]]&amp;Table1[[#This Row],[Role]],'Google Form Transform'!$A:$A,'Google Form Transform'!G:G,"")</f>
        <v/>
      </c>
      <c r="G765" s="59">
        <f>SUMIFS(Table2[Stat],Table2[Stat Category],"passing",Table2[Stat Type],"YDS",Table2[Athlete],Table1[[#This Row],[Pick]],Table2[Week],Table1[[#This Row],[Week]])</f>
        <v>0</v>
      </c>
      <c r="H765" s="59">
        <f>SUMIFS(Table2[Stat],Table2[Stat Category],"rushing",Table2[Stat Type],"YDS",Table2[Athlete],Table1[[#This Row],[Pick]],Table2[Week],Table1[[#This Row],[Week]])</f>
        <v>0</v>
      </c>
      <c r="I765" s="59">
        <f>SUMIFS(Table2[Stat],Table2[Stat Category],"receiving",Table2[Stat Type],"YDS",Table2[Athlete],Table1[[#This Row],[Pick]],Table2[Week],Table1[[#This Row],[Week]])</f>
        <v>0</v>
      </c>
      <c r="J765" s="6">
        <f>IF(AND($C765="Rushing", $H765&lt;=0), 0, IF(AND($C765="Passing", $G$3&lt;=0), 0,IF(AND($C765="Receiving",$I765&lt;=0), 0,SUMIFS(Table2[Stat],Table2[Week],Table1[[#This Row],[Week]],Table2[Athlete],Table1[[#This Row],[Pick]],Table2[Stat Category],"passing",Table2[Stat Type],"TD"))))</f>
        <v>0</v>
      </c>
      <c r="K765" s="6">
        <f>IF(AND($C765="Rushing", $H765&lt;=0), 0, IF(AND($C765="Passing", $G$3&lt;=0), 0,IF(AND($C765="Receiving",$I765&lt;=0),0,SUMIFS(Table2[Stat],Table2[Week],Table1[[#This Row],[Week]],Table2[Athlete],Table1[[#This Row],[Pick]],Table2[Stat Category],"rushing",Table2[Stat Type],"TD"))))</f>
        <v>0</v>
      </c>
      <c r="L765" s="6">
        <f>IF(AND($C765="Rushing", $H765&lt;=0), 0, IF(AND($C765="Passing", $G$3&lt;=0), 0,IF(AND($C765="Receiving",$I765&lt;=0),0,SUMIFS(Table2[Stat],Table2[Week],Table1[[#This Row],[Week]],Table2[Athlete],Table1[[#This Row],[Pick]],Table2[Stat Category],"receiving",Table2[Stat Type],"TD"))))</f>
        <v>0</v>
      </c>
      <c r="M7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5" s="61">
        <f>SUMIFS(Data!$J:$J,Data!$A:$A,Info!$B765,Data!$G:$G,Info!$C765,Data!$I:$I,Info!$D765,Data!$H:$H,"TOT")</f>
        <v>0</v>
      </c>
      <c r="O765" s="61">
        <f>IF(C765="Defensive",SUMIFS(Data!$J:$J,Data!$A:$A,Info!$B765,Data!$I:$I,Info!$D765,Data!$H:$H,"INT"),0)</f>
        <v>0</v>
      </c>
      <c r="P765" s="61">
        <f>IF(Table1[[#This Row],[Role]]="Defensive",SUMIFS(Data!$J:$J,Data!$A:$A,Info!$B765,Data!$I:$I,Info!$D765,Data!$H:$H,$P$1),0)</f>
        <v>0</v>
      </c>
      <c r="Q765" s="65" t="str">
        <f>IF(Table1[[#This Row],[Pick]]="","",IF(S765&gt;1,400,IF(G765="","",IF(C765="Passing",(400-Table1[[#This Row],[Passing Yards]]-(30*Table1[[#This Row],[Passing TDs]])-(50*SUM(Table1[[#This Row],[Rushing TDs]:[Other TD''s]]))),IF(C765="Rushing",2*(200-Table1[[#This Row],[Rushing Yards]]-(30*Table1[[#This Row],[Passing TDs]])-50*(Table1[[#This Row],[Rushing TDs]]+Table1[[#This Row],[Receiving TDs]]+Table1[[#This Row],[Other TD''s]])),IF(C765="Receiving",2*(200-Table1[[#This Row],[Receiving Yards]]-(30*Table1[[#This Row],[Passing TDs]])-50*(Table1[[#This Row],[Rushing TDs]]+Table1[[#This Row],[Receiving TDs]]+Table1[[#This Row],[Other TD''s]])),IF(C765="Defensive",(25*(16-Table1[[#This Row],[Tackles]]-(8*(Table1[[#This Row],[Other TD''s]]+Table1[[#This Row],[Interceptions]]+Table1[[#This Row],[Fumbles Recovered]])))))))))))</f>
        <v/>
      </c>
      <c r="R765" s="3" t="str">
        <f t="shared" si="24"/>
        <v/>
      </c>
      <c r="S765" s="4">
        <f t="shared" si="23"/>
        <v>1048507</v>
      </c>
      <c r="T7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6" spans="1:20" hidden="1" x14ac:dyDescent="0.25">
      <c r="A766" t="s">
        <v>18</v>
      </c>
      <c r="B766" s="28" t="s">
        <v>15</v>
      </c>
      <c r="C766" t="s">
        <v>20</v>
      </c>
      <c r="D766" t="str">
        <f>_xlfn.XLOOKUP(Table1[[#This Row],[Player]]&amp;Table1[[#This Row],[Week]]&amp;Table1[[#This Row],[Role]],'Google Form Transform'!$A:$A,'Google Form Transform'!E:E,"")</f>
        <v/>
      </c>
      <c r="E766" t="str">
        <f>_xlfn.XLOOKUP(Table1[[#This Row],[Player]]&amp;Table1[[#This Row],[Week]]&amp;Table1[[#This Row],[Role]],'Google Form Transform'!$A:$A,'Google Form Transform'!F:F,"")</f>
        <v/>
      </c>
      <c r="F766" t="str">
        <f>_xlfn.XLOOKUP(Table1[[#This Row],[Player]]&amp;Table1[[#This Row],[Week]]&amp;Table1[[#This Row],[Role]],'Google Form Transform'!$A:$A,'Google Form Transform'!G:G,"")</f>
        <v/>
      </c>
      <c r="G766" s="59">
        <f>SUMIFS(Table2[Stat],Table2[Stat Category],"passing",Table2[Stat Type],"YDS",Table2[Athlete],Table1[[#This Row],[Pick]],Table2[Week],Table1[[#This Row],[Week]])</f>
        <v>0</v>
      </c>
      <c r="H766" s="59">
        <f>SUMIFS(Table2[Stat],Table2[Stat Category],"rushing",Table2[Stat Type],"YDS",Table2[Athlete],Table1[[#This Row],[Pick]],Table2[Week],Table1[[#This Row],[Week]])</f>
        <v>0</v>
      </c>
      <c r="I766" s="59">
        <f>SUMIFS(Table2[Stat],Table2[Stat Category],"receiving",Table2[Stat Type],"YDS",Table2[Athlete],Table1[[#This Row],[Pick]],Table2[Week],Table1[[#This Row],[Week]])</f>
        <v>0</v>
      </c>
      <c r="J766" s="6">
        <f>IF(AND($C766="Rushing", $H766&lt;=0), 0, IF(AND($C766="Passing", $G$3&lt;=0), 0,IF(AND($C766="Receiving",$I766&lt;=0), 0,SUMIFS(Table2[Stat],Table2[Week],Table1[[#This Row],[Week]],Table2[Athlete],Table1[[#This Row],[Pick]],Table2[Stat Category],"passing",Table2[Stat Type],"TD"))))</f>
        <v>0</v>
      </c>
      <c r="K766" s="6">
        <f>IF(AND($C766="Rushing", $H766&lt;=0), 0, IF(AND($C766="Passing", $G$3&lt;=0), 0,IF(AND($C766="Receiving",$I766&lt;=0),0,SUMIFS(Table2[Stat],Table2[Week],Table1[[#This Row],[Week]],Table2[Athlete],Table1[[#This Row],[Pick]],Table2[Stat Category],"rushing",Table2[Stat Type],"TD"))))</f>
        <v>0</v>
      </c>
      <c r="L766" s="6">
        <f>IF(AND($C766="Rushing", $H766&lt;=0), 0, IF(AND($C766="Passing", $G$3&lt;=0), 0,IF(AND($C766="Receiving",$I766&lt;=0),0,SUMIFS(Table2[Stat],Table2[Week],Table1[[#This Row],[Week]],Table2[Athlete],Table1[[#This Row],[Pick]],Table2[Stat Category],"receiving",Table2[Stat Type],"TD"))))</f>
        <v>0</v>
      </c>
      <c r="M7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6" s="61">
        <f>SUMIFS(Data!$J:$J,Data!$A:$A,Info!$B766,Data!$G:$G,Info!$C766,Data!$I:$I,Info!$D766,Data!$H:$H,"TOT")</f>
        <v>0</v>
      </c>
      <c r="O766" s="61">
        <f>IF(C766="Defensive",SUMIFS(Data!$J:$J,Data!$A:$A,Info!$B766,Data!$I:$I,Info!$D766,Data!$H:$H,"INT"),0)</f>
        <v>0</v>
      </c>
      <c r="P766" s="61">
        <f>IF(Table1[[#This Row],[Role]]="Defensive",SUMIFS(Data!$J:$J,Data!$A:$A,Info!$B766,Data!$I:$I,Info!$D766,Data!$H:$H,$P$1),0)</f>
        <v>0</v>
      </c>
      <c r="Q766" s="65" t="str">
        <f>IF(Table1[[#This Row],[Pick]]="","",IF(S766&gt;1,400,IF(G766="","",IF(C766="Passing",(400-Table1[[#This Row],[Passing Yards]]-(30*Table1[[#This Row],[Passing TDs]])-(50*SUM(Table1[[#This Row],[Rushing TDs]:[Other TD''s]]))),IF(C766="Rushing",2*(200-Table1[[#This Row],[Rushing Yards]]-(30*Table1[[#This Row],[Passing TDs]])-50*(Table1[[#This Row],[Rushing TDs]]+Table1[[#This Row],[Receiving TDs]]+Table1[[#This Row],[Other TD''s]])),IF(C766="Receiving",2*(200-Table1[[#This Row],[Receiving Yards]]-(30*Table1[[#This Row],[Passing TDs]])-50*(Table1[[#This Row],[Rushing TDs]]+Table1[[#This Row],[Receiving TDs]]+Table1[[#This Row],[Other TD''s]])),IF(C766="Defensive",(25*(16-Table1[[#This Row],[Tackles]]-(8*(Table1[[#This Row],[Other TD''s]]+Table1[[#This Row],[Interceptions]]+Table1[[#This Row],[Fumbles Recovered]])))))))))))</f>
        <v/>
      </c>
      <c r="R766" s="3" t="str">
        <f t="shared" si="24"/>
        <v/>
      </c>
      <c r="S766" s="4">
        <f t="shared" si="23"/>
        <v>1048507</v>
      </c>
      <c r="T7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7" spans="1:20" hidden="1" x14ac:dyDescent="0.25">
      <c r="A767" t="s">
        <v>19</v>
      </c>
      <c r="B767" s="28" t="s">
        <v>15</v>
      </c>
      <c r="C767" t="s">
        <v>16</v>
      </c>
      <c r="D767" t="str">
        <f>_xlfn.XLOOKUP(Table1[[#This Row],[Player]]&amp;Table1[[#This Row],[Week]]&amp;Table1[[#This Row],[Role]],'Google Form Transform'!$A:$A,'Google Form Transform'!E:E,"")</f>
        <v/>
      </c>
      <c r="E767" t="str">
        <f>_xlfn.XLOOKUP(Table1[[#This Row],[Player]]&amp;Table1[[#This Row],[Week]]&amp;Table1[[#This Row],[Role]],'Google Form Transform'!$A:$A,'Google Form Transform'!F:F,"")</f>
        <v/>
      </c>
      <c r="F767" t="str">
        <f>_xlfn.XLOOKUP(Table1[[#This Row],[Player]]&amp;Table1[[#This Row],[Week]]&amp;Table1[[#This Row],[Role]],'Google Form Transform'!$A:$A,'Google Form Transform'!G:G,"")</f>
        <v/>
      </c>
      <c r="G767" s="59">
        <f>SUMIFS(Table2[Stat],Table2[Stat Category],"passing",Table2[Stat Type],"YDS",Table2[Athlete],Table1[[#This Row],[Pick]],Table2[Week],Table1[[#This Row],[Week]])</f>
        <v>0</v>
      </c>
      <c r="H767" s="59">
        <f>SUMIFS(Table2[Stat],Table2[Stat Category],"rushing",Table2[Stat Type],"YDS",Table2[Athlete],Table1[[#This Row],[Pick]],Table2[Week],Table1[[#This Row],[Week]])</f>
        <v>0</v>
      </c>
      <c r="I767" s="59">
        <f>SUMIFS(Table2[Stat],Table2[Stat Category],"receiving",Table2[Stat Type],"YDS",Table2[Athlete],Table1[[#This Row],[Pick]],Table2[Week],Table1[[#This Row],[Week]])</f>
        <v>0</v>
      </c>
      <c r="J767" s="6">
        <f>IF(AND($C767="Rushing", $H767&lt;=0), 0, IF(AND($C767="Passing", $G$3&lt;=0), 0,IF(AND($C767="Receiving",$I767&lt;=0), 0,SUMIFS(Table2[Stat],Table2[Week],Table1[[#This Row],[Week]],Table2[Athlete],Table1[[#This Row],[Pick]],Table2[Stat Category],"passing",Table2[Stat Type],"TD"))))</f>
        <v>0</v>
      </c>
      <c r="K767" s="6">
        <f>IF(AND($C767="Rushing", $H767&lt;=0), 0, IF(AND($C767="Passing", $G$3&lt;=0), 0,IF(AND($C767="Receiving",$I767&lt;=0),0,SUMIFS(Table2[Stat],Table2[Week],Table1[[#This Row],[Week]],Table2[Athlete],Table1[[#This Row],[Pick]],Table2[Stat Category],"rushing",Table2[Stat Type],"TD"))))</f>
        <v>0</v>
      </c>
      <c r="L767" s="6">
        <f>IF(AND($C767="Rushing", $H767&lt;=0), 0, IF(AND($C767="Passing", $G$3&lt;=0), 0,IF(AND($C767="Receiving",$I767&lt;=0),0,SUMIFS(Table2[Stat],Table2[Week],Table1[[#This Row],[Week]],Table2[Athlete],Table1[[#This Row],[Pick]],Table2[Stat Category],"receiving",Table2[Stat Type],"TD"))))</f>
        <v>0</v>
      </c>
      <c r="M7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7" s="61">
        <f>SUMIFS(Data!$J:$J,Data!$A:$A,Info!$B767,Data!$G:$G,Info!$C767,Data!$I:$I,Info!$D767,Data!$H:$H,"TOT")</f>
        <v>0</v>
      </c>
      <c r="O767" s="61">
        <f>IF(C767="Defensive",SUMIFS(Data!$J:$J,Data!$A:$A,Info!$B767,Data!$I:$I,Info!$D767,Data!$H:$H,"INT"),0)</f>
        <v>0</v>
      </c>
      <c r="P767" s="61">
        <f>IF(Table1[[#This Row],[Role]]="Defensive",SUMIFS(Data!$J:$J,Data!$A:$A,Info!$B767,Data!$I:$I,Info!$D767,Data!$H:$H,$P$1),0)</f>
        <v>0</v>
      </c>
      <c r="Q767" s="65" t="str">
        <f>IF(Table1[[#This Row],[Pick]]="","",IF(S767&gt;1,400,IF(G767="","",IF(C767="Passing",(400-Table1[[#This Row],[Passing Yards]]-(30*Table1[[#This Row],[Passing TDs]])-(50*SUM(Table1[[#This Row],[Rushing TDs]:[Other TD''s]]))),IF(C767="Rushing",2*(200-Table1[[#This Row],[Rushing Yards]]-(30*Table1[[#This Row],[Passing TDs]])-50*(Table1[[#This Row],[Rushing TDs]]+Table1[[#This Row],[Receiving TDs]]+Table1[[#This Row],[Other TD''s]])),IF(C767="Receiving",2*(200-Table1[[#This Row],[Receiving Yards]]-(30*Table1[[#This Row],[Passing TDs]])-50*(Table1[[#This Row],[Rushing TDs]]+Table1[[#This Row],[Receiving TDs]]+Table1[[#This Row],[Other TD''s]])),IF(C767="Defensive",(25*(16-Table1[[#This Row],[Tackles]]-(8*(Table1[[#This Row],[Other TD''s]]+Table1[[#This Row],[Interceptions]]+Table1[[#This Row],[Fumbles Recovered]])))))))))))</f>
        <v/>
      </c>
      <c r="R767" s="3" t="str">
        <f t="shared" si="24"/>
        <v/>
      </c>
      <c r="S767" s="4">
        <f t="shared" si="23"/>
        <v>1048507</v>
      </c>
      <c r="T7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8" spans="1:20" hidden="1" x14ac:dyDescent="0.25">
      <c r="A768" t="s">
        <v>19</v>
      </c>
      <c r="B768" s="28" t="s">
        <v>15</v>
      </c>
      <c r="C768" t="s">
        <v>6</v>
      </c>
      <c r="D768" t="str">
        <f>_xlfn.XLOOKUP(Table1[[#This Row],[Player]]&amp;Table1[[#This Row],[Week]]&amp;Table1[[#This Row],[Role]],'Google Form Transform'!$A:$A,'Google Form Transform'!E:E,"")</f>
        <v/>
      </c>
      <c r="E768" t="str">
        <f>_xlfn.XLOOKUP(Table1[[#This Row],[Player]]&amp;Table1[[#This Row],[Week]]&amp;Table1[[#This Row],[Role]],'Google Form Transform'!$A:$A,'Google Form Transform'!F:F,"")</f>
        <v/>
      </c>
      <c r="F768" t="str">
        <f>_xlfn.XLOOKUP(Table1[[#This Row],[Player]]&amp;Table1[[#This Row],[Week]]&amp;Table1[[#This Row],[Role]],'Google Form Transform'!$A:$A,'Google Form Transform'!G:G,"")</f>
        <v/>
      </c>
      <c r="G768" s="59">
        <f>SUMIFS(Table2[Stat],Table2[Stat Category],"passing",Table2[Stat Type],"YDS",Table2[Athlete],Table1[[#This Row],[Pick]],Table2[Week],Table1[[#This Row],[Week]])</f>
        <v>0</v>
      </c>
      <c r="H768" s="59">
        <f>SUMIFS(Table2[Stat],Table2[Stat Category],"rushing",Table2[Stat Type],"YDS",Table2[Athlete],Table1[[#This Row],[Pick]],Table2[Week],Table1[[#This Row],[Week]])</f>
        <v>0</v>
      </c>
      <c r="I768" s="59">
        <f>SUMIFS(Table2[Stat],Table2[Stat Category],"receiving",Table2[Stat Type],"YDS",Table2[Athlete],Table1[[#This Row],[Pick]],Table2[Week],Table1[[#This Row],[Week]])</f>
        <v>0</v>
      </c>
      <c r="J768" s="6">
        <f>IF(AND($C768="Rushing", $H768&lt;=0), 0, IF(AND($C768="Passing", $G$3&lt;=0), 0,IF(AND($C768="Receiving",$I768&lt;=0), 0,SUMIFS(Table2[Stat],Table2[Week],Table1[[#This Row],[Week]],Table2[Athlete],Table1[[#This Row],[Pick]],Table2[Stat Category],"passing",Table2[Stat Type],"TD"))))</f>
        <v>0</v>
      </c>
      <c r="K768" s="6">
        <f>IF(AND($C768="Rushing", $H768&lt;=0), 0, IF(AND($C768="Passing", $G$3&lt;=0), 0,IF(AND($C768="Receiving",$I768&lt;=0),0,SUMIFS(Table2[Stat],Table2[Week],Table1[[#This Row],[Week]],Table2[Athlete],Table1[[#This Row],[Pick]],Table2[Stat Category],"rushing",Table2[Stat Type],"TD"))))</f>
        <v>0</v>
      </c>
      <c r="L768" s="6">
        <f>IF(AND($C768="Rushing", $H768&lt;=0), 0, IF(AND($C768="Passing", $G$3&lt;=0), 0,IF(AND($C768="Receiving",$I768&lt;=0),0,SUMIFS(Table2[Stat],Table2[Week],Table1[[#This Row],[Week]],Table2[Athlete],Table1[[#This Row],[Pick]],Table2[Stat Category],"receiving",Table2[Stat Type],"TD"))))</f>
        <v>0</v>
      </c>
      <c r="M7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8" s="61">
        <f>SUMIFS(Data!$J:$J,Data!$A:$A,Info!$B768,Data!$G:$G,Info!$C768,Data!$I:$I,Info!$D768,Data!$H:$H,"TOT")</f>
        <v>0</v>
      </c>
      <c r="O768" s="61">
        <f>IF(C768="Defensive",SUMIFS(Data!$J:$J,Data!$A:$A,Info!$B768,Data!$I:$I,Info!$D768,Data!$H:$H,"INT"),0)</f>
        <v>0</v>
      </c>
      <c r="P768" s="61">
        <f>IF(Table1[[#This Row],[Role]]="Defensive",SUMIFS(Data!$J:$J,Data!$A:$A,Info!$B768,Data!$I:$I,Info!$D768,Data!$H:$H,$P$1),0)</f>
        <v>0</v>
      </c>
      <c r="Q768" s="65" t="str">
        <f>IF(Table1[[#This Row],[Pick]]="","",IF(S768&gt;1,400,IF(G768="","",IF(C768="Passing",(400-Table1[[#This Row],[Passing Yards]]-(30*Table1[[#This Row],[Passing TDs]])-(50*SUM(Table1[[#This Row],[Rushing TDs]:[Other TD''s]]))),IF(C768="Rushing",2*(200-Table1[[#This Row],[Rushing Yards]]-(30*Table1[[#This Row],[Passing TDs]])-50*(Table1[[#This Row],[Rushing TDs]]+Table1[[#This Row],[Receiving TDs]]+Table1[[#This Row],[Other TD''s]])),IF(C768="Receiving",2*(200-Table1[[#This Row],[Receiving Yards]]-(30*Table1[[#This Row],[Passing TDs]])-50*(Table1[[#This Row],[Rushing TDs]]+Table1[[#This Row],[Receiving TDs]]+Table1[[#This Row],[Other TD''s]])),IF(C768="Defensive",(25*(16-Table1[[#This Row],[Tackles]]-(8*(Table1[[#This Row],[Other TD''s]]+Table1[[#This Row],[Interceptions]]+Table1[[#This Row],[Fumbles Recovered]])))))))))))</f>
        <v/>
      </c>
      <c r="R768" s="3" t="str">
        <f t="shared" si="24"/>
        <v/>
      </c>
      <c r="S768" s="4">
        <f t="shared" si="23"/>
        <v>1048507</v>
      </c>
      <c r="T7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9" spans="1:20" hidden="1" x14ac:dyDescent="0.25">
      <c r="A769" t="s">
        <v>19</v>
      </c>
      <c r="B769" s="28" t="s">
        <v>15</v>
      </c>
      <c r="C769" t="s">
        <v>17</v>
      </c>
      <c r="D769" t="str">
        <f>_xlfn.XLOOKUP(Table1[[#This Row],[Player]]&amp;Table1[[#This Row],[Week]]&amp;Table1[[#This Row],[Role]],'Google Form Transform'!$A:$A,'Google Form Transform'!E:E,"")</f>
        <v/>
      </c>
      <c r="E769" t="str">
        <f>_xlfn.XLOOKUP(Table1[[#This Row],[Player]]&amp;Table1[[#This Row],[Week]]&amp;Table1[[#This Row],[Role]],'Google Form Transform'!$A:$A,'Google Form Transform'!F:F,"")</f>
        <v/>
      </c>
      <c r="F769" t="str">
        <f>_xlfn.XLOOKUP(Table1[[#This Row],[Player]]&amp;Table1[[#This Row],[Week]]&amp;Table1[[#This Row],[Role]],'Google Form Transform'!$A:$A,'Google Form Transform'!G:G,"")</f>
        <v/>
      </c>
      <c r="G769" s="59">
        <f>SUMIFS(Table2[Stat],Table2[Stat Category],"passing",Table2[Stat Type],"YDS",Table2[Athlete],Table1[[#This Row],[Pick]],Table2[Week],Table1[[#This Row],[Week]])</f>
        <v>0</v>
      </c>
      <c r="H769" s="59">
        <f>SUMIFS(Table2[Stat],Table2[Stat Category],"rushing",Table2[Stat Type],"YDS",Table2[Athlete],Table1[[#This Row],[Pick]],Table2[Week],Table1[[#This Row],[Week]])</f>
        <v>0</v>
      </c>
      <c r="I769" s="59">
        <f>SUMIFS(Table2[Stat],Table2[Stat Category],"receiving",Table2[Stat Type],"YDS",Table2[Athlete],Table1[[#This Row],[Pick]],Table2[Week],Table1[[#This Row],[Week]])</f>
        <v>0</v>
      </c>
      <c r="J769" s="6">
        <f>IF(AND($C769="Rushing", $H769&lt;=0), 0, IF(AND($C769="Passing", $G$3&lt;=0), 0,IF(AND($C769="Receiving",$I769&lt;=0), 0,SUMIFS(Table2[Stat],Table2[Week],Table1[[#This Row],[Week]],Table2[Athlete],Table1[[#This Row],[Pick]],Table2[Stat Category],"passing",Table2[Stat Type],"TD"))))</f>
        <v>0</v>
      </c>
      <c r="K769" s="6">
        <f>IF(AND($C769="Rushing", $H769&lt;=0), 0, IF(AND($C769="Passing", $G$3&lt;=0), 0,IF(AND($C769="Receiving",$I769&lt;=0),0,SUMIFS(Table2[Stat],Table2[Week],Table1[[#This Row],[Week]],Table2[Athlete],Table1[[#This Row],[Pick]],Table2[Stat Category],"rushing",Table2[Stat Type],"TD"))))</f>
        <v>0</v>
      </c>
      <c r="L769" s="6">
        <f>IF(AND($C769="Rushing", $H769&lt;=0), 0, IF(AND($C769="Passing", $G$3&lt;=0), 0,IF(AND($C769="Receiving",$I769&lt;=0),0,SUMIFS(Table2[Stat],Table2[Week],Table1[[#This Row],[Week]],Table2[Athlete],Table1[[#This Row],[Pick]],Table2[Stat Category],"receiving",Table2[Stat Type],"TD"))))</f>
        <v>0</v>
      </c>
      <c r="M7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9" s="61">
        <f>SUMIFS(Data!$J:$J,Data!$A:$A,Info!$B769,Data!$G:$G,Info!$C769,Data!$I:$I,Info!$D769,Data!$H:$H,"TOT")</f>
        <v>0</v>
      </c>
      <c r="O769" s="61">
        <f>IF(C769="Defensive",SUMIFS(Data!$J:$J,Data!$A:$A,Info!$B769,Data!$I:$I,Info!$D769,Data!$H:$H,"INT"),0)</f>
        <v>0</v>
      </c>
      <c r="P769" s="61">
        <f>IF(Table1[[#This Row],[Role]]="Defensive",SUMIFS(Data!$J:$J,Data!$A:$A,Info!$B769,Data!$I:$I,Info!$D769,Data!$H:$H,$P$1),0)</f>
        <v>0</v>
      </c>
      <c r="Q769" s="65" t="str">
        <f>IF(Table1[[#This Row],[Pick]]="","",IF(S769&gt;1,400,IF(G769="","",IF(C769="Passing",(400-Table1[[#This Row],[Passing Yards]]-(30*Table1[[#This Row],[Passing TDs]])-(50*SUM(Table1[[#This Row],[Rushing TDs]:[Other TD''s]]))),IF(C769="Rushing",2*(200-Table1[[#This Row],[Rushing Yards]]-(30*Table1[[#This Row],[Passing TDs]])-50*(Table1[[#This Row],[Rushing TDs]]+Table1[[#This Row],[Receiving TDs]]+Table1[[#This Row],[Other TD''s]])),IF(C769="Receiving",2*(200-Table1[[#This Row],[Receiving Yards]]-(30*Table1[[#This Row],[Passing TDs]])-50*(Table1[[#This Row],[Rushing TDs]]+Table1[[#This Row],[Receiving TDs]]+Table1[[#This Row],[Other TD''s]])),IF(C769="Defensive",(25*(16-Table1[[#This Row],[Tackles]]-(8*(Table1[[#This Row],[Other TD''s]]+Table1[[#This Row],[Interceptions]]+Table1[[#This Row],[Fumbles Recovered]])))))))))))</f>
        <v/>
      </c>
      <c r="R769" s="3" t="str">
        <f t="shared" si="24"/>
        <v/>
      </c>
      <c r="S769" s="4">
        <f t="shared" si="23"/>
        <v>1048507</v>
      </c>
      <c r="T7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0" spans="1:20" hidden="1" x14ac:dyDescent="0.25">
      <c r="A770" t="s">
        <v>19</v>
      </c>
      <c r="B770" s="28" t="s">
        <v>15</v>
      </c>
      <c r="C770" t="s">
        <v>20</v>
      </c>
      <c r="D770" t="str">
        <f>_xlfn.XLOOKUP(Table1[[#This Row],[Player]]&amp;Table1[[#This Row],[Week]]&amp;Table1[[#This Row],[Role]],'Google Form Transform'!$A:$A,'Google Form Transform'!E:E,"")</f>
        <v/>
      </c>
      <c r="E770" t="str">
        <f>_xlfn.XLOOKUP(Table1[[#This Row],[Player]]&amp;Table1[[#This Row],[Week]]&amp;Table1[[#This Row],[Role]],'Google Form Transform'!$A:$A,'Google Form Transform'!F:F,"")</f>
        <v/>
      </c>
      <c r="F770" t="str">
        <f>_xlfn.XLOOKUP(Table1[[#This Row],[Player]]&amp;Table1[[#This Row],[Week]]&amp;Table1[[#This Row],[Role]],'Google Form Transform'!$A:$A,'Google Form Transform'!G:G,"")</f>
        <v/>
      </c>
      <c r="G770" s="59">
        <f>SUMIFS(Table2[Stat],Table2[Stat Category],"passing",Table2[Stat Type],"YDS",Table2[Athlete],Table1[[#This Row],[Pick]],Table2[Week],Table1[[#This Row],[Week]])</f>
        <v>0</v>
      </c>
      <c r="H770" s="59">
        <f>SUMIFS(Table2[Stat],Table2[Stat Category],"rushing",Table2[Stat Type],"YDS",Table2[Athlete],Table1[[#This Row],[Pick]],Table2[Week],Table1[[#This Row],[Week]])</f>
        <v>0</v>
      </c>
      <c r="I770" s="59">
        <f>SUMIFS(Table2[Stat],Table2[Stat Category],"receiving",Table2[Stat Type],"YDS",Table2[Athlete],Table1[[#This Row],[Pick]],Table2[Week],Table1[[#This Row],[Week]])</f>
        <v>0</v>
      </c>
      <c r="J770" s="6">
        <f>IF(AND($C770="Rushing", $H770&lt;=0), 0, IF(AND($C770="Passing", $G$3&lt;=0), 0,IF(AND($C770="Receiving",$I770&lt;=0), 0,SUMIFS(Table2[Stat],Table2[Week],Table1[[#This Row],[Week]],Table2[Athlete],Table1[[#This Row],[Pick]],Table2[Stat Category],"passing",Table2[Stat Type],"TD"))))</f>
        <v>0</v>
      </c>
      <c r="K770" s="6">
        <f>IF(AND($C770="Rushing", $H770&lt;=0), 0, IF(AND($C770="Passing", $G$3&lt;=0), 0,IF(AND($C770="Receiving",$I770&lt;=0),0,SUMIFS(Table2[Stat],Table2[Week],Table1[[#This Row],[Week]],Table2[Athlete],Table1[[#This Row],[Pick]],Table2[Stat Category],"rushing",Table2[Stat Type],"TD"))))</f>
        <v>0</v>
      </c>
      <c r="L770" s="6">
        <f>IF(AND($C770="Rushing", $H770&lt;=0), 0, IF(AND($C770="Passing", $G$3&lt;=0), 0,IF(AND($C770="Receiving",$I770&lt;=0),0,SUMIFS(Table2[Stat],Table2[Week],Table1[[#This Row],[Week]],Table2[Athlete],Table1[[#This Row],[Pick]],Table2[Stat Category],"receiving",Table2[Stat Type],"TD"))))</f>
        <v>0</v>
      </c>
      <c r="M7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0" s="61">
        <f>SUMIFS(Data!$J:$J,Data!$A:$A,Info!$B770,Data!$G:$G,Info!$C770,Data!$I:$I,Info!$D770,Data!$H:$H,"TOT")</f>
        <v>0</v>
      </c>
      <c r="O770" s="61">
        <f>IF(C770="Defensive",SUMIFS(Data!$J:$J,Data!$A:$A,Info!$B770,Data!$I:$I,Info!$D770,Data!$H:$H,"INT"),0)</f>
        <v>0</v>
      </c>
      <c r="P770" s="61">
        <f>IF(Table1[[#This Row],[Role]]="Defensive",SUMIFS(Data!$J:$J,Data!$A:$A,Info!$B770,Data!$I:$I,Info!$D770,Data!$H:$H,$P$1),0)</f>
        <v>0</v>
      </c>
      <c r="Q770" s="65" t="str">
        <f>IF(Table1[[#This Row],[Pick]]="","",IF(S770&gt;1,400,IF(G770="","",IF(C770="Passing",(400-Table1[[#This Row],[Passing Yards]]-(30*Table1[[#This Row],[Passing TDs]])-(50*SUM(Table1[[#This Row],[Rushing TDs]:[Other TD''s]]))),IF(C770="Rushing",2*(200-Table1[[#This Row],[Rushing Yards]]-(30*Table1[[#This Row],[Passing TDs]])-50*(Table1[[#This Row],[Rushing TDs]]+Table1[[#This Row],[Receiving TDs]]+Table1[[#This Row],[Other TD''s]])),IF(C770="Receiving",2*(200-Table1[[#This Row],[Receiving Yards]]-(30*Table1[[#This Row],[Passing TDs]])-50*(Table1[[#This Row],[Rushing TDs]]+Table1[[#This Row],[Receiving TDs]]+Table1[[#This Row],[Other TD''s]])),IF(C770="Defensive",(25*(16-Table1[[#This Row],[Tackles]]-(8*(Table1[[#This Row],[Other TD''s]]+Table1[[#This Row],[Interceptions]]+Table1[[#This Row],[Fumbles Recovered]])))))))))))</f>
        <v/>
      </c>
      <c r="R770" s="3" t="str">
        <f t="shared" si="24"/>
        <v/>
      </c>
      <c r="S770" s="4">
        <f t="shared" si="23"/>
        <v>1048507</v>
      </c>
      <c r="T7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1" spans="1:20" hidden="1" x14ac:dyDescent="0.25">
      <c r="A771" t="s">
        <v>26</v>
      </c>
      <c r="B771" s="28" t="s">
        <v>15</v>
      </c>
      <c r="C771" t="s">
        <v>16</v>
      </c>
      <c r="D771" t="str">
        <f>_xlfn.XLOOKUP(Table1[[#This Row],[Player]]&amp;Table1[[#This Row],[Week]]&amp;Table1[[#This Row],[Role]],'Google Form Transform'!$A:$A,'Google Form Transform'!E:E,"")</f>
        <v/>
      </c>
      <c r="E771" t="str">
        <f>_xlfn.XLOOKUP(Table1[[#This Row],[Player]]&amp;Table1[[#This Row],[Week]]&amp;Table1[[#This Row],[Role]],'Google Form Transform'!$A:$A,'Google Form Transform'!F:F,"")</f>
        <v/>
      </c>
      <c r="F771" t="str">
        <f>_xlfn.XLOOKUP(Table1[[#This Row],[Player]]&amp;Table1[[#This Row],[Week]]&amp;Table1[[#This Row],[Role]],'Google Form Transform'!$A:$A,'Google Form Transform'!G:G,"")</f>
        <v/>
      </c>
      <c r="G771" s="59">
        <f>SUMIFS(Table2[Stat],Table2[Stat Category],"passing",Table2[Stat Type],"YDS",Table2[Athlete],Table1[[#This Row],[Pick]],Table2[Week],Table1[[#This Row],[Week]])</f>
        <v>0</v>
      </c>
      <c r="H771" s="59">
        <f>SUMIFS(Table2[Stat],Table2[Stat Category],"rushing",Table2[Stat Type],"YDS",Table2[Athlete],Table1[[#This Row],[Pick]],Table2[Week],Table1[[#This Row],[Week]])</f>
        <v>0</v>
      </c>
      <c r="I771" s="59">
        <f>SUMIFS(Table2[Stat],Table2[Stat Category],"receiving",Table2[Stat Type],"YDS",Table2[Athlete],Table1[[#This Row],[Pick]],Table2[Week],Table1[[#This Row],[Week]])</f>
        <v>0</v>
      </c>
      <c r="J771" s="6">
        <f>IF(AND($C771="Rushing", $H771&lt;=0), 0, IF(AND($C771="Passing", $G$3&lt;=0), 0,IF(AND($C771="Receiving",$I771&lt;=0), 0,SUMIFS(Table2[Stat],Table2[Week],Table1[[#This Row],[Week]],Table2[Athlete],Table1[[#This Row],[Pick]],Table2[Stat Category],"passing",Table2[Stat Type],"TD"))))</f>
        <v>0</v>
      </c>
      <c r="K771" s="6">
        <f>IF(AND($C771="Rushing", $H771&lt;=0), 0, IF(AND($C771="Passing", $G$3&lt;=0), 0,IF(AND($C771="Receiving",$I771&lt;=0),0,SUMIFS(Table2[Stat],Table2[Week],Table1[[#This Row],[Week]],Table2[Athlete],Table1[[#This Row],[Pick]],Table2[Stat Category],"rushing",Table2[Stat Type],"TD"))))</f>
        <v>0</v>
      </c>
      <c r="L771" s="6">
        <f>IF(AND($C771="Rushing", $H771&lt;=0), 0, IF(AND($C771="Passing", $G$3&lt;=0), 0,IF(AND($C771="Receiving",$I771&lt;=0),0,SUMIFS(Table2[Stat],Table2[Week],Table1[[#This Row],[Week]],Table2[Athlete],Table1[[#This Row],[Pick]],Table2[Stat Category],"receiving",Table2[Stat Type],"TD"))))</f>
        <v>0</v>
      </c>
      <c r="M7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1" s="61">
        <f>SUMIFS(Data!$J:$J,Data!$A:$A,Info!$B771,Data!$G:$G,Info!$C771,Data!$I:$I,Info!$D771,Data!$H:$H,"TOT")</f>
        <v>0</v>
      </c>
      <c r="O771" s="61">
        <f>IF(C771="Defensive",SUMIFS(Data!$J:$J,Data!$A:$A,Info!$B771,Data!$I:$I,Info!$D771,Data!$H:$H,"INT"),0)</f>
        <v>0</v>
      </c>
      <c r="P771" s="61">
        <f>IF(Table1[[#This Row],[Role]]="Defensive",SUMIFS(Data!$J:$J,Data!$A:$A,Info!$B771,Data!$I:$I,Info!$D771,Data!$H:$H,$P$1),0)</f>
        <v>0</v>
      </c>
      <c r="Q771" s="65" t="str">
        <f>IF(Table1[[#This Row],[Pick]]="","",IF(S771&gt;1,400,IF(G771="","",IF(C771="Passing",(400-Table1[[#This Row],[Passing Yards]]-(30*Table1[[#This Row],[Passing TDs]])-(50*SUM(Table1[[#This Row],[Rushing TDs]:[Other TD''s]]))),IF(C771="Rushing",2*(200-Table1[[#This Row],[Rushing Yards]]-(30*Table1[[#This Row],[Passing TDs]])-50*(Table1[[#This Row],[Rushing TDs]]+Table1[[#This Row],[Receiving TDs]]+Table1[[#This Row],[Other TD''s]])),IF(C771="Receiving",2*(200-Table1[[#This Row],[Receiving Yards]]-(30*Table1[[#This Row],[Passing TDs]])-50*(Table1[[#This Row],[Rushing TDs]]+Table1[[#This Row],[Receiving TDs]]+Table1[[#This Row],[Other TD''s]])),IF(C771="Defensive",(25*(16-Table1[[#This Row],[Tackles]]-(8*(Table1[[#This Row],[Other TD''s]]+Table1[[#This Row],[Interceptions]]+Table1[[#This Row],[Fumbles Recovered]])))))))))))</f>
        <v/>
      </c>
      <c r="R771" s="3" t="str">
        <f t="shared" si="24"/>
        <v/>
      </c>
      <c r="S771" s="4">
        <f t="shared" ref="S771:S834" si="25">COUNTIF(R:R,R771)</f>
        <v>1048507</v>
      </c>
      <c r="T7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2" spans="1:20" hidden="1" x14ac:dyDescent="0.25">
      <c r="A772" t="s">
        <v>26</v>
      </c>
      <c r="B772" s="28" t="s">
        <v>15</v>
      </c>
      <c r="C772" t="s">
        <v>6</v>
      </c>
      <c r="D772" t="str">
        <f>_xlfn.XLOOKUP(Table1[[#This Row],[Player]]&amp;Table1[[#This Row],[Week]]&amp;Table1[[#This Row],[Role]],'Google Form Transform'!$A:$A,'Google Form Transform'!E:E,"")</f>
        <v/>
      </c>
      <c r="E772" t="str">
        <f>_xlfn.XLOOKUP(Table1[[#This Row],[Player]]&amp;Table1[[#This Row],[Week]]&amp;Table1[[#This Row],[Role]],'Google Form Transform'!$A:$A,'Google Form Transform'!F:F,"")</f>
        <v/>
      </c>
      <c r="F772" t="str">
        <f>_xlfn.XLOOKUP(Table1[[#This Row],[Player]]&amp;Table1[[#This Row],[Week]]&amp;Table1[[#This Row],[Role]],'Google Form Transform'!$A:$A,'Google Form Transform'!G:G,"")</f>
        <v/>
      </c>
      <c r="G772" s="59">
        <f>SUMIFS(Table2[Stat],Table2[Stat Category],"passing",Table2[Stat Type],"YDS",Table2[Athlete],Table1[[#This Row],[Pick]],Table2[Week],Table1[[#This Row],[Week]])</f>
        <v>0</v>
      </c>
      <c r="H772" s="59">
        <f>SUMIFS(Table2[Stat],Table2[Stat Category],"rushing",Table2[Stat Type],"YDS",Table2[Athlete],Table1[[#This Row],[Pick]],Table2[Week],Table1[[#This Row],[Week]])</f>
        <v>0</v>
      </c>
      <c r="I772" s="59">
        <f>SUMIFS(Table2[Stat],Table2[Stat Category],"receiving",Table2[Stat Type],"YDS",Table2[Athlete],Table1[[#This Row],[Pick]],Table2[Week],Table1[[#This Row],[Week]])</f>
        <v>0</v>
      </c>
      <c r="J772" s="6">
        <f>IF(AND($C772="Rushing", $H772&lt;=0), 0, IF(AND($C772="Passing", $G$3&lt;=0), 0,IF(AND($C772="Receiving",$I772&lt;=0), 0,SUMIFS(Table2[Stat],Table2[Week],Table1[[#This Row],[Week]],Table2[Athlete],Table1[[#This Row],[Pick]],Table2[Stat Category],"passing",Table2[Stat Type],"TD"))))</f>
        <v>0</v>
      </c>
      <c r="K772" s="6">
        <f>IF(AND($C772="Rushing", $H772&lt;=0), 0, IF(AND($C772="Passing", $G$3&lt;=0), 0,IF(AND($C772="Receiving",$I772&lt;=0),0,SUMIFS(Table2[Stat],Table2[Week],Table1[[#This Row],[Week]],Table2[Athlete],Table1[[#This Row],[Pick]],Table2[Stat Category],"rushing",Table2[Stat Type],"TD"))))</f>
        <v>0</v>
      </c>
      <c r="L772" s="6">
        <f>IF(AND($C772="Rushing", $H772&lt;=0), 0, IF(AND($C772="Passing", $G$3&lt;=0), 0,IF(AND($C772="Receiving",$I772&lt;=0),0,SUMIFS(Table2[Stat],Table2[Week],Table1[[#This Row],[Week]],Table2[Athlete],Table1[[#This Row],[Pick]],Table2[Stat Category],"receiving",Table2[Stat Type],"TD"))))</f>
        <v>0</v>
      </c>
      <c r="M7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2" s="61">
        <f>SUMIFS(Data!$J:$J,Data!$A:$A,Info!$B772,Data!$G:$G,Info!$C772,Data!$I:$I,Info!$D772,Data!$H:$H,"TOT")</f>
        <v>0</v>
      </c>
      <c r="O772" s="61">
        <f>IF(C772="Defensive",SUMIFS(Data!$J:$J,Data!$A:$A,Info!$B772,Data!$I:$I,Info!$D772,Data!$H:$H,"INT"),0)</f>
        <v>0</v>
      </c>
      <c r="P772" s="61">
        <f>IF(Table1[[#This Row],[Role]]="Defensive",SUMIFS(Data!$J:$J,Data!$A:$A,Info!$B772,Data!$I:$I,Info!$D772,Data!$H:$H,$P$1),0)</f>
        <v>0</v>
      </c>
      <c r="Q772" s="65" t="str">
        <f>IF(Table1[[#This Row],[Pick]]="","",IF(S772&gt;1,400,IF(G772="","",IF(C772="Passing",(400-Table1[[#This Row],[Passing Yards]]-(30*Table1[[#This Row],[Passing TDs]])-(50*SUM(Table1[[#This Row],[Rushing TDs]:[Other TD''s]]))),IF(C772="Rushing",2*(200-Table1[[#This Row],[Rushing Yards]]-(30*Table1[[#This Row],[Passing TDs]])-50*(Table1[[#This Row],[Rushing TDs]]+Table1[[#This Row],[Receiving TDs]]+Table1[[#This Row],[Other TD''s]])),IF(C772="Receiving",2*(200-Table1[[#This Row],[Receiving Yards]]-(30*Table1[[#This Row],[Passing TDs]])-50*(Table1[[#This Row],[Rushing TDs]]+Table1[[#This Row],[Receiving TDs]]+Table1[[#This Row],[Other TD''s]])),IF(C772="Defensive",(25*(16-Table1[[#This Row],[Tackles]]-(8*(Table1[[#This Row],[Other TD''s]]+Table1[[#This Row],[Interceptions]]+Table1[[#This Row],[Fumbles Recovered]])))))))))))</f>
        <v/>
      </c>
      <c r="R772" s="3" t="str">
        <f t="shared" ref="R772:R835" si="26">IF(D772="","",A772&amp;C772&amp;D772)</f>
        <v/>
      </c>
      <c r="S772" s="4">
        <f t="shared" si="25"/>
        <v>1048507</v>
      </c>
      <c r="T7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3" spans="1:20" hidden="1" x14ac:dyDescent="0.25">
      <c r="A773" t="s">
        <v>26</v>
      </c>
      <c r="B773" s="28" t="s">
        <v>15</v>
      </c>
      <c r="C773" t="s">
        <v>17</v>
      </c>
      <c r="D773" t="str">
        <f>_xlfn.XLOOKUP(Table1[[#This Row],[Player]]&amp;Table1[[#This Row],[Week]]&amp;Table1[[#This Row],[Role]],'Google Form Transform'!$A:$A,'Google Form Transform'!E:E,"")</f>
        <v/>
      </c>
      <c r="E773" t="str">
        <f>_xlfn.XLOOKUP(Table1[[#This Row],[Player]]&amp;Table1[[#This Row],[Week]]&amp;Table1[[#This Row],[Role]],'Google Form Transform'!$A:$A,'Google Form Transform'!F:F,"")</f>
        <v/>
      </c>
      <c r="F773" t="str">
        <f>_xlfn.XLOOKUP(Table1[[#This Row],[Player]]&amp;Table1[[#This Row],[Week]]&amp;Table1[[#This Row],[Role]],'Google Form Transform'!$A:$A,'Google Form Transform'!G:G,"")</f>
        <v/>
      </c>
      <c r="G773" s="59">
        <f>SUMIFS(Table2[Stat],Table2[Stat Category],"passing",Table2[Stat Type],"YDS",Table2[Athlete],Table1[[#This Row],[Pick]],Table2[Week],Table1[[#This Row],[Week]])</f>
        <v>0</v>
      </c>
      <c r="H773" s="59">
        <f>SUMIFS(Table2[Stat],Table2[Stat Category],"rushing",Table2[Stat Type],"YDS",Table2[Athlete],Table1[[#This Row],[Pick]],Table2[Week],Table1[[#This Row],[Week]])</f>
        <v>0</v>
      </c>
      <c r="I773" s="59">
        <f>SUMIFS(Table2[Stat],Table2[Stat Category],"receiving",Table2[Stat Type],"YDS",Table2[Athlete],Table1[[#This Row],[Pick]],Table2[Week],Table1[[#This Row],[Week]])</f>
        <v>0</v>
      </c>
      <c r="J773" s="6">
        <f>IF(AND($C773="Rushing", $H773&lt;=0), 0, IF(AND($C773="Passing", $G$3&lt;=0), 0,IF(AND($C773="Receiving",$I773&lt;=0), 0,SUMIFS(Table2[Stat],Table2[Week],Table1[[#This Row],[Week]],Table2[Athlete],Table1[[#This Row],[Pick]],Table2[Stat Category],"passing",Table2[Stat Type],"TD"))))</f>
        <v>0</v>
      </c>
      <c r="K773" s="6">
        <f>IF(AND($C773="Rushing", $H773&lt;=0), 0, IF(AND($C773="Passing", $G$3&lt;=0), 0,IF(AND($C773="Receiving",$I773&lt;=0),0,SUMIFS(Table2[Stat],Table2[Week],Table1[[#This Row],[Week]],Table2[Athlete],Table1[[#This Row],[Pick]],Table2[Stat Category],"rushing",Table2[Stat Type],"TD"))))</f>
        <v>0</v>
      </c>
      <c r="L773" s="6">
        <f>IF(AND($C773="Rushing", $H773&lt;=0), 0, IF(AND($C773="Passing", $G$3&lt;=0), 0,IF(AND($C773="Receiving",$I773&lt;=0),0,SUMIFS(Table2[Stat],Table2[Week],Table1[[#This Row],[Week]],Table2[Athlete],Table1[[#This Row],[Pick]],Table2[Stat Category],"receiving",Table2[Stat Type],"TD"))))</f>
        <v>0</v>
      </c>
      <c r="M7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3" s="61">
        <f>SUMIFS(Data!$J:$J,Data!$A:$A,Info!$B773,Data!$G:$G,Info!$C773,Data!$I:$I,Info!$D773,Data!$H:$H,"TOT")</f>
        <v>0</v>
      </c>
      <c r="O773" s="61">
        <f>IF(C773="Defensive",SUMIFS(Data!$J:$J,Data!$A:$A,Info!$B773,Data!$I:$I,Info!$D773,Data!$H:$H,"INT"),0)</f>
        <v>0</v>
      </c>
      <c r="P773" s="61">
        <f>IF(Table1[[#This Row],[Role]]="Defensive",SUMIFS(Data!$J:$J,Data!$A:$A,Info!$B773,Data!$I:$I,Info!$D773,Data!$H:$H,$P$1),0)</f>
        <v>0</v>
      </c>
      <c r="Q773" s="65" t="str">
        <f>IF(Table1[[#This Row],[Pick]]="","",IF(S773&gt;1,400,IF(G773="","",IF(C773="Passing",(400-Table1[[#This Row],[Passing Yards]]-(30*Table1[[#This Row],[Passing TDs]])-(50*SUM(Table1[[#This Row],[Rushing TDs]:[Other TD''s]]))),IF(C773="Rushing",2*(200-Table1[[#This Row],[Rushing Yards]]-(30*Table1[[#This Row],[Passing TDs]])-50*(Table1[[#This Row],[Rushing TDs]]+Table1[[#This Row],[Receiving TDs]]+Table1[[#This Row],[Other TD''s]])),IF(C773="Receiving",2*(200-Table1[[#This Row],[Receiving Yards]]-(30*Table1[[#This Row],[Passing TDs]])-50*(Table1[[#This Row],[Rushing TDs]]+Table1[[#This Row],[Receiving TDs]]+Table1[[#This Row],[Other TD''s]])),IF(C773="Defensive",(25*(16-Table1[[#This Row],[Tackles]]-(8*(Table1[[#This Row],[Other TD''s]]+Table1[[#This Row],[Interceptions]]+Table1[[#This Row],[Fumbles Recovered]])))))))))))</f>
        <v/>
      </c>
      <c r="R773" s="3" t="str">
        <f t="shared" si="26"/>
        <v/>
      </c>
      <c r="S773" s="4">
        <f t="shared" si="25"/>
        <v>1048507</v>
      </c>
      <c r="T7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4" spans="1:20" hidden="1" x14ac:dyDescent="0.25">
      <c r="A774" t="s">
        <v>26</v>
      </c>
      <c r="B774" s="28" t="s">
        <v>15</v>
      </c>
      <c r="C774" t="s">
        <v>20</v>
      </c>
      <c r="D774" t="str">
        <f>_xlfn.XLOOKUP(Table1[[#This Row],[Player]]&amp;Table1[[#This Row],[Week]]&amp;Table1[[#This Row],[Role]],'Google Form Transform'!$A:$A,'Google Form Transform'!E:E,"")</f>
        <v/>
      </c>
      <c r="E774" t="str">
        <f>_xlfn.XLOOKUP(Table1[[#This Row],[Player]]&amp;Table1[[#This Row],[Week]]&amp;Table1[[#This Row],[Role]],'Google Form Transform'!$A:$A,'Google Form Transform'!F:F,"")</f>
        <v/>
      </c>
      <c r="F774" t="str">
        <f>_xlfn.XLOOKUP(Table1[[#This Row],[Player]]&amp;Table1[[#This Row],[Week]]&amp;Table1[[#This Row],[Role]],'Google Form Transform'!$A:$A,'Google Form Transform'!G:G,"")</f>
        <v/>
      </c>
      <c r="G774" s="59">
        <f>SUMIFS(Table2[Stat],Table2[Stat Category],"passing",Table2[Stat Type],"YDS",Table2[Athlete],Table1[[#This Row],[Pick]],Table2[Week],Table1[[#This Row],[Week]])</f>
        <v>0</v>
      </c>
      <c r="H774" s="59">
        <f>SUMIFS(Table2[Stat],Table2[Stat Category],"rushing",Table2[Stat Type],"YDS",Table2[Athlete],Table1[[#This Row],[Pick]],Table2[Week],Table1[[#This Row],[Week]])</f>
        <v>0</v>
      </c>
      <c r="I774" s="59">
        <f>SUMIFS(Table2[Stat],Table2[Stat Category],"receiving",Table2[Stat Type],"YDS",Table2[Athlete],Table1[[#This Row],[Pick]],Table2[Week],Table1[[#This Row],[Week]])</f>
        <v>0</v>
      </c>
      <c r="J774" s="6">
        <f>IF(AND($C774="Rushing", $H774&lt;=0), 0, IF(AND($C774="Passing", $G$3&lt;=0), 0,IF(AND($C774="Receiving",$I774&lt;=0), 0,SUMIFS(Table2[Stat],Table2[Week],Table1[[#This Row],[Week]],Table2[Athlete],Table1[[#This Row],[Pick]],Table2[Stat Category],"passing",Table2[Stat Type],"TD"))))</f>
        <v>0</v>
      </c>
      <c r="K774" s="6">
        <f>IF(AND($C774="Rushing", $H774&lt;=0), 0, IF(AND($C774="Passing", $G$3&lt;=0), 0,IF(AND($C774="Receiving",$I774&lt;=0),0,SUMIFS(Table2[Stat],Table2[Week],Table1[[#This Row],[Week]],Table2[Athlete],Table1[[#This Row],[Pick]],Table2[Stat Category],"rushing",Table2[Stat Type],"TD"))))</f>
        <v>0</v>
      </c>
      <c r="L774" s="6">
        <f>IF(AND($C774="Rushing", $H774&lt;=0), 0, IF(AND($C774="Passing", $G$3&lt;=0), 0,IF(AND($C774="Receiving",$I774&lt;=0),0,SUMIFS(Table2[Stat],Table2[Week],Table1[[#This Row],[Week]],Table2[Athlete],Table1[[#This Row],[Pick]],Table2[Stat Category],"receiving",Table2[Stat Type],"TD"))))</f>
        <v>0</v>
      </c>
      <c r="M7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4" s="61">
        <f>SUMIFS(Data!$J:$J,Data!$A:$A,Info!$B774,Data!$G:$G,Info!$C774,Data!$I:$I,Info!$D774,Data!$H:$H,"TOT")</f>
        <v>0</v>
      </c>
      <c r="O774" s="61">
        <f>IF(C774="Defensive",SUMIFS(Data!$J:$J,Data!$A:$A,Info!$B774,Data!$I:$I,Info!$D774,Data!$H:$H,"INT"),0)</f>
        <v>0</v>
      </c>
      <c r="P774" s="61">
        <f>IF(Table1[[#This Row],[Role]]="Defensive",SUMIFS(Data!$J:$J,Data!$A:$A,Info!$B774,Data!$I:$I,Info!$D774,Data!$H:$H,$P$1),0)</f>
        <v>0</v>
      </c>
      <c r="Q774" s="65" t="str">
        <f>IF(Table1[[#This Row],[Pick]]="","",IF(S774&gt;1,400,IF(G774="","",IF(C774="Passing",(400-Table1[[#This Row],[Passing Yards]]-(30*Table1[[#This Row],[Passing TDs]])-(50*SUM(Table1[[#This Row],[Rushing TDs]:[Other TD''s]]))),IF(C774="Rushing",2*(200-Table1[[#This Row],[Rushing Yards]]-(30*Table1[[#This Row],[Passing TDs]])-50*(Table1[[#This Row],[Rushing TDs]]+Table1[[#This Row],[Receiving TDs]]+Table1[[#This Row],[Other TD''s]])),IF(C774="Receiving",2*(200-Table1[[#This Row],[Receiving Yards]]-(30*Table1[[#This Row],[Passing TDs]])-50*(Table1[[#This Row],[Rushing TDs]]+Table1[[#This Row],[Receiving TDs]]+Table1[[#This Row],[Other TD''s]])),IF(C774="Defensive",(25*(16-Table1[[#This Row],[Tackles]]-(8*(Table1[[#This Row],[Other TD''s]]+Table1[[#This Row],[Interceptions]]+Table1[[#This Row],[Fumbles Recovered]])))))))))))</f>
        <v/>
      </c>
      <c r="R774" s="3" t="str">
        <f t="shared" si="26"/>
        <v/>
      </c>
      <c r="S774" s="4">
        <f t="shared" si="25"/>
        <v>1048507</v>
      </c>
      <c r="T7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5" spans="1:20" hidden="1" x14ac:dyDescent="0.25">
      <c r="A775" t="s">
        <v>43</v>
      </c>
      <c r="B775" s="28" t="s">
        <v>15</v>
      </c>
      <c r="C775" t="s">
        <v>16</v>
      </c>
      <c r="D775" t="str">
        <f>_xlfn.XLOOKUP(Table1[[#This Row],[Player]]&amp;Table1[[#This Row],[Week]]&amp;Table1[[#This Row],[Role]],'Google Form Transform'!$A:$A,'Google Form Transform'!E:E,"")</f>
        <v/>
      </c>
      <c r="E775" t="str">
        <f>_xlfn.XLOOKUP(Table1[[#This Row],[Player]]&amp;Table1[[#This Row],[Week]]&amp;Table1[[#This Row],[Role]],'Google Form Transform'!$A:$A,'Google Form Transform'!F:F,"")</f>
        <v/>
      </c>
      <c r="F775" t="str">
        <f>_xlfn.XLOOKUP(Table1[[#This Row],[Player]]&amp;Table1[[#This Row],[Week]]&amp;Table1[[#This Row],[Role]],'Google Form Transform'!$A:$A,'Google Form Transform'!G:G,"")</f>
        <v/>
      </c>
      <c r="G775" s="59">
        <f>SUMIFS(Table2[Stat],Table2[Stat Category],"passing",Table2[Stat Type],"YDS",Table2[Athlete],Table1[[#This Row],[Pick]],Table2[Week],Table1[[#This Row],[Week]])</f>
        <v>0</v>
      </c>
      <c r="H775" s="59">
        <f>SUMIFS(Table2[Stat],Table2[Stat Category],"rushing",Table2[Stat Type],"YDS",Table2[Athlete],Table1[[#This Row],[Pick]],Table2[Week],Table1[[#This Row],[Week]])</f>
        <v>0</v>
      </c>
      <c r="I775" s="59">
        <f>SUMIFS(Table2[Stat],Table2[Stat Category],"receiving",Table2[Stat Type],"YDS",Table2[Athlete],Table1[[#This Row],[Pick]],Table2[Week],Table1[[#This Row],[Week]])</f>
        <v>0</v>
      </c>
      <c r="J775" s="6">
        <f>IF(AND($C775="Rushing", $H775&lt;=0), 0, IF(AND($C775="Passing", $G$3&lt;=0), 0,IF(AND($C775="Receiving",$I775&lt;=0), 0,SUMIFS(Table2[Stat],Table2[Week],Table1[[#This Row],[Week]],Table2[Athlete],Table1[[#This Row],[Pick]],Table2[Stat Category],"passing",Table2[Stat Type],"TD"))))</f>
        <v>0</v>
      </c>
      <c r="K775" s="6">
        <f>IF(AND($C775="Rushing", $H775&lt;=0), 0, IF(AND($C775="Passing", $G$3&lt;=0), 0,IF(AND($C775="Receiving",$I775&lt;=0),0,SUMIFS(Table2[Stat],Table2[Week],Table1[[#This Row],[Week]],Table2[Athlete],Table1[[#This Row],[Pick]],Table2[Stat Category],"rushing",Table2[Stat Type],"TD"))))</f>
        <v>0</v>
      </c>
      <c r="L775" s="6">
        <f>IF(AND($C775="Rushing", $H775&lt;=0), 0, IF(AND($C775="Passing", $G$3&lt;=0), 0,IF(AND($C775="Receiving",$I775&lt;=0),0,SUMIFS(Table2[Stat],Table2[Week],Table1[[#This Row],[Week]],Table2[Athlete],Table1[[#This Row],[Pick]],Table2[Stat Category],"receiving",Table2[Stat Type],"TD"))))</f>
        <v>0</v>
      </c>
      <c r="M7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5" s="61">
        <f>SUMIFS(Data!$J:$J,Data!$A:$A,Info!$B775,Data!$G:$G,Info!$C775,Data!$I:$I,Info!$D775,Data!$H:$H,"TOT")</f>
        <v>0</v>
      </c>
      <c r="O775" s="61">
        <f>IF(C775="Defensive",SUMIFS(Data!$J:$J,Data!$A:$A,Info!$B775,Data!$I:$I,Info!$D775,Data!$H:$H,"INT"),0)</f>
        <v>0</v>
      </c>
      <c r="P775" s="61">
        <f>IF(Table1[[#This Row],[Role]]="Defensive",SUMIFS(Data!$J:$J,Data!$A:$A,Info!$B775,Data!$I:$I,Info!$D775,Data!$H:$H,$P$1),0)</f>
        <v>0</v>
      </c>
      <c r="Q775" s="65" t="str">
        <f>IF(Table1[[#This Row],[Pick]]="","",IF(S775&gt;1,400,IF(G775="","",IF(C775="Passing",(400-Table1[[#This Row],[Passing Yards]]-(30*Table1[[#This Row],[Passing TDs]])-(50*SUM(Table1[[#This Row],[Rushing TDs]:[Other TD''s]]))),IF(C775="Rushing",2*(200-Table1[[#This Row],[Rushing Yards]]-(30*Table1[[#This Row],[Passing TDs]])-50*(Table1[[#This Row],[Rushing TDs]]+Table1[[#This Row],[Receiving TDs]]+Table1[[#This Row],[Other TD''s]])),IF(C775="Receiving",2*(200-Table1[[#This Row],[Receiving Yards]]-(30*Table1[[#This Row],[Passing TDs]])-50*(Table1[[#This Row],[Rushing TDs]]+Table1[[#This Row],[Receiving TDs]]+Table1[[#This Row],[Other TD''s]])),IF(C775="Defensive",(25*(16-Table1[[#This Row],[Tackles]]-(8*(Table1[[#This Row],[Other TD''s]]+Table1[[#This Row],[Interceptions]]+Table1[[#This Row],[Fumbles Recovered]])))))))))))</f>
        <v/>
      </c>
      <c r="R775" s="3" t="str">
        <f t="shared" si="26"/>
        <v/>
      </c>
      <c r="S775" s="4">
        <f t="shared" si="25"/>
        <v>1048507</v>
      </c>
      <c r="T7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6" spans="1:20" hidden="1" x14ac:dyDescent="0.25">
      <c r="A776" t="s">
        <v>43</v>
      </c>
      <c r="B776" s="28" t="s">
        <v>15</v>
      </c>
      <c r="C776" t="s">
        <v>6</v>
      </c>
      <c r="D776" t="str">
        <f>_xlfn.XLOOKUP(Table1[[#This Row],[Player]]&amp;Table1[[#This Row],[Week]]&amp;Table1[[#This Row],[Role]],'Google Form Transform'!$A:$A,'Google Form Transform'!E:E,"")</f>
        <v/>
      </c>
      <c r="E776" t="str">
        <f>_xlfn.XLOOKUP(Table1[[#This Row],[Player]]&amp;Table1[[#This Row],[Week]]&amp;Table1[[#This Row],[Role]],'Google Form Transform'!$A:$A,'Google Form Transform'!F:F,"")</f>
        <v/>
      </c>
      <c r="F776" t="str">
        <f>_xlfn.XLOOKUP(Table1[[#This Row],[Player]]&amp;Table1[[#This Row],[Week]]&amp;Table1[[#This Row],[Role]],'Google Form Transform'!$A:$A,'Google Form Transform'!G:G,"")</f>
        <v/>
      </c>
      <c r="G776" s="59">
        <f>SUMIFS(Table2[Stat],Table2[Stat Category],"passing",Table2[Stat Type],"YDS",Table2[Athlete],Table1[[#This Row],[Pick]],Table2[Week],Table1[[#This Row],[Week]])</f>
        <v>0</v>
      </c>
      <c r="H776" s="59">
        <f>SUMIFS(Table2[Stat],Table2[Stat Category],"rushing",Table2[Stat Type],"YDS",Table2[Athlete],Table1[[#This Row],[Pick]],Table2[Week],Table1[[#This Row],[Week]])</f>
        <v>0</v>
      </c>
      <c r="I776" s="59">
        <f>SUMIFS(Table2[Stat],Table2[Stat Category],"receiving",Table2[Stat Type],"YDS",Table2[Athlete],Table1[[#This Row],[Pick]],Table2[Week],Table1[[#This Row],[Week]])</f>
        <v>0</v>
      </c>
      <c r="J776" s="6">
        <f>IF(AND($C776="Rushing", $H776&lt;=0), 0, IF(AND($C776="Passing", $G$3&lt;=0), 0,IF(AND($C776="Receiving",$I776&lt;=0), 0,SUMIFS(Table2[Stat],Table2[Week],Table1[[#This Row],[Week]],Table2[Athlete],Table1[[#This Row],[Pick]],Table2[Stat Category],"passing",Table2[Stat Type],"TD"))))</f>
        <v>0</v>
      </c>
      <c r="K776" s="6">
        <f>IF(AND($C776="Rushing", $H776&lt;=0), 0, IF(AND($C776="Passing", $G$3&lt;=0), 0,IF(AND($C776="Receiving",$I776&lt;=0),0,SUMIFS(Table2[Stat],Table2[Week],Table1[[#This Row],[Week]],Table2[Athlete],Table1[[#This Row],[Pick]],Table2[Stat Category],"rushing",Table2[Stat Type],"TD"))))</f>
        <v>0</v>
      </c>
      <c r="L776" s="6">
        <f>IF(AND($C776="Rushing", $H776&lt;=0), 0, IF(AND($C776="Passing", $G$3&lt;=0), 0,IF(AND($C776="Receiving",$I776&lt;=0),0,SUMIFS(Table2[Stat],Table2[Week],Table1[[#This Row],[Week]],Table2[Athlete],Table1[[#This Row],[Pick]],Table2[Stat Category],"receiving",Table2[Stat Type],"TD"))))</f>
        <v>0</v>
      </c>
      <c r="M7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6" s="61">
        <f>SUMIFS(Data!$J:$J,Data!$A:$A,Info!$B776,Data!$G:$G,Info!$C776,Data!$I:$I,Info!$D776,Data!$H:$H,"TOT")</f>
        <v>0</v>
      </c>
      <c r="O776" s="61">
        <f>IF(C776="Defensive",SUMIFS(Data!$J:$J,Data!$A:$A,Info!$B776,Data!$I:$I,Info!$D776,Data!$H:$H,"INT"),0)</f>
        <v>0</v>
      </c>
      <c r="P776" s="61">
        <f>IF(Table1[[#This Row],[Role]]="Defensive",SUMIFS(Data!$J:$J,Data!$A:$A,Info!$B776,Data!$I:$I,Info!$D776,Data!$H:$H,$P$1),0)</f>
        <v>0</v>
      </c>
      <c r="Q776" s="65" t="str">
        <f>IF(Table1[[#This Row],[Pick]]="","",IF(S776&gt;1,400,IF(G776="","",IF(C776="Passing",(400-Table1[[#This Row],[Passing Yards]]-(30*Table1[[#This Row],[Passing TDs]])-(50*SUM(Table1[[#This Row],[Rushing TDs]:[Other TD''s]]))),IF(C776="Rushing",2*(200-Table1[[#This Row],[Rushing Yards]]-(30*Table1[[#This Row],[Passing TDs]])-50*(Table1[[#This Row],[Rushing TDs]]+Table1[[#This Row],[Receiving TDs]]+Table1[[#This Row],[Other TD''s]])),IF(C776="Receiving",2*(200-Table1[[#This Row],[Receiving Yards]]-(30*Table1[[#This Row],[Passing TDs]])-50*(Table1[[#This Row],[Rushing TDs]]+Table1[[#This Row],[Receiving TDs]]+Table1[[#This Row],[Other TD''s]])),IF(C776="Defensive",(25*(16-Table1[[#This Row],[Tackles]]-(8*(Table1[[#This Row],[Other TD''s]]+Table1[[#This Row],[Interceptions]]+Table1[[#This Row],[Fumbles Recovered]])))))))))))</f>
        <v/>
      </c>
      <c r="R776" s="3" t="str">
        <f t="shared" si="26"/>
        <v/>
      </c>
      <c r="S776" s="4">
        <f t="shared" si="25"/>
        <v>1048507</v>
      </c>
      <c r="T7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7" spans="1:20" hidden="1" x14ac:dyDescent="0.25">
      <c r="A777" t="s">
        <v>43</v>
      </c>
      <c r="B777" s="28" t="s">
        <v>15</v>
      </c>
      <c r="C777" t="s">
        <v>17</v>
      </c>
      <c r="D777" t="str">
        <f>_xlfn.XLOOKUP(Table1[[#This Row],[Player]]&amp;Table1[[#This Row],[Week]]&amp;Table1[[#This Row],[Role]],'Google Form Transform'!$A:$A,'Google Form Transform'!E:E,"")</f>
        <v/>
      </c>
      <c r="E777" t="str">
        <f>_xlfn.XLOOKUP(Table1[[#This Row],[Player]]&amp;Table1[[#This Row],[Week]]&amp;Table1[[#This Row],[Role]],'Google Form Transform'!$A:$A,'Google Form Transform'!F:F,"")</f>
        <v/>
      </c>
      <c r="F777" t="str">
        <f>_xlfn.XLOOKUP(Table1[[#This Row],[Player]]&amp;Table1[[#This Row],[Week]]&amp;Table1[[#This Row],[Role]],'Google Form Transform'!$A:$A,'Google Form Transform'!G:G,"")</f>
        <v/>
      </c>
      <c r="G777" s="59">
        <f>SUMIFS(Table2[Stat],Table2[Stat Category],"passing",Table2[Stat Type],"YDS",Table2[Athlete],Table1[[#This Row],[Pick]],Table2[Week],Table1[[#This Row],[Week]])</f>
        <v>0</v>
      </c>
      <c r="H777" s="59">
        <f>SUMIFS(Table2[Stat],Table2[Stat Category],"rushing",Table2[Stat Type],"YDS",Table2[Athlete],Table1[[#This Row],[Pick]],Table2[Week],Table1[[#This Row],[Week]])</f>
        <v>0</v>
      </c>
      <c r="I777" s="59">
        <f>SUMIFS(Table2[Stat],Table2[Stat Category],"receiving",Table2[Stat Type],"YDS",Table2[Athlete],Table1[[#This Row],[Pick]],Table2[Week],Table1[[#This Row],[Week]])</f>
        <v>0</v>
      </c>
      <c r="J777" s="6">
        <f>IF(AND($C777="Rushing", $H777&lt;=0), 0, IF(AND($C777="Passing", $G$3&lt;=0), 0,IF(AND($C777="Receiving",$I777&lt;=0), 0,SUMIFS(Table2[Stat],Table2[Week],Table1[[#This Row],[Week]],Table2[Athlete],Table1[[#This Row],[Pick]],Table2[Stat Category],"passing",Table2[Stat Type],"TD"))))</f>
        <v>0</v>
      </c>
      <c r="K777" s="6">
        <f>IF(AND($C777="Rushing", $H777&lt;=0), 0, IF(AND($C777="Passing", $G$3&lt;=0), 0,IF(AND($C777="Receiving",$I777&lt;=0),0,SUMIFS(Table2[Stat],Table2[Week],Table1[[#This Row],[Week]],Table2[Athlete],Table1[[#This Row],[Pick]],Table2[Stat Category],"rushing",Table2[Stat Type],"TD"))))</f>
        <v>0</v>
      </c>
      <c r="L777" s="6">
        <f>IF(AND($C777="Rushing", $H777&lt;=0), 0, IF(AND($C777="Passing", $G$3&lt;=0), 0,IF(AND($C777="Receiving",$I777&lt;=0),0,SUMIFS(Table2[Stat],Table2[Week],Table1[[#This Row],[Week]],Table2[Athlete],Table1[[#This Row],[Pick]],Table2[Stat Category],"receiving",Table2[Stat Type],"TD"))))</f>
        <v>0</v>
      </c>
      <c r="M7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7" s="61">
        <f>SUMIFS(Data!$J:$J,Data!$A:$A,Info!$B777,Data!$G:$G,Info!$C777,Data!$I:$I,Info!$D777,Data!$H:$H,"TOT")</f>
        <v>0</v>
      </c>
      <c r="O777" s="61">
        <f>IF(C777="Defensive",SUMIFS(Data!$J:$J,Data!$A:$A,Info!$B777,Data!$I:$I,Info!$D777,Data!$H:$H,"INT"),0)</f>
        <v>0</v>
      </c>
      <c r="P777" s="61">
        <f>IF(Table1[[#This Row],[Role]]="Defensive",SUMIFS(Data!$J:$J,Data!$A:$A,Info!$B777,Data!$I:$I,Info!$D777,Data!$H:$H,$P$1),0)</f>
        <v>0</v>
      </c>
      <c r="Q777" s="65" t="str">
        <f>IF(Table1[[#This Row],[Pick]]="","",IF(S777&gt;1,400,IF(G777="","",IF(C777="Passing",(400-Table1[[#This Row],[Passing Yards]]-(30*Table1[[#This Row],[Passing TDs]])-(50*SUM(Table1[[#This Row],[Rushing TDs]:[Other TD''s]]))),IF(C777="Rushing",2*(200-Table1[[#This Row],[Rushing Yards]]-(30*Table1[[#This Row],[Passing TDs]])-50*(Table1[[#This Row],[Rushing TDs]]+Table1[[#This Row],[Receiving TDs]]+Table1[[#This Row],[Other TD''s]])),IF(C777="Receiving",2*(200-Table1[[#This Row],[Receiving Yards]]-(30*Table1[[#This Row],[Passing TDs]])-50*(Table1[[#This Row],[Rushing TDs]]+Table1[[#This Row],[Receiving TDs]]+Table1[[#This Row],[Other TD''s]])),IF(C777="Defensive",(25*(16-Table1[[#This Row],[Tackles]]-(8*(Table1[[#This Row],[Other TD''s]]+Table1[[#This Row],[Interceptions]]+Table1[[#This Row],[Fumbles Recovered]])))))))))))</f>
        <v/>
      </c>
      <c r="R777" s="3" t="str">
        <f t="shared" si="26"/>
        <v/>
      </c>
      <c r="S777" s="4">
        <f t="shared" si="25"/>
        <v>1048507</v>
      </c>
      <c r="T7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8" spans="1:20" hidden="1" x14ac:dyDescent="0.25">
      <c r="A778" t="s">
        <v>43</v>
      </c>
      <c r="B778" s="28" t="s">
        <v>15</v>
      </c>
      <c r="C778" t="s">
        <v>20</v>
      </c>
      <c r="D778" t="str">
        <f>_xlfn.XLOOKUP(Table1[[#This Row],[Player]]&amp;Table1[[#This Row],[Week]]&amp;Table1[[#This Row],[Role]],'Google Form Transform'!$A:$A,'Google Form Transform'!E:E,"")</f>
        <v/>
      </c>
      <c r="E778" t="str">
        <f>_xlfn.XLOOKUP(Table1[[#This Row],[Player]]&amp;Table1[[#This Row],[Week]]&amp;Table1[[#This Row],[Role]],'Google Form Transform'!$A:$A,'Google Form Transform'!F:F,"")</f>
        <v/>
      </c>
      <c r="F778" t="str">
        <f>_xlfn.XLOOKUP(Table1[[#This Row],[Player]]&amp;Table1[[#This Row],[Week]]&amp;Table1[[#This Row],[Role]],'Google Form Transform'!$A:$A,'Google Form Transform'!G:G,"")</f>
        <v/>
      </c>
      <c r="G778" s="59">
        <f>SUMIFS(Table2[Stat],Table2[Stat Category],"passing",Table2[Stat Type],"YDS",Table2[Athlete],Table1[[#This Row],[Pick]],Table2[Week],Table1[[#This Row],[Week]])</f>
        <v>0</v>
      </c>
      <c r="H778" s="59">
        <f>SUMIFS(Table2[Stat],Table2[Stat Category],"rushing",Table2[Stat Type],"YDS",Table2[Athlete],Table1[[#This Row],[Pick]],Table2[Week],Table1[[#This Row],[Week]])</f>
        <v>0</v>
      </c>
      <c r="I778" s="59">
        <f>SUMIFS(Table2[Stat],Table2[Stat Category],"receiving",Table2[Stat Type],"YDS",Table2[Athlete],Table1[[#This Row],[Pick]],Table2[Week],Table1[[#This Row],[Week]])</f>
        <v>0</v>
      </c>
      <c r="J778" s="6">
        <f>IF(AND($C778="Rushing", $H778&lt;=0), 0, IF(AND($C778="Passing", $G$3&lt;=0), 0,IF(AND($C778="Receiving",$I778&lt;=0), 0,SUMIFS(Table2[Stat],Table2[Week],Table1[[#This Row],[Week]],Table2[Athlete],Table1[[#This Row],[Pick]],Table2[Stat Category],"passing",Table2[Stat Type],"TD"))))</f>
        <v>0</v>
      </c>
      <c r="K778" s="6">
        <f>IF(AND($C778="Rushing", $H778&lt;=0), 0, IF(AND($C778="Passing", $G$3&lt;=0), 0,IF(AND($C778="Receiving",$I778&lt;=0),0,SUMIFS(Table2[Stat],Table2[Week],Table1[[#This Row],[Week]],Table2[Athlete],Table1[[#This Row],[Pick]],Table2[Stat Category],"rushing",Table2[Stat Type],"TD"))))</f>
        <v>0</v>
      </c>
      <c r="L778" s="6">
        <f>IF(AND($C778="Rushing", $H778&lt;=0), 0, IF(AND($C778="Passing", $G$3&lt;=0), 0,IF(AND($C778="Receiving",$I778&lt;=0),0,SUMIFS(Table2[Stat],Table2[Week],Table1[[#This Row],[Week]],Table2[Athlete],Table1[[#This Row],[Pick]],Table2[Stat Category],"receiving",Table2[Stat Type],"TD"))))</f>
        <v>0</v>
      </c>
      <c r="M7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8" s="61">
        <f>SUMIFS(Data!$J:$J,Data!$A:$A,Info!$B778,Data!$G:$G,Info!$C778,Data!$I:$I,Info!$D778,Data!$H:$H,"TOT")</f>
        <v>0</v>
      </c>
      <c r="O778" s="61">
        <f>IF(C778="Defensive",SUMIFS(Data!$J:$J,Data!$A:$A,Info!$B778,Data!$I:$I,Info!$D778,Data!$H:$H,"INT"),0)</f>
        <v>0</v>
      </c>
      <c r="P778" s="61">
        <f>IF(Table1[[#This Row],[Role]]="Defensive",SUMIFS(Data!$J:$J,Data!$A:$A,Info!$B778,Data!$I:$I,Info!$D778,Data!$H:$H,$P$1),0)</f>
        <v>0</v>
      </c>
      <c r="Q778" s="65" t="str">
        <f>IF(Table1[[#This Row],[Pick]]="","",IF(S778&gt;1,400,IF(G778="","",IF(C778="Passing",(400-Table1[[#This Row],[Passing Yards]]-(30*Table1[[#This Row],[Passing TDs]])-(50*SUM(Table1[[#This Row],[Rushing TDs]:[Other TD''s]]))),IF(C778="Rushing",2*(200-Table1[[#This Row],[Rushing Yards]]-(30*Table1[[#This Row],[Passing TDs]])-50*(Table1[[#This Row],[Rushing TDs]]+Table1[[#This Row],[Receiving TDs]]+Table1[[#This Row],[Other TD''s]])),IF(C778="Receiving",2*(200-Table1[[#This Row],[Receiving Yards]]-(30*Table1[[#This Row],[Passing TDs]])-50*(Table1[[#This Row],[Rushing TDs]]+Table1[[#This Row],[Receiving TDs]]+Table1[[#This Row],[Other TD''s]])),IF(C778="Defensive",(25*(16-Table1[[#This Row],[Tackles]]-(8*(Table1[[#This Row],[Other TD''s]]+Table1[[#This Row],[Interceptions]]+Table1[[#This Row],[Fumbles Recovered]])))))))))))</f>
        <v/>
      </c>
      <c r="R778" s="3" t="str">
        <f t="shared" si="26"/>
        <v/>
      </c>
      <c r="S778" s="4">
        <f t="shared" si="25"/>
        <v>1048507</v>
      </c>
      <c r="T7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9" spans="1:20" hidden="1" x14ac:dyDescent="0.25">
      <c r="A779" t="s">
        <v>7</v>
      </c>
      <c r="B779" s="28" t="s">
        <v>15</v>
      </c>
      <c r="C779" t="s">
        <v>16</v>
      </c>
      <c r="D779" t="str">
        <f>_xlfn.XLOOKUP(Table1[[#This Row],[Player]]&amp;Table1[[#This Row],[Week]]&amp;Table1[[#This Row],[Role]],'Google Form Transform'!$A:$A,'Google Form Transform'!E:E,"")</f>
        <v/>
      </c>
      <c r="E779" t="str">
        <f>_xlfn.XLOOKUP(Table1[[#This Row],[Player]]&amp;Table1[[#This Row],[Week]]&amp;Table1[[#This Row],[Role]],'Google Form Transform'!$A:$A,'Google Form Transform'!F:F,"")</f>
        <v/>
      </c>
      <c r="F779" t="str">
        <f>_xlfn.XLOOKUP(Table1[[#This Row],[Player]]&amp;Table1[[#This Row],[Week]]&amp;Table1[[#This Row],[Role]],'Google Form Transform'!$A:$A,'Google Form Transform'!G:G,"")</f>
        <v/>
      </c>
      <c r="G779" s="59">
        <f>SUMIFS(Table2[Stat],Table2[Stat Category],"passing",Table2[Stat Type],"YDS",Table2[Athlete],Table1[[#This Row],[Pick]],Table2[Week],Table1[[#This Row],[Week]])</f>
        <v>0</v>
      </c>
      <c r="H779" s="59">
        <f>SUMIFS(Table2[Stat],Table2[Stat Category],"rushing",Table2[Stat Type],"YDS",Table2[Athlete],Table1[[#This Row],[Pick]],Table2[Week],Table1[[#This Row],[Week]])</f>
        <v>0</v>
      </c>
      <c r="I779" s="59">
        <f>SUMIFS(Table2[Stat],Table2[Stat Category],"receiving",Table2[Stat Type],"YDS",Table2[Athlete],Table1[[#This Row],[Pick]],Table2[Week],Table1[[#This Row],[Week]])</f>
        <v>0</v>
      </c>
      <c r="J779" s="6">
        <f>IF(AND($C779="Rushing", $H779&lt;=0), 0, IF(AND($C779="Passing", $G$3&lt;=0), 0,IF(AND($C779="Receiving",$I779&lt;=0), 0,SUMIFS(Table2[Stat],Table2[Week],Table1[[#This Row],[Week]],Table2[Athlete],Table1[[#This Row],[Pick]],Table2[Stat Category],"passing",Table2[Stat Type],"TD"))))</f>
        <v>0</v>
      </c>
      <c r="K779" s="6">
        <f>IF(AND($C779="Rushing", $H779&lt;=0), 0, IF(AND($C779="Passing", $G$3&lt;=0), 0,IF(AND($C779="Receiving",$I779&lt;=0),0,SUMIFS(Table2[Stat],Table2[Week],Table1[[#This Row],[Week]],Table2[Athlete],Table1[[#This Row],[Pick]],Table2[Stat Category],"rushing",Table2[Stat Type],"TD"))))</f>
        <v>0</v>
      </c>
      <c r="L779" s="6">
        <f>IF(AND($C779="Rushing", $H779&lt;=0), 0, IF(AND($C779="Passing", $G$3&lt;=0), 0,IF(AND($C779="Receiving",$I779&lt;=0),0,SUMIFS(Table2[Stat],Table2[Week],Table1[[#This Row],[Week]],Table2[Athlete],Table1[[#This Row],[Pick]],Table2[Stat Category],"receiving",Table2[Stat Type],"TD"))))</f>
        <v>0</v>
      </c>
      <c r="M7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9" s="61">
        <f>SUMIFS(Data!$J:$J,Data!$A:$A,Info!$B779,Data!$G:$G,Info!$C779,Data!$I:$I,Info!$D779,Data!$H:$H,"TOT")</f>
        <v>0</v>
      </c>
      <c r="O779" s="61">
        <f>IF(C779="Defensive",SUMIFS(Data!$J:$J,Data!$A:$A,Info!$B779,Data!$I:$I,Info!$D779,Data!$H:$H,"INT"),0)</f>
        <v>0</v>
      </c>
      <c r="P779" s="61">
        <f>IF(Table1[[#This Row],[Role]]="Defensive",SUMIFS(Data!$J:$J,Data!$A:$A,Info!$B779,Data!$I:$I,Info!$D779,Data!$H:$H,$P$1),0)</f>
        <v>0</v>
      </c>
      <c r="Q779" s="65" t="str">
        <f>IF(Table1[[#This Row],[Pick]]="","",IF(S779&gt;1,400,IF(G779="","",IF(C779="Passing",(400-Table1[[#This Row],[Passing Yards]]-(30*Table1[[#This Row],[Passing TDs]])-(50*SUM(Table1[[#This Row],[Rushing TDs]:[Other TD''s]]))),IF(C779="Rushing",2*(200-Table1[[#This Row],[Rushing Yards]]-(30*Table1[[#This Row],[Passing TDs]])-50*(Table1[[#This Row],[Rushing TDs]]+Table1[[#This Row],[Receiving TDs]]+Table1[[#This Row],[Other TD''s]])),IF(C779="Receiving",2*(200-Table1[[#This Row],[Receiving Yards]]-(30*Table1[[#This Row],[Passing TDs]])-50*(Table1[[#This Row],[Rushing TDs]]+Table1[[#This Row],[Receiving TDs]]+Table1[[#This Row],[Other TD''s]])),IF(C779="Defensive",(25*(16-Table1[[#This Row],[Tackles]]-(8*(Table1[[#This Row],[Other TD''s]]+Table1[[#This Row],[Interceptions]]+Table1[[#This Row],[Fumbles Recovered]])))))))))))</f>
        <v/>
      </c>
      <c r="R779" s="3" t="str">
        <f t="shared" si="26"/>
        <v/>
      </c>
      <c r="S779" s="4">
        <f t="shared" si="25"/>
        <v>1048507</v>
      </c>
      <c r="T7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0" spans="1:20" hidden="1" x14ac:dyDescent="0.25">
      <c r="A780" t="s">
        <v>7</v>
      </c>
      <c r="B780" s="28" t="s">
        <v>15</v>
      </c>
      <c r="C780" t="s">
        <v>6</v>
      </c>
      <c r="D780" t="str">
        <f>_xlfn.XLOOKUP(Table1[[#This Row],[Player]]&amp;Table1[[#This Row],[Week]]&amp;Table1[[#This Row],[Role]],'Google Form Transform'!$A:$A,'Google Form Transform'!E:E,"")</f>
        <v/>
      </c>
      <c r="E780" t="str">
        <f>_xlfn.XLOOKUP(Table1[[#This Row],[Player]]&amp;Table1[[#This Row],[Week]]&amp;Table1[[#This Row],[Role]],'Google Form Transform'!$A:$A,'Google Form Transform'!F:F,"")</f>
        <v/>
      </c>
      <c r="F780" t="str">
        <f>_xlfn.XLOOKUP(Table1[[#This Row],[Player]]&amp;Table1[[#This Row],[Week]]&amp;Table1[[#This Row],[Role]],'Google Form Transform'!$A:$A,'Google Form Transform'!G:G,"")</f>
        <v/>
      </c>
      <c r="G780" s="59">
        <f>SUMIFS(Table2[Stat],Table2[Stat Category],"passing",Table2[Stat Type],"YDS",Table2[Athlete],Table1[[#This Row],[Pick]],Table2[Week],Table1[[#This Row],[Week]])</f>
        <v>0</v>
      </c>
      <c r="H780" s="59">
        <f>SUMIFS(Table2[Stat],Table2[Stat Category],"rushing",Table2[Stat Type],"YDS",Table2[Athlete],Table1[[#This Row],[Pick]],Table2[Week],Table1[[#This Row],[Week]])</f>
        <v>0</v>
      </c>
      <c r="I780" s="59">
        <f>SUMIFS(Table2[Stat],Table2[Stat Category],"receiving",Table2[Stat Type],"YDS",Table2[Athlete],Table1[[#This Row],[Pick]],Table2[Week],Table1[[#This Row],[Week]])</f>
        <v>0</v>
      </c>
      <c r="J780" s="6">
        <f>IF(AND($C780="Rushing", $H780&lt;=0), 0, IF(AND($C780="Passing", $G$3&lt;=0), 0,IF(AND($C780="Receiving",$I780&lt;=0), 0,SUMIFS(Table2[Stat],Table2[Week],Table1[[#This Row],[Week]],Table2[Athlete],Table1[[#This Row],[Pick]],Table2[Stat Category],"passing",Table2[Stat Type],"TD"))))</f>
        <v>0</v>
      </c>
      <c r="K780" s="6">
        <f>IF(AND($C780="Rushing", $H780&lt;=0), 0, IF(AND($C780="Passing", $G$3&lt;=0), 0,IF(AND($C780="Receiving",$I780&lt;=0),0,SUMIFS(Table2[Stat],Table2[Week],Table1[[#This Row],[Week]],Table2[Athlete],Table1[[#This Row],[Pick]],Table2[Stat Category],"rushing",Table2[Stat Type],"TD"))))</f>
        <v>0</v>
      </c>
      <c r="L780" s="6">
        <f>IF(AND($C780="Rushing", $H780&lt;=0), 0, IF(AND($C780="Passing", $G$3&lt;=0), 0,IF(AND($C780="Receiving",$I780&lt;=0),0,SUMIFS(Table2[Stat],Table2[Week],Table1[[#This Row],[Week]],Table2[Athlete],Table1[[#This Row],[Pick]],Table2[Stat Category],"receiving",Table2[Stat Type],"TD"))))</f>
        <v>0</v>
      </c>
      <c r="M7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0" s="61">
        <f>SUMIFS(Data!$J:$J,Data!$A:$A,Info!$B780,Data!$G:$G,Info!$C780,Data!$I:$I,Info!$D780,Data!$H:$H,"TOT")</f>
        <v>0</v>
      </c>
      <c r="O780" s="61">
        <f>IF(C780="Defensive",SUMIFS(Data!$J:$J,Data!$A:$A,Info!$B780,Data!$I:$I,Info!$D780,Data!$H:$H,"INT"),0)</f>
        <v>0</v>
      </c>
      <c r="P780" s="61">
        <f>IF(Table1[[#This Row],[Role]]="Defensive",SUMIFS(Data!$J:$J,Data!$A:$A,Info!$B780,Data!$I:$I,Info!$D780,Data!$H:$H,$P$1),0)</f>
        <v>0</v>
      </c>
      <c r="Q780" s="65" t="str">
        <f>IF(Table1[[#This Row],[Pick]]="","",IF(S780&gt;1,400,IF(G780="","",IF(C780="Passing",(400-Table1[[#This Row],[Passing Yards]]-(30*Table1[[#This Row],[Passing TDs]])-(50*SUM(Table1[[#This Row],[Rushing TDs]:[Other TD''s]]))),IF(C780="Rushing",2*(200-Table1[[#This Row],[Rushing Yards]]-(30*Table1[[#This Row],[Passing TDs]])-50*(Table1[[#This Row],[Rushing TDs]]+Table1[[#This Row],[Receiving TDs]]+Table1[[#This Row],[Other TD''s]])),IF(C780="Receiving",2*(200-Table1[[#This Row],[Receiving Yards]]-(30*Table1[[#This Row],[Passing TDs]])-50*(Table1[[#This Row],[Rushing TDs]]+Table1[[#This Row],[Receiving TDs]]+Table1[[#This Row],[Other TD''s]])),IF(C780="Defensive",(25*(16-Table1[[#This Row],[Tackles]]-(8*(Table1[[#This Row],[Other TD''s]]+Table1[[#This Row],[Interceptions]]+Table1[[#This Row],[Fumbles Recovered]])))))))))))</f>
        <v/>
      </c>
      <c r="R780" s="3" t="str">
        <f t="shared" si="26"/>
        <v/>
      </c>
      <c r="S780" s="4">
        <f t="shared" si="25"/>
        <v>1048507</v>
      </c>
      <c r="T7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1" spans="1:20" hidden="1" x14ac:dyDescent="0.25">
      <c r="A781" t="s">
        <v>7</v>
      </c>
      <c r="B781" s="28" t="s">
        <v>15</v>
      </c>
      <c r="C781" t="s">
        <v>17</v>
      </c>
      <c r="D781" t="str">
        <f>_xlfn.XLOOKUP(Table1[[#This Row],[Player]]&amp;Table1[[#This Row],[Week]]&amp;Table1[[#This Row],[Role]],'Google Form Transform'!$A:$A,'Google Form Transform'!E:E,"")</f>
        <v/>
      </c>
      <c r="E781" t="str">
        <f>_xlfn.XLOOKUP(Table1[[#This Row],[Player]]&amp;Table1[[#This Row],[Week]]&amp;Table1[[#This Row],[Role]],'Google Form Transform'!$A:$A,'Google Form Transform'!F:F,"")</f>
        <v/>
      </c>
      <c r="F781" t="str">
        <f>_xlfn.XLOOKUP(Table1[[#This Row],[Player]]&amp;Table1[[#This Row],[Week]]&amp;Table1[[#This Row],[Role]],'Google Form Transform'!$A:$A,'Google Form Transform'!G:G,"")</f>
        <v/>
      </c>
      <c r="G781" s="59">
        <f>SUMIFS(Table2[Stat],Table2[Stat Category],"passing",Table2[Stat Type],"YDS",Table2[Athlete],Table1[[#This Row],[Pick]],Table2[Week],Table1[[#This Row],[Week]])</f>
        <v>0</v>
      </c>
      <c r="H781" s="59">
        <f>SUMIFS(Table2[Stat],Table2[Stat Category],"rushing",Table2[Stat Type],"YDS",Table2[Athlete],Table1[[#This Row],[Pick]],Table2[Week],Table1[[#This Row],[Week]])</f>
        <v>0</v>
      </c>
      <c r="I781" s="59">
        <f>SUMIFS(Table2[Stat],Table2[Stat Category],"receiving",Table2[Stat Type],"YDS",Table2[Athlete],Table1[[#This Row],[Pick]],Table2[Week],Table1[[#This Row],[Week]])</f>
        <v>0</v>
      </c>
      <c r="J781" s="6">
        <f>IF(AND($C781="Rushing", $H781&lt;=0), 0, IF(AND($C781="Passing", $G$3&lt;=0), 0,IF(AND($C781="Receiving",$I781&lt;=0), 0,SUMIFS(Table2[Stat],Table2[Week],Table1[[#This Row],[Week]],Table2[Athlete],Table1[[#This Row],[Pick]],Table2[Stat Category],"passing",Table2[Stat Type],"TD"))))</f>
        <v>0</v>
      </c>
      <c r="K781" s="6">
        <f>IF(AND($C781="Rushing", $H781&lt;=0), 0, IF(AND($C781="Passing", $G$3&lt;=0), 0,IF(AND($C781="Receiving",$I781&lt;=0),0,SUMIFS(Table2[Stat],Table2[Week],Table1[[#This Row],[Week]],Table2[Athlete],Table1[[#This Row],[Pick]],Table2[Stat Category],"rushing",Table2[Stat Type],"TD"))))</f>
        <v>0</v>
      </c>
      <c r="L781" s="6">
        <f>IF(AND($C781="Rushing", $H781&lt;=0), 0, IF(AND($C781="Passing", $G$3&lt;=0), 0,IF(AND($C781="Receiving",$I781&lt;=0),0,SUMIFS(Table2[Stat],Table2[Week],Table1[[#This Row],[Week]],Table2[Athlete],Table1[[#This Row],[Pick]],Table2[Stat Category],"receiving",Table2[Stat Type],"TD"))))</f>
        <v>0</v>
      </c>
      <c r="M7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1" s="61">
        <f>SUMIFS(Data!$J:$J,Data!$A:$A,Info!$B781,Data!$G:$G,Info!$C781,Data!$I:$I,Info!$D781,Data!$H:$H,"TOT")</f>
        <v>0</v>
      </c>
      <c r="O781" s="61">
        <f>IF(C781="Defensive",SUMIFS(Data!$J:$J,Data!$A:$A,Info!$B781,Data!$I:$I,Info!$D781,Data!$H:$H,"INT"),0)</f>
        <v>0</v>
      </c>
      <c r="P781" s="61">
        <f>IF(Table1[[#This Row],[Role]]="Defensive",SUMIFS(Data!$J:$J,Data!$A:$A,Info!$B781,Data!$I:$I,Info!$D781,Data!$H:$H,$P$1),0)</f>
        <v>0</v>
      </c>
      <c r="Q781" s="65" t="str">
        <f>IF(Table1[[#This Row],[Pick]]="","",IF(S781&gt;1,400,IF(G781="","",IF(C781="Passing",(400-Table1[[#This Row],[Passing Yards]]-(30*Table1[[#This Row],[Passing TDs]])-(50*SUM(Table1[[#This Row],[Rushing TDs]:[Other TD''s]]))),IF(C781="Rushing",2*(200-Table1[[#This Row],[Rushing Yards]]-(30*Table1[[#This Row],[Passing TDs]])-50*(Table1[[#This Row],[Rushing TDs]]+Table1[[#This Row],[Receiving TDs]]+Table1[[#This Row],[Other TD''s]])),IF(C781="Receiving",2*(200-Table1[[#This Row],[Receiving Yards]]-(30*Table1[[#This Row],[Passing TDs]])-50*(Table1[[#This Row],[Rushing TDs]]+Table1[[#This Row],[Receiving TDs]]+Table1[[#This Row],[Other TD''s]])),IF(C781="Defensive",(25*(16-Table1[[#This Row],[Tackles]]-(8*(Table1[[#This Row],[Other TD''s]]+Table1[[#This Row],[Interceptions]]+Table1[[#This Row],[Fumbles Recovered]])))))))))))</f>
        <v/>
      </c>
      <c r="R781" s="3" t="str">
        <f t="shared" si="26"/>
        <v/>
      </c>
      <c r="S781" s="4">
        <f t="shared" si="25"/>
        <v>1048507</v>
      </c>
      <c r="T7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2" spans="1:20" hidden="1" x14ac:dyDescent="0.25">
      <c r="A782" t="s">
        <v>7</v>
      </c>
      <c r="B782" s="28" t="s">
        <v>15</v>
      </c>
      <c r="C782" t="s">
        <v>20</v>
      </c>
      <c r="D782" t="str">
        <f>_xlfn.XLOOKUP(Table1[[#This Row],[Player]]&amp;Table1[[#This Row],[Week]]&amp;Table1[[#This Row],[Role]],'Google Form Transform'!$A:$A,'Google Form Transform'!E:E,"")</f>
        <v/>
      </c>
      <c r="E782" t="str">
        <f>_xlfn.XLOOKUP(Table1[[#This Row],[Player]]&amp;Table1[[#This Row],[Week]]&amp;Table1[[#This Row],[Role]],'Google Form Transform'!$A:$A,'Google Form Transform'!F:F,"")</f>
        <v/>
      </c>
      <c r="F782" t="str">
        <f>_xlfn.XLOOKUP(Table1[[#This Row],[Player]]&amp;Table1[[#This Row],[Week]]&amp;Table1[[#This Row],[Role]],'Google Form Transform'!$A:$A,'Google Form Transform'!G:G,"")</f>
        <v/>
      </c>
      <c r="G782" s="59">
        <f>SUMIFS(Table2[Stat],Table2[Stat Category],"passing",Table2[Stat Type],"YDS",Table2[Athlete],Table1[[#This Row],[Pick]],Table2[Week],Table1[[#This Row],[Week]])</f>
        <v>0</v>
      </c>
      <c r="H782" s="59">
        <f>SUMIFS(Table2[Stat],Table2[Stat Category],"rushing",Table2[Stat Type],"YDS",Table2[Athlete],Table1[[#This Row],[Pick]],Table2[Week],Table1[[#This Row],[Week]])</f>
        <v>0</v>
      </c>
      <c r="I782" s="59">
        <f>SUMIFS(Table2[Stat],Table2[Stat Category],"receiving",Table2[Stat Type],"YDS",Table2[Athlete],Table1[[#This Row],[Pick]],Table2[Week],Table1[[#This Row],[Week]])</f>
        <v>0</v>
      </c>
      <c r="J782" s="6">
        <f>IF(AND($C782="Rushing", $H782&lt;=0), 0, IF(AND($C782="Passing", $G$3&lt;=0), 0,IF(AND($C782="Receiving",$I782&lt;=0), 0,SUMIFS(Table2[Stat],Table2[Week],Table1[[#This Row],[Week]],Table2[Athlete],Table1[[#This Row],[Pick]],Table2[Stat Category],"passing",Table2[Stat Type],"TD"))))</f>
        <v>0</v>
      </c>
      <c r="K782" s="6">
        <f>IF(AND($C782="Rushing", $H782&lt;=0), 0, IF(AND($C782="Passing", $G$3&lt;=0), 0,IF(AND($C782="Receiving",$I782&lt;=0),0,SUMIFS(Table2[Stat],Table2[Week],Table1[[#This Row],[Week]],Table2[Athlete],Table1[[#This Row],[Pick]],Table2[Stat Category],"rushing",Table2[Stat Type],"TD"))))</f>
        <v>0</v>
      </c>
      <c r="L782" s="6">
        <f>IF(AND($C782="Rushing", $H782&lt;=0), 0, IF(AND($C782="Passing", $G$3&lt;=0), 0,IF(AND($C782="Receiving",$I782&lt;=0),0,SUMIFS(Table2[Stat],Table2[Week],Table1[[#This Row],[Week]],Table2[Athlete],Table1[[#This Row],[Pick]],Table2[Stat Category],"receiving",Table2[Stat Type],"TD"))))</f>
        <v>0</v>
      </c>
      <c r="M7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2" s="61">
        <f>SUMIFS(Data!$J:$J,Data!$A:$A,Info!$B782,Data!$G:$G,Info!$C782,Data!$I:$I,Info!$D782,Data!$H:$H,"TOT")</f>
        <v>0</v>
      </c>
      <c r="O782" s="61">
        <f>IF(C782="Defensive",SUMIFS(Data!$J:$J,Data!$A:$A,Info!$B782,Data!$I:$I,Info!$D782,Data!$H:$H,"INT"),0)</f>
        <v>0</v>
      </c>
      <c r="P782" s="61">
        <f>IF(Table1[[#This Row],[Role]]="Defensive",SUMIFS(Data!$J:$J,Data!$A:$A,Info!$B782,Data!$I:$I,Info!$D782,Data!$H:$H,$P$1),0)</f>
        <v>0</v>
      </c>
      <c r="Q782" s="65" t="str">
        <f>IF(Table1[[#This Row],[Pick]]="","",IF(S782&gt;1,400,IF(G782="","",IF(C782="Passing",(400-Table1[[#This Row],[Passing Yards]]-(30*Table1[[#This Row],[Passing TDs]])-(50*SUM(Table1[[#This Row],[Rushing TDs]:[Other TD''s]]))),IF(C782="Rushing",2*(200-Table1[[#This Row],[Rushing Yards]]-(30*Table1[[#This Row],[Passing TDs]])-50*(Table1[[#This Row],[Rushing TDs]]+Table1[[#This Row],[Receiving TDs]]+Table1[[#This Row],[Other TD''s]])),IF(C782="Receiving",2*(200-Table1[[#This Row],[Receiving Yards]]-(30*Table1[[#This Row],[Passing TDs]])-50*(Table1[[#This Row],[Rushing TDs]]+Table1[[#This Row],[Receiving TDs]]+Table1[[#This Row],[Other TD''s]])),IF(C782="Defensive",(25*(16-Table1[[#This Row],[Tackles]]-(8*(Table1[[#This Row],[Other TD''s]]+Table1[[#This Row],[Interceptions]]+Table1[[#This Row],[Fumbles Recovered]])))))))))))</f>
        <v/>
      </c>
      <c r="R782" s="3" t="str">
        <f t="shared" si="26"/>
        <v/>
      </c>
      <c r="S782" s="4">
        <f t="shared" si="25"/>
        <v>1048507</v>
      </c>
      <c r="T7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3" spans="1:20" hidden="1" x14ac:dyDescent="0.25">
      <c r="A783" t="s">
        <v>2</v>
      </c>
      <c r="B783" s="28" t="s">
        <v>55</v>
      </c>
      <c r="C783" t="s">
        <v>16</v>
      </c>
      <c r="D783" t="str">
        <f>_xlfn.XLOOKUP(Table1[[#This Row],[Player]]&amp;Table1[[#This Row],[Week]]&amp;Table1[[#This Row],[Role]],'Google Form Transform'!$A:$A,'Google Form Transform'!E:E,"")</f>
        <v/>
      </c>
      <c r="E783" t="str">
        <f>_xlfn.XLOOKUP(Table1[[#This Row],[Player]]&amp;Table1[[#This Row],[Week]]&amp;Table1[[#This Row],[Role]],'Google Form Transform'!$A:$A,'Google Form Transform'!F:F,"")</f>
        <v/>
      </c>
      <c r="F783" t="str">
        <f>_xlfn.XLOOKUP(Table1[[#This Row],[Player]]&amp;Table1[[#This Row],[Week]]&amp;Table1[[#This Row],[Role]],'Google Form Transform'!$A:$A,'Google Form Transform'!G:G,"")</f>
        <v/>
      </c>
      <c r="G783" s="59">
        <f>SUMIFS(Table2[Stat],Table2[Stat Category],"passing",Table2[Stat Type],"YDS",Table2[Athlete],Table1[[#This Row],[Pick]],Table2[Week],Table1[[#This Row],[Week]])</f>
        <v>0</v>
      </c>
      <c r="H783" s="59">
        <f>SUMIFS(Table2[Stat],Table2[Stat Category],"rushing",Table2[Stat Type],"YDS",Table2[Athlete],Table1[[#This Row],[Pick]],Table2[Week],Table1[[#This Row],[Week]])</f>
        <v>0</v>
      </c>
      <c r="I783" s="59">
        <f>SUMIFS(Table2[Stat],Table2[Stat Category],"receiving",Table2[Stat Type],"YDS",Table2[Athlete],Table1[[#This Row],[Pick]],Table2[Week],Table1[[#This Row],[Week]])</f>
        <v>0</v>
      </c>
      <c r="J783" s="6">
        <f>IF(AND($C783="Rushing", $H783&lt;=0), 0, IF(AND($C783="Passing", $G$3&lt;=0), 0,IF(AND($C783="Receiving",$I783&lt;=0), 0,SUMIFS(Table2[Stat],Table2[Week],Table1[[#This Row],[Week]],Table2[Athlete],Table1[[#This Row],[Pick]],Table2[Stat Category],"passing",Table2[Stat Type],"TD"))))</f>
        <v>0</v>
      </c>
      <c r="K783" s="6">
        <f>IF(AND($C783="Rushing", $H783&lt;=0), 0, IF(AND($C783="Passing", $G$3&lt;=0), 0,IF(AND($C783="Receiving",$I783&lt;=0),0,SUMIFS(Table2[Stat],Table2[Week],Table1[[#This Row],[Week]],Table2[Athlete],Table1[[#This Row],[Pick]],Table2[Stat Category],"rushing",Table2[Stat Type],"TD"))))</f>
        <v>0</v>
      </c>
      <c r="L783" s="6">
        <f>IF(AND($C783="Rushing", $H783&lt;=0), 0, IF(AND($C783="Passing", $G$3&lt;=0), 0,IF(AND($C783="Receiving",$I783&lt;=0),0,SUMIFS(Table2[Stat],Table2[Week],Table1[[#This Row],[Week]],Table2[Athlete],Table1[[#This Row],[Pick]],Table2[Stat Category],"receiving",Table2[Stat Type],"TD"))))</f>
        <v>0</v>
      </c>
      <c r="M7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3" s="61">
        <f>SUMIFS(Data!$J:$J,Data!$A:$A,Info!$B783,Data!$G:$G,Info!$C783,Data!$I:$I,Info!$D783,Data!$H:$H,"TOT")</f>
        <v>0</v>
      </c>
      <c r="O783" s="61">
        <f>IF(C783="Defensive",SUMIFS(Data!$J:$J,Data!$A:$A,Info!$B783,Data!$I:$I,Info!$D783,Data!$H:$H,"INT"),0)</f>
        <v>0</v>
      </c>
      <c r="P783" s="61">
        <f>IF(Table1[[#This Row],[Role]]="Defensive",SUMIFS(Data!$J:$J,Data!$A:$A,Info!$B783,Data!$I:$I,Info!$D783,Data!$H:$H,$P$1),0)</f>
        <v>0</v>
      </c>
      <c r="Q783" s="65" t="str">
        <f>IF(Table1[[#This Row],[Pick]]="","",IF(S783&gt;1,400,IF(G783="","",IF(C783="Passing",(400-Table1[[#This Row],[Passing Yards]]-(30*Table1[[#This Row],[Passing TDs]])-(50*SUM(Table1[[#This Row],[Rushing TDs]:[Other TD''s]]))),IF(C783="Rushing",2*(200-Table1[[#This Row],[Rushing Yards]]-(30*Table1[[#This Row],[Passing TDs]])-50*(Table1[[#This Row],[Rushing TDs]]+Table1[[#This Row],[Receiving TDs]]+Table1[[#This Row],[Other TD''s]])),IF(C783="Receiving",2*(200-Table1[[#This Row],[Receiving Yards]]-(30*Table1[[#This Row],[Passing TDs]])-50*(Table1[[#This Row],[Rushing TDs]]+Table1[[#This Row],[Receiving TDs]]+Table1[[#This Row],[Other TD''s]])),IF(C783="Defensive",(25*(16-Table1[[#This Row],[Tackles]]-(8*(Table1[[#This Row],[Other TD''s]]+Table1[[#This Row],[Interceptions]]+Table1[[#This Row],[Fumbles Recovered]])))))))))))</f>
        <v/>
      </c>
      <c r="R783" s="3" t="str">
        <f t="shared" si="26"/>
        <v/>
      </c>
      <c r="S783" s="4">
        <f t="shared" si="25"/>
        <v>1048507</v>
      </c>
      <c r="T7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4" spans="1:20" hidden="1" x14ac:dyDescent="0.25">
      <c r="A784" t="s">
        <v>2</v>
      </c>
      <c r="B784" s="28" t="s">
        <v>55</v>
      </c>
      <c r="C784" t="s">
        <v>6</v>
      </c>
      <c r="D784" t="str">
        <f>_xlfn.XLOOKUP(Table1[[#This Row],[Player]]&amp;Table1[[#This Row],[Week]]&amp;Table1[[#This Row],[Role]],'Google Form Transform'!$A:$A,'Google Form Transform'!E:E,"")</f>
        <v/>
      </c>
      <c r="E784" t="str">
        <f>_xlfn.XLOOKUP(Table1[[#This Row],[Player]]&amp;Table1[[#This Row],[Week]]&amp;Table1[[#This Row],[Role]],'Google Form Transform'!$A:$A,'Google Form Transform'!F:F,"")</f>
        <v/>
      </c>
      <c r="F784" t="str">
        <f>_xlfn.XLOOKUP(Table1[[#This Row],[Player]]&amp;Table1[[#This Row],[Week]]&amp;Table1[[#This Row],[Role]],'Google Form Transform'!$A:$A,'Google Form Transform'!G:G,"")</f>
        <v/>
      </c>
      <c r="G784" s="59">
        <f>SUMIFS(Table2[Stat],Table2[Stat Category],"passing",Table2[Stat Type],"YDS",Table2[Athlete],Table1[[#This Row],[Pick]],Table2[Week],Table1[[#This Row],[Week]])</f>
        <v>0</v>
      </c>
      <c r="H784" s="59">
        <f>SUMIFS(Table2[Stat],Table2[Stat Category],"rushing",Table2[Stat Type],"YDS",Table2[Athlete],Table1[[#This Row],[Pick]],Table2[Week],Table1[[#This Row],[Week]])</f>
        <v>0</v>
      </c>
      <c r="I784" s="59">
        <f>SUMIFS(Table2[Stat],Table2[Stat Category],"receiving",Table2[Stat Type],"YDS",Table2[Athlete],Table1[[#This Row],[Pick]],Table2[Week],Table1[[#This Row],[Week]])</f>
        <v>0</v>
      </c>
      <c r="J784" s="6">
        <f>IF(AND($C784="Rushing", $H784&lt;=0), 0, IF(AND($C784="Passing", $G$3&lt;=0), 0,IF(AND($C784="Receiving",$I784&lt;=0), 0,SUMIFS(Table2[Stat],Table2[Week],Table1[[#This Row],[Week]],Table2[Athlete],Table1[[#This Row],[Pick]],Table2[Stat Category],"passing",Table2[Stat Type],"TD"))))</f>
        <v>0</v>
      </c>
      <c r="K784" s="6">
        <f>IF(AND($C784="Rushing", $H784&lt;=0), 0, IF(AND($C784="Passing", $G$3&lt;=0), 0,IF(AND($C784="Receiving",$I784&lt;=0),0,SUMIFS(Table2[Stat],Table2[Week],Table1[[#This Row],[Week]],Table2[Athlete],Table1[[#This Row],[Pick]],Table2[Stat Category],"rushing",Table2[Stat Type],"TD"))))</f>
        <v>0</v>
      </c>
      <c r="L784" s="6">
        <f>IF(AND($C784="Rushing", $H784&lt;=0), 0, IF(AND($C784="Passing", $G$3&lt;=0), 0,IF(AND($C784="Receiving",$I784&lt;=0),0,SUMIFS(Table2[Stat],Table2[Week],Table1[[#This Row],[Week]],Table2[Athlete],Table1[[#This Row],[Pick]],Table2[Stat Category],"receiving",Table2[Stat Type],"TD"))))</f>
        <v>0</v>
      </c>
      <c r="M7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4" s="61">
        <f>SUMIFS(Data!$J:$J,Data!$A:$A,Info!$B784,Data!$G:$G,Info!$C784,Data!$I:$I,Info!$D784,Data!$H:$H,"TOT")</f>
        <v>0</v>
      </c>
      <c r="O784" s="61">
        <f>IF(C784="Defensive",SUMIFS(Data!$J:$J,Data!$A:$A,Info!$B784,Data!$I:$I,Info!$D784,Data!$H:$H,"INT"),0)</f>
        <v>0</v>
      </c>
      <c r="P784" s="61">
        <f>IF(Table1[[#This Row],[Role]]="Defensive",SUMIFS(Data!$J:$J,Data!$A:$A,Info!$B784,Data!$I:$I,Info!$D784,Data!$H:$H,$P$1),0)</f>
        <v>0</v>
      </c>
      <c r="Q784" s="65" t="str">
        <f>IF(Table1[[#This Row],[Pick]]="","",IF(S784&gt;1,400,IF(G784="","",IF(C784="Passing",(400-Table1[[#This Row],[Passing Yards]]-(30*Table1[[#This Row],[Passing TDs]])-(50*SUM(Table1[[#This Row],[Rushing TDs]:[Other TD''s]]))),IF(C784="Rushing",2*(200-Table1[[#This Row],[Rushing Yards]]-(30*Table1[[#This Row],[Passing TDs]])-50*(Table1[[#This Row],[Rushing TDs]]+Table1[[#This Row],[Receiving TDs]]+Table1[[#This Row],[Other TD''s]])),IF(C784="Receiving",2*(200-Table1[[#This Row],[Receiving Yards]]-(30*Table1[[#This Row],[Passing TDs]])-50*(Table1[[#This Row],[Rushing TDs]]+Table1[[#This Row],[Receiving TDs]]+Table1[[#This Row],[Other TD''s]])),IF(C784="Defensive",(25*(16-Table1[[#This Row],[Tackles]]-(8*(Table1[[#This Row],[Other TD''s]]+Table1[[#This Row],[Interceptions]]+Table1[[#This Row],[Fumbles Recovered]])))))))))))</f>
        <v/>
      </c>
      <c r="R784" s="3" t="str">
        <f t="shared" si="26"/>
        <v/>
      </c>
      <c r="S784" s="4">
        <f t="shared" si="25"/>
        <v>1048507</v>
      </c>
      <c r="T7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5" spans="1:20" hidden="1" x14ac:dyDescent="0.25">
      <c r="A785" t="s">
        <v>2</v>
      </c>
      <c r="B785" s="28" t="s">
        <v>55</v>
      </c>
      <c r="C785" t="s">
        <v>17</v>
      </c>
      <c r="D785" t="str">
        <f>_xlfn.XLOOKUP(Table1[[#This Row],[Player]]&amp;Table1[[#This Row],[Week]]&amp;Table1[[#This Row],[Role]],'Google Form Transform'!$A:$A,'Google Form Transform'!E:E,"")</f>
        <v/>
      </c>
      <c r="E785" t="str">
        <f>_xlfn.XLOOKUP(Table1[[#This Row],[Player]]&amp;Table1[[#This Row],[Week]]&amp;Table1[[#This Row],[Role]],'Google Form Transform'!$A:$A,'Google Form Transform'!F:F,"")</f>
        <v/>
      </c>
      <c r="F785" t="str">
        <f>_xlfn.XLOOKUP(Table1[[#This Row],[Player]]&amp;Table1[[#This Row],[Week]]&amp;Table1[[#This Row],[Role]],'Google Form Transform'!$A:$A,'Google Form Transform'!G:G,"")</f>
        <v/>
      </c>
      <c r="G785" s="59">
        <f>SUMIFS(Table2[Stat],Table2[Stat Category],"passing",Table2[Stat Type],"YDS",Table2[Athlete],Table1[[#This Row],[Pick]],Table2[Week],Table1[[#This Row],[Week]])</f>
        <v>0</v>
      </c>
      <c r="H785" s="59">
        <f>SUMIFS(Table2[Stat],Table2[Stat Category],"rushing",Table2[Stat Type],"YDS",Table2[Athlete],Table1[[#This Row],[Pick]],Table2[Week],Table1[[#This Row],[Week]])</f>
        <v>0</v>
      </c>
      <c r="I785" s="59">
        <f>SUMIFS(Table2[Stat],Table2[Stat Category],"receiving",Table2[Stat Type],"YDS",Table2[Athlete],Table1[[#This Row],[Pick]],Table2[Week],Table1[[#This Row],[Week]])</f>
        <v>0</v>
      </c>
      <c r="J785" s="6">
        <f>IF(AND($C785="Rushing", $H785&lt;=0), 0, IF(AND($C785="Passing", $G$3&lt;=0), 0,IF(AND($C785="Receiving",$I785&lt;=0), 0,SUMIFS(Table2[Stat],Table2[Week],Table1[[#This Row],[Week]],Table2[Athlete],Table1[[#This Row],[Pick]],Table2[Stat Category],"passing",Table2[Stat Type],"TD"))))</f>
        <v>0</v>
      </c>
      <c r="K785" s="6">
        <f>IF(AND($C785="Rushing", $H785&lt;=0), 0, IF(AND($C785="Passing", $G$3&lt;=0), 0,IF(AND($C785="Receiving",$I785&lt;=0),0,SUMIFS(Table2[Stat],Table2[Week],Table1[[#This Row],[Week]],Table2[Athlete],Table1[[#This Row],[Pick]],Table2[Stat Category],"rushing",Table2[Stat Type],"TD"))))</f>
        <v>0</v>
      </c>
      <c r="L785" s="6">
        <f>IF(AND($C785="Rushing", $H785&lt;=0), 0, IF(AND($C785="Passing", $G$3&lt;=0), 0,IF(AND($C785="Receiving",$I785&lt;=0),0,SUMIFS(Table2[Stat],Table2[Week],Table1[[#This Row],[Week]],Table2[Athlete],Table1[[#This Row],[Pick]],Table2[Stat Category],"receiving",Table2[Stat Type],"TD"))))</f>
        <v>0</v>
      </c>
      <c r="M7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5" s="61">
        <f>SUMIFS(Data!$J:$J,Data!$A:$A,Info!$B785,Data!$G:$G,Info!$C785,Data!$I:$I,Info!$D785,Data!$H:$H,"TOT")</f>
        <v>0</v>
      </c>
      <c r="O785" s="61">
        <f>IF(C785="Defensive",SUMIFS(Data!$J:$J,Data!$A:$A,Info!$B785,Data!$I:$I,Info!$D785,Data!$H:$H,"INT"),0)</f>
        <v>0</v>
      </c>
      <c r="P785" s="61">
        <f>IF(Table1[[#This Row],[Role]]="Defensive",SUMIFS(Data!$J:$J,Data!$A:$A,Info!$B785,Data!$I:$I,Info!$D785,Data!$H:$H,$P$1),0)</f>
        <v>0</v>
      </c>
      <c r="Q785" s="65" t="str">
        <f>IF(Table1[[#This Row],[Pick]]="","",IF(S785&gt;1,400,IF(G785="","",IF(C785="Passing",(400-Table1[[#This Row],[Passing Yards]]-(30*Table1[[#This Row],[Passing TDs]])-(50*SUM(Table1[[#This Row],[Rushing TDs]:[Other TD''s]]))),IF(C785="Rushing",2*(200-Table1[[#This Row],[Rushing Yards]]-(30*Table1[[#This Row],[Passing TDs]])-50*(Table1[[#This Row],[Rushing TDs]]+Table1[[#This Row],[Receiving TDs]]+Table1[[#This Row],[Other TD''s]])),IF(C785="Receiving",2*(200-Table1[[#This Row],[Receiving Yards]]-(30*Table1[[#This Row],[Passing TDs]])-50*(Table1[[#This Row],[Rushing TDs]]+Table1[[#This Row],[Receiving TDs]]+Table1[[#This Row],[Other TD''s]])),IF(C785="Defensive",(25*(16-Table1[[#This Row],[Tackles]]-(8*(Table1[[#This Row],[Other TD''s]]+Table1[[#This Row],[Interceptions]]+Table1[[#This Row],[Fumbles Recovered]])))))))))))</f>
        <v/>
      </c>
      <c r="R785" s="3" t="str">
        <f t="shared" si="26"/>
        <v/>
      </c>
      <c r="S785" s="4">
        <f t="shared" si="25"/>
        <v>1048507</v>
      </c>
      <c r="T7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6" spans="1:20" hidden="1" x14ac:dyDescent="0.25">
      <c r="A786" t="s">
        <v>2</v>
      </c>
      <c r="B786" s="28" t="s">
        <v>55</v>
      </c>
      <c r="C786" t="s">
        <v>20</v>
      </c>
      <c r="D786" t="str">
        <f>_xlfn.XLOOKUP(Table1[[#This Row],[Player]]&amp;Table1[[#This Row],[Week]]&amp;Table1[[#This Row],[Role]],'Google Form Transform'!$A:$A,'Google Form Transform'!E:E,"")</f>
        <v/>
      </c>
      <c r="E786" t="str">
        <f>_xlfn.XLOOKUP(Table1[[#This Row],[Player]]&amp;Table1[[#This Row],[Week]]&amp;Table1[[#This Row],[Role]],'Google Form Transform'!$A:$A,'Google Form Transform'!F:F,"")</f>
        <v/>
      </c>
      <c r="F786" t="str">
        <f>_xlfn.XLOOKUP(Table1[[#This Row],[Player]]&amp;Table1[[#This Row],[Week]]&amp;Table1[[#This Row],[Role]],'Google Form Transform'!$A:$A,'Google Form Transform'!G:G,"")</f>
        <v/>
      </c>
      <c r="G786" s="59">
        <f>SUMIFS(Table2[Stat],Table2[Stat Category],"passing",Table2[Stat Type],"YDS",Table2[Athlete],Table1[[#This Row],[Pick]],Table2[Week],Table1[[#This Row],[Week]])</f>
        <v>0</v>
      </c>
      <c r="H786" s="59">
        <f>SUMIFS(Table2[Stat],Table2[Stat Category],"rushing",Table2[Stat Type],"YDS",Table2[Athlete],Table1[[#This Row],[Pick]],Table2[Week],Table1[[#This Row],[Week]])</f>
        <v>0</v>
      </c>
      <c r="I786" s="59">
        <f>SUMIFS(Table2[Stat],Table2[Stat Category],"receiving",Table2[Stat Type],"YDS",Table2[Athlete],Table1[[#This Row],[Pick]],Table2[Week],Table1[[#This Row],[Week]])</f>
        <v>0</v>
      </c>
      <c r="J786" s="6">
        <f>IF(AND($C786="Rushing", $H786&lt;=0), 0, IF(AND($C786="Passing", $G$3&lt;=0), 0,IF(AND($C786="Receiving",$I786&lt;=0), 0,SUMIFS(Table2[Stat],Table2[Week],Table1[[#This Row],[Week]],Table2[Athlete],Table1[[#This Row],[Pick]],Table2[Stat Category],"passing",Table2[Stat Type],"TD"))))</f>
        <v>0</v>
      </c>
      <c r="K786" s="6">
        <f>IF(AND($C786="Rushing", $H786&lt;=0), 0, IF(AND($C786="Passing", $G$3&lt;=0), 0,IF(AND($C786="Receiving",$I786&lt;=0),0,SUMIFS(Table2[Stat],Table2[Week],Table1[[#This Row],[Week]],Table2[Athlete],Table1[[#This Row],[Pick]],Table2[Stat Category],"rushing",Table2[Stat Type],"TD"))))</f>
        <v>0</v>
      </c>
      <c r="L786" s="6">
        <f>IF(AND($C786="Rushing", $H786&lt;=0), 0, IF(AND($C786="Passing", $G$3&lt;=0), 0,IF(AND($C786="Receiving",$I786&lt;=0),0,SUMIFS(Table2[Stat],Table2[Week],Table1[[#This Row],[Week]],Table2[Athlete],Table1[[#This Row],[Pick]],Table2[Stat Category],"receiving",Table2[Stat Type],"TD"))))</f>
        <v>0</v>
      </c>
      <c r="M7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6" s="61">
        <f>SUMIFS(Data!$J:$J,Data!$A:$A,Info!$B786,Data!$G:$G,Info!$C786,Data!$I:$I,Info!$D786,Data!$H:$H,"TOT")</f>
        <v>0</v>
      </c>
      <c r="O786" s="61">
        <f>IF(C786="Defensive",SUMIFS(Data!$J:$J,Data!$A:$A,Info!$B786,Data!$I:$I,Info!$D786,Data!$H:$H,"INT"),0)</f>
        <v>0</v>
      </c>
      <c r="P786" s="61">
        <f>IF(Table1[[#This Row],[Role]]="Defensive",SUMIFS(Data!$J:$J,Data!$A:$A,Info!$B786,Data!$I:$I,Info!$D786,Data!$H:$H,$P$1),0)</f>
        <v>0</v>
      </c>
      <c r="Q786" s="65" t="str">
        <f>IF(Table1[[#This Row],[Pick]]="","",IF(S786&gt;1,400,IF(G786="","",IF(C786="Passing",(400-Table1[[#This Row],[Passing Yards]]-(30*Table1[[#This Row],[Passing TDs]])-(50*SUM(Table1[[#This Row],[Rushing TDs]:[Other TD''s]]))),IF(C786="Rushing",2*(200-Table1[[#This Row],[Rushing Yards]]-(30*Table1[[#This Row],[Passing TDs]])-50*(Table1[[#This Row],[Rushing TDs]]+Table1[[#This Row],[Receiving TDs]]+Table1[[#This Row],[Other TD''s]])),IF(C786="Receiving",2*(200-Table1[[#This Row],[Receiving Yards]]-(30*Table1[[#This Row],[Passing TDs]])-50*(Table1[[#This Row],[Rushing TDs]]+Table1[[#This Row],[Receiving TDs]]+Table1[[#This Row],[Other TD''s]])),IF(C786="Defensive",(25*(16-Table1[[#This Row],[Tackles]]-(8*(Table1[[#This Row],[Other TD''s]]+Table1[[#This Row],[Interceptions]]+Table1[[#This Row],[Fumbles Recovered]])))))))))))</f>
        <v/>
      </c>
      <c r="R786" s="3" t="str">
        <f t="shared" si="26"/>
        <v/>
      </c>
      <c r="S786" s="4">
        <f t="shared" si="25"/>
        <v>1048507</v>
      </c>
      <c r="T7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7" spans="1:20" hidden="1" x14ac:dyDescent="0.25">
      <c r="A787" t="s">
        <v>4</v>
      </c>
      <c r="B787" s="28" t="s">
        <v>55</v>
      </c>
      <c r="C787" t="s">
        <v>16</v>
      </c>
      <c r="D787" t="str">
        <f>_xlfn.XLOOKUP(Table1[[#This Row],[Player]]&amp;Table1[[#This Row],[Week]]&amp;Table1[[#This Row],[Role]],'Google Form Transform'!$A:$A,'Google Form Transform'!E:E,"")</f>
        <v/>
      </c>
      <c r="E787" t="str">
        <f>_xlfn.XLOOKUP(Table1[[#This Row],[Player]]&amp;Table1[[#This Row],[Week]]&amp;Table1[[#This Row],[Role]],'Google Form Transform'!$A:$A,'Google Form Transform'!F:F,"")</f>
        <v/>
      </c>
      <c r="F787" t="str">
        <f>_xlfn.XLOOKUP(Table1[[#This Row],[Player]]&amp;Table1[[#This Row],[Week]]&amp;Table1[[#This Row],[Role]],'Google Form Transform'!$A:$A,'Google Form Transform'!G:G,"")</f>
        <v/>
      </c>
      <c r="G787" s="59">
        <f>SUMIFS(Table2[Stat],Table2[Stat Category],"passing",Table2[Stat Type],"YDS",Table2[Athlete],Table1[[#This Row],[Pick]],Table2[Week],Table1[[#This Row],[Week]])</f>
        <v>0</v>
      </c>
      <c r="H787" s="59">
        <f>SUMIFS(Table2[Stat],Table2[Stat Category],"rushing",Table2[Stat Type],"YDS",Table2[Athlete],Table1[[#This Row],[Pick]],Table2[Week],Table1[[#This Row],[Week]])</f>
        <v>0</v>
      </c>
      <c r="I787" s="59">
        <f>SUMIFS(Table2[Stat],Table2[Stat Category],"receiving",Table2[Stat Type],"YDS",Table2[Athlete],Table1[[#This Row],[Pick]],Table2[Week],Table1[[#This Row],[Week]])</f>
        <v>0</v>
      </c>
      <c r="J787" s="6">
        <f>IF(AND($C787="Rushing", $H787&lt;=0), 0, IF(AND($C787="Passing", $G$3&lt;=0), 0,IF(AND($C787="Receiving",$I787&lt;=0), 0,SUMIFS(Table2[Stat],Table2[Week],Table1[[#This Row],[Week]],Table2[Athlete],Table1[[#This Row],[Pick]],Table2[Stat Category],"passing",Table2[Stat Type],"TD"))))</f>
        <v>0</v>
      </c>
      <c r="K787" s="6">
        <f>IF(AND($C787="Rushing", $H787&lt;=0), 0, IF(AND($C787="Passing", $G$3&lt;=0), 0,IF(AND($C787="Receiving",$I787&lt;=0),0,SUMIFS(Table2[Stat],Table2[Week],Table1[[#This Row],[Week]],Table2[Athlete],Table1[[#This Row],[Pick]],Table2[Stat Category],"rushing",Table2[Stat Type],"TD"))))</f>
        <v>0</v>
      </c>
      <c r="L787" s="6">
        <f>IF(AND($C787="Rushing", $H787&lt;=0), 0, IF(AND($C787="Passing", $G$3&lt;=0), 0,IF(AND($C787="Receiving",$I787&lt;=0),0,SUMIFS(Table2[Stat],Table2[Week],Table1[[#This Row],[Week]],Table2[Athlete],Table1[[#This Row],[Pick]],Table2[Stat Category],"receiving",Table2[Stat Type],"TD"))))</f>
        <v>0</v>
      </c>
      <c r="M7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7" s="61">
        <f>SUMIFS(Data!$J:$J,Data!$A:$A,Info!$B787,Data!$G:$G,Info!$C787,Data!$I:$I,Info!$D787,Data!$H:$H,"TOT")</f>
        <v>0</v>
      </c>
      <c r="O787" s="61">
        <f>IF(C787="Defensive",SUMIFS(Data!$J:$J,Data!$A:$A,Info!$B787,Data!$I:$I,Info!$D787,Data!$H:$H,"INT"),0)</f>
        <v>0</v>
      </c>
      <c r="P787" s="61">
        <f>IF(Table1[[#This Row],[Role]]="Defensive",SUMIFS(Data!$J:$J,Data!$A:$A,Info!$B787,Data!$I:$I,Info!$D787,Data!$H:$H,$P$1),0)</f>
        <v>0</v>
      </c>
      <c r="Q787" s="65" t="str">
        <f>IF(Table1[[#This Row],[Pick]]="","",IF(S787&gt;1,400,IF(G787="","",IF(C787="Passing",(400-Table1[[#This Row],[Passing Yards]]-(30*Table1[[#This Row],[Passing TDs]])-(50*SUM(Table1[[#This Row],[Rushing TDs]:[Other TD''s]]))),IF(C787="Rushing",2*(200-Table1[[#This Row],[Rushing Yards]]-(30*Table1[[#This Row],[Passing TDs]])-50*(Table1[[#This Row],[Rushing TDs]]+Table1[[#This Row],[Receiving TDs]]+Table1[[#This Row],[Other TD''s]])),IF(C787="Receiving",2*(200-Table1[[#This Row],[Receiving Yards]]-(30*Table1[[#This Row],[Passing TDs]])-50*(Table1[[#This Row],[Rushing TDs]]+Table1[[#This Row],[Receiving TDs]]+Table1[[#This Row],[Other TD''s]])),IF(C787="Defensive",(25*(16-Table1[[#This Row],[Tackles]]-(8*(Table1[[#This Row],[Other TD''s]]+Table1[[#This Row],[Interceptions]]+Table1[[#This Row],[Fumbles Recovered]])))))))))))</f>
        <v/>
      </c>
      <c r="R787" s="3" t="str">
        <f t="shared" si="26"/>
        <v/>
      </c>
      <c r="S787" s="4">
        <f t="shared" si="25"/>
        <v>1048507</v>
      </c>
      <c r="T7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8" spans="1:20" hidden="1" x14ac:dyDescent="0.25">
      <c r="A788" t="s">
        <v>4</v>
      </c>
      <c r="B788" s="28" t="s">
        <v>55</v>
      </c>
      <c r="C788" t="s">
        <v>6</v>
      </c>
      <c r="D788" t="str">
        <f>_xlfn.XLOOKUP(Table1[[#This Row],[Player]]&amp;Table1[[#This Row],[Week]]&amp;Table1[[#This Row],[Role]],'Google Form Transform'!$A:$A,'Google Form Transform'!E:E,"")</f>
        <v/>
      </c>
      <c r="E788" t="str">
        <f>_xlfn.XLOOKUP(Table1[[#This Row],[Player]]&amp;Table1[[#This Row],[Week]]&amp;Table1[[#This Row],[Role]],'Google Form Transform'!$A:$A,'Google Form Transform'!F:F,"")</f>
        <v/>
      </c>
      <c r="F788" t="str">
        <f>_xlfn.XLOOKUP(Table1[[#This Row],[Player]]&amp;Table1[[#This Row],[Week]]&amp;Table1[[#This Row],[Role]],'Google Form Transform'!$A:$A,'Google Form Transform'!G:G,"")</f>
        <v/>
      </c>
      <c r="G788" s="59">
        <f>SUMIFS(Table2[Stat],Table2[Stat Category],"passing",Table2[Stat Type],"YDS",Table2[Athlete],Table1[[#This Row],[Pick]],Table2[Week],Table1[[#This Row],[Week]])</f>
        <v>0</v>
      </c>
      <c r="H788" s="59">
        <f>SUMIFS(Table2[Stat],Table2[Stat Category],"rushing",Table2[Stat Type],"YDS",Table2[Athlete],Table1[[#This Row],[Pick]],Table2[Week],Table1[[#This Row],[Week]])</f>
        <v>0</v>
      </c>
      <c r="I788" s="59">
        <f>SUMIFS(Table2[Stat],Table2[Stat Category],"receiving",Table2[Stat Type],"YDS",Table2[Athlete],Table1[[#This Row],[Pick]],Table2[Week],Table1[[#This Row],[Week]])</f>
        <v>0</v>
      </c>
      <c r="J788" s="6">
        <f>IF(AND($C788="Rushing", $H788&lt;=0), 0, IF(AND($C788="Passing", $G$3&lt;=0), 0,IF(AND($C788="Receiving",$I788&lt;=0), 0,SUMIFS(Table2[Stat],Table2[Week],Table1[[#This Row],[Week]],Table2[Athlete],Table1[[#This Row],[Pick]],Table2[Stat Category],"passing",Table2[Stat Type],"TD"))))</f>
        <v>0</v>
      </c>
      <c r="K788" s="6">
        <f>IF(AND($C788="Rushing", $H788&lt;=0), 0, IF(AND($C788="Passing", $G$3&lt;=0), 0,IF(AND($C788="Receiving",$I788&lt;=0),0,SUMIFS(Table2[Stat],Table2[Week],Table1[[#This Row],[Week]],Table2[Athlete],Table1[[#This Row],[Pick]],Table2[Stat Category],"rushing",Table2[Stat Type],"TD"))))</f>
        <v>0</v>
      </c>
      <c r="L788" s="6">
        <f>IF(AND($C788="Rushing", $H788&lt;=0), 0, IF(AND($C788="Passing", $G$3&lt;=0), 0,IF(AND($C788="Receiving",$I788&lt;=0),0,SUMIFS(Table2[Stat],Table2[Week],Table1[[#This Row],[Week]],Table2[Athlete],Table1[[#This Row],[Pick]],Table2[Stat Category],"receiving",Table2[Stat Type],"TD"))))</f>
        <v>0</v>
      </c>
      <c r="M7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8" s="61">
        <f>SUMIFS(Data!$J:$J,Data!$A:$A,Info!$B788,Data!$G:$G,Info!$C788,Data!$I:$I,Info!$D788,Data!$H:$H,"TOT")</f>
        <v>0</v>
      </c>
      <c r="O788" s="61">
        <f>IF(C788="Defensive",SUMIFS(Data!$J:$J,Data!$A:$A,Info!$B788,Data!$I:$I,Info!$D788,Data!$H:$H,"INT"),0)</f>
        <v>0</v>
      </c>
      <c r="P788" s="61">
        <f>IF(Table1[[#This Row],[Role]]="Defensive",SUMIFS(Data!$J:$J,Data!$A:$A,Info!$B788,Data!$I:$I,Info!$D788,Data!$H:$H,$P$1),0)</f>
        <v>0</v>
      </c>
      <c r="Q788" s="65" t="str">
        <f>IF(Table1[[#This Row],[Pick]]="","",IF(S788&gt;1,400,IF(G788="","",IF(C788="Passing",(400-Table1[[#This Row],[Passing Yards]]-(30*Table1[[#This Row],[Passing TDs]])-(50*SUM(Table1[[#This Row],[Rushing TDs]:[Other TD''s]]))),IF(C788="Rushing",2*(200-Table1[[#This Row],[Rushing Yards]]-(30*Table1[[#This Row],[Passing TDs]])-50*(Table1[[#This Row],[Rushing TDs]]+Table1[[#This Row],[Receiving TDs]]+Table1[[#This Row],[Other TD''s]])),IF(C788="Receiving",2*(200-Table1[[#This Row],[Receiving Yards]]-(30*Table1[[#This Row],[Passing TDs]])-50*(Table1[[#This Row],[Rushing TDs]]+Table1[[#This Row],[Receiving TDs]]+Table1[[#This Row],[Other TD''s]])),IF(C788="Defensive",(25*(16-Table1[[#This Row],[Tackles]]-(8*(Table1[[#This Row],[Other TD''s]]+Table1[[#This Row],[Interceptions]]+Table1[[#This Row],[Fumbles Recovered]])))))))))))</f>
        <v/>
      </c>
      <c r="R788" s="3" t="str">
        <f t="shared" si="26"/>
        <v/>
      </c>
      <c r="S788" s="4">
        <f t="shared" si="25"/>
        <v>1048507</v>
      </c>
      <c r="T7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9" spans="1:20" hidden="1" x14ac:dyDescent="0.25">
      <c r="A789" t="s">
        <v>4</v>
      </c>
      <c r="B789" s="28" t="s">
        <v>55</v>
      </c>
      <c r="C789" t="s">
        <v>17</v>
      </c>
      <c r="D789" t="str">
        <f>_xlfn.XLOOKUP(Table1[[#This Row],[Player]]&amp;Table1[[#This Row],[Week]]&amp;Table1[[#This Row],[Role]],'Google Form Transform'!$A:$A,'Google Form Transform'!E:E,"")</f>
        <v/>
      </c>
      <c r="E789" t="str">
        <f>_xlfn.XLOOKUP(Table1[[#This Row],[Player]]&amp;Table1[[#This Row],[Week]]&amp;Table1[[#This Row],[Role]],'Google Form Transform'!$A:$A,'Google Form Transform'!F:F,"")</f>
        <v/>
      </c>
      <c r="F789" t="str">
        <f>_xlfn.XLOOKUP(Table1[[#This Row],[Player]]&amp;Table1[[#This Row],[Week]]&amp;Table1[[#This Row],[Role]],'Google Form Transform'!$A:$A,'Google Form Transform'!G:G,"")</f>
        <v/>
      </c>
      <c r="G789" s="59">
        <f>SUMIFS(Table2[Stat],Table2[Stat Category],"passing",Table2[Stat Type],"YDS",Table2[Athlete],Table1[[#This Row],[Pick]],Table2[Week],Table1[[#This Row],[Week]])</f>
        <v>0</v>
      </c>
      <c r="H789" s="59">
        <f>SUMIFS(Table2[Stat],Table2[Stat Category],"rushing",Table2[Stat Type],"YDS",Table2[Athlete],Table1[[#This Row],[Pick]],Table2[Week],Table1[[#This Row],[Week]])</f>
        <v>0</v>
      </c>
      <c r="I789" s="59">
        <f>SUMIFS(Table2[Stat],Table2[Stat Category],"receiving",Table2[Stat Type],"YDS",Table2[Athlete],Table1[[#This Row],[Pick]],Table2[Week],Table1[[#This Row],[Week]])</f>
        <v>0</v>
      </c>
      <c r="J789" s="6">
        <f>IF(AND($C789="Rushing", $H789&lt;=0), 0, IF(AND($C789="Passing", $G$3&lt;=0), 0,IF(AND($C789="Receiving",$I789&lt;=0), 0,SUMIFS(Table2[Stat],Table2[Week],Table1[[#This Row],[Week]],Table2[Athlete],Table1[[#This Row],[Pick]],Table2[Stat Category],"passing",Table2[Stat Type],"TD"))))</f>
        <v>0</v>
      </c>
      <c r="K789" s="6">
        <f>IF(AND($C789="Rushing", $H789&lt;=0), 0, IF(AND($C789="Passing", $G$3&lt;=0), 0,IF(AND($C789="Receiving",$I789&lt;=0),0,SUMIFS(Table2[Stat],Table2[Week],Table1[[#This Row],[Week]],Table2[Athlete],Table1[[#This Row],[Pick]],Table2[Stat Category],"rushing",Table2[Stat Type],"TD"))))</f>
        <v>0</v>
      </c>
      <c r="L789" s="6">
        <f>IF(AND($C789="Rushing", $H789&lt;=0), 0, IF(AND($C789="Passing", $G$3&lt;=0), 0,IF(AND($C789="Receiving",$I789&lt;=0),0,SUMIFS(Table2[Stat],Table2[Week],Table1[[#This Row],[Week]],Table2[Athlete],Table1[[#This Row],[Pick]],Table2[Stat Category],"receiving",Table2[Stat Type],"TD"))))</f>
        <v>0</v>
      </c>
      <c r="M7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9" s="61">
        <f>SUMIFS(Data!$J:$J,Data!$A:$A,Info!$B789,Data!$G:$G,Info!$C789,Data!$I:$I,Info!$D789,Data!$H:$H,"TOT")</f>
        <v>0</v>
      </c>
      <c r="O789" s="61">
        <f>IF(C789="Defensive",SUMIFS(Data!$J:$J,Data!$A:$A,Info!$B789,Data!$I:$I,Info!$D789,Data!$H:$H,"INT"),0)</f>
        <v>0</v>
      </c>
      <c r="P789" s="61">
        <f>IF(Table1[[#This Row],[Role]]="Defensive",SUMIFS(Data!$J:$J,Data!$A:$A,Info!$B789,Data!$I:$I,Info!$D789,Data!$H:$H,$P$1),0)</f>
        <v>0</v>
      </c>
      <c r="Q789" s="65" t="str">
        <f>IF(Table1[[#This Row],[Pick]]="","",IF(S789&gt;1,400,IF(G789="","",IF(C789="Passing",(400-Table1[[#This Row],[Passing Yards]]-(30*Table1[[#This Row],[Passing TDs]])-(50*SUM(Table1[[#This Row],[Rushing TDs]:[Other TD''s]]))),IF(C789="Rushing",2*(200-Table1[[#This Row],[Rushing Yards]]-(30*Table1[[#This Row],[Passing TDs]])-50*(Table1[[#This Row],[Rushing TDs]]+Table1[[#This Row],[Receiving TDs]]+Table1[[#This Row],[Other TD''s]])),IF(C789="Receiving",2*(200-Table1[[#This Row],[Receiving Yards]]-(30*Table1[[#This Row],[Passing TDs]])-50*(Table1[[#This Row],[Rushing TDs]]+Table1[[#This Row],[Receiving TDs]]+Table1[[#This Row],[Other TD''s]])),IF(C789="Defensive",(25*(16-Table1[[#This Row],[Tackles]]-(8*(Table1[[#This Row],[Other TD''s]]+Table1[[#This Row],[Interceptions]]+Table1[[#This Row],[Fumbles Recovered]])))))))))))</f>
        <v/>
      </c>
      <c r="R789" s="3" t="str">
        <f t="shared" si="26"/>
        <v/>
      </c>
      <c r="S789" s="4">
        <f t="shared" si="25"/>
        <v>1048507</v>
      </c>
      <c r="T7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0" spans="1:20" hidden="1" x14ac:dyDescent="0.25">
      <c r="A790" t="s">
        <v>4</v>
      </c>
      <c r="B790" s="28" t="s">
        <v>55</v>
      </c>
      <c r="C790" t="s">
        <v>20</v>
      </c>
      <c r="D790" t="str">
        <f>_xlfn.XLOOKUP(Table1[[#This Row],[Player]]&amp;Table1[[#This Row],[Week]]&amp;Table1[[#This Row],[Role]],'Google Form Transform'!$A:$A,'Google Form Transform'!E:E,"")</f>
        <v/>
      </c>
      <c r="E790" t="str">
        <f>_xlfn.XLOOKUP(Table1[[#This Row],[Player]]&amp;Table1[[#This Row],[Week]]&amp;Table1[[#This Row],[Role]],'Google Form Transform'!$A:$A,'Google Form Transform'!F:F,"")</f>
        <v/>
      </c>
      <c r="F790" t="str">
        <f>_xlfn.XLOOKUP(Table1[[#This Row],[Player]]&amp;Table1[[#This Row],[Week]]&amp;Table1[[#This Row],[Role]],'Google Form Transform'!$A:$A,'Google Form Transform'!G:G,"")</f>
        <v/>
      </c>
      <c r="G790" s="59">
        <f>SUMIFS(Table2[Stat],Table2[Stat Category],"passing",Table2[Stat Type],"YDS",Table2[Athlete],Table1[[#This Row],[Pick]],Table2[Week],Table1[[#This Row],[Week]])</f>
        <v>0</v>
      </c>
      <c r="H790" s="59">
        <f>SUMIFS(Table2[Stat],Table2[Stat Category],"rushing",Table2[Stat Type],"YDS",Table2[Athlete],Table1[[#This Row],[Pick]],Table2[Week],Table1[[#This Row],[Week]])</f>
        <v>0</v>
      </c>
      <c r="I790" s="59">
        <f>SUMIFS(Table2[Stat],Table2[Stat Category],"receiving",Table2[Stat Type],"YDS",Table2[Athlete],Table1[[#This Row],[Pick]],Table2[Week],Table1[[#This Row],[Week]])</f>
        <v>0</v>
      </c>
      <c r="J790" s="6">
        <f>IF(AND($C790="Rushing", $H790&lt;=0), 0, IF(AND($C790="Passing", $G$3&lt;=0), 0,IF(AND($C790="Receiving",$I790&lt;=0), 0,SUMIFS(Table2[Stat],Table2[Week],Table1[[#This Row],[Week]],Table2[Athlete],Table1[[#This Row],[Pick]],Table2[Stat Category],"passing",Table2[Stat Type],"TD"))))</f>
        <v>0</v>
      </c>
      <c r="K790" s="6">
        <f>IF(AND($C790="Rushing", $H790&lt;=0), 0, IF(AND($C790="Passing", $G$3&lt;=0), 0,IF(AND($C790="Receiving",$I790&lt;=0),0,SUMIFS(Table2[Stat],Table2[Week],Table1[[#This Row],[Week]],Table2[Athlete],Table1[[#This Row],[Pick]],Table2[Stat Category],"rushing",Table2[Stat Type],"TD"))))</f>
        <v>0</v>
      </c>
      <c r="L790" s="6">
        <f>IF(AND($C790="Rushing", $H790&lt;=0), 0, IF(AND($C790="Passing", $G$3&lt;=0), 0,IF(AND($C790="Receiving",$I790&lt;=0),0,SUMIFS(Table2[Stat],Table2[Week],Table1[[#This Row],[Week]],Table2[Athlete],Table1[[#This Row],[Pick]],Table2[Stat Category],"receiving",Table2[Stat Type],"TD"))))</f>
        <v>0</v>
      </c>
      <c r="M7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0" s="61">
        <f>SUMIFS(Data!$J:$J,Data!$A:$A,Info!$B790,Data!$G:$G,Info!$C790,Data!$I:$I,Info!$D790,Data!$H:$H,"TOT")</f>
        <v>0</v>
      </c>
      <c r="O790" s="61">
        <f>IF(C790="Defensive",SUMIFS(Data!$J:$J,Data!$A:$A,Info!$B790,Data!$I:$I,Info!$D790,Data!$H:$H,"INT"),0)</f>
        <v>0</v>
      </c>
      <c r="P790" s="61">
        <f>IF(Table1[[#This Row],[Role]]="Defensive",SUMIFS(Data!$J:$J,Data!$A:$A,Info!$B790,Data!$I:$I,Info!$D790,Data!$H:$H,$P$1),0)</f>
        <v>0</v>
      </c>
      <c r="Q790" s="65" t="str">
        <f>IF(Table1[[#This Row],[Pick]]="","",IF(S790&gt;1,400,IF(G790="","",IF(C790="Passing",(400-Table1[[#This Row],[Passing Yards]]-(30*Table1[[#This Row],[Passing TDs]])-(50*SUM(Table1[[#This Row],[Rushing TDs]:[Other TD''s]]))),IF(C790="Rushing",2*(200-Table1[[#This Row],[Rushing Yards]]-(30*Table1[[#This Row],[Passing TDs]])-50*(Table1[[#This Row],[Rushing TDs]]+Table1[[#This Row],[Receiving TDs]]+Table1[[#This Row],[Other TD''s]])),IF(C790="Receiving",2*(200-Table1[[#This Row],[Receiving Yards]]-(30*Table1[[#This Row],[Passing TDs]])-50*(Table1[[#This Row],[Rushing TDs]]+Table1[[#This Row],[Receiving TDs]]+Table1[[#This Row],[Other TD''s]])),IF(C790="Defensive",(25*(16-Table1[[#This Row],[Tackles]]-(8*(Table1[[#This Row],[Other TD''s]]+Table1[[#This Row],[Interceptions]]+Table1[[#This Row],[Fumbles Recovered]])))))))))))</f>
        <v/>
      </c>
      <c r="R790" s="3" t="str">
        <f t="shared" si="26"/>
        <v/>
      </c>
      <c r="S790" s="4">
        <f t="shared" si="25"/>
        <v>1048507</v>
      </c>
      <c r="T7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1" spans="1:20" hidden="1" x14ac:dyDescent="0.25">
      <c r="A791" t="s">
        <v>79</v>
      </c>
      <c r="B791" s="28" t="s">
        <v>55</v>
      </c>
      <c r="C791" t="s">
        <v>16</v>
      </c>
      <c r="D791" t="str">
        <f>_xlfn.XLOOKUP(Table1[[#This Row],[Player]]&amp;Table1[[#This Row],[Week]]&amp;Table1[[#This Row],[Role]],'Google Form Transform'!$A:$A,'Google Form Transform'!E:E,"")</f>
        <v/>
      </c>
      <c r="E791" t="str">
        <f>_xlfn.XLOOKUP(Table1[[#This Row],[Player]]&amp;Table1[[#This Row],[Week]]&amp;Table1[[#This Row],[Role]],'Google Form Transform'!$A:$A,'Google Form Transform'!F:F,"")</f>
        <v/>
      </c>
      <c r="F791" t="str">
        <f>_xlfn.XLOOKUP(Table1[[#This Row],[Player]]&amp;Table1[[#This Row],[Week]]&amp;Table1[[#This Row],[Role]],'Google Form Transform'!$A:$A,'Google Form Transform'!G:G,"")</f>
        <v/>
      </c>
      <c r="G791" s="59">
        <f>SUMIFS(Table2[Stat],Table2[Stat Category],"passing",Table2[Stat Type],"YDS",Table2[Athlete],Table1[[#This Row],[Pick]],Table2[Week],Table1[[#This Row],[Week]])</f>
        <v>0</v>
      </c>
      <c r="H791" s="59">
        <f>SUMIFS(Table2[Stat],Table2[Stat Category],"rushing",Table2[Stat Type],"YDS",Table2[Athlete],Table1[[#This Row],[Pick]],Table2[Week],Table1[[#This Row],[Week]])</f>
        <v>0</v>
      </c>
      <c r="I791" s="59">
        <f>SUMIFS(Table2[Stat],Table2[Stat Category],"receiving",Table2[Stat Type],"YDS",Table2[Athlete],Table1[[#This Row],[Pick]],Table2[Week],Table1[[#This Row],[Week]])</f>
        <v>0</v>
      </c>
      <c r="J791" s="6">
        <f>IF(AND($C791="Rushing", $H791&lt;=0), 0, IF(AND($C791="Passing", $G$3&lt;=0), 0,IF(AND($C791="Receiving",$I791&lt;=0), 0,SUMIFS(Table2[Stat],Table2[Week],Table1[[#This Row],[Week]],Table2[Athlete],Table1[[#This Row],[Pick]],Table2[Stat Category],"passing",Table2[Stat Type],"TD"))))</f>
        <v>0</v>
      </c>
      <c r="K791" s="6">
        <f>IF(AND($C791="Rushing", $H791&lt;=0), 0, IF(AND($C791="Passing", $G$3&lt;=0), 0,IF(AND($C791="Receiving",$I791&lt;=0),0,SUMIFS(Table2[Stat],Table2[Week],Table1[[#This Row],[Week]],Table2[Athlete],Table1[[#This Row],[Pick]],Table2[Stat Category],"rushing",Table2[Stat Type],"TD"))))</f>
        <v>0</v>
      </c>
      <c r="L791" s="6">
        <f>IF(AND($C791="Rushing", $H791&lt;=0), 0, IF(AND($C791="Passing", $G$3&lt;=0), 0,IF(AND($C791="Receiving",$I791&lt;=0),0,SUMIFS(Table2[Stat],Table2[Week],Table1[[#This Row],[Week]],Table2[Athlete],Table1[[#This Row],[Pick]],Table2[Stat Category],"receiving",Table2[Stat Type],"TD"))))</f>
        <v>0</v>
      </c>
      <c r="M7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1" s="61">
        <f>SUMIFS(Data!$J:$J,Data!$A:$A,Info!$B791,Data!$G:$G,Info!$C791,Data!$I:$I,Info!$D791,Data!$H:$H,"TOT")</f>
        <v>0</v>
      </c>
      <c r="O791" s="61">
        <f>IF(C791="Defensive",SUMIFS(Data!$J:$J,Data!$A:$A,Info!$B791,Data!$I:$I,Info!$D791,Data!$H:$H,"INT"),0)</f>
        <v>0</v>
      </c>
      <c r="P791" s="61">
        <f>IF(Table1[[#This Row],[Role]]="Defensive",SUMIFS(Data!$J:$J,Data!$A:$A,Info!$B791,Data!$I:$I,Info!$D791,Data!$H:$H,$P$1),0)</f>
        <v>0</v>
      </c>
      <c r="Q791" s="65" t="str">
        <f>IF(Table1[[#This Row],[Pick]]="","",IF(S791&gt;1,400,IF(G791="","",IF(C791="Passing",(400-Table1[[#This Row],[Passing Yards]]-(30*Table1[[#This Row],[Passing TDs]])-(50*SUM(Table1[[#This Row],[Rushing TDs]:[Other TD''s]]))),IF(C791="Rushing",2*(200-Table1[[#This Row],[Rushing Yards]]-(30*Table1[[#This Row],[Passing TDs]])-50*(Table1[[#This Row],[Rushing TDs]]+Table1[[#This Row],[Receiving TDs]]+Table1[[#This Row],[Other TD''s]])),IF(C791="Receiving",2*(200-Table1[[#This Row],[Receiving Yards]]-(30*Table1[[#This Row],[Passing TDs]])-50*(Table1[[#This Row],[Rushing TDs]]+Table1[[#This Row],[Receiving TDs]]+Table1[[#This Row],[Other TD''s]])),IF(C791="Defensive",(25*(16-Table1[[#This Row],[Tackles]]-(8*(Table1[[#This Row],[Other TD''s]]+Table1[[#This Row],[Interceptions]]+Table1[[#This Row],[Fumbles Recovered]])))))))))))</f>
        <v/>
      </c>
      <c r="R791" s="3" t="str">
        <f t="shared" si="26"/>
        <v/>
      </c>
      <c r="S791" s="4">
        <f t="shared" si="25"/>
        <v>1048507</v>
      </c>
      <c r="T7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2" spans="1:20" hidden="1" x14ac:dyDescent="0.25">
      <c r="A792" t="s">
        <v>79</v>
      </c>
      <c r="B792" s="28" t="s">
        <v>55</v>
      </c>
      <c r="C792" t="s">
        <v>6</v>
      </c>
      <c r="D792" t="str">
        <f>_xlfn.XLOOKUP(Table1[[#This Row],[Player]]&amp;Table1[[#This Row],[Week]]&amp;Table1[[#This Row],[Role]],'Google Form Transform'!$A:$A,'Google Form Transform'!E:E,"")</f>
        <v/>
      </c>
      <c r="E792" t="str">
        <f>_xlfn.XLOOKUP(Table1[[#This Row],[Player]]&amp;Table1[[#This Row],[Week]]&amp;Table1[[#This Row],[Role]],'Google Form Transform'!$A:$A,'Google Form Transform'!F:F,"")</f>
        <v/>
      </c>
      <c r="F792" t="str">
        <f>_xlfn.XLOOKUP(Table1[[#This Row],[Player]]&amp;Table1[[#This Row],[Week]]&amp;Table1[[#This Row],[Role]],'Google Form Transform'!$A:$A,'Google Form Transform'!G:G,"")</f>
        <v/>
      </c>
      <c r="G792" s="59">
        <f>SUMIFS(Table2[Stat],Table2[Stat Category],"passing",Table2[Stat Type],"YDS",Table2[Athlete],Table1[[#This Row],[Pick]],Table2[Week],Table1[[#This Row],[Week]])</f>
        <v>0</v>
      </c>
      <c r="H792" s="59">
        <f>SUMIFS(Table2[Stat],Table2[Stat Category],"rushing",Table2[Stat Type],"YDS",Table2[Athlete],Table1[[#This Row],[Pick]],Table2[Week],Table1[[#This Row],[Week]])</f>
        <v>0</v>
      </c>
      <c r="I792" s="59">
        <f>SUMIFS(Table2[Stat],Table2[Stat Category],"receiving",Table2[Stat Type],"YDS",Table2[Athlete],Table1[[#This Row],[Pick]],Table2[Week],Table1[[#This Row],[Week]])</f>
        <v>0</v>
      </c>
      <c r="J792" s="6">
        <f>IF(AND($C792="Rushing", $H792&lt;=0), 0, IF(AND($C792="Passing", $G$3&lt;=0), 0,IF(AND($C792="Receiving",$I792&lt;=0), 0,SUMIFS(Table2[Stat],Table2[Week],Table1[[#This Row],[Week]],Table2[Athlete],Table1[[#This Row],[Pick]],Table2[Stat Category],"passing",Table2[Stat Type],"TD"))))</f>
        <v>0</v>
      </c>
      <c r="K792" s="6">
        <f>IF(AND($C792="Rushing", $H792&lt;=0), 0, IF(AND($C792="Passing", $G$3&lt;=0), 0,IF(AND($C792="Receiving",$I792&lt;=0),0,SUMIFS(Table2[Stat],Table2[Week],Table1[[#This Row],[Week]],Table2[Athlete],Table1[[#This Row],[Pick]],Table2[Stat Category],"rushing",Table2[Stat Type],"TD"))))</f>
        <v>0</v>
      </c>
      <c r="L792" s="6">
        <f>IF(AND($C792="Rushing", $H792&lt;=0), 0, IF(AND($C792="Passing", $G$3&lt;=0), 0,IF(AND($C792="Receiving",$I792&lt;=0),0,SUMIFS(Table2[Stat],Table2[Week],Table1[[#This Row],[Week]],Table2[Athlete],Table1[[#This Row],[Pick]],Table2[Stat Category],"receiving",Table2[Stat Type],"TD"))))</f>
        <v>0</v>
      </c>
      <c r="M7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2" s="61">
        <f>SUMIFS(Data!$J:$J,Data!$A:$A,Info!$B792,Data!$G:$G,Info!$C792,Data!$I:$I,Info!$D792,Data!$H:$H,"TOT")</f>
        <v>0</v>
      </c>
      <c r="O792" s="61">
        <f>IF(C792="Defensive",SUMIFS(Data!$J:$J,Data!$A:$A,Info!$B792,Data!$I:$I,Info!$D792,Data!$H:$H,"INT"),0)</f>
        <v>0</v>
      </c>
      <c r="P792" s="61">
        <f>IF(Table1[[#This Row],[Role]]="Defensive",SUMIFS(Data!$J:$J,Data!$A:$A,Info!$B792,Data!$I:$I,Info!$D792,Data!$H:$H,$P$1),0)</f>
        <v>0</v>
      </c>
      <c r="Q792" s="65" t="str">
        <f>IF(Table1[[#This Row],[Pick]]="","",IF(S792&gt;1,400,IF(G792="","",IF(C792="Passing",(400-Table1[[#This Row],[Passing Yards]]-(30*Table1[[#This Row],[Passing TDs]])-(50*SUM(Table1[[#This Row],[Rushing TDs]:[Other TD''s]]))),IF(C792="Rushing",2*(200-Table1[[#This Row],[Rushing Yards]]-(30*Table1[[#This Row],[Passing TDs]])-50*(Table1[[#This Row],[Rushing TDs]]+Table1[[#This Row],[Receiving TDs]]+Table1[[#This Row],[Other TD''s]])),IF(C792="Receiving",2*(200-Table1[[#This Row],[Receiving Yards]]-(30*Table1[[#This Row],[Passing TDs]])-50*(Table1[[#This Row],[Rushing TDs]]+Table1[[#This Row],[Receiving TDs]]+Table1[[#This Row],[Other TD''s]])),IF(C792="Defensive",(25*(16-Table1[[#This Row],[Tackles]]-(8*(Table1[[#This Row],[Other TD''s]]+Table1[[#This Row],[Interceptions]]+Table1[[#This Row],[Fumbles Recovered]])))))))))))</f>
        <v/>
      </c>
      <c r="R792" s="3" t="str">
        <f t="shared" si="26"/>
        <v/>
      </c>
      <c r="S792" s="4">
        <f t="shared" si="25"/>
        <v>1048507</v>
      </c>
      <c r="T7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3" spans="1:20" hidden="1" x14ac:dyDescent="0.25">
      <c r="A793" t="s">
        <v>79</v>
      </c>
      <c r="B793" s="28" t="s">
        <v>55</v>
      </c>
      <c r="C793" t="s">
        <v>17</v>
      </c>
      <c r="D793" t="str">
        <f>_xlfn.XLOOKUP(Table1[[#This Row],[Player]]&amp;Table1[[#This Row],[Week]]&amp;Table1[[#This Row],[Role]],'Google Form Transform'!$A:$A,'Google Form Transform'!E:E,"")</f>
        <v/>
      </c>
      <c r="E793" t="str">
        <f>_xlfn.XLOOKUP(Table1[[#This Row],[Player]]&amp;Table1[[#This Row],[Week]]&amp;Table1[[#This Row],[Role]],'Google Form Transform'!$A:$A,'Google Form Transform'!F:F,"")</f>
        <v/>
      </c>
      <c r="F793" t="str">
        <f>_xlfn.XLOOKUP(Table1[[#This Row],[Player]]&amp;Table1[[#This Row],[Week]]&amp;Table1[[#This Row],[Role]],'Google Form Transform'!$A:$A,'Google Form Transform'!G:G,"")</f>
        <v/>
      </c>
      <c r="G793" s="59">
        <f>SUMIFS(Table2[Stat],Table2[Stat Category],"passing",Table2[Stat Type],"YDS",Table2[Athlete],Table1[[#This Row],[Pick]],Table2[Week],Table1[[#This Row],[Week]])</f>
        <v>0</v>
      </c>
      <c r="H793" s="59">
        <f>SUMIFS(Table2[Stat],Table2[Stat Category],"rushing",Table2[Stat Type],"YDS",Table2[Athlete],Table1[[#This Row],[Pick]],Table2[Week],Table1[[#This Row],[Week]])</f>
        <v>0</v>
      </c>
      <c r="I793" s="59">
        <f>SUMIFS(Table2[Stat],Table2[Stat Category],"receiving",Table2[Stat Type],"YDS",Table2[Athlete],Table1[[#This Row],[Pick]],Table2[Week],Table1[[#This Row],[Week]])</f>
        <v>0</v>
      </c>
      <c r="J793" s="6">
        <f>IF(AND($C793="Rushing", $H793&lt;=0), 0, IF(AND($C793="Passing", $G$3&lt;=0), 0,IF(AND($C793="Receiving",$I793&lt;=0), 0,SUMIFS(Table2[Stat],Table2[Week],Table1[[#This Row],[Week]],Table2[Athlete],Table1[[#This Row],[Pick]],Table2[Stat Category],"passing",Table2[Stat Type],"TD"))))</f>
        <v>0</v>
      </c>
      <c r="K793" s="6">
        <f>IF(AND($C793="Rushing", $H793&lt;=0), 0, IF(AND($C793="Passing", $G$3&lt;=0), 0,IF(AND($C793="Receiving",$I793&lt;=0),0,SUMIFS(Table2[Stat],Table2[Week],Table1[[#This Row],[Week]],Table2[Athlete],Table1[[#This Row],[Pick]],Table2[Stat Category],"rushing",Table2[Stat Type],"TD"))))</f>
        <v>0</v>
      </c>
      <c r="L793" s="6">
        <f>IF(AND($C793="Rushing", $H793&lt;=0), 0, IF(AND($C793="Passing", $G$3&lt;=0), 0,IF(AND($C793="Receiving",$I793&lt;=0),0,SUMIFS(Table2[Stat],Table2[Week],Table1[[#This Row],[Week]],Table2[Athlete],Table1[[#This Row],[Pick]],Table2[Stat Category],"receiving",Table2[Stat Type],"TD"))))</f>
        <v>0</v>
      </c>
      <c r="M7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3" s="61">
        <f>SUMIFS(Data!$J:$J,Data!$A:$A,Info!$B793,Data!$G:$G,Info!$C793,Data!$I:$I,Info!$D793,Data!$H:$H,"TOT")</f>
        <v>0</v>
      </c>
      <c r="O793" s="61">
        <f>IF(C793="Defensive",SUMIFS(Data!$J:$J,Data!$A:$A,Info!$B793,Data!$I:$I,Info!$D793,Data!$H:$H,"INT"),0)</f>
        <v>0</v>
      </c>
      <c r="P793" s="61">
        <f>IF(Table1[[#This Row],[Role]]="Defensive",SUMIFS(Data!$J:$J,Data!$A:$A,Info!$B793,Data!$I:$I,Info!$D793,Data!$H:$H,$P$1),0)</f>
        <v>0</v>
      </c>
      <c r="Q793" s="65" t="str">
        <f>IF(Table1[[#This Row],[Pick]]="","",IF(S793&gt;1,400,IF(G793="","",IF(C793="Passing",(400-Table1[[#This Row],[Passing Yards]]-(30*Table1[[#This Row],[Passing TDs]])-(50*SUM(Table1[[#This Row],[Rushing TDs]:[Other TD''s]]))),IF(C793="Rushing",2*(200-Table1[[#This Row],[Rushing Yards]]-(30*Table1[[#This Row],[Passing TDs]])-50*(Table1[[#This Row],[Rushing TDs]]+Table1[[#This Row],[Receiving TDs]]+Table1[[#This Row],[Other TD''s]])),IF(C793="Receiving",2*(200-Table1[[#This Row],[Receiving Yards]]-(30*Table1[[#This Row],[Passing TDs]])-50*(Table1[[#This Row],[Rushing TDs]]+Table1[[#This Row],[Receiving TDs]]+Table1[[#This Row],[Other TD''s]])),IF(C793="Defensive",(25*(16-Table1[[#This Row],[Tackles]]-(8*(Table1[[#This Row],[Other TD''s]]+Table1[[#This Row],[Interceptions]]+Table1[[#This Row],[Fumbles Recovered]])))))))))))</f>
        <v/>
      </c>
      <c r="R793" s="3" t="str">
        <f t="shared" si="26"/>
        <v/>
      </c>
      <c r="S793" s="4">
        <f t="shared" si="25"/>
        <v>1048507</v>
      </c>
      <c r="T7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4" spans="1:20" hidden="1" x14ac:dyDescent="0.25">
      <c r="A794" t="s">
        <v>79</v>
      </c>
      <c r="B794" s="28" t="s">
        <v>55</v>
      </c>
      <c r="C794" t="s">
        <v>20</v>
      </c>
      <c r="D794" t="str">
        <f>_xlfn.XLOOKUP(Table1[[#This Row],[Player]]&amp;Table1[[#This Row],[Week]]&amp;Table1[[#This Row],[Role]],'Google Form Transform'!$A:$A,'Google Form Transform'!E:E,"")</f>
        <v/>
      </c>
      <c r="E794" t="str">
        <f>_xlfn.XLOOKUP(Table1[[#This Row],[Player]]&amp;Table1[[#This Row],[Week]]&amp;Table1[[#This Row],[Role]],'Google Form Transform'!$A:$A,'Google Form Transform'!F:F,"")</f>
        <v/>
      </c>
      <c r="F794" t="str">
        <f>_xlfn.XLOOKUP(Table1[[#This Row],[Player]]&amp;Table1[[#This Row],[Week]]&amp;Table1[[#This Row],[Role]],'Google Form Transform'!$A:$A,'Google Form Transform'!G:G,"")</f>
        <v/>
      </c>
      <c r="G794" s="59">
        <f>SUMIFS(Table2[Stat],Table2[Stat Category],"passing",Table2[Stat Type],"YDS",Table2[Athlete],Table1[[#This Row],[Pick]],Table2[Week],Table1[[#This Row],[Week]])</f>
        <v>0</v>
      </c>
      <c r="H794" s="59">
        <f>SUMIFS(Table2[Stat],Table2[Stat Category],"rushing",Table2[Stat Type],"YDS",Table2[Athlete],Table1[[#This Row],[Pick]],Table2[Week],Table1[[#This Row],[Week]])</f>
        <v>0</v>
      </c>
      <c r="I794" s="59">
        <f>SUMIFS(Table2[Stat],Table2[Stat Category],"receiving",Table2[Stat Type],"YDS",Table2[Athlete],Table1[[#This Row],[Pick]],Table2[Week],Table1[[#This Row],[Week]])</f>
        <v>0</v>
      </c>
      <c r="J794" s="6">
        <f>IF(AND($C794="Rushing", $H794&lt;=0), 0, IF(AND($C794="Passing", $G$3&lt;=0), 0,IF(AND($C794="Receiving",$I794&lt;=0), 0,SUMIFS(Table2[Stat],Table2[Week],Table1[[#This Row],[Week]],Table2[Athlete],Table1[[#This Row],[Pick]],Table2[Stat Category],"passing",Table2[Stat Type],"TD"))))</f>
        <v>0</v>
      </c>
      <c r="K794" s="6">
        <f>IF(AND($C794="Rushing", $H794&lt;=0), 0, IF(AND($C794="Passing", $G$3&lt;=0), 0,IF(AND($C794="Receiving",$I794&lt;=0),0,SUMIFS(Table2[Stat],Table2[Week],Table1[[#This Row],[Week]],Table2[Athlete],Table1[[#This Row],[Pick]],Table2[Stat Category],"rushing",Table2[Stat Type],"TD"))))</f>
        <v>0</v>
      </c>
      <c r="L794" s="6">
        <f>IF(AND($C794="Rushing", $H794&lt;=0), 0, IF(AND($C794="Passing", $G$3&lt;=0), 0,IF(AND($C794="Receiving",$I794&lt;=0),0,SUMIFS(Table2[Stat],Table2[Week],Table1[[#This Row],[Week]],Table2[Athlete],Table1[[#This Row],[Pick]],Table2[Stat Category],"receiving",Table2[Stat Type],"TD"))))</f>
        <v>0</v>
      </c>
      <c r="M7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4" s="61">
        <f>SUMIFS(Data!$J:$J,Data!$A:$A,Info!$B794,Data!$G:$G,Info!$C794,Data!$I:$I,Info!$D794,Data!$H:$H,"TOT")</f>
        <v>0</v>
      </c>
      <c r="O794" s="61">
        <f>IF(C794="Defensive",SUMIFS(Data!$J:$J,Data!$A:$A,Info!$B794,Data!$I:$I,Info!$D794,Data!$H:$H,"INT"),0)</f>
        <v>0</v>
      </c>
      <c r="P794" s="61">
        <f>IF(Table1[[#This Row],[Role]]="Defensive",SUMIFS(Data!$J:$J,Data!$A:$A,Info!$B794,Data!$I:$I,Info!$D794,Data!$H:$H,$P$1),0)</f>
        <v>0</v>
      </c>
      <c r="Q794" s="65" t="str">
        <f>IF(Table1[[#This Row],[Pick]]="","",IF(S794&gt;1,400,IF(G794="","",IF(C794="Passing",(400-Table1[[#This Row],[Passing Yards]]-(30*Table1[[#This Row],[Passing TDs]])-(50*SUM(Table1[[#This Row],[Rushing TDs]:[Other TD''s]]))),IF(C794="Rushing",2*(200-Table1[[#This Row],[Rushing Yards]]-(30*Table1[[#This Row],[Passing TDs]])-50*(Table1[[#This Row],[Rushing TDs]]+Table1[[#This Row],[Receiving TDs]]+Table1[[#This Row],[Other TD''s]])),IF(C794="Receiving",2*(200-Table1[[#This Row],[Receiving Yards]]-(30*Table1[[#This Row],[Passing TDs]])-50*(Table1[[#This Row],[Rushing TDs]]+Table1[[#This Row],[Receiving TDs]]+Table1[[#This Row],[Other TD''s]])),IF(C794="Defensive",(25*(16-Table1[[#This Row],[Tackles]]-(8*(Table1[[#This Row],[Other TD''s]]+Table1[[#This Row],[Interceptions]]+Table1[[#This Row],[Fumbles Recovered]])))))))))))</f>
        <v/>
      </c>
      <c r="R794" s="3" t="str">
        <f t="shared" si="26"/>
        <v/>
      </c>
      <c r="S794" s="4">
        <f t="shared" si="25"/>
        <v>1048507</v>
      </c>
      <c r="T7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5" spans="1:20" hidden="1" x14ac:dyDescent="0.25">
      <c r="A795" t="s">
        <v>58</v>
      </c>
      <c r="B795" s="28" t="s">
        <v>55</v>
      </c>
      <c r="C795" t="s">
        <v>16</v>
      </c>
      <c r="D795" t="str">
        <f>_xlfn.XLOOKUP(Table1[[#This Row],[Player]]&amp;Table1[[#This Row],[Week]]&amp;Table1[[#This Row],[Role]],'Google Form Transform'!$A:$A,'Google Form Transform'!E:E,"")</f>
        <v/>
      </c>
      <c r="E795" t="str">
        <f>_xlfn.XLOOKUP(Table1[[#This Row],[Player]]&amp;Table1[[#This Row],[Week]]&amp;Table1[[#This Row],[Role]],'Google Form Transform'!$A:$A,'Google Form Transform'!F:F,"")</f>
        <v/>
      </c>
      <c r="F795" t="str">
        <f>_xlfn.XLOOKUP(Table1[[#This Row],[Player]]&amp;Table1[[#This Row],[Week]]&amp;Table1[[#This Row],[Role]],'Google Form Transform'!$A:$A,'Google Form Transform'!G:G,"")</f>
        <v/>
      </c>
      <c r="G795" s="59">
        <f>SUMIFS(Table2[Stat],Table2[Stat Category],"passing",Table2[Stat Type],"YDS",Table2[Athlete],Table1[[#This Row],[Pick]],Table2[Week],Table1[[#This Row],[Week]])</f>
        <v>0</v>
      </c>
      <c r="H795" s="59">
        <f>SUMIFS(Table2[Stat],Table2[Stat Category],"rushing",Table2[Stat Type],"YDS",Table2[Athlete],Table1[[#This Row],[Pick]],Table2[Week],Table1[[#This Row],[Week]])</f>
        <v>0</v>
      </c>
      <c r="I795" s="59">
        <f>SUMIFS(Table2[Stat],Table2[Stat Category],"receiving",Table2[Stat Type],"YDS",Table2[Athlete],Table1[[#This Row],[Pick]],Table2[Week],Table1[[#This Row],[Week]])</f>
        <v>0</v>
      </c>
      <c r="J795" s="6">
        <f>IF(AND($C795="Rushing", $H795&lt;=0), 0, IF(AND($C795="Passing", $G$3&lt;=0), 0,IF(AND($C795="Receiving",$I795&lt;=0), 0,SUMIFS(Table2[Stat],Table2[Week],Table1[[#This Row],[Week]],Table2[Athlete],Table1[[#This Row],[Pick]],Table2[Stat Category],"passing",Table2[Stat Type],"TD"))))</f>
        <v>0</v>
      </c>
      <c r="K795" s="6">
        <f>IF(AND($C795="Rushing", $H795&lt;=0), 0, IF(AND($C795="Passing", $G$3&lt;=0), 0,IF(AND($C795="Receiving",$I795&lt;=0),0,SUMIFS(Table2[Stat],Table2[Week],Table1[[#This Row],[Week]],Table2[Athlete],Table1[[#This Row],[Pick]],Table2[Stat Category],"rushing",Table2[Stat Type],"TD"))))</f>
        <v>0</v>
      </c>
      <c r="L795" s="6">
        <f>IF(AND($C795="Rushing", $H795&lt;=0), 0, IF(AND($C795="Passing", $G$3&lt;=0), 0,IF(AND($C795="Receiving",$I795&lt;=0),0,SUMIFS(Table2[Stat],Table2[Week],Table1[[#This Row],[Week]],Table2[Athlete],Table1[[#This Row],[Pick]],Table2[Stat Category],"receiving",Table2[Stat Type],"TD"))))</f>
        <v>0</v>
      </c>
      <c r="M7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5" s="61">
        <f>SUMIFS(Data!$J:$J,Data!$A:$A,Info!$B795,Data!$G:$G,Info!$C795,Data!$I:$I,Info!$D795,Data!$H:$H,"TOT")</f>
        <v>0</v>
      </c>
      <c r="O795" s="61">
        <f>IF(C795="Defensive",SUMIFS(Data!$J:$J,Data!$A:$A,Info!$B795,Data!$I:$I,Info!$D795,Data!$H:$H,"INT"),0)</f>
        <v>0</v>
      </c>
      <c r="P795" s="61">
        <f>IF(Table1[[#This Row],[Role]]="Defensive",SUMIFS(Data!$J:$J,Data!$A:$A,Info!$B795,Data!$I:$I,Info!$D795,Data!$H:$H,$P$1),0)</f>
        <v>0</v>
      </c>
      <c r="Q795" s="65" t="str">
        <f>IF(Table1[[#This Row],[Pick]]="","",IF(S795&gt;1,400,IF(G795="","",IF(C795="Passing",(400-Table1[[#This Row],[Passing Yards]]-(30*Table1[[#This Row],[Passing TDs]])-(50*SUM(Table1[[#This Row],[Rushing TDs]:[Other TD''s]]))),IF(C795="Rushing",2*(200-Table1[[#This Row],[Rushing Yards]]-(30*Table1[[#This Row],[Passing TDs]])-50*(Table1[[#This Row],[Rushing TDs]]+Table1[[#This Row],[Receiving TDs]]+Table1[[#This Row],[Other TD''s]])),IF(C795="Receiving",2*(200-Table1[[#This Row],[Receiving Yards]]-(30*Table1[[#This Row],[Passing TDs]])-50*(Table1[[#This Row],[Rushing TDs]]+Table1[[#This Row],[Receiving TDs]]+Table1[[#This Row],[Other TD''s]])),IF(C795="Defensive",(25*(16-Table1[[#This Row],[Tackles]]-(8*(Table1[[#This Row],[Other TD''s]]+Table1[[#This Row],[Interceptions]]+Table1[[#This Row],[Fumbles Recovered]])))))))))))</f>
        <v/>
      </c>
      <c r="R795" s="3" t="str">
        <f t="shared" si="26"/>
        <v/>
      </c>
      <c r="S795" s="4">
        <f t="shared" si="25"/>
        <v>1048507</v>
      </c>
      <c r="T7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6" spans="1:20" hidden="1" x14ac:dyDescent="0.25">
      <c r="A796" t="s">
        <v>58</v>
      </c>
      <c r="B796" s="28" t="s">
        <v>55</v>
      </c>
      <c r="C796" t="s">
        <v>6</v>
      </c>
      <c r="D796" t="str">
        <f>_xlfn.XLOOKUP(Table1[[#This Row],[Player]]&amp;Table1[[#This Row],[Week]]&amp;Table1[[#This Row],[Role]],'Google Form Transform'!$A:$A,'Google Form Transform'!E:E,"")</f>
        <v/>
      </c>
      <c r="E796" t="str">
        <f>_xlfn.XLOOKUP(Table1[[#This Row],[Player]]&amp;Table1[[#This Row],[Week]]&amp;Table1[[#This Row],[Role]],'Google Form Transform'!$A:$A,'Google Form Transform'!F:F,"")</f>
        <v/>
      </c>
      <c r="F796" t="str">
        <f>_xlfn.XLOOKUP(Table1[[#This Row],[Player]]&amp;Table1[[#This Row],[Week]]&amp;Table1[[#This Row],[Role]],'Google Form Transform'!$A:$A,'Google Form Transform'!G:G,"")</f>
        <v/>
      </c>
      <c r="G796" s="59">
        <f>SUMIFS(Table2[Stat],Table2[Stat Category],"passing",Table2[Stat Type],"YDS",Table2[Athlete],Table1[[#This Row],[Pick]],Table2[Week],Table1[[#This Row],[Week]])</f>
        <v>0</v>
      </c>
      <c r="H796" s="59">
        <f>SUMIFS(Table2[Stat],Table2[Stat Category],"rushing",Table2[Stat Type],"YDS",Table2[Athlete],Table1[[#This Row],[Pick]],Table2[Week],Table1[[#This Row],[Week]])</f>
        <v>0</v>
      </c>
      <c r="I796" s="59">
        <f>SUMIFS(Table2[Stat],Table2[Stat Category],"receiving",Table2[Stat Type],"YDS",Table2[Athlete],Table1[[#This Row],[Pick]],Table2[Week],Table1[[#This Row],[Week]])</f>
        <v>0</v>
      </c>
      <c r="J796" s="6">
        <f>IF(AND($C796="Rushing", $H796&lt;=0), 0, IF(AND($C796="Passing", $G$3&lt;=0), 0,IF(AND($C796="Receiving",$I796&lt;=0), 0,SUMIFS(Table2[Stat],Table2[Week],Table1[[#This Row],[Week]],Table2[Athlete],Table1[[#This Row],[Pick]],Table2[Stat Category],"passing",Table2[Stat Type],"TD"))))</f>
        <v>0</v>
      </c>
      <c r="K796" s="6">
        <f>IF(AND($C796="Rushing", $H796&lt;=0), 0, IF(AND($C796="Passing", $G$3&lt;=0), 0,IF(AND($C796="Receiving",$I796&lt;=0),0,SUMIFS(Table2[Stat],Table2[Week],Table1[[#This Row],[Week]],Table2[Athlete],Table1[[#This Row],[Pick]],Table2[Stat Category],"rushing",Table2[Stat Type],"TD"))))</f>
        <v>0</v>
      </c>
      <c r="L796" s="6">
        <f>IF(AND($C796="Rushing", $H796&lt;=0), 0, IF(AND($C796="Passing", $G$3&lt;=0), 0,IF(AND($C796="Receiving",$I796&lt;=0),0,SUMIFS(Table2[Stat],Table2[Week],Table1[[#This Row],[Week]],Table2[Athlete],Table1[[#This Row],[Pick]],Table2[Stat Category],"receiving",Table2[Stat Type],"TD"))))</f>
        <v>0</v>
      </c>
      <c r="M7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6" s="61">
        <f>SUMIFS(Data!$J:$J,Data!$A:$A,Info!$B796,Data!$G:$G,Info!$C796,Data!$I:$I,Info!$D796,Data!$H:$H,"TOT")</f>
        <v>0</v>
      </c>
      <c r="O796" s="61">
        <f>IF(C796="Defensive",SUMIFS(Data!$J:$J,Data!$A:$A,Info!$B796,Data!$I:$I,Info!$D796,Data!$H:$H,"INT"),0)</f>
        <v>0</v>
      </c>
      <c r="P796" s="61">
        <f>IF(Table1[[#This Row],[Role]]="Defensive",SUMIFS(Data!$J:$J,Data!$A:$A,Info!$B796,Data!$I:$I,Info!$D796,Data!$H:$H,$P$1),0)</f>
        <v>0</v>
      </c>
      <c r="Q796" s="65" t="str">
        <f>IF(Table1[[#This Row],[Pick]]="","",IF(S796&gt;1,400,IF(G796="","",IF(C796="Passing",(400-Table1[[#This Row],[Passing Yards]]-(30*Table1[[#This Row],[Passing TDs]])-(50*SUM(Table1[[#This Row],[Rushing TDs]:[Other TD''s]]))),IF(C796="Rushing",2*(200-Table1[[#This Row],[Rushing Yards]]-(30*Table1[[#This Row],[Passing TDs]])-50*(Table1[[#This Row],[Rushing TDs]]+Table1[[#This Row],[Receiving TDs]]+Table1[[#This Row],[Other TD''s]])),IF(C796="Receiving",2*(200-Table1[[#This Row],[Receiving Yards]]-(30*Table1[[#This Row],[Passing TDs]])-50*(Table1[[#This Row],[Rushing TDs]]+Table1[[#This Row],[Receiving TDs]]+Table1[[#This Row],[Other TD''s]])),IF(C796="Defensive",(25*(16-Table1[[#This Row],[Tackles]]-(8*(Table1[[#This Row],[Other TD''s]]+Table1[[#This Row],[Interceptions]]+Table1[[#This Row],[Fumbles Recovered]])))))))))))</f>
        <v/>
      </c>
      <c r="R796" s="3" t="str">
        <f t="shared" si="26"/>
        <v/>
      </c>
      <c r="S796" s="4">
        <f t="shared" si="25"/>
        <v>1048507</v>
      </c>
      <c r="T7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7" spans="1:20" hidden="1" x14ac:dyDescent="0.25">
      <c r="A797" t="s">
        <v>58</v>
      </c>
      <c r="B797" s="28" t="s">
        <v>55</v>
      </c>
      <c r="C797" t="s">
        <v>17</v>
      </c>
      <c r="D797" t="str">
        <f>_xlfn.XLOOKUP(Table1[[#This Row],[Player]]&amp;Table1[[#This Row],[Week]]&amp;Table1[[#This Row],[Role]],'Google Form Transform'!$A:$A,'Google Form Transform'!E:E,"")</f>
        <v/>
      </c>
      <c r="E797" t="str">
        <f>_xlfn.XLOOKUP(Table1[[#This Row],[Player]]&amp;Table1[[#This Row],[Week]]&amp;Table1[[#This Row],[Role]],'Google Form Transform'!$A:$A,'Google Form Transform'!F:F,"")</f>
        <v/>
      </c>
      <c r="F797" t="str">
        <f>_xlfn.XLOOKUP(Table1[[#This Row],[Player]]&amp;Table1[[#This Row],[Week]]&amp;Table1[[#This Row],[Role]],'Google Form Transform'!$A:$A,'Google Form Transform'!G:G,"")</f>
        <v/>
      </c>
      <c r="G797" s="59">
        <f>SUMIFS(Table2[Stat],Table2[Stat Category],"passing",Table2[Stat Type],"YDS",Table2[Athlete],Table1[[#This Row],[Pick]],Table2[Week],Table1[[#This Row],[Week]])</f>
        <v>0</v>
      </c>
      <c r="H797" s="59">
        <f>SUMIFS(Table2[Stat],Table2[Stat Category],"rushing",Table2[Stat Type],"YDS",Table2[Athlete],Table1[[#This Row],[Pick]],Table2[Week],Table1[[#This Row],[Week]])</f>
        <v>0</v>
      </c>
      <c r="I797" s="59">
        <f>SUMIFS(Table2[Stat],Table2[Stat Category],"receiving",Table2[Stat Type],"YDS",Table2[Athlete],Table1[[#This Row],[Pick]],Table2[Week],Table1[[#This Row],[Week]])</f>
        <v>0</v>
      </c>
      <c r="J797" s="6">
        <f>IF(AND($C797="Rushing", $H797&lt;=0), 0, IF(AND($C797="Passing", $G$3&lt;=0), 0,IF(AND($C797="Receiving",$I797&lt;=0), 0,SUMIFS(Table2[Stat],Table2[Week],Table1[[#This Row],[Week]],Table2[Athlete],Table1[[#This Row],[Pick]],Table2[Stat Category],"passing",Table2[Stat Type],"TD"))))</f>
        <v>0</v>
      </c>
      <c r="K797" s="6">
        <f>IF(AND($C797="Rushing", $H797&lt;=0), 0, IF(AND($C797="Passing", $G$3&lt;=0), 0,IF(AND($C797="Receiving",$I797&lt;=0),0,SUMIFS(Table2[Stat],Table2[Week],Table1[[#This Row],[Week]],Table2[Athlete],Table1[[#This Row],[Pick]],Table2[Stat Category],"rushing",Table2[Stat Type],"TD"))))</f>
        <v>0</v>
      </c>
      <c r="L797" s="6">
        <f>IF(AND($C797="Rushing", $H797&lt;=0), 0, IF(AND($C797="Passing", $G$3&lt;=0), 0,IF(AND($C797="Receiving",$I797&lt;=0),0,SUMIFS(Table2[Stat],Table2[Week],Table1[[#This Row],[Week]],Table2[Athlete],Table1[[#This Row],[Pick]],Table2[Stat Category],"receiving",Table2[Stat Type],"TD"))))</f>
        <v>0</v>
      </c>
      <c r="M7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7" s="61">
        <f>SUMIFS(Data!$J:$J,Data!$A:$A,Info!$B797,Data!$G:$G,Info!$C797,Data!$I:$I,Info!$D797,Data!$H:$H,"TOT")</f>
        <v>0</v>
      </c>
      <c r="O797" s="61">
        <f>IF(C797="Defensive",SUMIFS(Data!$J:$J,Data!$A:$A,Info!$B797,Data!$I:$I,Info!$D797,Data!$H:$H,"INT"),0)</f>
        <v>0</v>
      </c>
      <c r="P797" s="61">
        <f>IF(Table1[[#This Row],[Role]]="Defensive",SUMIFS(Data!$J:$J,Data!$A:$A,Info!$B797,Data!$I:$I,Info!$D797,Data!$H:$H,$P$1),0)</f>
        <v>0</v>
      </c>
      <c r="Q797" s="65" t="str">
        <f>IF(Table1[[#This Row],[Pick]]="","",IF(S797&gt;1,400,IF(G797="","",IF(C797="Passing",(400-Table1[[#This Row],[Passing Yards]]-(30*Table1[[#This Row],[Passing TDs]])-(50*SUM(Table1[[#This Row],[Rushing TDs]:[Other TD''s]]))),IF(C797="Rushing",2*(200-Table1[[#This Row],[Rushing Yards]]-(30*Table1[[#This Row],[Passing TDs]])-50*(Table1[[#This Row],[Rushing TDs]]+Table1[[#This Row],[Receiving TDs]]+Table1[[#This Row],[Other TD''s]])),IF(C797="Receiving",2*(200-Table1[[#This Row],[Receiving Yards]]-(30*Table1[[#This Row],[Passing TDs]])-50*(Table1[[#This Row],[Rushing TDs]]+Table1[[#This Row],[Receiving TDs]]+Table1[[#This Row],[Other TD''s]])),IF(C797="Defensive",(25*(16-Table1[[#This Row],[Tackles]]-(8*(Table1[[#This Row],[Other TD''s]]+Table1[[#This Row],[Interceptions]]+Table1[[#This Row],[Fumbles Recovered]])))))))))))</f>
        <v/>
      </c>
      <c r="R797" s="3" t="str">
        <f t="shared" si="26"/>
        <v/>
      </c>
      <c r="S797" s="4">
        <f t="shared" si="25"/>
        <v>1048507</v>
      </c>
      <c r="T7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8" spans="1:20" hidden="1" x14ac:dyDescent="0.25">
      <c r="A798" t="s">
        <v>58</v>
      </c>
      <c r="B798" s="28" t="s">
        <v>55</v>
      </c>
      <c r="C798" t="s">
        <v>20</v>
      </c>
      <c r="D798" t="str">
        <f>_xlfn.XLOOKUP(Table1[[#This Row],[Player]]&amp;Table1[[#This Row],[Week]]&amp;Table1[[#This Row],[Role]],'Google Form Transform'!$A:$A,'Google Form Transform'!E:E,"")</f>
        <v/>
      </c>
      <c r="E798" t="str">
        <f>_xlfn.XLOOKUP(Table1[[#This Row],[Player]]&amp;Table1[[#This Row],[Week]]&amp;Table1[[#This Row],[Role]],'Google Form Transform'!$A:$A,'Google Form Transform'!F:F,"")</f>
        <v/>
      </c>
      <c r="F798" t="str">
        <f>_xlfn.XLOOKUP(Table1[[#This Row],[Player]]&amp;Table1[[#This Row],[Week]]&amp;Table1[[#This Row],[Role]],'Google Form Transform'!$A:$A,'Google Form Transform'!G:G,"")</f>
        <v/>
      </c>
      <c r="G798" s="59">
        <f>SUMIFS(Table2[Stat],Table2[Stat Category],"passing",Table2[Stat Type],"YDS",Table2[Athlete],Table1[[#This Row],[Pick]],Table2[Week],Table1[[#This Row],[Week]])</f>
        <v>0</v>
      </c>
      <c r="H798" s="59">
        <f>SUMIFS(Table2[Stat],Table2[Stat Category],"rushing",Table2[Stat Type],"YDS",Table2[Athlete],Table1[[#This Row],[Pick]],Table2[Week],Table1[[#This Row],[Week]])</f>
        <v>0</v>
      </c>
      <c r="I798" s="59">
        <f>SUMIFS(Table2[Stat],Table2[Stat Category],"receiving",Table2[Stat Type],"YDS",Table2[Athlete],Table1[[#This Row],[Pick]],Table2[Week],Table1[[#This Row],[Week]])</f>
        <v>0</v>
      </c>
      <c r="J798" s="6">
        <f>IF(AND($C798="Rushing", $H798&lt;=0), 0, IF(AND($C798="Passing", $G$3&lt;=0), 0,IF(AND($C798="Receiving",$I798&lt;=0), 0,SUMIFS(Table2[Stat],Table2[Week],Table1[[#This Row],[Week]],Table2[Athlete],Table1[[#This Row],[Pick]],Table2[Stat Category],"passing",Table2[Stat Type],"TD"))))</f>
        <v>0</v>
      </c>
      <c r="K798" s="6">
        <f>IF(AND($C798="Rushing", $H798&lt;=0), 0, IF(AND($C798="Passing", $G$3&lt;=0), 0,IF(AND($C798="Receiving",$I798&lt;=0),0,SUMIFS(Table2[Stat],Table2[Week],Table1[[#This Row],[Week]],Table2[Athlete],Table1[[#This Row],[Pick]],Table2[Stat Category],"rushing",Table2[Stat Type],"TD"))))</f>
        <v>0</v>
      </c>
      <c r="L798" s="6">
        <f>IF(AND($C798="Rushing", $H798&lt;=0), 0, IF(AND($C798="Passing", $G$3&lt;=0), 0,IF(AND($C798="Receiving",$I798&lt;=0),0,SUMIFS(Table2[Stat],Table2[Week],Table1[[#This Row],[Week]],Table2[Athlete],Table1[[#This Row],[Pick]],Table2[Stat Category],"receiving",Table2[Stat Type],"TD"))))</f>
        <v>0</v>
      </c>
      <c r="M7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8" s="61">
        <f>SUMIFS(Data!$J:$J,Data!$A:$A,Info!$B798,Data!$G:$G,Info!$C798,Data!$I:$I,Info!$D798,Data!$H:$H,"TOT")</f>
        <v>0</v>
      </c>
      <c r="O798" s="61">
        <f>IF(C798="Defensive",SUMIFS(Data!$J:$J,Data!$A:$A,Info!$B798,Data!$I:$I,Info!$D798,Data!$H:$H,"INT"),0)</f>
        <v>0</v>
      </c>
      <c r="P798" s="61">
        <f>IF(Table1[[#This Row],[Role]]="Defensive",SUMIFS(Data!$J:$J,Data!$A:$A,Info!$B798,Data!$I:$I,Info!$D798,Data!$H:$H,$P$1),0)</f>
        <v>0</v>
      </c>
      <c r="Q798" s="65" t="str">
        <f>IF(Table1[[#This Row],[Pick]]="","",IF(S798&gt;1,400,IF(G798="","",IF(C798="Passing",(400-Table1[[#This Row],[Passing Yards]]-(30*Table1[[#This Row],[Passing TDs]])-(50*SUM(Table1[[#This Row],[Rushing TDs]:[Other TD''s]]))),IF(C798="Rushing",2*(200-Table1[[#This Row],[Rushing Yards]]-(30*Table1[[#This Row],[Passing TDs]])-50*(Table1[[#This Row],[Rushing TDs]]+Table1[[#This Row],[Receiving TDs]]+Table1[[#This Row],[Other TD''s]])),IF(C798="Receiving",2*(200-Table1[[#This Row],[Receiving Yards]]-(30*Table1[[#This Row],[Passing TDs]])-50*(Table1[[#This Row],[Rushing TDs]]+Table1[[#This Row],[Receiving TDs]]+Table1[[#This Row],[Other TD''s]])),IF(C798="Defensive",(25*(16-Table1[[#This Row],[Tackles]]-(8*(Table1[[#This Row],[Other TD''s]]+Table1[[#This Row],[Interceptions]]+Table1[[#This Row],[Fumbles Recovered]])))))))))))</f>
        <v/>
      </c>
      <c r="R798" s="3" t="str">
        <f t="shared" si="26"/>
        <v/>
      </c>
      <c r="S798" s="4">
        <f t="shared" si="25"/>
        <v>1048507</v>
      </c>
      <c r="T7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9" spans="1:20" hidden="1" x14ac:dyDescent="0.25">
      <c r="A799" t="s">
        <v>61</v>
      </c>
      <c r="B799" s="28" t="s">
        <v>55</v>
      </c>
      <c r="C799" t="s">
        <v>16</v>
      </c>
      <c r="D799" t="str">
        <f>_xlfn.XLOOKUP(Table1[[#This Row],[Player]]&amp;Table1[[#This Row],[Week]]&amp;Table1[[#This Row],[Role]],'Google Form Transform'!$A:$A,'Google Form Transform'!E:E,"")</f>
        <v/>
      </c>
      <c r="E799" t="str">
        <f>_xlfn.XLOOKUP(Table1[[#This Row],[Player]]&amp;Table1[[#This Row],[Week]]&amp;Table1[[#This Row],[Role]],'Google Form Transform'!$A:$A,'Google Form Transform'!F:F,"")</f>
        <v/>
      </c>
      <c r="F799" t="str">
        <f>_xlfn.XLOOKUP(Table1[[#This Row],[Player]]&amp;Table1[[#This Row],[Week]]&amp;Table1[[#This Row],[Role]],'Google Form Transform'!$A:$A,'Google Form Transform'!G:G,"")</f>
        <v/>
      </c>
      <c r="G799" s="59">
        <f>SUMIFS(Table2[Stat],Table2[Stat Category],"passing",Table2[Stat Type],"YDS",Table2[Athlete],Table1[[#This Row],[Pick]],Table2[Week],Table1[[#This Row],[Week]])</f>
        <v>0</v>
      </c>
      <c r="H799" s="59">
        <f>SUMIFS(Table2[Stat],Table2[Stat Category],"rushing",Table2[Stat Type],"YDS",Table2[Athlete],Table1[[#This Row],[Pick]],Table2[Week],Table1[[#This Row],[Week]])</f>
        <v>0</v>
      </c>
      <c r="I799" s="59">
        <f>SUMIFS(Table2[Stat],Table2[Stat Category],"receiving",Table2[Stat Type],"YDS",Table2[Athlete],Table1[[#This Row],[Pick]],Table2[Week],Table1[[#This Row],[Week]])</f>
        <v>0</v>
      </c>
      <c r="J799" s="6">
        <f>IF(AND($C799="Rushing", $H799&lt;=0), 0, IF(AND($C799="Passing", $G$3&lt;=0), 0,IF(AND($C799="Receiving",$I799&lt;=0), 0,SUMIFS(Table2[Stat],Table2[Week],Table1[[#This Row],[Week]],Table2[Athlete],Table1[[#This Row],[Pick]],Table2[Stat Category],"passing",Table2[Stat Type],"TD"))))</f>
        <v>0</v>
      </c>
      <c r="K799" s="6">
        <f>IF(AND($C799="Rushing", $H799&lt;=0), 0, IF(AND($C799="Passing", $G$3&lt;=0), 0,IF(AND($C799="Receiving",$I799&lt;=0),0,SUMIFS(Table2[Stat],Table2[Week],Table1[[#This Row],[Week]],Table2[Athlete],Table1[[#This Row],[Pick]],Table2[Stat Category],"rushing",Table2[Stat Type],"TD"))))</f>
        <v>0</v>
      </c>
      <c r="L799" s="6">
        <f>IF(AND($C799="Rushing", $H799&lt;=0), 0, IF(AND($C799="Passing", $G$3&lt;=0), 0,IF(AND($C799="Receiving",$I799&lt;=0),0,SUMIFS(Table2[Stat],Table2[Week],Table1[[#This Row],[Week]],Table2[Athlete],Table1[[#This Row],[Pick]],Table2[Stat Category],"receiving",Table2[Stat Type],"TD"))))</f>
        <v>0</v>
      </c>
      <c r="M7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9" s="61">
        <f>SUMIFS(Data!$J:$J,Data!$A:$A,Info!$B799,Data!$G:$G,Info!$C799,Data!$I:$I,Info!$D799,Data!$H:$H,"TOT")</f>
        <v>0</v>
      </c>
      <c r="O799" s="61">
        <f>IF(C799="Defensive",SUMIFS(Data!$J:$J,Data!$A:$A,Info!$B799,Data!$I:$I,Info!$D799,Data!$H:$H,"INT"),0)</f>
        <v>0</v>
      </c>
      <c r="P799" s="61">
        <f>IF(Table1[[#This Row],[Role]]="Defensive",SUMIFS(Data!$J:$J,Data!$A:$A,Info!$B799,Data!$I:$I,Info!$D799,Data!$H:$H,$P$1),0)</f>
        <v>0</v>
      </c>
      <c r="Q799" s="65" t="str">
        <f>IF(Table1[[#This Row],[Pick]]="","",IF(S799&gt;1,400,IF(G799="","",IF(C799="Passing",(400-Table1[[#This Row],[Passing Yards]]-(30*Table1[[#This Row],[Passing TDs]])-(50*SUM(Table1[[#This Row],[Rushing TDs]:[Other TD''s]]))),IF(C799="Rushing",2*(200-Table1[[#This Row],[Rushing Yards]]-(30*Table1[[#This Row],[Passing TDs]])-50*(Table1[[#This Row],[Rushing TDs]]+Table1[[#This Row],[Receiving TDs]]+Table1[[#This Row],[Other TD''s]])),IF(C799="Receiving",2*(200-Table1[[#This Row],[Receiving Yards]]-(30*Table1[[#This Row],[Passing TDs]])-50*(Table1[[#This Row],[Rushing TDs]]+Table1[[#This Row],[Receiving TDs]]+Table1[[#This Row],[Other TD''s]])),IF(C799="Defensive",(25*(16-Table1[[#This Row],[Tackles]]-(8*(Table1[[#This Row],[Other TD''s]]+Table1[[#This Row],[Interceptions]]+Table1[[#This Row],[Fumbles Recovered]])))))))))))</f>
        <v/>
      </c>
      <c r="R799" s="3" t="str">
        <f t="shared" si="26"/>
        <v/>
      </c>
      <c r="S799" s="4">
        <f t="shared" si="25"/>
        <v>1048507</v>
      </c>
      <c r="T7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0" spans="1:20" hidden="1" x14ac:dyDescent="0.25">
      <c r="A800" t="s">
        <v>61</v>
      </c>
      <c r="B800" s="28" t="s">
        <v>55</v>
      </c>
      <c r="C800" t="s">
        <v>6</v>
      </c>
      <c r="D800" t="str">
        <f>_xlfn.XLOOKUP(Table1[[#This Row],[Player]]&amp;Table1[[#This Row],[Week]]&amp;Table1[[#This Row],[Role]],'Google Form Transform'!$A:$A,'Google Form Transform'!E:E,"")</f>
        <v/>
      </c>
      <c r="E800" t="str">
        <f>_xlfn.XLOOKUP(Table1[[#This Row],[Player]]&amp;Table1[[#This Row],[Week]]&amp;Table1[[#This Row],[Role]],'Google Form Transform'!$A:$A,'Google Form Transform'!F:F,"")</f>
        <v/>
      </c>
      <c r="F800" t="str">
        <f>_xlfn.XLOOKUP(Table1[[#This Row],[Player]]&amp;Table1[[#This Row],[Week]]&amp;Table1[[#This Row],[Role]],'Google Form Transform'!$A:$A,'Google Form Transform'!G:G,"")</f>
        <v/>
      </c>
      <c r="G800" s="59">
        <f>SUMIFS(Table2[Stat],Table2[Stat Category],"passing",Table2[Stat Type],"YDS",Table2[Athlete],Table1[[#This Row],[Pick]],Table2[Week],Table1[[#This Row],[Week]])</f>
        <v>0</v>
      </c>
      <c r="H800" s="59">
        <f>SUMIFS(Table2[Stat],Table2[Stat Category],"rushing",Table2[Stat Type],"YDS",Table2[Athlete],Table1[[#This Row],[Pick]],Table2[Week],Table1[[#This Row],[Week]])</f>
        <v>0</v>
      </c>
      <c r="I800" s="59">
        <f>SUMIFS(Table2[Stat],Table2[Stat Category],"receiving",Table2[Stat Type],"YDS",Table2[Athlete],Table1[[#This Row],[Pick]],Table2[Week],Table1[[#This Row],[Week]])</f>
        <v>0</v>
      </c>
      <c r="J800" s="6">
        <f>IF(AND($C800="Rushing", $H800&lt;=0), 0, IF(AND($C800="Passing", $G$3&lt;=0), 0,IF(AND($C800="Receiving",$I800&lt;=0), 0,SUMIFS(Table2[Stat],Table2[Week],Table1[[#This Row],[Week]],Table2[Athlete],Table1[[#This Row],[Pick]],Table2[Stat Category],"passing",Table2[Stat Type],"TD"))))</f>
        <v>0</v>
      </c>
      <c r="K800" s="6">
        <f>IF(AND($C800="Rushing", $H800&lt;=0), 0, IF(AND($C800="Passing", $G$3&lt;=0), 0,IF(AND($C800="Receiving",$I800&lt;=0),0,SUMIFS(Table2[Stat],Table2[Week],Table1[[#This Row],[Week]],Table2[Athlete],Table1[[#This Row],[Pick]],Table2[Stat Category],"rushing",Table2[Stat Type],"TD"))))</f>
        <v>0</v>
      </c>
      <c r="L800" s="6">
        <f>IF(AND($C800="Rushing", $H800&lt;=0), 0, IF(AND($C800="Passing", $G$3&lt;=0), 0,IF(AND($C800="Receiving",$I800&lt;=0),0,SUMIFS(Table2[Stat],Table2[Week],Table1[[#This Row],[Week]],Table2[Athlete],Table1[[#This Row],[Pick]],Table2[Stat Category],"receiving",Table2[Stat Type],"TD"))))</f>
        <v>0</v>
      </c>
      <c r="M8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0" s="61">
        <f>SUMIFS(Data!$J:$J,Data!$A:$A,Info!$B800,Data!$G:$G,Info!$C800,Data!$I:$I,Info!$D800,Data!$H:$H,"TOT")</f>
        <v>0</v>
      </c>
      <c r="O800" s="61">
        <f>IF(C800="Defensive",SUMIFS(Data!$J:$J,Data!$A:$A,Info!$B800,Data!$I:$I,Info!$D800,Data!$H:$H,"INT"),0)</f>
        <v>0</v>
      </c>
      <c r="P800" s="61">
        <f>IF(Table1[[#This Row],[Role]]="Defensive",SUMIFS(Data!$J:$J,Data!$A:$A,Info!$B800,Data!$I:$I,Info!$D800,Data!$H:$H,$P$1),0)</f>
        <v>0</v>
      </c>
      <c r="Q800" s="65" t="str">
        <f>IF(Table1[[#This Row],[Pick]]="","",IF(S800&gt;1,400,IF(G800="","",IF(C800="Passing",(400-Table1[[#This Row],[Passing Yards]]-(30*Table1[[#This Row],[Passing TDs]])-(50*SUM(Table1[[#This Row],[Rushing TDs]:[Other TD''s]]))),IF(C800="Rushing",2*(200-Table1[[#This Row],[Rushing Yards]]-(30*Table1[[#This Row],[Passing TDs]])-50*(Table1[[#This Row],[Rushing TDs]]+Table1[[#This Row],[Receiving TDs]]+Table1[[#This Row],[Other TD''s]])),IF(C800="Receiving",2*(200-Table1[[#This Row],[Receiving Yards]]-(30*Table1[[#This Row],[Passing TDs]])-50*(Table1[[#This Row],[Rushing TDs]]+Table1[[#This Row],[Receiving TDs]]+Table1[[#This Row],[Other TD''s]])),IF(C800="Defensive",(25*(16-Table1[[#This Row],[Tackles]]-(8*(Table1[[#This Row],[Other TD''s]]+Table1[[#This Row],[Interceptions]]+Table1[[#This Row],[Fumbles Recovered]])))))))))))</f>
        <v/>
      </c>
      <c r="R800" s="3" t="str">
        <f t="shared" si="26"/>
        <v/>
      </c>
      <c r="S800" s="4">
        <f t="shared" si="25"/>
        <v>1048507</v>
      </c>
      <c r="T8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1" spans="1:20" hidden="1" x14ac:dyDescent="0.25">
      <c r="A801" t="s">
        <v>61</v>
      </c>
      <c r="B801" s="28" t="s">
        <v>55</v>
      </c>
      <c r="C801" t="s">
        <v>17</v>
      </c>
      <c r="D801" t="str">
        <f>_xlfn.XLOOKUP(Table1[[#This Row],[Player]]&amp;Table1[[#This Row],[Week]]&amp;Table1[[#This Row],[Role]],'Google Form Transform'!$A:$A,'Google Form Transform'!E:E,"")</f>
        <v/>
      </c>
      <c r="E801" t="str">
        <f>_xlfn.XLOOKUP(Table1[[#This Row],[Player]]&amp;Table1[[#This Row],[Week]]&amp;Table1[[#This Row],[Role]],'Google Form Transform'!$A:$A,'Google Form Transform'!F:F,"")</f>
        <v/>
      </c>
      <c r="F801" t="str">
        <f>_xlfn.XLOOKUP(Table1[[#This Row],[Player]]&amp;Table1[[#This Row],[Week]]&amp;Table1[[#This Row],[Role]],'Google Form Transform'!$A:$A,'Google Form Transform'!G:G,"")</f>
        <v/>
      </c>
      <c r="G801" s="59">
        <f>SUMIFS(Table2[Stat],Table2[Stat Category],"passing",Table2[Stat Type],"YDS",Table2[Athlete],Table1[[#This Row],[Pick]],Table2[Week],Table1[[#This Row],[Week]])</f>
        <v>0</v>
      </c>
      <c r="H801" s="59">
        <f>SUMIFS(Table2[Stat],Table2[Stat Category],"rushing",Table2[Stat Type],"YDS",Table2[Athlete],Table1[[#This Row],[Pick]],Table2[Week],Table1[[#This Row],[Week]])</f>
        <v>0</v>
      </c>
      <c r="I801" s="59">
        <f>SUMIFS(Table2[Stat],Table2[Stat Category],"receiving",Table2[Stat Type],"YDS",Table2[Athlete],Table1[[#This Row],[Pick]],Table2[Week],Table1[[#This Row],[Week]])</f>
        <v>0</v>
      </c>
      <c r="J801" s="6">
        <f>IF(AND($C801="Rushing", $H801&lt;=0), 0, IF(AND($C801="Passing", $G$3&lt;=0), 0,IF(AND($C801="Receiving",$I801&lt;=0), 0,SUMIFS(Table2[Stat],Table2[Week],Table1[[#This Row],[Week]],Table2[Athlete],Table1[[#This Row],[Pick]],Table2[Stat Category],"passing",Table2[Stat Type],"TD"))))</f>
        <v>0</v>
      </c>
      <c r="K801" s="6">
        <f>IF(AND($C801="Rushing", $H801&lt;=0), 0, IF(AND($C801="Passing", $G$3&lt;=0), 0,IF(AND($C801="Receiving",$I801&lt;=0),0,SUMIFS(Table2[Stat],Table2[Week],Table1[[#This Row],[Week]],Table2[Athlete],Table1[[#This Row],[Pick]],Table2[Stat Category],"rushing",Table2[Stat Type],"TD"))))</f>
        <v>0</v>
      </c>
      <c r="L801" s="6">
        <f>IF(AND($C801="Rushing", $H801&lt;=0), 0, IF(AND($C801="Passing", $G$3&lt;=0), 0,IF(AND($C801="Receiving",$I801&lt;=0),0,SUMIFS(Table2[Stat],Table2[Week],Table1[[#This Row],[Week]],Table2[Athlete],Table1[[#This Row],[Pick]],Table2[Stat Category],"receiving",Table2[Stat Type],"TD"))))</f>
        <v>0</v>
      </c>
      <c r="M8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1" s="61">
        <f>SUMIFS(Data!$J:$J,Data!$A:$A,Info!$B801,Data!$G:$G,Info!$C801,Data!$I:$I,Info!$D801,Data!$H:$H,"TOT")</f>
        <v>0</v>
      </c>
      <c r="O801" s="61">
        <f>IF(C801="Defensive",SUMIFS(Data!$J:$J,Data!$A:$A,Info!$B801,Data!$I:$I,Info!$D801,Data!$H:$H,"INT"),0)</f>
        <v>0</v>
      </c>
      <c r="P801" s="61">
        <f>IF(Table1[[#This Row],[Role]]="Defensive",SUMIFS(Data!$J:$J,Data!$A:$A,Info!$B801,Data!$I:$I,Info!$D801,Data!$H:$H,$P$1),0)</f>
        <v>0</v>
      </c>
      <c r="Q801" s="65" t="str">
        <f>IF(Table1[[#This Row],[Pick]]="","",IF(S801&gt;1,400,IF(G801="","",IF(C801="Passing",(400-Table1[[#This Row],[Passing Yards]]-(30*Table1[[#This Row],[Passing TDs]])-(50*SUM(Table1[[#This Row],[Rushing TDs]:[Other TD''s]]))),IF(C801="Rushing",2*(200-Table1[[#This Row],[Rushing Yards]]-(30*Table1[[#This Row],[Passing TDs]])-50*(Table1[[#This Row],[Rushing TDs]]+Table1[[#This Row],[Receiving TDs]]+Table1[[#This Row],[Other TD''s]])),IF(C801="Receiving",2*(200-Table1[[#This Row],[Receiving Yards]]-(30*Table1[[#This Row],[Passing TDs]])-50*(Table1[[#This Row],[Rushing TDs]]+Table1[[#This Row],[Receiving TDs]]+Table1[[#This Row],[Other TD''s]])),IF(C801="Defensive",(25*(16-Table1[[#This Row],[Tackles]]-(8*(Table1[[#This Row],[Other TD''s]]+Table1[[#This Row],[Interceptions]]+Table1[[#This Row],[Fumbles Recovered]])))))))))))</f>
        <v/>
      </c>
      <c r="R801" s="3" t="str">
        <f t="shared" si="26"/>
        <v/>
      </c>
      <c r="S801" s="4">
        <f t="shared" si="25"/>
        <v>1048507</v>
      </c>
      <c r="T8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2" spans="1:20" hidden="1" x14ac:dyDescent="0.25">
      <c r="A802" t="s">
        <v>61</v>
      </c>
      <c r="B802" s="28" t="s">
        <v>55</v>
      </c>
      <c r="C802" t="s">
        <v>20</v>
      </c>
      <c r="D802" t="str">
        <f>_xlfn.XLOOKUP(Table1[[#This Row],[Player]]&amp;Table1[[#This Row],[Week]]&amp;Table1[[#This Row],[Role]],'Google Form Transform'!$A:$A,'Google Form Transform'!E:E,"")</f>
        <v/>
      </c>
      <c r="E802" t="str">
        <f>_xlfn.XLOOKUP(Table1[[#This Row],[Player]]&amp;Table1[[#This Row],[Week]]&amp;Table1[[#This Row],[Role]],'Google Form Transform'!$A:$A,'Google Form Transform'!F:F,"")</f>
        <v/>
      </c>
      <c r="F802" t="str">
        <f>_xlfn.XLOOKUP(Table1[[#This Row],[Player]]&amp;Table1[[#This Row],[Week]]&amp;Table1[[#This Row],[Role]],'Google Form Transform'!$A:$A,'Google Form Transform'!G:G,"")</f>
        <v/>
      </c>
      <c r="G802" s="59">
        <f>SUMIFS(Table2[Stat],Table2[Stat Category],"passing",Table2[Stat Type],"YDS",Table2[Athlete],Table1[[#This Row],[Pick]],Table2[Week],Table1[[#This Row],[Week]])</f>
        <v>0</v>
      </c>
      <c r="H802" s="59">
        <f>SUMIFS(Table2[Stat],Table2[Stat Category],"rushing",Table2[Stat Type],"YDS",Table2[Athlete],Table1[[#This Row],[Pick]],Table2[Week],Table1[[#This Row],[Week]])</f>
        <v>0</v>
      </c>
      <c r="I802" s="59">
        <f>SUMIFS(Table2[Stat],Table2[Stat Category],"receiving",Table2[Stat Type],"YDS",Table2[Athlete],Table1[[#This Row],[Pick]],Table2[Week],Table1[[#This Row],[Week]])</f>
        <v>0</v>
      </c>
      <c r="J802" s="6">
        <f>IF(AND($C802="Rushing", $H802&lt;=0), 0, IF(AND($C802="Passing", $G$3&lt;=0), 0,IF(AND($C802="Receiving",$I802&lt;=0), 0,SUMIFS(Table2[Stat],Table2[Week],Table1[[#This Row],[Week]],Table2[Athlete],Table1[[#This Row],[Pick]],Table2[Stat Category],"passing",Table2[Stat Type],"TD"))))</f>
        <v>0</v>
      </c>
      <c r="K802" s="6">
        <f>IF(AND($C802="Rushing", $H802&lt;=0), 0, IF(AND($C802="Passing", $G$3&lt;=0), 0,IF(AND($C802="Receiving",$I802&lt;=0),0,SUMIFS(Table2[Stat],Table2[Week],Table1[[#This Row],[Week]],Table2[Athlete],Table1[[#This Row],[Pick]],Table2[Stat Category],"rushing",Table2[Stat Type],"TD"))))</f>
        <v>0</v>
      </c>
      <c r="L802" s="6">
        <f>IF(AND($C802="Rushing", $H802&lt;=0), 0, IF(AND($C802="Passing", $G$3&lt;=0), 0,IF(AND($C802="Receiving",$I802&lt;=0),0,SUMIFS(Table2[Stat],Table2[Week],Table1[[#This Row],[Week]],Table2[Athlete],Table1[[#This Row],[Pick]],Table2[Stat Category],"receiving",Table2[Stat Type],"TD"))))</f>
        <v>0</v>
      </c>
      <c r="M8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2" s="61">
        <f>SUMIFS(Data!$J:$J,Data!$A:$A,Info!$B802,Data!$G:$G,Info!$C802,Data!$I:$I,Info!$D802,Data!$H:$H,"TOT")</f>
        <v>0</v>
      </c>
      <c r="O802" s="61">
        <f>IF(C802="Defensive",SUMIFS(Data!$J:$J,Data!$A:$A,Info!$B802,Data!$I:$I,Info!$D802,Data!$H:$H,"INT"),0)</f>
        <v>0</v>
      </c>
      <c r="P802" s="61">
        <f>IF(Table1[[#This Row],[Role]]="Defensive",SUMIFS(Data!$J:$J,Data!$A:$A,Info!$B802,Data!$I:$I,Info!$D802,Data!$H:$H,$P$1),0)</f>
        <v>0</v>
      </c>
      <c r="Q802" s="65" t="str">
        <f>IF(Table1[[#This Row],[Pick]]="","",IF(S802&gt;1,400,IF(G802="","",IF(C802="Passing",(400-Table1[[#This Row],[Passing Yards]]-(30*Table1[[#This Row],[Passing TDs]])-(50*SUM(Table1[[#This Row],[Rushing TDs]:[Other TD''s]]))),IF(C802="Rushing",2*(200-Table1[[#This Row],[Rushing Yards]]-(30*Table1[[#This Row],[Passing TDs]])-50*(Table1[[#This Row],[Rushing TDs]]+Table1[[#This Row],[Receiving TDs]]+Table1[[#This Row],[Other TD''s]])),IF(C802="Receiving",2*(200-Table1[[#This Row],[Receiving Yards]]-(30*Table1[[#This Row],[Passing TDs]])-50*(Table1[[#This Row],[Rushing TDs]]+Table1[[#This Row],[Receiving TDs]]+Table1[[#This Row],[Other TD''s]])),IF(C802="Defensive",(25*(16-Table1[[#This Row],[Tackles]]-(8*(Table1[[#This Row],[Other TD''s]]+Table1[[#This Row],[Interceptions]]+Table1[[#This Row],[Fumbles Recovered]])))))))))))</f>
        <v/>
      </c>
      <c r="R802" s="3" t="str">
        <f t="shared" si="26"/>
        <v/>
      </c>
      <c r="S802" s="4">
        <f t="shared" si="25"/>
        <v>1048507</v>
      </c>
      <c r="T8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3" spans="1:20" hidden="1" x14ac:dyDescent="0.25">
      <c r="A803" t="s">
        <v>60</v>
      </c>
      <c r="B803" s="28" t="s">
        <v>55</v>
      </c>
      <c r="C803" t="s">
        <v>16</v>
      </c>
      <c r="D803" t="str">
        <f>_xlfn.XLOOKUP(Table1[[#This Row],[Player]]&amp;Table1[[#This Row],[Week]]&amp;Table1[[#This Row],[Role]],'Google Form Transform'!$A:$A,'Google Form Transform'!E:E,"")</f>
        <v/>
      </c>
      <c r="E803" t="str">
        <f>_xlfn.XLOOKUP(Table1[[#This Row],[Player]]&amp;Table1[[#This Row],[Week]]&amp;Table1[[#This Row],[Role]],'Google Form Transform'!$A:$A,'Google Form Transform'!F:F,"")</f>
        <v/>
      </c>
      <c r="F803" t="str">
        <f>_xlfn.XLOOKUP(Table1[[#This Row],[Player]]&amp;Table1[[#This Row],[Week]]&amp;Table1[[#This Row],[Role]],'Google Form Transform'!$A:$A,'Google Form Transform'!G:G,"")</f>
        <v/>
      </c>
      <c r="G803" s="59">
        <f>SUMIFS(Table2[Stat],Table2[Stat Category],"passing",Table2[Stat Type],"YDS",Table2[Athlete],Table1[[#This Row],[Pick]],Table2[Week],Table1[[#This Row],[Week]])</f>
        <v>0</v>
      </c>
      <c r="H803" s="59">
        <f>SUMIFS(Table2[Stat],Table2[Stat Category],"rushing",Table2[Stat Type],"YDS",Table2[Athlete],Table1[[#This Row],[Pick]],Table2[Week],Table1[[#This Row],[Week]])</f>
        <v>0</v>
      </c>
      <c r="I803" s="59">
        <f>SUMIFS(Table2[Stat],Table2[Stat Category],"receiving",Table2[Stat Type],"YDS",Table2[Athlete],Table1[[#This Row],[Pick]],Table2[Week],Table1[[#This Row],[Week]])</f>
        <v>0</v>
      </c>
      <c r="J803" s="6">
        <f>IF(AND($C803="Rushing", $H803&lt;=0), 0, IF(AND($C803="Passing", $G$3&lt;=0), 0,IF(AND($C803="Receiving",$I803&lt;=0), 0,SUMIFS(Table2[Stat],Table2[Week],Table1[[#This Row],[Week]],Table2[Athlete],Table1[[#This Row],[Pick]],Table2[Stat Category],"passing",Table2[Stat Type],"TD"))))</f>
        <v>0</v>
      </c>
      <c r="K803" s="6">
        <f>IF(AND($C803="Rushing", $H803&lt;=0), 0, IF(AND($C803="Passing", $G$3&lt;=0), 0,IF(AND($C803="Receiving",$I803&lt;=0),0,SUMIFS(Table2[Stat],Table2[Week],Table1[[#This Row],[Week]],Table2[Athlete],Table1[[#This Row],[Pick]],Table2[Stat Category],"rushing",Table2[Stat Type],"TD"))))</f>
        <v>0</v>
      </c>
      <c r="L803" s="6">
        <f>IF(AND($C803="Rushing", $H803&lt;=0), 0, IF(AND($C803="Passing", $G$3&lt;=0), 0,IF(AND($C803="Receiving",$I803&lt;=0),0,SUMIFS(Table2[Stat],Table2[Week],Table1[[#This Row],[Week]],Table2[Athlete],Table1[[#This Row],[Pick]],Table2[Stat Category],"receiving",Table2[Stat Type],"TD"))))</f>
        <v>0</v>
      </c>
      <c r="M8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3" s="61">
        <f>SUMIFS(Data!$J:$J,Data!$A:$A,Info!$B803,Data!$G:$G,Info!$C803,Data!$I:$I,Info!$D803,Data!$H:$H,"TOT")</f>
        <v>0</v>
      </c>
      <c r="O803" s="61">
        <f>IF(C803="Defensive",SUMIFS(Data!$J:$J,Data!$A:$A,Info!$B803,Data!$I:$I,Info!$D803,Data!$H:$H,"INT"),0)</f>
        <v>0</v>
      </c>
      <c r="P803" s="61">
        <f>IF(Table1[[#This Row],[Role]]="Defensive",SUMIFS(Data!$J:$J,Data!$A:$A,Info!$B803,Data!$I:$I,Info!$D803,Data!$H:$H,$P$1),0)</f>
        <v>0</v>
      </c>
      <c r="Q803" s="65" t="str">
        <f>IF(Table1[[#This Row],[Pick]]="","",IF(S803&gt;1,400,IF(G803="","",IF(C803="Passing",(400-Table1[[#This Row],[Passing Yards]]-(30*Table1[[#This Row],[Passing TDs]])-(50*SUM(Table1[[#This Row],[Rushing TDs]:[Other TD''s]]))),IF(C803="Rushing",2*(200-Table1[[#This Row],[Rushing Yards]]-(30*Table1[[#This Row],[Passing TDs]])-50*(Table1[[#This Row],[Rushing TDs]]+Table1[[#This Row],[Receiving TDs]]+Table1[[#This Row],[Other TD''s]])),IF(C803="Receiving",2*(200-Table1[[#This Row],[Receiving Yards]]-(30*Table1[[#This Row],[Passing TDs]])-50*(Table1[[#This Row],[Rushing TDs]]+Table1[[#This Row],[Receiving TDs]]+Table1[[#This Row],[Other TD''s]])),IF(C803="Defensive",(25*(16-Table1[[#This Row],[Tackles]]-(8*(Table1[[#This Row],[Other TD''s]]+Table1[[#This Row],[Interceptions]]+Table1[[#This Row],[Fumbles Recovered]])))))))))))</f>
        <v/>
      </c>
      <c r="R803" s="3" t="str">
        <f t="shared" si="26"/>
        <v/>
      </c>
      <c r="S803" s="4">
        <f t="shared" si="25"/>
        <v>1048507</v>
      </c>
      <c r="T8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4" spans="1:20" hidden="1" x14ac:dyDescent="0.25">
      <c r="A804" t="s">
        <v>60</v>
      </c>
      <c r="B804" s="28" t="s">
        <v>55</v>
      </c>
      <c r="C804" t="s">
        <v>6</v>
      </c>
      <c r="D804" t="str">
        <f>_xlfn.XLOOKUP(Table1[[#This Row],[Player]]&amp;Table1[[#This Row],[Week]]&amp;Table1[[#This Row],[Role]],'Google Form Transform'!$A:$A,'Google Form Transform'!E:E,"")</f>
        <v/>
      </c>
      <c r="E804" t="str">
        <f>_xlfn.XLOOKUP(Table1[[#This Row],[Player]]&amp;Table1[[#This Row],[Week]]&amp;Table1[[#This Row],[Role]],'Google Form Transform'!$A:$A,'Google Form Transform'!F:F,"")</f>
        <v/>
      </c>
      <c r="F804" t="str">
        <f>_xlfn.XLOOKUP(Table1[[#This Row],[Player]]&amp;Table1[[#This Row],[Week]]&amp;Table1[[#This Row],[Role]],'Google Form Transform'!$A:$A,'Google Form Transform'!G:G,"")</f>
        <v/>
      </c>
      <c r="G804" s="59">
        <f>SUMIFS(Table2[Stat],Table2[Stat Category],"passing",Table2[Stat Type],"YDS",Table2[Athlete],Table1[[#This Row],[Pick]],Table2[Week],Table1[[#This Row],[Week]])</f>
        <v>0</v>
      </c>
      <c r="H804" s="59">
        <f>SUMIFS(Table2[Stat],Table2[Stat Category],"rushing",Table2[Stat Type],"YDS",Table2[Athlete],Table1[[#This Row],[Pick]],Table2[Week],Table1[[#This Row],[Week]])</f>
        <v>0</v>
      </c>
      <c r="I804" s="59">
        <f>SUMIFS(Table2[Stat],Table2[Stat Category],"receiving",Table2[Stat Type],"YDS",Table2[Athlete],Table1[[#This Row],[Pick]],Table2[Week],Table1[[#This Row],[Week]])</f>
        <v>0</v>
      </c>
      <c r="J804" s="6">
        <f>IF(AND($C804="Rushing", $H804&lt;=0), 0, IF(AND($C804="Passing", $G$3&lt;=0), 0,IF(AND($C804="Receiving",$I804&lt;=0), 0,SUMIFS(Table2[Stat],Table2[Week],Table1[[#This Row],[Week]],Table2[Athlete],Table1[[#This Row],[Pick]],Table2[Stat Category],"passing",Table2[Stat Type],"TD"))))</f>
        <v>0</v>
      </c>
      <c r="K804" s="6">
        <f>IF(AND($C804="Rushing", $H804&lt;=0), 0, IF(AND($C804="Passing", $G$3&lt;=0), 0,IF(AND($C804="Receiving",$I804&lt;=0),0,SUMIFS(Table2[Stat],Table2[Week],Table1[[#This Row],[Week]],Table2[Athlete],Table1[[#This Row],[Pick]],Table2[Stat Category],"rushing",Table2[Stat Type],"TD"))))</f>
        <v>0</v>
      </c>
      <c r="L804" s="6">
        <f>IF(AND($C804="Rushing", $H804&lt;=0), 0, IF(AND($C804="Passing", $G$3&lt;=0), 0,IF(AND($C804="Receiving",$I804&lt;=0),0,SUMIFS(Table2[Stat],Table2[Week],Table1[[#This Row],[Week]],Table2[Athlete],Table1[[#This Row],[Pick]],Table2[Stat Category],"receiving",Table2[Stat Type],"TD"))))</f>
        <v>0</v>
      </c>
      <c r="M8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4" s="61">
        <f>SUMIFS(Data!$J:$J,Data!$A:$A,Info!$B804,Data!$G:$G,Info!$C804,Data!$I:$I,Info!$D804,Data!$H:$H,"TOT")</f>
        <v>0</v>
      </c>
      <c r="O804" s="61">
        <f>IF(C804="Defensive",SUMIFS(Data!$J:$J,Data!$A:$A,Info!$B804,Data!$I:$I,Info!$D804,Data!$H:$H,"INT"),0)</f>
        <v>0</v>
      </c>
      <c r="P804" s="61">
        <f>IF(Table1[[#This Row],[Role]]="Defensive",SUMIFS(Data!$J:$J,Data!$A:$A,Info!$B804,Data!$I:$I,Info!$D804,Data!$H:$H,$P$1),0)</f>
        <v>0</v>
      </c>
      <c r="Q804" s="65" t="str">
        <f>IF(Table1[[#This Row],[Pick]]="","",IF(S804&gt;1,400,IF(G804="","",IF(C804="Passing",(400-Table1[[#This Row],[Passing Yards]]-(30*Table1[[#This Row],[Passing TDs]])-(50*SUM(Table1[[#This Row],[Rushing TDs]:[Other TD''s]]))),IF(C804="Rushing",2*(200-Table1[[#This Row],[Rushing Yards]]-(30*Table1[[#This Row],[Passing TDs]])-50*(Table1[[#This Row],[Rushing TDs]]+Table1[[#This Row],[Receiving TDs]]+Table1[[#This Row],[Other TD''s]])),IF(C804="Receiving",2*(200-Table1[[#This Row],[Receiving Yards]]-(30*Table1[[#This Row],[Passing TDs]])-50*(Table1[[#This Row],[Rushing TDs]]+Table1[[#This Row],[Receiving TDs]]+Table1[[#This Row],[Other TD''s]])),IF(C804="Defensive",(25*(16-Table1[[#This Row],[Tackles]]-(8*(Table1[[#This Row],[Other TD''s]]+Table1[[#This Row],[Interceptions]]+Table1[[#This Row],[Fumbles Recovered]])))))))))))</f>
        <v/>
      </c>
      <c r="R804" s="3" t="str">
        <f t="shared" si="26"/>
        <v/>
      </c>
      <c r="S804" s="4">
        <f t="shared" si="25"/>
        <v>1048507</v>
      </c>
      <c r="T8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5" spans="1:20" hidden="1" x14ac:dyDescent="0.25">
      <c r="A805" t="s">
        <v>60</v>
      </c>
      <c r="B805" s="28" t="s">
        <v>55</v>
      </c>
      <c r="C805" t="s">
        <v>17</v>
      </c>
      <c r="D805" t="str">
        <f>_xlfn.XLOOKUP(Table1[[#This Row],[Player]]&amp;Table1[[#This Row],[Week]]&amp;Table1[[#This Row],[Role]],'Google Form Transform'!$A:$A,'Google Form Transform'!E:E,"")</f>
        <v/>
      </c>
      <c r="E805" t="str">
        <f>_xlfn.XLOOKUP(Table1[[#This Row],[Player]]&amp;Table1[[#This Row],[Week]]&amp;Table1[[#This Row],[Role]],'Google Form Transform'!$A:$A,'Google Form Transform'!F:F,"")</f>
        <v/>
      </c>
      <c r="F805" t="str">
        <f>_xlfn.XLOOKUP(Table1[[#This Row],[Player]]&amp;Table1[[#This Row],[Week]]&amp;Table1[[#This Row],[Role]],'Google Form Transform'!$A:$A,'Google Form Transform'!G:G,"")</f>
        <v/>
      </c>
      <c r="G805" s="59">
        <f>SUMIFS(Table2[Stat],Table2[Stat Category],"passing",Table2[Stat Type],"YDS",Table2[Athlete],Table1[[#This Row],[Pick]],Table2[Week],Table1[[#This Row],[Week]])</f>
        <v>0</v>
      </c>
      <c r="H805" s="59">
        <f>SUMIFS(Table2[Stat],Table2[Stat Category],"rushing",Table2[Stat Type],"YDS",Table2[Athlete],Table1[[#This Row],[Pick]],Table2[Week],Table1[[#This Row],[Week]])</f>
        <v>0</v>
      </c>
      <c r="I805" s="59">
        <f>SUMIFS(Table2[Stat],Table2[Stat Category],"receiving",Table2[Stat Type],"YDS",Table2[Athlete],Table1[[#This Row],[Pick]],Table2[Week],Table1[[#This Row],[Week]])</f>
        <v>0</v>
      </c>
      <c r="J805" s="6">
        <f>IF(AND($C805="Rushing", $H805&lt;=0), 0, IF(AND($C805="Passing", $G$3&lt;=0), 0,IF(AND($C805="Receiving",$I805&lt;=0), 0,SUMIFS(Table2[Stat],Table2[Week],Table1[[#This Row],[Week]],Table2[Athlete],Table1[[#This Row],[Pick]],Table2[Stat Category],"passing",Table2[Stat Type],"TD"))))</f>
        <v>0</v>
      </c>
      <c r="K805" s="6">
        <f>IF(AND($C805="Rushing", $H805&lt;=0), 0, IF(AND($C805="Passing", $G$3&lt;=0), 0,IF(AND($C805="Receiving",$I805&lt;=0),0,SUMIFS(Table2[Stat],Table2[Week],Table1[[#This Row],[Week]],Table2[Athlete],Table1[[#This Row],[Pick]],Table2[Stat Category],"rushing",Table2[Stat Type],"TD"))))</f>
        <v>0</v>
      </c>
      <c r="L805" s="6">
        <f>IF(AND($C805="Rushing", $H805&lt;=0), 0, IF(AND($C805="Passing", $G$3&lt;=0), 0,IF(AND($C805="Receiving",$I805&lt;=0),0,SUMIFS(Table2[Stat],Table2[Week],Table1[[#This Row],[Week]],Table2[Athlete],Table1[[#This Row],[Pick]],Table2[Stat Category],"receiving",Table2[Stat Type],"TD"))))</f>
        <v>0</v>
      </c>
      <c r="M8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5" s="61">
        <f>SUMIFS(Data!$J:$J,Data!$A:$A,Info!$B805,Data!$G:$G,Info!$C805,Data!$I:$I,Info!$D805,Data!$H:$H,"TOT")</f>
        <v>0</v>
      </c>
      <c r="O805" s="61">
        <f>IF(C805="Defensive",SUMIFS(Data!$J:$J,Data!$A:$A,Info!$B805,Data!$I:$I,Info!$D805,Data!$H:$H,"INT"),0)</f>
        <v>0</v>
      </c>
      <c r="P805" s="61">
        <f>IF(Table1[[#This Row],[Role]]="Defensive",SUMIFS(Data!$J:$J,Data!$A:$A,Info!$B805,Data!$I:$I,Info!$D805,Data!$H:$H,$P$1),0)</f>
        <v>0</v>
      </c>
      <c r="Q805" s="65" t="str">
        <f>IF(Table1[[#This Row],[Pick]]="","",IF(S805&gt;1,400,IF(G805="","",IF(C805="Passing",(400-Table1[[#This Row],[Passing Yards]]-(30*Table1[[#This Row],[Passing TDs]])-(50*SUM(Table1[[#This Row],[Rushing TDs]:[Other TD''s]]))),IF(C805="Rushing",2*(200-Table1[[#This Row],[Rushing Yards]]-(30*Table1[[#This Row],[Passing TDs]])-50*(Table1[[#This Row],[Rushing TDs]]+Table1[[#This Row],[Receiving TDs]]+Table1[[#This Row],[Other TD''s]])),IF(C805="Receiving",2*(200-Table1[[#This Row],[Receiving Yards]]-(30*Table1[[#This Row],[Passing TDs]])-50*(Table1[[#This Row],[Rushing TDs]]+Table1[[#This Row],[Receiving TDs]]+Table1[[#This Row],[Other TD''s]])),IF(C805="Defensive",(25*(16-Table1[[#This Row],[Tackles]]-(8*(Table1[[#This Row],[Other TD''s]]+Table1[[#This Row],[Interceptions]]+Table1[[#This Row],[Fumbles Recovered]])))))))))))</f>
        <v/>
      </c>
      <c r="R805" s="3" t="str">
        <f t="shared" si="26"/>
        <v/>
      </c>
      <c r="S805" s="4">
        <f t="shared" si="25"/>
        <v>1048507</v>
      </c>
      <c r="T8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6" spans="1:20" hidden="1" x14ac:dyDescent="0.25">
      <c r="A806" t="s">
        <v>60</v>
      </c>
      <c r="B806" s="28" t="s">
        <v>55</v>
      </c>
      <c r="C806" t="s">
        <v>20</v>
      </c>
      <c r="D806" t="str">
        <f>_xlfn.XLOOKUP(Table1[[#This Row],[Player]]&amp;Table1[[#This Row],[Week]]&amp;Table1[[#This Row],[Role]],'Google Form Transform'!$A:$A,'Google Form Transform'!E:E,"")</f>
        <v/>
      </c>
      <c r="E806" t="str">
        <f>_xlfn.XLOOKUP(Table1[[#This Row],[Player]]&amp;Table1[[#This Row],[Week]]&amp;Table1[[#This Row],[Role]],'Google Form Transform'!$A:$A,'Google Form Transform'!F:F,"")</f>
        <v/>
      </c>
      <c r="F806" t="str">
        <f>_xlfn.XLOOKUP(Table1[[#This Row],[Player]]&amp;Table1[[#This Row],[Week]]&amp;Table1[[#This Row],[Role]],'Google Form Transform'!$A:$A,'Google Form Transform'!G:G,"")</f>
        <v/>
      </c>
      <c r="G806" s="59">
        <f>SUMIFS(Table2[Stat],Table2[Stat Category],"passing",Table2[Stat Type],"YDS",Table2[Athlete],Table1[[#This Row],[Pick]],Table2[Week],Table1[[#This Row],[Week]])</f>
        <v>0</v>
      </c>
      <c r="H806" s="59">
        <f>SUMIFS(Table2[Stat],Table2[Stat Category],"rushing",Table2[Stat Type],"YDS",Table2[Athlete],Table1[[#This Row],[Pick]],Table2[Week],Table1[[#This Row],[Week]])</f>
        <v>0</v>
      </c>
      <c r="I806" s="59">
        <f>SUMIFS(Table2[Stat],Table2[Stat Category],"receiving",Table2[Stat Type],"YDS",Table2[Athlete],Table1[[#This Row],[Pick]],Table2[Week],Table1[[#This Row],[Week]])</f>
        <v>0</v>
      </c>
      <c r="J806" s="6">
        <f>IF(AND($C806="Rushing", $H806&lt;=0), 0, IF(AND($C806="Passing", $G$3&lt;=0), 0,IF(AND($C806="Receiving",$I806&lt;=0), 0,SUMIFS(Table2[Stat],Table2[Week],Table1[[#This Row],[Week]],Table2[Athlete],Table1[[#This Row],[Pick]],Table2[Stat Category],"passing",Table2[Stat Type],"TD"))))</f>
        <v>0</v>
      </c>
      <c r="K806" s="6">
        <f>IF(AND($C806="Rushing", $H806&lt;=0), 0, IF(AND($C806="Passing", $G$3&lt;=0), 0,IF(AND($C806="Receiving",$I806&lt;=0),0,SUMIFS(Table2[Stat],Table2[Week],Table1[[#This Row],[Week]],Table2[Athlete],Table1[[#This Row],[Pick]],Table2[Stat Category],"rushing",Table2[Stat Type],"TD"))))</f>
        <v>0</v>
      </c>
      <c r="L806" s="6">
        <f>IF(AND($C806="Rushing", $H806&lt;=0), 0, IF(AND($C806="Passing", $G$3&lt;=0), 0,IF(AND($C806="Receiving",$I806&lt;=0),0,SUMIFS(Table2[Stat],Table2[Week],Table1[[#This Row],[Week]],Table2[Athlete],Table1[[#This Row],[Pick]],Table2[Stat Category],"receiving",Table2[Stat Type],"TD"))))</f>
        <v>0</v>
      </c>
      <c r="M8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6" s="61">
        <f>SUMIFS(Data!$J:$J,Data!$A:$A,Info!$B806,Data!$G:$G,Info!$C806,Data!$I:$I,Info!$D806,Data!$H:$H,"TOT")</f>
        <v>0</v>
      </c>
      <c r="O806" s="61">
        <f>IF(C806="Defensive",SUMIFS(Data!$J:$J,Data!$A:$A,Info!$B806,Data!$I:$I,Info!$D806,Data!$H:$H,"INT"),0)</f>
        <v>0</v>
      </c>
      <c r="P806" s="61">
        <f>IF(Table1[[#This Row],[Role]]="Defensive",SUMIFS(Data!$J:$J,Data!$A:$A,Info!$B806,Data!$I:$I,Info!$D806,Data!$H:$H,$P$1),0)</f>
        <v>0</v>
      </c>
      <c r="Q806" s="65" t="str">
        <f>IF(Table1[[#This Row],[Pick]]="","",IF(S806&gt;1,400,IF(G806="","",IF(C806="Passing",(400-Table1[[#This Row],[Passing Yards]]-(30*Table1[[#This Row],[Passing TDs]])-(50*SUM(Table1[[#This Row],[Rushing TDs]:[Other TD''s]]))),IF(C806="Rushing",2*(200-Table1[[#This Row],[Rushing Yards]]-(30*Table1[[#This Row],[Passing TDs]])-50*(Table1[[#This Row],[Rushing TDs]]+Table1[[#This Row],[Receiving TDs]]+Table1[[#This Row],[Other TD''s]])),IF(C806="Receiving",2*(200-Table1[[#This Row],[Receiving Yards]]-(30*Table1[[#This Row],[Passing TDs]])-50*(Table1[[#This Row],[Rushing TDs]]+Table1[[#This Row],[Receiving TDs]]+Table1[[#This Row],[Other TD''s]])),IF(C806="Defensive",(25*(16-Table1[[#This Row],[Tackles]]-(8*(Table1[[#This Row],[Other TD''s]]+Table1[[#This Row],[Interceptions]]+Table1[[#This Row],[Fumbles Recovered]])))))))))))</f>
        <v/>
      </c>
      <c r="R806" s="3" t="str">
        <f t="shared" si="26"/>
        <v/>
      </c>
      <c r="S806" s="4">
        <f t="shared" si="25"/>
        <v>1048507</v>
      </c>
      <c r="T8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7" spans="1:20" hidden="1" x14ac:dyDescent="0.25">
      <c r="A807" t="s">
        <v>62</v>
      </c>
      <c r="B807" s="28" t="s">
        <v>55</v>
      </c>
      <c r="C807" t="s">
        <v>16</v>
      </c>
      <c r="D807" t="str">
        <f>_xlfn.XLOOKUP(Table1[[#This Row],[Player]]&amp;Table1[[#This Row],[Week]]&amp;Table1[[#This Row],[Role]],'Google Form Transform'!$A:$A,'Google Form Transform'!E:E,"")</f>
        <v/>
      </c>
      <c r="E807" t="str">
        <f>_xlfn.XLOOKUP(Table1[[#This Row],[Player]]&amp;Table1[[#This Row],[Week]]&amp;Table1[[#This Row],[Role]],'Google Form Transform'!$A:$A,'Google Form Transform'!F:F,"")</f>
        <v/>
      </c>
      <c r="F807" t="str">
        <f>_xlfn.XLOOKUP(Table1[[#This Row],[Player]]&amp;Table1[[#This Row],[Week]]&amp;Table1[[#This Row],[Role]],'Google Form Transform'!$A:$A,'Google Form Transform'!G:G,"")</f>
        <v/>
      </c>
      <c r="G807" s="59">
        <f>SUMIFS(Table2[Stat],Table2[Stat Category],"passing",Table2[Stat Type],"YDS",Table2[Athlete],Table1[[#This Row],[Pick]],Table2[Week],Table1[[#This Row],[Week]])</f>
        <v>0</v>
      </c>
      <c r="H807" s="59">
        <f>SUMIFS(Table2[Stat],Table2[Stat Category],"rushing",Table2[Stat Type],"YDS",Table2[Athlete],Table1[[#This Row],[Pick]],Table2[Week],Table1[[#This Row],[Week]])</f>
        <v>0</v>
      </c>
      <c r="I807" s="59">
        <f>SUMIFS(Table2[Stat],Table2[Stat Category],"receiving",Table2[Stat Type],"YDS",Table2[Athlete],Table1[[#This Row],[Pick]],Table2[Week],Table1[[#This Row],[Week]])</f>
        <v>0</v>
      </c>
      <c r="J807" s="6">
        <f>IF(AND($C807="Rushing", $H807&lt;=0), 0, IF(AND($C807="Passing", $G$3&lt;=0), 0,IF(AND($C807="Receiving",$I807&lt;=0), 0,SUMIFS(Table2[Stat],Table2[Week],Table1[[#This Row],[Week]],Table2[Athlete],Table1[[#This Row],[Pick]],Table2[Stat Category],"passing",Table2[Stat Type],"TD"))))</f>
        <v>0</v>
      </c>
      <c r="K807" s="6">
        <f>IF(AND($C807="Rushing", $H807&lt;=0), 0, IF(AND($C807="Passing", $G$3&lt;=0), 0,IF(AND($C807="Receiving",$I807&lt;=0),0,SUMIFS(Table2[Stat],Table2[Week],Table1[[#This Row],[Week]],Table2[Athlete],Table1[[#This Row],[Pick]],Table2[Stat Category],"rushing",Table2[Stat Type],"TD"))))</f>
        <v>0</v>
      </c>
      <c r="L807" s="6">
        <f>IF(AND($C807="Rushing", $H807&lt;=0), 0, IF(AND($C807="Passing", $G$3&lt;=0), 0,IF(AND($C807="Receiving",$I807&lt;=0),0,SUMIFS(Table2[Stat],Table2[Week],Table1[[#This Row],[Week]],Table2[Athlete],Table1[[#This Row],[Pick]],Table2[Stat Category],"receiving",Table2[Stat Type],"TD"))))</f>
        <v>0</v>
      </c>
      <c r="M8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7" s="61">
        <f>SUMIFS(Data!$J:$J,Data!$A:$A,Info!$B807,Data!$G:$G,Info!$C807,Data!$I:$I,Info!$D807,Data!$H:$H,"TOT")</f>
        <v>0</v>
      </c>
      <c r="O807" s="61">
        <f>IF(C807="Defensive",SUMIFS(Data!$J:$J,Data!$A:$A,Info!$B807,Data!$I:$I,Info!$D807,Data!$H:$H,"INT"),0)</f>
        <v>0</v>
      </c>
      <c r="P807" s="61">
        <f>IF(Table1[[#This Row],[Role]]="Defensive",SUMIFS(Data!$J:$J,Data!$A:$A,Info!$B807,Data!$I:$I,Info!$D807,Data!$H:$H,$P$1),0)</f>
        <v>0</v>
      </c>
      <c r="Q807" s="65" t="str">
        <f>IF(Table1[[#This Row],[Pick]]="","",IF(S807&gt;1,400,IF(G807="","",IF(C807="Passing",(400-Table1[[#This Row],[Passing Yards]]-(30*Table1[[#This Row],[Passing TDs]])-(50*SUM(Table1[[#This Row],[Rushing TDs]:[Other TD''s]]))),IF(C807="Rushing",2*(200-Table1[[#This Row],[Rushing Yards]]-(30*Table1[[#This Row],[Passing TDs]])-50*(Table1[[#This Row],[Rushing TDs]]+Table1[[#This Row],[Receiving TDs]]+Table1[[#This Row],[Other TD''s]])),IF(C807="Receiving",2*(200-Table1[[#This Row],[Receiving Yards]]-(30*Table1[[#This Row],[Passing TDs]])-50*(Table1[[#This Row],[Rushing TDs]]+Table1[[#This Row],[Receiving TDs]]+Table1[[#This Row],[Other TD''s]])),IF(C807="Defensive",(25*(16-Table1[[#This Row],[Tackles]]-(8*(Table1[[#This Row],[Other TD''s]]+Table1[[#This Row],[Interceptions]]+Table1[[#This Row],[Fumbles Recovered]])))))))))))</f>
        <v/>
      </c>
      <c r="R807" s="3" t="str">
        <f t="shared" si="26"/>
        <v/>
      </c>
      <c r="S807" s="4">
        <f t="shared" si="25"/>
        <v>1048507</v>
      </c>
      <c r="T8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8" spans="1:20" hidden="1" x14ac:dyDescent="0.25">
      <c r="A808" t="s">
        <v>62</v>
      </c>
      <c r="B808" s="28" t="s">
        <v>55</v>
      </c>
      <c r="C808" t="s">
        <v>6</v>
      </c>
      <c r="D808" t="str">
        <f>_xlfn.XLOOKUP(Table1[[#This Row],[Player]]&amp;Table1[[#This Row],[Week]]&amp;Table1[[#This Row],[Role]],'Google Form Transform'!$A:$A,'Google Form Transform'!E:E,"")</f>
        <v/>
      </c>
      <c r="E808" t="str">
        <f>_xlfn.XLOOKUP(Table1[[#This Row],[Player]]&amp;Table1[[#This Row],[Week]]&amp;Table1[[#This Row],[Role]],'Google Form Transform'!$A:$A,'Google Form Transform'!F:F,"")</f>
        <v/>
      </c>
      <c r="F808" t="str">
        <f>_xlfn.XLOOKUP(Table1[[#This Row],[Player]]&amp;Table1[[#This Row],[Week]]&amp;Table1[[#This Row],[Role]],'Google Form Transform'!$A:$A,'Google Form Transform'!G:G,"")</f>
        <v/>
      </c>
      <c r="G808" s="59">
        <f>SUMIFS(Table2[Stat],Table2[Stat Category],"passing",Table2[Stat Type],"YDS",Table2[Athlete],Table1[[#This Row],[Pick]],Table2[Week],Table1[[#This Row],[Week]])</f>
        <v>0</v>
      </c>
      <c r="H808" s="59">
        <f>SUMIFS(Table2[Stat],Table2[Stat Category],"rushing",Table2[Stat Type],"YDS",Table2[Athlete],Table1[[#This Row],[Pick]],Table2[Week],Table1[[#This Row],[Week]])</f>
        <v>0</v>
      </c>
      <c r="I808" s="59">
        <f>SUMIFS(Table2[Stat],Table2[Stat Category],"receiving",Table2[Stat Type],"YDS",Table2[Athlete],Table1[[#This Row],[Pick]],Table2[Week],Table1[[#This Row],[Week]])</f>
        <v>0</v>
      </c>
      <c r="J808" s="6">
        <f>IF(AND($C808="Rushing", $H808&lt;=0), 0, IF(AND($C808="Passing", $G$3&lt;=0), 0,IF(AND($C808="Receiving",$I808&lt;=0), 0,SUMIFS(Table2[Stat],Table2[Week],Table1[[#This Row],[Week]],Table2[Athlete],Table1[[#This Row],[Pick]],Table2[Stat Category],"passing",Table2[Stat Type],"TD"))))</f>
        <v>0</v>
      </c>
      <c r="K808" s="6">
        <f>IF(AND($C808="Rushing", $H808&lt;=0), 0, IF(AND($C808="Passing", $G$3&lt;=0), 0,IF(AND($C808="Receiving",$I808&lt;=0),0,SUMIFS(Table2[Stat],Table2[Week],Table1[[#This Row],[Week]],Table2[Athlete],Table1[[#This Row],[Pick]],Table2[Stat Category],"rushing",Table2[Stat Type],"TD"))))</f>
        <v>0</v>
      </c>
      <c r="L808" s="6">
        <f>IF(AND($C808="Rushing", $H808&lt;=0), 0, IF(AND($C808="Passing", $G$3&lt;=0), 0,IF(AND($C808="Receiving",$I808&lt;=0),0,SUMIFS(Table2[Stat],Table2[Week],Table1[[#This Row],[Week]],Table2[Athlete],Table1[[#This Row],[Pick]],Table2[Stat Category],"receiving",Table2[Stat Type],"TD"))))</f>
        <v>0</v>
      </c>
      <c r="M8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8" s="61">
        <f>SUMIFS(Data!$J:$J,Data!$A:$A,Info!$B808,Data!$G:$G,Info!$C808,Data!$I:$I,Info!$D808,Data!$H:$H,"TOT")</f>
        <v>0</v>
      </c>
      <c r="O808" s="61">
        <f>IF(C808="Defensive",SUMIFS(Data!$J:$J,Data!$A:$A,Info!$B808,Data!$I:$I,Info!$D808,Data!$H:$H,"INT"),0)</f>
        <v>0</v>
      </c>
      <c r="P808" s="61">
        <f>IF(Table1[[#This Row],[Role]]="Defensive",SUMIFS(Data!$J:$J,Data!$A:$A,Info!$B808,Data!$I:$I,Info!$D808,Data!$H:$H,$P$1),0)</f>
        <v>0</v>
      </c>
      <c r="Q808" s="65" t="str">
        <f>IF(Table1[[#This Row],[Pick]]="","",IF(S808&gt;1,400,IF(G808="","",IF(C808="Passing",(400-Table1[[#This Row],[Passing Yards]]-(30*Table1[[#This Row],[Passing TDs]])-(50*SUM(Table1[[#This Row],[Rushing TDs]:[Other TD''s]]))),IF(C808="Rushing",2*(200-Table1[[#This Row],[Rushing Yards]]-(30*Table1[[#This Row],[Passing TDs]])-50*(Table1[[#This Row],[Rushing TDs]]+Table1[[#This Row],[Receiving TDs]]+Table1[[#This Row],[Other TD''s]])),IF(C808="Receiving",2*(200-Table1[[#This Row],[Receiving Yards]]-(30*Table1[[#This Row],[Passing TDs]])-50*(Table1[[#This Row],[Rushing TDs]]+Table1[[#This Row],[Receiving TDs]]+Table1[[#This Row],[Other TD''s]])),IF(C808="Defensive",(25*(16-Table1[[#This Row],[Tackles]]-(8*(Table1[[#This Row],[Other TD''s]]+Table1[[#This Row],[Interceptions]]+Table1[[#This Row],[Fumbles Recovered]])))))))))))</f>
        <v/>
      </c>
      <c r="R808" s="3" t="str">
        <f t="shared" si="26"/>
        <v/>
      </c>
      <c r="S808" s="4">
        <f t="shared" si="25"/>
        <v>1048507</v>
      </c>
      <c r="T8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9" spans="1:20" hidden="1" x14ac:dyDescent="0.25">
      <c r="A809" t="s">
        <v>62</v>
      </c>
      <c r="B809" s="28" t="s">
        <v>55</v>
      </c>
      <c r="C809" t="s">
        <v>17</v>
      </c>
      <c r="D809" t="str">
        <f>_xlfn.XLOOKUP(Table1[[#This Row],[Player]]&amp;Table1[[#This Row],[Week]]&amp;Table1[[#This Row],[Role]],'Google Form Transform'!$A:$A,'Google Form Transform'!E:E,"")</f>
        <v/>
      </c>
      <c r="E809" t="str">
        <f>_xlfn.XLOOKUP(Table1[[#This Row],[Player]]&amp;Table1[[#This Row],[Week]]&amp;Table1[[#This Row],[Role]],'Google Form Transform'!$A:$A,'Google Form Transform'!F:F,"")</f>
        <v/>
      </c>
      <c r="F809" t="str">
        <f>_xlfn.XLOOKUP(Table1[[#This Row],[Player]]&amp;Table1[[#This Row],[Week]]&amp;Table1[[#This Row],[Role]],'Google Form Transform'!$A:$A,'Google Form Transform'!G:G,"")</f>
        <v/>
      </c>
      <c r="G809" s="59">
        <f>SUMIFS(Table2[Stat],Table2[Stat Category],"passing",Table2[Stat Type],"YDS",Table2[Athlete],Table1[[#This Row],[Pick]],Table2[Week],Table1[[#This Row],[Week]])</f>
        <v>0</v>
      </c>
      <c r="H809" s="59">
        <f>SUMIFS(Table2[Stat],Table2[Stat Category],"rushing",Table2[Stat Type],"YDS",Table2[Athlete],Table1[[#This Row],[Pick]],Table2[Week],Table1[[#This Row],[Week]])</f>
        <v>0</v>
      </c>
      <c r="I809" s="59">
        <f>SUMIFS(Table2[Stat],Table2[Stat Category],"receiving",Table2[Stat Type],"YDS",Table2[Athlete],Table1[[#This Row],[Pick]],Table2[Week],Table1[[#This Row],[Week]])</f>
        <v>0</v>
      </c>
      <c r="J809" s="6">
        <f>IF(AND($C809="Rushing", $H809&lt;=0), 0, IF(AND($C809="Passing", $G$3&lt;=0), 0,IF(AND($C809="Receiving",$I809&lt;=0), 0,SUMIFS(Table2[Stat],Table2[Week],Table1[[#This Row],[Week]],Table2[Athlete],Table1[[#This Row],[Pick]],Table2[Stat Category],"passing",Table2[Stat Type],"TD"))))</f>
        <v>0</v>
      </c>
      <c r="K809" s="6">
        <f>IF(AND($C809="Rushing", $H809&lt;=0), 0, IF(AND($C809="Passing", $G$3&lt;=0), 0,IF(AND($C809="Receiving",$I809&lt;=0),0,SUMIFS(Table2[Stat],Table2[Week],Table1[[#This Row],[Week]],Table2[Athlete],Table1[[#This Row],[Pick]],Table2[Stat Category],"rushing",Table2[Stat Type],"TD"))))</f>
        <v>0</v>
      </c>
      <c r="L809" s="6">
        <f>IF(AND($C809="Rushing", $H809&lt;=0), 0, IF(AND($C809="Passing", $G$3&lt;=0), 0,IF(AND($C809="Receiving",$I809&lt;=0),0,SUMIFS(Table2[Stat],Table2[Week],Table1[[#This Row],[Week]],Table2[Athlete],Table1[[#This Row],[Pick]],Table2[Stat Category],"receiving",Table2[Stat Type],"TD"))))</f>
        <v>0</v>
      </c>
      <c r="M8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9" s="61">
        <f>SUMIFS(Data!$J:$J,Data!$A:$A,Info!$B809,Data!$G:$G,Info!$C809,Data!$I:$I,Info!$D809,Data!$H:$H,"TOT")</f>
        <v>0</v>
      </c>
      <c r="O809" s="61">
        <f>IF(C809="Defensive",SUMIFS(Data!$J:$J,Data!$A:$A,Info!$B809,Data!$I:$I,Info!$D809,Data!$H:$H,"INT"),0)</f>
        <v>0</v>
      </c>
      <c r="P809" s="61">
        <f>IF(Table1[[#This Row],[Role]]="Defensive",SUMIFS(Data!$J:$J,Data!$A:$A,Info!$B809,Data!$I:$I,Info!$D809,Data!$H:$H,$P$1),0)</f>
        <v>0</v>
      </c>
      <c r="Q809" s="65" t="str">
        <f>IF(Table1[[#This Row],[Pick]]="","",IF(S809&gt;1,400,IF(G809="","",IF(C809="Passing",(400-Table1[[#This Row],[Passing Yards]]-(30*Table1[[#This Row],[Passing TDs]])-(50*SUM(Table1[[#This Row],[Rushing TDs]:[Other TD''s]]))),IF(C809="Rushing",2*(200-Table1[[#This Row],[Rushing Yards]]-(30*Table1[[#This Row],[Passing TDs]])-50*(Table1[[#This Row],[Rushing TDs]]+Table1[[#This Row],[Receiving TDs]]+Table1[[#This Row],[Other TD''s]])),IF(C809="Receiving",2*(200-Table1[[#This Row],[Receiving Yards]]-(30*Table1[[#This Row],[Passing TDs]])-50*(Table1[[#This Row],[Rushing TDs]]+Table1[[#This Row],[Receiving TDs]]+Table1[[#This Row],[Other TD''s]])),IF(C809="Defensive",(25*(16-Table1[[#This Row],[Tackles]]-(8*(Table1[[#This Row],[Other TD''s]]+Table1[[#This Row],[Interceptions]]+Table1[[#This Row],[Fumbles Recovered]])))))))))))</f>
        <v/>
      </c>
      <c r="R809" s="3" t="str">
        <f t="shared" si="26"/>
        <v/>
      </c>
      <c r="S809" s="4">
        <f t="shared" si="25"/>
        <v>1048507</v>
      </c>
      <c r="T8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0" spans="1:20" hidden="1" x14ac:dyDescent="0.25">
      <c r="A810" t="s">
        <v>62</v>
      </c>
      <c r="B810" s="28" t="s">
        <v>55</v>
      </c>
      <c r="C810" t="s">
        <v>20</v>
      </c>
      <c r="D810" t="str">
        <f>_xlfn.XLOOKUP(Table1[[#This Row],[Player]]&amp;Table1[[#This Row],[Week]]&amp;Table1[[#This Row],[Role]],'Google Form Transform'!$A:$A,'Google Form Transform'!E:E,"")</f>
        <v/>
      </c>
      <c r="E810" t="str">
        <f>_xlfn.XLOOKUP(Table1[[#This Row],[Player]]&amp;Table1[[#This Row],[Week]]&amp;Table1[[#This Row],[Role]],'Google Form Transform'!$A:$A,'Google Form Transform'!F:F,"")</f>
        <v/>
      </c>
      <c r="F810" t="str">
        <f>_xlfn.XLOOKUP(Table1[[#This Row],[Player]]&amp;Table1[[#This Row],[Week]]&amp;Table1[[#This Row],[Role]],'Google Form Transform'!$A:$A,'Google Form Transform'!G:G,"")</f>
        <v/>
      </c>
      <c r="G810" s="59">
        <f>SUMIFS(Table2[Stat],Table2[Stat Category],"passing",Table2[Stat Type],"YDS",Table2[Athlete],Table1[[#This Row],[Pick]],Table2[Week],Table1[[#This Row],[Week]])</f>
        <v>0</v>
      </c>
      <c r="H810" s="59">
        <f>SUMIFS(Table2[Stat],Table2[Stat Category],"rushing",Table2[Stat Type],"YDS",Table2[Athlete],Table1[[#This Row],[Pick]],Table2[Week],Table1[[#This Row],[Week]])</f>
        <v>0</v>
      </c>
      <c r="I810" s="59">
        <f>SUMIFS(Table2[Stat],Table2[Stat Category],"receiving",Table2[Stat Type],"YDS",Table2[Athlete],Table1[[#This Row],[Pick]],Table2[Week],Table1[[#This Row],[Week]])</f>
        <v>0</v>
      </c>
      <c r="J810" s="6">
        <f>IF(AND($C810="Rushing", $H810&lt;=0), 0, IF(AND($C810="Passing", $G$3&lt;=0), 0,IF(AND($C810="Receiving",$I810&lt;=0), 0,SUMIFS(Table2[Stat],Table2[Week],Table1[[#This Row],[Week]],Table2[Athlete],Table1[[#This Row],[Pick]],Table2[Stat Category],"passing",Table2[Stat Type],"TD"))))</f>
        <v>0</v>
      </c>
      <c r="K810" s="6">
        <f>IF(AND($C810="Rushing", $H810&lt;=0), 0, IF(AND($C810="Passing", $G$3&lt;=0), 0,IF(AND($C810="Receiving",$I810&lt;=0),0,SUMIFS(Table2[Stat],Table2[Week],Table1[[#This Row],[Week]],Table2[Athlete],Table1[[#This Row],[Pick]],Table2[Stat Category],"rushing",Table2[Stat Type],"TD"))))</f>
        <v>0</v>
      </c>
      <c r="L810" s="6">
        <f>IF(AND($C810="Rushing", $H810&lt;=0), 0, IF(AND($C810="Passing", $G$3&lt;=0), 0,IF(AND($C810="Receiving",$I810&lt;=0),0,SUMIFS(Table2[Stat],Table2[Week],Table1[[#This Row],[Week]],Table2[Athlete],Table1[[#This Row],[Pick]],Table2[Stat Category],"receiving",Table2[Stat Type],"TD"))))</f>
        <v>0</v>
      </c>
      <c r="M8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0" s="61">
        <f>SUMIFS(Data!$J:$J,Data!$A:$A,Info!$B810,Data!$G:$G,Info!$C810,Data!$I:$I,Info!$D810,Data!$H:$H,"TOT")</f>
        <v>0</v>
      </c>
      <c r="O810" s="61">
        <f>IF(C810="Defensive",SUMIFS(Data!$J:$J,Data!$A:$A,Info!$B810,Data!$I:$I,Info!$D810,Data!$H:$H,"INT"),0)</f>
        <v>0</v>
      </c>
      <c r="P810" s="61">
        <f>IF(Table1[[#This Row],[Role]]="Defensive",SUMIFS(Data!$J:$J,Data!$A:$A,Info!$B810,Data!$I:$I,Info!$D810,Data!$H:$H,$P$1),0)</f>
        <v>0</v>
      </c>
      <c r="Q810" s="65" t="str">
        <f>IF(Table1[[#This Row],[Pick]]="","",IF(S810&gt;1,400,IF(G810="","",IF(C810="Passing",(400-Table1[[#This Row],[Passing Yards]]-(30*Table1[[#This Row],[Passing TDs]])-(50*SUM(Table1[[#This Row],[Rushing TDs]:[Other TD''s]]))),IF(C810="Rushing",2*(200-Table1[[#This Row],[Rushing Yards]]-(30*Table1[[#This Row],[Passing TDs]])-50*(Table1[[#This Row],[Rushing TDs]]+Table1[[#This Row],[Receiving TDs]]+Table1[[#This Row],[Other TD''s]])),IF(C810="Receiving",2*(200-Table1[[#This Row],[Receiving Yards]]-(30*Table1[[#This Row],[Passing TDs]])-50*(Table1[[#This Row],[Rushing TDs]]+Table1[[#This Row],[Receiving TDs]]+Table1[[#This Row],[Other TD''s]])),IF(C810="Defensive",(25*(16-Table1[[#This Row],[Tackles]]-(8*(Table1[[#This Row],[Other TD''s]]+Table1[[#This Row],[Interceptions]]+Table1[[#This Row],[Fumbles Recovered]])))))))))))</f>
        <v/>
      </c>
      <c r="R810" s="3" t="str">
        <f t="shared" si="26"/>
        <v/>
      </c>
      <c r="S810" s="4">
        <f t="shared" si="25"/>
        <v>1048507</v>
      </c>
      <c r="T8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1" spans="1:20" hidden="1" x14ac:dyDescent="0.25">
      <c r="A811" t="s">
        <v>59</v>
      </c>
      <c r="B811" s="28" t="s">
        <v>55</v>
      </c>
      <c r="C811" t="s">
        <v>16</v>
      </c>
      <c r="D811" t="str">
        <f>_xlfn.XLOOKUP(Table1[[#This Row],[Player]]&amp;Table1[[#This Row],[Week]]&amp;Table1[[#This Row],[Role]],'Google Form Transform'!$A:$A,'Google Form Transform'!E:E,"")</f>
        <v/>
      </c>
      <c r="E811" t="str">
        <f>_xlfn.XLOOKUP(Table1[[#This Row],[Player]]&amp;Table1[[#This Row],[Week]]&amp;Table1[[#This Row],[Role]],'Google Form Transform'!$A:$A,'Google Form Transform'!F:F,"")</f>
        <v/>
      </c>
      <c r="F811" t="str">
        <f>_xlfn.XLOOKUP(Table1[[#This Row],[Player]]&amp;Table1[[#This Row],[Week]]&amp;Table1[[#This Row],[Role]],'Google Form Transform'!$A:$A,'Google Form Transform'!G:G,"")</f>
        <v/>
      </c>
      <c r="G811" s="59">
        <f>SUMIFS(Table2[Stat],Table2[Stat Category],"passing",Table2[Stat Type],"YDS",Table2[Athlete],Table1[[#This Row],[Pick]],Table2[Week],Table1[[#This Row],[Week]])</f>
        <v>0</v>
      </c>
      <c r="H811" s="59">
        <f>SUMIFS(Table2[Stat],Table2[Stat Category],"rushing",Table2[Stat Type],"YDS",Table2[Athlete],Table1[[#This Row],[Pick]],Table2[Week],Table1[[#This Row],[Week]])</f>
        <v>0</v>
      </c>
      <c r="I811" s="59">
        <f>SUMIFS(Table2[Stat],Table2[Stat Category],"receiving",Table2[Stat Type],"YDS",Table2[Athlete],Table1[[#This Row],[Pick]],Table2[Week],Table1[[#This Row],[Week]])</f>
        <v>0</v>
      </c>
      <c r="J811" s="6">
        <f>IF(AND($C811="Rushing", $H811&lt;=0), 0, IF(AND($C811="Passing", $G$3&lt;=0), 0,IF(AND($C811="Receiving",$I811&lt;=0), 0,SUMIFS(Table2[Stat],Table2[Week],Table1[[#This Row],[Week]],Table2[Athlete],Table1[[#This Row],[Pick]],Table2[Stat Category],"passing",Table2[Stat Type],"TD"))))</f>
        <v>0</v>
      </c>
      <c r="K811" s="6">
        <f>IF(AND($C811="Rushing", $H811&lt;=0), 0, IF(AND($C811="Passing", $G$3&lt;=0), 0,IF(AND($C811="Receiving",$I811&lt;=0),0,SUMIFS(Table2[Stat],Table2[Week],Table1[[#This Row],[Week]],Table2[Athlete],Table1[[#This Row],[Pick]],Table2[Stat Category],"rushing",Table2[Stat Type],"TD"))))</f>
        <v>0</v>
      </c>
      <c r="L811" s="6">
        <f>IF(AND($C811="Rushing", $H811&lt;=0), 0, IF(AND($C811="Passing", $G$3&lt;=0), 0,IF(AND($C811="Receiving",$I811&lt;=0),0,SUMIFS(Table2[Stat],Table2[Week],Table1[[#This Row],[Week]],Table2[Athlete],Table1[[#This Row],[Pick]],Table2[Stat Category],"receiving",Table2[Stat Type],"TD"))))</f>
        <v>0</v>
      </c>
      <c r="M8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1" s="61">
        <f>SUMIFS(Data!$J:$J,Data!$A:$A,Info!$B811,Data!$G:$G,Info!$C811,Data!$I:$I,Info!$D811,Data!$H:$H,"TOT")</f>
        <v>0</v>
      </c>
      <c r="O811" s="61">
        <f>IF(C811="Defensive",SUMIFS(Data!$J:$J,Data!$A:$A,Info!$B811,Data!$I:$I,Info!$D811,Data!$H:$H,"INT"),0)</f>
        <v>0</v>
      </c>
      <c r="P811" s="61">
        <f>IF(Table1[[#This Row],[Role]]="Defensive",SUMIFS(Data!$J:$J,Data!$A:$A,Info!$B811,Data!$I:$I,Info!$D811,Data!$H:$H,$P$1),0)</f>
        <v>0</v>
      </c>
      <c r="Q811" s="65" t="str">
        <f>IF(Table1[[#This Row],[Pick]]="","",IF(S811&gt;1,400,IF(G811="","",IF(C811="Passing",(400-Table1[[#This Row],[Passing Yards]]-(30*Table1[[#This Row],[Passing TDs]])-(50*SUM(Table1[[#This Row],[Rushing TDs]:[Other TD''s]]))),IF(C811="Rushing",2*(200-Table1[[#This Row],[Rushing Yards]]-(30*Table1[[#This Row],[Passing TDs]])-50*(Table1[[#This Row],[Rushing TDs]]+Table1[[#This Row],[Receiving TDs]]+Table1[[#This Row],[Other TD''s]])),IF(C811="Receiving",2*(200-Table1[[#This Row],[Receiving Yards]]-(30*Table1[[#This Row],[Passing TDs]])-50*(Table1[[#This Row],[Rushing TDs]]+Table1[[#This Row],[Receiving TDs]]+Table1[[#This Row],[Other TD''s]])),IF(C811="Defensive",(25*(16-Table1[[#This Row],[Tackles]]-(8*(Table1[[#This Row],[Other TD''s]]+Table1[[#This Row],[Interceptions]]+Table1[[#This Row],[Fumbles Recovered]])))))))))))</f>
        <v/>
      </c>
      <c r="R811" s="3" t="str">
        <f t="shared" si="26"/>
        <v/>
      </c>
      <c r="S811" s="4">
        <f t="shared" si="25"/>
        <v>1048507</v>
      </c>
      <c r="T8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2" spans="1:20" hidden="1" x14ac:dyDescent="0.25">
      <c r="A812" t="s">
        <v>59</v>
      </c>
      <c r="B812" s="28" t="s">
        <v>55</v>
      </c>
      <c r="C812" t="s">
        <v>6</v>
      </c>
      <c r="D812" t="str">
        <f>_xlfn.XLOOKUP(Table1[[#This Row],[Player]]&amp;Table1[[#This Row],[Week]]&amp;Table1[[#This Row],[Role]],'Google Form Transform'!$A:$A,'Google Form Transform'!E:E,"")</f>
        <v/>
      </c>
      <c r="E812" t="str">
        <f>_xlfn.XLOOKUP(Table1[[#This Row],[Player]]&amp;Table1[[#This Row],[Week]]&amp;Table1[[#This Row],[Role]],'Google Form Transform'!$A:$A,'Google Form Transform'!F:F,"")</f>
        <v/>
      </c>
      <c r="F812" t="str">
        <f>_xlfn.XLOOKUP(Table1[[#This Row],[Player]]&amp;Table1[[#This Row],[Week]]&amp;Table1[[#This Row],[Role]],'Google Form Transform'!$A:$A,'Google Form Transform'!G:G,"")</f>
        <v/>
      </c>
      <c r="G812" s="59">
        <f>SUMIFS(Table2[Stat],Table2[Stat Category],"passing",Table2[Stat Type],"YDS",Table2[Athlete],Table1[[#This Row],[Pick]],Table2[Week],Table1[[#This Row],[Week]])</f>
        <v>0</v>
      </c>
      <c r="H812" s="59">
        <f>SUMIFS(Table2[Stat],Table2[Stat Category],"rushing",Table2[Stat Type],"YDS",Table2[Athlete],Table1[[#This Row],[Pick]],Table2[Week],Table1[[#This Row],[Week]])</f>
        <v>0</v>
      </c>
      <c r="I812" s="59">
        <f>SUMIFS(Table2[Stat],Table2[Stat Category],"receiving",Table2[Stat Type],"YDS",Table2[Athlete],Table1[[#This Row],[Pick]],Table2[Week],Table1[[#This Row],[Week]])</f>
        <v>0</v>
      </c>
      <c r="J812" s="6">
        <f>IF(AND($C812="Rushing", $H812&lt;=0), 0, IF(AND($C812="Passing", $G$3&lt;=0), 0,IF(AND($C812="Receiving",$I812&lt;=0), 0,SUMIFS(Table2[Stat],Table2[Week],Table1[[#This Row],[Week]],Table2[Athlete],Table1[[#This Row],[Pick]],Table2[Stat Category],"passing",Table2[Stat Type],"TD"))))</f>
        <v>0</v>
      </c>
      <c r="K812" s="6">
        <f>IF(AND($C812="Rushing", $H812&lt;=0), 0, IF(AND($C812="Passing", $G$3&lt;=0), 0,IF(AND($C812="Receiving",$I812&lt;=0),0,SUMIFS(Table2[Stat],Table2[Week],Table1[[#This Row],[Week]],Table2[Athlete],Table1[[#This Row],[Pick]],Table2[Stat Category],"rushing",Table2[Stat Type],"TD"))))</f>
        <v>0</v>
      </c>
      <c r="L812" s="6">
        <f>IF(AND($C812="Rushing", $H812&lt;=0), 0, IF(AND($C812="Passing", $G$3&lt;=0), 0,IF(AND($C812="Receiving",$I812&lt;=0),0,SUMIFS(Table2[Stat],Table2[Week],Table1[[#This Row],[Week]],Table2[Athlete],Table1[[#This Row],[Pick]],Table2[Stat Category],"receiving",Table2[Stat Type],"TD"))))</f>
        <v>0</v>
      </c>
      <c r="M8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2" s="61">
        <f>SUMIFS(Data!$J:$J,Data!$A:$A,Info!$B812,Data!$G:$G,Info!$C812,Data!$I:$I,Info!$D812,Data!$H:$H,"TOT")</f>
        <v>0</v>
      </c>
      <c r="O812" s="61">
        <f>IF(C812="Defensive",SUMIFS(Data!$J:$J,Data!$A:$A,Info!$B812,Data!$I:$I,Info!$D812,Data!$H:$H,"INT"),0)</f>
        <v>0</v>
      </c>
      <c r="P812" s="61">
        <f>IF(Table1[[#This Row],[Role]]="Defensive",SUMIFS(Data!$J:$J,Data!$A:$A,Info!$B812,Data!$I:$I,Info!$D812,Data!$H:$H,$P$1),0)</f>
        <v>0</v>
      </c>
      <c r="Q812" s="65" t="str">
        <f>IF(Table1[[#This Row],[Pick]]="","",IF(S812&gt;1,400,IF(G812="","",IF(C812="Passing",(400-Table1[[#This Row],[Passing Yards]]-(30*Table1[[#This Row],[Passing TDs]])-(50*SUM(Table1[[#This Row],[Rushing TDs]:[Other TD''s]]))),IF(C812="Rushing",2*(200-Table1[[#This Row],[Rushing Yards]]-(30*Table1[[#This Row],[Passing TDs]])-50*(Table1[[#This Row],[Rushing TDs]]+Table1[[#This Row],[Receiving TDs]]+Table1[[#This Row],[Other TD''s]])),IF(C812="Receiving",2*(200-Table1[[#This Row],[Receiving Yards]]-(30*Table1[[#This Row],[Passing TDs]])-50*(Table1[[#This Row],[Rushing TDs]]+Table1[[#This Row],[Receiving TDs]]+Table1[[#This Row],[Other TD''s]])),IF(C812="Defensive",(25*(16-Table1[[#This Row],[Tackles]]-(8*(Table1[[#This Row],[Other TD''s]]+Table1[[#This Row],[Interceptions]]+Table1[[#This Row],[Fumbles Recovered]])))))))))))</f>
        <v/>
      </c>
      <c r="R812" s="3" t="str">
        <f t="shared" si="26"/>
        <v/>
      </c>
      <c r="S812" s="4">
        <f t="shared" si="25"/>
        <v>1048507</v>
      </c>
      <c r="T8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3" spans="1:20" hidden="1" x14ac:dyDescent="0.25">
      <c r="A813" t="s">
        <v>59</v>
      </c>
      <c r="B813" s="28" t="s">
        <v>55</v>
      </c>
      <c r="C813" t="s">
        <v>17</v>
      </c>
      <c r="D813" t="str">
        <f>_xlfn.XLOOKUP(Table1[[#This Row],[Player]]&amp;Table1[[#This Row],[Week]]&amp;Table1[[#This Row],[Role]],'Google Form Transform'!$A:$A,'Google Form Transform'!E:E,"")</f>
        <v/>
      </c>
      <c r="E813" t="str">
        <f>_xlfn.XLOOKUP(Table1[[#This Row],[Player]]&amp;Table1[[#This Row],[Week]]&amp;Table1[[#This Row],[Role]],'Google Form Transform'!$A:$A,'Google Form Transform'!F:F,"")</f>
        <v/>
      </c>
      <c r="F813" t="str">
        <f>_xlfn.XLOOKUP(Table1[[#This Row],[Player]]&amp;Table1[[#This Row],[Week]]&amp;Table1[[#This Row],[Role]],'Google Form Transform'!$A:$A,'Google Form Transform'!G:G,"")</f>
        <v/>
      </c>
      <c r="G813" s="59">
        <f>SUMIFS(Table2[Stat],Table2[Stat Category],"passing",Table2[Stat Type],"YDS",Table2[Athlete],Table1[[#This Row],[Pick]],Table2[Week],Table1[[#This Row],[Week]])</f>
        <v>0</v>
      </c>
      <c r="H813" s="59">
        <f>SUMIFS(Table2[Stat],Table2[Stat Category],"rushing",Table2[Stat Type],"YDS",Table2[Athlete],Table1[[#This Row],[Pick]],Table2[Week],Table1[[#This Row],[Week]])</f>
        <v>0</v>
      </c>
      <c r="I813" s="59">
        <f>SUMIFS(Table2[Stat],Table2[Stat Category],"receiving",Table2[Stat Type],"YDS",Table2[Athlete],Table1[[#This Row],[Pick]],Table2[Week],Table1[[#This Row],[Week]])</f>
        <v>0</v>
      </c>
      <c r="J813" s="6">
        <f>IF(AND($C813="Rushing", $H813&lt;=0), 0, IF(AND($C813="Passing", $G$3&lt;=0), 0,IF(AND($C813="Receiving",$I813&lt;=0), 0,SUMIFS(Table2[Stat],Table2[Week],Table1[[#This Row],[Week]],Table2[Athlete],Table1[[#This Row],[Pick]],Table2[Stat Category],"passing",Table2[Stat Type],"TD"))))</f>
        <v>0</v>
      </c>
      <c r="K813" s="6">
        <f>IF(AND($C813="Rushing", $H813&lt;=0), 0, IF(AND($C813="Passing", $G$3&lt;=0), 0,IF(AND($C813="Receiving",$I813&lt;=0),0,SUMIFS(Table2[Stat],Table2[Week],Table1[[#This Row],[Week]],Table2[Athlete],Table1[[#This Row],[Pick]],Table2[Stat Category],"rushing",Table2[Stat Type],"TD"))))</f>
        <v>0</v>
      </c>
      <c r="L813" s="6">
        <f>IF(AND($C813="Rushing", $H813&lt;=0), 0, IF(AND($C813="Passing", $G$3&lt;=0), 0,IF(AND($C813="Receiving",$I813&lt;=0),0,SUMIFS(Table2[Stat],Table2[Week],Table1[[#This Row],[Week]],Table2[Athlete],Table1[[#This Row],[Pick]],Table2[Stat Category],"receiving",Table2[Stat Type],"TD"))))</f>
        <v>0</v>
      </c>
      <c r="M8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3" s="61">
        <f>SUMIFS(Data!$J:$J,Data!$A:$A,Info!$B813,Data!$G:$G,Info!$C813,Data!$I:$I,Info!$D813,Data!$H:$H,"TOT")</f>
        <v>0</v>
      </c>
      <c r="O813" s="61">
        <f>IF(C813="Defensive",SUMIFS(Data!$J:$J,Data!$A:$A,Info!$B813,Data!$I:$I,Info!$D813,Data!$H:$H,"INT"),0)</f>
        <v>0</v>
      </c>
      <c r="P813" s="61">
        <f>IF(Table1[[#This Row],[Role]]="Defensive",SUMIFS(Data!$J:$J,Data!$A:$A,Info!$B813,Data!$I:$I,Info!$D813,Data!$H:$H,$P$1),0)</f>
        <v>0</v>
      </c>
      <c r="Q813" s="65" t="str">
        <f>IF(Table1[[#This Row],[Pick]]="","",IF(S813&gt;1,400,IF(G813="","",IF(C813="Passing",(400-Table1[[#This Row],[Passing Yards]]-(30*Table1[[#This Row],[Passing TDs]])-(50*SUM(Table1[[#This Row],[Rushing TDs]:[Other TD''s]]))),IF(C813="Rushing",2*(200-Table1[[#This Row],[Rushing Yards]]-(30*Table1[[#This Row],[Passing TDs]])-50*(Table1[[#This Row],[Rushing TDs]]+Table1[[#This Row],[Receiving TDs]]+Table1[[#This Row],[Other TD''s]])),IF(C813="Receiving",2*(200-Table1[[#This Row],[Receiving Yards]]-(30*Table1[[#This Row],[Passing TDs]])-50*(Table1[[#This Row],[Rushing TDs]]+Table1[[#This Row],[Receiving TDs]]+Table1[[#This Row],[Other TD''s]])),IF(C813="Defensive",(25*(16-Table1[[#This Row],[Tackles]]-(8*(Table1[[#This Row],[Other TD''s]]+Table1[[#This Row],[Interceptions]]+Table1[[#This Row],[Fumbles Recovered]])))))))))))</f>
        <v/>
      </c>
      <c r="R813" s="3" t="str">
        <f t="shared" si="26"/>
        <v/>
      </c>
      <c r="S813" s="4">
        <f t="shared" si="25"/>
        <v>1048507</v>
      </c>
      <c r="T8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4" spans="1:20" hidden="1" x14ac:dyDescent="0.25">
      <c r="A814" t="s">
        <v>59</v>
      </c>
      <c r="B814" s="28" t="s">
        <v>55</v>
      </c>
      <c r="C814" t="s">
        <v>20</v>
      </c>
      <c r="D814" t="str">
        <f>_xlfn.XLOOKUP(Table1[[#This Row],[Player]]&amp;Table1[[#This Row],[Week]]&amp;Table1[[#This Row],[Role]],'Google Form Transform'!$A:$A,'Google Form Transform'!E:E,"")</f>
        <v/>
      </c>
      <c r="E814" t="str">
        <f>_xlfn.XLOOKUP(Table1[[#This Row],[Player]]&amp;Table1[[#This Row],[Week]]&amp;Table1[[#This Row],[Role]],'Google Form Transform'!$A:$A,'Google Form Transform'!F:F,"")</f>
        <v/>
      </c>
      <c r="F814" t="str">
        <f>_xlfn.XLOOKUP(Table1[[#This Row],[Player]]&amp;Table1[[#This Row],[Week]]&amp;Table1[[#This Row],[Role]],'Google Form Transform'!$A:$A,'Google Form Transform'!G:G,"")</f>
        <v/>
      </c>
      <c r="G814" s="59">
        <f>SUMIFS(Table2[Stat],Table2[Stat Category],"passing",Table2[Stat Type],"YDS",Table2[Athlete],Table1[[#This Row],[Pick]],Table2[Week],Table1[[#This Row],[Week]])</f>
        <v>0</v>
      </c>
      <c r="H814" s="59">
        <f>SUMIFS(Table2[Stat],Table2[Stat Category],"rushing",Table2[Stat Type],"YDS",Table2[Athlete],Table1[[#This Row],[Pick]],Table2[Week],Table1[[#This Row],[Week]])</f>
        <v>0</v>
      </c>
      <c r="I814" s="59">
        <f>SUMIFS(Table2[Stat],Table2[Stat Category],"receiving",Table2[Stat Type],"YDS",Table2[Athlete],Table1[[#This Row],[Pick]],Table2[Week],Table1[[#This Row],[Week]])</f>
        <v>0</v>
      </c>
      <c r="J814" s="6">
        <f>IF(AND($C814="Rushing", $H814&lt;=0), 0, IF(AND($C814="Passing", $G$3&lt;=0), 0,IF(AND($C814="Receiving",$I814&lt;=0), 0,SUMIFS(Table2[Stat],Table2[Week],Table1[[#This Row],[Week]],Table2[Athlete],Table1[[#This Row],[Pick]],Table2[Stat Category],"passing",Table2[Stat Type],"TD"))))</f>
        <v>0</v>
      </c>
      <c r="K814" s="6">
        <f>IF(AND($C814="Rushing", $H814&lt;=0), 0, IF(AND($C814="Passing", $G$3&lt;=0), 0,IF(AND($C814="Receiving",$I814&lt;=0),0,SUMIFS(Table2[Stat],Table2[Week],Table1[[#This Row],[Week]],Table2[Athlete],Table1[[#This Row],[Pick]],Table2[Stat Category],"rushing",Table2[Stat Type],"TD"))))</f>
        <v>0</v>
      </c>
      <c r="L814" s="6">
        <f>IF(AND($C814="Rushing", $H814&lt;=0), 0, IF(AND($C814="Passing", $G$3&lt;=0), 0,IF(AND($C814="Receiving",$I814&lt;=0),0,SUMIFS(Table2[Stat],Table2[Week],Table1[[#This Row],[Week]],Table2[Athlete],Table1[[#This Row],[Pick]],Table2[Stat Category],"receiving",Table2[Stat Type],"TD"))))</f>
        <v>0</v>
      </c>
      <c r="M8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4" s="61">
        <f>SUMIFS(Data!$J:$J,Data!$A:$A,Info!$B814,Data!$G:$G,Info!$C814,Data!$I:$I,Info!$D814,Data!$H:$H,"TOT")</f>
        <v>0</v>
      </c>
      <c r="O814" s="61">
        <f>IF(C814="Defensive",SUMIFS(Data!$J:$J,Data!$A:$A,Info!$B814,Data!$I:$I,Info!$D814,Data!$H:$H,"INT"),0)</f>
        <v>0</v>
      </c>
      <c r="P814" s="61">
        <f>IF(Table1[[#This Row],[Role]]="Defensive",SUMIFS(Data!$J:$J,Data!$A:$A,Info!$B814,Data!$I:$I,Info!$D814,Data!$H:$H,$P$1),0)</f>
        <v>0</v>
      </c>
      <c r="Q814" s="65" t="str">
        <f>IF(Table1[[#This Row],[Pick]]="","",IF(S814&gt;1,400,IF(G814="","",IF(C814="Passing",(400-Table1[[#This Row],[Passing Yards]]-(30*Table1[[#This Row],[Passing TDs]])-(50*SUM(Table1[[#This Row],[Rushing TDs]:[Other TD''s]]))),IF(C814="Rushing",2*(200-Table1[[#This Row],[Rushing Yards]]-(30*Table1[[#This Row],[Passing TDs]])-50*(Table1[[#This Row],[Rushing TDs]]+Table1[[#This Row],[Receiving TDs]]+Table1[[#This Row],[Other TD''s]])),IF(C814="Receiving",2*(200-Table1[[#This Row],[Receiving Yards]]-(30*Table1[[#This Row],[Passing TDs]])-50*(Table1[[#This Row],[Rushing TDs]]+Table1[[#This Row],[Receiving TDs]]+Table1[[#This Row],[Other TD''s]])),IF(C814="Defensive",(25*(16-Table1[[#This Row],[Tackles]]-(8*(Table1[[#This Row],[Other TD''s]]+Table1[[#This Row],[Interceptions]]+Table1[[#This Row],[Fumbles Recovered]])))))))))))</f>
        <v/>
      </c>
      <c r="R814" s="3" t="str">
        <f t="shared" si="26"/>
        <v/>
      </c>
      <c r="S814" s="4">
        <f t="shared" si="25"/>
        <v>1048507</v>
      </c>
      <c r="T8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5" spans="1:20" hidden="1" x14ac:dyDescent="0.25">
      <c r="A815" t="s">
        <v>68</v>
      </c>
      <c r="B815" s="28" t="s">
        <v>55</v>
      </c>
      <c r="C815" t="s">
        <v>16</v>
      </c>
      <c r="D815" t="str">
        <f>_xlfn.XLOOKUP(Table1[[#This Row],[Player]]&amp;Table1[[#This Row],[Week]]&amp;Table1[[#This Row],[Role]],'Google Form Transform'!$A:$A,'Google Form Transform'!E:E,"")</f>
        <v/>
      </c>
      <c r="E815" t="str">
        <f>_xlfn.XLOOKUP(Table1[[#This Row],[Player]]&amp;Table1[[#This Row],[Week]]&amp;Table1[[#This Row],[Role]],'Google Form Transform'!$A:$A,'Google Form Transform'!F:F,"")</f>
        <v/>
      </c>
      <c r="F815" t="str">
        <f>_xlfn.XLOOKUP(Table1[[#This Row],[Player]]&amp;Table1[[#This Row],[Week]]&amp;Table1[[#This Row],[Role]],'Google Form Transform'!$A:$A,'Google Form Transform'!G:G,"")</f>
        <v/>
      </c>
      <c r="G815" s="59">
        <f>SUMIFS(Table2[Stat],Table2[Stat Category],"passing",Table2[Stat Type],"YDS",Table2[Athlete],Table1[[#This Row],[Pick]],Table2[Week],Table1[[#This Row],[Week]])</f>
        <v>0</v>
      </c>
      <c r="H815" s="59">
        <f>SUMIFS(Table2[Stat],Table2[Stat Category],"rushing",Table2[Stat Type],"YDS",Table2[Athlete],Table1[[#This Row],[Pick]],Table2[Week],Table1[[#This Row],[Week]])</f>
        <v>0</v>
      </c>
      <c r="I815" s="59">
        <f>SUMIFS(Table2[Stat],Table2[Stat Category],"receiving",Table2[Stat Type],"YDS",Table2[Athlete],Table1[[#This Row],[Pick]],Table2[Week],Table1[[#This Row],[Week]])</f>
        <v>0</v>
      </c>
      <c r="J815" s="6">
        <f>IF(AND($C815="Rushing", $H815&lt;=0), 0, IF(AND($C815="Passing", $G$3&lt;=0), 0,IF(AND($C815="Receiving",$I815&lt;=0), 0,SUMIFS(Table2[Stat],Table2[Week],Table1[[#This Row],[Week]],Table2[Athlete],Table1[[#This Row],[Pick]],Table2[Stat Category],"passing",Table2[Stat Type],"TD"))))</f>
        <v>0</v>
      </c>
      <c r="K815" s="6">
        <f>IF(AND($C815="Rushing", $H815&lt;=0), 0, IF(AND($C815="Passing", $G$3&lt;=0), 0,IF(AND($C815="Receiving",$I815&lt;=0),0,SUMIFS(Table2[Stat],Table2[Week],Table1[[#This Row],[Week]],Table2[Athlete],Table1[[#This Row],[Pick]],Table2[Stat Category],"rushing",Table2[Stat Type],"TD"))))</f>
        <v>0</v>
      </c>
      <c r="L815" s="6">
        <f>IF(AND($C815="Rushing", $H815&lt;=0), 0, IF(AND($C815="Passing", $G$3&lt;=0), 0,IF(AND($C815="Receiving",$I815&lt;=0),0,SUMIFS(Table2[Stat],Table2[Week],Table1[[#This Row],[Week]],Table2[Athlete],Table1[[#This Row],[Pick]],Table2[Stat Category],"receiving",Table2[Stat Type],"TD"))))</f>
        <v>0</v>
      </c>
      <c r="M8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5" s="61">
        <f>SUMIFS(Data!$J:$J,Data!$A:$A,Info!$B815,Data!$G:$G,Info!$C815,Data!$I:$I,Info!$D815,Data!$H:$H,"TOT")</f>
        <v>0</v>
      </c>
      <c r="O815" s="61">
        <f>IF(C815="Defensive",SUMIFS(Data!$J:$J,Data!$A:$A,Info!$B815,Data!$I:$I,Info!$D815,Data!$H:$H,"INT"),0)</f>
        <v>0</v>
      </c>
      <c r="P815" s="61">
        <f>IF(Table1[[#This Row],[Role]]="Defensive",SUMIFS(Data!$J:$J,Data!$A:$A,Info!$B815,Data!$I:$I,Info!$D815,Data!$H:$H,$P$1),0)</f>
        <v>0</v>
      </c>
      <c r="Q815" s="65" t="str">
        <f>IF(Table1[[#This Row],[Pick]]="","",IF(S815&gt;1,400,IF(G815="","",IF(C815="Passing",(400-Table1[[#This Row],[Passing Yards]]-(30*Table1[[#This Row],[Passing TDs]])-(50*SUM(Table1[[#This Row],[Rushing TDs]:[Other TD''s]]))),IF(C815="Rushing",2*(200-Table1[[#This Row],[Rushing Yards]]-(30*Table1[[#This Row],[Passing TDs]])-50*(Table1[[#This Row],[Rushing TDs]]+Table1[[#This Row],[Receiving TDs]]+Table1[[#This Row],[Other TD''s]])),IF(C815="Receiving",2*(200-Table1[[#This Row],[Receiving Yards]]-(30*Table1[[#This Row],[Passing TDs]])-50*(Table1[[#This Row],[Rushing TDs]]+Table1[[#This Row],[Receiving TDs]]+Table1[[#This Row],[Other TD''s]])),IF(C815="Defensive",(25*(16-Table1[[#This Row],[Tackles]]-(8*(Table1[[#This Row],[Other TD''s]]+Table1[[#This Row],[Interceptions]]+Table1[[#This Row],[Fumbles Recovered]])))))))))))</f>
        <v/>
      </c>
      <c r="R815" s="3" t="str">
        <f t="shared" si="26"/>
        <v/>
      </c>
      <c r="S815" s="4">
        <f t="shared" si="25"/>
        <v>1048507</v>
      </c>
      <c r="T8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6" spans="1:20" hidden="1" x14ac:dyDescent="0.25">
      <c r="A816" t="s">
        <v>68</v>
      </c>
      <c r="B816" s="28" t="s">
        <v>55</v>
      </c>
      <c r="C816" t="s">
        <v>6</v>
      </c>
      <c r="D816" t="str">
        <f>_xlfn.XLOOKUP(Table1[[#This Row],[Player]]&amp;Table1[[#This Row],[Week]]&amp;Table1[[#This Row],[Role]],'Google Form Transform'!$A:$A,'Google Form Transform'!E:E,"")</f>
        <v/>
      </c>
      <c r="E816" t="str">
        <f>_xlfn.XLOOKUP(Table1[[#This Row],[Player]]&amp;Table1[[#This Row],[Week]]&amp;Table1[[#This Row],[Role]],'Google Form Transform'!$A:$A,'Google Form Transform'!F:F,"")</f>
        <v/>
      </c>
      <c r="F816" t="str">
        <f>_xlfn.XLOOKUP(Table1[[#This Row],[Player]]&amp;Table1[[#This Row],[Week]]&amp;Table1[[#This Row],[Role]],'Google Form Transform'!$A:$A,'Google Form Transform'!G:G,"")</f>
        <v/>
      </c>
      <c r="G816" s="59">
        <f>SUMIFS(Table2[Stat],Table2[Stat Category],"passing",Table2[Stat Type],"YDS",Table2[Athlete],Table1[[#This Row],[Pick]],Table2[Week],Table1[[#This Row],[Week]])</f>
        <v>0</v>
      </c>
      <c r="H816" s="59">
        <f>SUMIFS(Table2[Stat],Table2[Stat Category],"rushing",Table2[Stat Type],"YDS",Table2[Athlete],Table1[[#This Row],[Pick]],Table2[Week],Table1[[#This Row],[Week]])</f>
        <v>0</v>
      </c>
      <c r="I816" s="59">
        <f>SUMIFS(Table2[Stat],Table2[Stat Category],"receiving",Table2[Stat Type],"YDS",Table2[Athlete],Table1[[#This Row],[Pick]],Table2[Week],Table1[[#This Row],[Week]])</f>
        <v>0</v>
      </c>
      <c r="J816" s="6">
        <f>IF(AND($C816="Rushing", $H816&lt;=0), 0, IF(AND($C816="Passing", $G$3&lt;=0), 0,IF(AND($C816="Receiving",$I816&lt;=0), 0,SUMIFS(Table2[Stat],Table2[Week],Table1[[#This Row],[Week]],Table2[Athlete],Table1[[#This Row],[Pick]],Table2[Stat Category],"passing",Table2[Stat Type],"TD"))))</f>
        <v>0</v>
      </c>
      <c r="K816" s="6">
        <f>IF(AND($C816="Rushing", $H816&lt;=0), 0, IF(AND($C816="Passing", $G$3&lt;=0), 0,IF(AND($C816="Receiving",$I816&lt;=0),0,SUMIFS(Table2[Stat],Table2[Week],Table1[[#This Row],[Week]],Table2[Athlete],Table1[[#This Row],[Pick]],Table2[Stat Category],"rushing",Table2[Stat Type],"TD"))))</f>
        <v>0</v>
      </c>
      <c r="L816" s="6">
        <f>IF(AND($C816="Rushing", $H816&lt;=0), 0, IF(AND($C816="Passing", $G$3&lt;=0), 0,IF(AND($C816="Receiving",$I816&lt;=0),0,SUMIFS(Table2[Stat],Table2[Week],Table1[[#This Row],[Week]],Table2[Athlete],Table1[[#This Row],[Pick]],Table2[Stat Category],"receiving",Table2[Stat Type],"TD"))))</f>
        <v>0</v>
      </c>
      <c r="M8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6" s="61">
        <f>SUMIFS(Data!$J:$J,Data!$A:$A,Info!$B816,Data!$G:$G,Info!$C816,Data!$I:$I,Info!$D816,Data!$H:$H,"TOT")</f>
        <v>0</v>
      </c>
      <c r="O816" s="61">
        <f>IF(C816="Defensive",SUMIFS(Data!$J:$J,Data!$A:$A,Info!$B816,Data!$I:$I,Info!$D816,Data!$H:$H,"INT"),0)</f>
        <v>0</v>
      </c>
      <c r="P816" s="61">
        <f>IF(Table1[[#This Row],[Role]]="Defensive",SUMIFS(Data!$J:$J,Data!$A:$A,Info!$B816,Data!$I:$I,Info!$D816,Data!$H:$H,$P$1),0)</f>
        <v>0</v>
      </c>
      <c r="Q816" s="65" t="str">
        <f>IF(Table1[[#This Row],[Pick]]="","",IF(S816&gt;1,400,IF(G816="","",IF(C816="Passing",(400-Table1[[#This Row],[Passing Yards]]-(30*Table1[[#This Row],[Passing TDs]])-(50*SUM(Table1[[#This Row],[Rushing TDs]:[Other TD''s]]))),IF(C816="Rushing",2*(200-Table1[[#This Row],[Rushing Yards]]-(30*Table1[[#This Row],[Passing TDs]])-50*(Table1[[#This Row],[Rushing TDs]]+Table1[[#This Row],[Receiving TDs]]+Table1[[#This Row],[Other TD''s]])),IF(C816="Receiving",2*(200-Table1[[#This Row],[Receiving Yards]]-(30*Table1[[#This Row],[Passing TDs]])-50*(Table1[[#This Row],[Rushing TDs]]+Table1[[#This Row],[Receiving TDs]]+Table1[[#This Row],[Other TD''s]])),IF(C816="Defensive",(25*(16-Table1[[#This Row],[Tackles]]-(8*(Table1[[#This Row],[Other TD''s]]+Table1[[#This Row],[Interceptions]]+Table1[[#This Row],[Fumbles Recovered]])))))))))))</f>
        <v/>
      </c>
      <c r="R816" s="3" t="str">
        <f t="shared" si="26"/>
        <v/>
      </c>
      <c r="S816" s="4">
        <f t="shared" si="25"/>
        <v>1048507</v>
      </c>
      <c r="T8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7" spans="1:20" hidden="1" x14ac:dyDescent="0.25">
      <c r="A817" t="s">
        <v>68</v>
      </c>
      <c r="B817" s="28" t="s">
        <v>55</v>
      </c>
      <c r="C817" t="s">
        <v>17</v>
      </c>
      <c r="D817" t="str">
        <f>_xlfn.XLOOKUP(Table1[[#This Row],[Player]]&amp;Table1[[#This Row],[Week]]&amp;Table1[[#This Row],[Role]],'Google Form Transform'!$A:$A,'Google Form Transform'!E:E,"")</f>
        <v/>
      </c>
      <c r="E817" t="str">
        <f>_xlfn.XLOOKUP(Table1[[#This Row],[Player]]&amp;Table1[[#This Row],[Week]]&amp;Table1[[#This Row],[Role]],'Google Form Transform'!$A:$A,'Google Form Transform'!F:F,"")</f>
        <v/>
      </c>
      <c r="F817" t="str">
        <f>_xlfn.XLOOKUP(Table1[[#This Row],[Player]]&amp;Table1[[#This Row],[Week]]&amp;Table1[[#This Row],[Role]],'Google Form Transform'!$A:$A,'Google Form Transform'!G:G,"")</f>
        <v/>
      </c>
      <c r="G817" s="59">
        <f>SUMIFS(Table2[Stat],Table2[Stat Category],"passing",Table2[Stat Type],"YDS",Table2[Athlete],Table1[[#This Row],[Pick]],Table2[Week],Table1[[#This Row],[Week]])</f>
        <v>0</v>
      </c>
      <c r="H817" s="59">
        <f>SUMIFS(Table2[Stat],Table2[Stat Category],"rushing",Table2[Stat Type],"YDS",Table2[Athlete],Table1[[#This Row],[Pick]],Table2[Week],Table1[[#This Row],[Week]])</f>
        <v>0</v>
      </c>
      <c r="I817" s="59">
        <f>SUMIFS(Table2[Stat],Table2[Stat Category],"receiving",Table2[Stat Type],"YDS",Table2[Athlete],Table1[[#This Row],[Pick]],Table2[Week],Table1[[#This Row],[Week]])</f>
        <v>0</v>
      </c>
      <c r="J817" s="6">
        <f>IF(AND($C817="Rushing", $H817&lt;=0), 0, IF(AND($C817="Passing", $G$3&lt;=0), 0,IF(AND($C817="Receiving",$I817&lt;=0), 0,SUMIFS(Table2[Stat],Table2[Week],Table1[[#This Row],[Week]],Table2[Athlete],Table1[[#This Row],[Pick]],Table2[Stat Category],"passing",Table2[Stat Type],"TD"))))</f>
        <v>0</v>
      </c>
      <c r="K817" s="6">
        <f>IF(AND($C817="Rushing", $H817&lt;=0), 0, IF(AND($C817="Passing", $G$3&lt;=0), 0,IF(AND($C817="Receiving",$I817&lt;=0),0,SUMIFS(Table2[Stat],Table2[Week],Table1[[#This Row],[Week]],Table2[Athlete],Table1[[#This Row],[Pick]],Table2[Stat Category],"rushing",Table2[Stat Type],"TD"))))</f>
        <v>0</v>
      </c>
      <c r="L817" s="6">
        <f>IF(AND($C817="Rushing", $H817&lt;=0), 0, IF(AND($C817="Passing", $G$3&lt;=0), 0,IF(AND($C817="Receiving",$I817&lt;=0),0,SUMIFS(Table2[Stat],Table2[Week],Table1[[#This Row],[Week]],Table2[Athlete],Table1[[#This Row],[Pick]],Table2[Stat Category],"receiving",Table2[Stat Type],"TD"))))</f>
        <v>0</v>
      </c>
      <c r="M8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7" s="61">
        <f>SUMIFS(Data!$J:$J,Data!$A:$A,Info!$B817,Data!$G:$G,Info!$C817,Data!$I:$I,Info!$D817,Data!$H:$H,"TOT")</f>
        <v>0</v>
      </c>
      <c r="O817" s="61">
        <f>IF(C817="Defensive",SUMIFS(Data!$J:$J,Data!$A:$A,Info!$B817,Data!$I:$I,Info!$D817,Data!$H:$H,"INT"),0)</f>
        <v>0</v>
      </c>
      <c r="P817" s="61">
        <f>IF(Table1[[#This Row],[Role]]="Defensive",SUMIFS(Data!$J:$J,Data!$A:$A,Info!$B817,Data!$I:$I,Info!$D817,Data!$H:$H,$P$1),0)</f>
        <v>0</v>
      </c>
      <c r="Q817" s="65" t="str">
        <f>IF(Table1[[#This Row],[Pick]]="","",IF(S817&gt;1,400,IF(G817="","",IF(C817="Passing",(400-Table1[[#This Row],[Passing Yards]]-(30*Table1[[#This Row],[Passing TDs]])-(50*SUM(Table1[[#This Row],[Rushing TDs]:[Other TD''s]]))),IF(C817="Rushing",2*(200-Table1[[#This Row],[Rushing Yards]]-(30*Table1[[#This Row],[Passing TDs]])-50*(Table1[[#This Row],[Rushing TDs]]+Table1[[#This Row],[Receiving TDs]]+Table1[[#This Row],[Other TD''s]])),IF(C817="Receiving",2*(200-Table1[[#This Row],[Receiving Yards]]-(30*Table1[[#This Row],[Passing TDs]])-50*(Table1[[#This Row],[Rushing TDs]]+Table1[[#This Row],[Receiving TDs]]+Table1[[#This Row],[Other TD''s]])),IF(C817="Defensive",(25*(16-Table1[[#This Row],[Tackles]]-(8*(Table1[[#This Row],[Other TD''s]]+Table1[[#This Row],[Interceptions]]+Table1[[#This Row],[Fumbles Recovered]])))))))))))</f>
        <v/>
      </c>
      <c r="R817" s="3" t="str">
        <f t="shared" si="26"/>
        <v/>
      </c>
      <c r="S817" s="4">
        <f t="shared" si="25"/>
        <v>1048507</v>
      </c>
      <c r="T8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8" spans="1:20" hidden="1" x14ac:dyDescent="0.25">
      <c r="A818" t="s">
        <v>68</v>
      </c>
      <c r="B818" s="28" t="s">
        <v>55</v>
      </c>
      <c r="C818" t="s">
        <v>20</v>
      </c>
      <c r="D818" t="str">
        <f>_xlfn.XLOOKUP(Table1[[#This Row],[Player]]&amp;Table1[[#This Row],[Week]]&amp;Table1[[#This Row],[Role]],'Google Form Transform'!$A:$A,'Google Form Transform'!E:E,"")</f>
        <v/>
      </c>
      <c r="E818" t="str">
        <f>_xlfn.XLOOKUP(Table1[[#This Row],[Player]]&amp;Table1[[#This Row],[Week]]&amp;Table1[[#This Row],[Role]],'Google Form Transform'!$A:$A,'Google Form Transform'!F:F,"")</f>
        <v/>
      </c>
      <c r="F818" t="str">
        <f>_xlfn.XLOOKUP(Table1[[#This Row],[Player]]&amp;Table1[[#This Row],[Week]]&amp;Table1[[#This Row],[Role]],'Google Form Transform'!$A:$A,'Google Form Transform'!G:G,"")</f>
        <v/>
      </c>
      <c r="G818" s="59">
        <f>SUMIFS(Table2[Stat],Table2[Stat Category],"passing",Table2[Stat Type],"YDS",Table2[Athlete],Table1[[#This Row],[Pick]],Table2[Week],Table1[[#This Row],[Week]])</f>
        <v>0</v>
      </c>
      <c r="H818" s="59">
        <f>SUMIFS(Table2[Stat],Table2[Stat Category],"rushing",Table2[Stat Type],"YDS",Table2[Athlete],Table1[[#This Row],[Pick]],Table2[Week],Table1[[#This Row],[Week]])</f>
        <v>0</v>
      </c>
      <c r="I818" s="59">
        <f>SUMIFS(Table2[Stat],Table2[Stat Category],"receiving",Table2[Stat Type],"YDS",Table2[Athlete],Table1[[#This Row],[Pick]],Table2[Week],Table1[[#This Row],[Week]])</f>
        <v>0</v>
      </c>
      <c r="J818" s="6">
        <f>IF(AND($C818="Rushing", $H818&lt;=0), 0, IF(AND($C818="Passing", $G$3&lt;=0), 0,IF(AND($C818="Receiving",$I818&lt;=0), 0,SUMIFS(Table2[Stat],Table2[Week],Table1[[#This Row],[Week]],Table2[Athlete],Table1[[#This Row],[Pick]],Table2[Stat Category],"passing",Table2[Stat Type],"TD"))))</f>
        <v>0</v>
      </c>
      <c r="K818" s="6">
        <f>IF(AND($C818="Rushing", $H818&lt;=0), 0, IF(AND($C818="Passing", $G$3&lt;=0), 0,IF(AND($C818="Receiving",$I818&lt;=0),0,SUMIFS(Table2[Stat],Table2[Week],Table1[[#This Row],[Week]],Table2[Athlete],Table1[[#This Row],[Pick]],Table2[Stat Category],"rushing",Table2[Stat Type],"TD"))))</f>
        <v>0</v>
      </c>
      <c r="L818" s="6">
        <f>IF(AND($C818="Rushing", $H818&lt;=0), 0, IF(AND($C818="Passing", $G$3&lt;=0), 0,IF(AND($C818="Receiving",$I818&lt;=0),0,SUMIFS(Table2[Stat],Table2[Week],Table1[[#This Row],[Week]],Table2[Athlete],Table1[[#This Row],[Pick]],Table2[Stat Category],"receiving",Table2[Stat Type],"TD"))))</f>
        <v>0</v>
      </c>
      <c r="M8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8" s="61">
        <f>SUMIFS(Data!$J:$J,Data!$A:$A,Info!$B818,Data!$G:$G,Info!$C818,Data!$I:$I,Info!$D818,Data!$H:$H,"TOT")</f>
        <v>0</v>
      </c>
      <c r="O818" s="61">
        <f>IF(C818="Defensive",SUMIFS(Data!$J:$J,Data!$A:$A,Info!$B818,Data!$I:$I,Info!$D818,Data!$H:$H,"INT"),0)</f>
        <v>0</v>
      </c>
      <c r="P818" s="61">
        <f>IF(Table1[[#This Row],[Role]]="Defensive",SUMIFS(Data!$J:$J,Data!$A:$A,Info!$B818,Data!$I:$I,Info!$D818,Data!$H:$H,$P$1),0)</f>
        <v>0</v>
      </c>
      <c r="Q818" s="65" t="str">
        <f>IF(Table1[[#This Row],[Pick]]="","",IF(S818&gt;1,400,IF(G818="","",IF(C818="Passing",(400-Table1[[#This Row],[Passing Yards]]-(30*Table1[[#This Row],[Passing TDs]])-(50*SUM(Table1[[#This Row],[Rushing TDs]:[Other TD''s]]))),IF(C818="Rushing",2*(200-Table1[[#This Row],[Rushing Yards]]-(30*Table1[[#This Row],[Passing TDs]])-50*(Table1[[#This Row],[Rushing TDs]]+Table1[[#This Row],[Receiving TDs]]+Table1[[#This Row],[Other TD''s]])),IF(C818="Receiving",2*(200-Table1[[#This Row],[Receiving Yards]]-(30*Table1[[#This Row],[Passing TDs]])-50*(Table1[[#This Row],[Rushing TDs]]+Table1[[#This Row],[Receiving TDs]]+Table1[[#This Row],[Other TD''s]])),IF(C818="Defensive",(25*(16-Table1[[#This Row],[Tackles]]-(8*(Table1[[#This Row],[Other TD''s]]+Table1[[#This Row],[Interceptions]]+Table1[[#This Row],[Fumbles Recovered]])))))))))))</f>
        <v/>
      </c>
      <c r="R818" s="3" t="str">
        <f t="shared" si="26"/>
        <v/>
      </c>
      <c r="S818" s="4">
        <f t="shared" si="25"/>
        <v>1048507</v>
      </c>
      <c r="T8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9" spans="1:20" hidden="1" x14ac:dyDescent="0.25">
      <c r="A819" t="s">
        <v>5</v>
      </c>
      <c r="B819" s="28" t="s">
        <v>55</v>
      </c>
      <c r="C819" t="s">
        <v>16</v>
      </c>
      <c r="D819" t="str">
        <f>_xlfn.XLOOKUP(Table1[[#This Row],[Player]]&amp;Table1[[#This Row],[Week]]&amp;Table1[[#This Row],[Role]],'Google Form Transform'!$A:$A,'Google Form Transform'!E:E,"")</f>
        <v/>
      </c>
      <c r="E819" t="str">
        <f>_xlfn.XLOOKUP(Table1[[#This Row],[Player]]&amp;Table1[[#This Row],[Week]]&amp;Table1[[#This Row],[Role]],'Google Form Transform'!$A:$A,'Google Form Transform'!F:F,"")</f>
        <v/>
      </c>
      <c r="F819" t="str">
        <f>_xlfn.XLOOKUP(Table1[[#This Row],[Player]]&amp;Table1[[#This Row],[Week]]&amp;Table1[[#This Row],[Role]],'Google Form Transform'!$A:$A,'Google Form Transform'!G:G,"")</f>
        <v/>
      </c>
      <c r="G819" s="59">
        <f>SUMIFS(Table2[Stat],Table2[Stat Category],"passing",Table2[Stat Type],"YDS",Table2[Athlete],Table1[[#This Row],[Pick]],Table2[Week],Table1[[#This Row],[Week]])</f>
        <v>0</v>
      </c>
      <c r="H819" s="59">
        <f>SUMIFS(Table2[Stat],Table2[Stat Category],"rushing",Table2[Stat Type],"YDS",Table2[Athlete],Table1[[#This Row],[Pick]],Table2[Week],Table1[[#This Row],[Week]])</f>
        <v>0</v>
      </c>
      <c r="I819" s="59">
        <f>SUMIFS(Table2[Stat],Table2[Stat Category],"receiving",Table2[Stat Type],"YDS",Table2[Athlete],Table1[[#This Row],[Pick]],Table2[Week],Table1[[#This Row],[Week]])</f>
        <v>0</v>
      </c>
      <c r="J819" s="6">
        <f>IF(AND($C819="Rushing", $H819&lt;=0), 0, IF(AND($C819="Passing", $G$3&lt;=0), 0,IF(AND($C819="Receiving",$I819&lt;=0), 0,SUMIFS(Table2[Stat],Table2[Week],Table1[[#This Row],[Week]],Table2[Athlete],Table1[[#This Row],[Pick]],Table2[Stat Category],"passing",Table2[Stat Type],"TD"))))</f>
        <v>0</v>
      </c>
      <c r="K819" s="6">
        <f>IF(AND($C819="Rushing", $H819&lt;=0), 0, IF(AND($C819="Passing", $G$3&lt;=0), 0,IF(AND($C819="Receiving",$I819&lt;=0),0,SUMIFS(Table2[Stat],Table2[Week],Table1[[#This Row],[Week]],Table2[Athlete],Table1[[#This Row],[Pick]],Table2[Stat Category],"rushing",Table2[Stat Type],"TD"))))</f>
        <v>0</v>
      </c>
      <c r="L819" s="6">
        <f>IF(AND($C819="Rushing", $H819&lt;=0), 0, IF(AND($C819="Passing", $G$3&lt;=0), 0,IF(AND($C819="Receiving",$I819&lt;=0),0,SUMIFS(Table2[Stat],Table2[Week],Table1[[#This Row],[Week]],Table2[Athlete],Table1[[#This Row],[Pick]],Table2[Stat Category],"receiving",Table2[Stat Type],"TD"))))</f>
        <v>0</v>
      </c>
      <c r="M8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9" s="61">
        <f>SUMIFS(Data!$J:$J,Data!$A:$A,Info!$B819,Data!$G:$G,Info!$C819,Data!$I:$I,Info!$D819,Data!$H:$H,"TOT")</f>
        <v>0</v>
      </c>
      <c r="O819" s="61">
        <f>IF(C819="Defensive",SUMIFS(Data!$J:$J,Data!$A:$A,Info!$B819,Data!$I:$I,Info!$D819,Data!$H:$H,"INT"),0)</f>
        <v>0</v>
      </c>
      <c r="P819" s="61">
        <f>IF(Table1[[#This Row],[Role]]="Defensive",SUMIFS(Data!$J:$J,Data!$A:$A,Info!$B819,Data!$I:$I,Info!$D819,Data!$H:$H,$P$1),0)</f>
        <v>0</v>
      </c>
      <c r="Q819" s="65" t="str">
        <f>IF(Table1[[#This Row],[Pick]]="","",IF(S819&gt;1,400,IF(G819="","",IF(C819="Passing",(400-Table1[[#This Row],[Passing Yards]]-(30*Table1[[#This Row],[Passing TDs]])-(50*SUM(Table1[[#This Row],[Rushing TDs]:[Other TD''s]]))),IF(C819="Rushing",2*(200-Table1[[#This Row],[Rushing Yards]]-(30*Table1[[#This Row],[Passing TDs]])-50*(Table1[[#This Row],[Rushing TDs]]+Table1[[#This Row],[Receiving TDs]]+Table1[[#This Row],[Other TD''s]])),IF(C819="Receiving",2*(200-Table1[[#This Row],[Receiving Yards]]-(30*Table1[[#This Row],[Passing TDs]])-50*(Table1[[#This Row],[Rushing TDs]]+Table1[[#This Row],[Receiving TDs]]+Table1[[#This Row],[Other TD''s]])),IF(C819="Defensive",(25*(16-Table1[[#This Row],[Tackles]]-(8*(Table1[[#This Row],[Other TD''s]]+Table1[[#This Row],[Interceptions]]+Table1[[#This Row],[Fumbles Recovered]])))))))))))</f>
        <v/>
      </c>
      <c r="R819" s="3" t="str">
        <f t="shared" si="26"/>
        <v/>
      </c>
      <c r="S819" s="4">
        <f t="shared" si="25"/>
        <v>1048507</v>
      </c>
      <c r="T8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0" spans="1:20" hidden="1" x14ac:dyDescent="0.25">
      <c r="A820" t="s">
        <v>5</v>
      </c>
      <c r="B820" s="28" t="s">
        <v>55</v>
      </c>
      <c r="C820" t="s">
        <v>6</v>
      </c>
      <c r="D820" t="str">
        <f>_xlfn.XLOOKUP(Table1[[#This Row],[Player]]&amp;Table1[[#This Row],[Week]]&amp;Table1[[#This Row],[Role]],'Google Form Transform'!$A:$A,'Google Form Transform'!E:E,"")</f>
        <v/>
      </c>
      <c r="E820" t="str">
        <f>_xlfn.XLOOKUP(Table1[[#This Row],[Player]]&amp;Table1[[#This Row],[Week]]&amp;Table1[[#This Row],[Role]],'Google Form Transform'!$A:$A,'Google Form Transform'!F:F,"")</f>
        <v/>
      </c>
      <c r="F820" t="str">
        <f>_xlfn.XLOOKUP(Table1[[#This Row],[Player]]&amp;Table1[[#This Row],[Week]]&amp;Table1[[#This Row],[Role]],'Google Form Transform'!$A:$A,'Google Form Transform'!G:G,"")</f>
        <v/>
      </c>
      <c r="G820" s="59">
        <f>SUMIFS(Table2[Stat],Table2[Stat Category],"passing",Table2[Stat Type],"YDS",Table2[Athlete],Table1[[#This Row],[Pick]],Table2[Week],Table1[[#This Row],[Week]])</f>
        <v>0</v>
      </c>
      <c r="H820" s="59">
        <f>SUMIFS(Table2[Stat],Table2[Stat Category],"rushing",Table2[Stat Type],"YDS",Table2[Athlete],Table1[[#This Row],[Pick]],Table2[Week],Table1[[#This Row],[Week]])</f>
        <v>0</v>
      </c>
      <c r="I820" s="59">
        <f>SUMIFS(Table2[Stat],Table2[Stat Category],"receiving",Table2[Stat Type],"YDS",Table2[Athlete],Table1[[#This Row],[Pick]],Table2[Week],Table1[[#This Row],[Week]])</f>
        <v>0</v>
      </c>
      <c r="J820" s="6">
        <f>IF(AND($C820="Rushing", $H820&lt;=0), 0, IF(AND($C820="Passing", $G$3&lt;=0), 0,IF(AND($C820="Receiving",$I820&lt;=0), 0,SUMIFS(Table2[Stat],Table2[Week],Table1[[#This Row],[Week]],Table2[Athlete],Table1[[#This Row],[Pick]],Table2[Stat Category],"passing",Table2[Stat Type],"TD"))))</f>
        <v>0</v>
      </c>
      <c r="K820" s="6">
        <f>IF(AND($C820="Rushing", $H820&lt;=0), 0, IF(AND($C820="Passing", $G$3&lt;=0), 0,IF(AND($C820="Receiving",$I820&lt;=0),0,SUMIFS(Table2[Stat],Table2[Week],Table1[[#This Row],[Week]],Table2[Athlete],Table1[[#This Row],[Pick]],Table2[Stat Category],"rushing",Table2[Stat Type],"TD"))))</f>
        <v>0</v>
      </c>
      <c r="L820" s="6">
        <f>IF(AND($C820="Rushing", $H820&lt;=0), 0, IF(AND($C820="Passing", $G$3&lt;=0), 0,IF(AND($C820="Receiving",$I820&lt;=0),0,SUMIFS(Table2[Stat],Table2[Week],Table1[[#This Row],[Week]],Table2[Athlete],Table1[[#This Row],[Pick]],Table2[Stat Category],"receiving",Table2[Stat Type],"TD"))))</f>
        <v>0</v>
      </c>
      <c r="M8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0" s="61">
        <f>SUMIFS(Data!$J:$J,Data!$A:$A,Info!$B820,Data!$G:$G,Info!$C820,Data!$I:$I,Info!$D820,Data!$H:$H,"TOT")</f>
        <v>0</v>
      </c>
      <c r="O820" s="61">
        <f>IF(C820="Defensive",SUMIFS(Data!$J:$J,Data!$A:$A,Info!$B820,Data!$I:$I,Info!$D820,Data!$H:$H,"INT"),0)</f>
        <v>0</v>
      </c>
      <c r="P820" s="61">
        <f>IF(Table1[[#This Row],[Role]]="Defensive",SUMIFS(Data!$J:$J,Data!$A:$A,Info!$B820,Data!$I:$I,Info!$D820,Data!$H:$H,$P$1),0)</f>
        <v>0</v>
      </c>
      <c r="Q820" s="65" t="str">
        <f>IF(Table1[[#This Row],[Pick]]="","",IF(S820&gt;1,400,IF(G820="","",IF(C820="Passing",(400-Table1[[#This Row],[Passing Yards]]-(30*Table1[[#This Row],[Passing TDs]])-(50*SUM(Table1[[#This Row],[Rushing TDs]:[Other TD''s]]))),IF(C820="Rushing",2*(200-Table1[[#This Row],[Rushing Yards]]-(30*Table1[[#This Row],[Passing TDs]])-50*(Table1[[#This Row],[Rushing TDs]]+Table1[[#This Row],[Receiving TDs]]+Table1[[#This Row],[Other TD''s]])),IF(C820="Receiving",2*(200-Table1[[#This Row],[Receiving Yards]]-(30*Table1[[#This Row],[Passing TDs]])-50*(Table1[[#This Row],[Rushing TDs]]+Table1[[#This Row],[Receiving TDs]]+Table1[[#This Row],[Other TD''s]])),IF(C820="Defensive",(25*(16-Table1[[#This Row],[Tackles]]-(8*(Table1[[#This Row],[Other TD''s]]+Table1[[#This Row],[Interceptions]]+Table1[[#This Row],[Fumbles Recovered]])))))))))))</f>
        <v/>
      </c>
      <c r="R820" s="3" t="str">
        <f t="shared" si="26"/>
        <v/>
      </c>
      <c r="S820" s="4">
        <f t="shared" si="25"/>
        <v>1048507</v>
      </c>
      <c r="T8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1" spans="1:20" hidden="1" x14ac:dyDescent="0.25">
      <c r="A821" t="s">
        <v>5</v>
      </c>
      <c r="B821" s="28" t="s">
        <v>55</v>
      </c>
      <c r="C821" t="s">
        <v>17</v>
      </c>
      <c r="D821" t="str">
        <f>_xlfn.XLOOKUP(Table1[[#This Row],[Player]]&amp;Table1[[#This Row],[Week]]&amp;Table1[[#This Row],[Role]],'Google Form Transform'!$A:$A,'Google Form Transform'!E:E,"")</f>
        <v/>
      </c>
      <c r="E821" t="str">
        <f>_xlfn.XLOOKUP(Table1[[#This Row],[Player]]&amp;Table1[[#This Row],[Week]]&amp;Table1[[#This Row],[Role]],'Google Form Transform'!$A:$A,'Google Form Transform'!F:F,"")</f>
        <v/>
      </c>
      <c r="F821" t="str">
        <f>_xlfn.XLOOKUP(Table1[[#This Row],[Player]]&amp;Table1[[#This Row],[Week]]&amp;Table1[[#This Row],[Role]],'Google Form Transform'!$A:$A,'Google Form Transform'!G:G,"")</f>
        <v/>
      </c>
      <c r="G821" s="59">
        <f>SUMIFS(Table2[Stat],Table2[Stat Category],"passing",Table2[Stat Type],"YDS",Table2[Athlete],Table1[[#This Row],[Pick]],Table2[Week],Table1[[#This Row],[Week]])</f>
        <v>0</v>
      </c>
      <c r="H821" s="59">
        <f>SUMIFS(Table2[Stat],Table2[Stat Category],"rushing",Table2[Stat Type],"YDS",Table2[Athlete],Table1[[#This Row],[Pick]],Table2[Week],Table1[[#This Row],[Week]])</f>
        <v>0</v>
      </c>
      <c r="I821" s="59">
        <f>SUMIFS(Table2[Stat],Table2[Stat Category],"receiving",Table2[Stat Type],"YDS",Table2[Athlete],Table1[[#This Row],[Pick]],Table2[Week],Table1[[#This Row],[Week]])</f>
        <v>0</v>
      </c>
      <c r="J821" s="6">
        <f>IF(AND($C821="Rushing", $H821&lt;=0), 0, IF(AND($C821="Passing", $G$3&lt;=0), 0,IF(AND($C821="Receiving",$I821&lt;=0), 0,SUMIFS(Table2[Stat],Table2[Week],Table1[[#This Row],[Week]],Table2[Athlete],Table1[[#This Row],[Pick]],Table2[Stat Category],"passing",Table2[Stat Type],"TD"))))</f>
        <v>0</v>
      </c>
      <c r="K821" s="6">
        <f>IF(AND($C821="Rushing", $H821&lt;=0), 0, IF(AND($C821="Passing", $G$3&lt;=0), 0,IF(AND($C821="Receiving",$I821&lt;=0),0,SUMIFS(Table2[Stat],Table2[Week],Table1[[#This Row],[Week]],Table2[Athlete],Table1[[#This Row],[Pick]],Table2[Stat Category],"rushing",Table2[Stat Type],"TD"))))</f>
        <v>0</v>
      </c>
      <c r="L821" s="6">
        <f>IF(AND($C821="Rushing", $H821&lt;=0), 0, IF(AND($C821="Passing", $G$3&lt;=0), 0,IF(AND($C821="Receiving",$I821&lt;=0),0,SUMIFS(Table2[Stat],Table2[Week],Table1[[#This Row],[Week]],Table2[Athlete],Table1[[#This Row],[Pick]],Table2[Stat Category],"receiving",Table2[Stat Type],"TD"))))</f>
        <v>0</v>
      </c>
      <c r="M8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1" s="61">
        <f>SUMIFS(Data!$J:$J,Data!$A:$A,Info!$B821,Data!$G:$G,Info!$C821,Data!$I:$I,Info!$D821,Data!$H:$H,"TOT")</f>
        <v>0</v>
      </c>
      <c r="O821" s="61">
        <f>IF(C821="Defensive",SUMIFS(Data!$J:$J,Data!$A:$A,Info!$B821,Data!$I:$I,Info!$D821,Data!$H:$H,"INT"),0)</f>
        <v>0</v>
      </c>
      <c r="P821" s="61">
        <f>IF(Table1[[#This Row],[Role]]="Defensive",SUMIFS(Data!$J:$J,Data!$A:$A,Info!$B821,Data!$I:$I,Info!$D821,Data!$H:$H,$P$1),0)</f>
        <v>0</v>
      </c>
      <c r="Q821" s="65" t="str">
        <f>IF(Table1[[#This Row],[Pick]]="","",IF(S821&gt;1,400,IF(G821="","",IF(C821="Passing",(400-Table1[[#This Row],[Passing Yards]]-(30*Table1[[#This Row],[Passing TDs]])-(50*SUM(Table1[[#This Row],[Rushing TDs]:[Other TD''s]]))),IF(C821="Rushing",2*(200-Table1[[#This Row],[Rushing Yards]]-(30*Table1[[#This Row],[Passing TDs]])-50*(Table1[[#This Row],[Rushing TDs]]+Table1[[#This Row],[Receiving TDs]]+Table1[[#This Row],[Other TD''s]])),IF(C821="Receiving",2*(200-Table1[[#This Row],[Receiving Yards]]-(30*Table1[[#This Row],[Passing TDs]])-50*(Table1[[#This Row],[Rushing TDs]]+Table1[[#This Row],[Receiving TDs]]+Table1[[#This Row],[Other TD''s]])),IF(C821="Defensive",(25*(16-Table1[[#This Row],[Tackles]]-(8*(Table1[[#This Row],[Other TD''s]]+Table1[[#This Row],[Interceptions]]+Table1[[#This Row],[Fumbles Recovered]])))))))))))</f>
        <v/>
      </c>
      <c r="R821" s="3" t="str">
        <f t="shared" si="26"/>
        <v/>
      </c>
      <c r="S821" s="4">
        <f t="shared" si="25"/>
        <v>1048507</v>
      </c>
      <c r="T8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2" spans="1:20" hidden="1" x14ac:dyDescent="0.25">
      <c r="A822" t="s">
        <v>5</v>
      </c>
      <c r="B822" s="28" t="s">
        <v>55</v>
      </c>
      <c r="C822" t="s">
        <v>20</v>
      </c>
      <c r="D822" t="str">
        <f>_xlfn.XLOOKUP(Table1[[#This Row],[Player]]&amp;Table1[[#This Row],[Week]]&amp;Table1[[#This Row],[Role]],'Google Form Transform'!$A:$A,'Google Form Transform'!E:E,"")</f>
        <v/>
      </c>
      <c r="E822" t="str">
        <f>_xlfn.XLOOKUP(Table1[[#This Row],[Player]]&amp;Table1[[#This Row],[Week]]&amp;Table1[[#This Row],[Role]],'Google Form Transform'!$A:$A,'Google Form Transform'!F:F,"")</f>
        <v/>
      </c>
      <c r="F822" t="str">
        <f>_xlfn.XLOOKUP(Table1[[#This Row],[Player]]&amp;Table1[[#This Row],[Week]]&amp;Table1[[#This Row],[Role]],'Google Form Transform'!$A:$A,'Google Form Transform'!G:G,"")</f>
        <v/>
      </c>
      <c r="G822" s="59">
        <f>SUMIFS(Table2[Stat],Table2[Stat Category],"passing",Table2[Stat Type],"YDS",Table2[Athlete],Table1[[#This Row],[Pick]],Table2[Week],Table1[[#This Row],[Week]])</f>
        <v>0</v>
      </c>
      <c r="H822" s="59">
        <f>SUMIFS(Table2[Stat],Table2[Stat Category],"rushing",Table2[Stat Type],"YDS",Table2[Athlete],Table1[[#This Row],[Pick]],Table2[Week],Table1[[#This Row],[Week]])</f>
        <v>0</v>
      </c>
      <c r="I822" s="59">
        <f>SUMIFS(Table2[Stat],Table2[Stat Category],"receiving",Table2[Stat Type],"YDS",Table2[Athlete],Table1[[#This Row],[Pick]],Table2[Week],Table1[[#This Row],[Week]])</f>
        <v>0</v>
      </c>
      <c r="J822" s="6">
        <f>IF(AND($C822="Rushing", $H822&lt;=0), 0, IF(AND($C822="Passing", $G$3&lt;=0), 0,IF(AND($C822="Receiving",$I822&lt;=0), 0,SUMIFS(Table2[Stat],Table2[Week],Table1[[#This Row],[Week]],Table2[Athlete],Table1[[#This Row],[Pick]],Table2[Stat Category],"passing",Table2[Stat Type],"TD"))))</f>
        <v>0</v>
      </c>
      <c r="K822" s="6">
        <f>IF(AND($C822="Rushing", $H822&lt;=0), 0, IF(AND($C822="Passing", $G$3&lt;=0), 0,IF(AND($C822="Receiving",$I822&lt;=0),0,SUMIFS(Table2[Stat],Table2[Week],Table1[[#This Row],[Week]],Table2[Athlete],Table1[[#This Row],[Pick]],Table2[Stat Category],"rushing",Table2[Stat Type],"TD"))))</f>
        <v>0</v>
      </c>
      <c r="L822" s="6">
        <f>IF(AND($C822="Rushing", $H822&lt;=0), 0, IF(AND($C822="Passing", $G$3&lt;=0), 0,IF(AND($C822="Receiving",$I822&lt;=0),0,SUMIFS(Table2[Stat],Table2[Week],Table1[[#This Row],[Week]],Table2[Athlete],Table1[[#This Row],[Pick]],Table2[Stat Category],"receiving",Table2[Stat Type],"TD"))))</f>
        <v>0</v>
      </c>
      <c r="M8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2" s="61">
        <f>SUMIFS(Data!$J:$J,Data!$A:$A,Info!$B822,Data!$G:$G,Info!$C822,Data!$I:$I,Info!$D822,Data!$H:$H,"TOT")</f>
        <v>0</v>
      </c>
      <c r="O822" s="61">
        <f>IF(C822="Defensive",SUMIFS(Data!$J:$J,Data!$A:$A,Info!$B822,Data!$I:$I,Info!$D822,Data!$H:$H,"INT"),0)</f>
        <v>0</v>
      </c>
      <c r="P822" s="61">
        <f>IF(Table1[[#This Row],[Role]]="Defensive",SUMIFS(Data!$J:$J,Data!$A:$A,Info!$B822,Data!$I:$I,Info!$D822,Data!$H:$H,$P$1),0)</f>
        <v>0</v>
      </c>
      <c r="Q822" s="65" t="str">
        <f>IF(Table1[[#This Row],[Pick]]="","",IF(S822&gt;1,400,IF(G822="","",IF(C822="Passing",(400-Table1[[#This Row],[Passing Yards]]-(30*Table1[[#This Row],[Passing TDs]])-(50*SUM(Table1[[#This Row],[Rushing TDs]:[Other TD''s]]))),IF(C822="Rushing",2*(200-Table1[[#This Row],[Rushing Yards]]-(30*Table1[[#This Row],[Passing TDs]])-50*(Table1[[#This Row],[Rushing TDs]]+Table1[[#This Row],[Receiving TDs]]+Table1[[#This Row],[Other TD''s]])),IF(C822="Receiving",2*(200-Table1[[#This Row],[Receiving Yards]]-(30*Table1[[#This Row],[Passing TDs]])-50*(Table1[[#This Row],[Rushing TDs]]+Table1[[#This Row],[Receiving TDs]]+Table1[[#This Row],[Other TD''s]])),IF(C822="Defensive",(25*(16-Table1[[#This Row],[Tackles]]-(8*(Table1[[#This Row],[Other TD''s]]+Table1[[#This Row],[Interceptions]]+Table1[[#This Row],[Fumbles Recovered]])))))))))))</f>
        <v/>
      </c>
      <c r="R822" s="3" t="str">
        <f t="shared" si="26"/>
        <v/>
      </c>
      <c r="S822" s="4">
        <f t="shared" si="25"/>
        <v>1048507</v>
      </c>
      <c r="T8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3" spans="1:20" hidden="1" x14ac:dyDescent="0.25">
      <c r="A823" t="s">
        <v>18</v>
      </c>
      <c r="B823" s="28" t="s">
        <v>55</v>
      </c>
      <c r="C823" t="s">
        <v>16</v>
      </c>
      <c r="D823" t="str">
        <f>_xlfn.XLOOKUP(Table1[[#This Row],[Player]]&amp;Table1[[#This Row],[Week]]&amp;Table1[[#This Row],[Role]],'Google Form Transform'!$A:$A,'Google Form Transform'!E:E,"")</f>
        <v/>
      </c>
      <c r="E823" t="str">
        <f>_xlfn.XLOOKUP(Table1[[#This Row],[Player]]&amp;Table1[[#This Row],[Week]]&amp;Table1[[#This Row],[Role]],'Google Form Transform'!$A:$A,'Google Form Transform'!F:F,"")</f>
        <v/>
      </c>
      <c r="F823" t="str">
        <f>_xlfn.XLOOKUP(Table1[[#This Row],[Player]]&amp;Table1[[#This Row],[Week]]&amp;Table1[[#This Row],[Role]],'Google Form Transform'!$A:$A,'Google Form Transform'!G:G,"")</f>
        <v/>
      </c>
      <c r="G823" s="59">
        <f>SUMIFS(Table2[Stat],Table2[Stat Category],"passing",Table2[Stat Type],"YDS",Table2[Athlete],Table1[[#This Row],[Pick]],Table2[Week],Table1[[#This Row],[Week]])</f>
        <v>0</v>
      </c>
      <c r="H823" s="59">
        <f>SUMIFS(Table2[Stat],Table2[Stat Category],"rushing",Table2[Stat Type],"YDS",Table2[Athlete],Table1[[#This Row],[Pick]],Table2[Week],Table1[[#This Row],[Week]])</f>
        <v>0</v>
      </c>
      <c r="I823" s="59">
        <f>SUMIFS(Table2[Stat],Table2[Stat Category],"receiving",Table2[Stat Type],"YDS",Table2[Athlete],Table1[[#This Row],[Pick]],Table2[Week],Table1[[#This Row],[Week]])</f>
        <v>0</v>
      </c>
      <c r="J823" s="6">
        <f>IF(AND($C823="Rushing", $H823&lt;=0), 0, IF(AND($C823="Passing", $G$3&lt;=0), 0,IF(AND($C823="Receiving",$I823&lt;=0), 0,SUMIFS(Table2[Stat],Table2[Week],Table1[[#This Row],[Week]],Table2[Athlete],Table1[[#This Row],[Pick]],Table2[Stat Category],"passing",Table2[Stat Type],"TD"))))</f>
        <v>0</v>
      </c>
      <c r="K823" s="6">
        <f>IF(AND($C823="Rushing", $H823&lt;=0), 0, IF(AND($C823="Passing", $G$3&lt;=0), 0,IF(AND($C823="Receiving",$I823&lt;=0),0,SUMIFS(Table2[Stat],Table2[Week],Table1[[#This Row],[Week]],Table2[Athlete],Table1[[#This Row],[Pick]],Table2[Stat Category],"rushing",Table2[Stat Type],"TD"))))</f>
        <v>0</v>
      </c>
      <c r="L823" s="6">
        <f>IF(AND($C823="Rushing", $H823&lt;=0), 0, IF(AND($C823="Passing", $G$3&lt;=0), 0,IF(AND($C823="Receiving",$I823&lt;=0),0,SUMIFS(Table2[Stat],Table2[Week],Table1[[#This Row],[Week]],Table2[Athlete],Table1[[#This Row],[Pick]],Table2[Stat Category],"receiving",Table2[Stat Type],"TD"))))</f>
        <v>0</v>
      </c>
      <c r="M8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3" s="61">
        <f>SUMIFS(Data!$J:$J,Data!$A:$A,Info!$B823,Data!$G:$G,Info!$C823,Data!$I:$I,Info!$D823,Data!$H:$H,"TOT")</f>
        <v>0</v>
      </c>
      <c r="O823" s="61">
        <f>IF(C823="Defensive",SUMIFS(Data!$J:$J,Data!$A:$A,Info!$B823,Data!$I:$I,Info!$D823,Data!$H:$H,"INT"),0)</f>
        <v>0</v>
      </c>
      <c r="P823" s="61">
        <f>IF(Table1[[#This Row],[Role]]="Defensive",SUMIFS(Data!$J:$J,Data!$A:$A,Info!$B823,Data!$I:$I,Info!$D823,Data!$H:$H,$P$1),0)</f>
        <v>0</v>
      </c>
      <c r="Q823" s="65" t="str">
        <f>IF(Table1[[#This Row],[Pick]]="","",IF(S823&gt;1,400,IF(G823="","",IF(C823="Passing",(400-Table1[[#This Row],[Passing Yards]]-(30*Table1[[#This Row],[Passing TDs]])-(50*SUM(Table1[[#This Row],[Rushing TDs]:[Other TD''s]]))),IF(C823="Rushing",2*(200-Table1[[#This Row],[Rushing Yards]]-(30*Table1[[#This Row],[Passing TDs]])-50*(Table1[[#This Row],[Rushing TDs]]+Table1[[#This Row],[Receiving TDs]]+Table1[[#This Row],[Other TD''s]])),IF(C823="Receiving",2*(200-Table1[[#This Row],[Receiving Yards]]-(30*Table1[[#This Row],[Passing TDs]])-50*(Table1[[#This Row],[Rushing TDs]]+Table1[[#This Row],[Receiving TDs]]+Table1[[#This Row],[Other TD''s]])),IF(C823="Defensive",(25*(16-Table1[[#This Row],[Tackles]]-(8*(Table1[[#This Row],[Other TD''s]]+Table1[[#This Row],[Interceptions]]+Table1[[#This Row],[Fumbles Recovered]])))))))))))</f>
        <v/>
      </c>
      <c r="R823" s="3" t="str">
        <f t="shared" si="26"/>
        <v/>
      </c>
      <c r="S823" s="4">
        <f t="shared" si="25"/>
        <v>1048507</v>
      </c>
      <c r="T8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4" spans="1:20" hidden="1" x14ac:dyDescent="0.25">
      <c r="A824" t="s">
        <v>18</v>
      </c>
      <c r="B824" s="28" t="s">
        <v>55</v>
      </c>
      <c r="C824" t="s">
        <v>6</v>
      </c>
      <c r="D824" t="str">
        <f>_xlfn.XLOOKUP(Table1[[#This Row],[Player]]&amp;Table1[[#This Row],[Week]]&amp;Table1[[#This Row],[Role]],'Google Form Transform'!$A:$A,'Google Form Transform'!E:E,"")</f>
        <v/>
      </c>
      <c r="E824" t="str">
        <f>_xlfn.XLOOKUP(Table1[[#This Row],[Player]]&amp;Table1[[#This Row],[Week]]&amp;Table1[[#This Row],[Role]],'Google Form Transform'!$A:$A,'Google Form Transform'!F:F,"")</f>
        <v/>
      </c>
      <c r="F824" t="str">
        <f>_xlfn.XLOOKUP(Table1[[#This Row],[Player]]&amp;Table1[[#This Row],[Week]]&amp;Table1[[#This Row],[Role]],'Google Form Transform'!$A:$A,'Google Form Transform'!G:G,"")</f>
        <v/>
      </c>
      <c r="G824" s="59">
        <f>SUMIFS(Table2[Stat],Table2[Stat Category],"passing",Table2[Stat Type],"YDS",Table2[Athlete],Table1[[#This Row],[Pick]],Table2[Week],Table1[[#This Row],[Week]])</f>
        <v>0</v>
      </c>
      <c r="H824" s="59">
        <f>SUMIFS(Table2[Stat],Table2[Stat Category],"rushing",Table2[Stat Type],"YDS",Table2[Athlete],Table1[[#This Row],[Pick]],Table2[Week],Table1[[#This Row],[Week]])</f>
        <v>0</v>
      </c>
      <c r="I824" s="59">
        <f>SUMIFS(Table2[Stat],Table2[Stat Category],"receiving",Table2[Stat Type],"YDS",Table2[Athlete],Table1[[#This Row],[Pick]],Table2[Week],Table1[[#This Row],[Week]])</f>
        <v>0</v>
      </c>
      <c r="J824" s="6">
        <f>IF(AND($C824="Rushing", $H824&lt;=0), 0, IF(AND($C824="Passing", $G$3&lt;=0), 0,IF(AND($C824="Receiving",$I824&lt;=0), 0,SUMIFS(Table2[Stat],Table2[Week],Table1[[#This Row],[Week]],Table2[Athlete],Table1[[#This Row],[Pick]],Table2[Stat Category],"passing",Table2[Stat Type],"TD"))))</f>
        <v>0</v>
      </c>
      <c r="K824" s="6">
        <f>IF(AND($C824="Rushing", $H824&lt;=0), 0, IF(AND($C824="Passing", $G$3&lt;=0), 0,IF(AND($C824="Receiving",$I824&lt;=0),0,SUMIFS(Table2[Stat],Table2[Week],Table1[[#This Row],[Week]],Table2[Athlete],Table1[[#This Row],[Pick]],Table2[Stat Category],"rushing",Table2[Stat Type],"TD"))))</f>
        <v>0</v>
      </c>
      <c r="L824" s="6">
        <f>IF(AND($C824="Rushing", $H824&lt;=0), 0, IF(AND($C824="Passing", $G$3&lt;=0), 0,IF(AND($C824="Receiving",$I824&lt;=0),0,SUMIFS(Table2[Stat],Table2[Week],Table1[[#This Row],[Week]],Table2[Athlete],Table1[[#This Row],[Pick]],Table2[Stat Category],"receiving",Table2[Stat Type],"TD"))))</f>
        <v>0</v>
      </c>
      <c r="M8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4" s="61">
        <f>SUMIFS(Data!$J:$J,Data!$A:$A,Info!$B824,Data!$G:$G,Info!$C824,Data!$I:$I,Info!$D824,Data!$H:$H,"TOT")</f>
        <v>0</v>
      </c>
      <c r="O824" s="61">
        <f>IF(C824="Defensive",SUMIFS(Data!$J:$J,Data!$A:$A,Info!$B824,Data!$I:$I,Info!$D824,Data!$H:$H,"INT"),0)</f>
        <v>0</v>
      </c>
      <c r="P824" s="61">
        <f>IF(Table1[[#This Row],[Role]]="Defensive",SUMIFS(Data!$J:$J,Data!$A:$A,Info!$B824,Data!$I:$I,Info!$D824,Data!$H:$H,$P$1),0)</f>
        <v>0</v>
      </c>
      <c r="Q824" s="65" t="str">
        <f>IF(Table1[[#This Row],[Pick]]="","",IF(S824&gt;1,400,IF(G824="","",IF(C824="Passing",(400-Table1[[#This Row],[Passing Yards]]-(30*Table1[[#This Row],[Passing TDs]])-(50*SUM(Table1[[#This Row],[Rushing TDs]:[Other TD''s]]))),IF(C824="Rushing",2*(200-Table1[[#This Row],[Rushing Yards]]-(30*Table1[[#This Row],[Passing TDs]])-50*(Table1[[#This Row],[Rushing TDs]]+Table1[[#This Row],[Receiving TDs]]+Table1[[#This Row],[Other TD''s]])),IF(C824="Receiving",2*(200-Table1[[#This Row],[Receiving Yards]]-(30*Table1[[#This Row],[Passing TDs]])-50*(Table1[[#This Row],[Rushing TDs]]+Table1[[#This Row],[Receiving TDs]]+Table1[[#This Row],[Other TD''s]])),IF(C824="Defensive",(25*(16-Table1[[#This Row],[Tackles]]-(8*(Table1[[#This Row],[Other TD''s]]+Table1[[#This Row],[Interceptions]]+Table1[[#This Row],[Fumbles Recovered]])))))))))))</f>
        <v/>
      </c>
      <c r="R824" s="3" t="str">
        <f t="shared" si="26"/>
        <v/>
      </c>
      <c r="S824" s="4">
        <f t="shared" si="25"/>
        <v>1048507</v>
      </c>
      <c r="T8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5" spans="1:20" hidden="1" x14ac:dyDescent="0.25">
      <c r="A825" t="s">
        <v>18</v>
      </c>
      <c r="B825" s="28" t="s">
        <v>55</v>
      </c>
      <c r="C825" t="s">
        <v>17</v>
      </c>
      <c r="D825" t="str">
        <f>_xlfn.XLOOKUP(Table1[[#This Row],[Player]]&amp;Table1[[#This Row],[Week]]&amp;Table1[[#This Row],[Role]],'Google Form Transform'!$A:$A,'Google Form Transform'!E:E,"")</f>
        <v/>
      </c>
      <c r="E825" t="str">
        <f>_xlfn.XLOOKUP(Table1[[#This Row],[Player]]&amp;Table1[[#This Row],[Week]]&amp;Table1[[#This Row],[Role]],'Google Form Transform'!$A:$A,'Google Form Transform'!F:F,"")</f>
        <v/>
      </c>
      <c r="F825" t="str">
        <f>_xlfn.XLOOKUP(Table1[[#This Row],[Player]]&amp;Table1[[#This Row],[Week]]&amp;Table1[[#This Row],[Role]],'Google Form Transform'!$A:$A,'Google Form Transform'!G:G,"")</f>
        <v/>
      </c>
      <c r="G825" s="59">
        <f>SUMIFS(Table2[Stat],Table2[Stat Category],"passing",Table2[Stat Type],"YDS",Table2[Athlete],Table1[[#This Row],[Pick]],Table2[Week],Table1[[#This Row],[Week]])</f>
        <v>0</v>
      </c>
      <c r="H825" s="59">
        <f>SUMIFS(Table2[Stat],Table2[Stat Category],"rushing",Table2[Stat Type],"YDS",Table2[Athlete],Table1[[#This Row],[Pick]],Table2[Week],Table1[[#This Row],[Week]])</f>
        <v>0</v>
      </c>
      <c r="I825" s="59">
        <f>SUMIFS(Table2[Stat],Table2[Stat Category],"receiving",Table2[Stat Type],"YDS",Table2[Athlete],Table1[[#This Row],[Pick]],Table2[Week],Table1[[#This Row],[Week]])</f>
        <v>0</v>
      </c>
      <c r="J825" s="6">
        <f>IF(AND($C825="Rushing", $H825&lt;=0), 0, IF(AND($C825="Passing", $G$3&lt;=0), 0,IF(AND($C825="Receiving",$I825&lt;=0), 0,SUMIFS(Table2[Stat],Table2[Week],Table1[[#This Row],[Week]],Table2[Athlete],Table1[[#This Row],[Pick]],Table2[Stat Category],"passing",Table2[Stat Type],"TD"))))</f>
        <v>0</v>
      </c>
      <c r="K825" s="6">
        <f>IF(AND($C825="Rushing", $H825&lt;=0), 0, IF(AND($C825="Passing", $G$3&lt;=0), 0,IF(AND($C825="Receiving",$I825&lt;=0),0,SUMIFS(Table2[Stat],Table2[Week],Table1[[#This Row],[Week]],Table2[Athlete],Table1[[#This Row],[Pick]],Table2[Stat Category],"rushing",Table2[Stat Type],"TD"))))</f>
        <v>0</v>
      </c>
      <c r="L825" s="6">
        <f>IF(AND($C825="Rushing", $H825&lt;=0), 0, IF(AND($C825="Passing", $G$3&lt;=0), 0,IF(AND($C825="Receiving",$I825&lt;=0),0,SUMIFS(Table2[Stat],Table2[Week],Table1[[#This Row],[Week]],Table2[Athlete],Table1[[#This Row],[Pick]],Table2[Stat Category],"receiving",Table2[Stat Type],"TD"))))</f>
        <v>0</v>
      </c>
      <c r="M8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5" s="61">
        <f>SUMIFS(Data!$J:$J,Data!$A:$A,Info!$B825,Data!$G:$G,Info!$C825,Data!$I:$I,Info!$D825,Data!$H:$H,"TOT")</f>
        <v>0</v>
      </c>
      <c r="O825" s="61">
        <f>IF(C825="Defensive",SUMIFS(Data!$J:$J,Data!$A:$A,Info!$B825,Data!$I:$I,Info!$D825,Data!$H:$H,"INT"),0)</f>
        <v>0</v>
      </c>
      <c r="P825" s="61">
        <f>IF(Table1[[#This Row],[Role]]="Defensive",SUMIFS(Data!$J:$J,Data!$A:$A,Info!$B825,Data!$I:$I,Info!$D825,Data!$H:$H,$P$1),0)</f>
        <v>0</v>
      </c>
      <c r="Q825" s="65" t="str">
        <f>IF(Table1[[#This Row],[Pick]]="","",IF(S825&gt;1,400,IF(G825="","",IF(C825="Passing",(400-Table1[[#This Row],[Passing Yards]]-(30*Table1[[#This Row],[Passing TDs]])-(50*SUM(Table1[[#This Row],[Rushing TDs]:[Other TD''s]]))),IF(C825="Rushing",2*(200-Table1[[#This Row],[Rushing Yards]]-(30*Table1[[#This Row],[Passing TDs]])-50*(Table1[[#This Row],[Rushing TDs]]+Table1[[#This Row],[Receiving TDs]]+Table1[[#This Row],[Other TD''s]])),IF(C825="Receiving",2*(200-Table1[[#This Row],[Receiving Yards]]-(30*Table1[[#This Row],[Passing TDs]])-50*(Table1[[#This Row],[Rushing TDs]]+Table1[[#This Row],[Receiving TDs]]+Table1[[#This Row],[Other TD''s]])),IF(C825="Defensive",(25*(16-Table1[[#This Row],[Tackles]]-(8*(Table1[[#This Row],[Other TD''s]]+Table1[[#This Row],[Interceptions]]+Table1[[#This Row],[Fumbles Recovered]])))))))))))</f>
        <v/>
      </c>
      <c r="R825" s="3" t="str">
        <f t="shared" si="26"/>
        <v/>
      </c>
      <c r="S825" s="4">
        <f t="shared" si="25"/>
        <v>1048507</v>
      </c>
      <c r="T8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6" spans="1:20" hidden="1" x14ac:dyDescent="0.25">
      <c r="A826" t="s">
        <v>18</v>
      </c>
      <c r="B826" s="28" t="s">
        <v>55</v>
      </c>
      <c r="C826" t="s">
        <v>20</v>
      </c>
      <c r="D826" t="str">
        <f>_xlfn.XLOOKUP(Table1[[#This Row],[Player]]&amp;Table1[[#This Row],[Week]]&amp;Table1[[#This Row],[Role]],'Google Form Transform'!$A:$A,'Google Form Transform'!E:E,"")</f>
        <v/>
      </c>
      <c r="E826" t="str">
        <f>_xlfn.XLOOKUP(Table1[[#This Row],[Player]]&amp;Table1[[#This Row],[Week]]&amp;Table1[[#This Row],[Role]],'Google Form Transform'!$A:$A,'Google Form Transform'!F:F,"")</f>
        <v/>
      </c>
      <c r="F826" t="str">
        <f>_xlfn.XLOOKUP(Table1[[#This Row],[Player]]&amp;Table1[[#This Row],[Week]]&amp;Table1[[#This Row],[Role]],'Google Form Transform'!$A:$A,'Google Form Transform'!G:G,"")</f>
        <v/>
      </c>
      <c r="G826" s="59">
        <f>SUMIFS(Table2[Stat],Table2[Stat Category],"passing",Table2[Stat Type],"YDS",Table2[Athlete],Table1[[#This Row],[Pick]],Table2[Week],Table1[[#This Row],[Week]])</f>
        <v>0</v>
      </c>
      <c r="H826" s="59">
        <f>SUMIFS(Table2[Stat],Table2[Stat Category],"rushing",Table2[Stat Type],"YDS",Table2[Athlete],Table1[[#This Row],[Pick]],Table2[Week],Table1[[#This Row],[Week]])</f>
        <v>0</v>
      </c>
      <c r="I826" s="59">
        <f>SUMIFS(Table2[Stat],Table2[Stat Category],"receiving",Table2[Stat Type],"YDS",Table2[Athlete],Table1[[#This Row],[Pick]],Table2[Week],Table1[[#This Row],[Week]])</f>
        <v>0</v>
      </c>
      <c r="J826" s="6">
        <f>IF(AND($C826="Rushing", $H826&lt;=0), 0, IF(AND($C826="Passing", $G$3&lt;=0), 0,IF(AND($C826="Receiving",$I826&lt;=0), 0,SUMIFS(Table2[Stat],Table2[Week],Table1[[#This Row],[Week]],Table2[Athlete],Table1[[#This Row],[Pick]],Table2[Stat Category],"passing",Table2[Stat Type],"TD"))))</f>
        <v>0</v>
      </c>
      <c r="K826" s="6">
        <f>IF(AND($C826="Rushing", $H826&lt;=0), 0, IF(AND($C826="Passing", $G$3&lt;=0), 0,IF(AND($C826="Receiving",$I826&lt;=0),0,SUMIFS(Table2[Stat],Table2[Week],Table1[[#This Row],[Week]],Table2[Athlete],Table1[[#This Row],[Pick]],Table2[Stat Category],"rushing",Table2[Stat Type],"TD"))))</f>
        <v>0</v>
      </c>
      <c r="L826" s="6">
        <f>IF(AND($C826="Rushing", $H826&lt;=0), 0, IF(AND($C826="Passing", $G$3&lt;=0), 0,IF(AND($C826="Receiving",$I826&lt;=0),0,SUMIFS(Table2[Stat],Table2[Week],Table1[[#This Row],[Week]],Table2[Athlete],Table1[[#This Row],[Pick]],Table2[Stat Category],"receiving",Table2[Stat Type],"TD"))))</f>
        <v>0</v>
      </c>
      <c r="M8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6" s="61">
        <f>SUMIFS(Data!$J:$J,Data!$A:$A,Info!$B826,Data!$G:$G,Info!$C826,Data!$I:$I,Info!$D826,Data!$H:$H,"TOT")</f>
        <v>0</v>
      </c>
      <c r="O826" s="61">
        <f>IF(C826="Defensive",SUMIFS(Data!$J:$J,Data!$A:$A,Info!$B826,Data!$I:$I,Info!$D826,Data!$H:$H,"INT"),0)</f>
        <v>0</v>
      </c>
      <c r="P826" s="61">
        <f>IF(Table1[[#This Row],[Role]]="Defensive",SUMIFS(Data!$J:$J,Data!$A:$A,Info!$B826,Data!$I:$I,Info!$D826,Data!$H:$H,$P$1),0)</f>
        <v>0</v>
      </c>
      <c r="Q826" s="65" t="str">
        <f>IF(Table1[[#This Row],[Pick]]="","",IF(S826&gt;1,400,IF(G826="","",IF(C826="Passing",(400-Table1[[#This Row],[Passing Yards]]-(30*Table1[[#This Row],[Passing TDs]])-(50*SUM(Table1[[#This Row],[Rushing TDs]:[Other TD''s]]))),IF(C826="Rushing",2*(200-Table1[[#This Row],[Rushing Yards]]-(30*Table1[[#This Row],[Passing TDs]])-50*(Table1[[#This Row],[Rushing TDs]]+Table1[[#This Row],[Receiving TDs]]+Table1[[#This Row],[Other TD''s]])),IF(C826="Receiving",2*(200-Table1[[#This Row],[Receiving Yards]]-(30*Table1[[#This Row],[Passing TDs]])-50*(Table1[[#This Row],[Rushing TDs]]+Table1[[#This Row],[Receiving TDs]]+Table1[[#This Row],[Other TD''s]])),IF(C826="Defensive",(25*(16-Table1[[#This Row],[Tackles]]-(8*(Table1[[#This Row],[Other TD''s]]+Table1[[#This Row],[Interceptions]]+Table1[[#This Row],[Fumbles Recovered]])))))))))))</f>
        <v/>
      </c>
      <c r="R826" s="3" t="str">
        <f t="shared" si="26"/>
        <v/>
      </c>
      <c r="S826" s="4">
        <f t="shared" si="25"/>
        <v>1048507</v>
      </c>
      <c r="T8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7" spans="1:20" hidden="1" x14ac:dyDescent="0.25">
      <c r="A827" t="s">
        <v>19</v>
      </c>
      <c r="B827" s="28" t="s">
        <v>55</v>
      </c>
      <c r="C827" t="s">
        <v>16</v>
      </c>
      <c r="D827" t="str">
        <f>_xlfn.XLOOKUP(Table1[[#This Row],[Player]]&amp;Table1[[#This Row],[Week]]&amp;Table1[[#This Row],[Role]],'Google Form Transform'!$A:$A,'Google Form Transform'!E:E,"")</f>
        <v/>
      </c>
      <c r="E827" t="str">
        <f>_xlfn.XLOOKUP(Table1[[#This Row],[Player]]&amp;Table1[[#This Row],[Week]]&amp;Table1[[#This Row],[Role]],'Google Form Transform'!$A:$A,'Google Form Transform'!F:F,"")</f>
        <v/>
      </c>
      <c r="F827" t="str">
        <f>_xlfn.XLOOKUP(Table1[[#This Row],[Player]]&amp;Table1[[#This Row],[Week]]&amp;Table1[[#This Row],[Role]],'Google Form Transform'!$A:$A,'Google Form Transform'!G:G,"")</f>
        <v/>
      </c>
      <c r="G827" s="59">
        <f>SUMIFS(Table2[Stat],Table2[Stat Category],"passing",Table2[Stat Type],"YDS",Table2[Athlete],Table1[[#This Row],[Pick]],Table2[Week],Table1[[#This Row],[Week]])</f>
        <v>0</v>
      </c>
      <c r="H827" s="59">
        <f>SUMIFS(Table2[Stat],Table2[Stat Category],"rushing",Table2[Stat Type],"YDS",Table2[Athlete],Table1[[#This Row],[Pick]],Table2[Week],Table1[[#This Row],[Week]])</f>
        <v>0</v>
      </c>
      <c r="I827" s="59">
        <f>SUMIFS(Table2[Stat],Table2[Stat Category],"receiving",Table2[Stat Type],"YDS",Table2[Athlete],Table1[[#This Row],[Pick]],Table2[Week],Table1[[#This Row],[Week]])</f>
        <v>0</v>
      </c>
      <c r="J827" s="6">
        <f>IF(AND($C827="Rushing", $H827&lt;=0), 0, IF(AND($C827="Passing", $G$3&lt;=0), 0,IF(AND($C827="Receiving",$I827&lt;=0), 0,SUMIFS(Table2[Stat],Table2[Week],Table1[[#This Row],[Week]],Table2[Athlete],Table1[[#This Row],[Pick]],Table2[Stat Category],"passing",Table2[Stat Type],"TD"))))</f>
        <v>0</v>
      </c>
      <c r="K827" s="6">
        <f>IF(AND($C827="Rushing", $H827&lt;=0), 0, IF(AND($C827="Passing", $G$3&lt;=0), 0,IF(AND($C827="Receiving",$I827&lt;=0),0,SUMIFS(Table2[Stat],Table2[Week],Table1[[#This Row],[Week]],Table2[Athlete],Table1[[#This Row],[Pick]],Table2[Stat Category],"rushing",Table2[Stat Type],"TD"))))</f>
        <v>0</v>
      </c>
      <c r="L827" s="6">
        <f>IF(AND($C827="Rushing", $H827&lt;=0), 0, IF(AND($C827="Passing", $G$3&lt;=0), 0,IF(AND($C827="Receiving",$I827&lt;=0),0,SUMIFS(Table2[Stat],Table2[Week],Table1[[#This Row],[Week]],Table2[Athlete],Table1[[#This Row],[Pick]],Table2[Stat Category],"receiving",Table2[Stat Type],"TD"))))</f>
        <v>0</v>
      </c>
      <c r="M8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7" s="61">
        <f>SUMIFS(Data!$J:$J,Data!$A:$A,Info!$B827,Data!$G:$G,Info!$C827,Data!$I:$I,Info!$D827,Data!$H:$H,"TOT")</f>
        <v>0</v>
      </c>
      <c r="O827" s="61">
        <f>IF(C827="Defensive",SUMIFS(Data!$J:$J,Data!$A:$A,Info!$B827,Data!$I:$I,Info!$D827,Data!$H:$H,"INT"),0)</f>
        <v>0</v>
      </c>
      <c r="P827" s="61">
        <f>IF(Table1[[#This Row],[Role]]="Defensive",SUMIFS(Data!$J:$J,Data!$A:$A,Info!$B827,Data!$I:$I,Info!$D827,Data!$H:$H,$P$1),0)</f>
        <v>0</v>
      </c>
      <c r="Q827" s="65" t="str">
        <f>IF(Table1[[#This Row],[Pick]]="","",IF(S827&gt;1,400,IF(G827="","",IF(C827="Passing",(400-Table1[[#This Row],[Passing Yards]]-(30*Table1[[#This Row],[Passing TDs]])-(50*SUM(Table1[[#This Row],[Rushing TDs]:[Other TD''s]]))),IF(C827="Rushing",2*(200-Table1[[#This Row],[Rushing Yards]]-(30*Table1[[#This Row],[Passing TDs]])-50*(Table1[[#This Row],[Rushing TDs]]+Table1[[#This Row],[Receiving TDs]]+Table1[[#This Row],[Other TD''s]])),IF(C827="Receiving",2*(200-Table1[[#This Row],[Receiving Yards]]-(30*Table1[[#This Row],[Passing TDs]])-50*(Table1[[#This Row],[Rushing TDs]]+Table1[[#This Row],[Receiving TDs]]+Table1[[#This Row],[Other TD''s]])),IF(C827="Defensive",(25*(16-Table1[[#This Row],[Tackles]]-(8*(Table1[[#This Row],[Other TD''s]]+Table1[[#This Row],[Interceptions]]+Table1[[#This Row],[Fumbles Recovered]])))))))))))</f>
        <v/>
      </c>
      <c r="R827" s="3" t="str">
        <f t="shared" si="26"/>
        <v/>
      </c>
      <c r="S827" s="4">
        <f t="shared" si="25"/>
        <v>1048507</v>
      </c>
      <c r="T8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8" spans="1:20" hidden="1" x14ac:dyDescent="0.25">
      <c r="A828" t="s">
        <v>19</v>
      </c>
      <c r="B828" s="28" t="s">
        <v>55</v>
      </c>
      <c r="C828" t="s">
        <v>6</v>
      </c>
      <c r="D828" t="str">
        <f>_xlfn.XLOOKUP(Table1[[#This Row],[Player]]&amp;Table1[[#This Row],[Week]]&amp;Table1[[#This Row],[Role]],'Google Form Transform'!$A:$A,'Google Form Transform'!E:E,"")</f>
        <v/>
      </c>
      <c r="E828" t="str">
        <f>_xlfn.XLOOKUP(Table1[[#This Row],[Player]]&amp;Table1[[#This Row],[Week]]&amp;Table1[[#This Row],[Role]],'Google Form Transform'!$A:$A,'Google Form Transform'!F:F,"")</f>
        <v/>
      </c>
      <c r="F828" t="str">
        <f>_xlfn.XLOOKUP(Table1[[#This Row],[Player]]&amp;Table1[[#This Row],[Week]]&amp;Table1[[#This Row],[Role]],'Google Form Transform'!$A:$A,'Google Form Transform'!G:G,"")</f>
        <v/>
      </c>
      <c r="G828" s="59">
        <f>SUMIFS(Table2[Stat],Table2[Stat Category],"passing",Table2[Stat Type],"YDS",Table2[Athlete],Table1[[#This Row],[Pick]],Table2[Week],Table1[[#This Row],[Week]])</f>
        <v>0</v>
      </c>
      <c r="H828" s="59">
        <f>SUMIFS(Table2[Stat],Table2[Stat Category],"rushing",Table2[Stat Type],"YDS",Table2[Athlete],Table1[[#This Row],[Pick]],Table2[Week],Table1[[#This Row],[Week]])</f>
        <v>0</v>
      </c>
      <c r="I828" s="59">
        <f>SUMIFS(Table2[Stat],Table2[Stat Category],"receiving",Table2[Stat Type],"YDS",Table2[Athlete],Table1[[#This Row],[Pick]],Table2[Week],Table1[[#This Row],[Week]])</f>
        <v>0</v>
      </c>
      <c r="J828" s="6">
        <f>IF(AND($C828="Rushing", $H828&lt;=0), 0, IF(AND($C828="Passing", $G$3&lt;=0), 0,IF(AND($C828="Receiving",$I828&lt;=0), 0,SUMIFS(Table2[Stat],Table2[Week],Table1[[#This Row],[Week]],Table2[Athlete],Table1[[#This Row],[Pick]],Table2[Stat Category],"passing",Table2[Stat Type],"TD"))))</f>
        <v>0</v>
      </c>
      <c r="K828" s="6">
        <f>IF(AND($C828="Rushing", $H828&lt;=0), 0, IF(AND($C828="Passing", $G$3&lt;=0), 0,IF(AND($C828="Receiving",$I828&lt;=0),0,SUMIFS(Table2[Stat],Table2[Week],Table1[[#This Row],[Week]],Table2[Athlete],Table1[[#This Row],[Pick]],Table2[Stat Category],"rushing",Table2[Stat Type],"TD"))))</f>
        <v>0</v>
      </c>
      <c r="L828" s="6">
        <f>IF(AND($C828="Rushing", $H828&lt;=0), 0, IF(AND($C828="Passing", $G$3&lt;=0), 0,IF(AND($C828="Receiving",$I828&lt;=0),0,SUMIFS(Table2[Stat],Table2[Week],Table1[[#This Row],[Week]],Table2[Athlete],Table1[[#This Row],[Pick]],Table2[Stat Category],"receiving",Table2[Stat Type],"TD"))))</f>
        <v>0</v>
      </c>
      <c r="M8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8" s="61">
        <f>SUMIFS(Data!$J:$J,Data!$A:$A,Info!$B828,Data!$G:$G,Info!$C828,Data!$I:$I,Info!$D828,Data!$H:$H,"TOT")</f>
        <v>0</v>
      </c>
      <c r="O828" s="61">
        <f>IF(C828="Defensive",SUMIFS(Data!$J:$J,Data!$A:$A,Info!$B828,Data!$I:$I,Info!$D828,Data!$H:$H,"INT"),0)</f>
        <v>0</v>
      </c>
      <c r="P828" s="61">
        <f>IF(Table1[[#This Row],[Role]]="Defensive",SUMIFS(Data!$J:$J,Data!$A:$A,Info!$B828,Data!$I:$I,Info!$D828,Data!$H:$H,$P$1),0)</f>
        <v>0</v>
      </c>
      <c r="Q828" s="65" t="str">
        <f>IF(Table1[[#This Row],[Pick]]="","",IF(S828&gt;1,400,IF(G828="","",IF(C828="Passing",(400-Table1[[#This Row],[Passing Yards]]-(30*Table1[[#This Row],[Passing TDs]])-(50*SUM(Table1[[#This Row],[Rushing TDs]:[Other TD''s]]))),IF(C828="Rushing",2*(200-Table1[[#This Row],[Rushing Yards]]-(30*Table1[[#This Row],[Passing TDs]])-50*(Table1[[#This Row],[Rushing TDs]]+Table1[[#This Row],[Receiving TDs]]+Table1[[#This Row],[Other TD''s]])),IF(C828="Receiving",2*(200-Table1[[#This Row],[Receiving Yards]]-(30*Table1[[#This Row],[Passing TDs]])-50*(Table1[[#This Row],[Rushing TDs]]+Table1[[#This Row],[Receiving TDs]]+Table1[[#This Row],[Other TD''s]])),IF(C828="Defensive",(25*(16-Table1[[#This Row],[Tackles]]-(8*(Table1[[#This Row],[Other TD''s]]+Table1[[#This Row],[Interceptions]]+Table1[[#This Row],[Fumbles Recovered]])))))))))))</f>
        <v/>
      </c>
      <c r="R828" s="3" t="str">
        <f t="shared" si="26"/>
        <v/>
      </c>
      <c r="S828" s="4">
        <f t="shared" si="25"/>
        <v>1048507</v>
      </c>
      <c r="T8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9" spans="1:20" hidden="1" x14ac:dyDescent="0.25">
      <c r="A829" t="s">
        <v>19</v>
      </c>
      <c r="B829" s="28" t="s">
        <v>55</v>
      </c>
      <c r="C829" t="s">
        <v>17</v>
      </c>
      <c r="D829" t="str">
        <f>_xlfn.XLOOKUP(Table1[[#This Row],[Player]]&amp;Table1[[#This Row],[Week]]&amp;Table1[[#This Row],[Role]],'Google Form Transform'!$A:$A,'Google Form Transform'!E:E,"")</f>
        <v/>
      </c>
      <c r="E829" t="str">
        <f>_xlfn.XLOOKUP(Table1[[#This Row],[Player]]&amp;Table1[[#This Row],[Week]]&amp;Table1[[#This Row],[Role]],'Google Form Transform'!$A:$A,'Google Form Transform'!F:F,"")</f>
        <v/>
      </c>
      <c r="F829" t="str">
        <f>_xlfn.XLOOKUP(Table1[[#This Row],[Player]]&amp;Table1[[#This Row],[Week]]&amp;Table1[[#This Row],[Role]],'Google Form Transform'!$A:$A,'Google Form Transform'!G:G,"")</f>
        <v/>
      </c>
      <c r="G829" s="59">
        <f>SUMIFS(Table2[Stat],Table2[Stat Category],"passing",Table2[Stat Type],"YDS",Table2[Athlete],Table1[[#This Row],[Pick]],Table2[Week],Table1[[#This Row],[Week]])</f>
        <v>0</v>
      </c>
      <c r="H829" s="59">
        <f>SUMIFS(Table2[Stat],Table2[Stat Category],"rushing",Table2[Stat Type],"YDS",Table2[Athlete],Table1[[#This Row],[Pick]],Table2[Week],Table1[[#This Row],[Week]])</f>
        <v>0</v>
      </c>
      <c r="I829" s="59">
        <f>SUMIFS(Table2[Stat],Table2[Stat Category],"receiving",Table2[Stat Type],"YDS",Table2[Athlete],Table1[[#This Row],[Pick]],Table2[Week],Table1[[#This Row],[Week]])</f>
        <v>0</v>
      </c>
      <c r="J829" s="6">
        <f>IF(AND($C829="Rushing", $H829&lt;=0), 0, IF(AND($C829="Passing", $G$3&lt;=0), 0,IF(AND($C829="Receiving",$I829&lt;=0), 0,SUMIFS(Table2[Stat],Table2[Week],Table1[[#This Row],[Week]],Table2[Athlete],Table1[[#This Row],[Pick]],Table2[Stat Category],"passing",Table2[Stat Type],"TD"))))</f>
        <v>0</v>
      </c>
      <c r="K829" s="6">
        <f>IF(AND($C829="Rushing", $H829&lt;=0), 0, IF(AND($C829="Passing", $G$3&lt;=0), 0,IF(AND($C829="Receiving",$I829&lt;=0),0,SUMIFS(Table2[Stat],Table2[Week],Table1[[#This Row],[Week]],Table2[Athlete],Table1[[#This Row],[Pick]],Table2[Stat Category],"rushing",Table2[Stat Type],"TD"))))</f>
        <v>0</v>
      </c>
      <c r="L829" s="6">
        <f>IF(AND($C829="Rushing", $H829&lt;=0), 0, IF(AND($C829="Passing", $G$3&lt;=0), 0,IF(AND($C829="Receiving",$I829&lt;=0),0,SUMIFS(Table2[Stat],Table2[Week],Table1[[#This Row],[Week]],Table2[Athlete],Table1[[#This Row],[Pick]],Table2[Stat Category],"receiving",Table2[Stat Type],"TD"))))</f>
        <v>0</v>
      </c>
      <c r="M8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9" s="61">
        <f>SUMIFS(Data!$J:$J,Data!$A:$A,Info!$B829,Data!$G:$G,Info!$C829,Data!$I:$I,Info!$D829,Data!$H:$H,"TOT")</f>
        <v>0</v>
      </c>
      <c r="O829" s="61">
        <f>IF(C829="Defensive",SUMIFS(Data!$J:$J,Data!$A:$A,Info!$B829,Data!$I:$I,Info!$D829,Data!$H:$H,"INT"),0)</f>
        <v>0</v>
      </c>
      <c r="P829" s="61">
        <f>IF(Table1[[#This Row],[Role]]="Defensive",SUMIFS(Data!$J:$J,Data!$A:$A,Info!$B829,Data!$I:$I,Info!$D829,Data!$H:$H,$P$1),0)</f>
        <v>0</v>
      </c>
      <c r="Q829" s="65" t="str">
        <f>IF(Table1[[#This Row],[Pick]]="","",IF(S829&gt;1,400,IF(G829="","",IF(C829="Passing",(400-Table1[[#This Row],[Passing Yards]]-(30*Table1[[#This Row],[Passing TDs]])-(50*SUM(Table1[[#This Row],[Rushing TDs]:[Other TD''s]]))),IF(C829="Rushing",2*(200-Table1[[#This Row],[Rushing Yards]]-(30*Table1[[#This Row],[Passing TDs]])-50*(Table1[[#This Row],[Rushing TDs]]+Table1[[#This Row],[Receiving TDs]]+Table1[[#This Row],[Other TD''s]])),IF(C829="Receiving",2*(200-Table1[[#This Row],[Receiving Yards]]-(30*Table1[[#This Row],[Passing TDs]])-50*(Table1[[#This Row],[Rushing TDs]]+Table1[[#This Row],[Receiving TDs]]+Table1[[#This Row],[Other TD''s]])),IF(C829="Defensive",(25*(16-Table1[[#This Row],[Tackles]]-(8*(Table1[[#This Row],[Other TD''s]]+Table1[[#This Row],[Interceptions]]+Table1[[#This Row],[Fumbles Recovered]])))))))))))</f>
        <v/>
      </c>
      <c r="R829" s="3" t="str">
        <f t="shared" si="26"/>
        <v/>
      </c>
      <c r="S829" s="4">
        <f t="shared" si="25"/>
        <v>1048507</v>
      </c>
      <c r="T8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0" spans="1:20" hidden="1" x14ac:dyDescent="0.25">
      <c r="A830" t="s">
        <v>19</v>
      </c>
      <c r="B830" s="28" t="s">
        <v>55</v>
      </c>
      <c r="C830" t="s">
        <v>20</v>
      </c>
      <c r="D830" t="str">
        <f>_xlfn.XLOOKUP(Table1[[#This Row],[Player]]&amp;Table1[[#This Row],[Week]]&amp;Table1[[#This Row],[Role]],'Google Form Transform'!$A:$A,'Google Form Transform'!E:E,"")</f>
        <v/>
      </c>
      <c r="E830" t="str">
        <f>_xlfn.XLOOKUP(Table1[[#This Row],[Player]]&amp;Table1[[#This Row],[Week]]&amp;Table1[[#This Row],[Role]],'Google Form Transform'!$A:$A,'Google Form Transform'!F:F,"")</f>
        <v/>
      </c>
      <c r="F830" t="str">
        <f>_xlfn.XLOOKUP(Table1[[#This Row],[Player]]&amp;Table1[[#This Row],[Week]]&amp;Table1[[#This Row],[Role]],'Google Form Transform'!$A:$A,'Google Form Transform'!G:G,"")</f>
        <v/>
      </c>
      <c r="G830" s="59">
        <f>SUMIFS(Table2[Stat],Table2[Stat Category],"passing",Table2[Stat Type],"YDS",Table2[Athlete],Table1[[#This Row],[Pick]],Table2[Week],Table1[[#This Row],[Week]])</f>
        <v>0</v>
      </c>
      <c r="H830" s="59">
        <f>SUMIFS(Table2[Stat],Table2[Stat Category],"rushing",Table2[Stat Type],"YDS",Table2[Athlete],Table1[[#This Row],[Pick]],Table2[Week],Table1[[#This Row],[Week]])</f>
        <v>0</v>
      </c>
      <c r="I830" s="59">
        <f>SUMIFS(Table2[Stat],Table2[Stat Category],"receiving",Table2[Stat Type],"YDS",Table2[Athlete],Table1[[#This Row],[Pick]],Table2[Week],Table1[[#This Row],[Week]])</f>
        <v>0</v>
      </c>
      <c r="J830" s="6">
        <f>IF(AND($C830="Rushing", $H830&lt;=0), 0, IF(AND($C830="Passing", $G$3&lt;=0), 0,IF(AND($C830="Receiving",$I830&lt;=0), 0,SUMIFS(Table2[Stat],Table2[Week],Table1[[#This Row],[Week]],Table2[Athlete],Table1[[#This Row],[Pick]],Table2[Stat Category],"passing",Table2[Stat Type],"TD"))))</f>
        <v>0</v>
      </c>
      <c r="K830" s="6">
        <f>IF(AND($C830="Rushing", $H830&lt;=0), 0, IF(AND($C830="Passing", $G$3&lt;=0), 0,IF(AND($C830="Receiving",$I830&lt;=0),0,SUMIFS(Table2[Stat],Table2[Week],Table1[[#This Row],[Week]],Table2[Athlete],Table1[[#This Row],[Pick]],Table2[Stat Category],"rushing",Table2[Stat Type],"TD"))))</f>
        <v>0</v>
      </c>
      <c r="L830" s="6">
        <f>IF(AND($C830="Rushing", $H830&lt;=0), 0, IF(AND($C830="Passing", $G$3&lt;=0), 0,IF(AND($C830="Receiving",$I830&lt;=0),0,SUMIFS(Table2[Stat],Table2[Week],Table1[[#This Row],[Week]],Table2[Athlete],Table1[[#This Row],[Pick]],Table2[Stat Category],"receiving",Table2[Stat Type],"TD"))))</f>
        <v>0</v>
      </c>
      <c r="M8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0" s="61">
        <f>SUMIFS(Data!$J:$J,Data!$A:$A,Info!$B830,Data!$G:$G,Info!$C830,Data!$I:$I,Info!$D830,Data!$H:$H,"TOT")</f>
        <v>0</v>
      </c>
      <c r="O830" s="61">
        <f>IF(C830="Defensive",SUMIFS(Data!$J:$J,Data!$A:$A,Info!$B830,Data!$I:$I,Info!$D830,Data!$H:$H,"INT"),0)</f>
        <v>0</v>
      </c>
      <c r="P830" s="61">
        <f>IF(Table1[[#This Row],[Role]]="Defensive",SUMIFS(Data!$J:$J,Data!$A:$A,Info!$B830,Data!$I:$I,Info!$D830,Data!$H:$H,$P$1),0)</f>
        <v>0</v>
      </c>
      <c r="Q830" s="65" t="str">
        <f>IF(Table1[[#This Row],[Pick]]="","",IF(S830&gt;1,400,IF(G830="","",IF(C830="Passing",(400-Table1[[#This Row],[Passing Yards]]-(30*Table1[[#This Row],[Passing TDs]])-(50*SUM(Table1[[#This Row],[Rushing TDs]:[Other TD''s]]))),IF(C830="Rushing",2*(200-Table1[[#This Row],[Rushing Yards]]-(30*Table1[[#This Row],[Passing TDs]])-50*(Table1[[#This Row],[Rushing TDs]]+Table1[[#This Row],[Receiving TDs]]+Table1[[#This Row],[Other TD''s]])),IF(C830="Receiving",2*(200-Table1[[#This Row],[Receiving Yards]]-(30*Table1[[#This Row],[Passing TDs]])-50*(Table1[[#This Row],[Rushing TDs]]+Table1[[#This Row],[Receiving TDs]]+Table1[[#This Row],[Other TD''s]])),IF(C830="Defensive",(25*(16-Table1[[#This Row],[Tackles]]-(8*(Table1[[#This Row],[Other TD''s]]+Table1[[#This Row],[Interceptions]]+Table1[[#This Row],[Fumbles Recovered]])))))))))))</f>
        <v/>
      </c>
      <c r="R830" s="3" t="str">
        <f t="shared" si="26"/>
        <v/>
      </c>
      <c r="S830" s="4">
        <f t="shared" si="25"/>
        <v>1048507</v>
      </c>
      <c r="T8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1" spans="1:20" hidden="1" x14ac:dyDescent="0.25">
      <c r="A831" t="s">
        <v>26</v>
      </c>
      <c r="B831" s="28" t="s">
        <v>55</v>
      </c>
      <c r="C831" t="s">
        <v>16</v>
      </c>
      <c r="D831" t="str">
        <f>_xlfn.XLOOKUP(Table1[[#This Row],[Player]]&amp;Table1[[#This Row],[Week]]&amp;Table1[[#This Row],[Role]],'Google Form Transform'!$A:$A,'Google Form Transform'!E:E,"")</f>
        <v/>
      </c>
      <c r="E831" t="str">
        <f>_xlfn.XLOOKUP(Table1[[#This Row],[Player]]&amp;Table1[[#This Row],[Week]]&amp;Table1[[#This Row],[Role]],'Google Form Transform'!$A:$A,'Google Form Transform'!F:F,"")</f>
        <v/>
      </c>
      <c r="F831" t="str">
        <f>_xlfn.XLOOKUP(Table1[[#This Row],[Player]]&amp;Table1[[#This Row],[Week]]&amp;Table1[[#This Row],[Role]],'Google Form Transform'!$A:$A,'Google Form Transform'!G:G,"")</f>
        <v/>
      </c>
      <c r="G831" s="59">
        <f>SUMIFS(Table2[Stat],Table2[Stat Category],"passing",Table2[Stat Type],"YDS",Table2[Athlete],Table1[[#This Row],[Pick]],Table2[Week],Table1[[#This Row],[Week]])</f>
        <v>0</v>
      </c>
      <c r="H831" s="59">
        <f>SUMIFS(Table2[Stat],Table2[Stat Category],"rushing",Table2[Stat Type],"YDS",Table2[Athlete],Table1[[#This Row],[Pick]],Table2[Week],Table1[[#This Row],[Week]])</f>
        <v>0</v>
      </c>
      <c r="I831" s="59">
        <f>SUMIFS(Table2[Stat],Table2[Stat Category],"receiving",Table2[Stat Type],"YDS",Table2[Athlete],Table1[[#This Row],[Pick]],Table2[Week],Table1[[#This Row],[Week]])</f>
        <v>0</v>
      </c>
      <c r="J831" s="6">
        <f>IF(AND($C831="Rushing", $H831&lt;=0), 0, IF(AND($C831="Passing", $G$3&lt;=0), 0,IF(AND($C831="Receiving",$I831&lt;=0), 0,SUMIFS(Table2[Stat],Table2[Week],Table1[[#This Row],[Week]],Table2[Athlete],Table1[[#This Row],[Pick]],Table2[Stat Category],"passing",Table2[Stat Type],"TD"))))</f>
        <v>0</v>
      </c>
      <c r="K831" s="6">
        <f>IF(AND($C831="Rushing", $H831&lt;=0), 0, IF(AND($C831="Passing", $G$3&lt;=0), 0,IF(AND($C831="Receiving",$I831&lt;=0),0,SUMIFS(Table2[Stat],Table2[Week],Table1[[#This Row],[Week]],Table2[Athlete],Table1[[#This Row],[Pick]],Table2[Stat Category],"rushing",Table2[Stat Type],"TD"))))</f>
        <v>0</v>
      </c>
      <c r="L831" s="6">
        <f>IF(AND($C831="Rushing", $H831&lt;=0), 0, IF(AND($C831="Passing", $G$3&lt;=0), 0,IF(AND($C831="Receiving",$I831&lt;=0),0,SUMIFS(Table2[Stat],Table2[Week],Table1[[#This Row],[Week]],Table2[Athlete],Table1[[#This Row],[Pick]],Table2[Stat Category],"receiving",Table2[Stat Type],"TD"))))</f>
        <v>0</v>
      </c>
      <c r="M8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1" s="61">
        <f>SUMIFS(Data!$J:$J,Data!$A:$A,Info!$B831,Data!$G:$G,Info!$C831,Data!$I:$I,Info!$D831,Data!$H:$H,"TOT")</f>
        <v>0</v>
      </c>
      <c r="O831" s="61">
        <f>IF(C831="Defensive",SUMIFS(Data!$J:$J,Data!$A:$A,Info!$B831,Data!$I:$I,Info!$D831,Data!$H:$H,"INT"),0)</f>
        <v>0</v>
      </c>
      <c r="P831" s="61">
        <f>IF(Table1[[#This Row],[Role]]="Defensive",SUMIFS(Data!$J:$J,Data!$A:$A,Info!$B831,Data!$I:$I,Info!$D831,Data!$H:$H,$P$1),0)</f>
        <v>0</v>
      </c>
      <c r="Q831" s="65" t="str">
        <f>IF(Table1[[#This Row],[Pick]]="","",IF(S831&gt;1,400,IF(G831="","",IF(C831="Passing",(400-Table1[[#This Row],[Passing Yards]]-(30*Table1[[#This Row],[Passing TDs]])-(50*SUM(Table1[[#This Row],[Rushing TDs]:[Other TD''s]]))),IF(C831="Rushing",2*(200-Table1[[#This Row],[Rushing Yards]]-(30*Table1[[#This Row],[Passing TDs]])-50*(Table1[[#This Row],[Rushing TDs]]+Table1[[#This Row],[Receiving TDs]]+Table1[[#This Row],[Other TD''s]])),IF(C831="Receiving",2*(200-Table1[[#This Row],[Receiving Yards]]-(30*Table1[[#This Row],[Passing TDs]])-50*(Table1[[#This Row],[Rushing TDs]]+Table1[[#This Row],[Receiving TDs]]+Table1[[#This Row],[Other TD''s]])),IF(C831="Defensive",(25*(16-Table1[[#This Row],[Tackles]]-(8*(Table1[[#This Row],[Other TD''s]]+Table1[[#This Row],[Interceptions]]+Table1[[#This Row],[Fumbles Recovered]])))))))))))</f>
        <v/>
      </c>
      <c r="R831" s="3" t="str">
        <f t="shared" si="26"/>
        <v/>
      </c>
      <c r="S831" s="4">
        <f t="shared" si="25"/>
        <v>1048507</v>
      </c>
      <c r="T8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2" spans="1:20" hidden="1" x14ac:dyDescent="0.25">
      <c r="A832" t="s">
        <v>26</v>
      </c>
      <c r="B832" s="28" t="s">
        <v>55</v>
      </c>
      <c r="C832" t="s">
        <v>6</v>
      </c>
      <c r="D832" t="str">
        <f>_xlfn.XLOOKUP(Table1[[#This Row],[Player]]&amp;Table1[[#This Row],[Week]]&amp;Table1[[#This Row],[Role]],'Google Form Transform'!$A:$A,'Google Form Transform'!E:E,"")</f>
        <v/>
      </c>
      <c r="E832" t="str">
        <f>_xlfn.XLOOKUP(Table1[[#This Row],[Player]]&amp;Table1[[#This Row],[Week]]&amp;Table1[[#This Row],[Role]],'Google Form Transform'!$A:$A,'Google Form Transform'!F:F,"")</f>
        <v/>
      </c>
      <c r="F832" t="str">
        <f>_xlfn.XLOOKUP(Table1[[#This Row],[Player]]&amp;Table1[[#This Row],[Week]]&amp;Table1[[#This Row],[Role]],'Google Form Transform'!$A:$A,'Google Form Transform'!G:G,"")</f>
        <v/>
      </c>
      <c r="G832" s="59">
        <f>SUMIFS(Table2[Stat],Table2[Stat Category],"passing",Table2[Stat Type],"YDS",Table2[Athlete],Table1[[#This Row],[Pick]],Table2[Week],Table1[[#This Row],[Week]])</f>
        <v>0</v>
      </c>
      <c r="H832" s="59">
        <f>SUMIFS(Table2[Stat],Table2[Stat Category],"rushing",Table2[Stat Type],"YDS",Table2[Athlete],Table1[[#This Row],[Pick]],Table2[Week],Table1[[#This Row],[Week]])</f>
        <v>0</v>
      </c>
      <c r="I832" s="59">
        <f>SUMIFS(Table2[Stat],Table2[Stat Category],"receiving",Table2[Stat Type],"YDS",Table2[Athlete],Table1[[#This Row],[Pick]],Table2[Week],Table1[[#This Row],[Week]])</f>
        <v>0</v>
      </c>
      <c r="J832" s="6">
        <f>IF(AND($C832="Rushing", $H832&lt;=0), 0, IF(AND($C832="Passing", $G$3&lt;=0), 0,IF(AND($C832="Receiving",$I832&lt;=0), 0,SUMIFS(Table2[Stat],Table2[Week],Table1[[#This Row],[Week]],Table2[Athlete],Table1[[#This Row],[Pick]],Table2[Stat Category],"passing",Table2[Stat Type],"TD"))))</f>
        <v>0</v>
      </c>
      <c r="K832" s="6">
        <f>IF(AND($C832="Rushing", $H832&lt;=0), 0, IF(AND($C832="Passing", $G$3&lt;=0), 0,IF(AND($C832="Receiving",$I832&lt;=0),0,SUMIFS(Table2[Stat],Table2[Week],Table1[[#This Row],[Week]],Table2[Athlete],Table1[[#This Row],[Pick]],Table2[Stat Category],"rushing",Table2[Stat Type],"TD"))))</f>
        <v>0</v>
      </c>
      <c r="L832" s="6">
        <f>IF(AND($C832="Rushing", $H832&lt;=0), 0, IF(AND($C832="Passing", $G$3&lt;=0), 0,IF(AND($C832="Receiving",$I832&lt;=0),0,SUMIFS(Table2[Stat],Table2[Week],Table1[[#This Row],[Week]],Table2[Athlete],Table1[[#This Row],[Pick]],Table2[Stat Category],"receiving",Table2[Stat Type],"TD"))))</f>
        <v>0</v>
      </c>
      <c r="M8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2" s="61">
        <f>SUMIFS(Data!$J:$J,Data!$A:$A,Info!$B832,Data!$G:$G,Info!$C832,Data!$I:$I,Info!$D832,Data!$H:$H,"TOT")</f>
        <v>0</v>
      </c>
      <c r="O832" s="61">
        <f>IF(C832="Defensive",SUMIFS(Data!$J:$J,Data!$A:$A,Info!$B832,Data!$I:$I,Info!$D832,Data!$H:$H,"INT"),0)</f>
        <v>0</v>
      </c>
      <c r="P832" s="61">
        <f>IF(Table1[[#This Row],[Role]]="Defensive",SUMIFS(Data!$J:$J,Data!$A:$A,Info!$B832,Data!$I:$I,Info!$D832,Data!$H:$H,$P$1),0)</f>
        <v>0</v>
      </c>
      <c r="Q832" s="65" t="str">
        <f>IF(Table1[[#This Row],[Pick]]="","",IF(S832&gt;1,400,IF(G832="","",IF(C832="Passing",(400-Table1[[#This Row],[Passing Yards]]-(30*Table1[[#This Row],[Passing TDs]])-(50*SUM(Table1[[#This Row],[Rushing TDs]:[Other TD''s]]))),IF(C832="Rushing",2*(200-Table1[[#This Row],[Rushing Yards]]-(30*Table1[[#This Row],[Passing TDs]])-50*(Table1[[#This Row],[Rushing TDs]]+Table1[[#This Row],[Receiving TDs]]+Table1[[#This Row],[Other TD''s]])),IF(C832="Receiving",2*(200-Table1[[#This Row],[Receiving Yards]]-(30*Table1[[#This Row],[Passing TDs]])-50*(Table1[[#This Row],[Rushing TDs]]+Table1[[#This Row],[Receiving TDs]]+Table1[[#This Row],[Other TD''s]])),IF(C832="Defensive",(25*(16-Table1[[#This Row],[Tackles]]-(8*(Table1[[#This Row],[Other TD''s]]+Table1[[#This Row],[Interceptions]]+Table1[[#This Row],[Fumbles Recovered]])))))))))))</f>
        <v/>
      </c>
      <c r="R832" s="3" t="str">
        <f t="shared" si="26"/>
        <v/>
      </c>
      <c r="S832" s="4">
        <f t="shared" si="25"/>
        <v>1048507</v>
      </c>
      <c r="T8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3" spans="1:20" hidden="1" x14ac:dyDescent="0.25">
      <c r="A833" t="s">
        <v>26</v>
      </c>
      <c r="B833" s="28" t="s">
        <v>55</v>
      </c>
      <c r="C833" t="s">
        <v>17</v>
      </c>
      <c r="D833" t="str">
        <f>_xlfn.XLOOKUP(Table1[[#This Row],[Player]]&amp;Table1[[#This Row],[Week]]&amp;Table1[[#This Row],[Role]],'Google Form Transform'!$A:$A,'Google Form Transform'!E:E,"")</f>
        <v/>
      </c>
      <c r="E833" t="str">
        <f>_xlfn.XLOOKUP(Table1[[#This Row],[Player]]&amp;Table1[[#This Row],[Week]]&amp;Table1[[#This Row],[Role]],'Google Form Transform'!$A:$A,'Google Form Transform'!F:F,"")</f>
        <v/>
      </c>
      <c r="F833" t="str">
        <f>_xlfn.XLOOKUP(Table1[[#This Row],[Player]]&amp;Table1[[#This Row],[Week]]&amp;Table1[[#This Row],[Role]],'Google Form Transform'!$A:$A,'Google Form Transform'!G:G,"")</f>
        <v/>
      </c>
      <c r="G833" s="59">
        <f>SUMIFS(Table2[Stat],Table2[Stat Category],"passing",Table2[Stat Type],"YDS",Table2[Athlete],Table1[[#This Row],[Pick]],Table2[Week],Table1[[#This Row],[Week]])</f>
        <v>0</v>
      </c>
      <c r="H833" s="59">
        <f>SUMIFS(Table2[Stat],Table2[Stat Category],"rushing",Table2[Stat Type],"YDS",Table2[Athlete],Table1[[#This Row],[Pick]],Table2[Week],Table1[[#This Row],[Week]])</f>
        <v>0</v>
      </c>
      <c r="I833" s="59">
        <f>SUMIFS(Table2[Stat],Table2[Stat Category],"receiving",Table2[Stat Type],"YDS",Table2[Athlete],Table1[[#This Row],[Pick]],Table2[Week],Table1[[#This Row],[Week]])</f>
        <v>0</v>
      </c>
      <c r="J833" s="6">
        <f>IF(AND($C833="Rushing", $H833&lt;=0), 0, IF(AND($C833="Passing", $G$3&lt;=0), 0,IF(AND($C833="Receiving",$I833&lt;=0), 0,SUMIFS(Table2[Stat],Table2[Week],Table1[[#This Row],[Week]],Table2[Athlete],Table1[[#This Row],[Pick]],Table2[Stat Category],"passing",Table2[Stat Type],"TD"))))</f>
        <v>0</v>
      </c>
      <c r="K833" s="6">
        <f>IF(AND($C833="Rushing", $H833&lt;=0), 0, IF(AND($C833="Passing", $G$3&lt;=0), 0,IF(AND($C833="Receiving",$I833&lt;=0),0,SUMIFS(Table2[Stat],Table2[Week],Table1[[#This Row],[Week]],Table2[Athlete],Table1[[#This Row],[Pick]],Table2[Stat Category],"rushing",Table2[Stat Type],"TD"))))</f>
        <v>0</v>
      </c>
      <c r="L833" s="6">
        <f>IF(AND($C833="Rushing", $H833&lt;=0), 0, IF(AND($C833="Passing", $G$3&lt;=0), 0,IF(AND($C833="Receiving",$I833&lt;=0),0,SUMIFS(Table2[Stat],Table2[Week],Table1[[#This Row],[Week]],Table2[Athlete],Table1[[#This Row],[Pick]],Table2[Stat Category],"receiving",Table2[Stat Type],"TD"))))</f>
        <v>0</v>
      </c>
      <c r="M8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3" s="61">
        <f>SUMIFS(Data!$J:$J,Data!$A:$A,Info!$B833,Data!$G:$G,Info!$C833,Data!$I:$I,Info!$D833,Data!$H:$H,"TOT")</f>
        <v>0</v>
      </c>
      <c r="O833" s="61">
        <f>IF(C833="Defensive",SUMIFS(Data!$J:$J,Data!$A:$A,Info!$B833,Data!$I:$I,Info!$D833,Data!$H:$H,"INT"),0)</f>
        <v>0</v>
      </c>
      <c r="P833" s="61">
        <f>IF(Table1[[#This Row],[Role]]="Defensive",SUMIFS(Data!$J:$J,Data!$A:$A,Info!$B833,Data!$I:$I,Info!$D833,Data!$H:$H,$P$1),0)</f>
        <v>0</v>
      </c>
      <c r="Q833" s="65" t="str">
        <f>IF(Table1[[#This Row],[Pick]]="","",IF(S833&gt;1,400,IF(G833="","",IF(C833="Passing",(400-Table1[[#This Row],[Passing Yards]]-(30*Table1[[#This Row],[Passing TDs]])-(50*SUM(Table1[[#This Row],[Rushing TDs]:[Other TD''s]]))),IF(C833="Rushing",2*(200-Table1[[#This Row],[Rushing Yards]]-(30*Table1[[#This Row],[Passing TDs]])-50*(Table1[[#This Row],[Rushing TDs]]+Table1[[#This Row],[Receiving TDs]]+Table1[[#This Row],[Other TD''s]])),IF(C833="Receiving",2*(200-Table1[[#This Row],[Receiving Yards]]-(30*Table1[[#This Row],[Passing TDs]])-50*(Table1[[#This Row],[Rushing TDs]]+Table1[[#This Row],[Receiving TDs]]+Table1[[#This Row],[Other TD''s]])),IF(C833="Defensive",(25*(16-Table1[[#This Row],[Tackles]]-(8*(Table1[[#This Row],[Other TD''s]]+Table1[[#This Row],[Interceptions]]+Table1[[#This Row],[Fumbles Recovered]])))))))))))</f>
        <v/>
      </c>
      <c r="R833" s="3" t="str">
        <f t="shared" si="26"/>
        <v/>
      </c>
      <c r="S833" s="4">
        <f t="shared" si="25"/>
        <v>1048507</v>
      </c>
      <c r="T8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4" spans="1:20" hidden="1" x14ac:dyDescent="0.25">
      <c r="A834" t="s">
        <v>26</v>
      </c>
      <c r="B834" s="28" t="s">
        <v>55</v>
      </c>
      <c r="C834" t="s">
        <v>20</v>
      </c>
      <c r="D834" t="str">
        <f>_xlfn.XLOOKUP(Table1[[#This Row],[Player]]&amp;Table1[[#This Row],[Week]]&amp;Table1[[#This Row],[Role]],'Google Form Transform'!$A:$A,'Google Form Transform'!E:E,"")</f>
        <v/>
      </c>
      <c r="E834" t="str">
        <f>_xlfn.XLOOKUP(Table1[[#This Row],[Player]]&amp;Table1[[#This Row],[Week]]&amp;Table1[[#This Row],[Role]],'Google Form Transform'!$A:$A,'Google Form Transform'!F:F,"")</f>
        <v/>
      </c>
      <c r="F834" t="str">
        <f>_xlfn.XLOOKUP(Table1[[#This Row],[Player]]&amp;Table1[[#This Row],[Week]]&amp;Table1[[#This Row],[Role]],'Google Form Transform'!$A:$A,'Google Form Transform'!G:G,"")</f>
        <v/>
      </c>
      <c r="G834" s="59">
        <f>SUMIFS(Table2[Stat],Table2[Stat Category],"passing",Table2[Stat Type],"YDS",Table2[Athlete],Table1[[#This Row],[Pick]],Table2[Week],Table1[[#This Row],[Week]])</f>
        <v>0</v>
      </c>
      <c r="H834" s="59">
        <f>SUMIFS(Table2[Stat],Table2[Stat Category],"rushing",Table2[Stat Type],"YDS",Table2[Athlete],Table1[[#This Row],[Pick]],Table2[Week],Table1[[#This Row],[Week]])</f>
        <v>0</v>
      </c>
      <c r="I834" s="59">
        <f>SUMIFS(Table2[Stat],Table2[Stat Category],"receiving",Table2[Stat Type],"YDS",Table2[Athlete],Table1[[#This Row],[Pick]],Table2[Week],Table1[[#This Row],[Week]])</f>
        <v>0</v>
      </c>
      <c r="J834" s="6">
        <f>IF(AND($C834="Rushing", $H834&lt;=0), 0, IF(AND($C834="Passing", $G$3&lt;=0), 0,IF(AND($C834="Receiving",$I834&lt;=0), 0,SUMIFS(Table2[Stat],Table2[Week],Table1[[#This Row],[Week]],Table2[Athlete],Table1[[#This Row],[Pick]],Table2[Stat Category],"passing",Table2[Stat Type],"TD"))))</f>
        <v>0</v>
      </c>
      <c r="K834" s="6">
        <f>IF(AND($C834="Rushing", $H834&lt;=0), 0, IF(AND($C834="Passing", $G$3&lt;=0), 0,IF(AND($C834="Receiving",$I834&lt;=0),0,SUMIFS(Table2[Stat],Table2[Week],Table1[[#This Row],[Week]],Table2[Athlete],Table1[[#This Row],[Pick]],Table2[Stat Category],"rushing",Table2[Stat Type],"TD"))))</f>
        <v>0</v>
      </c>
      <c r="L834" s="6">
        <f>IF(AND($C834="Rushing", $H834&lt;=0), 0, IF(AND($C834="Passing", $G$3&lt;=0), 0,IF(AND($C834="Receiving",$I834&lt;=0),0,SUMIFS(Table2[Stat],Table2[Week],Table1[[#This Row],[Week]],Table2[Athlete],Table1[[#This Row],[Pick]],Table2[Stat Category],"receiving",Table2[Stat Type],"TD"))))</f>
        <v>0</v>
      </c>
      <c r="M8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4" s="61">
        <f>SUMIFS(Data!$J:$J,Data!$A:$A,Info!$B834,Data!$G:$G,Info!$C834,Data!$I:$I,Info!$D834,Data!$H:$H,"TOT")</f>
        <v>0</v>
      </c>
      <c r="O834" s="61">
        <f>IF(C834="Defensive",SUMIFS(Data!$J:$J,Data!$A:$A,Info!$B834,Data!$I:$I,Info!$D834,Data!$H:$H,"INT"),0)</f>
        <v>0</v>
      </c>
      <c r="P834" s="61">
        <f>IF(Table1[[#This Row],[Role]]="Defensive",SUMIFS(Data!$J:$J,Data!$A:$A,Info!$B834,Data!$I:$I,Info!$D834,Data!$H:$H,$P$1),0)</f>
        <v>0</v>
      </c>
      <c r="Q834" s="65" t="str">
        <f>IF(Table1[[#This Row],[Pick]]="","",IF(S834&gt;1,400,IF(G834="","",IF(C834="Passing",(400-Table1[[#This Row],[Passing Yards]]-(30*Table1[[#This Row],[Passing TDs]])-(50*SUM(Table1[[#This Row],[Rushing TDs]:[Other TD''s]]))),IF(C834="Rushing",2*(200-Table1[[#This Row],[Rushing Yards]]-(30*Table1[[#This Row],[Passing TDs]])-50*(Table1[[#This Row],[Rushing TDs]]+Table1[[#This Row],[Receiving TDs]]+Table1[[#This Row],[Other TD''s]])),IF(C834="Receiving",2*(200-Table1[[#This Row],[Receiving Yards]]-(30*Table1[[#This Row],[Passing TDs]])-50*(Table1[[#This Row],[Rushing TDs]]+Table1[[#This Row],[Receiving TDs]]+Table1[[#This Row],[Other TD''s]])),IF(C834="Defensive",(25*(16-Table1[[#This Row],[Tackles]]-(8*(Table1[[#This Row],[Other TD''s]]+Table1[[#This Row],[Interceptions]]+Table1[[#This Row],[Fumbles Recovered]])))))))))))</f>
        <v/>
      </c>
      <c r="R834" s="3" t="str">
        <f t="shared" si="26"/>
        <v/>
      </c>
      <c r="S834" s="4">
        <f t="shared" si="25"/>
        <v>1048507</v>
      </c>
      <c r="T8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5" spans="1:20" hidden="1" x14ac:dyDescent="0.25">
      <c r="A835" t="s">
        <v>43</v>
      </c>
      <c r="B835" s="28" t="s">
        <v>55</v>
      </c>
      <c r="C835" t="s">
        <v>16</v>
      </c>
      <c r="D835" t="str">
        <f>_xlfn.XLOOKUP(Table1[[#This Row],[Player]]&amp;Table1[[#This Row],[Week]]&amp;Table1[[#This Row],[Role]],'Google Form Transform'!$A:$A,'Google Form Transform'!E:E,"")</f>
        <v/>
      </c>
      <c r="E835" t="str">
        <f>_xlfn.XLOOKUP(Table1[[#This Row],[Player]]&amp;Table1[[#This Row],[Week]]&amp;Table1[[#This Row],[Role]],'Google Form Transform'!$A:$A,'Google Form Transform'!F:F,"")</f>
        <v/>
      </c>
      <c r="F835" t="str">
        <f>_xlfn.XLOOKUP(Table1[[#This Row],[Player]]&amp;Table1[[#This Row],[Week]]&amp;Table1[[#This Row],[Role]],'Google Form Transform'!$A:$A,'Google Form Transform'!G:G,"")</f>
        <v/>
      </c>
      <c r="G835" s="59">
        <f>SUMIFS(Table2[Stat],Table2[Stat Category],"passing",Table2[Stat Type],"YDS",Table2[Athlete],Table1[[#This Row],[Pick]],Table2[Week],Table1[[#This Row],[Week]])</f>
        <v>0</v>
      </c>
      <c r="H835" s="59">
        <f>SUMIFS(Table2[Stat],Table2[Stat Category],"rushing",Table2[Stat Type],"YDS",Table2[Athlete],Table1[[#This Row],[Pick]],Table2[Week],Table1[[#This Row],[Week]])</f>
        <v>0</v>
      </c>
      <c r="I835" s="59">
        <f>SUMIFS(Table2[Stat],Table2[Stat Category],"receiving",Table2[Stat Type],"YDS",Table2[Athlete],Table1[[#This Row],[Pick]],Table2[Week],Table1[[#This Row],[Week]])</f>
        <v>0</v>
      </c>
      <c r="J835" s="6">
        <f>IF(AND($C835="Rushing", $H835&lt;=0), 0, IF(AND($C835="Passing", $G$3&lt;=0), 0,IF(AND($C835="Receiving",$I835&lt;=0), 0,SUMIFS(Table2[Stat],Table2[Week],Table1[[#This Row],[Week]],Table2[Athlete],Table1[[#This Row],[Pick]],Table2[Stat Category],"passing",Table2[Stat Type],"TD"))))</f>
        <v>0</v>
      </c>
      <c r="K835" s="6">
        <f>IF(AND($C835="Rushing", $H835&lt;=0), 0, IF(AND($C835="Passing", $G$3&lt;=0), 0,IF(AND($C835="Receiving",$I835&lt;=0),0,SUMIFS(Table2[Stat],Table2[Week],Table1[[#This Row],[Week]],Table2[Athlete],Table1[[#This Row],[Pick]],Table2[Stat Category],"rushing",Table2[Stat Type],"TD"))))</f>
        <v>0</v>
      </c>
      <c r="L835" s="6">
        <f>IF(AND($C835="Rushing", $H835&lt;=0), 0, IF(AND($C835="Passing", $G$3&lt;=0), 0,IF(AND($C835="Receiving",$I835&lt;=0),0,SUMIFS(Table2[Stat],Table2[Week],Table1[[#This Row],[Week]],Table2[Athlete],Table1[[#This Row],[Pick]],Table2[Stat Category],"receiving",Table2[Stat Type],"TD"))))</f>
        <v>0</v>
      </c>
      <c r="M8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5" s="61">
        <f>SUMIFS(Data!$J:$J,Data!$A:$A,Info!$B835,Data!$G:$G,Info!$C835,Data!$I:$I,Info!$D835,Data!$H:$H,"TOT")</f>
        <v>0</v>
      </c>
      <c r="O835" s="61">
        <f>IF(C835="Defensive",SUMIFS(Data!$J:$J,Data!$A:$A,Info!$B835,Data!$I:$I,Info!$D835,Data!$H:$H,"INT"),0)</f>
        <v>0</v>
      </c>
      <c r="P835" s="61">
        <f>IF(Table1[[#This Row],[Role]]="Defensive",SUMIFS(Data!$J:$J,Data!$A:$A,Info!$B835,Data!$I:$I,Info!$D835,Data!$H:$H,$P$1),0)</f>
        <v>0</v>
      </c>
      <c r="Q835" s="65" t="str">
        <f>IF(Table1[[#This Row],[Pick]]="","",IF(S835&gt;1,400,IF(G835="","",IF(C835="Passing",(400-Table1[[#This Row],[Passing Yards]]-(30*Table1[[#This Row],[Passing TDs]])-(50*SUM(Table1[[#This Row],[Rushing TDs]:[Other TD''s]]))),IF(C835="Rushing",2*(200-Table1[[#This Row],[Rushing Yards]]-(30*Table1[[#This Row],[Passing TDs]])-50*(Table1[[#This Row],[Rushing TDs]]+Table1[[#This Row],[Receiving TDs]]+Table1[[#This Row],[Other TD''s]])),IF(C835="Receiving",2*(200-Table1[[#This Row],[Receiving Yards]]-(30*Table1[[#This Row],[Passing TDs]])-50*(Table1[[#This Row],[Rushing TDs]]+Table1[[#This Row],[Receiving TDs]]+Table1[[#This Row],[Other TD''s]])),IF(C835="Defensive",(25*(16-Table1[[#This Row],[Tackles]]-(8*(Table1[[#This Row],[Other TD''s]]+Table1[[#This Row],[Interceptions]]+Table1[[#This Row],[Fumbles Recovered]])))))))))))</f>
        <v/>
      </c>
      <c r="R835" s="3" t="str">
        <f t="shared" si="26"/>
        <v/>
      </c>
      <c r="S835" s="4">
        <f t="shared" ref="S835:S898" si="27">COUNTIF(R:R,R835)</f>
        <v>1048507</v>
      </c>
      <c r="T8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6" spans="1:20" hidden="1" x14ac:dyDescent="0.25">
      <c r="A836" t="s">
        <v>43</v>
      </c>
      <c r="B836" s="28" t="s">
        <v>55</v>
      </c>
      <c r="C836" t="s">
        <v>6</v>
      </c>
      <c r="D836" t="str">
        <f>_xlfn.XLOOKUP(Table1[[#This Row],[Player]]&amp;Table1[[#This Row],[Week]]&amp;Table1[[#This Row],[Role]],'Google Form Transform'!$A:$A,'Google Form Transform'!E:E,"")</f>
        <v/>
      </c>
      <c r="E836" t="str">
        <f>_xlfn.XLOOKUP(Table1[[#This Row],[Player]]&amp;Table1[[#This Row],[Week]]&amp;Table1[[#This Row],[Role]],'Google Form Transform'!$A:$A,'Google Form Transform'!F:F,"")</f>
        <v/>
      </c>
      <c r="F836" t="str">
        <f>_xlfn.XLOOKUP(Table1[[#This Row],[Player]]&amp;Table1[[#This Row],[Week]]&amp;Table1[[#This Row],[Role]],'Google Form Transform'!$A:$A,'Google Form Transform'!G:G,"")</f>
        <v/>
      </c>
      <c r="G836" s="59">
        <f>SUMIFS(Table2[Stat],Table2[Stat Category],"passing",Table2[Stat Type],"YDS",Table2[Athlete],Table1[[#This Row],[Pick]],Table2[Week],Table1[[#This Row],[Week]])</f>
        <v>0</v>
      </c>
      <c r="H836" s="59">
        <f>SUMIFS(Table2[Stat],Table2[Stat Category],"rushing",Table2[Stat Type],"YDS",Table2[Athlete],Table1[[#This Row],[Pick]],Table2[Week],Table1[[#This Row],[Week]])</f>
        <v>0</v>
      </c>
      <c r="I836" s="59">
        <f>SUMIFS(Table2[Stat],Table2[Stat Category],"receiving",Table2[Stat Type],"YDS",Table2[Athlete],Table1[[#This Row],[Pick]],Table2[Week],Table1[[#This Row],[Week]])</f>
        <v>0</v>
      </c>
      <c r="J836" s="6">
        <f>IF(AND($C836="Rushing", $H836&lt;=0), 0, IF(AND($C836="Passing", $G$3&lt;=0), 0,IF(AND($C836="Receiving",$I836&lt;=0), 0,SUMIFS(Table2[Stat],Table2[Week],Table1[[#This Row],[Week]],Table2[Athlete],Table1[[#This Row],[Pick]],Table2[Stat Category],"passing",Table2[Stat Type],"TD"))))</f>
        <v>0</v>
      </c>
      <c r="K836" s="6">
        <f>IF(AND($C836="Rushing", $H836&lt;=0), 0, IF(AND($C836="Passing", $G$3&lt;=0), 0,IF(AND($C836="Receiving",$I836&lt;=0),0,SUMIFS(Table2[Stat],Table2[Week],Table1[[#This Row],[Week]],Table2[Athlete],Table1[[#This Row],[Pick]],Table2[Stat Category],"rushing",Table2[Stat Type],"TD"))))</f>
        <v>0</v>
      </c>
      <c r="L836" s="6">
        <f>IF(AND($C836="Rushing", $H836&lt;=0), 0, IF(AND($C836="Passing", $G$3&lt;=0), 0,IF(AND($C836="Receiving",$I836&lt;=0),0,SUMIFS(Table2[Stat],Table2[Week],Table1[[#This Row],[Week]],Table2[Athlete],Table1[[#This Row],[Pick]],Table2[Stat Category],"receiving",Table2[Stat Type],"TD"))))</f>
        <v>0</v>
      </c>
      <c r="M8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6" s="61">
        <f>SUMIFS(Data!$J:$J,Data!$A:$A,Info!$B836,Data!$G:$G,Info!$C836,Data!$I:$I,Info!$D836,Data!$H:$H,"TOT")</f>
        <v>0</v>
      </c>
      <c r="O836" s="61">
        <f>IF(C836="Defensive",SUMIFS(Data!$J:$J,Data!$A:$A,Info!$B836,Data!$I:$I,Info!$D836,Data!$H:$H,"INT"),0)</f>
        <v>0</v>
      </c>
      <c r="P836" s="61">
        <f>IF(Table1[[#This Row],[Role]]="Defensive",SUMIFS(Data!$J:$J,Data!$A:$A,Info!$B836,Data!$I:$I,Info!$D836,Data!$H:$H,$P$1),0)</f>
        <v>0</v>
      </c>
      <c r="Q836" s="65" t="str">
        <f>IF(Table1[[#This Row],[Pick]]="","",IF(S836&gt;1,400,IF(G836="","",IF(C836="Passing",(400-Table1[[#This Row],[Passing Yards]]-(30*Table1[[#This Row],[Passing TDs]])-(50*SUM(Table1[[#This Row],[Rushing TDs]:[Other TD''s]]))),IF(C836="Rushing",2*(200-Table1[[#This Row],[Rushing Yards]]-(30*Table1[[#This Row],[Passing TDs]])-50*(Table1[[#This Row],[Rushing TDs]]+Table1[[#This Row],[Receiving TDs]]+Table1[[#This Row],[Other TD''s]])),IF(C836="Receiving",2*(200-Table1[[#This Row],[Receiving Yards]]-(30*Table1[[#This Row],[Passing TDs]])-50*(Table1[[#This Row],[Rushing TDs]]+Table1[[#This Row],[Receiving TDs]]+Table1[[#This Row],[Other TD''s]])),IF(C836="Defensive",(25*(16-Table1[[#This Row],[Tackles]]-(8*(Table1[[#This Row],[Other TD''s]]+Table1[[#This Row],[Interceptions]]+Table1[[#This Row],[Fumbles Recovered]])))))))))))</f>
        <v/>
      </c>
      <c r="R836" s="3" t="str">
        <f t="shared" ref="R836:R899" si="28">IF(D836="","",A836&amp;C836&amp;D836)</f>
        <v/>
      </c>
      <c r="S836" s="4">
        <f t="shared" si="27"/>
        <v>1048507</v>
      </c>
      <c r="T8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7" spans="1:20" hidden="1" x14ac:dyDescent="0.25">
      <c r="A837" t="s">
        <v>43</v>
      </c>
      <c r="B837" s="28" t="s">
        <v>55</v>
      </c>
      <c r="C837" t="s">
        <v>17</v>
      </c>
      <c r="D837" t="str">
        <f>_xlfn.XLOOKUP(Table1[[#This Row],[Player]]&amp;Table1[[#This Row],[Week]]&amp;Table1[[#This Row],[Role]],'Google Form Transform'!$A:$A,'Google Form Transform'!E:E,"")</f>
        <v/>
      </c>
      <c r="E837" t="str">
        <f>_xlfn.XLOOKUP(Table1[[#This Row],[Player]]&amp;Table1[[#This Row],[Week]]&amp;Table1[[#This Row],[Role]],'Google Form Transform'!$A:$A,'Google Form Transform'!F:F,"")</f>
        <v/>
      </c>
      <c r="F837" t="str">
        <f>_xlfn.XLOOKUP(Table1[[#This Row],[Player]]&amp;Table1[[#This Row],[Week]]&amp;Table1[[#This Row],[Role]],'Google Form Transform'!$A:$A,'Google Form Transform'!G:G,"")</f>
        <v/>
      </c>
      <c r="G837" s="59">
        <f>SUMIFS(Table2[Stat],Table2[Stat Category],"passing",Table2[Stat Type],"YDS",Table2[Athlete],Table1[[#This Row],[Pick]],Table2[Week],Table1[[#This Row],[Week]])</f>
        <v>0</v>
      </c>
      <c r="H837" s="59">
        <f>SUMIFS(Table2[Stat],Table2[Stat Category],"rushing",Table2[Stat Type],"YDS",Table2[Athlete],Table1[[#This Row],[Pick]],Table2[Week],Table1[[#This Row],[Week]])</f>
        <v>0</v>
      </c>
      <c r="I837" s="59">
        <f>SUMIFS(Table2[Stat],Table2[Stat Category],"receiving",Table2[Stat Type],"YDS",Table2[Athlete],Table1[[#This Row],[Pick]],Table2[Week],Table1[[#This Row],[Week]])</f>
        <v>0</v>
      </c>
      <c r="J837" s="6">
        <f>IF(AND($C837="Rushing", $H837&lt;=0), 0, IF(AND($C837="Passing", $G$3&lt;=0), 0,IF(AND($C837="Receiving",$I837&lt;=0), 0,SUMIFS(Table2[Stat],Table2[Week],Table1[[#This Row],[Week]],Table2[Athlete],Table1[[#This Row],[Pick]],Table2[Stat Category],"passing",Table2[Stat Type],"TD"))))</f>
        <v>0</v>
      </c>
      <c r="K837" s="6">
        <f>IF(AND($C837="Rushing", $H837&lt;=0), 0, IF(AND($C837="Passing", $G$3&lt;=0), 0,IF(AND($C837="Receiving",$I837&lt;=0),0,SUMIFS(Table2[Stat],Table2[Week],Table1[[#This Row],[Week]],Table2[Athlete],Table1[[#This Row],[Pick]],Table2[Stat Category],"rushing",Table2[Stat Type],"TD"))))</f>
        <v>0</v>
      </c>
      <c r="L837" s="6">
        <f>IF(AND($C837="Rushing", $H837&lt;=0), 0, IF(AND($C837="Passing", $G$3&lt;=0), 0,IF(AND($C837="Receiving",$I837&lt;=0),0,SUMIFS(Table2[Stat],Table2[Week],Table1[[#This Row],[Week]],Table2[Athlete],Table1[[#This Row],[Pick]],Table2[Stat Category],"receiving",Table2[Stat Type],"TD"))))</f>
        <v>0</v>
      </c>
      <c r="M8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7" s="61">
        <f>SUMIFS(Data!$J:$J,Data!$A:$A,Info!$B837,Data!$G:$G,Info!$C837,Data!$I:$I,Info!$D837,Data!$H:$H,"TOT")</f>
        <v>0</v>
      </c>
      <c r="O837" s="61">
        <f>IF(C837="Defensive",SUMIFS(Data!$J:$J,Data!$A:$A,Info!$B837,Data!$I:$I,Info!$D837,Data!$H:$H,"INT"),0)</f>
        <v>0</v>
      </c>
      <c r="P837" s="61">
        <f>IF(Table1[[#This Row],[Role]]="Defensive",SUMIFS(Data!$J:$J,Data!$A:$A,Info!$B837,Data!$I:$I,Info!$D837,Data!$H:$H,$P$1),0)</f>
        <v>0</v>
      </c>
      <c r="Q837" s="65" t="str">
        <f>IF(Table1[[#This Row],[Pick]]="","",IF(S837&gt;1,400,IF(G837="","",IF(C837="Passing",(400-Table1[[#This Row],[Passing Yards]]-(30*Table1[[#This Row],[Passing TDs]])-(50*SUM(Table1[[#This Row],[Rushing TDs]:[Other TD''s]]))),IF(C837="Rushing",2*(200-Table1[[#This Row],[Rushing Yards]]-(30*Table1[[#This Row],[Passing TDs]])-50*(Table1[[#This Row],[Rushing TDs]]+Table1[[#This Row],[Receiving TDs]]+Table1[[#This Row],[Other TD''s]])),IF(C837="Receiving",2*(200-Table1[[#This Row],[Receiving Yards]]-(30*Table1[[#This Row],[Passing TDs]])-50*(Table1[[#This Row],[Rushing TDs]]+Table1[[#This Row],[Receiving TDs]]+Table1[[#This Row],[Other TD''s]])),IF(C837="Defensive",(25*(16-Table1[[#This Row],[Tackles]]-(8*(Table1[[#This Row],[Other TD''s]]+Table1[[#This Row],[Interceptions]]+Table1[[#This Row],[Fumbles Recovered]])))))))))))</f>
        <v/>
      </c>
      <c r="R837" s="3" t="str">
        <f t="shared" si="28"/>
        <v/>
      </c>
      <c r="S837" s="4">
        <f t="shared" si="27"/>
        <v>1048507</v>
      </c>
      <c r="T8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8" spans="1:20" hidden="1" x14ac:dyDescent="0.25">
      <c r="A838" t="s">
        <v>43</v>
      </c>
      <c r="B838" s="28" t="s">
        <v>55</v>
      </c>
      <c r="C838" t="s">
        <v>20</v>
      </c>
      <c r="D838" t="str">
        <f>_xlfn.XLOOKUP(Table1[[#This Row],[Player]]&amp;Table1[[#This Row],[Week]]&amp;Table1[[#This Row],[Role]],'Google Form Transform'!$A:$A,'Google Form Transform'!E:E,"")</f>
        <v/>
      </c>
      <c r="E838" t="str">
        <f>_xlfn.XLOOKUP(Table1[[#This Row],[Player]]&amp;Table1[[#This Row],[Week]]&amp;Table1[[#This Row],[Role]],'Google Form Transform'!$A:$A,'Google Form Transform'!F:F,"")</f>
        <v/>
      </c>
      <c r="F838" t="str">
        <f>_xlfn.XLOOKUP(Table1[[#This Row],[Player]]&amp;Table1[[#This Row],[Week]]&amp;Table1[[#This Row],[Role]],'Google Form Transform'!$A:$A,'Google Form Transform'!G:G,"")</f>
        <v/>
      </c>
      <c r="G838" s="59">
        <f>SUMIFS(Table2[Stat],Table2[Stat Category],"passing",Table2[Stat Type],"YDS",Table2[Athlete],Table1[[#This Row],[Pick]],Table2[Week],Table1[[#This Row],[Week]])</f>
        <v>0</v>
      </c>
      <c r="H838" s="59">
        <f>SUMIFS(Table2[Stat],Table2[Stat Category],"rushing",Table2[Stat Type],"YDS",Table2[Athlete],Table1[[#This Row],[Pick]],Table2[Week],Table1[[#This Row],[Week]])</f>
        <v>0</v>
      </c>
      <c r="I838" s="59">
        <f>SUMIFS(Table2[Stat],Table2[Stat Category],"receiving",Table2[Stat Type],"YDS",Table2[Athlete],Table1[[#This Row],[Pick]],Table2[Week],Table1[[#This Row],[Week]])</f>
        <v>0</v>
      </c>
      <c r="J838" s="6">
        <f>IF(AND($C838="Rushing", $H838&lt;=0), 0, IF(AND($C838="Passing", $G$3&lt;=0), 0,IF(AND($C838="Receiving",$I838&lt;=0), 0,SUMIFS(Table2[Stat],Table2[Week],Table1[[#This Row],[Week]],Table2[Athlete],Table1[[#This Row],[Pick]],Table2[Stat Category],"passing",Table2[Stat Type],"TD"))))</f>
        <v>0</v>
      </c>
      <c r="K838" s="6">
        <f>IF(AND($C838="Rushing", $H838&lt;=0), 0, IF(AND($C838="Passing", $G$3&lt;=0), 0,IF(AND($C838="Receiving",$I838&lt;=0),0,SUMIFS(Table2[Stat],Table2[Week],Table1[[#This Row],[Week]],Table2[Athlete],Table1[[#This Row],[Pick]],Table2[Stat Category],"rushing",Table2[Stat Type],"TD"))))</f>
        <v>0</v>
      </c>
      <c r="L838" s="6">
        <f>IF(AND($C838="Rushing", $H838&lt;=0), 0, IF(AND($C838="Passing", $G$3&lt;=0), 0,IF(AND($C838="Receiving",$I838&lt;=0),0,SUMIFS(Table2[Stat],Table2[Week],Table1[[#This Row],[Week]],Table2[Athlete],Table1[[#This Row],[Pick]],Table2[Stat Category],"receiving",Table2[Stat Type],"TD"))))</f>
        <v>0</v>
      </c>
      <c r="M8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8" s="61">
        <f>SUMIFS(Data!$J:$J,Data!$A:$A,Info!$B838,Data!$G:$G,Info!$C838,Data!$I:$I,Info!$D838,Data!$H:$H,"TOT")</f>
        <v>0</v>
      </c>
      <c r="O838" s="61">
        <f>IF(C838="Defensive",SUMIFS(Data!$J:$J,Data!$A:$A,Info!$B838,Data!$I:$I,Info!$D838,Data!$H:$H,"INT"),0)</f>
        <v>0</v>
      </c>
      <c r="P838" s="61">
        <f>IF(Table1[[#This Row],[Role]]="Defensive",SUMIFS(Data!$J:$J,Data!$A:$A,Info!$B838,Data!$I:$I,Info!$D838,Data!$H:$H,$P$1),0)</f>
        <v>0</v>
      </c>
      <c r="Q838" s="65" t="str">
        <f>IF(Table1[[#This Row],[Pick]]="","",IF(S838&gt;1,400,IF(G838="","",IF(C838="Passing",(400-Table1[[#This Row],[Passing Yards]]-(30*Table1[[#This Row],[Passing TDs]])-(50*SUM(Table1[[#This Row],[Rushing TDs]:[Other TD''s]]))),IF(C838="Rushing",2*(200-Table1[[#This Row],[Rushing Yards]]-(30*Table1[[#This Row],[Passing TDs]])-50*(Table1[[#This Row],[Rushing TDs]]+Table1[[#This Row],[Receiving TDs]]+Table1[[#This Row],[Other TD''s]])),IF(C838="Receiving",2*(200-Table1[[#This Row],[Receiving Yards]]-(30*Table1[[#This Row],[Passing TDs]])-50*(Table1[[#This Row],[Rushing TDs]]+Table1[[#This Row],[Receiving TDs]]+Table1[[#This Row],[Other TD''s]])),IF(C838="Defensive",(25*(16-Table1[[#This Row],[Tackles]]-(8*(Table1[[#This Row],[Other TD''s]]+Table1[[#This Row],[Interceptions]]+Table1[[#This Row],[Fumbles Recovered]])))))))))))</f>
        <v/>
      </c>
      <c r="R838" s="3" t="str">
        <f t="shared" si="28"/>
        <v/>
      </c>
      <c r="S838" s="4">
        <f t="shared" si="27"/>
        <v>1048507</v>
      </c>
      <c r="T8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9" spans="1:20" hidden="1" x14ac:dyDescent="0.25">
      <c r="A839" t="s">
        <v>7</v>
      </c>
      <c r="B839" s="28" t="s">
        <v>55</v>
      </c>
      <c r="C839" t="s">
        <v>16</v>
      </c>
      <c r="D839" t="str">
        <f>_xlfn.XLOOKUP(Table1[[#This Row],[Player]]&amp;Table1[[#This Row],[Week]]&amp;Table1[[#This Row],[Role]],'Google Form Transform'!$A:$A,'Google Form Transform'!E:E,"")</f>
        <v/>
      </c>
      <c r="E839" t="str">
        <f>_xlfn.XLOOKUP(Table1[[#This Row],[Player]]&amp;Table1[[#This Row],[Week]]&amp;Table1[[#This Row],[Role]],'Google Form Transform'!$A:$A,'Google Form Transform'!F:F,"")</f>
        <v/>
      </c>
      <c r="F839" t="str">
        <f>_xlfn.XLOOKUP(Table1[[#This Row],[Player]]&amp;Table1[[#This Row],[Week]]&amp;Table1[[#This Row],[Role]],'Google Form Transform'!$A:$A,'Google Form Transform'!G:G,"")</f>
        <v/>
      </c>
      <c r="G839" s="59">
        <f>SUMIFS(Table2[Stat],Table2[Stat Category],"passing",Table2[Stat Type],"YDS",Table2[Athlete],Table1[[#This Row],[Pick]],Table2[Week],Table1[[#This Row],[Week]])</f>
        <v>0</v>
      </c>
      <c r="H839" s="59">
        <f>SUMIFS(Table2[Stat],Table2[Stat Category],"rushing",Table2[Stat Type],"YDS",Table2[Athlete],Table1[[#This Row],[Pick]],Table2[Week],Table1[[#This Row],[Week]])</f>
        <v>0</v>
      </c>
      <c r="I839" s="59">
        <f>SUMIFS(Table2[Stat],Table2[Stat Category],"receiving",Table2[Stat Type],"YDS",Table2[Athlete],Table1[[#This Row],[Pick]],Table2[Week],Table1[[#This Row],[Week]])</f>
        <v>0</v>
      </c>
      <c r="J839" s="6">
        <f>IF(AND($C839="Rushing", $H839&lt;=0), 0, IF(AND($C839="Passing", $G$3&lt;=0), 0,IF(AND($C839="Receiving",$I839&lt;=0), 0,SUMIFS(Table2[Stat],Table2[Week],Table1[[#This Row],[Week]],Table2[Athlete],Table1[[#This Row],[Pick]],Table2[Stat Category],"passing",Table2[Stat Type],"TD"))))</f>
        <v>0</v>
      </c>
      <c r="K839" s="6">
        <f>IF(AND($C839="Rushing", $H839&lt;=0), 0, IF(AND($C839="Passing", $G$3&lt;=0), 0,IF(AND($C839="Receiving",$I839&lt;=0),0,SUMIFS(Table2[Stat],Table2[Week],Table1[[#This Row],[Week]],Table2[Athlete],Table1[[#This Row],[Pick]],Table2[Stat Category],"rushing",Table2[Stat Type],"TD"))))</f>
        <v>0</v>
      </c>
      <c r="L839" s="6">
        <f>IF(AND($C839="Rushing", $H839&lt;=0), 0, IF(AND($C839="Passing", $G$3&lt;=0), 0,IF(AND($C839="Receiving",$I839&lt;=0),0,SUMIFS(Table2[Stat],Table2[Week],Table1[[#This Row],[Week]],Table2[Athlete],Table1[[#This Row],[Pick]],Table2[Stat Category],"receiving",Table2[Stat Type],"TD"))))</f>
        <v>0</v>
      </c>
      <c r="M8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9" s="61">
        <f>SUMIFS(Data!$J:$J,Data!$A:$A,Info!$B839,Data!$G:$G,Info!$C839,Data!$I:$I,Info!$D839,Data!$H:$H,"TOT")</f>
        <v>0</v>
      </c>
      <c r="O839" s="61">
        <f>IF(C839="Defensive",SUMIFS(Data!$J:$J,Data!$A:$A,Info!$B839,Data!$I:$I,Info!$D839,Data!$H:$H,"INT"),0)</f>
        <v>0</v>
      </c>
      <c r="P839" s="61">
        <f>IF(Table1[[#This Row],[Role]]="Defensive",SUMIFS(Data!$J:$J,Data!$A:$A,Info!$B839,Data!$I:$I,Info!$D839,Data!$H:$H,$P$1),0)</f>
        <v>0</v>
      </c>
      <c r="Q839" s="65" t="str">
        <f>IF(Table1[[#This Row],[Pick]]="","",IF(S839&gt;1,400,IF(G839="","",IF(C839="Passing",(400-Table1[[#This Row],[Passing Yards]]-(30*Table1[[#This Row],[Passing TDs]])-(50*SUM(Table1[[#This Row],[Rushing TDs]:[Other TD''s]]))),IF(C839="Rushing",2*(200-Table1[[#This Row],[Rushing Yards]]-(30*Table1[[#This Row],[Passing TDs]])-50*(Table1[[#This Row],[Rushing TDs]]+Table1[[#This Row],[Receiving TDs]]+Table1[[#This Row],[Other TD''s]])),IF(C839="Receiving",2*(200-Table1[[#This Row],[Receiving Yards]]-(30*Table1[[#This Row],[Passing TDs]])-50*(Table1[[#This Row],[Rushing TDs]]+Table1[[#This Row],[Receiving TDs]]+Table1[[#This Row],[Other TD''s]])),IF(C839="Defensive",(25*(16-Table1[[#This Row],[Tackles]]-(8*(Table1[[#This Row],[Other TD''s]]+Table1[[#This Row],[Interceptions]]+Table1[[#This Row],[Fumbles Recovered]])))))))))))</f>
        <v/>
      </c>
      <c r="R839" s="3" t="str">
        <f t="shared" si="28"/>
        <v/>
      </c>
      <c r="S839" s="4">
        <f t="shared" si="27"/>
        <v>1048507</v>
      </c>
      <c r="T8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0" spans="1:20" hidden="1" x14ac:dyDescent="0.25">
      <c r="A840" t="s">
        <v>7</v>
      </c>
      <c r="B840" s="28" t="s">
        <v>55</v>
      </c>
      <c r="C840" t="s">
        <v>6</v>
      </c>
      <c r="D840" t="str">
        <f>_xlfn.XLOOKUP(Table1[[#This Row],[Player]]&amp;Table1[[#This Row],[Week]]&amp;Table1[[#This Row],[Role]],'Google Form Transform'!$A:$A,'Google Form Transform'!E:E,"")</f>
        <v/>
      </c>
      <c r="E840" t="str">
        <f>_xlfn.XLOOKUP(Table1[[#This Row],[Player]]&amp;Table1[[#This Row],[Week]]&amp;Table1[[#This Row],[Role]],'Google Form Transform'!$A:$A,'Google Form Transform'!F:F,"")</f>
        <v/>
      </c>
      <c r="F840" t="str">
        <f>_xlfn.XLOOKUP(Table1[[#This Row],[Player]]&amp;Table1[[#This Row],[Week]]&amp;Table1[[#This Row],[Role]],'Google Form Transform'!$A:$A,'Google Form Transform'!G:G,"")</f>
        <v/>
      </c>
      <c r="G840" s="59">
        <f>SUMIFS(Table2[Stat],Table2[Stat Category],"passing",Table2[Stat Type],"YDS",Table2[Athlete],Table1[[#This Row],[Pick]],Table2[Week],Table1[[#This Row],[Week]])</f>
        <v>0</v>
      </c>
      <c r="H840" s="59">
        <f>SUMIFS(Table2[Stat],Table2[Stat Category],"rushing",Table2[Stat Type],"YDS",Table2[Athlete],Table1[[#This Row],[Pick]],Table2[Week],Table1[[#This Row],[Week]])</f>
        <v>0</v>
      </c>
      <c r="I840" s="59">
        <f>SUMIFS(Table2[Stat],Table2[Stat Category],"receiving",Table2[Stat Type],"YDS",Table2[Athlete],Table1[[#This Row],[Pick]],Table2[Week],Table1[[#This Row],[Week]])</f>
        <v>0</v>
      </c>
      <c r="J840" s="6">
        <f>IF(AND($C840="Rushing", $H840&lt;=0), 0, IF(AND($C840="Passing", $G$3&lt;=0), 0,IF(AND($C840="Receiving",$I840&lt;=0), 0,SUMIFS(Table2[Stat],Table2[Week],Table1[[#This Row],[Week]],Table2[Athlete],Table1[[#This Row],[Pick]],Table2[Stat Category],"passing",Table2[Stat Type],"TD"))))</f>
        <v>0</v>
      </c>
      <c r="K840" s="6">
        <f>IF(AND($C840="Rushing", $H840&lt;=0), 0, IF(AND($C840="Passing", $G$3&lt;=0), 0,IF(AND($C840="Receiving",$I840&lt;=0),0,SUMIFS(Table2[Stat],Table2[Week],Table1[[#This Row],[Week]],Table2[Athlete],Table1[[#This Row],[Pick]],Table2[Stat Category],"rushing",Table2[Stat Type],"TD"))))</f>
        <v>0</v>
      </c>
      <c r="L840" s="6">
        <f>IF(AND($C840="Rushing", $H840&lt;=0), 0, IF(AND($C840="Passing", $G$3&lt;=0), 0,IF(AND($C840="Receiving",$I840&lt;=0),0,SUMIFS(Table2[Stat],Table2[Week],Table1[[#This Row],[Week]],Table2[Athlete],Table1[[#This Row],[Pick]],Table2[Stat Category],"receiving",Table2[Stat Type],"TD"))))</f>
        <v>0</v>
      </c>
      <c r="M8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0" s="61">
        <f>SUMIFS(Data!$J:$J,Data!$A:$A,Info!$B840,Data!$G:$G,Info!$C840,Data!$I:$I,Info!$D840,Data!$H:$H,"TOT")</f>
        <v>0</v>
      </c>
      <c r="O840" s="61">
        <f>IF(C840="Defensive",SUMIFS(Data!$J:$J,Data!$A:$A,Info!$B840,Data!$I:$I,Info!$D840,Data!$H:$H,"INT"),0)</f>
        <v>0</v>
      </c>
      <c r="P840" s="61">
        <f>IF(Table1[[#This Row],[Role]]="Defensive",SUMIFS(Data!$J:$J,Data!$A:$A,Info!$B840,Data!$I:$I,Info!$D840,Data!$H:$H,$P$1),0)</f>
        <v>0</v>
      </c>
      <c r="Q840" s="65" t="str">
        <f>IF(Table1[[#This Row],[Pick]]="","",IF(S840&gt;1,400,IF(G840="","",IF(C840="Passing",(400-Table1[[#This Row],[Passing Yards]]-(30*Table1[[#This Row],[Passing TDs]])-(50*SUM(Table1[[#This Row],[Rushing TDs]:[Other TD''s]]))),IF(C840="Rushing",2*(200-Table1[[#This Row],[Rushing Yards]]-(30*Table1[[#This Row],[Passing TDs]])-50*(Table1[[#This Row],[Rushing TDs]]+Table1[[#This Row],[Receiving TDs]]+Table1[[#This Row],[Other TD''s]])),IF(C840="Receiving",2*(200-Table1[[#This Row],[Receiving Yards]]-(30*Table1[[#This Row],[Passing TDs]])-50*(Table1[[#This Row],[Rushing TDs]]+Table1[[#This Row],[Receiving TDs]]+Table1[[#This Row],[Other TD''s]])),IF(C840="Defensive",(25*(16-Table1[[#This Row],[Tackles]]-(8*(Table1[[#This Row],[Other TD''s]]+Table1[[#This Row],[Interceptions]]+Table1[[#This Row],[Fumbles Recovered]])))))))))))</f>
        <v/>
      </c>
      <c r="R840" s="3" t="str">
        <f t="shared" si="28"/>
        <v/>
      </c>
      <c r="S840" s="4">
        <f t="shared" si="27"/>
        <v>1048507</v>
      </c>
      <c r="T8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1" spans="1:20" hidden="1" x14ac:dyDescent="0.25">
      <c r="A841" t="s">
        <v>7</v>
      </c>
      <c r="B841" s="28" t="s">
        <v>55</v>
      </c>
      <c r="C841" t="s">
        <v>17</v>
      </c>
      <c r="D841" t="str">
        <f>_xlfn.XLOOKUP(Table1[[#This Row],[Player]]&amp;Table1[[#This Row],[Week]]&amp;Table1[[#This Row],[Role]],'Google Form Transform'!$A:$A,'Google Form Transform'!E:E,"")</f>
        <v/>
      </c>
      <c r="E841" t="str">
        <f>_xlfn.XLOOKUP(Table1[[#This Row],[Player]]&amp;Table1[[#This Row],[Week]]&amp;Table1[[#This Row],[Role]],'Google Form Transform'!$A:$A,'Google Form Transform'!F:F,"")</f>
        <v/>
      </c>
      <c r="F841" t="str">
        <f>_xlfn.XLOOKUP(Table1[[#This Row],[Player]]&amp;Table1[[#This Row],[Week]]&amp;Table1[[#This Row],[Role]],'Google Form Transform'!$A:$A,'Google Form Transform'!G:G,"")</f>
        <v/>
      </c>
      <c r="G841" s="59">
        <f>SUMIFS(Table2[Stat],Table2[Stat Category],"passing",Table2[Stat Type],"YDS",Table2[Athlete],Table1[[#This Row],[Pick]],Table2[Week],Table1[[#This Row],[Week]])</f>
        <v>0</v>
      </c>
      <c r="H841" s="59">
        <f>SUMIFS(Table2[Stat],Table2[Stat Category],"rushing",Table2[Stat Type],"YDS",Table2[Athlete],Table1[[#This Row],[Pick]],Table2[Week],Table1[[#This Row],[Week]])</f>
        <v>0</v>
      </c>
      <c r="I841" s="59">
        <f>SUMIFS(Table2[Stat],Table2[Stat Category],"receiving",Table2[Stat Type],"YDS",Table2[Athlete],Table1[[#This Row],[Pick]],Table2[Week],Table1[[#This Row],[Week]])</f>
        <v>0</v>
      </c>
      <c r="J841" s="6">
        <f>IF(AND($C841="Rushing", $H841&lt;=0), 0, IF(AND($C841="Passing", $G$3&lt;=0), 0,IF(AND($C841="Receiving",$I841&lt;=0), 0,SUMIFS(Table2[Stat],Table2[Week],Table1[[#This Row],[Week]],Table2[Athlete],Table1[[#This Row],[Pick]],Table2[Stat Category],"passing",Table2[Stat Type],"TD"))))</f>
        <v>0</v>
      </c>
      <c r="K841" s="6">
        <f>IF(AND($C841="Rushing", $H841&lt;=0), 0, IF(AND($C841="Passing", $G$3&lt;=0), 0,IF(AND($C841="Receiving",$I841&lt;=0),0,SUMIFS(Table2[Stat],Table2[Week],Table1[[#This Row],[Week]],Table2[Athlete],Table1[[#This Row],[Pick]],Table2[Stat Category],"rushing",Table2[Stat Type],"TD"))))</f>
        <v>0</v>
      </c>
      <c r="L841" s="6">
        <f>IF(AND($C841="Rushing", $H841&lt;=0), 0, IF(AND($C841="Passing", $G$3&lt;=0), 0,IF(AND($C841="Receiving",$I841&lt;=0),0,SUMIFS(Table2[Stat],Table2[Week],Table1[[#This Row],[Week]],Table2[Athlete],Table1[[#This Row],[Pick]],Table2[Stat Category],"receiving",Table2[Stat Type],"TD"))))</f>
        <v>0</v>
      </c>
      <c r="M8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1" s="61">
        <f>SUMIFS(Data!$J:$J,Data!$A:$A,Info!$B841,Data!$G:$G,Info!$C841,Data!$I:$I,Info!$D841,Data!$H:$H,"TOT")</f>
        <v>0</v>
      </c>
      <c r="O841" s="61">
        <f>IF(C841="Defensive",SUMIFS(Data!$J:$J,Data!$A:$A,Info!$B841,Data!$I:$I,Info!$D841,Data!$H:$H,"INT"),0)</f>
        <v>0</v>
      </c>
      <c r="P841" s="61">
        <f>IF(Table1[[#This Row],[Role]]="Defensive",SUMIFS(Data!$J:$J,Data!$A:$A,Info!$B841,Data!$I:$I,Info!$D841,Data!$H:$H,$P$1),0)</f>
        <v>0</v>
      </c>
      <c r="Q841" s="65" t="str">
        <f>IF(Table1[[#This Row],[Pick]]="","",IF(S841&gt;1,400,IF(G841="","",IF(C841="Passing",(400-Table1[[#This Row],[Passing Yards]]-(30*Table1[[#This Row],[Passing TDs]])-(50*SUM(Table1[[#This Row],[Rushing TDs]:[Other TD''s]]))),IF(C841="Rushing",2*(200-Table1[[#This Row],[Rushing Yards]]-(30*Table1[[#This Row],[Passing TDs]])-50*(Table1[[#This Row],[Rushing TDs]]+Table1[[#This Row],[Receiving TDs]]+Table1[[#This Row],[Other TD''s]])),IF(C841="Receiving",2*(200-Table1[[#This Row],[Receiving Yards]]-(30*Table1[[#This Row],[Passing TDs]])-50*(Table1[[#This Row],[Rushing TDs]]+Table1[[#This Row],[Receiving TDs]]+Table1[[#This Row],[Other TD''s]])),IF(C841="Defensive",(25*(16-Table1[[#This Row],[Tackles]]-(8*(Table1[[#This Row],[Other TD''s]]+Table1[[#This Row],[Interceptions]]+Table1[[#This Row],[Fumbles Recovered]])))))))))))</f>
        <v/>
      </c>
      <c r="R841" s="3" t="str">
        <f t="shared" si="28"/>
        <v/>
      </c>
      <c r="S841" s="4">
        <f t="shared" si="27"/>
        <v>1048507</v>
      </c>
      <c r="T8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2" spans="1:20" hidden="1" x14ac:dyDescent="0.25">
      <c r="A842" t="s">
        <v>7</v>
      </c>
      <c r="B842" s="28" t="s">
        <v>55</v>
      </c>
      <c r="C842" t="s">
        <v>20</v>
      </c>
      <c r="D842" t="str">
        <f>_xlfn.XLOOKUP(Table1[[#This Row],[Player]]&amp;Table1[[#This Row],[Week]]&amp;Table1[[#This Row],[Role]],'Google Form Transform'!$A:$A,'Google Form Transform'!E:E,"")</f>
        <v/>
      </c>
      <c r="E842" t="str">
        <f>_xlfn.XLOOKUP(Table1[[#This Row],[Player]]&amp;Table1[[#This Row],[Week]]&amp;Table1[[#This Row],[Role]],'Google Form Transform'!$A:$A,'Google Form Transform'!F:F,"")</f>
        <v/>
      </c>
      <c r="F842" t="str">
        <f>_xlfn.XLOOKUP(Table1[[#This Row],[Player]]&amp;Table1[[#This Row],[Week]]&amp;Table1[[#This Row],[Role]],'Google Form Transform'!$A:$A,'Google Form Transform'!G:G,"")</f>
        <v/>
      </c>
      <c r="G842" s="59">
        <f>SUMIFS(Table2[Stat],Table2[Stat Category],"passing",Table2[Stat Type],"YDS",Table2[Athlete],Table1[[#This Row],[Pick]],Table2[Week],Table1[[#This Row],[Week]])</f>
        <v>0</v>
      </c>
      <c r="H842" s="59">
        <f>SUMIFS(Table2[Stat],Table2[Stat Category],"rushing",Table2[Stat Type],"YDS",Table2[Athlete],Table1[[#This Row],[Pick]],Table2[Week],Table1[[#This Row],[Week]])</f>
        <v>0</v>
      </c>
      <c r="I842" s="59">
        <f>SUMIFS(Table2[Stat],Table2[Stat Category],"receiving",Table2[Stat Type],"YDS",Table2[Athlete],Table1[[#This Row],[Pick]],Table2[Week],Table1[[#This Row],[Week]])</f>
        <v>0</v>
      </c>
      <c r="J842" s="6">
        <f>IF(AND($C842="Rushing", $H842&lt;=0), 0, IF(AND($C842="Passing", $G$3&lt;=0), 0,IF(AND($C842="Receiving",$I842&lt;=0), 0,SUMIFS(Table2[Stat],Table2[Week],Table1[[#This Row],[Week]],Table2[Athlete],Table1[[#This Row],[Pick]],Table2[Stat Category],"passing",Table2[Stat Type],"TD"))))</f>
        <v>0</v>
      </c>
      <c r="K842" s="6">
        <f>IF(AND($C842="Rushing", $H842&lt;=0), 0, IF(AND($C842="Passing", $G$3&lt;=0), 0,IF(AND($C842="Receiving",$I842&lt;=0),0,SUMIFS(Table2[Stat],Table2[Week],Table1[[#This Row],[Week]],Table2[Athlete],Table1[[#This Row],[Pick]],Table2[Stat Category],"rushing",Table2[Stat Type],"TD"))))</f>
        <v>0</v>
      </c>
      <c r="L842" s="6">
        <f>IF(AND($C842="Rushing", $H842&lt;=0), 0, IF(AND($C842="Passing", $G$3&lt;=0), 0,IF(AND($C842="Receiving",$I842&lt;=0),0,SUMIFS(Table2[Stat],Table2[Week],Table1[[#This Row],[Week]],Table2[Athlete],Table1[[#This Row],[Pick]],Table2[Stat Category],"receiving",Table2[Stat Type],"TD"))))</f>
        <v>0</v>
      </c>
      <c r="M8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2" s="61">
        <f>SUMIFS(Data!$J:$J,Data!$A:$A,Info!$B842,Data!$G:$G,Info!$C842,Data!$I:$I,Info!$D842,Data!$H:$H,"TOT")</f>
        <v>0</v>
      </c>
      <c r="O842" s="61">
        <f>IF(C842="Defensive",SUMIFS(Data!$J:$J,Data!$A:$A,Info!$B842,Data!$I:$I,Info!$D842,Data!$H:$H,"INT"),0)</f>
        <v>0</v>
      </c>
      <c r="P842" s="61">
        <f>IF(Table1[[#This Row],[Role]]="Defensive",SUMIFS(Data!$J:$J,Data!$A:$A,Info!$B842,Data!$I:$I,Info!$D842,Data!$H:$H,$P$1),0)</f>
        <v>0</v>
      </c>
      <c r="Q842" s="65" t="str">
        <f>IF(Table1[[#This Row],[Pick]]="","",IF(S842&gt;1,400,IF(G842="","",IF(C842="Passing",(400-Table1[[#This Row],[Passing Yards]]-(30*Table1[[#This Row],[Passing TDs]])-(50*SUM(Table1[[#This Row],[Rushing TDs]:[Other TD''s]]))),IF(C842="Rushing",2*(200-Table1[[#This Row],[Rushing Yards]]-(30*Table1[[#This Row],[Passing TDs]])-50*(Table1[[#This Row],[Rushing TDs]]+Table1[[#This Row],[Receiving TDs]]+Table1[[#This Row],[Other TD''s]])),IF(C842="Receiving",2*(200-Table1[[#This Row],[Receiving Yards]]-(30*Table1[[#This Row],[Passing TDs]])-50*(Table1[[#This Row],[Rushing TDs]]+Table1[[#This Row],[Receiving TDs]]+Table1[[#This Row],[Other TD''s]])),IF(C842="Defensive",(25*(16-Table1[[#This Row],[Tackles]]-(8*(Table1[[#This Row],[Other TD''s]]+Table1[[#This Row],[Interceptions]]+Table1[[#This Row],[Fumbles Recovered]])))))))))))</f>
        <v/>
      </c>
      <c r="R842" s="3" t="str">
        <f t="shared" si="28"/>
        <v/>
      </c>
      <c r="S842" s="4">
        <f t="shared" si="27"/>
        <v>1048507</v>
      </c>
      <c r="T8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3" spans="1:20" hidden="1" x14ac:dyDescent="0.25">
      <c r="A843" t="s">
        <v>2</v>
      </c>
      <c r="B843" s="28" t="s">
        <v>56</v>
      </c>
      <c r="C843" t="s">
        <v>16</v>
      </c>
      <c r="D843" t="str">
        <f>_xlfn.XLOOKUP(Table1[[#This Row],[Player]]&amp;Table1[[#This Row],[Week]]&amp;Table1[[#This Row],[Role]],'Google Form Transform'!$A:$A,'Google Form Transform'!E:E,"")</f>
        <v/>
      </c>
      <c r="E843" t="str">
        <f>_xlfn.XLOOKUP(Table1[[#This Row],[Player]]&amp;Table1[[#This Row],[Week]]&amp;Table1[[#This Row],[Role]],'Google Form Transform'!$A:$A,'Google Form Transform'!F:F,"")</f>
        <v/>
      </c>
      <c r="F843" t="str">
        <f>_xlfn.XLOOKUP(Table1[[#This Row],[Player]]&amp;Table1[[#This Row],[Week]]&amp;Table1[[#This Row],[Role]],'Google Form Transform'!$A:$A,'Google Form Transform'!G:G,"")</f>
        <v/>
      </c>
      <c r="G843" s="59">
        <f>SUMIFS(Table2[Stat],Table2[Stat Category],"passing",Table2[Stat Type],"YDS",Table2[Athlete],Table1[[#This Row],[Pick]],Table2[Week],Table1[[#This Row],[Week]])</f>
        <v>0</v>
      </c>
      <c r="H843" s="59">
        <f>SUMIFS(Table2[Stat],Table2[Stat Category],"rushing",Table2[Stat Type],"YDS",Table2[Athlete],Table1[[#This Row],[Pick]],Table2[Week],Table1[[#This Row],[Week]])</f>
        <v>0</v>
      </c>
      <c r="I843" s="59">
        <f>SUMIFS(Table2[Stat],Table2[Stat Category],"receiving",Table2[Stat Type],"YDS",Table2[Athlete],Table1[[#This Row],[Pick]],Table2[Week],Table1[[#This Row],[Week]])</f>
        <v>0</v>
      </c>
      <c r="J843" s="6">
        <f>IF(AND($C843="Rushing", $H843&lt;=0), 0, IF(AND($C843="Passing", $G$3&lt;=0), 0,IF(AND($C843="Receiving",$I843&lt;=0), 0,SUMIFS(Table2[Stat],Table2[Week],Table1[[#This Row],[Week]],Table2[Athlete],Table1[[#This Row],[Pick]],Table2[Stat Category],"passing",Table2[Stat Type],"TD"))))</f>
        <v>0</v>
      </c>
      <c r="K843" s="6">
        <f>IF(AND($C843="Rushing", $H843&lt;=0), 0, IF(AND($C843="Passing", $G$3&lt;=0), 0,IF(AND($C843="Receiving",$I843&lt;=0),0,SUMIFS(Table2[Stat],Table2[Week],Table1[[#This Row],[Week]],Table2[Athlete],Table1[[#This Row],[Pick]],Table2[Stat Category],"rushing",Table2[Stat Type],"TD"))))</f>
        <v>0</v>
      </c>
      <c r="L843" s="6">
        <f>IF(AND($C843="Rushing", $H843&lt;=0), 0, IF(AND($C843="Passing", $G$3&lt;=0), 0,IF(AND($C843="Receiving",$I843&lt;=0),0,SUMIFS(Table2[Stat],Table2[Week],Table1[[#This Row],[Week]],Table2[Athlete],Table1[[#This Row],[Pick]],Table2[Stat Category],"receiving",Table2[Stat Type],"TD"))))</f>
        <v>0</v>
      </c>
      <c r="M8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3" s="61">
        <f>SUMIFS(Data!$J:$J,Data!$A:$A,Info!$B843,Data!$G:$G,Info!$C843,Data!$I:$I,Info!$D843,Data!$H:$H,"TOT")</f>
        <v>0</v>
      </c>
      <c r="O843" s="61">
        <f>IF(C843="Defensive",SUMIFS(Data!$J:$J,Data!$A:$A,Info!$B843,Data!$I:$I,Info!$D843,Data!$H:$H,"INT"),0)</f>
        <v>0</v>
      </c>
      <c r="P843" s="61">
        <f>IF(Table1[[#This Row],[Role]]="Defensive",SUMIFS(Data!$J:$J,Data!$A:$A,Info!$B843,Data!$I:$I,Info!$D843,Data!$H:$H,$P$1),0)</f>
        <v>0</v>
      </c>
      <c r="Q843" s="65" t="str">
        <f>IF(Table1[[#This Row],[Pick]]="","",IF(S843&gt;1,400,IF(G843="","",IF(C843="Passing",(400-Table1[[#This Row],[Passing Yards]]-(30*Table1[[#This Row],[Passing TDs]])-(50*SUM(Table1[[#This Row],[Rushing TDs]:[Other TD''s]]))),IF(C843="Rushing",2*(200-Table1[[#This Row],[Rushing Yards]]-(30*Table1[[#This Row],[Passing TDs]])-50*(Table1[[#This Row],[Rushing TDs]]+Table1[[#This Row],[Receiving TDs]]+Table1[[#This Row],[Other TD''s]])),IF(C843="Receiving",2*(200-Table1[[#This Row],[Receiving Yards]]-(30*Table1[[#This Row],[Passing TDs]])-50*(Table1[[#This Row],[Rushing TDs]]+Table1[[#This Row],[Receiving TDs]]+Table1[[#This Row],[Other TD''s]])),IF(C843="Defensive",(25*(16-Table1[[#This Row],[Tackles]]-(8*(Table1[[#This Row],[Other TD''s]]+Table1[[#This Row],[Interceptions]]+Table1[[#This Row],[Fumbles Recovered]])))))))))))</f>
        <v/>
      </c>
      <c r="R843" s="3" t="str">
        <f t="shared" si="28"/>
        <v/>
      </c>
      <c r="S843" s="4">
        <f t="shared" si="27"/>
        <v>1048507</v>
      </c>
      <c r="T8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4" spans="1:20" hidden="1" x14ac:dyDescent="0.25">
      <c r="A844" t="s">
        <v>2</v>
      </c>
      <c r="B844" s="28" t="s">
        <v>56</v>
      </c>
      <c r="C844" t="s">
        <v>6</v>
      </c>
      <c r="D844" t="str">
        <f>_xlfn.XLOOKUP(Table1[[#This Row],[Player]]&amp;Table1[[#This Row],[Week]]&amp;Table1[[#This Row],[Role]],'Google Form Transform'!$A:$A,'Google Form Transform'!E:E,"")</f>
        <v/>
      </c>
      <c r="E844" t="str">
        <f>_xlfn.XLOOKUP(Table1[[#This Row],[Player]]&amp;Table1[[#This Row],[Week]]&amp;Table1[[#This Row],[Role]],'Google Form Transform'!$A:$A,'Google Form Transform'!F:F,"")</f>
        <v/>
      </c>
      <c r="F844" t="str">
        <f>_xlfn.XLOOKUP(Table1[[#This Row],[Player]]&amp;Table1[[#This Row],[Week]]&amp;Table1[[#This Row],[Role]],'Google Form Transform'!$A:$A,'Google Form Transform'!G:G,"")</f>
        <v/>
      </c>
      <c r="G844" s="59">
        <f>SUMIFS(Table2[Stat],Table2[Stat Category],"passing",Table2[Stat Type],"YDS",Table2[Athlete],Table1[[#This Row],[Pick]],Table2[Week],Table1[[#This Row],[Week]])</f>
        <v>0</v>
      </c>
      <c r="H844" s="59">
        <f>SUMIFS(Table2[Stat],Table2[Stat Category],"rushing",Table2[Stat Type],"YDS",Table2[Athlete],Table1[[#This Row],[Pick]],Table2[Week],Table1[[#This Row],[Week]])</f>
        <v>0</v>
      </c>
      <c r="I844" s="59">
        <f>SUMIFS(Table2[Stat],Table2[Stat Category],"receiving",Table2[Stat Type],"YDS",Table2[Athlete],Table1[[#This Row],[Pick]],Table2[Week],Table1[[#This Row],[Week]])</f>
        <v>0</v>
      </c>
      <c r="J844" s="6">
        <f>IF(AND($C844="Rushing", $H844&lt;=0), 0, IF(AND($C844="Passing", $G$3&lt;=0), 0,IF(AND($C844="Receiving",$I844&lt;=0), 0,SUMIFS(Table2[Stat],Table2[Week],Table1[[#This Row],[Week]],Table2[Athlete],Table1[[#This Row],[Pick]],Table2[Stat Category],"passing",Table2[Stat Type],"TD"))))</f>
        <v>0</v>
      </c>
      <c r="K844" s="6">
        <f>IF(AND($C844="Rushing", $H844&lt;=0), 0, IF(AND($C844="Passing", $G$3&lt;=0), 0,IF(AND($C844="Receiving",$I844&lt;=0),0,SUMIFS(Table2[Stat],Table2[Week],Table1[[#This Row],[Week]],Table2[Athlete],Table1[[#This Row],[Pick]],Table2[Stat Category],"rushing",Table2[Stat Type],"TD"))))</f>
        <v>0</v>
      </c>
      <c r="L844" s="6">
        <f>IF(AND($C844="Rushing", $H844&lt;=0), 0, IF(AND($C844="Passing", $G$3&lt;=0), 0,IF(AND($C844="Receiving",$I844&lt;=0),0,SUMIFS(Table2[Stat],Table2[Week],Table1[[#This Row],[Week]],Table2[Athlete],Table1[[#This Row],[Pick]],Table2[Stat Category],"receiving",Table2[Stat Type],"TD"))))</f>
        <v>0</v>
      </c>
      <c r="M8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4" s="61">
        <f>SUMIFS(Data!$J:$J,Data!$A:$A,Info!$B844,Data!$G:$G,Info!$C844,Data!$I:$I,Info!$D844,Data!$H:$H,"TOT")</f>
        <v>0</v>
      </c>
      <c r="O844" s="61">
        <f>IF(C844="Defensive",SUMIFS(Data!$J:$J,Data!$A:$A,Info!$B844,Data!$I:$I,Info!$D844,Data!$H:$H,"INT"),0)</f>
        <v>0</v>
      </c>
      <c r="P844" s="61">
        <f>IF(Table1[[#This Row],[Role]]="Defensive",SUMIFS(Data!$J:$J,Data!$A:$A,Info!$B844,Data!$I:$I,Info!$D844,Data!$H:$H,$P$1),0)</f>
        <v>0</v>
      </c>
      <c r="Q844" s="65" t="str">
        <f>IF(Table1[[#This Row],[Pick]]="","",IF(S844&gt;1,400,IF(G844="","",IF(C844="Passing",(400-Table1[[#This Row],[Passing Yards]]-(30*Table1[[#This Row],[Passing TDs]])-(50*SUM(Table1[[#This Row],[Rushing TDs]:[Other TD''s]]))),IF(C844="Rushing",2*(200-Table1[[#This Row],[Rushing Yards]]-(30*Table1[[#This Row],[Passing TDs]])-50*(Table1[[#This Row],[Rushing TDs]]+Table1[[#This Row],[Receiving TDs]]+Table1[[#This Row],[Other TD''s]])),IF(C844="Receiving",2*(200-Table1[[#This Row],[Receiving Yards]]-(30*Table1[[#This Row],[Passing TDs]])-50*(Table1[[#This Row],[Rushing TDs]]+Table1[[#This Row],[Receiving TDs]]+Table1[[#This Row],[Other TD''s]])),IF(C844="Defensive",(25*(16-Table1[[#This Row],[Tackles]]-(8*(Table1[[#This Row],[Other TD''s]]+Table1[[#This Row],[Interceptions]]+Table1[[#This Row],[Fumbles Recovered]])))))))))))</f>
        <v/>
      </c>
      <c r="R844" s="3" t="str">
        <f t="shared" si="28"/>
        <v/>
      </c>
      <c r="S844" s="4">
        <f t="shared" si="27"/>
        <v>1048507</v>
      </c>
      <c r="T8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5" spans="1:20" hidden="1" x14ac:dyDescent="0.25">
      <c r="A845" t="s">
        <v>2</v>
      </c>
      <c r="B845" s="28" t="s">
        <v>56</v>
      </c>
      <c r="C845" t="s">
        <v>17</v>
      </c>
      <c r="D845" t="str">
        <f>_xlfn.XLOOKUP(Table1[[#This Row],[Player]]&amp;Table1[[#This Row],[Week]]&amp;Table1[[#This Row],[Role]],'Google Form Transform'!$A:$A,'Google Form Transform'!E:E,"")</f>
        <v/>
      </c>
      <c r="E845" t="str">
        <f>_xlfn.XLOOKUP(Table1[[#This Row],[Player]]&amp;Table1[[#This Row],[Week]]&amp;Table1[[#This Row],[Role]],'Google Form Transform'!$A:$A,'Google Form Transform'!F:F,"")</f>
        <v/>
      </c>
      <c r="F845" t="str">
        <f>_xlfn.XLOOKUP(Table1[[#This Row],[Player]]&amp;Table1[[#This Row],[Week]]&amp;Table1[[#This Row],[Role]],'Google Form Transform'!$A:$A,'Google Form Transform'!G:G,"")</f>
        <v/>
      </c>
      <c r="G845" s="59">
        <f>SUMIFS(Table2[Stat],Table2[Stat Category],"passing",Table2[Stat Type],"YDS",Table2[Athlete],Table1[[#This Row],[Pick]],Table2[Week],Table1[[#This Row],[Week]])</f>
        <v>0</v>
      </c>
      <c r="H845" s="59">
        <f>SUMIFS(Table2[Stat],Table2[Stat Category],"rushing",Table2[Stat Type],"YDS",Table2[Athlete],Table1[[#This Row],[Pick]],Table2[Week],Table1[[#This Row],[Week]])</f>
        <v>0</v>
      </c>
      <c r="I845" s="59">
        <f>SUMIFS(Table2[Stat],Table2[Stat Category],"receiving",Table2[Stat Type],"YDS",Table2[Athlete],Table1[[#This Row],[Pick]],Table2[Week],Table1[[#This Row],[Week]])</f>
        <v>0</v>
      </c>
      <c r="J845" s="6">
        <f>IF(AND($C845="Rushing", $H845&lt;=0), 0, IF(AND($C845="Passing", $G$3&lt;=0), 0,IF(AND($C845="Receiving",$I845&lt;=0), 0,SUMIFS(Table2[Stat],Table2[Week],Table1[[#This Row],[Week]],Table2[Athlete],Table1[[#This Row],[Pick]],Table2[Stat Category],"passing",Table2[Stat Type],"TD"))))</f>
        <v>0</v>
      </c>
      <c r="K845" s="6">
        <f>IF(AND($C845="Rushing", $H845&lt;=0), 0, IF(AND($C845="Passing", $G$3&lt;=0), 0,IF(AND($C845="Receiving",$I845&lt;=0),0,SUMIFS(Table2[Stat],Table2[Week],Table1[[#This Row],[Week]],Table2[Athlete],Table1[[#This Row],[Pick]],Table2[Stat Category],"rushing",Table2[Stat Type],"TD"))))</f>
        <v>0</v>
      </c>
      <c r="L845" s="6">
        <f>IF(AND($C845="Rushing", $H845&lt;=0), 0, IF(AND($C845="Passing", $G$3&lt;=0), 0,IF(AND($C845="Receiving",$I845&lt;=0),0,SUMIFS(Table2[Stat],Table2[Week],Table1[[#This Row],[Week]],Table2[Athlete],Table1[[#This Row],[Pick]],Table2[Stat Category],"receiving",Table2[Stat Type],"TD"))))</f>
        <v>0</v>
      </c>
      <c r="M8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5" s="61">
        <f>SUMIFS(Data!$J:$J,Data!$A:$A,Info!$B845,Data!$G:$G,Info!$C845,Data!$I:$I,Info!$D845,Data!$H:$H,"TOT")</f>
        <v>0</v>
      </c>
      <c r="O845" s="61">
        <f>IF(C845="Defensive",SUMIFS(Data!$J:$J,Data!$A:$A,Info!$B845,Data!$I:$I,Info!$D845,Data!$H:$H,"INT"),0)</f>
        <v>0</v>
      </c>
      <c r="P845" s="61">
        <f>IF(Table1[[#This Row],[Role]]="Defensive",SUMIFS(Data!$J:$J,Data!$A:$A,Info!$B845,Data!$I:$I,Info!$D845,Data!$H:$H,$P$1),0)</f>
        <v>0</v>
      </c>
      <c r="Q845" s="65" t="str">
        <f>IF(Table1[[#This Row],[Pick]]="","",IF(S845&gt;1,400,IF(G845="","",IF(C845="Passing",(400-Table1[[#This Row],[Passing Yards]]-(30*Table1[[#This Row],[Passing TDs]])-(50*SUM(Table1[[#This Row],[Rushing TDs]:[Other TD''s]]))),IF(C845="Rushing",2*(200-Table1[[#This Row],[Rushing Yards]]-(30*Table1[[#This Row],[Passing TDs]])-50*(Table1[[#This Row],[Rushing TDs]]+Table1[[#This Row],[Receiving TDs]]+Table1[[#This Row],[Other TD''s]])),IF(C845="Receiving",2*(200-Table1[[#This Row],[Receiving Yards]]-(30*Table1[[#This Row],[Passing TDs]])-50*(Table1[[#This Row],[Rushing TDs]]+Table1[[#This Row],[Receiving TDs]]+Table1[[#This Row],[Other TD''s]])),IF(C845="Defensive",(25*(16-Table1[[#This Row],[Tackles]]-(8*(Table1[[#This Row],[Other TD''s]]+Table1[[#This Row],[Interceptions]]+Table1[[#This Row],[Fumbles Recovered]])))))))))))</f>
        <v/>
      </c>
      <c r="R845" s="3" t="str">
        <f t="shared" si="28"/>
        <v/>
      </c>
      <c r="S845" s="4">
        <f t="shared" si="27"/>
        <v>1048507</v>
      </c>
      <c r="T8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6" spans="1:20" hidden="1" x14ac:dyDescent="0.25">
      <c r="A846" t="s">
        <v>2</v>
      </c>
      <c r="B846" s="28" t="s">
        <v>56</v>
      </c>
      <c r="C846" t="s">
        <v>20</v>
      </c>
      <c r="D846" t="str">
        <f>_xlfn.XLOOKUP(Table1[[#This Row],[Player]]&amp;Table1[[#This Row],[Week]]&amp;Table1[[#This Row],[Role]],'Google Form Transform'!$A:$A,'Google Form Transform'!E:E,"")</f>
        <v/>
      </c>
      <c r="E846" t="str">
        <f>_xlfn.XLOOKUP(Table1[[#This Row],[Player]]&amp;Table1[[#This Row],[Week]]&amp;Table1[[#This Row],[Role]],'Google Form Transform'!$A:$A,'Google Form Transform'!F:F,"")</f>
        <v/>
      </c>
      <c r="F846" t="str">
        <f>_xlfn.XLOOKUP(Table1[[#This Row],[Player]]&amp;Table1[[#This Row],[Week]]&amp;Table1[[#This Row],[Role]],'Google Form Transform'!$A:$A,'Google Form Transform'!G:G,"")</f>
        <v/>
      </c>
      <c r="G846" s="59">
        <f>SUMIFS(Table2[Stat],Table2[Stat Category],"passing",Table2[Stat Type],"YDS",Table2[Athlete],Table1[[#This Row],[Pick]],Table2[Week],Table1[[#This Row],[Week]])</f>
        <v>0</v>
      </c>
      <c r="H846" s="59">
        <f>SUMIFS(Table2[Stat],Table2[Stat Category],"rushing",Table2[Stat Type],"YDS",Table2[Athlete],Table1[[#This Row],[Pick]],Table2[Week],Table1[[#This Row],[Week]])</f>
        <v>0</v>
      </c>
      <c r="I846" s="59">
        <f>SUMIFS(Table2[Stat],Table2[Stat Category],"receiving",Table2[Stat Type],"YDS",Table2[Athlete],Table1[[#This Row],[Pick]],Table2[Week],Table1[[#This Row],[Week]])</f>
        <v>0</v>
      </c>
      <c r="J846" s="6">
        <f>IF(AND($C846="Rushing", $H846&lt;=0), 0, IF(AND($C846="Passing", $G$3&lt;=0), 0,IF(AND($C846="Receiving",$I846&lt;=0), 0,SUMIFS(Table2[Stat],Table2[Week],Table1[[#This Row],[Week]],Table2[Athlete],Table1[[#This Row],[Pick]],Table2[Stat Category],"passing",Table2[Stat Type],"TD"))))</f>
        <v>0</v>
      </c>
      <c r="K846" s="6">
        <f>IF(AND($C846="Rushing", $H846&lt;=0), 0, IF(AND($C846="Passing", $G$3&lt;=0), 0,IF(AND($C846="Receiving",$I846&lt;=0),0,SUMIFS(Table2[Stat],Table2[Week],Table1[[#This Row],[Week]],Table2[Athlete],Table1[[#This Row],[Pick]],Table2[Stat Category],"rushing",Table2[Stat Type],"TD"))))</f>
        <v>0</v>
      </c>
      <c r="L846" s="6">
        <f>IF(AND($C846="Rushing", $H846&lt;=0), 0, IF(AND($C846="Passing", $G$3&lt;=0), 0,IF(AND($C846="Receiving",$I846&lt;=0),0,SUMIFS(Table2[Stat],Table2[Week],Table1[[#This Row],[Week]],Table2[Athlete],Table1[[#This Row],[Pick]],Table2[Stat Category],"receiving",Table2[Stat Type],"TD"))))</f>
        <v>0</v>
      </c>
      <c r="M8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6" s="61">
        <f>SUMIFS(Data!$J:$J,Data!$A:$A,Info!$B846,Data!$G:$G,Info!$C846,Data!$I:$I,Info!$D846,Data!$H:$H,"TOT")</f>
        <v>0</v>
      </c>
      <c r="O846" s="61">
        <f>IF(C846="Defensive",SUMIFS(Data!$J:$J,Data!$A:$A,Info!$B846,Data!$I:$I,Info!$D846,Data!$H:$H,"INT"),0)</f>
        <v>0</v>
      </c>
      <c r="P846" s="61">
        <f>IF(Table1[[#This Row],[Role]]="Defensive",SUMIFS(Data!$J:$J,Data!$A:$A,Info!$B846,Data!$I:$I,Info!$D846,Data!$H:$H,$P$1),0)</f>
        <v>0</v>
      </c>
      <c r="Q846" s="65" t="str">
        <f>IF(Table1[[#This Row],[Pick]]="","",IF(S846&gt;1,400,IF(G846="","",IF(C846="Passing",(400-Table1[[#This Row],[Passing Yards]]-(30*Table1[[#This Row],[Passing TDs]])-(50*SUM(Table1[[#This Row],[Rushing TDs]:[Other TD''s]]))),IF(C846="Rushing",2*(200-Table1[[#This Row],[Rushing Yards]]-(30*Table1[[#This Row],[Passing TDs]])-50*(Table1[[#This Row],[Rushing TDs]]+Table1[[#This Row],[Receiving TDs]]+Table1[[#This Row],[Other TD''s]])),IF(C846="Receiving",2*(200-Table1[[#This Row],[Receiving Yards]]-(30*Table1[[#This Row],[Passing TDs]])-50*(Table1[[#This Row],[Rushing TDs]]+Table1[[#This Row],[Receiving TDs]]+Table1[[#This Row],[Other TD''s]])),IF(C846="Defensive",(25*(16-Table1[[#This Row],[Tackles]]-(8*(Table1[[#This Row],[Other TD''s]]+Table1[[#This Row],[Interceptions]]+Table1[[#This Row],[Fumbles Recovered]])))))))))))</f>
        <v/>
      </c>
      <c r="R846" s="3" t="str">
        <f t="shared" si="28"/>
        <v/>
      </c>
      <c r="S846" s="4">
        <f t="shared" si="27"/>
        <v>1048507</v>
      </c>
      <c r="T8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7" spans="1:20" hidden="1" x14ac:dyDescent="0.25">
      <c r="A847" t="s">
        <v>4</v>
      </c>
      <c r="B847" s="28" t="s">
        <v>56</v>
      </c>
      <c r="C847" t="s">
        <v>16</v>
      </c>
      <c r="D847" t="str">
        <f>_xlfn.XLOOKUP(Table1[[#This Row],[Player]]&amp;Table1[[#This Row],[Week]]&amp;Table1[[#This Row],[Role]],'Google Form Transform'!$A:$A,'Google Form Transform'!E:E,"")</f>
        <v/>
      </c>
      <c r="E847" t="str">
        <f>_xlfn.XLOOKUP(Table1[[#This Row],[Player]]&amp;Table1[[#This Row],[Week]]&amp;Table1[[#This Row],[Role]],'Google Form Transform'!$A:$A,'Google Form Transform'!F:F,"")</f>
        <v/>
      </c>
      <c r="F847" t="str">
        <f>_xlfn.XLOOKUP(Table1[[#This Row],[Player]]&amp;Table1[[#This Row],[Week]]&amp;Table1[[#This Row],[Role]],'Google Form Transform'!$A:$A,'Google Form Transform'!G:G,"")</f>
        <v/>
      </c>
      <c r="G847" s="59">
        <f>SUMIFS(Table2[Stat],Table2[Stat Category],"passing",Table2[Stat Type],"YDS",Table2[Athlete],Table1[[#This Row],[Pick]],Table2[Week],Table1[[#This Row],[Week]])</f>
        <v>0</v>
      </c>
      <c r="H847" s="59">
        <f>SUMIFS(Table2[Stat],Table2[Stat Category],"rushing",Table2[Stat Type],"YDS",Table2[Athlete],Table1[[#This Row],[Pick]],Table2[Week],Table1[[#This Row],[Week]])</f>
        <v>0</v>
      </c>
      <c r="I847" s="59">
        <f>SUMIFS(Table2[Stat],Table2[Stat Category],"receiving",Table2[Stat Type],"YDS",Table2[Athlete],Table1[[#This Row],[Pick]],Table2[Week],Table1[[#This Row],[Week]])</f>
        <v>0</v>
      </c>
      <c r="J847" s="6">
        <f>IF(AND($C847="Rushing", $H847&lt;=0), 0, IF(AND($C847="Passing", $G$3&lt;=0), 0,IF(AND($C847="Receiving",$I847&lt;=0), 0,SUMIFS(Table2[Stat],Table2[Week],Table1[[#This Row],[Week]],Table2[Athlete],Table1[[#This Row],[Pick]],Table2[Stat Category],"passing",Table2[Stat Type],"TD"))))</f>
        <v>0</v>
      </c>
      <c r="K847" s="6">
        <f>IF(AND($C847="Rushing", $H847&lt;=0), 0, IF(AND($C847="Passing", $G$3&lt;=0), 0,IF(AND($C847="Receiving",$I847&lt;=0),0,SUMIFS(Table2[Stat],Table2[Week],Table1[[#This Row],[Week]],Table2[Athlete],Table1[[#This Row],[Pick]],Table2[Stat Category],"rushing",Table2[Stat Type],"TD"))))</f>
        <v>0</v>
      </c>
      <c r="L847" s="6">
        <f>IF(AND($C847="Rushing", $H847&lt;=0), 0, IF(AND($C847="Passing", $G$3&lt;=0), 0,IF(AND($C847="Receiving",$I847&lt;=0),0,SUMIFS(Table2[Stat],Table2[Week],Table1[[#This Row],[Week]],Table2[Athlete],Table1[[#This Row],[Pick]],Table2[Stat Category],"receiving",Table2[Stat Type],"TD"))))</f>
        <v>0</v>
      </c>
      <c r="M8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7" s="61">
        <f>SUMIFS(Data!$J:$J,Data!$A:$A,Info!$B847,Data!$G:$G,Info!$C847,Data!$I:$I,Info!$D847,Data!$H:$H,"TOT")</f>
        <v>0</v>
      </c>
      <c r="O847" s="61">
        <f>IF(C847="Defensive",SUMIFS(Data!$J:$J,Data!$A:$A,Info!$B847,Data!$I:$I,Info!$D847,Data!$H:$H,"INT"),0)</f>
        <v>0</v>
      </c>
      <c r="P847" s="61">
        <f>IF(Table1[[#This Row],[Role]]="Defensive",SUMIFS(Data!$J:$J,Data!$A:$A,Info!$B847,Data!$I:$I,Info!$D847,Data!$H:$H,$P$1),0)</f>
        <v>0</v>
      </c>
      <c r="Q847" s="65" t="str">
        <f>IF(Table1[[#This Row],[Pick]]="","",IF(S847&gt;1,400,IF(G847="","",IF(C847="Passing",(400-Table1[[#This Row],[Passing Yards]]-(30*Table1[[#This Row],[Passing TDs]])-(50*SUM(Table1[[#This Row],[Rushing TDs]:[Other TD''s]]))),IF(C847="Rushing",2*(200-Table1[[#This Row],[Rushing Yards]]-(30*Table1[[#This Row],[Passing TDs]])-50*(Table1[[#This Row],[Rushing TDs]]+Table1[[#This Row],[Receiving TDs]]+Table1[[#This Row],[Other TD''s]])),IF(C847="Receiving",2*(200-Table1[[#This Row],[Receiving Yards]]-(30*Table1[[#This Row],[Passing TDs]])-50*(Table1[[#This Row],[Rushing TDs]]+Table1[[#This Row],[Receiving TDs]]+Table1[[#This Row],[Other TD''s]])),IF(C847="Defensive",(25*(16-Table1[[#This Row],[Tackles]]-(8*(Table1[[#This Row],[Other TD''s]]+Table1[[#This Row],[Interceptions]]+Table1[[#This Row],[Fumbles Recovered]])))))))))))</f>
        <v/>
      </c>
      <c r="R847" s="3" t="str">
        <f t="shared" si="28"/>
        <v/>
      </c>
      <c r="S847" s="4">
        <f t="shared" si="27"/>
        <v>1048507</v>
      </c>
      <c r="T8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8" spans="1:20" hidden="1" x14ac:dyDescent="0.25">
      <c r="A848" t="s">
        <v>4</v>
      </c>
      <c r="B848" s="28" t="s">
        <v>56</v>
      </c>
      <c r="C848" t="s">
        <v>6</v>
      </c>
      <c r="D848" t="str">
        <f>_xlfn.XLOOKUP(Table1[[#This Row],[Player]]&amp;Table1[[#This Row],[Week]]&amp;Table1[[#This Row],[Role]],'Google Form Transform'!$A:$A,'Google Form Transform'!E:E,"")</f>
        <v/>
      </c>
      <c r="E848" t="str">
        <f>_xlfn.XLOOKUP(Table1[[#This Row],[Player]]&amp;Table1[[#This Row],[Week]]&amp;Table1[[#This Row],[Role]],'Google Form Transform'!$A:$A,'Google Form Transform'!F:F,"")</f>
        <v/>
      </c>
      <c r="F848" t="str">
        <f>_xlfn.XLOOKUP(Table1[[#This Row],[Player]]&amp;Table1[[#This Row],[Week]]&amp;Table1[[#This Row],[Role]],'Google Form Transform'!$A:$A,'Google Form Transform'!G:G,"")</f>
        <v/>
      </c>
      <c r="G848" s="59">
        <f>SUMIFS(Table2[Stat],Table2[Stat Category],"passing",Table2[Stat Type],"YDS",Table2[Athlete],Table1[[#This Row],[Pick]],Table2[Week],Table1[[#This Row],[Week]])</f>
        <v>0</v>
      </c>
      <c r="H848" s="59">
        <f>SUMIFS(Table2[Stat],Table2[Stat Category],"rushing",Table2[Stat Type],"YDS",Table2[Athlete],Table1[[#This Row],[Pick]],Table2[Week],Table1[[#This Row],[Week]])</f>
        <v>0</v>
      </c>
      <c r="I848" s="59">
        <f>SUMIFS(Table2[Stat],Table2[Stat Category],"receiving",Table2[Stat Type],"YDS",Table2[Athlete],Table1[[#This Row],[Pick]],Table2[Week],Table1[[#This Row],[Week]])</f>
        <v>0</v>
      </c>
      <c r="J848" s="6">
        <f>IF(AND($C848="Rushing", $H848&lt;=0), 0, IF(AND($C848="Passing", $G$3&lt;=0), 0,IF(AND($C848="Receiving",$I848&lt;=0), 0,SUMIFS(Table2[Stat],Table2[Week],Table1[[#This Row],[Week]],Table2[Athlete],Table1[[#This Row],[Pick]],Table2[Stat Category],"passing",Table2[Stat Type],"TD"))))</f>
        <v>0</v>
      </c>
      <c r="K848" s="6">
        <f>IF(AND($C848="Rushing", $H848&lt;=0), 0, IF(AND($C848="Passing", $G$3&lt;=0), 0,IF(AND($C848="Receiving",$I848&lt;=0),0,SUMIFS(Table2[Stat],Table2[Week],Table1[[#This Row],[Week]],Table2[Athlete],Table1[[#This Row],[Pick]],Table2[Stat Category],"rushing",Table2[Stat Type],"TD"))))</f>
        <v>0</v>
      </c>
      <c r="L848" s="6">
        <f>IF(AND($C848="Rushing", $H848&lt;=0), 0, IF(AND($C848="Passing", $G$3&lt;=0), 0,IF(AND($C848="Receiving",$I848&lt;=0),0,SUMIFS(Table2[Stat],Table2[Week],Table1[[#This Row],[Week]],Table2[Athlete],Table1[[#This Row],[Pick]],Table2[Stat Category],"receiving",Table2[Stat Type],"TD"))))</f>
        <v>0</v>
      </c>
      <c r="M8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8" s="61">
        <f>SUMIFS(Data!$J:$J,Data!$A:$A,Info!$B848,Data!$G:$G,Info!$C848,Data!$I:$I,Info!$D848,Data!$H:$H,"TOT")</f>
        <v>0</v>
      </c>
      <c r="O848" s="61">
        <f>IF(C848="Defensive",SUMIFS(Data!$J:$J,Data!$A:$A,Info!$B848,Data!$I:$I,Info!$D848,Data!$H:$H,"INT"),0)</f>
        <v>0</v>
      </c>
      <c r="P848" s="61">
        <f>IF(Table1[[#This Row],[Role]]="Defensive",SUMIFS(Data!$J:$J,Data!$A:$A,Info!$B848,Data!$I:$I,Info!$D848,Data!$H:$H,$P$1),0)</f>
        <v>0</v>
      </c>
      <c r="Q848" s="65" t="str">
        <f>IF(Table1[[#This Row],[Pick]]="","",IF(S848&gt;1,400,IF(G848="","",IF(C848="Passing",(400-Table1[[#This Row],[Passing Yards]]-(30*Table1[[#This Row],[Passing TDs]])-(50*SUM(Table1[[#This Row],[Rushing TDs]:[Other TD''s]]))),IF(C848="Rushing",2*(200-Table1[[#This Row],[Rushing Yards]]-(30*Table1[[#This Row],[Passing TDs]])-50*(Table1[[#This Row],[Rushing TDs]]+Table1[[#This Row],[Receiving TDs]]+Table1[[#This Row],[Other TD''s]])),IF(C848="Receiving",2*(200-Table1[[#This Row],[Receiving Yards]]-(30*Table1[[#This Row],[Passing TDs]])-50*(Table1[[#This Row],[Rushing TDs]]+Table1[[#This Row],[Receiving TDs]]+Table1[[#This Row],[Other TD''s]])),IF(C848="Defensive",(25*(16-Table1[[#This Row],[Tackles]]-(8*(Table1[[#This Row],[Other TD''s]]+Table1[[#This Row],[Interceptions]]+Table1[[#This Row],[Fumbles Recovered]])))))))))))</f>
        <v/>
      </c>
      <c r="R848" s="3" t="str">
        <f t="shared" si="28"/>
        <v/>
      </c>
      <c r="S848" s="4">
        <f t="shared" si="27"/>
        <v>1048507</v>
      </c>
      <c r="T8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9" spans="1:20" hidden="1" x14ac:dyDescent="0.25">
      <c r="A849" t="s">
        <v>4</v>
      </c>
      <c r="B849" s="28" t="s">
        <v>56</v>
      </c>
      <c r="C849" t="s">
        <v>17</v>
      </c>
      <c r="D849" t="str">
        <f>_xlfn.XLOOKUP(Table1[[#This Row],[Player]]&amp;Table1[[#This Row],[Week]]&amp;Table1[[#This Row],[Role]],'Google Form Transform'!$A:$A,'Google Form Transform'!E:E,"")</f>
        <v/>
      </c>
      <c r="E849" t="str">
        <f>_xlfn.XLOOKUP(Table1[[#This Row],[Player]]&amp;Table1[[#This Row],[Week]]&amp;Table1[[#This Row],[Role]],'Google Form Transform'!$A:$A,'Google Form Transform'!F:F,"")</f>
        <v/>
      </c>
      <c r="F849" t="str">
        <f>_xlfn.XLOOKUP(Table1[[#This Row],[Player]]&amp;Table1[[#This Row],[Week]]&amp;Table1[[#This Row],[Role]],'Google Form Transform'!$A:$A,'Google Form Transform'!G:G,"")</f>
        <v/>
      </c>
      <c r="G849" s="59">
        <f>SUMIFS(Table2[Stat],Table2[Stat Category],"passing",Table2[Stat Type],"YDS",Table2[Athlete],Table1[[#This Row],[Pick]],Table2[Week],Table1[[#This Row],[Week]])</f>
        <v>0</v>
      </c>
      <c r="H849" s="59">
        <f>SUMIFS(Table2[Stat],Table2[Stat Category],"rushing",Table2[Stat Type],"YDS",Table2[Athlete],Table1[[#This Row],[Pick]],Table2[Week],Table1[[#This Row],[Week]])</f>
        <v>0</v>
      </c>
      <c r="I849" s="59">
        <f>SUMIFS(Table2[Stat],Table2[Stat Category],"receiving",Table2[Stat Type],"YDS",Table2[Athlete],Table1[[#This Row],[Pick]],Table2[Week],Table1[[#This Row],[Week]])</f>
        <v>0</v>
      </c>
      <c r="J849" s="6">
        <f>IF(AND($C849="Rushing", $H849&lt;=0), 0, IF(AND($C849="Passing", $G$3&lt;=0), 0,IF(AND($C849="Receiving",$I849&lt;=0), 0,SUMIFS(Table2[Stat],Table2[Week],Table1[[#This Row],[Week]],Table2[Athlete],Table1[[#This Row],[Pick]],Table2[Stat Category],"passing",Table2[Stat Type],"TD"))))</f>
        <v>0</v>
      </c>
      <c r="K849" s="6">
        <f>IF(AND($C849="Rushing", $H849&lt;=0), 0, IF(AND($C849="Passing", $G$3&lt;=0), 0,IF(AND($C849="Receiving",$I849&lt;=0),0,SUMIFS(Table2[Stat],Table2[Week],Table1[[#This Row],[Week]],Table2[Athlete],Table1[[#This Row],[Pick]],Table2[Stat Category],"rushing",Table2[Stat Type],"TD"))))</f>
        <v>0</v>
      </c>
      <c r="L849" s="6">
        <f>IF(AND($C849="Rushing", $H849&lt;=0), 0, IF(AND($C849="Passing", $G$3&lt;=0), 0,IF(AND($C849="Receiving",$I849&lt;=0),0,SUMIFS(Table2[Stat],Table2[Week],Table1[[#This Row],[Week]],Table2[Athlete],Table1[[#This Row],[Pick]],Table2[Stat Category],"receiving",Table2[Stat Type],"TD"))))</f>
        <v>0</v>
      </c>
      <c r="M8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9" s="61">
        <f>SUMIFS(Data!$J:$J,Data!$A:$A,Info!$B849,Data!$G:$G,Info!$C849,Data!$I:$I,Info!$D849,Data!$H:$H,"TOT")</f>
        <v>0</v>
      </c>
      <c r="O849" s="61">
        <f>IF(C849="Defensive",SUMIFS(Data!$J:$J,Data!$A:$A,Info!$B849,Data!$I:$I,Info!$D849,Data!$H:$H,"INT"),0)</f>
        <v>0</v>
      </c>
      <c r="P849" s="61">
        <f>IF(Table1[[#This Row],[Role]]="Defensive",SUMIFS(Data!$J:$J,Data!$A:$A,Info!$B849,Data!$I:$I,Info!$D849,Data!$H:$H,$P$1),0)</f>
        <v>0</v>
      </c>
      <c r="Q849" s="65" t="str">
        <f>IF(Table1[[#This Row],[Pick]]="","",IF(S849&gt;1,400,IF(G849="","",IF(C849="Passing",(400-Table1[[#This Row],[Passing Yards]]-(30*Table1[[#This Row],[Passing TDs]])-(50*SUM(Table1[[#This Row],[Rushing TDs]:[Other TD''s]]))),IF(C849="Rushing",2*(200-Table1[[#This Row],[Rushing Yards]]-(30*Table1[[#This Row],[Passing TDs]])-50*(Table1[[#This Row],[Rushing TDs]]+Table1[[#This Row],[Receiving TDs]]+Table1[[#This Row],[Other TD''s]])),IF(C849="Receiving",2*(200-Table1[[#This Row],[Receiving Yards]]-(30*Table1[[#This Row],[Passing TDs]])-50*(Table1[[#This Row],[Rushing TDs]]+Table1[[#This Row],[Receiving TDs]]+Table1[[#This Row],[Other TD''s]])),IF(C849="Defensive",(25*(16-Table1[[#This Row],[Tackles]]-(8*(Table1[[#This Row],[Other TD''s]]+Table1[[#This Row],[Interceptions]]+Table1[[#This Row],[Fumbles Recovered]])))))))))))</f>
        <v/>
      </c>
      <c r="R849" s="3" t="str">
        <f t="shared" si="28"/>
        <v/>
      </c>
      <c r="S849" s="4">
        <f t="shared" si="27"/>
        <v>1048507</v>
      </c>
      <c r="T8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0" spans="1:20" hidden="1" x14ac:dyDescent="0.25">
      <c r="A850" t="s">
        <v>4</v>
      </c>
      <c r="B850" s="28" t="s">
        <v>56</v>
      </c>
      <c r="C850" t="s">
        <v>20</v>
      </c>
      <c r="D850" t="str">
        <f>_xlfn.XLOOKUP(Table1[[#This Row],[Player]]&amp;Table1[[#This Row],[Week]]&amp;Table1[[#This Row],[Role]],'Google Form Transform'!$A:$A,'Google Form Transform'!E:E,"")</f>
        <v/>
      </c>
      <c r="E850" t="str">
        <f>_xlfn.XLOOKUP(Table1[[#This Row],[Player]]&amp;Table1[[#This Row],[Week]]&amp;Table1[[#This Row],[Role]],'Google Form Transform'!$A:$A,'Google Form Transform'!F:F,"")</f>
        <v/>
      </c>
      <c r="F850" t="str">
        <f>_xlfn.XLOOKUP(Table1[[#This Row],[Player]]&amp;Table1[[#This Row],[Week]]&amp;Table1[[#This Row],[Role]],'Google Form Transform'!$A:$A,'Google Form Transform'!G:G,"")</f>
        <v/>
      </c>
      <c r="G850" s="59">
        <f>SUMIFS(Table2[Stat],Table2[Stat Category],"passing",Table2[Stat Type],"YDS",Table2[Athlete],Table1[[#This Row],[Pick]],Table2[Week],Table1[[#This Row],[Week]])</f>
        <v>0</v>
      </c>
      <c r="H850" s="59">
        <f>SUMIFS(Table2[Stat],Table2[Stat Category],"rushing",Table2[Stat Type],"YDS",Table2[Athlete],Table1[[#This Row],[Pick]],Table2[Week],Table1[[#This Row],[Week]])</f>
        <v>0</v>
      </c>
      <c r="I850" s="59">
        <f>SUMIFS(Table2[Stat],Table2[Stat Category],"receiving",Table2[Stat Type],"YDS",Table2[Athlete],Table1[[#This Row],[Pick]],Table2[Week],Table1[[#This Row],[Week]])</f>
        <v>0</v>
      </c>
      <c r="J850" s="6">
        <f>IF(AND($C850="Rushing", $H850&lt;=0), 0, IF(AND($C850="Passing", $G$3&lt;=0), 0,IF(AND($C850="Receiving",$I850&lt;=0), 0,SUMIFS(Table2[Stat],Table2[Week],Table1[[#This Row],[Week]],Table2[Athlete],Table1[[#This Row],[Pick]],Table2[Stat Category],"passing",Table2[Stat Type],"TD"))))</f>
        <v>0</v>
      </c>
      <c r="K850" s="6">
        <f>IF(AND($C850="Rushing", $H850&lt;=0), 0, IF(AND($C850="Passing", $G$3&lt;=0), 0,IF(AND($C850="Receiving",$I850&lt;=0),0,SUMIFS(Table2[Stat],Table2[Week],Table1[[#This Row],[Week]],Table2[Athlete],Table1[[#This Row],[Pick]],Table2[Stat Category],"rushing",Table2[Stat Type],"TD"))))</f>
        <v>0</v>
      </c>
      <c r="L850" s="6">
        <f>IF(AND($C850="Rushing", $H850&lt;=0), 0, IF(AND($C850="Passing", $G$3&lt;=0), 0,IF(AND($C850="Receiving",$I850&lt;=0),0,SUMIFS(Table2[Stat],Table2[Week],Table1[[#This Row],[Week]],Table2[Athlete],Table1[[#This Row],[Pick]],Table2[Stat Category],"receiving",Table2[Stat Type],"TD"))))</f>
        <v>0</v>
      </c>
      <c r="M8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0" s="61">
        <f>SUMIFS(Data!$J:$J,Data!$A:$A,Info!$B850,Data!$G:$G,Info!$C850,Data!$I:$I,Info!$D850,Data!$H:$H,"TOT")</f>
        <v>0</v>
      </c>
      <c r="O850" s="61">
        <f>IF(C850="Defensive",SUMIFS(Data!$J:$J,Data!$A:$A,Info!$B850,Data!$I:$I,Info!$D850,Data!$H:$H,"INT"),0)</f>
        <v>0</v>
      </c>
      <c r="P850" s="61">
        <f>IF(Table1[[#This Row],[Role]]="Defensive",SUMIFS(Data!$J:$J,Data!$A:$A,Info!$B850,Data!$I:$I,Info!$D850,Data!$H:$H,$P$1),0)</f>
        <v>0</v>
      </c>
      <c r="Q850" s="65" t="str">
        <f>IF(Table1[[#This Row],[Pick]]="","",IF(S850&gt;1,400,IF(G850="","",IF(C850="Passing",(400-Table1[[#This Row],[Passing Yards]]-(30*Table1[[#This Row],[Passing TDs]])-(50*SUM(Table1[[#This Row],[Rushing TDs]:[Other TD''s]]))),IF(C850="Rushing",2*(200-Table1[[#This Row],[Rushing Yards]]-(30*Table1[[#This Row],[Passing TDs]])-50*(Table1[[#This Row],[Rushing TDs]]+Table1[[#This Row],[Receiving TDs]]+Table1[[#This Row],[Other TD''s]])),IF(C850="Receiving",2*(200-Table1[[#This Row],[Receiving Yards]]-(30*Table1[[#This Row],[Passing TDs]])-50*(Table1[[#This Row],[Rushing TDs]]+Table1[[#This Row],[Receiving TDs]]+Table1[[#This Row],[Other TD''s]])),IF(C850="Defensive",(25*(16-Table1[[#This Row],[Tackles]]-(8*(Table1[[#This Row],[Other TD''s]]+Table1[[#This Row],[Interceptions]]+Table1[[#This Row],[Fumbles Recovered]])))))))))))</f>
        <v/>
      </c>
      <c r="R850" s="3" t="str">
        <f t="shared" si="28"/>
        <v/>
      </c>
      <c r="S850" s="4">
        <f t="shared" si="27"/>
        <v>1048507</v>
      </c>
      <c r="T8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1" spans="1:20" hidden="1" x14ac:dyDescent="0.25">
      <c r="A851" t="s">
        <v>79</v>
      </c>
      <c r="B851" s="28" t="s">
        <v>56</v>
      </c>
      <c r="C851" t="s">
        <v>16</v>
      </c>
      <c r="D851" t="str">
        <f>_xlfn.XLOOKUP(Table1[[#This Row],[Player]]&amp;Table1[[#This Row],[Week]]&amp;Table1[[#This Row],[Role]],'Google Form Transform'!$A:$A,'Google Form Transform'!E:E,"")</f>
        <v/>
      </c>
      <c r="E851" t="str">
        <f>_xlfn.XLOOKUP(Table1[[#This Row],[Player]]&amp;Table1[[#This Row],[Week]]&amp;Table1[[#This Row],[Role]],'Google Form Transform'!$A:$A,'Google Form Transform'!F:F,"")</f>
        <v/>
      </c>
      <c r="F851" t="str">
        <f>_xlfn.XLOOKUP(Table1[[#This Row],[Player]]&amp;Table1[[#This Row],[Week]]&amp;Table1[[#This Row],[Role]],'Google Form Transform'!$A:$A,'Google Form Transform'!G:G,"")</f>
        <v/>
      </c>
      <c r="G851" s="59">
        <f>SUMIFS(Table2[Stat],Table2[Stat Category],"passing",Table2[Stat Type],"YDS",Table2[Athlete],Table1[[#This Row],[Pick]],Table2[Week],Table1[[#This Row],[Week]])</f>
        <v>0</v>
      </c>
      <c r="H851" s="59">
        <f>SUMIFS(Table2[Stat],Table2[Stat Category],"rushing",Table2[Stat Type],"YDS",Table2[Athlete],Table1[[#This Row],[Pick]],Table2[Week],Table1[[#This Row],[Week]])</f>
        <v>0</v>
      </c>
      <c r="I851" s="59">
        <f>SUMIFS(Table2[Stat],Table2[Stat Category],"receiving",Table2[Stat Type],"YDS",Table2[Athlete],Table1[[#This Row],[Pick]],Table2[Week],Table1[[#This Row],[Week]])</f>
        <v>0</v>
      </c>
      <c r="J851" s="6">
        <f>IF(AND($C851="Rushing", $H851&lt;=0), 0, IF(AND($C851="Passing", $G$3&lt;=0), 0,IF(AND($C851="Receiving",$I851&lt;=0), 0,SUMIFS(Table2[Stat],Table2[Week],Table1[[#This Row],[Week]],Table2[Athlete],Table1[[#This Row],[Pick]],Table2[Stat Category],"passing",Table2[Stat Type],"TD"))))</f>
        <v>0</v>
      </c>
      <c r="K851" s="6">
        <f>IF(AND($C851="Rushing", $H851&lt;=0), 0, IF(AND($C851="Passing", $G$3&lt;=0), 0,IF(AND($C851="Receiving",$I851&lt;=0),0,SUMIFS(Table2[Stat],Table2[Week],Table1[[#This Row],[Week]],Table2[Athlete],Table1[[#This Row],[Pick]],Table2[Stat Category],"rushing",Table2[Stat Type],"TD"))))</f>
        <v>0</v>
      </c>
      <c r="L851" s="6">
        <f>IF(AND($C851="Rushing", $H851&lt;=0), 0, IF(AND($C851="Passing", $G$3&lt;=0), 0,IF(AND($C851="Receiving",$I851&lt;=0),0,SUMIFS(Table2[Stat],Table2[Week],Table1[[#This Row],[Week]],Table2[Athlete],Table1[[#This Row],[Pick]],Table2[Stat Category],"receiving",Table2[Stat Type],"TD"))))</f>
        <v>0</v>
      </c>
      <c r="M8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1" s="61">
        <f>SUMIFS(Data!$J:$J,Data!$A:$A,Info!$B851,Data!$G:$G,Info!$C851,Data!$I:$I,Info!$D851,Data!$H:$H,"TOT")</f>
        <v>0</v>
      </c>
      <c r="O851" s="61">
        <f>IF(C851="Defensive",SUMIFS(Data!$J:$J,Data!$A:$A,Info!$B851,Data!$I:$I,Info!$D851,Data!$H:$H,"INT"),0)</f>
        <v>0</v>
      </c>
      <c r="P851" s="61">
        <f>IF(Table1[[#This Row],[Role]]="Defensive",SUMIFS(Data!$J:$J,Data!$A:$A,Info!$B851,Data!$I:$I,Info!$D851,Data!$H:$H,$P$1),0)</f>
        <v>0</v>
      </c>
      <c r="Q851" s="65" t="str">
        <f>IF(Table1[[#This Row],[Pick]]="","",IF(S851&gt;1,400,IF(G851="","",IF(C851="Passing",(400-Table1[[#This Row],[Passing Yards]]-(30*Table1[[#This Row],[Passing TDs]])-(50*SUM(Table1[[#This Row],[Rushing TDs]:[Other TD''s]]))),IF(C851="Rushing",2*(200-Table1[[#This Row],[Rushing Yards]]-(30*Table1[[#This Row],[Passing TDs]])-50*(Table1[[#This Row],[Rushing TDs]]+Table1[[#This Row],[Receiving TDs]]+Table1[[#This Row],[Other TD''s]])),IF(C851="Receiving",2*(200-Table1[[#This Row],[Receiving Yards]]-(30*Table1[[#This Row],[Passing TDs]])-50*(Table1[[#This Row],[Rushing TDs]]+Table1[[#This Row],[Receiving TDs]]+Table1[[#This Row],[Other TD''s]])),IF(C851="Defensive",(25*(16-Table1[[#This Row],[Tackles]]-(8*(Table1[[#This Row],[Other TD''s]]+Table1[[#This Row],[Interceptions]]+Table1[[#This Row],[Fumbles Recovered]])))))))))))</f>
        <v/>
      </c>
      <c r="R851" s="3" t="str">
        <f t="shared" si="28"/>
        <v/>
      </c>
      <c r="S851" s="4">
        <f t="shared" si="27"/>
        <v>1048507</v>
      </c>
      <c r="T8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2" spans="1:20" hidden="1" x14ac:dyDescent="0.25">
      <c r="A852" t="s">
        <v>79</v>
      </c>
      <c r="B852" s="28" t="s">
        <v>56</v>
      </c>
      <c r="C852" t="s">
        <v>6</v>
      </c>
      <c r="D852" t="str">
        <f>_xlfn.XLOOKUP(Table1[[#This Row],[Player]]&amp;Table1[[#This Row],[Week]]&amp;Table1[[#This Row],[Role]],'Google Form Transform'!$A:$A,'Google Form Transform'!E:E,"")</f>
        <v/>
      </c>
      <c r="E852" t="str">
        <f>_xlfn.XLOOKUP(Table1[[#This Row],[Player]]&amp;Table1[[#This Row],[Week]]&amp;Table1[[#This Row],[Role]],'Google Form Transform'!$A:$A,'Google Form Transform'!F:F,"")</f>
        <v/>
      </c>
      <c r="F852" t="str">
        <f>_xlfn.XLOOKUP(Table1[[#This Row],[Player]]&amp;Table1[[#This Row],[Week]]&amp;Table1[[#This Row],[Role]],'Google Form Transform'!$A:$A,'Google Form Transform'!G:G,"")</f>
        <v/>
      </c>
      <c r="G852" s="59">
        <f>SUMIFS(Table2[Stat],Table2[Stat Category],"passing",Table2[Stat Type],"YDS",Table2[Athlete],Table1[[#This Row],[Pick]],Table2[Week],Table1[[#This Row],[Week]])</f>
        <v>0</v>
      </c>
      <c r="H852" s="59">
        <f>SUMIFS(Table2[Stat],Table2[Stat Category],"rushing",Table2[Stat Type],"YDS",Table2[Athlete],Table1[[#This Row],[Pick]],Table2[Week],Table1[[#This Row],[Week]])</f>
        <v>0</v>
      </c>
      <c r="I852" s="59">
        <f>SUMIFS(Table2[Stat],Table2[Stat Category],"receiving",Table2[Stat Type],"YDS",Table2[Athlete],Table1[[#This Row],[Pick]],Table2[Week],Table1[[#This Row],[Week]])</f>
        <v>0</v>
      </c>
      <c r="J852" s="6">
        <f>IF(AND($C852="Rushing", $H852&lt;=0), 0, IF(AND($C852="Passing", $G$3&lt;=0), 0,IF(AND($C852="Receiving",$I852&lt;=0), 0,SUMIFS(Table2[Stat],Table2[Week],Table1[[#This Row],[Week]],Table2[Athlete],Table1[[#This Row],[Pick]],Table2[Stat Category],"passing",Table2[Stat Type],"TD"))))</f>
        <v>0</v>
      </c>
      <c r="K852" s="6">
        <f>IF(AND($C852="Rushing", $H852&lt;=0), 0, IF(AND($C852="Passing", $G$3&lt;=0), 0,IF(AND($C852="Receiving",$I852&lt;=0),0,SUMIFS(Table2[Stat],Table2[Week],Table1[[#This Row],[Week]],Table2[Athlete],Table1[[#This Row],[Pick]],Table2[Stat Category],"rushing",Table2[Stat Type],"TD"))))</f>
        <v>0</v>
      </c>
      <c r="L852" s="6">
        <f>IF(AND($C852="Rushing", $H852&lt;=0), 0, IF(AND($C852="Passing", $G$3&lt;=0), 0,IF(AND($C852="Receiving",$I852&lt;=0),0,SUMIFS(Table2[Stat],Table2[Week],Table1[[#This Row],[Week]],Table2[Athlete],Table1[[#This Row],[Pick]],Table2[Stat Category],"receiving",Table2[Stat Type],"TD"))))</f>
        <v>0</v>
      </c>
      <c r="M8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2" s="61">
        <f>SUMIFS(Data!$J:$J,Data!$A:$A,Info!$B852,Data!$G:$G,Info!$C852,Data!$I:$I,Info!$D852,Data!$H:$H,"TOT")</f>
        <v>0</v>
      </c>
      <c r="O852" s="61">
        <f>IF(C852="Defensive",SUMIFS(Data!$J:$J,Data!$A:$A,Info!$B852,Data!$I:$I,Info!$D852,Data!$H:$H,"INT"),0)</f>
        <v>0</v>
      </c>
      <c r="P852" s="61">
        <f>IF(Table1[[#This Row],[Role]]="Defensive",SUMIFS(Data!$J:$J,Data!$A:$A,Info!$B852,Data!$I:$I,Info!$D852,Data!$H:$H,$P$1),0)</f>
        <v>0</v>
      </c>
      <c r="Q852" s="65" t="str">
        <f>IF(Table1[[#This Row],[Pick]]="","",IF(S852&gt;1,400,IF(G852="","",IF(C852="Passing",(400-Table1[[#This Row],[Passing Yards]]-(30*Table1[[#This Row],[Passing TDs]])-(50*SUM(Table1[[#This Row],[Rushing TDs]:[Other TD''s]]))),IF(C852="Rushing",2*(200-Table1[[#This Row],[Rushing Yards]]-(30*Table1[[#This Row],[Passing TDs]])-50*(Table1[[#This Row],[Rushing TDs]]+Table1[[#This Row],[Receiving TDs]]+Table1[[#This Row],[Other TD''s]])),IF(C852="Receiving",2*(200-Table1[[#This Row],[Receiving Yards]]-(30*Table1[[#This Row],[Passing TDs]])-50*(Table1[[#This Row],[Rushing TDs]]+Table1[[#This Row],[Receiving TDs]]+Table1[[#This Row],[Other TD''s]])),IF(C852="Defensive",(25*(16-Table1[[#This Row],[Tackles]]-(8*(Table1[[#This Row],[Other TD''s]]+Table1[[#This Row],[Interceptions]]+Table1[[#This Row],[Fumbles Recovered]])))))))))))</f>
        <v/>
      </c>
      <c r="R852" s="3" t="str">
        <f t="shared" si="28"/>
        <v/>
      </c>
      <c r="S852" s="4">
        <f t="shared" si="27"/>
        <v>1048507</v>
      </c>
      <c r="T8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3" spans="1:20" hidden="1" x14ac:dyDescent="0.25">
      <c r="A853" t="s">
        <v>79</v>
      </c>
      <c r="B853" s="28" t="s">
        <v>56</v>
      </c>
      <c r="C853" t="s">
        <v>17</v>
      </c>
      <c r="D853" t="str">
        <f>_xlfn.XLOOKUP(Table1[[#This Row],[Player]]&amp;Table1[[#This Row],[Week]]&amp;Table1[[#This Row],[Role]],'Google Form Transform'!$A:$A,'Google Form Transform'!E:E,"")</f>
        <v/>
      </c>
      <c r="E853" t="str">
        <f>_xlfn.XLOOKUP(Table1[[#This Row],[Player]]&amp;Table1[[#This Row],[Week]]&amp;Table1[[#This Row],[Role]],'Google Form Transform'!$A:$A,'Google Form Transform'!F:F,"")</f>
        <v/>
      </c>
      <c r="F853" t="str">
        <f>_xlfn.XLOOKUP(Table1[[#This Row],[Player]]&amp;Table1[[#This Row],[Week]]&amp;Table1[[#This Row],[Role]],'Google Form Transform'!$A:$A,'Google Form Transform'!G:G,"")</f>
        <v/>
      </c>
      <c r="G853" s="59">
        <f>SUMIFS(Table2[Stat],Table2[Stat Category],"passing",Table2[Stat Type],"YDS",Table2[Athlete],Table1[[#This Row],[Pick]],Table2[Week],Table1[[#This Row],[Week]])</f>
        <v>0</v>
      </c>
      <c r="H853" s="59">
        <f>SUMIFS(Table2[Stat],Table2[Stat Category],"rushing",Table2[Stat Type],"YDS",Table2[Athlete],Table1[[#This Row],[Pick]],Table2[Week],Table1[[#This Row],[Week]])</f>
        <v>0</v>
      </c>
      <c r="I853" s="59">
        <f>SUMIFS(Table2[Stat],Table2[Stat Category],"receiving",Table2[Stat Type],"YDS",Table2[Athlete],Table1[[#This Row],[Pick]],Table2[Week],Table1[[#This Row],[Week]])</f>
        <v>0</v>
      </c>
      <c r="J853" s="6">
        <f>IF(AND($C853="Rushing", $H853&lt;=0), 0, IF(AND($C853="Passing", $G$3&lt;=0), 0,IF(AND($C853="Receiving",$I853&lt;=0), 0,SUMIFS(Table2[Stat],Table2[Week],Table1[[#This Row],[Week]],Table2[Athlete],Table1[[#This Row],[Pick]],Table2[Stat Category],"passing",Table2[Stat Type],"TD"))))</f>
        <v>0</v>
      </c>
      <c r="K853" s="6">
        <f>IF(AND($C853="Rushing", $H853&lt;=0), 0, IF(AND($C853="Passing", $G$3&lt;=0), 0,IF(AND($C853="Receiving",$I853&lt;=0),0,SUMIFS(Table2[Stat],Table2[Week],Table1[[#This Row],[Week]],Table2[Athlete],Table1[[#This Row],[Pick]],Table2[Stat Category],"rushing",Table2[Stat Type],"TD"))))</f>
        <v>0</v>
      </c>
      <c r="L853" s="6">
        <f>IF(AND($C853="Rushing", $H853&lt;=0), 0, IF(AND($C853="Passing", $G$3&lt;=0), 0,IF(AND($C853="Receiving",$I853&lt;=0),0,SUMIFS(Table2[Stat],Table2[Week],Table1[[#This Row],[Week]],Table2[Athlete],Table1[[#This Row],[Pick]],Table2[Stat Category],"receiving",Table2[Stat Type],"TD"))))</f>
        <v>0</v>
      </c>
      <c r="M8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3" s="61">
        <f>SUMIFS(Data!$J:$J,Data!$A:$A,Info!$B853,Data!$G:$G,Info!$C853,Data!$I:$I,Info!$D853,Data!$H:$H,"TOT")</f>
        <v>0</v>
      </c>
      <c r="O853" s="61">
        <f>IF(C853="Defensive",SUMIFS(Data!$J:$J,Data!$A:$A,Info!$B853,Data!$I:$I,Info!$D853,Data!$H:$H,"INT"),0)</f>
        <v>0</v>
      </c>
      <c r="P853" s="61">
        <f>IF(Table1[[#This Row],[Role]]="Defensive",SUMIFS(Data!$J:$J,Data!$A:$A,Info!$B853,Data!$I:$I,Info!$D853,Data!$H:$H,$P$1),0)</f>
        <v>0</v>
      </c>
      <c r="Q853" s="65" t="str">
        <f>IF(Table1[[#This Row],[Pick]]="","",IF(S853&gt;1,400,IF(G853="","",IF(C853="Passing",(400-Table1[[#This Row],[Passing Yards]]-(30*Table1[[#This Row],[Passing TDs]])-(50*SUM(Table1[[#This Row],[Rushing TDs]:[Other TD''s]]))),IF(C853="Rushing",2*(200-Table1[[#This Row],[Rushing Yards]]-(30*Table1[[#This Row],[Passing TDs]])-50*(Table1[[#This Row],[Rushing TDs]]+Table1[[#This Row],[Receiving TDs]]+Table1[[#This Row],[Other TD''s]])),IF(C853="Receiving",2*(200-Table1[[#This Row],[Receiving Yards]]-(30*Table1[[#This Row],[Passing TDs]])-50*(Table1[[#This Row],[Rushing TDs]]+Table1[[#This Row],[Receiving TDs]]+Table1[[#This Row],[Other TD''s]])),IF(C853="Defensive",(25*(16-Table1[[#This Row],[Tackles]]-(8*(Table1[[#This Row],[Other TD''s]]+Table1[[#This Row],[Interceptions]]+Table1[[#This Row],[Fumbles Recovered]])))))))))))</f>
        <v/>
      </c>
      <c r="R853" s="3" t="str">
        <f t="shared" si="28"/>
        <v/>
      </c>
      <c r="S853" s="4">
        <f t="shared" si="27"/>
        <v>1048507</v>
      </c>
      <c r="T8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4" spans="1:20" hidden="1" x14ac:dyDescent="0.25">
      <c r="A854" t="s">
        <v>79</v>
      </c>
      <c r="B854" s="28" t="s">
        <v>56</v>
      </c>
      <c r="C854" t="s">
        <v>20</v>
      </c>
      <c r="D854" t="str">
        <f>_xlfn.XLOOKUP(Table1[[#This Row],[Player]]&amp;Table1[[#This Row],[Week]]&amp;Table1[[#This Row],[Role]],'Google Form Transform'!$A:$A,'Google Form Transform'!E:E,"")</f>
        <v/>
      </c>
      <c r="E854" t="str">
        <f>_xlfn.XLOOKUP(Table1[[#This Row],[Player]]&amp;Table1[[#This Row],[Week]]&amp;Table1[[#This Row],[Role]],'Google Form Transform'!$A:$A,'Google Form Transform'!F:F,"")</f>
        <v/>
      </c>
      <c r="F854" t="str">
        <f>_xlfn.XLOOKUP(Table1[[#This Row],[Player]]&amp;Table1[[#This Row],[Week]]&amp;Table1[[#This Row],[Role]],'Google Form Transform'!$A:$A,'Google Form Transform'!G:G,"")</f>
        <v/>
      </c>
      <c r="G854" s="59">
        <f>SUMIFS(Table2[Stat],Table2[Stat Category],"passing",Table2[Stat Type],"YDS",Table2[Athlete],Table1[[#This Row],[Pick]],Table2[Week],Table1[[#This Row],[Week]])</f>
        <v>0</v>
      </c>
      <c r="H854" s="59">
        <f>SUMIFS(Table2[Stat],Table2[Stat Category],"rushing",Table2[Stat Type],"YDS",Table2[Athlete],Table1[[#This Row],[Pick]],Table2[Week],Table1[[#This Row],[Week]])</f>
        <v>0</v>
      </c>
      <c r="I854" s="59">
        <f>SUMIFS(Table2[Stat],Table2[Stat Category],"receiving",Table2[Stat Type],"YDS",Table2[Athlete],Table1[[#This Row],[Pick]],Table2[Week],Table1[[#This Row],[Week]])</f>
        <v>0</v>
      </c>
      <c r="J854" s="6">
        <f>IF(AND($C854="Rushing", $H854&lt;=0), 0, IF(AND($C854="Passing", $G$3&lt;=0), 0,IF(AND($C854="Receiving",$I854&lt;=0), 0,SUMIFS(Table2[Stat],Table2[Week],Table1[[#This Row],[Week]],Table2[Athlete],Table1[[#This Row],[Pick]],Table2[Stat Category],"passing",Table2[Stat Type],"TD"))))</f>
        <v>0</v>
      </c>
      <c r="K854" s="6">
        <f>IF(AND($C854="Rushing", $H854&lt;=0), 0, IF(AND($C854="Passing", $G$3&lt;=0), 0,IF(AND($C854="Receiving",$I854&lt;=0),0,SUMIFS(Table2[Stat],Table2[Week],Table1[[#This Row],[Week]],Table2[Athlete],Table1[[#This Row],[Pick]],Table2[Stat Category],"rushing",Table2[Stat Type],"TD"))))</f>
        <v>0</v>
      </c>
      <c r="L854" s="6">
        <f>IF(AND($C854="Rushing", $H854&lt;=0), 0, IF(AND($C854="Passing", $G$3&lt;=0), 0,IF(AND($C854="Receiving",$I854&lt;=0),0,SUMIFS(Table2[Stat],Table2[Week],Table1[[#This Row],[Week]],Table2[Athlete],Table1[[#This Row],[Pick]],Table2[Stat Category],"receiving",Table2[Stat Type],"TD"))))</f>
        <v>0</v>
      </c>
      <c r="M8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4" s="61">
        <f>SUMIFS(Data!$J:$J,Data!$A:$A,Info!$B854,Data!$G:$G,Info!$C854,Data!$I:$I,Info!$D854,Data!$H:$H,"TOT")</f>
        <v>0</v>
      </c>
      <c r="O854" s="61">
        <f>IF(C854="Defensive",SUMIFS(Data!$J:$J,Data!$A:$A,Info!$B854,Data!$I:$I,Info!$D854,Data!$H:$H,"INT"),0)</f>
        <v>0</v>
      </c>
      <c r="P854" s="61">
        <f>IF(Table1[[#This Row],[Role]]="Defensive",SUMIFS(Data!$J:$J,Data!$A:$A,Info!$B854,Data!$I:$I,Info!$D854,Data!$H:$H,$P$1),0)</f>
        <v>0</v>
      </c>
      <c r="Q854" s="65" t="str">
        <f>IF(Table1[[#This Row],[Pick]]="","",IF(S854&gt;1,400,IF(G854="","",IF(C854="Passing",(400-Table1[[#This Row],[Passing Yards]]-(30*Table1[[#This Row],[Passing TDs]])-(50*SUM(Table1[[#This Row],[Rushing TDs]:[Other TD''s]]))),IF(C854="Rushing",2*(200-Table1[[#This Row],[Rushing Yards]]-(30*Table1[[#This Row],[Passing TDs]])-50*(Table1[[#This Row],[Rushing TDs]]+Table1[[#This Row],[Receiving TDs]]+Table1[[#This Row],[Other TD''s]])),IF(C854="Receiving",2*(200-Table1[[#This Row],[Receiving Yards]]-(30*Table1[[#This Row],[Passing TDs]])-50*(Table1[[#This Row],[Rushing TDs]]+Table1[[#This Row],[Receiving TDs]]+Table1[[#This Row],[Other TD''s]])),IF(C854="Defensive",(25*(16-Table1[[#This Row],[Tackles]]-(8*(Table1[[#This Row],[Other TD''s]]+Table1[[#This Row],[Interceptions]]+Table1[[#This Row],[Fumbles Recovered]])))))))))))</f>
        <v/>
      </c>
      <c r="R854" s="3" t="str">
        <f t="shared" si="28"/>
        <v/>
      </c>
      <c r="S854" s="4">
        <f t="shared" si="27"/>
        <v>1048507</v>
      </c>
      <c r="T8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5" spans="1:20" hidden="1" x14ac:dyDescent="0.25">
      <c r="A855" t="s">
        <v>58</v>
      </c>
      <c r="B855" s="28" t="s">
        <v>56</v>
      </c>
      <c r="C855" t="s">
        <v>16</v>
      </c>
      <c r="D855" t="str">
        <f>_xlfn.XLOOKUP(Table1[[#This Row],[Player]]&amp;Table1[[#This Row],[Week]]&amp;Table1[[#This Row],[Role]],'Google Form Transform'!$A:$A,'Google Form Transform'!E:E,"")</f>
        <v/>
      </c>
      <c r="E855" t="str">
        <f>_xlfn.XLOOKUP(Table1[[#This Row],[Player]]&amp;Table1[[#This Row],[Week]]&amp;Table1[[#This Row],[Role]],'Google Form Transform'!$A:$A,'Google Form Transform'!F:F,"")</f>
        <v/>
      </c>
      <c r="F855" t="str">
        <f>_xlfn.XLOOKUP(Table1[[#This Row],[Player]]&amp;Table1[[#This Row],[Week]]&amp;Table1[[#This Row],[Role]],'Google Form Transform'!$A:$A,'Google Form Transform'!G:G,"")</f>
        <v/>
      </c>
      <c r="G855" s="59">
        <f>SUMIFS(Table2[Stat],Table2[Stat Category],"passing",Table2[Stat Type],"YDS",Table2[Athlete],Table1[[#This Row],[Pick]],Table2[Week],Table1[[#This Row],[Week]])</f>
        <v>0</v>
      </c>
      <c r="H855" s="59">
        <f>SUMIFS(Table2[Stat],Table2[Stat Category],"rushing",Table2[Stat Type],"YDS",Table2[Athlete],Table1[[#This Row],[Pick]],Table2[Week],Table1[[#This Row],[Week]])</f>
        <v>0</v>
      </c>
      <c r="I855" s="59">
        <f>SUMIFS(Table2[Stat],Table2[Stat Category],"receiving",Table2[Stat Type],"YDS",Table2[Athlete],Table1[[#This Row],[Pick]],Table2[Week],Table1[[#This Row],[Week]])</f>
        <v>0</v>
      </c>
      <c r="J855" s="6">
        <f>IF(AND($C855="Rushing", $H855&lt;=0), 0, IF(AND($C855="Passing", $G$3&lt;=0), 0,IF(AND($C855="Receiving",$I855&lt;=0), 0,SUMIFS(Table2[Stat],Table2[Week],Table1[[#This Row],[Week]],Table2[Athlete],Table1[[#This Row],[Pick]],Table2[Stat Category],"passing",Table2[Stat Type],"TD"))))</f>
        <v>0</v>
      </c>
      <c r="K855" s="6">
        <f>IF(AND($C855="Rushing", $H855&lt;=0), 0, IF(AND($C855="Passing", $G$3&lt;=0), 0,IF(AND($C855="Receiving",$I855&lt;=0),0,SUMIFS(Table2[Stat],Table2[Week],Table1[[#This Row],[Week]],Table2[Athlete],Table1[[#This Row],[Pick]],Table2[Stat Category],"rushing",Table2[Stat Type],"TD"))))</f>
        <v>0</v>
      </c>
      <c r="L855" s="6">
        <f>IF(AND($C855="Rushing", $H855&lt;=0), 0, IF(AND($C855="Passing", $G$3&lt;=0), 0,IF(AND($C855="Receiving",$I855&lt;=0),0,SUMIFS(Table2[Stat],Table2[Week],Table1[[#This Row],[Week]],Table2[Athlete],Table1[[#This Row],[Pick]],Table2[Stat Category],"receiving",Table2[Stat Type],"TD"))))</f>
        <v>0</v>
      </c>
      <c r="M8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5" s="61">
        <f>SUMIFS(Data!$J:$J,Data!$A:$A,Info!$B855,Data!$G:$G,Info!$C855,Data!$I:$I,Info!$D855,Data!$H:$H,"TOT")</f>
        <v>0</v>
      </c>
      <c r="O855" s="61">
        <f>IF(C855="Defensive",SUMIFS(Data!$J:$J,Data!$A:$A,Info!$B855,Data!$I:$I,Info!$D855,Data!$H:$H,"INT"),0)</f>
        <v>0</v>
      </c>
      <c r="P855" s="61">
        <f>IF(Table1[[#This Row],[Role]]="Defensive",SUMIFS(Data!$J:$J,Data!$A:$A,Info!$B855,Data!$I:$I,Info!$D855,Data!$H:$H,$P$1),0)</f>
        <v>0</v>
      </c>
      <c r="Q855" s="65" t="str">
        <f>IF(Table1[[#This Row],[Pick]]="","",IF(S855&gt;1,400,IF(G855="","",IF(C855="Passing",(400-Table1[[#This Row],[Passing Yards]]-(30*Table1[[#This Row],[Passing TDs]])-(50*SUM(Table1[[#This Row],[Rushing TDs]:[Other TD''s]]))),IF(C855="Rushing",2*(200-Table1[[#This Row],[Rushing Yards]]-(30*Table1[[#This Row],[Passing TDs]])-50*(Table1[[#This Row],[Rushing TDs]]+Table1[[#This Row],[Receiving TDs]]+Table1[[#This Row],[Other TD''s]])),IF(C855="Receiving",2*(200-Table1[[#This Row],[Receiving Yards]]-(30*Table1[[#This Row],[Passing TDs]])-50*(Table1[[#This Row],[Rushing TDs]]+Table1[[#This Row],[Receiving TDs]]+Table1[[#This Row],[Other TD''s]])),IF(C855="Defensive",(25*(16-Table1[[#This Row],[Tackles]]-(8*(Table1[[#This Row],[Other TD''s]]+Table1[[#This Row],[Interceptions]]+Table1[[#This Row],[Fumbles Recovered]])))))))))))</f>
        <v/>
      </c>
      <c r="R855" s="3" t="str">
        <f t="shared" si="28"/>
        <v/>
      </c>
      <c r="S855" s="4">
        <f t="shared" si="27"/>
        <v>1048507</v>
      </c>
      <c r="T8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6" spans="1:20" hidden="1" x14ac:dyDescent="0.25">
      <c r="A856" t="s">
        <v>58</v>
      </c>
      <c r="B856" s="28" t="s">
        <v>56</v>
      </c>
      <c r="C856" t="s">
        <v>6</v>
      </c>
      <c r="D856" t="str">
        <f>_xlfn.XLOOKUP(Table1[[#This Row],[Player]]&amp;Table1[[#This Row],[Week]]&amp;Table1[[#This Row],[Role]],'Google Form Transform'!$A:$A,'Google Form Transform'!E:E,"")</f>
        <v/>
      </c>
      <c r="E856" t="str">
        <f>_xlfn.XLOOKUP(Table1[[#This Row],[Player]]&amp;Table1[[#This Row],[Week]]&amp;Table1[[#This Row],[Role]],'Google Form Transform'!$A:$A,'Google Form Transform'!F:F,"")</f>
        <v/>
      </c>
      <c r="F856" t="str">
        <f>_xlfn.XLOOKUP(Table1[[#This Row],[Player]]&amp;Table1[[#This Row],[Week]]&amp;Table1[[#This Row],[Role]],'Google Form Transform'!$A:$A,'Google Form Transform'!G:G,"")</f>
        <v/>
      </c>
      <c r="G856" s="59">
        <f>SUMIFS(Table2[Stat],Table2[Stat Category],"passing",Table2[Stat Type],"YDS",Table2[Athlete],Table1[[#This Row],[Pick]],Table2[Week],Table1[[#This Row],[Week]])</f>
        <v>0</v>
      </c>
      <c r="H856" s="59">
        <f>SUMIFS(Table2[Stat],Table2[Stat Category],"rushing",Table2[Stat Type],"YDS",Table2[Athlete],Table1[[#This Row],[Pick]],Table2[Week],Table1[[#This Row],[Week]])</f>
        <v>0</v>
      </c>
      <c r="I856" s="59">
        <f>SUMIFS(Table2[Stat],Table2[Stat Category],"receiving",Table2[Stat Type],"YDS",Table2[Athlete],Table1[[#This Row],[Pick]],Table2[Week],Table1[[#This Row],[Week]])</f>
        <v>0</v>
      </c>
      <c r="J856" s="6">
        <f>IF(AND($C856="Rushing", $H856&lt;=0), 0, IF(AND($C856="Passing", $G$3&lt;=0), 0,IF(AND($C856="Receiving",$I856&lt;=0), 0,SUMIFS(Table2[Stat],Table2[Week],Table1[[#This Row],[Week]],Table2[Athlete],Table1[[#This Row],[Pick]],Table2[Stat Category],"passing",Table2[Stat Type],"TD"))))</f>
        <v>0</v>
      </c>
      <c r="K856" s="6">
        <f>IF(AND($C856="Rushing", $H856&lt;=0), 0, IF(AND($C856="Passing", $G$3&lt;=0), 0,IF(AND($C856="Receiving",$I856&lt;=0),0,SUMIFS(Table2[Stat],Table2[Week],Table1[[#This Row],[Week]],Table2[Athlete],Table1[[#This Row],[Pick]],Table2[Stat Category],"rushing",Table2[Stat Type],"TD"))))</f>
        <v>0</v>
      </c>
      <c r="L856" s="6">
        <f>IF(AND($C856="Rushing", $H856&lt;=0), 0, IF(AND($C856="Passing", $G$3&lt;=0), 0,IF(AND($C856="Receiving",$I856&lt;=0),0,SUMIFS(Table2[Stat],Table2[Week],Table1[[#This Row],[Week]],Table2[Athlete],Table1[[#This Row],[Pick]],Table2[Stat Category],"receiving",Table2[Stat Type],"TD"))))</f>
        <v>0</v>
      </c>
      <c r="M8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6" s="61">
        <f>SUMIFS(Data!$J:$J,Data!$A:$A,Info!$B856,Data!$G:$G,Info!$C856,Data!$I:$I,Info!$D856,Data!$H:$H,"TOT")</f>
        <v>0</v>
      </c>
      <c r="O856" s="61">
        <f>IF(C856="Defensive",SUMIFS(Data!$J:$J,Data!$A:$A,Info!$B856,Data!$I:$I,Info!$D856,Data!$H:$H,"INT"),0)</f>
        <v>0</v>
      </c>
      <c r="P856" s="61">
        <f>IF(Table1[[#This Row],[Role]]="Defensive",SUMIFS(Data!$J:$J,Data!$A:$A,Info!$B856,Data!$I:$I,Info!$D856,Data!$H:$H,$P$1),0)</f>
        <v>0</v>
      </c>
      <c r="Q856" s="65" t="str">
        <f>IF(Table1[[#This Row],[Pick]]="","",IF(S856&gt;1,400,IF(G856="","",IF(C856="Passing",(400-Table1[[#This Row],[Passing Yards]]-(30*Table1[[#This Row],[Passing TDs]])-(50*SUM(Table1[[#This Row],[Rushing TDs]:[Other TD''s]]))),IF(C856="Rushing",2*(200-Table1[[#This Row],[Rushing Yards]]-(30*Table1[[#This Row],[Passing TDs]])-50*(Table1[[#This Row],[Rushing TDs]]+Table1[[#This Row],[Receiving TDs]]+Table1[[#This Row],[Other TD''s]])),IF(C856="Receiving",2*(200-Table1[[#This Row],[Receiving Yards]]-(30*Table1[[#This Row],[Passing TDs]])-50*(Table1[[#This Row],[Rushing TDs]]+Table1[[#This Row],[Receiving TDs]]+Table1[[#This Row],[Other TD''s]])),IF(C856="Defensive",(25*(16-Table1[[#This Row],[Tackles]]-(8*(Table1[[#This Row],[Other TD''s]]+Table1[[#This Row],[Interceptions]]+Table1[[#This Row],[Fumbles Recovered]])))))))))))</f>
        <v/>
      </c>
      <c r="R856" s="3" t="str">
        <f t="shared" si="28"/>
        <v/>
      </c>
      <c r="S856" s="4">
        <f t="shared" si="27"/>
        <v>1048507</v>
      </c>
      <c r="T8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7" spans="1:20" hidden="1" x14ac:dyDescent="0.25">
      <c r="A857" t="s">
        <v>58</v>
      </c>
      <c r="B857" s="28" t="s">
        <v>56</v>
      </c>
      <c r="C857" t="s">
        <v>17</v>
      </c>
      <c r="D857" t="str">
        <f>_xlfn.XLOOKUP(Table1[[#This Row],[Player]]&amp;Table1[[#This Row],[Week]]&amp;Table1[[#This Row],[Role]],'Google Form Transform'!$A:$A,'Google Form Transform'!E:E,"")</f>
        <v/>
      </c>
      <c r="E857" t="str">
        <f>_xlfn.XLOOKUP(Table1[[#This Row],[Player]]&amp;Table1[[#This Row],[Week]]&amp;Table1[[#This Row],[Role]],'Google Form Transform'!$A:$A,'Google Form Transform'!F:F,"")</f>
        <v/>
      </c>
      <c r="F857" t="str">
        <f>_xlfn.XLOOKUP(Table1[[#This Row],[Player]]&amp;Table1[[#This Row],[Week]]&amp;Table1[[#This Row],[Role]],'Google Form Transform'!$A:$A,'Google Form Transform'!G:G,"")</f>
        <v/>
      </c>
      <c r="G857" s="59">
        <f>SUMIFS(Table2[Stat],Table2[Stat Category],"passing",Table2[Stat Type],"YDS",Table2[Athlete],Table1[[#This Row],[Pick]],Table2[Week],Table1[[#This Row],[Week]])</f>
        <v>0</v>
      </c>
      <c r="H857" s="59">
        <f>SUMIFS(Table2[Stat],Table2[Stat Category],"rushing",Table2[Stat Type],"YDS",Table2[Athlete],Table1[[#This Row],[Pick]],Table2[Week],Table1[[#This Row],[Week]])</f>
        <v>0</v>
      </c>
      <c r="I857" s="59">
        <f>SUMIFS(Table2[Stat],Table2[Stat Category],"receiving",Table2[Stat Type],"YDS",Table2[Athlete],Table1[[#This Row],[Pick]],Table2[Week],Table1[[#This Row],[Week]])</f>
        <v>0</v>
      </c>
      <c r="J857" s="6">
        <f>IF(AND($C857="Rushing", $H857&lt;=0), 0, IF(AND($C857="Passing", $G$3&lt;=0), 0,IF(AND($C857="Receiving",$I857&lt;=0), 0,SUMIFS(Table2[Stat],Table2[Week],Table1[[#This Row],[Week]],Table2[Athlete],Table1[[#This Row],[Pick]],Table2[Stat Category],"passing",Table2[Stat Type],"TD"))))</f>
        <v>0</v>
      </c>
      <c r="K857" s="6">
        <f>IF(AND($C857="Rushing", $H857&lt;=0), 0, IF(AND($C857="Passing", $G$3&lt;=0), 0,IF(AND($C857="Receiving",$I857&lt;=0),0,SUMIFS(Table2[Stat],Table2[Week],Table1[[#This Row],[Week]],Table2[Athlete],Table1[[#This Row],[Pick]],Table2[Stat Category],"rushing",Table2[Stat Type],"TD"))))</f>
        <v>0</v>
      </c>
      <c r="L857" s="6">
        <f>IF(AND($C857="Rushing", $H857&lt;=0), 0, IF(AND($C857="Passing", $G$3&lt;=0), 0,IF(AND($C857="Receiving",$I857&lt;=0),0,SUMIFS(Table2[Stat],Table2[Week],Table1[[#This Row],[Week]],Table2[Athlete],Table1[[#This Row],[Pick]],Table2[Stat Category],"receiving",Table2[Stat Type],"TD"))))</f>
        <v>0</v>
      </c>
      <c r="M8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7" s="61">
        <f>SUMIFS(Data!$J:$J,Data!$A:$A,Info!$B857,Data!$G:$G,Info!$C857,Data!$I:$I,Info!$D857,Data!$H:$H,"TOT")</f>
        <v>0</v>
      </c>
      <c r="O857" s="61">
        <f>IF(C857="Defensive",SUMIFS(Data!$J:$J,Data!$A:$A,Info!$B857,Data!$I:$I,Info!$D857,Data!$H:$H,"INT"),0)</f>
        <v>0</v>
      </c>
      <c r="P857" s="61">
        <f>IF(Table1[[#This Row],[Role]]="Defensive",SUMIFS(Data!$J:$J,Data!$A:$A,Info!$B857,Data!$I:$I,Info!$D857,Data!$H:$H,$P$1),0)</f>
        <v>0</v>
      </c>
      <c r="Q857" s="65" t="str">
        <f>IF(Table1[[#This Row],[Pick]]="","",IF(S857&gt;1,400,IF(G857="","",IF(C857="Passing",(400-Table1[[#This Row],[Passing Yards]]-(30*Table1[[#This Row],[Passing TDs]])-(50*SUM(Table1[[#This Row],[Rushing TDs]:[Other TD''s]]))),IF(C857="Rushing",2*(200-Table1[[#This Row],[Rushing Yards]]-(30*Table1[[#This Row],[Passing TDs]])-50*(Table1[[#This Row],[Rushing TDs]]+Table1[[#This Row],[Receiving TDs]]+Table1[[#This Row],[Other TD''s]])),IF(C857="Receiving",2*(200-Table1[[#This Row],[Receiving Yards]]-(30*Table1[[#This Row],[Passing TDs]])-50*(Table1[[#This Row],[Rushing TDs]]+Table1[[#This Row],[Receiving TDs]]+Table1[[#This Row],[Other TD''s]])),IF(C857="Defensive",(25*(16-Table1[[#This Row],[Tackles]]-(8*(Table1[[#This Row],[Other TD''s]]+Table1[[#This Row],[Interceptions]]+Table1[[#This Row],[Fumbles Recovered]])))))))))))</f>
        <v/>
      </c>
      <c r="R857" s="3" t="str">
        <f t="shared" si="28"/>
        <v/>
      </c>
      <c r="S857" s="4">
        <f t="shared" si="27"/>
        <v>1048507</v>
      </c>
      <c r="T8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8" spans="1:20" hidden="1" x14ac:dyDescent="0.25">
      <c r="A858" t="s">
        <v>58</v>
      </c>
      <c r="B858" s="28" t="s">
        <v>56</v>
      </c>
      <c r="C858" t="s">
        <v>20</v>
      </c>
      <c r="D858" t="str">
        <f>_xlfn.XLOOKUP(Table1[[#This Row],[Player]]&amp;Table1[[#This Row],[Week]]&amp;Table1[[#This Row],[Role]],'Google Form Transform'!$A:$A,'Google Form Transform'!E:E,"")</f>
        <v/>
      </c>
      <c r="E858" t="str">
        <f>_xlfn.XLOOKUP(Table1[[#This Row],[Player]]&amp;Table1[[#This Row],[Week]]&amp;Table1[[#This Row],[Role]],'Google Form Transform'!$A:$A,'Google Form Transform'!F:F,"")</f>
        <v/>
      </c>
      <c r="F858" t="str">
        <f>_xlfn.XLOOKUP(Table1[[#This Row],[Player]]&amp;Table1[[#This Row],[Week]]&amp;Table1[[#This Row],[Role]],'Google Form Transform'!$A:$A,'Google Form Transform'!G:G,"")</f>
        <v/>
      </c>
      <c r="G858" s="59">
        <f>SUMIFS(Table2[Stat],Table2[Stat Category],"passing",Table2[Stat Type],"YDS",Table2[Athlete],Table1[[#This Row],[Pick]],Table2[Week],Table1[[#This Row],[Week]])</f>
        <v>0</v>
      </c>
      <c r="H858" s="59">
        <f>SUMIFS(Table2[Stat],Table2[Stat Category],"rushing",Table2[Stat Type],"YDS",Table2[Athlete],Table1[[#This Row],[Pick]],Table2[Week],Table1[[#This Row],[Week]])</f>
        <v>0</v>
      </c>
      <c r="I858" s="59">
        <f>SUMIFS(Table2[Stat],Table2[Stat Category],"receiving",Table2[Stat Type],"YDS",Table2[Athlete],Table1[[#This Row],[Pick]],Table2[Week],Table1[[#This Row],[Week]])</f>
        <v>0</v>
      </c>
      <c r="J858" s="6">
        <f>IF(AND($C858="Rushing", $H858&lt;=0), 0, IF(AND($C858="Passing", $G$3&lt;=0), 0,IF(AND($C858="Receiving",$I858&lt;=0), 0,SUMIFS(Table2[Stat],Table2[Week],Table1[[#This Row],[Week]],Table2[Athlete],Table1[[#This Row],[Pick]],Table2[Stat Category],"passing",Table2[Stat Type],"TD"))))</f>
        <v>0</v>
      </c>
      <c r="K858" s="6">
        <f>IF(AND($C858="Rushing", $H858&lt;=0), 0, IF(AND($C858="Passing", $G$3&lt;=0), 0,IF(AND($C858="Receiving",$I858&lt;=0),0,SUMIFS(Table2[Stat],Table2[Week],Table1[[#This Row],[Week]],Table2[Athlete],Table1[[#This Row],[Pick]],Table2[Stat Category],"rushing",Table2[Stat Type],"TD"))))</f>
        <v>0</v>
      </c>
      <c r="L858" s="6">
        <f>IF(AND($C858="Rushing", $H858&lt;=0), 0, IF(AND($C858="Passing", $G$3&lt;=0), 0,IF(AND($C858="Receiving",$I858&lt;=0),0,SUMIFS(Table2[Stat],Table2[Week],Table1[[#This Row],[Week]],Table2[Athlete],Table1[[#This Row],[Pick]],Table2[Stat Category],"receiving",Table2[Stat Type],"TD"))))</f>
        <v>0</v>
      </c>
      <c r="M8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8" s="61">
        <f>SUMIFS(Data!$J:$J,Data!$A:$A,Info!$B858,Data!$G:$G,Info!$C858,Data!$I:$I,Info!$D858,Data!$H:$H,"TOT")</f>
        <v>0</v>
      </c>
      <c r="O858" s="61">
        <f>IF(C858="Defensive",SUMIFS(Data!$J:$J,Data!$A:$A,Info!$B858,Data!$I:$I,Info!$D858,Data!$H:$H,"INT"),0)</f>
        <v>0</v>
      </c>
      <c r="P858" s="61">
        <f>IF(Table1[[#This Row],[Role]]="Defensive",SUMIFS(Data!$J:$J,Data!$A:$A,Info!$B858,Data!$I:$I,Info!$D858,Data!$H:$H,$P$1),0)</f>
        <v>0</v>
      </c>
      <c r="Q858" s="65" t="str">
        <f>IF(Table1[[#This Row],[Pick]]="","",IF(S858&gt;1,400,IF(G858="","",IF(C858="Passing",(400-Table1[[#This Row],[Passing Yards]]-(30*Table1[[#This Row],[Passing TDs]])-(50*SUM(Table1[[#This Row],[Rushing TDs]:[Other TD''s]]))),IF(C858="Rushing",2*(200-Table1[[#This Row],[Rushing Yards]]-(30*Table1[[#This Row],[Passing TDs]])-50*(Table1[[#This Row],[Rushing TDs]]+Table1[[#This Row],[Receiving TDs]]+Table1[[#This Row],[Other TD''s]])),IF(C858="Receiving",2*(200-Table1[[#This Row],[Receiving Yards]]-(30*Table1[[#This Row],[Passing TDs]])-50*(Table1[[#This Row],[Rushing TDs]]+Table1[[#This Row],[Receiving TDs]]+Table1[[#This Row],[Other TD''s]])),IF(C858="Defensive",(25*(16-Table1[[#This Row],[Tackles]]-(8*(Table1[[#This Row],[Other TD''s]]+Table1[[#This Row],[Interceptions]]+Table1[[#This Row],[Fumbles Recovered]])))))))))))</f>
        <v/>
      </c>
      <c r="R858" s="3" t="str">
        <f t="shared" si="28"/>
        <v/>
      </c>
      <c r="S858" s="4">
        <f t="shared" si="27"/>
        <v>1048507</v>
      </c>
      <c r="T8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9" spans="1:20" hidden="1" x14ac:dyDescent="0.25">
      <c r="A859" t="s">
        <v>61</v>
      </c>
      <c r="B859" s="28" t="s">
        <v>56</v>
      </c>
      <c r="C859" t="s">
        <v>16</v>
      </c>
      <c r="D859" t="str">
        <f>_xlfn.XLOOKUP(Table1[[#This Row],[Player]]&amp;Table1[[#This Row],[Week]]&amp;Table1[[#This Row],[Role]],'Google Form Transform'!$A:$A,'Google Form Transform'!E:E,"")</f>
        <v/>
      </c>
      <c r="E859" t="str">
        <f>_xlfn.XLOOKUP(Table1[[#This Row],[Player]]&amp;Table1[[#This Row],[Week]]&amp;Table1[[#This Row],[Role]],'Google Form Transform'!$A:$A,'Google Form Transform'!F:F,"")</f>
        <v/>
      </c>
      <c r="F859" t="str">
        <f>_xlfn.XLOOKUP(Table1[[#This Row],[Player]]&amp;Table1[[#This Row],[Week]]&amp;Table1[[#This Row],[Role]],'Google Form Transform'!$A:$A,'Google Form Transform'!G:G,"")</f>
        <v/>
      </c>
      <c r="G859" s="59">
        <f>SUMIFS(Table2[Stat],Table2[Stat Category],"passing",Table2[Stat Type],"YDS",Table2[Athlete],Table1[[#This Row],[Pick]],Table2[Week],Table1[[#This Row],[Week]])</f>
        <v>0</v>
      </c>
      <c r="H859" s="59">
        <f>SUMIFS(Table2[Stat],Table2[Stat Category],"rushing",Table2[Stat Type],"YDS",Table2[Athlete],Table1[[#This Row],[Pick]],Table2[Week],Table1[[#This Row],[Week]])</f>
        <v>0</v>
      </c>
      <c r="I859" s="59">
        <f>SUMIFS(Table2[Stat],Table2[Stat Category],"receiving",Table2[Stat Type],"YDS",Table2[Athlete],Table1[[#This Row],[Pick]],Table2[Week],Table1[[#This Row],[Week]])</f>
        <v>0</v>
      </c>
      <c r="J859" s="6">
        <f>IF(AND($C859="Rushing", $H859&lt;=0), 0, IF(AND($C859="Passing", $G$3&lt;=0), 0,IF(AND($C859="Receiving",$I859&lt;=0), 0,SUMIFS(Table2[Stat],Table2[Week],Table1[[#This Row],[Week]],Table2[Athlete],Table1[[#This Row],[Pick]],Table2[Stat Category],"passing",Table2[Stat Type],"TD"))))</f>
        <v>0</v>
      </c>
      <c r="K859" s="6">
        <f>IF(AND($C859="Rushing", $H859&lt;=0), 0, IF(AND($C859="Passing", $G$3&lt;=0), 0,IF(AND($C859="Receiving",$I859&lt;=0),0,SUMIFS(Table2[Stat],Table2[Week],Table1[[#This Row],[Week]],Table2[Athlete],Table1[[#This Row],[Pick]],Table2[Stat Category],"rushing",Table2[Stat Type],"TD"))))</f>
        <v>0</v>
      </c>
      <c r="L859" s="6">
        <f>IF(AND($C859="Rushing", $H859&lt;=0), 0, IF(AND($C859="Passing", $G$3&lt;=0), 0,IF(AND($C859="Receiving",$I859&lt;=0),0,SUMIFS(Table2[Stat],Table2[Week],Table1[[#This Row],[Week]],Table2[Athlete],Table1[[#This Row],[Pick]],Table2[Stat Category],"receiving",Table2[Stat Type],"TD"))))</f>
        <v>0</v>
      </c>
      <c r="M8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9" s="61">
        <f>SUMIFS(Data!$J:$J,Data!$A:$A,Info!$B859,Data!$G:$G,Info!$C859,Data!$I:$I,Info!$D859,Data!$H:$H,"TOT")</f>
        <v>0</v>
      </c>
      <c r="O859" s="61">
        <f>IF(C859="Defensive",SUMIFS(Data!$J:$J,Data!$A:$A,Info!$B859,Data!$I:$I,Info!$D859,Data!$H:$H,"INT"),0)</f>
        <v>0</v>
      </c>
      <c r="P859" s="61">
        <f>IF(Table1[[#This Row],[Role]]="Defensive",SUMIFS(Data!$J:$J,Data!$A:$A,Info!$B859,Data!$I:$I,Info!$D859,Data!$H:$H,$P$1),0)</f>
        <v>0</v>
      </c>
      <c r="Q859" s="65" t="str">
        <f>IF(Table1[[#This Row],[Pick]]="","",IF(S859&gt;1,400,IF(G859="","",IF(C859="Passing",(400-Table1[[#This Row],[Passing Yards]]-(30*Table1[[#This Row],[Passing TDs]])-(50*SUM(Table1[[#This Row],[Rushing TDs]:[Other TD''s]]))),IF(C859="Rushing",2*(200-Table1[[#This Row],[Rushing Yards]]-(30*Table1[[#This Row],[Passing TDs]])-50*(Table1[[#This Row],[Rushing TDs]]+Table1[[#This Row],[Receiving TDs]]+Table1[[#This Row],[Other TD''s]])),IF(C859="Receiving",2*(200-Table1[[#This Row],[Receiving Yards]]-(30*Table1[[#This Row],[Passing TDs]])-50*(Table1[[#This Row],[Rushing TDs]]+Table1[[#This Row],[Receiving TDs]]+Table1[[#This Row],[Other TD''s]])),IF(C859="Defensive",(25*(16-Table1[[#This Row],[Tackles]]-(8*(Table1[[#This Row],[Other TD''s]]+Table1[[#This Row],[Interceptions]]+Table1[[#This Row],[Fumbles Recovered]])))))))))))</f>
        <v/>
      </c>
      <c r="R859" s="3" t="str">
        <f t="shared" si="28"/>
        <v/>
      </c>
      <c r="S859" s="4">
        <f t="shared" si="27"/>
        <v>1048507</v>
      </c>
      <c r="T8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0" spans="1:20" hidden="1" x14ac:dyDescent="0.25">
      <c r="A860" t="s">
        <v>61</v>
      </c>
      <c r="B860" s="28" t="s">
        <v>56</v>
      </c>
      <c r="C860" t="s">
        <v>6</v>
      </c>
      <c r="D860" t="str">
        <f>_xlfn.XLOOKUP(Table1[[#This Row],[Player]]&amp;Table1[[#This Row],[Week]]&amp;Table1[[#This Row],[Role]],'Google Form Transform'!$A:$A,'Google Form Transform'!E:E,"")</f>
        <v/>
      </c>
      <c r="E860" t="str">
        <f>_xlfn.XLOOKUP(Table1[[#This Row],[Player]]&amp;Table1[[#This Row],[Week]]&amp;Table1[[#This Row],[Role]],'Google Form Transform'!$A:$A,'Google Form Transform'!F:F,"")</f>
        <v/>
      </c>
      <c r="F860" t="str">
        <f>_xlfn.XLOOKUP(Table1[[#This Row],[Player]]&amp;Table1[[#This Row],[Week]]&amp;Table1[[#This Row],[Role]],'Google Form Transform'!$A:$A,'Google Form Transform'!G:G,"")</f>
        <v/>
      </c>
      <c r="G860" s="59">
        <f>SUMIFS(Table2[Stat],Table2[Stat Category],"passing",Table2[Stat Type],"YDS",Table2[Athlete],Table1[[#This Row],[Pick]],Table2[Week],Table1[[#This Row],[Week]])</f>
        <v>0</v>
      </c>
      <c r="H860" s="59">
        <f>SUMIFS(Table2[Stat],Table2[Stat Category],"rushing",Table2[Stat Type],"YDS",Table2[Athlete],Table1[[#This Row],[Pick]],Table2[Week],Table1[[#This Row],[Week]])</f>
        <v>0</v>
      </c>
      <c r="I860" s="59">
        <f>SUMIFS(Table2[Stat],Table2[Stat Category],"receiving",Table2[Stat Type],"YDS",Table2[Athlete],Table1[[#This Row],[Pick]],Table2[Week],Table1[[#This Row],[Week]])</f>
        <v>0</v>
      </c>
      <c r="J860" s="6">
        <f>IF(AND($C860="Rushing", $H860&lt;=0), 0, IF(AND($C860="Passing", $G$3&lt;=0), 0,IF(AND($C860="Receiving",$I860&lt;=0), 0,SUMIFS(Table2[Stat],Table2[Week],Table1[[#This Row],[Week]],Table2[Athlete],Table1[[#This Row],[Pick]],Table2[Stat Category],"passing",Table2[Stat Type],"TD"))))</f>
        <v>0</v>
      </c>
      <c r="K860" s="6">
        <f>IF(AND($C860="Rushing", $H860&lt;=0), 0, IF(AND($C860="Passing", $G$3&lt;=0), 0,IF(AND($C860="Receiving",$I860&lt;=0),0,SUMIFS(Table2[Stat],Table2[Week],Table1[[#This Row],[Week]],Table2[Athlete],Table1[[#This Row],[Pick]],Table2[Stat Category],"rushing",Table2[Stat Type],"TD"))))</f>
        <v>0</v>
      </c>
      <c r="L860" s="6">
        <f>IF(AND($C860="Rushing", $H860&lt;=0), 0, IF(AND($C860="Passing", $G$3&lt;=0), 0,IF(AND($C860="Receiving",$I860&lt;=0),0,SUMIFS(Table2[Stat],Table2[Week],Table1[[#This Row],[Week]],Table2[Athlete],Table1[[#This Row],[Pick]],Table2[Stat Category],"receiving",Table2[Stat Type],"TD"))))</f>
        <v>0</v>
      </c>
      <c r="M8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0" s="61">
        <f>SUMIFS(Data!$J:$J,Data!$A:$A,Info!$B860,Data!$G:$G,Info!$C860,Data!$I:$I,Info!$D860,Data!$H:$H,"TOT")</f>
        <v>0</v>
      </c>
      <c r="O860" s="61">
        <f>IF(C860="Defensive",SUMIFS(Data!$J:$J,Data!$A:$A,Info!$B860,Data!$I:$I,Info!$D860,Data!$H:$H,"INT"),0)</f>
        <v>0</v>
      </c>
      <c r="P860" s="61">
        <f>IF(Table1[[#This Row],[Role]]="Defensive",SUMIFS(Data!$J:$J,Data!$A:$A,Info!$B860,Data!$I:$I,Info!$D860,Data!$H:$H,$P$1),0)</f>
        <v>0</v>
      </c>
      <c r="Q860" s="65" t="str">
        <f>IF(Table1[[#This Row],[Pick]]="","",IF(S860&gt;1,400,IF(G860="","",IF(C860="Passing",(400-Table1[[#This Row],[Passing Yards]]-(30*Table1[[#This Row],[Passing TDs]])-(50*SUM(Table1[[#This Row],[Rushing TDs]:[Other TD''s]]))),IF(C860="Rushing",2*(200-Table1[[#This Row],[Rushing Yards]]-(30*Table1[[#This Row],[Passing TDs]])-50*(Table1[[#This Row],[Rushing TDs]]+Table1[[#This Row],[Receiving TDs]]+Table1[[#This Row],[Other TD''s]])),IF(C860="Receiving",2*(200-Table1[[#This Row],[Receiving Yards]]-(30*Table1[[#This Row],[Passing TDs]])-50*(Table1[[#This Row],[Rushing TDs]]+Table1[[#This Row],[Receiving TDs]]+Table1[[#This Row],[Other TD''s]])),IF(C860="Defensive",(25*(16-Table1[[#This Row],[Tackles]]-(8*(Table1[[#This Row],[Other TD''s]]+Table1[[#This Row],[Interceptions]]+Table1[[#This Row],[Fumbles Recovered]])))))))))))</f>
        <v/>
      </c>
      <c r="R860" s="3" t="str">
        <f t="shared" si="28"/>
        <v/>
      </c>
      <c r="S860" s="4">
        <f t="shared" si="27"/>
        <v>1048507</v>
      </c>
      <c r="T8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1" spans="1:20" hidden="1" x14ac:dyDescent="0.25">
      <c r="A861" t="s">
        <v>61</v>
      </c>
      <c r="B861" s="28" t="s">
        <v>56</v>
      </c>
      <c r="C861" t="s">
        <v>17</v>
      </c>
      <c r="D861" t="str">
        <f>_xlfn.XLOOKUP(Table1[[#This Row],[Player]]&amp;Table1[[#This Row],[Week]]&amp;Table1[[#This Row],[Role]],'Google Form Transform'!$A:$A,'Google Form Transform'!E:E,"")</f>
        <v/>
      </c>
      <c r="E861" t="str">
        <f>_xlfn.XLOOKUP(Table1[[#This Row],[Player]]&amp;Table1[[#This Row],[Week]]&amp;Table1[[#This Row],[Role]],'Google Form Transform'!$A:$A,'Google Form Transform'!F:F,"")</f>
        <v/>
      </c>
      <c r="F861" t="str">
        <f>_xlfn.XLOOKUP(Table1[[#This Row],[Player]]&amp;Table1[[#This Row],[Week]]&amp;Table1[[#This Row],[Role]],'Google Form Transform'!$A:$A,'Google Form Transform'!G:G,"")</f>
        <v/>
      </c>
      <c r="G861" s="59">
        <f>SUMIFS(Table2[Stat],Table2[Stat Category],"passing",Table2[Stat Type],"YDS",Table2[Athlete],Table1[[#This Row],[Pick]],Table2[Week],Table1[[#This Row],[Week]])</f>
        <v>0</v>
      </c>
      <c r="H861" s="59">
        <f>SUMIFS(Table2[Stat],Table2[Stat Category],"rushing",Table2[Stat Type],"YDS",Table2[Athlete],Table1[[#This Row],[Pick]],Table2[Week],Table1[[#This Row],[Week]])</f>
        <v>0</v>
      </c>
      <c r="I861" s="59">
        <f>SUMIFS(Table2[Stat],Table2[Stat Category],"receiving",Table2[Stat Type],"YDS",Table2[Athlete],Table1[[#This Row],[Pick]],Table2[Week],Table1[[#This Row],[Week]])</f>
        <v>0</v>
      </c>
      <c r="J861" s="6">
        <f>IF(AND($C861="Rushing", $H861&lt;=0), 0, IF(AND($C861="Passing", $G$3&lt;=0), 0,IF(AND($C861="Receiving",$I861&lt;=0), 0,SUMIFS(Table2[Stat],Table2[Week],Table1[[#This Row],[Week]],Table2[Athlete],Table1[[#This Row],[Pick]],Table2[Stat Category],"passing",Table2[Stat Type],"TD"))))</f>
        <v>0</v>
      </c>
      <c r="K861" s="6">
        <f>IF(AND($C861="Rushing", $H861&lt;=0), 0, IF(AND($C861="Passing", $G$3&lt;=0), 0,IF(AND($C861="Receiving",$I861&lt;=0),0,SUMIFS(Table2[Stat],Table2[Week],Table1[[#This Row],[Week]],Table2[Athlete],Table1[[#This Row],[Pick]],Table2[Stat Category],"rushing",Table2[Stat Type],"TD"))))</f>
        <v>0</v>
      </c>
      <c r="L861" s="6">
        <f>IF(AND($C861="Rushing", $H861&lt;=0), 0, IF(AND($C861="Passing", $G$3&lt;=0), 0,IF(AND($C861="Receiving",$I861&lt;=0),0,SUMIFS(Table2[Stat],Table2[Week],Table1[[#This Row],[Week]],Table2[Athlete],Table1[[#This Row],[Pick]],Table2[Stat Category],"receiving",Table2[Stat Type],"TD"))))</f>
        <v>0</v>
      </c>
      <c r="M8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1" s="61">
        <f>SUMIFS(Data!$J:$J,Data!$A:$A,Info!$B861,Data!$G:$G,Info!$C861,Data!$I:$I,Info!$D861,Data!$H:$H,"TOT")</f>
        <v>0</v>
      </c>
      <c r="O861" s="61">
        <f>IF(C861="Defensive",SUMIFS(Data!$J:$J,Data!$A:$A,Info!$B861,Data!$I:$I,Info!$D861,Data!$H:$H,"INT"),0)</f>
        <v>0</v>
      </c>
      <c r="P861" s="61">
        <f>IF(Table1[[#This Row],[Role]]="Defensive",SUMIFS(Data!$J:$J,Data!$A:$A,Info!$B861,Data!$I:$I,Info!$D861,Data!$H:$H,$P$1),0)</f>
        <v>0</v>
      </c>
      <c r="Q861" s="65" t="str">
        <f>IF(Table1[[#This Row],[Pick]]="","",IF(S861&gt;1,400,IF(G861="","",IF(C861="Passing",(400-Table1[[#This Row],[Passing Yards]]-(30*Table1[[#This Row],[Passing TDs]])-(50*SUM(Table1[[#This Row],[Rushing TDs]:[Other TD''s]]))),IF(C861="Rushing",2*(200-Table1[[#This Row],[Rushing Yards]]-(30*Table1[[#This Row],[Passing TDs]])-50*(Table1[[#This Row],[Rushing TDs]]+Table1[[#This Row],[Receiving TDs]]+Table1[[#This Row],[Other TD''s]])),IF(C861="Receiving",2*(200-Table1[[#This Row],[Receiving Yards]]-(30*Table1[[#This Row],[Passing TDs]])-50*(Table1[[#This Row],[Rushing TDs]]+Table1[[#This Row],[Receiving TDs]]+Table1[[#This Row],[Other TD''s]])),IF(C861="Defensive",(25*(16-Table1[[#This Row],[Tackles]]-(8*(Table1[[#This Row],[Other TD''s]]+Table1[[#This Row],[Interceptions]]+Table1[[#This Row],[Fumbles Recovered]])))))))))))</f>
        <v/>
      </c>
      <c r="R861" s="3" t="str">
        <f t="shared" si="28"/>
        <v/>
      </c>
      <c r="S861" s="4">
        <f t="shared" si="27"/>
        <v>1048507</v>
      </c>
      <c r="T8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2" spans="1:20" hidden="1" x14ac:dyDescent="0.25">
      <c r="A862" t="s">
        <v>61</v>
      </c>
      <c r="B862" s="28" t="s">
        <v>56</v>
      </c>
      <c r="C862" t="s">
        <v>20</v>
      </c>
      <c r="D862" t="str">
        <f>_xlfn.XLOOKUP(Table1[[#This Row],[Player]]&amp;Table1[[#This Row],[Week]]&amp;Table1[[#This Row],[Role]],'Google Form Transform'!$A:$A,'Google Form Transform'!E:E,"")</f>
        <v/>
      </c>
      <c r="E862" t="str">
        <f>_xlfn.XLOOKUP(Table1[[#This Row],[Player]]&amp;Table1[[#This Row],[Week]]&amp;Table1[[#This Row],[Role]],'Google Form Transform'!$A:$A,'Google Form Transform'!F:F,"")</f>
        <v/>
      </c>
      <c r="F862" t="str">
        <f>_xlfn.XLOOKUP(Table1[[#This Row],[Player]]&amp;Table1[[#This Row],[Week]]&amp;Table1[[#This Row],[Role]],'Google Form Transform'!$A:$A,'Google Form Transform'!G:G,"")</f>
        <v/>
      </c>
      <c r="G862" s="59">
        <f>SUMIFS(Table2[Stat],Table2[Stat Category],"passing",Table2[Stat Type],"YDS",Table2[Athlete],Table1[[#This Row],[Pick]],Table2[Week],Table1[[#This Row],[Week]])</f>
        <v>0</v>
      </c>
      <c r="H862" s="59">
        <f>SUMIFS(Table2[Stat],Table2[Stat Category],"rushing",Table2[Stat Type],"YDS",Table2[Athlete],Table1[[#This Row],[Pick]],Table2[Week],Table1[[#This Row],[Week]])</f>
        <v>0</v>
      </c>
      <c r="I862" s="59">
        <f>SUMIFS(Table2[Stat],Table2[Stat Category],"receiving",Table2[Stat Type],"YDS",Table2[Athlete],Table1[[#This Row],[Pick]],Table2[Week],Table1[[#This Row],[Week]])</f>
        <v>0</v>
      </c>
      <c r="J862" s="6">
        <f>IF(AND($C862="Rushing", $H862&lt;=0), 0, IF(AND($C862="Passing", $G$3&lt;=0), 0,IF(AND($C862="Receiving",$I862&lt;=0), 0,SUMIFS(Table2[Stat],Table2[Week],Table1[[#This Row],[Week]],Table2[Athlete],Table1[[#This Row],[Pick]],Table2[Stat Category],"passing",Table2[Stat Type],"TD"))))</f>
        <v>0</v>
      </c>
      <c r="K862" s="6">
        <f>IF(AND($C862="Rushing", $H862&lt;=0), 0, IF(AND($C862="Passing", $G$3&lt;=0), 0,IF(AND($C862="Receiving",$I862&lt;=0),0,SUMIFS(Table2[Stat],Table2[Week],Table1[[#This Row],[Week]],Table2[Athlete],Table1[[#This Row],[Pick]],Table2[Stat Category],"rushing",Table2[Stat Type],"TD"))))</f>
        <v>0</v>
      </c>
      <c r="L862" s="6">
        <f>IF(AND($C862="Rushing", $H862&lt;=0), 0, IF(AND($C862="Passing", $G$3&lt;=0), 0,IF(AND($C862="Receiving",$I862&lt;=0),0,SUMIFS(Table2[Stat],Table2[Week],Table1[[#This Row],[Week]],Table2[Athlete],Table1[[#This Row],[Pick]],Table2[Stat Category],"receiving",Table2[Stat Type],"TD"))))</f>
        <v>0</v>
      </c>
      <c r="M8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2" s="61">
        <f>SUMIFS(Data!$J:$J,Data!$A:$A,Info!$B862,Data!$G:$G,Info!$C862,Data!$I:$I,Info!$D862,Data!$H:$H,"TOT")</f>
        <v>0</v>
      </c>
      <c r="O862" s="61">
        <f>IF(C862="Defensive",SUMIFS(Data!$J:$J,Data!$A:$A,Info!$B862,Data!$I:$I,Info!$D862,Data!$H:$H,"INT"),0)</f>
        <v>0</v>
      </c>
      <c r="P862" s="61">
        <f>IF(Table1[[#This Row],[Role]]="Defensive",SUMIFS(Data!$J:$J,Data!$A:$A,Info!$B862,Data!$I:$I,Info!$D862,Data!$H:$H,$P$1),0)</f>
        <v>0</v>
      </c>
      <c r="Q862" s="65" t="str">
        <f>IF(Table1[[#This Row],[Pick]]="","",IF(S862&gt;1,400,IF(G862="","",IF(C862="Passing",(400-Table1[[#This Row],[Passing Yards]]-(30*Table1[[#This Row],[Passing TDs]])-(50*SUM(Table1[[#This Row],[Rushing TDs]:[Other TD''s]]))),IF(C862="Rushing",2*(200-Table1[[#This Row],[Rushing Yards]]-(30*Table1[[#This Row],[Passing TDs]])-50*(Table1[[#This Row],[Rushing TDs]]+Table1[[#This Row],[Receiving TDs]]+Table1[[#This Row],[Other TD''s]])),IF(C862="Receiving",2*(200-Table1[[#This Row],[Receiving Yards]]-(30*Table1[[#This Row],[Passing TDs]])-50*(Table1[[#This Row],[Rushing TDs]]+Table1[[#This Row],[Receiving TDs]]+Table1[[#This Row],[Other TD''s]])),IF(C862="Defensive",(25*(16-Table1[[#This Row],[Tackles]]-(8*(Table1[[#This Row],[Other TD''s]]+Table1[[#This Row],[Interceptions]]+Table1[[#This Row],[Fumbles Recovered]])))))))))))</f>
        <v/>
      </c>
      <c r="R862" s="3" t="str">
        <f t="shared" si="28"/>
        <v/>
      </c>
      <c r="S862" s="4">
        <f t="shared" si="27"/>
        <v>1048507</v>
      </c>
      <c r="T8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3" spans="1:20" hidden="1" x14ac:dyDescent="0.25">
      <c r="A863" t="s">
        <v>60</v>
      </c>
      <c r="B863" s="28" t="s">
        <v>56</v>
      </c>
      <c r="C863" t="s">
        <v>16</v>
      </c>
      <c r="D863" t="str">
        <f>_xlfn.XLOOKUP(Table1[[#This Row],[Player]]&amp;Table1[[#This Row],[Week]]&amp;Table1[[#This Row],[Role]],'Google Form Transform'!$A:$A,'Google Form Transform'!E:E,"")</f>
        <v/>
      </c>
      <c r="E863" t="str">
        <f>_xlfn.XLOOKUP(Table1[[#This Row],[Player]]&amp;Table1[[#This Row],[Week]]&amp;Table1[[#This Row],[Role]],'Google Form Transform'!$A:$A,'Google Form Transform'!F:F,"")</f>
        <v/>
      </c>
      <c r="F863" t="str">
        <f>_xlfn.XLOOKUP(Table1[[#This Row],[Player]]&amp;Table1[[#This Row],[Week]]&amp;Table1[[#This Row],[Role]],'Google Form Transform'!$A:$A,'Google Form Transform'!G:G,"")</f>
        <v/>
      </c>
      <c r="G863" s="59">
        <f>SUMIFS(Table2[Stat],Table2[Stat Category],"passing",Table2[Stat Type],"YDS",Table2[Athlete],Table1[[#This Row],[Pick]],Table2[Week],Table1[[#This Row],[Week]])</f>
        <v>0</v>
      </c>
      <c r="H863" s="59">
        <f>SUMIFS(Table2[Stat],Table2[Stat Category],"rushing",Table2[Stat Type],"YDS",Table2[Athlete],Table1[[#This Row],[Pick]],Table2[Week],Table1[[#This Row],[Week]])</f>
        <v>0</v>
      </c>
      <c r="I863" s="59">
        <f>SUMIFS(Table2[Stat],Table2[Stat Category],"receiving",Table2[Stat Type],"YDS",Table2[Athlete],Table1[[#This Row],[Pick]],Table2[Week],Table1[[#This Row],[Week]])</f>
        <v>0</v>
      </c>
      <c r="J863" s="6">
        <f>IF(AND($C863="Rushing", $H863&lt;=0), 0, IF(AND($C863="Passing", $G$3&lt;=0), 0,IF(AND($C863="Receiving",$I863&lt;=0), 0,SUMIFS(Table2[Stat],Table2[Week],Table1[[#This Row],[Week]],Table2[Athlete],Table1[[#This Row],[Pick]],Table2[Stat Category],"passing",Table2[Stat Type],"TD"))))</f>
        <v>0</v>
      </c>
      <c r="K863" s="6">
        <f>IF(AND($C863="Rushing", $H863&lt;=0), 0, IF(AND($C863="Passing", $G$3&lt;=0), 0,IF(AND($C863="Receiving",$I863&lt;=0),0,SUMIFS(Table2[Stat],Table2[Week],Table1[[#This Row],[Week]],Table2[Athlete],Table1[[#This Row],[Pick]],Table2[Stat Category],"rushing",Table2[Stat Type],"TD"))))</f>
        <v>0</v>
      </c>
      <c r="L863" s="6">
        <f>IF(AND($C863="Rushing", $H863&lt;=0), 0, IF(AND($C863="Passing", $G$3&lt;=0), 0,IF(AND($C863="Receiving",$I863&lt;=0),0,SUMIFS(Table2[Stat],Table2[Week],Table1[[#This Row],[Week]],Table2[Athlete],Table1[[#This Row],[Pick]],Table2[Stat Category],"receiving",Table2[Stat Type],"TD"))))</f>
        <v>0</v>
      </c>
      <c r="M8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3" s="61">
        <f>SUMIFS(Data!$J:$J,Data!$A:$A,Info!$B863,Data!$G:$G,Info!$C863,Data!$I:$I,Info!$D863,Data!$H:$H,"TOT")</f>
        <v>0</v>
      </c>
      <c r="O863" s="61">
        <f>IF(C863="Defensive",SUMIFS(Data!$J:$J,Data!$A:$A,Info!$B863,Data!$I:$I,Info!$D863,Data!$H:$H,"INT"),0)</f>
        <v>0</v>
      </c>
      <c r="P863" s="61">
        <f>IF(Table1[[#This Row],[Role]]="Defensive",SUMIFS(Data!$J:$J,Data!$A:$A,Info!$B863,Data!$I:$I,Info!$D863,Data!$H:$H,$P$1),0)</f>
        <v>0</v>
      </c>
      <c r="Q863" s="65" t="str">
        <f>IF(Table1[[#This Row],[Pick]]="","",IF(S863&gt;1,400,IF(G863="","",IF(C863="Passing",(400-Table1[[#This Row],[Passing Yards]]-(30*Table1[[#This Row],[Passing TDs]])-(50*SUM(Table1[[#This Row],[Rushing TDs]:[Other TD''s]]))),IF(C863="Rushing",2*(200-Table1[[#This Row],[Rushing Yards]]-(30*Table1[[#This Row],[Passing TDs]])-50*(Table1[[#This Row],[Rushing TDs]]+Table1[[#This Row],[Receiving TDs]]+Table1[[#This Row],[Other TD''s]])),IF(C863="Receiving",2*(200-Table1[[#This Row],[Receiving Yards]]-(30*Table1[[#This Row],[Passing TDs]])-50*(Table1[[#This Row],[Rushing TDs]]+Table1[[#This Row],[Receiving TDs]]+Table1[[#This Row],[Other TD''s]])),IF(C863="Defensive",(25*(16-Table1[[#This Row],[Tackles]]-(8*(Table1[[#This Row],[Other TD''s]]+Table1[[#This Row],[Interceptions]]+Table1[[#This Row],[Fumbles Recovered]])))))))))))</f>
        <v/>
      </c>
      <c r="R863" s="3" t="str">
        <f t="shared" si="28"/>
        <v/>
      </c>
      <c r="S863" s="4">
        <f t="shared" si="27"/>
        <v>1048507</v>
      </c>
      <c r="T8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4" spans="1:20" hidden="1" x14ac:dyDescent="0.25">
      <c r="A864" t="s">
        <v>60</v>
      </c>
      <c r="B864" s="28" t="s">
        <v>56</v>
      </c>
      <c r="C864" t="s">
        <v>6</v>
      </c>
      <c r="D864" t="str">
        <f>_xlfn.XLOOKUP(Table1[[#This Row],[Player]]&amp;Table1[[#This Row],[Week]]&amp;Table1[[#This Row],[Role]],'Google Form Transform'!$A:$A,'Google Form Transform'!E:E,"")</f>
        <v/>
      </c>
      <c r="E864" t="str">
        <f>_xlfn.XLOOKUP(Table1[[#This Row],[Player]]&amp;Table1[[#This Row],[Week]]&amp;Table1[[#This Row],[Role]],'Google Form Transform'!$A:$A,'Google Form Transform'!F:F,"")</f>
        <v/>
      </c>
      <c r="F864" t="str">
        <f>_xlfn.XLOOKUP(Table1[[#This Row],[Player]]&amp;Table1[[#This Row],[Week]]&amp;Table1[[#This Row],[Role]],'Google Form Transform'!$A:$A,'Google Form Transform'!G:G,"")</f>
        <v/>
      </c>
      <c r="G864" s="59">
        <f>SUMIFS(Table2[Stat],Table2[Stat Category],"passing",Table2[Stat Type],"YDS",Table2[Athlete],Table1[[#This Row],[Pick]],Table2[Week],Table1[[#This Row],[Week]])</f>
        <v>0</v>
      </c>
      <c r="H864" s="59">
        <f>SUMIFS(Table2[Stat],Table2[Stat Category],"rushing",Table2[Stat Type],"YDS",Table2[Athlete],Table1[[#This Row],[Pick]],Table2[Week],Table1[[#This Row],[Week]])</f>
        <v>0</v>
      </c>
      <c r="I864" s="59">
        <f>SUMIFS(Table2[Stat],Table2[Stat Category],"receiving",Table2[Stat Type],"YDS",Table2[Athlete],Table1[[#This Row],[Pick]],Table2[Week],Table1[[#This Row],[Week]])</f>
        <v>0</v>
      </c>
      <c r="J864" s="6">
        <f>IF(AND($C864="Rushing", $H864&lt;=0), 0, IF(AND($C864="Passing", $G$3&lt;=0), 0,IF(AND($C864="Receiving",$I864&lt;=0), 0,SUMIFS(Table2[Stat],Table2[Week],Table1[[#This Row],[Week]],Table2[Athlete],Table1[[#This Row],[Pick]],Table2[Stat Category],"passing",Table2[Stat Type],"TD"))))</f>
        <v>0</v>
      </c>
      <c r="K864" s="6">
        <f>IF(AND($C864="Rushing", $H864&lt;=0), 0, IF(AND($C864="Passing", $G$3&lt;=0), 0,IF(AND($C864="Receiving",$I864&lt;=0),0,SUMIFS(Table2[Stat],Table2[Week],Table1[[#This Row],[Week]],Table2[Athlete],Table1[[#This Row],[Pick]],Table2[Stat Category],"rushing",Table2[Stat Type],"TD"))))</f>
        <v>0</v>
      </c>
      <c r="L864" s="6">
        <f>IF(AND($C864="Rushing", $H864&lt;=0), 0, IF(AND($C864="Passing", $G$3&lt;=0), 0,IF(AND($C864="Receiving",$I864&lt;=0),0,SUMIFS(Table2[Stat],Table2[Week],Table1[[#This Row],[Week]],Table2[Athlete],Table1[[#This Row],[Pick]],Table2[Stat Category],"receiving",Table2[Stat Type],"TD"))))</f>
        <v>0</v>
      </c>
      <c r="M8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4" s="61">
        <f>SUMIFS(Data!$J:$J,Data!$A:$A,Info!$B864,Data!$G:$G,Info!$C864,Data!$I:$I,Info!$D864,Data!$H:$H,"TOT")</f>
        <v>0</v>
      </c>
      <c r="O864" s="61">
        <f>IF(C864="Defensive",SUMIFS(Data!$J:$J,Data!$A:$A,Info!$B864,Data!$I:$I,Info!$D864,Data!$H:$H,"INT"),0)</f>
        <v>0</v>
      </c>
      <c r="P864" s="61">
        <f>IF(Table1[[#This Row],[Role]]="Defensive",SUMIFS(Data!$J:$J,Data!$A:$A,Info!$B864,Data!$I:$I,Info!$D864,Data!$H:$H,$P$1),0)</f>
        <v>0</v>
      </c>
      <c r="Q864" s="65" t="str">
        <f>IF(Table1[[#This Row],[Pick]]="","",IF(S864&gt;1,400,IF(G864="","",IF(C864="Passing",(400-Table1[[#This Row],[Passing Yards]]-(30*Table1[[#This Row],[Passing TDs]])-(50*SUM(Table1[[#This Row],[Rushing TDs]:[Other TD''s]]))),IF(C864="Rushing",2*(200-Table1[[#This Row],[Rushing Yards]]-(30*Table1[[#This Row],[Passing TDs]])-50*(Table1[[#This Row],[Rushing TDs]]+Table1[[#This Row],[Receiving TDs]]+Table1[[#This Row],[Other TD''s]])),IF(C864="Receiving",2*(200-Table1[[#This Row],[Receiving Yards]]-(30*Table1[[#This Row],[Passing TDs]])-50*(Table1[[#This Row],[Rushing TDs]]+Table1[[#This Row],[Receiving TDs]]+Table1[[#This Row],[Other TD''s]])),IF(C864="Defensive",(25*(16-Table1[[#This Row],[Tackles]]-(8*(Table1[[#This Row],[Other TD''s]]+Table1[[#This Row],[Interceptions]]+Table1[[#This Row],[Fumbles Recovered]])))))))))))</f>
        <v/>
      </c>
      <c r="R864" s="3" t="str">
        <f t="shared" si="28"/>
        <v/>
      </c>
      <c r="S864" s="4">
        <f t="shared" si="27"/>
        <v>1048507</v>
      </c>
      <c r="T8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5" spans="1:20" hidden="1" x14ac:dyDescent="0.25">
      <c r="A865" t="s">
        <v>60</v>
      </c>
      <c r="B865" s="28" t="s">
        <v>56</v>
      </c>
      <c r="C865" t="s">
        <v>17</v>
      </c>
      <c r="D865" t="str">
        <f>_xlfn.XLOOKUP(Table1[[#This Row],[Player]]&amp;Table1[[#This Row],[Week]]&amp;Table1[[#This Row],[Role]],'Google Form Transform'!$A:$A,'Google Form Transform'!E:E,"")</f>
        <v/>
      </c>
      <c r="E865" t="str">
        <f>_xlfn.XLOOKUP(Table1[[#This Row],[Player]]&amp;Table1[[#This Row],[Week]]&amp;Table1[[#This Row],[Role]],'Google Form Transform'!$A:$A,'Google Form Transform'!F:F,"")</f>
        <v/>
      </c>
      <c r="F865" t="str">
        <f>_xlfn.XLOOKUP(Table1[[#This Row],[Player]]&amp;Table1[[#This Row],[Week]]&amp;Table1[[#This Row],[Role]],'Google Form Transform'!$A:$A,'Google Form Transform'!G:G,"")</f>
        <v/>
      </c>
      <c r="G865" s="59">
        <f>SUMIFS(Table2[Stat],Table2[Stat Category],"passing",Table2[Stat Type],"YDS",Table2[Athlete],Table1[[#This Row],[Pick]],Table2[Week],Table1[[#This Row],[Week]])</f>
        <v>0</v>
      </c>
      <c r="H865" s="59">
        <f>SUMIFS(Table2[Stat],Table2[Stat Category],"rushing",Table2[Stat Type],"YDS",Table2[Athlete],Table1[[#This Row],[Pick]],Table2[Week],Table1[[#This Row],[Week]])</f>
        <v>0</v>
      </c>
      <c r="I865" s="59">
        <f>SUMIFS(Table2[Stat],Table2[Stat Category],"receiving",Table2[Stat Type],"YDS",Table2[Athlete],Table1[[#This Row],[Pick]],Table2[Week],Table1[[#This Row],[Week]])</f>
        <v>0</v>
      </c>
      <c r="J865" s="6">
        <f>IF(AND($C865="Rushing", $H865&lt;=0), 0, IF(AND($C865="Passing", $G$3&lt;=0), 0,IF(AND($C865="Receiving",$I865&lt;=0), 0,SUMIFS(Table2[Stat],Table2[Week],Table1[[#This Row],[Week]],Table2[Athlete],Table1[[#This Row],[Pick]],Table2[Stat Category],"passing",Table2[Stat Type],"TD"))))</f>
        <v>0</v>
      </c>
      <c r="K865" s="6">
        <f>IF(AND($C865="Rushing", $H865&lt;=0), 0, IF(AND($C865="Passing", $G$3&lt;=0), 0,IF(AND($C865="Receiving",$I865&lt;=0),0,SUMIFS(Table2[Stat],Table2[Week],Table1[[#This Row],[Week]],Table2[Athlete],Table1[[#This Row],[Pick]],Table2[Stat Category],"rushing",Table2[Stat Type],"TD"))))</f>
        <v>0</v>
      </c>
      <c r="L865" s="6">
        <f>IF(AND($C865="Rushing", $H865&lt;=0), 0, IF(AND($C865="Passing", $G$3&lt;=0), 0,IF(AND($C865="Receiving",$I865&lt;=0),0,SUMIFS(Table2[Stat],Table2[Week],Table1[[#This Row],[Week]],Table2[Athlete],Table1[[#This Row],[Pick]],Table2[Stat Category],"receiving",Table2[Stat Type],"TD"))))</f>
        <v>0</v>
      </c>
      <c r="M8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5" s="61">
        <f>SUMIFS(Data!$J:$J,Data!$A:$A,Info!$B865,Data!$G:$G,Info!$C865,Data!$I:$I,Info!$D865,Data!$H:$H,"TOT")</f>
        <v>0</v>
      </c>
      <c r="O865" s="61">
        <f>IF(C865="Defensive",SUMIFS(Data!$J:$J,Data!$A:$A,Info!$B865,Data!$I:$I,Info!$D865,Data!$H:$H,"INT"),0)</f>
        <v>0</v>
      </c>
      <c r="P865" s="61">
        <f>IF(Table1[[#This Row],[Role]]="Defensive",SUMIFS(Data!$J:$J,Data!$A:$A,Info!$B865,Data!$I:$I,Info!$D865,Data!$H:$H,$P$1),0)</f>
        <v>0</v>
      </c>
      <c r="Q865" s="65" t="str">
        <f>IF(Table1[[#This Row],[Pick]]="","",IF(S865&gt;1,400,IF(G865="","",IF(C865="Passing",(400-Table1[[#This Row],[Passing Yards]]-(30*Table1[[#This Row],[Passing TDs]])-(50*SUM(Table1[[#This Row],[Rushing TDs]:[Other TD''s]]))),IF(C865="Rushing",2*(200-Table1[[#This Row],[Rushing Yards]]-(30*Table1[[#This Row],[Passing TDs]])-50*(Table1[[#This Row],[Rushing TDs]]+Table1[[#This Row],[Receiving TDs]]+Table1[[#This Row],[Other TD''s]])),IF(C865="Receiving",2*(200-Table1[[#This Row],[Receiving Yards]]-(30*Table1[[#This Row],[Passing TDs]])-50*(Table1[[#This Row],[Rushing TDs]]+Table1[[#This Row],[Receiving TDs]]+Table1[[#This Row],[Other TD''s]])),IF(C865="Defensive",(25*(16-Table1[[#This Row],[Tackles]]-(8*(Table1[[#This Row],[Other TD''s]]+Table1[[#This Row],[Interceptions]]+Table1[[#This Row],[Fumbles Recovered]])))))))))))</f>
        <v/>
      </c>
      <c r="R865" s="3" t="str">
        <f t="shared" si="28"/>
        <v/>
      </c>
      <c r="S865" s="4">
        <f t="shared" si="27"/>
        <v>1048507</v>
      </c>
      <c r="T8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6" spans="1:20" hidden="1" x14ac:dyDescent="0.25">
      <c r="A866" t="s">
        <v>60</v>
      </c>
      <c r="B866" s="28" t="s">
        <v>56</v>
      </c>
      <c r="C866" t="s">
        <v>20</v>
      </c>
      <c r="D866" t="str">
        <f>_xlfn.XLOOKUP(Table1[[#This Row],[Player]]&amp;Table1[[#This Row],[Week]]&amp;Table1[[#This Row],[Role]],'Google Form Transform'!$A:$A,'Google Form Transform'!E:E,"")</f>
        <v/>
      </c>
      <c r="E866" t="str">
        <f>_xlfn.XLOOKUP(Table1[[#This Row],[Player]]&amp;Table1[[#This Row],[Week]]&amp;Table1[[#This Row],[Role]],'Google Form Transform'!$A:$A,'Google Form Transform'!F:F,"")</f>
        <v/>
      </c>
      <c r="F866" t="str">
        <f>_xlfn.XLOOKUP(Table1[[#This Row],[Player]]&amp;Table1[[#This Row],[Week]]&amp;Table1[[#This Row],[Role]],'Google Form Transform'!$A:$A,'Google Form Transform'!G:G,"")</f>
        <v/>
      </c>
      <c r="G866" s="59">
        <f>SUMIFS(Table2[Stat],Table2[Stat Category],"passing",Table2[Stat Type],"YDS",Table2[Athlete],Table1[[#This Row],[Pick]],Table2[Week],Table1[[#This Row],[Week]])</f>
        <v>0</v>
      </c>
      <c r="H866" s="59">
        <f>SUMIFS(Table2[Stat],Table2[Stat Category],"rushing",Table2[Stat Type],"YDS",Table2[Athlete],Table1[[#This Row],[Pick]],Table2[Week],Table1[[#This Row],[Week]])</f>
        <v>0</v>
      </c>
      <c r="I866" s="59">
        <f>SUMIFS(Table2[Stat],Table2[Stat Category],"receiving",Table2[Stat Type],"YDS",Table2[Athlete],Table1[[#This Row],[Pick]],Table2[Week],Table1[[#This Row],[Week]])</f>
        <v>0</v>
      </c>
      <c r="J866" s="6">
        <f>IF(AND($C866="Rushing", $H866&lt;=0), 0, IF(AND($C866="Passing", $G$3&lt;=0), 0,IF(AND($C866="Receiving",$I866&lt;=0), 0,SUMIFS(Table2[Stat],Table2[Week],Table1[[#This Row],[Week]],Table2[Athlete],Table1[[#This Row],[Pick]],Table2[Stat Category],"passing",Table2[Stat Type],"TD"))))</f>
        <v>0</v>
      </c>
      <c r="K866" s="6">
        <f>IF(AND($C866="Rushing", $H866&lt;=0), 0, IF(AND($C866="Passing", $G$3&lt;=0), 0,IF(AND($C866="Receiving",$I866&lt;=0),0,SUMIFS(Table2[Stat],Table2[Week],Table1[[#This Row],[Week]],Table2[Athlete],Table1[[#This Row],[Pick]],Table2[Stat Category],"rushing",Table2[Stat Type],"TD"))))</f>
        <v>0</v>
      </c>
      <c r="L866" s="6">
        <f>IF(AND($C866="Rushing", $H866&lt;=0), 0, IF(AND($C866="Passing", $G$3&lt;=0), 0,IF(AND($C866="Receiving",$I866&lt;=0),0,SUMIFS(Table2[Stat],Table2[Week],Table1[[#This Row],[Week]],Table2[Athlete],Table1[[#This Row],[Pick]],Table2[Stat Category],"receiving",Table2[Stat Type],"TD"))))</f>
        <v>0</v>
      </c>
      <c r="M8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6" s="61">
        <f>SUMIFS(Data!$J:$J,Data!$A:$A,Info!$B866,Data!$G:$G,Info!$C866,Data!$I:$I,Info!$D866,Data!$H:$H,"TOT")</f>
        <v>0</v>
      </c>
      <c r="O866" s="61">
        <f>IF(C866="Defensive",SUMIFS(Data!$J:$J,Data!$A:$A,Info!$B866,Data!$I:$I,Info!$D866,Data!$H:$H,"INT"),0)</f>
        <v>0</v>
      </c>
      <c r="P866" s="61">
        <f>IF(Table1[[#This Row],[Role]]="Defensive",SUMIFS(Data!$J:$J,Data!$A:$A,Info!$B866,Data!$I:$I,Info!$D866,Data!$H:$H,$P$1),0)</f>
        <v>0</v>
      </c>
      <c r="Q866" s="65" t="str">
        <f>IF(Table1[[#This Row],[Pick]]="","",IF(S866&gt;1,400,IF(G866="","",IF(C866="Passing",(400-Table1[[#This Row],[Passing Yards]]-(30*Table1[[#This Row],[Passing TDs]])-(50*SUM(Table1[[#This Row],[Rushing TDs]:[Other TD''s]]))),IF(C866="Rushing",2*(200-Table1[[#This Row],[Rushing Yards]]-(30*Table1[[#This Row],[Passing TDs]])-50*(Table1[[#This Row],[Rushing TDs]]+Table1[[#This Row],[Receiving TDs]]+Table1[[#This Row],[Other TD''s]])),IF(C866="Receiving",2*(200-Table1[[#This Row],[Receiving Yards]]-(30*Table1[[#This Row],[Passing TDs]])-50*(Table1[[#This Row],[Rushing TDs]]+Table1[[#This Row],[Receiving TDs]]+Table1[[#This Row],[Other TD''s]])),IF(C866="Defensive",(25*(16-Table1[[#This Row],[Tackles]]-(8*(Table1[[#This Row],[Other TD''s]]+Table1[[#This Row],[Interceptions]]+Table1[[#This Row],[Fumbles Recovered]])))))))))))</f>
        <v/>
      </c>
      <c r="R866" s="3" t="str">
        <f t="shared" si="28"/>
        <v/>
      </c>
      <c r="S866" s="4">
        <f t="shared" si="27"/>
        <v>1048507</v>
      </c>
      <c r="T8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7" spans="1:20" hidden="1" x14ac:dyDescent="0.25">
      <c r="A867" t="s">
        <v>62</v>
      </c>
      <c r="B867" s="28" t="s">
        <v>56</v>
      </c>
      <c r="C867" t="s">
        <v>16</v>
      </c>
      <c r="D867" t="str">
        <f>_xlfn.XLOOKUP(Table1[[#This Row],[Player]]&amp;Table1[[#This Row],[Week]]&amp;Table1[[#This Row],[Role]],'Google Form Transform'!$A:$A,'Google Form Transform'!E:E,"")</f>
        <v/>
      </c>
      <c r="E867" t="str">
        <f>_xlfn.XLOOKUP(Table1[[#This Row],[Player]]&amp;Table1[[#This Row],[Week]]&amp;Table1[[#This Row],[Role]],'Google Form Transform'!$A:$A,'Google Form Transform'!F:F,"")</f>
        <v/>
      </c>
      <c r="F867" t="str">
        <f>_xlfn.XLOOKUP(Table1[[#This Row],[Player]]&amp;Table1[[#This Row],[Week]]&amp;Table1[[#This Row],[Role]],'Google Form Transform'!$A:$A,'Google Form Transform'!G:G,"")</f>
        <v/>
      </c>
      <c r="G867" s="59">
        <f>SUMIFS(Table2[Stat],Table2[Stat Category],"passing",Table2[Stat Type],"YDS",Table2[Athlete],Table1[[#This Row],[Pick]],Table2[Week],Table1[[#This Row],[Week]])</f>
        <v>0</v>
      </c>
      <c r="H867" s="59">
        <f>SUMIFS(Table2[Stat],Table2[Stat Category],"rushing",Table2[Stat Type],"YDS",Table2[Athlete],Table1[[#This Row],[Pick]],Table2[Week],Table1[[#This Row],[Week]])</f>
        <v>0</v>
      </c>
      <c r="I867" s="59">
        <f>SUMIFS(Table2[Stat],Table2[Stat Category],"receiving",Table2[Stat Type],"YDS",Table2[Athlete],Table1[[#This Row],[Pick]],Table2[Week],Table1[[#This Row],[Week]])</f>
        <v>0</v>
      </c>
      <c r="J867" s="6">
        <f>IF(AND($C867="Rushing", $H867&lt;=0), 0, IF(AND($C867="Passing", $G$3&lt;=0), 0,IF(AND($C867="Receiving",$I867&lt;=0), 0,SUMIFS(Table2[Stat],Table2[Week],Table1[[#This Row],[Week]],Table2[Athlete],Table1[[#This Row],[Pick]],Table2[Stat Category],"passing",Table2[Stat Type],"TD"))))</f>
        <v>0</v>
      </c>
      <c r="K867" s="6">
        <f>IF(AND($C867="Rushing", $H867&lt;=0), 0, IF(AND($C867="Passing", $G$3&lt;=0), 0,IF(AND($C867="Receiving",$I867&lt;=0),0,SUMIFS(Table2[Stat],Table2[Week],Table1[[#This Row],[Week]],Table2[Athlete],Table1[[#This Row],[Pick]],Table2[Stat Category],"rushing",Table2[Stat Type],"TD"))))</f>
        <v>0</v>
      </c>
      <c r="L867" s="6">
        <f>IF(AND($C867="Rushing", $H867&lt;=0), 0, IF(AND($C867="Passing", $G$3&lt;=0), 0,IF(AND($C867="Receiving",$I867&lt;=0),0,SUMIFS(Table2[Stat],Table2[Week],Table1[[#This Row],[Week]],Table2[Athlete],Table1[[#This Row],[Pick]],Table2[Stat Category],"receiving",Table2[Stat Type],"TD"))))</f>
        <v>0</v>
      </c>
      <c r="M8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7" s="61">
        <f>SUMIFS(Data!$J:$J,Data!$A:$A,Info!$B867,Data!$G:$G,Info!$C867,Data!$I:$I,Info!$D867,Data!$H:$H,"TOT")</f>
        <v>0</v>
      </c>
      <c r="O867" s="61">
        <f>IF(C867="Defensive",SUMIFS(Data!$J:$J,Data!$A:$A,Info!$B867,Data!$I:$I,Info!$D867,Data!$H:$H,"INT"),0)</f>
        <v>0</v>
      </c>
      <c r="P867" s="61">
        <f>IF(Table1[[#This Row],[Role]]="Defensive",SUMIFS(Data!$J:$J,Data!$A:$A,Info!$B867,Data!$I:$I,Info!$D867,Data!$H:$H,$P$1),0)</f>
        <v>0</v>
      </c>
      <c r="Q867" s="65" t="str">
        <f>IF(Table1[[#This Row],[Pick]]="","",IF(S867&gt;1,400,IF(G867="","",IF(C867="Passing",(400-Table1[[#This Row],[Passing Yards]]-(30*Table1[[#This Row],[Passing TDs]])-(50*SUM(Table1[[#This Row],[Rushing TDs]:[Other TD''s]]))),IF(C867="Rushing",2*(200-Table1[[#This Row],[Rushing Yards]]-(30*Table1[[#This Row],[Passing TDs]])-50*(Table1[[#This Row],[Rushing TDs]]+Table1[[#This Row],[Receiving TDs]]+Table1[[#This Row],[Other TD''s]])),IF(C867="Receiving",2*(200-Table1[[#This Row],[Receiving Yards]]-(30*Table1[[#This Row],[Passing TDs]])-50*(Table1[[#This Row],[Rushing TDs]]+Table1[[#This Row],[Receiving TDs]]+Table1[[#This Row],[Other TD''s]])),IF(C867="Defensive",(25*(16-Table1[[#This Row],[Tackles]]-(8*(Table1[[#This Row],[Other TD''s]]+Table1[[#This Row],[Interceptions]]+Table1[[#This Row],[Fumbles Recovered]])))))))))))</f>
        <v/>
      </c>
      <c r="R867" s="3" t="str">
        <f t="shared" si="28"/>
        <v/>
      </c>
      <c r="S867" s="4">
        <f t="shared" si="27"/>
        <v>1048507</v>
      </c>
      <c r="T8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8" spans="1:20" hidden="1" x14ac:dyDescent="0.25">
      <c r="A868" t="s">
        <v>62</v>
      </c>
      <c r="B868" s="28" t="s">
        <v>56</v>
      </c>
      <c r="C868" t="s">
        <v>6</v>
      </c>
      <c r="D868" t="str">
        <f>_xlfn.XLOOKUP(Table1[[#This Row],[Player]]&amp;Table1[[#This Row],[Week]]&amp;Table1[[#This Row],[Role]],'Google Form Transform'!$A:$A,'Google Form Transform'!E:E,"")</f>
        <v/>
      </c>
      <c r="E868" t="str">
        <f>_xlfn.XLOOKUP(Table1[[#This Row],[Player]]&amp;Table1[[#This Row],[Week]]&amp;Table1[[#This Row],[Role]],'Google Form Transform'!$A:$A,'Google Form Transform'!F:F,"")</f>
        <v/>
      </c>
      <c r="F868" t="str">
        <f>_xlfn.XLOOKUP(Table1[[#This Row],[Player]]&amp;Table1[[#This Row],[Week]]&amp;Table1[[#This Row],[Role]],'Google Form Transform'!$A:$A,'Google Form Transform'!G:G,"")</f>
        <v/>
      </c>
      <c r="G868" s="59">
        <f>SUMIFS(Table2[Stat],Table2[Stat Category],"passing",Table2[Stat Type],"YDS",Table2[Athlete],Table1[[#This Row],[Pick]],Table2[Week],Table1[[#This Row],[Week]])</f>
        <v>0</v>
      </c>
      <c r="H868" s="59">
        <f>SUMIFS(Table2[Stat],Table2[Stat Category],"rushing",Table2[Stat Type],"YDS",Table2[Athlete],Table1[[#This Row],[Pick]],Table2[Week],Table1[[#This Row],[Week]])</f>
        <v>0</v>
      </c>
      <c r="I868" s="59">
        <f>SUMIFS(Table2[Stat],Table2[Stat Category],"receiving",Table2[Stat Type],"YDS",Table2[Athlete],Table1[[#This Row],[Pick]],Table2[Week],Table1[[#This Row],[Week]])</f>
        <v>0</v>
      </c>
      <c r="J868" s="6">
        <f>IF(AND($C868="Rushing", $H868&lt;=0), 0, IF(AND($C868="Passing", $G$3&lt;=0), 0,IF(AND($C868="Receiving",$I868&lt;=0), 0,SUMIFS(Table2[Stat],Table2[Week],Table1[[#This Row],[Week]],Table2[Athlete],Table1[[#This Row],[Pick]],Table2[Stat Category],"passing",Table2[Stat Type],"TD"))))</f>
        <v>0</v>
      </c>
      <c r="K868" s="6">
        <f>IF(AND($C868="Rushing", $H868&lt;=0), 0, IF(AND($C868="Passing", $G$3&lt;=0), 0,IF(AND($C868="Receiving",$I868&lt;=0),0,SUMIFS(Table2[Stat],Table2[Week],Table1[[#This Row],[Week]],Table2[Athlete],Table1[[#This Row],[Pick]],Table2[Stat Category],"rushing",Table2[Stat Type],"TD"))))</f>
        <v>0</v>
      </c>
      <c r="L868" s="6">
        <f>IF(AND($C868="Rushing", $H868&lt;=0), 0, IF(AND($C868="Passing", $G$3&lt;=0), 0,IF(AND($C868="Receiving",$I868&lt;=0),0,SUMIFS(Table2[Stat],Table2[Week],Table1[[#This Row],[Week]],Table2[Athlete],Table1[[#This Row],[Pick]],Table2[Stat Category],"receiving",Table2[Stat Type],"TD"))))</f>
        <v>0</v>
      </c>
      <c r="M8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8" s="61">
        <f>SUMIFS(Data!$J:$J,Data!$A:$A,Info!$B868,Data!$G:$G,Info!$C868,Data!$I:$I,Info!$D868,Data!$H:$H,"TOT")</f>
        <v>0</v>
      </c>
      <c r="O868" s="61">
        <f>IF(C868="Defensive",SUMIFS(Data!$J:$J,Data!$A:$A,Info!$B868,Data!$I:$I,Info!$D868,Data!$H:$H,"INT"),0)</f>
        <v>0</v>
      </c>
      <c r="P868" s="61">
        <f>IF(Table1[[#This Row],[Role]]="Defensive",SUMIFS(Data!$J:$J,Data!$A:$A,Info!$B868,Data!$I:$I,Info!$D868,Data!$H:$H,$P$1),0)</f>
        <v>0</v>
      </c>
      <c r="Q868" s="65" t="str">
        <f>IF(Table1[[#This Row],[Pick]]="","",IF(S868&gt;1,400,IF(G868="","",IF(C868="Passing",(400-Table1[[#This Row],[Passing Yards]]-(30*Table1[[#This Row],[Passing TDs]])-(50*SUM(Table1[[#This Row],[Rushing TDs]:[Other TD''s]]))),IF(C868="Rushing",2*(200-Table1[[#This Row],[Rushing Yards]]-(30*Table1[[#This Row],[Passing TDs]])-50*(Table1[[#This Row],[Rushing TDs]]+Table1[[#This Row],[Receiving TDs]]+Table1[[#This Row],[Other TD''s]])),IF(C868="Receiving",2*(200-Table1[[#This Row],[Receiving Yards]]-(30*Table1[[#This Row],[Passing TDs]])-50*(Table1[[#This Row],[Rushing TDs]]+Table1[[#This Row],[Receiving TDs]]+Table1[[#This Row],[Other TD''s]])),IF(C868="Defensive",(25*(16-Table1[[#This Row],[Tackles]]-(8*(Table1[[#This Row],[Other TD''s]]+Table1[[#This Row],[Interceptions]]+Table1[[#This Row],[Fumbles Recovered]])))))))))))</f>
        <v/>
      </c>
      <c r="R868" s="3" t="str">
        <f t="shared" si="28"/>
        <v/>
      </c>
      <c r="S868" s="4">
        <f t="shared" si="27"/>
        <v>1048507</v>
      </c>
      <c r="T8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9" spans="1:20" hidden="1" x14ac:dyDescent="0.25">
      <c r="A869" t="s">
        <v>62</v>
      </c>
      <c r="B869" s="28" t="s">
        <v>56</v>
      </c>
      <c r="C869" t="s">
        <v>17</v>
      </c>
      <c r="D869" t="str">
        <f>_xlfn.XLOOKUP(Table1[[#This Row],[Player]]&amp;Table1[[#This Row],[Week]]&amp;Table1[[#This Row],[Role]],'Google Form Transform'!$A:$A,'Google Form Transform'!E:E,"")</f>
        <v/>
      </c>
      <c r="E869" t="str">
        <f>_xlfn.XLOOKUP(Table1[[#This Row],[Player]]&amp;Table1[[#This Row],[Week]]&amp;Table1[[#This Row],[Role]],'Google Form Transform'!$A:$A,'Google Form Transform'!F:F,"")</f>
        <v/>
      </c>
      <c r="F869" t="str">
        <f>_xlfn.XLOOKUP(Table1[[#This Row],[Player]]&amp;Table1[[#This Row],[Week]]&amp;Table1[[#This Row],[Role]],'Google Form Transform'!$A:$A,'Google Form Transform'!G:G,"")</f>
        <v/>
      </c>
      <c r="G869" s="59">
        <f>SUMIFS(Table2[Stat],Table2[Stat Category],"passing",Table2[Stat Type],"YDS",Table2[Athlete],Table1[[#This Row],[Pick]],Table2[Week],Table1[[#This Row],[Week]])</f>
        <v>0</v>
      </c>
      <c r="H869" s="59">
        <f>SUMIFS(Table2[Stat],Table2[Stat Category],"rushing",Table2[Stat Type],"YDS",Table2[Athlete],Table1[[#This Row],[Pick]],Table2[Week],Table1[[#This Row],[Week]])</f>
        <v>0</v>
      </c>
      <c r="I869" s="59">
        <f>SUMIFS(Table2[Stat],Table2[Stat Category],"receiving",Table2[Stat Type],"YDS",Table2[Athlete],Table1[[#This Row],[Pick]],Table2[Week],Table1[[#This Row],[Week]])</f>
        <v>0</v>
      </c>
      <c r="J869" s="6">
        <f>IF(AND($C869="Rushing", $H869&lt;=0), 0, IF(AND($C869="Passing", $G$3&lt;=0), 0,IF(AND($C869="Receiving",$I869&lt;=0), 0,SUMIFS(Table2[Stat],Table2[Week],Table1[[#This Row],[Week]],Table2[Athlete],Table1[[#This Row],[Pick]],Table2[Stat Category],"passing",Table2[Stat Type],"TD"))))</f>
        <v>0</v>
      </c>
      <c r="K869" s="6">
        <f>IF(AND($C869="Rushing", $H869&lt;=0), 0, IF(AND($C869="Passing", $G$3&lt;=0), 0,IF(AND($C869="Receiving",$I869&lt;=0),0,SUMIFS(Table2[Stat],Table2[Week],Table1[[#This Row],[Week]],Table2[Athlete],Table1[[#This Row],[Pick]],Table2[Stat Category],"rushing",Table2[Stat Type],"TD"))))</f>
        <v>0</v>
      </c>
      <c r="L869" s="6">
        <f>IF(AND($C869="Rushing", $H869&lt;=0), 0, IF(AND($C869="Passing", $G$3&lt;=0), 0,IF(AND($C869="Receiving",$I869&lt;=0),0,SUMIFS(Table2[Stat],Table2[Week],Table1[[#This Row],[Week]],Table2[Athlete],Table1[[#This Row],[Pick]],Table2[Stat Category],"receiving",Table2[Stat Type],"TD"))))</f>
        <v>0</v>
      </c>
      <c r="M8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9" s="61">
        <f>SUMIFS(Data!$J:$J,Data!$A:$A,Info!$B869,Data!$G:$G,Info!$C869,Data!$I:$I,Info!$D869,Data!$H:$H,"TOT")</f>
        <v>0</v>
      </c>
      <c r="O869" s="61">
        <f>IF(C869="Defensive",SUMIFS(Data!$J:$J,Data!$A:$A,Info!$B869,Data!$I:$I,Info!$D869,Data!$H:$H,"INT"),0)</f>
        <v>0</v>
      </c>
      <c r="P869" s="61">
        <f>IF(Table1[[#This Row],[Role]]="Defensive",SUMIFS(Data!$J:$J,Data!$A:$A,Info!$B869,Data!$I:$I,Info!$D869,Data!$H:$H,$P$1),0)</f>
        <v>0</v>
      </c>
      <c r="Q869" s="65" t="str">
        <f>IF(Table1[[#This Row],[Pick]]="","",IF(S869&gt;1,400,IF(G869="","",IF(C869="Passing",(400-Table1[[#This Row],[Passing Yards]]-(30*Table1[[#This Row],[Passing TDs]])-(50*SUM(Table1[[#This Row],[Rushing TDs]:[Other TD''s]]))),IF(C869="Rushing",2*(200-Table1[[#This Row],[Rushing Yards]]-(30*Table1[[#This Row],[Passing TDs]])-50*(Table1[[#This Row],[Rushing TDs]]+Table1[[#This Row],[Receiving TDs]]+Table1[[#This Row],[Other TD''s]])),IF(C869="Receiving",2*(200-Table1[[#This Row],[Receiving Yards]]-(30*Table1[[#This Row],[Passing TDs]])-50*(Table1[[#This Row],[Rushing TDs]]+Table1[[#This Row],[Receiving TDs]]+Table1[[#This Row],[Other TD''s]])),IF(C869="Defensive",(25*(16-Table1[[#This Row],[Tackles]]-(8*(Table1[[#This Row],[Other TD''s]]+Table1[[#This Row],[Interceptions]]+Table1[[#This Row],[Fumbles Recovered]])))))))))))</f>
        <v/>
      </c>
      <c r="R869" s="3" t="str">
        <f t="shared" si="28"/>
        <v/>
      </c>
      <c r="S869" s="4">
        <f t="shared" si="27"/>
        <v>1048507</v>
      </c>
      <c r="T8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0" spans="1:20" hidden="1" x14ac:dyDescent="0.25">
      <c r="A870" t="s">
        <v>62</v>
      </c>
      <c r="B870" s="28" t="s">
        <v>56</v>
      </c>
      <c r="C870" t="s">
        <v>20</v>
      </c>
      <c r="D870" t="str">
        <f>_xlfn.XLOOKUP(Table1[[#This Row],[Player]]&amp;Table1[[#This Row],[Week]]&amp;Table1[[#This Row],[Role]],'Google Form Transform'!$A:$A,'Google Form Transform'!E:E,"")</f>
        <v/>
      </c>
      <c r="E870" t="str">
        <f>_xlfn.XLOOKUP(Table1[[#This Row],[Player]]&amp;Table1[[#This Row],[Week]]&amp;Table1[[#This Row],[Role]],'Google Form Transform'!$A:$A,'Google Form Transform'!F:F,"")</f>
        <v/>
      </c>
      <c r="F870" t="str">
        <f>_xlfn.XLOOKUP(Table1[[#This Row],[Player]]&amp;Table1[[#This Row],[Week]]&amp;Table1[[#This Row],[Role]],'Google Form Transform'!$A:$A,'Google Form Transform'!G:G,"")</f>
        <v/>
      </c>
      <c r="G870" s="59">
        <f>SUMIFS(Table2[Stat],Table2[Stat Category],"passing",Table2[Stat Type],"YDS",Table2[Athlete],Table1[[#This Row],[Pick]],Table2[Week],Table1[[#This Row],[Week]])</f>
        <v>0</v>
      </c>
      <c r="H870" s="59">
        <f>SUMIFS(Table2[Stat],Table2[Stat Category],"rushing",Table2[Stat Type],"YDS",Table2[Athlete],Table1[[#This Row],[Pick]],Table2[Week],Table1[[#This Row],[Week]])</f>
        <v>0</v>
      </c>
      <c r="I870" s="59">
        <f>SUMIFS(Table2[Stat],Table2[Stat Category],"receiving",Table2[Stat Type],"YDS",Table2[Athlete],Table1[[#This Row],[Pick]],Table2[Week],Table1[[#This Row],[Week]])</f>
        <v>0</v>
      </c>
      <c r="J870" s="6">
        <f>IF(AND($C870="Rushing", $H870&lt;=0), 0, IF(AND($C870="Passing", $G$3&lt;=0), 0,IF(AND($C870="Receiving",$I870&lt;=0), 0,SUMIFS(Table2[Stat],Table2[Week],Table1[[#This Row],[Week]],Table2[Athlete],Table1[[#This Row],[Pick]],Table2[Stat Category],"passing",Table2[Stat Type],"TD"))))</f>
        <v>0</v>
      </c>
      <c r="K870" s="6">
        <f>IF(AND($C870="Rushing", $H870&lt;=0), 0, IF(AND($C870="Passing", $G$3&lt;=0), 0,IF(AND($C870="Receiving",$I870&lt;=0),0,SUMIFS(Table2[Stat],Table2[Week],Table1[[#This Row],[Week]],Table2[Athlete],Table1[[#This Row],[Pick]],Table2[Stat Category],"rushing",Table2[Stat Type],"TD"))))</f>
        <v>0</v>
      </c>
      <c r="L870" s="6">
        <f>IF(AND($C870="Rushing", $H870&lt;=0), 0, IF(AND($C870="Passing", $G$3&lt;=0), 0,IF(AND($C870="Receiving",$I870&lt;=0),0,SUMIFS(Table2[Stat],Table2[Week],Table1[[#This Row],[Week]],Table2[Athlete],Table1[[#This Row],[Pick]],Table2[Stat Category],"receiving",Table2[Stat Type],"TD"))))</f>
        <v>0</v>
      </c>
      <c r="M8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0" s="61">
        <f>SUMIFS(Data!$J:$J,Data!$A:$A,Info!$B870,Data!$G:$G,Info!$C870,Data!$I:$I,Info!$D870,Data!$H:$H,"TOT")</f>
        <v>0</v>
      </c>
      <c r="O870" s="61">
        <f>IF(C870="Defensive",SUMIFS(Data!$J:$J,Data!$A:$A,Info!$B870,Data!$I:$I,Info!$D870,Data!$H:$H,"INT"),0)</f>
        <v>0</v>
      </c>
      <c r="P870" s="61">
        <f>IF(Table1[[#This Row],[Role]]="Defensive",SUMIFS(Data!$J:$J,Data!$A:$A,Info!$B870,Data!$I:$I,Info!$D870,Data!$H:$H,$P$1),0)</f>
        <v>0</v>
      </c>
      <c r="Q870" s="65" t="str">
        <f>IF(Table1[[#This Row],[Pick]]="","",IF(S870&gt;1,400,IF(G870="","",IF(C870="Passing",(400-Table1[[#This Row],[Passing Yards]]-(30*Table1[[#This Row],[Passing TDs]])-(50*SUM(Table1[[#This Row],[Rushing TDs]:[Other TD''s]]))),IF(C870="Rushing",2*(200-Table1[[#This Row],[Rushing Yards]]-(30*Table1[[#This Row],[Passing TDs]])-50*(Table1[[#This Row],[Rushing TDs]]+Table1[[#This Row],[Receiving TDs]]+Table1[[#This Row],[Other TD''s]])),IF(C870="Receiving",2*(200-Table1[[#This Row],[Receiving Yards]]-(30*Table1[[#This Row],[Passing TDs]])-50*(Table1[[#This Row],[Rushing TDs]]+Table1[[#This Row],[Receiving TDs]]+Table1[[#This Row],[Other TD''s]])),IF(C870="Defensive",(25*(16-Table1[[#This Row],[Tackles]]-(8*(Table1[[#This Row],[Other TD''s]]+Table1[[#This Row],[Interceptions]]+Table1[[#This Row],[Fumbles Recovered]])))))))))))</f>
        <v/>
      </c>
      <c r="R870" s="3" t="str">
        <f t="shared" si="28"/>
        <v/>
      </c>
      <c r="S870" s="4">
        <f t="shared" si="27"/>
        <v>1048507</v>
      </c>
      <c r="T8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1" spans="1:20" hidden="1" x14ac:dyDescent="0.25">
      <c r="A871" t="s">
        <v>59</v>
      </c>
      <c r="B871" s="28" t="s">
        <v>56</v>
      </c>
      <c r="C871" t="s">
        <v>16</v>
      </c>
      <c r="D871" t="str">
        <f>_xlfn.XLOOKUP(Table1[[#This Row],[Player]]&amp;Table1[[#This Row],[Week]]&amp;Table1[[#This Row],[Role]],'Google Form Transform'!$A:$A,'Google Form Transform'!E:E,"")</f>
        <v/>
      </c>
      <c r="E871" t="str">
        <f>_xlfn.XLOOKUP(Table1[[#This Row],[Player]]&amp;Table1[[#This Row],[Week]]&amp;Table1[[#This Row],[Role]],'Google Form Transform'!$A:$A,'Google Form Transform'!F:F,"")</f>
        <v/>
      </c>
      <c r="F871" t="str">
        <f>_xlfn.XLOOKUP(Table1[[#This Row],[Player]]&amp;Table1[[#This Row],[Week]]&amp;Table1[[#This Row],[Role]],'Google Form Transform'!$A:$A,'Google Form Transform'!G:G,"")</f>
        <v/>
      </c>
      <c r="G871" s="59">
        <f>SUMIFS(Table2[Stat],Table2[Stat Category],"passing",Table2[Stat Type],"YDS",Table2[Athlete],Table1[[#This Row],[Pick]],Table2[Week],Table1[[#This Row],[Week]])</f>
        <v>0</v>
      </c>
      <c r="H871" s="59">
        <f>SUMIFS(Table2[Stat],Table2[Stat Category],"rushing",Table2[Stat Type],"YDS",Table2[Athlete],Table1[[#This Row],[Pick]],Table2[Week],Table1[[#This Row],[Week]])</f>
        <v>0</v>
      </c>
      <c r="I871" s="59">
        <f>SUMIFS(Table2[Stat],Table2[Stat Category],"receiving",Table2[Stat Type],"YDS",Table2[Athlete],Table1[[#This Row],[Pick]],Table2[Week],Table1[[#This Row],[Week]])</f>
        <v>0</v>
      </c>
      <c r="J871" s="6">
        <f>IF(AND($C871="Rushing", $H871&lt;=0), 0, IF(AND($C871="Passing", $G$3&lt;=0), 0,IF(AND($C871="Receiving",$I871&lt;=0), 0,SUMIFS(Table2[Stat],Table2[Week],Table1[[#This Row],[Week]],Table2[Athlete],Table1[[#This Row],[Pick]],Table2[Stat Category],"passing",Table2[Stat Type],"TD"))))</f>
        <v>0</v>
      </c>
      <c r="K871" s="6">
        <f>IF(AND($C871="Rushing", $H871&lt;=0), 0, IF(AND($C871="Passing", $G$3&lt;=0), 0,IF(AND($C871="Receiving",$I871&lt;=0),0,SUMIFS(Table2[Stat],Table2[Week],Table1[[#This Row],[Week]],Table2[Athlete],Table1[[#This Row],[Pick]],Table2[Stat Category],"rushing",Table2[Stat Type],"TD"))))</f>
        <v>0</v>
      </c>
      <c r="L871" s="6">
        <f>IF(AND($C871="Rushing", $H871&lt;=0), 0, IF(AND($C871="Passing", $G$3&lt;=0), 0,IF(AND($C871="Receiving",$I871&lt;=0),0,SUMIFS(Table2[Stat],Table2[Week],Table1[[#This Row],[Week]],Table2[Athlete],Table1[[#This Row],[Pick]],Table2[Stat Category],"receiving",Table2[Stat Type],"TD"))))</f>
        <v>0</v>
      </c>
      <c r="M8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1" s="61">
        <f>SUMIFS(Data!$J:$J,Data!$A:$A,Info!$B871,Data!$G:$G,Info!$C871,Data!$I:$I,Info!$D871,Data!$H:$H,"TOT")</f>
        <v>0</v>
      </c>
      <c r="O871" s="61">
        <f>IF(C871="Defensive",SUMIFS(Data!$J:$J,Data!$A:$A,Info!$B871,Data!$I:$I,Info!$D871,Data!$H:$H,"INT"),0)</f>
        <v>0</v>
      </c>
      <c r="P871" s="61">
        <f>IF(Table1[[#This Row],[Role]]="Defensive",SUMIFS(Data!$J:$J,Data!$A:$A,Info!$B871,Data!$I:$I,Info!$D871,Data!$H:$H,$P$1),0)</f>
        <v>0</v>
      </c>
      <c r="Q871" s="65" t="str">
        <f>IF(Table1[[#This Row],[Pick]]="","",IF(S871&gt;1,400,IF(G871="","",IF(C871="Passing",(400-Table1[[#This Row],[Passing Yards]]-(30*Table1[[#This Row],[Passing TDs]])-(50*SUM(Table1[[#This Row],[Rushing TDs]:[Other TD''s]]))),IF(C871="Rushing",2*(200-Table1[[#This Row],[Rushing Yards]]-(30*Table1[[#This Row],[Passing TDs]])-50*(Table1[[#This Row],[Rushing TDs]]+Table1[[#This Row],[Receiving TDs]]+Table1[[#This Row],[Other TD''s]])),IF(C871="Receiving",2*(200-Table1[[#This Row],[Receiving Yards]]-(30*Table1[[#This Row],[Passing TDs]])-50*(Table1[[#This Row],[Rushing TDs]]+Table1[[#This Row],[Receiving TDs]]+Table1[[#This Row],[Other TD''s]])),IF(C871="Defensive",(25*(16-Table1[[#This Row],[Tackles]]-(8*(Table1[[#This Row],[Other TD''s]]+Table1[[#This Row],[Interceptions]]+Table1[[#This Row],[Fumbles Recovered]])))))))))))</f>
        <v/>
      </c>
      <c r="R871" s="3" t="str">
        <f t="shared" si="28"/>
        <v/>
      </c>
      <c r="S871" s="4">
        <f t="shared" si="27"/>
        <v>1048507</v>
      </c>
      <c r="T8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2" spans="1:20" hidden="1" x14ac:dyDescent="0.25">
      <c r="A872" t="s">
        <v>59</v>
      </c>
      <c r="B872" s="28" t="s">
        <v>56</v>
      </c>
      <c r="C872" t="s">
        <v>6</v>
      </c>
      <c r="D872" t="str">
        <f>_xlfn.XLOOKUP(Table1[[#This Row],[Player]]&amp;Table1[[#This Row],[Week]]&amp;Table1[[#This Row],[Role]],'Google Form Transform'!$A:$A,'Google Form Transform'!E:E,"")</f>
        <v/>
      </c>
      <c r="E872" t="str">
        <f>_xlfn.XLOOKUP(Table1[[#This Row],[Player]]&amp;Table1[[#This Row],[Week]]&amp;Table1[[#This Row],[Role]],'Google Form Transform'!$A:$A,'Google Form Transform'!F:F,"")</f>
        <v/>
      </c>
      <c r="F872" t="str">
        <f>_xlfn.XLOOKUP(Table1[[#This Row],[Player]]&amp;Table1[[#This Row],[Week]]&amp;Table1[[#This Row],[Role]],'Google Form Transform'!$A:$A,'Google Form Transform'!G:G,"")</f>
        <v/>
      </c>
      <c r="G872" s="59">
        <f>SUMIFS(Table2[Stat],Table2[Stat Category],"passing",Table2[Stat Type],"YDS",Table2[Athlete],Table1[[#This Row],[Pick]],Table2[Week],Table1[[#This Row],[Week]])</f>
        <v>0</v>
      </c>
      <c r="H872" s="59">
        <f>SUMIFS(Table2[Stat],Table2[Stat Category],"rushing",Table2[Stat Type],"YDS",Table2[Athlete],Table1[[#This Row],[Pick]],Table2[Week],Table1[[#This Row],[Week]])</f>
        <v>0</v>
      </c>
      <c r="I872" s="59">
        <f>SUMIFS(Table2[Stat],Table2[Stat Category],"receiving",Table2[Stat Type],"YDS",Table2[Athlete],Table1[[#This Row],[Pick]],Table2[Week],Table1[[#This Row],[Week]])</f>
        <v>0</v>
      </c>
      <c r="J872" s="6">
        <f>IF(AND($C872="Rushing", $H872&lt;=0), 0, IF(AND($C872="Passing", $G$3&lt;=0), 0,IF(AND($C872="Receiving",$I872&lt;=0), 0,SUMIFS(Table2[Stat],Table2[Week],Table1[[#This Row],[Week]],Table2[Athlete],Table1[[#This Row],[Pick]],Table2[Stat Category],"passing",Table2[Stat Type],"TD"))))</f>
        <v>0</v>
      </c>
      <c r="K872" s="6">
        <f>IF(AND($C872="Rushing", $H872&lt;=0), 0, IF(AND($C872="Passing", $G$3&lt;=0), 0,IF(AND($C872="Receiving",$I872&lt;=0),0,SUMIFS(Table2[Stat],Table2[Week],Table1[[#This Row],[Week]],Table2[Athlete],Table1[[#This Row],[Pick]],Table2[Stat Category],"rushing",Table2[Stat Type],"TD"))))</f>
        <v>0</v>
      </c>
      <c r="L872" s="6">
        <f>IF(AND($C872="Rushing", $H872&lt;=0), 0, IF(AND($C872="Passing", $G$3&lt;=0), 0,IF(AND($C872="Receiving",$I872&lt;=0),0,SUMIFS(Table2[Stat],Table2[Week],Table1[[#This Row],[Week]],Table2[Athlete],Table1[[#This Row],[Pick]],Table2[Stat Category],"receiving",Table2[Stat Type],"TD"))))</f>
        <v>0</v>
      </c>
      <c r="M8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2" s="61">
        <f>SUMIFS(Data!$J:$J,Data!$A:$A,Info!$B872,Data!$G:$G,Info!$C872,Data!$I:$I,Info!$D872,Data!$H:$H,"TOT")</f>
        <v>0</v>
      </c>
      <c r="O872" s="61">
        <f>IF(C872="Defensive",SUMIFS(Data!$J:$J,Data!$A:$A,Info!$B872,Data!$I:$I,Info!$D872,Data!$H:$H,"INT"),0)</f>
        <v>0</v>
      </c>
      <c r="P872" s="61">
        <f>IF(Table1[[#This Row],[Role]]="Defensive",SUMIFS(Data!$J:$J,Data!$A:$A,Info!$B872,Data!$I:$I,Info!$D872,Data!$H:$H,$P$1),0)</f>
        <v>0</v>
      </c>
      <c r="Q872" s="65" t="str">
        <f>IF(Table1[[#This Row],[Pick]]="","",IF(S872&gt;1,400,IF(G872="","",IF(C872="Passing",(400-Table1[[#This Row],[Passing Yards]]-(30*Table1[[#This Row],[Passing TDs]])-(50*SUM(Table1[[#This Row],[Rushing TDs]:[Other TD''s]]))),IF(C872="Rushing",2*(200-Table1[[#This Row],[Rushing Yards]]-(30*Table1[[#This Row],[Passing TDs]])-50*(Table1[[#This Row],[Rushing TDs]]+Table1[[#This Row],[Receiving TDs]]+Table1[[#This Row],[Other TD''s]])),IF(C872="Receiving",2*(200-Table1[[#This Row],[Receiving Yards]]-(30*Table1[[#This Row],[Passing TDs]])-50*(Table1[[#This Row],[Rushing TDs]]+Table1[[#This Row],[Receiving TDs]]+Table1[[#This Row],[Other TD''s]])),IF(C872="Defensive",(25*(16-Table1[[#This Row],[Tackles]]-(8*(Table1[[#This Row],[Other TD''s]]+Table1[[#This Row],[Interceptions]]+Table1[[#This Row],[Fumbles Recovered]])))))))))))</f>
        <v/>
      </c>
      <c r="R872" s="3" t="str">
        <f t="shared" si="28"/>
        <v/>
      </c>
      <c r="S872" s="4">
        <f t="shared" si="27"/>
        <v>1048507</v>
      </c>
      <c r="T8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3" spans="1:20" hidden="1" x14ac:dyDescent="0.25">
      <c r="A873" t="s">
        <v>59</v>
      </c>
      <c r="B873" s="28" t="s">
        <v>56</v>
      </c>
      <c r="C873" t="s">
        <v>17</v>
      </c>
      <c r="D873" t="str">
        <f>_xlfn.XLOOKUP(Table1[[#This Row],[Player]]&amp;Table1[[#This Row],[Week]]&amp;Table1[[#This Row],[Role]],'Google Form Transform'!$A:$A,'Google Form Transform'!E:E,"")</f>
        <v/>
      </c>
      <c r="E873" t="str">
        <f>_xlfn.XLOOKUP(Table1[[#This Row],[Player]]&amp;Table1[[#This Row],[Week]]&amp;Table1[[#This Row],[Role]],'Google Form Transform'!$A:$A,'Google Form Transform'!F:F,"")</f>
        <v/>
      </c>
      <c r="F873" t="str">
        <f>_xlfn.XLOOKUP(Table1[[#This Row],[Player]]&amp;Table1[[#This Row],[Week]]&amp;Table1[[#This Row],[Role]],'Google Form Transform'!$A:$A,'Google Form Transform'!G:G,"")</f>
        <v/>
      </c>
      <c r="G873" s="59">
        <f>SUMIFS(Table2[Stat],Table2[Stat Category],"passing",Table2[Stat Type],"YDS",Table2[Athlete],Table1[[#This Row],[Pick]],Table2[Week],Table1[[#This Row],[Week]])</f>
        <v>0</v>
      </c>
      <c r="H873" s="59">
        <f>SUMIFS(Table2[Stat],Table2[Stat Category],"rushing",Table2[Stat Type],"YDS",Table2[Athlete],Table1[[#This Row],[Pick]],Table2[Week],Table1[[#This Row],[Week]])</f>
        <v>0</v>
      </c>
      <c r="I873" s="59">
        <f>SUMIFS(Table2[Stat],Table2[Stat Category],"receiving",Table2[Stat Type],"YDS",Table2[Athlete],Table1[[#This Row],[Pick]],Table2[Week],Table1[[#This Row],[Week]])</f>
        <v>0</v>
      </c>
      <c r="J873" s="6">
        <f>IF(AND($C873="Rushing", $H873&lt;=0), 0, IF(AND($C873="Passing", $G$3&lt;=0), 0,IF(AND($C873="Receiving",$I873&lt;=0), 0,SUMIFS(Table2[Stat],Table2[Week],Table1[[#This Row],[Week]],Table2[Athlete],Table1[[#This Row],[Pick]],Table2[Stat Category],"passing",Table2[Stat Type],"TD"))))</f>
        <v>0</v>
      </c>
      <c r="K873" s="6">
        <f>IF(AND($C873="Rushing", $H873&lt;=0), 0, IF(AND($C873="Passing", $G$3&lt;=0), 0,IF(AND($C873="Receiving",$I873&lt;=0),0,SUMIFS(Table2[Stat],Table2[Week],Table1[[#This Row],[Week]],Table2[Athlete],Table1[[#This Row],[Pick]],Table2[Stat Category],"rushing",Table2[Stat Type],"TD"))))</f>
        <v>0</v>
      </c>
      <c r="L873" s="6">
        <f>IF(AND($C873="Rushing", $H873&lt;=0), 0, IF(AND($C873="Passing", $G$3&lt;=0), 0,IF(AND($C873="Receiving",$I873&lt;=0),0,SUMIFS(Table2[Stat],Table2[Week],Table1[[#This Row],[Week]],Table2[Athlete],Table1[[#This Row],[Pick]],Table2[Stat Category],"receiving",Table2[Stat Type],"TD"))))</f>
        <v>0</v>
      </c>
      <c r="M8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3" s="61">
        <f>SUMIFS(Data!$J:$J,Data!$A:$A,Info!$B873,Data!$G:$G,Info!$C873,Data!$I:$I,Info!$D873,Data!$H:$H,"TOT")</f>
        <v>0</v>
      </c>
      <c r="O873" s="61">
        <f>IF(C873="Defensive",SUMIFS(Data!$J:$J,Data!$A:$A,Info!$B873,Data!$I:$I,Info!$D873,Data!$H:$H,"INT"),0)</f>
        <v>0</v>
      </c>
      <c r="P873" s="61">
        <f>IF(Table1[[#This Row],[Role]]="Defensive",SUMIFS(Data!$J:$J,Data!$A:$A,Info!$B873,Data!$I:$I,Info!$D873,Data!$H:$H,$P$1),0)</f>
        <v>0</v>
      </c>
      <c r="Q873" s="65" t="str">
        <f>IF(Table1[[#This Row],[Pick]]="","",IF(S873&gt;1,400,IF(G873="","",IF(C873="Passing",(400-Table1[[#This Row],[Passing Yards]]-(30*Table1[[#This Row],[Passing TDs]])-(50*SUM(Table1[[#This Row],[Rushing TDs]:[Other TD''s]]))),IF(C873="Rushing",2*(200-Table1[[#This Row],[Rushing Yards]]-(30*Table1[[#This Row],[Passing TDs]])-50*(Table1[[#This Row],[Rushing TDs]]+Table1[[#This Row],[Receiving TDs]]+Table1[[#This Row],[Other TD''s]])),IF(C873="Receiving",2*(200-Table1[[#This Row],[Receiving Yards]]-(30*Table1[[#This Row],[Passing TDs]])-50*(Table1[[#This Row],[Rushing TDs]]+Table1[[#This Row],[Receiving TDs]]+Table1[[#This Row],[Other TD''s]])),IF(C873="Defensive",(25*(16-Table1[[#This Row],[Tackles]]-(8*(Table1[[#This Row],[Other TD''s]]+Table1[[#This Row],[Interceptions]]+Table1[[#This Row],[Fumbles Recovered]])))))))))))</f>
        <v/>
      </c>
      <c r="R873" s="3" t="str">
        <f t="shared" si="28"/>
        <v/>
      </c>
      <c r="S873" s="4">
        <f t="shared" si="27"/>
        <v>1048507</v>
      </c>
      <c r="T8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4" spans="1:20" hidden="1" x14ac:dyDescent="0.25">
      <c r="A874" t="s">
        <v>59</v>
      </c>
      <c r="B874" s="28" t="s">
        <v>56</v>
      </c>
      <c r="C874" t="s">
        <v>20</v>
      </c>
      <c r="D874" t="str">
        <f>_xlfn.XLOOKUP(Table1[[#This Row],[Player]]&amp;Table1[[#This Row],[Week]]&amp;Table1[[#This Row],[Role]],'Google Form Transform'!$A:$A,'Google Form Transform'!E:E,"")</f>
        <v/>
      </c>
      <c r="E874" t="str">
        <f>_xlfn.XLOOKUP(Table1[[#This Row],[Player]]&amp;Table1[[#This Row],[Week]]&amp;Table1[[#This Row],[Role]],'Google Form Transform'!$A:$A,'Google Form Transform'!F:F,"")</f>
        <v/>
      </c>
      <c r="F874" t="str">
        <f>_xlfn.XLOOKUP(Table1[[#This Row],[Player]]&amp;Table1[[#This Row],[Week]]&amp;Table1[[#This Row],[Role]],'Google Form Transform'!$A:$A,'Google Form Transform'!G:G,"")</f>
        <v/>
      </c>
      <c r="G874" s="59">
        <f>SUMIFS(Table2[Stat],Table2[Stat Category],"passing",Table2[Stat Type],"YDS",Table2[Athlete],Table1[[#This Row],[Pick]],Table2[Week],Table1[[#This Row],[Week]])</f>
        <v>0</v>
      </c>
      <c r="H874" s="59">
        <f>SUMIFS(Table2[Stat],Table2[Stat Category],"rushing",Table2[Stat Type],"YDS",Table2[Athlete],Table1[[#This Row],[Pick]],Table2[Week],Table1[[#This Row],[Week]])</f>
        <v>0</v>
      </c>
      <c r="I874" s="59">
        <f>SUMIFS(Table2[Stat],Table2[Stat Category],"receiving",Table2[Stat Type],"YDS",Table2[Athlete],Table1[[#This Row],[Pick]],Table2[Week],Table1[[#This Row],[Week]])</f>
        <v>0</v>
      </c>
      <c r="J874" s="6">
        <f>IF(AND($C874="Rushing", $H874&lt;=0), 0, IF(AND($C874="Passing", $G$3&lt;=0), 0,IF(AND($C874="Receiving",$I874&lt;=0), 0,SUMIFS(Table2[Stat],Table2[Week],Table1[[#This Row],[Week]],Table2[Athlete],Table1[[#This Row],[Pick]],Table2[Stat Category],"passing",Table2[Stat Type],"TD"))))</f>
        <v>0</v>
      </c>
      <c r="K874" s="6">
        <f>IF(AND($C874="Rushing", $H874&lt;=0), 0, IF(AND($C874="Passing", $G$3&lt;=0), 0,IF(AND($C874="Receiving",$I874&lt;=0),0,SUMIFS(Table2[Stat],Table2[Week],Table1[[#This Row],[Week]],Table2[Athlete],Table1[[#This Row],[Pick]],Table2[Stat Category],"rushing",Table2[Stat Type],"TD"))))</f>
        <v>0</v>
      </c>
      <c r="L874" s="6">
        <f>IF(AND($C874="Rushing", $H874&lt;=0), 0, IF(AND($C874="Passing", $G$3&lt;=0), 0,IF(AND($C874="Receiving",$I874&lt;=0),0,SUMIFS(Table2[Stat],Table2[Week],Table1[[#This Row],[Week]],Table2[Athlete],Table1[[#This Row],[Pick]],Table2[Stat Category],"receiving",Table2[Stat Type],"TD"))))</f>
        <v>0</v>
      </c>
      <c r="M8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4" s="61">
        <f>SUMIFS(Data!$J:$J,Data!$A:$A,Info!$B874,Data!$G:$G,Info!$C874,Data!$I:$I,Info!$D874,Data!$H:$H,"TOT")</f>
        <v>0</v>
      </c>
      <c r="O874" s="61">
        <f>IF(C874="Defensive",SUMIFS(Data!$J:$J,Data!$A:$A,Info!$B874,Data!$I:$I,Info!$D874,Data!$H:$H,"INT"),0)</f>
        <v>0</v>
      </c>
      <c r="P874" s="61">
        <f>IF(Table1[[#This Row],[Role]]="Defensive",SUMIFS(Data!$J:$J,Data!$A:$A,Info!$B874,Data!$I:$I,Info!$D874,Data!$H:$H,$P$1),0)</f>
        <v>0</v>
      </c>
      <c r="Q874" s="65" t="str">
        <f>IF(Table1[[#This Row],[Pick]]="","",IF(S874&gt;1,400,IF(G874="","",IF(C874="Passing",(400-Table1[[#This Row],[Passing Yards]]-(30*Table1[[#This Row],[Passing TDs]])-(50*SUM(Table1[[#This Row],[Rushing TDs]:[Other TD''s]]))),IF(C874="Rushing",2*(200-Table1[[#This Row],[Rushing Yards]]-(30*Table1[[#This Row],[Passing TDs]])-50*(Table1[[#This Row],[Rushing TDs]]+Table1[[#This Row],[Receiving TDs]]+Table1[[#This Row],[Other TD''s]])),IF(C874="Receiving",2*(200-Table1[[#This Row],[Receiving Yards]]-(30*Table1[[#This Row],[Passing TDs]])-50*(Table1[[#This Row],[Rushing TDs]]+Table1[[#This Row],[Receiving TDs]]+Table1[[#This Row],[Other TD''s]])),IF(C874="Defensive",(25*(16-Table1[[#This Row],[Tackles]]-(8*(Table1[[#This Row],[Other TD''s]]+Table1[[#This Row],[Interceptions]]+Table1[[#This Row],[Fumbles Recovered]])))))))))))</f>
        <v/>
      </c>
      <c r="R874" s="3" t="str">
        <f t="shared" si="28"/>
        <v/>
      </c>
      <c r="S874" s="4">
        <f t="shared" si="27"/>
        <v>1048507</v>
      </c>
      <c r="T8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5" spans="1:20" hidden="1" x14ac:dyDescent="0.25">
      <c r="A875" t="s">
        <v>68</v>
      </c>
      <c r="B875" s="28" t="s">
        <v>56</v>
      </c>
      <c r="C875" t="s">
        <v>16</v>
      </c>
      <c r="D875" t="str">
        <f>_xlfn.XLOOKUP(Table1[[#This Row],[Player]]&amp;Table1[[#This Row],[Week]]&amp;Table1[[#This Row],[Role]],'Google Form Transform'!$A:$A,'Google Form Transform'!E:E,"")</f>
        <v/>
      </c>
      <c r="E875" t="str">
        <f>_xlfn.XLOOKUP(Table1[[#This Row],[Player]]&amp;Table1[[#This Row],[Week]]&amp;Table1[[#This Row],[Role]],'Google Form Transform'!$A:$A,'Google Form Transform'!F:F,"")</f>
        <v/>
      </c>
      <c r="F875" t="str">
        <f>_xlfn.XLOOKUP(Table1[[#This Row],[Player]]&amp;Table1[[#This Row],[Week]]&amp;Table1[[#This Row],[Role]],'Google Form Transform'!$A:$A,'Google Form Transform'!G:G,"")</f>
        <v/>
      </c>
      <c r="G875" s="59">
        <f>SUMIFS(Table2[Stat],Table2[Stat Category],"passing",Table2[Stat Type],"YDS",Table2[Athlete],Table1[[#This Row],[Pick]],Table2[Week],Table1[[#This Row],[Week]])</f>
        <v>0</v>
      </c>
      <c r="H875" s="59">
        <f>SUMIFS(Table2[Stat],Table2[Stat Category],"rushing",Table2[Stat Type],"YDS",Table2[Athlete],Table1[[#This Row],[Pick]],Table2[Week],Table1[[#This Row],[Week]])</f>
        <v>0</v>
      </c>
      <c r="I875" s="59">
        <f>SUMIFS(Table2[Stat],Table2[Stat Category],"receiving",Table2[Stat Type],"YDS",Table2[Athlete],Table1[[#This Row],[Pick]],Table2[Week],Table1[[#This Row],[Week]])</f>
        <v>0</v>
      </c>
      <c r="J875" s="6">
        <f>IF(AND($C875="Rushing", $H875&lt;=0), 0, IF(AND($C875="Passing", $G$3&lt;=0), 0,IF(AND($C875="Receiving",$I875&lt;=0), 0,SUMIFS(Table2[Stat],Table2[Week],Table1[[#This Row],[Week]],Table2[Athlete],Table1[[#This Row],[Pick]],Table2[Stat Category],"passing",Table2[Stat Type],"TD"))))</f>
        <v>0</v>
      </c>
      <c r="K875" s="6">
        <f>IF(AND($C875="Rushing", $H875&lt;=0), 0, IF(AND($C875="Passing", $G$3&lt;=0), 0,IF(AND($C875="Receiving",$I875&lt;=0),0,SUMIFS(Table2[Stat],Table2[Week],Table1[[#This Row],[Week]],Table2[Athlete],Table1[[#This Row],[Pick]],Table2[Stat Category],"rushing",Table2[Stat Type],"TD"))))</f>
        <v>0</v>
      </c>
      <c r="L875" s="6">
        <f>IF(AND($C875="Rushing", $H875&lt;=0), 0, IF(AND($C875="Passing", $G$3&lt;=0), 0,IF(AND($C875="Receiving",$I875&lt;=0),0,SUMIFS(Table2[Stat],Table2[Week],Table1[[#This Row],[Week]],Table2[Athlete],Table1[[#This Row],[Pick]],Table2[Stat Category],"receiving",Table2[Stat Type],"TD"))))</f>
        <v>0</v>
      </c>
      <c r="M8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5" s="61">
        <f>SUMIFS(Data!$J:$J,Data!$A:$A,Info!$B875,Data!$G:$G,Info!$C875,Data!$I:$I,Info!$D875,Data!$H:$H,"TOT")</f>
        <v>0</v>
      </c>
      <c r="O875" s="61">
        <f>IF(C875="Defensive",SUMIFS(Data!$J:$J,Data!$A:$A,Info!$B875,Data!$I:$I,Info!$D875,Data!$H:$H,"INT"),0)</f>
        <v>0</v>
      </c>
      <c r="P875" s="61">
        <f>IF(Table1[[#This Row],[Role]]="Defensive",SUMIFS(Data!$J:$J,Data!$A:$A,Info!$B875,Data!$I:$I,Info!$D875,Data!$H:$H,$P$1),0)</f>
        <v>0</v>
      </c>
      <c r="Q875" s="65" t="str">
        <f>IF(Table1[[#This Row],[Pick]]="","",IF(S875&gt;1,400,IF(G875="","",IF(C875="Passing",(400-Table1[[#This Row],[Passing Yards]]-(30*Table1[[#This Row],[Passing TDs]])-(50*SUM(Table1[[#This Row],[Rushing TDs]:[Other TD''s]]))),IF(C875="Rushing",2*(200-Table1[[#This Row],[Rushing Yards]]-(30*Table1[[#This Row],[Passing TDs]])-50*(Table1[[#This Row],[Rushing TDs]]+Table1[[#This Row],[Receiving TDs]]+Table1[[#This Row],[Other TD''s]])),IF(C875="Receiving",2*(200-Table1[[#This Row],[Receiving Yards]]-(30*Table1[[#This Row],[Passing TDs]])-50*(Table1[[#This Row],[Rushing TDs]]+Table1[[#This Row],[Receiving TDs]]+Table1[[#This Row],[Other TD''s]])),IF(C875="Defensive",(25*(16-Table1[[#This Row],[Tackles]]-(8*(Table1[[#This Row],[Other TD''s]]+Table1[[#This Row],[Interceptions]]+Table1[[#This Row],[Fumbles Recovered]])))))))))))</f>
        <v/>
      </c>
      <c r="R875" s="3" t="str">
        <f t="shared" si="28"/>
        <v/>
      </c>
      <c r="S875" s="4">
        <f t="shared" si="27"/>
        <v>1048507</v>
      </c>
      <c r="T8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6" spans="1:20" hidden="1" x14ac:dyDescent="0.25">
      <c r="A876" t="s">
        <v>68</v>
      </c>
      <c r="B876" s="28" t="s">
        <v>56</v>
      </c>
      <c r="C876" t="s">
        <v>6</v>
      </c>
      <c r="D876" t="str">
        <f>_xlfn.XLOOKUP(Table1[[#This Row],[Player]]&amp;Table1[[#This Row],[Week]]&amp;Table1[[#This Row],[Role]],'Google Form Transform'!$A:$A,'Google Form Transform'!E:E,"")</f>
        <v/>
      </c>
      <c r="E876" t="str">
        <f>_xlfn.XLOOKUP(Table1[[#This Row],[Player]]&amp;Table1[[#This Row],[Week]]&amp;Table1[[#This Row],[Role]],'Google Form Transform'!$A:$A,'Google Form Transform'!F:F,"")</f>
        <v/>
      </c>
      <c r="F876" t="str">
        <f>_xlfn.XLOOKUP(Table1[[#This Row],[Player]]&amp;Table1[[#This Row],[Week]]&amp;Table1[[#This Row],[Role]],'Google Form Transform'!$A:$A,'Google Form Transform'!G:G,"")</f>
        <v/>
      </c>
      <c r="G876" s="59">
        <f>SUMIFS(Table2[Stat],Table2[Stat Category],"passing",Table2[Stat Type],"YDS",Table2[Athlete],Table1[[#This Row],[Pick]],Table2[Week],Table1[[#This Row],[Week]])</f>
        <v>0</v>
      </c>
      <c r="H876" s="59">
        <f>SUMIFS(Table2[Stat],Table2[Stat Category],"rushing",Table2[Stat Type],"YDS",Table2[Athlete],Table1[[#This Row],[Pick]],Table2[Week],Table1[[#This Row],[Week]])</f>
        <v>0</v>
      </c>
      <c r="I876" s="59">
        <f>SUMIFS(Table2[Stat],Table2[Stat Category],"receiving",Table2[Stat Type],"YDS",Table2[Athlete],Table1[[#This Row],[Pick]],Table2[Week],Table1[[#This Row],[Week]])</f>
        <v>0</v>
      </c>
      <c r="J876" s="6">
        <f>IF(AND($C876="Rushing", $H876&lt;=0), 0, IF(AND($C876="Passing", $G$3&lt;=0), 0,IF(AND($C876="Receiving",$I876&lt;=0), 0,SUMIFS(Table2[Stat],Table2[Week],Table1[[#This Row],[Week]],Table2[Athlete],Table1[[#This Row],[Pick]],Table2[Stat Category],"passing",Table2[Stat Type],"TD"))))</f>
        <v>0</v>
      </c>
      <c r="K876" s="6">
        <f>IF(AND($C876="Rushing", $H876&lt;=0), 0, IF(AND($C876="Passing", $G$3&lt;=0), 0,IF(AND($C876="Receiving",$I876&lt;=0),0,SUMIFS(Table2[Stat],Table2[Week],Table1[[#This Row],[Week]],Table2[Athlete],Table1[[#This Row],[Pick]],Table2[Stat Category],"rushing",Table2[Stat Type],"TD"))))</f>
        <v>0</v>
      </c>
      <c r="L876" s="6">
        <f>IF(AND($C876="Rushing", $H876&lt;=0), 0, IF(AND($C876="Passing", $G$3&lt;=0), 0,IF(AND($C876="Receiving",$I876&lt;=0),0,SUMIFS(Table2[Stat],Table2[Week],Table1[[#This Row],[Week]],Table2[Athlete],Table1[[#This Row],[Pick]],Table2[Stat Category],"receiving",Table2[Stat Type],"TD"))))</f>
        <v>0</v>
      </c>
      <c r="M8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6" s="61">
        <f>SUMIFS(Data!$J:$J,Data!$A:$A,Info!$B876,Data!$G:$G,Info!$C876,Data!$I:$I,Info!$D876,Data!$H:$H,"TOT")</f>
        <v>0</v>
      </c>
      <c r="O876" s="61">
        <f>IF(C876="Defensive",SUMIFS(Data!$J:$J,Data!$A:$A,Info!$B876,Data!$I:$I,Info!$D876,Data!$H:$H,"INT"),0)</f>
        <v>0</v>
      </c>
      <c r="P876" s="61">
        <f>IF(Table1[[#This Row],[Role]]="Defensive",SUMIFS(Data!$J:$J,Data!$A:$A,Info!$B876,Data!$I:$I,Info!$D876,Data!$H:$H,$P$1),0)</f>
        <v>0</v>
      </c>
      <c r="Q876" s="65" t="str">
        <f>IF(Table1[[#This Row],[Pick]]="","",IF(S876&gt;1,400,IF(G876="","",IF(C876="Passing",(400-Table1[[#This Row],[Passing Yards]]-(30*Table1[[#This Row],[Passing TDs]])-(50*SUM(Table1[[#This Row],[Rushing TDs]:[Other TD''s]]))),IF(C876="Rushing",2*(200-Table1[[#This Row],[Rushing Yards]]-(30*Table1[[#This Row],[Passing TDs]])-50*(Table1[[#This Row],[Rushing TDs]]+Table1[[#This Row],[Receiving TDs]]+Table1[[#This Row],[Other TD''s]])),IF(C876="Receiving",2*(200-Table1[[#This Row],[Receiving Yards]]-(30*Table1[[#This Row],[Passing TDs]])-50*(Table1[[#This Row],[Rushing TDs]]+Table1[[#This Row],[Receiving TDs]]+Table1[[#This Row],[Other TD''s]])),IF(C876="Defensive",(25*(16-Table1[[#This Row],[Tackles]]-(8*(Table1[[#This Row],[Other TD''s]]+Table1[[#This Row],[Interceptions]]+Table1[[#This Row],[Fumbles Recovered]])))))))))))</f>
        <v/>
      </c>
      <c r="R876" s="3" t="str">
        <f t="shared" si="28"/>
        <v/>
      </c>
      <c r="S876" s="4">
        <f t="shared" si="27"/>
        <v>1048507</v>
      </c>
      <c r="T8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7" spans="1:20" hidden="1" x14ac:dyDescent="0.25">
      <c r="A877" t="s">
        <v>68</v>
      </c>
      <c r="B877" s="28" t="s">
        <v>56</v>
      </c>
      <c r="C877" t="s">
        <v>17</v>
      </c>
      <c r="D877" t="str">
        <f>_xlfn.XLOOKUP(Table1[[#This Row],[Player]]&amp;Table1[[#This Row],[Week]]&amp;Table1[[#This Row],[Role]],'Google Form Transform'!$A:$A,'Google Form Transform'!E:E,"")</f>
        <v/>
      </c>
      <c r="E877" t="str">
        <f>_xlfn.XLOOKUP(Table1[[#This Row],[Player]]&amp;Table1[[#This Row],[Week]]&amp;Table1[[#This Row],[Role]],'Google Form Transform'!$A:$A,'Google Form Transform'!F:F,"")</f>
        <v/>
      </c>
      <c r="F877" t="str">
        <f>_xlfn.XLOOKUP(Table1[[#This Row],[Player]]&amp;Table1[[#This Row],[Week]]&amp;Table1[[#This Row],[Role]],'Google Form Transform'!$A:$A,'Google Form Transform'!G:G,"")</f>
        <v/>
      </c>
      <c r="G877" s="59">
        <f>SUMIFS(Table2[Stat],Table2[Stat Category],"passing",Table2[Stat Type],"YDS",Table2[Athlete],Table1[[#This Row],[Pick]],Table2[Week],Table1[[#This Row],[Week]])</f>
        <v>0</v>
      </c>
      <c r="H877" s="59">
        <f>SUMIFS(Table2[Stat],Table2[Stat Category],"rushing",Table2[Stat Type],"YDS",Table2[Athlete],Table1[[#This Row],[Pick]],Table2[Week],Table1[[#This Row],[Week]])</f>
        <v>0</v>
      </c>
      <c r="I877" s="59">
        <f>SUMIFS(Table2[Stat],Table2[Stat Category],"receiving",Table2[Stat Type],"YDS",Table2[Athlete],Table1[[#This Row],[Pick]],Table2[Week],Table1[[#This Row],[Week]])</f>
        <v>0</v>
      </c>
      <c r="J877" s="6">
        <f>IF(AND($C877="Rushing", $H877&lt;=0), 0, IF(AND($C877="Passing", $G$3&lt;=0), 0,IF(AND($C877="Receiving",$I877&lt;=0), 0,SUMIFS(Table2[Stat],Table2[Week],Table1[[#This Row],[Week]],Table2[Athlete],Table1[[#This Row],[Pick]],Table2[Stat Category],"passing",Table2[Stat Type],"TD"))))</f>
        <v>0</v>
      </c>
      <c r="K877" s="6">
        <f>IF(AND($C877="Rushing", $H877&lt;=0), 0, IF(AND($C877="Passing", $G$3&lt;=0), 0,IF(AND($C877="Receiving",$I877&lt;=0),0,SUMIFS(Table2[Stat],Table2[Week],Table1[[#This Row],[Week]],Table2[Athlete],Table1[[#This Row],[Pick]],Table2[Stat Category],"rushing",Table2[Stat Type],"TD"))))</f>
        <v>0</v>
      </c>
      <c r="L877" s="6">
        <f>IF(AND($C877="Rushing", $H877&lt;=0), 0, IF(AND($C877="Passing", $G$3&lt;=0), 0,IF(AND($C877="Receiving",$I877&lt;=0),0,SUMIFS(Table2[Stat],Table2[Week],Table1[[#This Row],[Week]],Table2[Athlete],Table1[[#This Row],[Pick]],Table2[Stat Category],"receiving",Table2[Stat Type],"TD"))))</f>
        <v>0</v>
      </c>
      <c r="M8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7" s="61">
        <f>SUMIFS(Data!$J:$J,Data!$A:$A,Info!$B877,Data!$G:$G,Info!$C877,Data!$I:$I,Info!$D877,Data!$H:$H,"TOT")</f>
        <v>0</v>
      </c>
      <c r="O877" s="61">
        <f>IF(C877="Defensive",SUMIFS(Data!$J:$J,Data!$A:$A,Info!$B877,Data!$I:$I,Info!$D877,Data!$H:$H,"INT"),0)</f>
        <v>0</v>
      </c>
      <c r="P877" s="61">
        <f>IF(Table1[[#This Row],[Role]]="Defensive",SUMIFS(Data!$J:$J,Data!$A:$A,Info!$B877,Data!$I:$I,Info!$D877,Data!$H:$H,$P$1),0)</f>
        <v>0</v>
      </c>
      <c r="Q877" s="65" t="str">
        <f>IF(Table1[[#This Row],[Pick]]="","",IF(S877&gt;1,400,IF(G877="","",IF(C877="Passing",(400-Table1[[#This Row],[Passing Yards]]-(30*Table1[[#This Row],[Passing TDs]])-(50*SUM(Table1[[#This Row],[Rushing TDs]:[Other TD''s]]))),IF(C877="Rushing",2*(200-Table1[[#This Row],[Rushing Yards]]-(30*Table1[[#This Row],[Passing TDs]])-50*(Table1[[#This Row],[Rushing TDs]]+Table1[[#This Row],[Receiving TDs]]+Table1[[#This Row],[Other TD''s]])),IF(C877="Receiving",2*(200-Table1[[#This Row],[Receiving Yards]]-(30*Table1[[#This Row],[Passing TDs]])-50*(Table1[[#This Row],[Rushing TDs]]+Table1[[#This Row],[Receiving TDs]]+Table1[[#This Row],[Other TD''s]])),IF(C877="Defensive",(25*(16-Table1[[#This Row],[Tackles]]-(8*(Table1[[#This Row],[Other TD''s]]+Table1[[#This Row],[Interceptions]]+Table1[[#This Row],[Fumbles Recovered]])))))))))))</f>
        <v/>
      </c>
      <c r="R877" s="3" t="str">
        <f t="shared" si="28"/>
        <v/>
      </c>
      <c r="S877" s="4">
        <f t="shared" si="27"/>
        <v>1048507</v>
      </c>
      <c r="T8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8" spans="1:20" hidden="1" x14ac:dyDescent="0.25">
      <c r="A878" t="s">
        <v>68</v>
      </c>
      <c r="B878" s="28" t="s">
        <v>56</v>
      </c>
      <c r="C878" t="s">
        <v>20</v>
      </c>
      <c r="D878" t="str">
        <f>_xlfn.XLOOKUP(Table1[[#This Row],[Player]]&amp;Table1[[#This Row],[Week]]&amp;Table1[[#This Row],[Role]],'Google Form Transform'!$A:$A,'Google Form Transform'!E:E,"")</f>
        <v/>
      </c>
      <c r="E878" t="str">
        <f>_xlfn.XLOOKUP(Table1[[#This Row],[Player]]&amp;Table1[[#This Row],[Week]]&amp;Table1[[#This Row],[Role]],'Google Form Transform'!$A:$A,'Google Form Transform'!F:F,"")</f>
        <v/>
      </c>
      <c r="F878" t="str">
        <f>_xlfn.XLOOKUP(Table1[[#This Row],[Player]]&amp;Table1[[#This Row],[Week]]&amp;Table1[[#This Row],[Role]],'Google Form Transform'!$A:$A,'Google Form Transform'!G:G,"")</f>
        <v/>
      </c>
      <c r="G878" s="59">
        <f>SUMIFS(Table2[Stat],Table2[Stat Category],"passing",Table2[Stat Type],"YDS",Table2[Athlete],Table1[[#This Row],[Pick]],Table2[Week],Table1[[#This Row],[Week]])</f>
        <v>0</v>
      </c>
      <c r="H878" s="59">
        <f>SUMIFS(Table2[Stat],Table2[Stat Category],"rushing",Table2[Stat Type],"YDS",Table2[Athlete],Table1[[#This Row],[Pick]],Table2[Week],Table1[[#This Row],[Week]])</f>
        <v>0</v>
      </c>
      <c r="I878" s="59">
        <f>SUMIFS(Table2[Stat],Table2[Stat Category],"receiving",Table2[Stat Type],"YDS",Table2[Athlete],Table1[[#This Row],[Pick]],Table2[Week],Table1[[#This Row],[Week]])</f>
        <v>0</v>
      </c>
      <c r="J878" s="6">
        <f>IF(AND($C878="Rushing", $H878&lt;=0), 0, IF(AND($C878="Passing", $G$3&lt;=0), 0,IF(AND($C878="Receiving",$I878&lt;=0), 0,SUMIFS(Table2[Stat],Table2[Week],Table1[[#This Row],[Week]],Table2[Athlete],Table1[[#This Row],[Pick]],Table2[Stat Category],"passing",Table2[Stat Type],"TD"))))</f>
        <v>0</v>
      </c>
      <c r="K878" s="6">
        <f>IF(AND($C878="Rushing", $H878&lt;=0), 0, IF(AND($C878="Passing", $G$3&lt;=0), 0,IF(AND($C878="Receiving",$I878&lt;=0),0,SUMIFS(Table2[Stat],Table2[Week],Table1[[#This Row],[Week]],Table2[Athlete],Table1[[#This Row],[Pick]],Table2[Stat Category],"rushing",Table2[Stat Type],"TD"))))</f>
        <v>0</v>
      </c>
      <c r="L878" s="6">
        <f>IF(AND($C878="Rushing", $H878&lt;=0), 0, IF(AND($C878="Passing", $G$3&lt;=0), 0,IF(AND($C878="Receiving",$I878&lt;=0),0,SUMIFS(Table2[Stat],Table2[Week],Table1[[#This Row],[Week]],Table2[Athlete],Table1[[#This Row],[Pick]],Table2[Stat Category],"receiving",Table2[Stat Type],"TD"))))</f>
        <v>0</v>
      </c>
      <c r="M8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8" s="61">
        <f>SUMIFS(Data!$J:$J,Data!$A:$A,Info!$B878,Data!$G:$G,Info!$C878,Data!$I:$I,Info!$D878,Data!$H:$H,"TOT")</f>
        <v>0</v>
      </c>
      <c r="O878" s="61">
        <f>IF(C878="Defensive",SUMIFS(Data!$J:$J,Data!$A:$A,Info!$B878,Data!$I:$I,Info!$D878,Data!$H:$H,"INT"),0)</f>
        <v>0</v>
      </c>
      <c r="P878" s="61">
        <f>IF(Table1[[#This Row],[Role]]="Defensive",SUMIFS(Data!$J:$J,Data!$A:$A,Info!$B878,Data!$I:$I,Info!$D878,Data!$H:$H,$P$1),0)</f>
        <v>0</v>
      </c>
      <c r="Q878" s="65" t="str">
        <f>IF(Table1[[#This Row],[Pick]]="","",IF(S878&gt;1,400,IF(G878="","",IF(C878="Passing",(400-Table1[[#This Row],[Passing Yards]]-(30*Table1[[#This Row],[Passing TDs]])-(50*SUM(Table1[[#This Row],[Rushing TDs]:[Other TD''s]]))),IF(C878="Rushing",2*(200-Table1[[#This Row],[Rushing Yards]]-(30*Table1[[#This Row],[Passing TDs]])-50*(Table1[[#This Row],[Rushing TDs]]+Table1[[#This Row],[Receiving TDs]]+Table1[[#This Row],[Other TD''s]])),IF(C878="Receiving",2*(200-Table1[[#This Row],[Receiving Yards]]-(30*Table1[[#This Row],[Passing TDs]])-50*(Table1[[#This Row],[Rushing TDs]]+Table1[[#This Row],[Receiving TDs]]+Table1[[#This Row],[Other TD''s]])),IF(C878="Defensive",(25*(16-Table1[[#This Row],[Tackles]]-(8*(Table1[[#This Row],[Other TD''s]]+Table1[[#This Row],[Interceptions]]+Table1[[#This Row],[Fumbles Recovered]])))))))))))</f>
        <v/>
      </c>
      <c r="R878" s="3" t="str">
        <f t="shared" si="28"/>
        <v/>
      </c>
      <c r="S878" s="4">
        <f t="shared" si="27"/>
        <v>1048507</v>
      </c>
      <c r="T8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9" spans="1:20" hidden="1" x14ac:dyDescent="0.25">
      <c r="A879" t="s">
        <v>5</v>
      </c>
      <c r="B879" s="28" t="s">
        <v>56</v>
      </c>
      <c r="C879" t="s">
        <v>16</v>
      </c>
      <c r="D879" t="str">
        <f>_xlfn.XLOOKUP(Table1[[#This Row],[Player]]&amp;Table1[[#This Row],[Week]]&amp;Table1[[#This Row],[Role]],'Google Form Transform'!$A:$A,'Google Form Transform'!E:E,"")</f>
        <v/>
      </c>
      <c r="E879" t="str">
        <f>_xlfn.XLOOKUP(Table1[[#This Row],[Player]]&amp;Table1[[#This Row],[Week]]&amp;Table1[[#This Row],[Role]],'Google Form Transform'!$A:$A,'Google Form Transform'!F:F,"")</f>
        <v/>
      </c>
      <c r="F879" t="str">
        <f>_xlfn.XLOOKUP(Table1[[#This Row],[Player]]&amp;Table1[[#This Row],[Week]]&amp;Table1[[#This Row],[Role]],'Google Form Transform'!$A:$A,'Google Form Transform'!G:G,"")</f>
        <v/>
      </c>
      <c r="G879" s="59">
        <f>SUMIFS(Table2[Stat],Table2[Stat Category],"passing",Table2[Stat Type],"YDS",Table2[Athlete],Table1[[#This Row],[Pick]],Table2[Week],Table1[[#This Row],[Week]])</f>
        <v>0</v>
      </c>
      <c r="H879" s="59">
        <f>SUMIFS(Table2[Stat],Table2[Stat Category],"rushing",Table2[Stat Type],"YDS",Table2[Athlete],Table1[[#This Row],[Pick]],Table2[Week],Table1[[#This Row],[Week]])</f>
        <v>0</v>
      </c>
      <c r="I879" s="59">
        <f>SUMIFS(Table2[Stat],Table2[Stat Category],"receiving",Table2[Stat Type],"YDS",Table2[Athlete],Table1[[#This Row],[Pick]],Table2[Week],Table1[[#This Row],[Week]])</f>
        <v>0</v>
      </c>
      <c r="J879" s="6">
        <f>IF(AND($C879="Rushing", $H879&lt;=0), 0, IF(AND($C879="Passing", $G$3&lt;=0), 0,IF(AND($C879="Receiving",$I879&lt;=0), 0,SUMIFS(Table2[Stat],Table2[Week],Table1[[#This Row],[Week]],Table2[Athlete],Table1[[#This Row],[Pick]],Table2[Stat Category],"passing",Table2[Stat Type],"TD"))))</f>
        <v>0</v>
      </c>
      <c r="K879" s="6">
        <f>IF(AND($C879="Rushing", $H879&lt;=0), 0, IF(AND($C879="Passing", $G$3&lt;=0), 0,IF(AND($C879="Receiving",$I879&lt;=0),0,SUMIFS(Table2[Stat],Table2[Week],Table1[[#This Row],[Week]],Table2[Athlete],Table1[[#This Row],[Pick]],Table2[Stat Category],"rushing",Table2[Stat Type],"TD"))))</f>
        <v>0</v>
      </c>
      <c r="L879" s="6">
        <f>IF(AND($C879="Rushing", $H879&lt;=0), 0, IF(AND($C879="Passing", $G$3&lt;=0), 0,IF(AND($C879="Receiving",$I879&lt;=0),0,SUMIFS(Table2[Stat],Table2[Week],Table1[[#This Row],[Week]],Table2[Athlete],Table1[[#This Row],[Pick]],Table2[Stat Category],"receiving",Table2[Stat Type],"TD"))))</f>
        <v>0</v>
      </c>
      <c r="M8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9" s="61">
        <f>SUMIFS(Data!$J:$J,Data!$A:$A,Info!$B879,Data!$G:$G,Info!$C879,Data!$I:$I,Info!$D879,Data!$H:$H,"TOT")</f>
        <v>0</v>
      </c>
      <c r="O879" s="61">
        <f>IF(C879="Defensive",SUMIFS(Data!$J:$J,Data!$A:$A,Info!$B879,Data!$I:$I,Info!$D879,Data!$H:$H,"INT"),0)</f>
        <v>0</v>
      </c>
      <c r="P879" s="61">
        <f>IF(Table1[[#This Row],[Role]]="Defensive",SUMIFS(Data!$J:$J,Data!$A:$A,Info!$B879,Data!$I:$I,Info!$D879,Data!$H:$H,$P$1),0)</f>
        <v>0</v>
      </c>
      <c r="Q879" s="65" t="str">
        <f>IF(Table1[[#This Row],[Pick]]="","",IF(S879&gt;1,400,IF(G879="","",IF(C879="Passing",(400-Table1[[#This Row],[Passing Yards]]-(30*Table1[[#This Row],[Passing TDs]])-(50*SUM(Table1[[#This Row],[Rushing TDs]:[Other TD''s]]))),IF(C879="Rushing",2*(200-Table1[[#This Row],[Rushing Yards]]-(30*Table1[[#This Row],[Passing TDs]])-50*(Table1[[#This Row],[Rushing TDs]]+Table1[[#This Row],[Receiving TDs]]+Table1[[#This Row],[Other TD''s]])),IF(C879="Receiving",2*(200-Table1[[#This Row],[Receiving Yards]]-(30*Table1[[#This Row],[Passing TDs]])-50*(Table1[[#This Row],[Rushing TDs]]+Table1[[#This Row],[Receiving TDs]]+Table1[[#This Row],[Other TD''s]])),IF(C879="Defensive",(25*(16-Table1[[#This Row],[Tackles]]-(8*(Table1[[#This Row],[Other TD''s]]+Table1[[#This Row],[Interceptions]]+Table1[[#This Row],[Fumbles Recovered]])))))))))))</f>
        <v/>
      </c>
      <c r="R879" s="3" t="str">
        <f t="shared" si="28"/>
        <v/>
      </c>
      <c r="S879" s="4">
        <f t="shared" si="27"/>
        <v>1048507</v>
      </c>
      <c r="T8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0" spans="1:20" hidden="1" x14ac:dyDescent="0.25">
      <c r="A880" t="s">
        <v>5</v>
      </c>
      <c r="B880" s="28" t="s">
        <v>56</v>
      </c>
      <c r="C880" t="s">
        <v>6</v>
      </c>
      <c r="D880" t="str">
        <f>_xlfn.XLOOKUP(Table1[[#This Row],[Player]]&amp;Table1[[#This Row],[Week]]&amp;Table1[[#This Row],[Role]],'Google Form Transform'!$A:$A,'Google Form Transform'!E:E,"")</f>
        <v/>
      </c>
      <c r="E880" t="str">
        <f>_xlfn.XLOOKUP(Table1[[#This Row],[Player]]&amp;Table1[[#This Row],[Week]]&amp;Table1[[#This Row],[Role]],'Google Form Transform'!$A:$A,'Google Form Transform'!F:F,"")</f>
        <v/>
      </c>
      <c r="F880" t="str">
        <f>_xlfn.XLOOKUP(Table1[[#This Row],[Player]]&amp;Table1[[#This Row],[Week]]&amp;Table1[[#This Row],[Role]],'Google Form Transform'!$A:$A,'Google Form Transform'!G:G,"")</f>
        <v/>
      </c>
      <c r="G880" s="59">
        <f>SUMIFS(Table2[Stat],Table2[Stat Category],"passing",Table2[Stat Type],"YDS",Table2[Athlete],Table1[[#This Row],[Pick]],Table2[Week],Table1[[#This Row],[Week]])</f>
        <v>0</v>
      </c>
      <c r="H880" s="59">
        <f>SUMIFS(Table2[Stat],Table2[Stat Category],"rushing",Table2[Stat Type],"YDS",Table2[Athlete],Table1[[#This Row],[Pick]],Table2[Week],Table1[[#This Row],[Week]])</f>
        <v>0</v>
      </c>
      <c r="I880" s="59">
        <f>SUMIFS(Table2[Stat],Table2[Stat Category],"receiving",Table2[Stat Type],"YDS",Table2[Athlete],Table1[[#This Row],[Pick]],Table2[Week],Table1[[#This Row],[Week]])</f>
        <v>0</v>
      </c>
      <c r="J880" s="6">
        <f>IF(AND($C880="Rushing", $H880&lt;=0), 0, IF(AND($C880="Passing", $G$3&lt;=0), 0,IF(AND($C880="Receiving",$I880&lt;=0), 0,SUMIFS(Table2[Stat],Table2[Week],Table1[[#This Row],[Week]],Table2[Athlete],Table1[[#This Row],[Pick]],Table2[Stat Category],"passing",Table2[Stat Type],"TD"))))</f>
        <v>0</v>
      </c>
      <c r="K880" s="6">
        <f>IF(AND($C880="Rushing", $H880&lt;=0), 0, IF(AND($C880="Passing", $G$3&lt;=0), 0,IF(AND($C880="Receiving",$I880&lt;=0),0,SUMIFS(Table2[Stat],Table2[Week],Table1[[#This Row],[Week]],Table2[Athlete],Table1[[#This Row],[Pick]],Table2[Stat Category],"rushing",Table2[Stat Type],"TD"))))</f>
        <v>0</v>
      </c>
      <c r="L880" s="6">
        <f>IF(AND($C880="Rushing", $H880&lt;=0), 0, IF(AND($C880="Passing", $G$3&lt;=0), 0,IF(AND($C880="Receiving",$I880&lt;=0),0,SUMIFS(Table2[Stat],Table2[Week],Table1[[#This Row],[Week]],Table2[Athlete],Table1[[#This Row],[Pick]],Table2[Stat Category],"receiving",Table2[Stat Type],"TD"))))</f>
        <v>0</v>
      </c>
      <c r="M8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0" s="61">
        <f>SUMIFS(Data!$J:$J,Data!$A:$A,Info!$B880,Data!$G:$G,Info!$C880,Data!$I:$I,Info!$D880,Data!$H:$H,"TOT")</f>
        <v>0</v>
      </c>
      <c r="O880" s="61">
        <f>IF(C880="Defensive",SUMIFS(Data!$J:$J,Data!$A:$A,Info!$B880,Data!$I:$I,Info!$D880,Data!$H:$H,"INT"),0)</f>
        <v>0</v>
      </c>
      <c r="P880" s="61">
        <f>IF(Table1[[#This Row],[Role]]="Defensive",SUMIFS(Data!$J:$J,Data!$A:$A,Info!$B880,Data!$I:$I,Info!$D880,Data!$H:$H,$P$1),0)</f>
        <v>0</v>
      </c>
      <c r="Q880" s="65" t="str">
        <f>IF(Table1[[#This Row],[Pick]]="","",IF(S880&gt;1,400,IF(G880="","",IF(C880="Passing",(400-Table1[[#This Row],[Passing Yards]]-(30*Table1[[#This Row],[Passing TDs]])-(50*SUM(Table1[[#This Row],[Rushing TDs]:[Other TD''s]]))),IF(C880="Rushing",2*(200-Table1[[#This Row],[Rushing Yards]]-(30*Table1[[#This Row],[Passing TDs]])-50*(Table1[[#This Row],[Rushing TDs]]+Table1[[#This Row],[Receiving TDs]]+Table1[[#This Row],[Other TD''s]])),IF(C880="Receiving",2*(200-Table1[[#This Row],[Receiving Yards]]-(30*Table1[[#This Row],[Passing TDs]])-50*(Table1[[#This Row],[Rushing TDs]]+Table1[[#This Row],[Receiving TDs]]+Table1[[#This Row],[Other TD''s]])),IF(C880="Defensive",(25*(16-Table1[[#This Row],[Tackles]]-(8*(Table1[[#This Row],[Other TD''s]]+Table1[[#This Row],[Interceptions]]+Table1[[#This Row],[Fumbles Recovered]])))))))))))</f>
        <v/>
      </c>
      <c r="R880" s="3" t="str">
        <f t="shared" si="28"/>
        <v/>
      </c>
      <c r="S880" s="4">
        <f t="shared" si="27"/>
        <v>1048507</v>
      </c>
      <c r="T8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1" spans="1:20" hidden="1" x14ac:dyDescent="0.25">
      <c r="A881" t="s">
        <v>5</v>
      </c>
      <c r="B881" s="28" t="s">
        <v>56</v>
      </c>
      <c r="C881" t="s">
        <v>17</v>
      </c>
      <c r="D881" t="str">
        <f>_xlfn.XLOOKUP(Table1[[#This Row],[Player]]&amp;Table1[[#This Row],[Week]]&amp;Table1[[#This Row],[Role]],'Google Form Transform'!$A:$A,'Google Form Transform'!E:E,"")</f>
        <v/>
      </c>
      <c r="E881" t="str">
        <f>_xlfn.XLOOKUP(Table1[[#This Row],[Player]]&amp;Table1[[#This Row],[Week]]&amp;Table1[[#This Row],[Role]],'Google Form Transform'!$A:$A,'Google Form Transform'!F:F,"")</f>
        <v/>
      </c>
      <c r="F881" t="str">
        <f>_xlfn.XLOOKUP(Table1[[#This Row],[Player]]&amp;Table1[[#This Row],[Week]]&amp;Table1[[#This Row],[Role]],'Google Form Transform'!$A:$A,'Google Form Transform'!G:G,"")</f>
        <v/>
      </c>
      <c r="G881" s="59">
        <f>SUMIFS(Table2[Stat],Table2[Stat Category],"passing",Table2[Stat Type],"YDS",Table2[Athlete],Table1[[#This Row],[Pick]],Table2[Week],Table1[[#This Row],[Week]])</f>
        <v>0</v>
      </c>
      <c r="H881" s="59">
        <f>SUMIFS(Table2[Stat],Table2[Stat Category],"rushing",Table2[Stat Type],"YDS",Table2[Athlete],Table1[[#This Row],[Pick]],Table2[Week],Table1[[#This Row],[Week]])</f>
        <v>0</v>
      </c>
      <c r="I881" s="59">
        <f>SUMIFS(Table2[Stat],Table2[Stat Category],"receiving",Table2[Stat Type],"YDS",Table2[Athlete],Table1[[#This Row],[Pick]],Table2[Week],Table1[[#This Row],[Week]])</f>
        <v>0</v>
      </c>
      <c r="J881" s="6">
        <f>IF(AND($C881="Rushing", $H881&lt;=0), 0, IF(AND($C881="Passing", $G$3&lt;=0), 0,IF(AND($C881="Receiving",$I881&lt;=0), 0,SUMIFS(Table2[Stat],Table2[Week],Table1[[#This Row],[Week]],Table2[Athlete],Table1[[#This Row],[Pick]],Table2[Stat Category],"passing",Table2[Stat Type],"TD"))))</f>
        <v>0</v>
      </c>
      <c r="K881" s="6">
        <f>IF(AND($C881="Rushing", $H881&lt;=0), 0, IF(AND($C881="Passing", $G$3&lt;=0), 0,IF(AND($C881="Receiving",$I881&lt;=0),0,SUMIFS(Table2[Stat],Table2[Week],Table1[[#This Row],[Week]],Table2[Athlete],Table1[[#This Row],[Pick]],Table2[Stat Category],"rushing",Table2[Stat Type],"TD"))))</f>
        <v>0</v>
      </c>
      <c r="L881" s="6">
        <f>IF(AND($C881="Rushing", $H881&lt;=0), 0, IF(AND($C881="Passing", $G$3&lt;=0), 0,IF(AND($C881="Receiving",$I881&lt;=0),0,SUMIFS(Table2[Stat],Table2[Week],Table1[[#This Row],[Week]],Table2[Athlete],Table1[[#This Row],[Pick]],Table2[Stat Category],"receiving",Table2[Stat Type],"TD"))))</f>
        <v>0</v>
      </c>
      <c r="M8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1" s="61">
        <f>SUMIFS(Data!$J:$J,Data!$A:$A,Info!$B881,Data!$G:$G,Info!$C881,Data!$I:$I,Info!$D881,Data!$H:$H,"TOT")</f>
        <v>0</v>
      </c>
      <c r="O881" s="61">
        <f>IF(C881="Defensive",SUMIFS(Data!$J:$J,Data!$A:$A,Info!$B881,Data!$I:$I,Info!$D881,Data!$H:$H,"INT"),0)</f>
        <v>0</v>
      </c>
      <c r="P881" s="61">
        <f>IF(Table1[[#This Row],[Role]]="Defensive",SUMIFS(Data!$J:$J,Data!$A:$A,Info!$B881,Data!$I:$I,Info!$D881,Data!$H:$H,$P$1),0)</f>
        <v>0</v>
      </c>
      <c r="Q881" s="65" t="str">
        <f>IF(Table1[[#This Row],[Pick]]="","",IF(S881&gt;1,400,IF(G881="","",IF(C881="Passing",(400-Table1[[#This Row],[Passing Yards]]-(30*Table1[[#This Row],[Passing TDs]])-(50*SUM(Table1[[#This Row],[Rushing TDs]:[Other TD''s]]))),IF(C881="Rushing",2*(200-Table1[[#This Row],[Rushing Yards]]-(30*Table1[[#This Row],[Passing TDs]])-50*(Table1[[#This Row],[Rushing TDs]]+Table1[[#This Row],[Receiving TDs]]+Table1[[#This Row],[Other TD''s]])),IF(C881="Receiving",2*(200-Table1[[#This Row],[Receiving Yards]]-(30*Table1[[#This Row],[Passing TDs]])-50*(Table1[[#This Row],[Rushing TDs]]+Table1[[#This Row],[Receiving TDs]]+Table1[[#This Row],[Other TD''s]])),IF(C881="Defensive",(25*(16-Table1[[#This Row],[Tackles]]-(8*(Table1[[#This Row],[Other TD''s]]+Table1[[#This Row],[Interceptions]]+Table1[[#This Row],[Fumbles Recovered]])))))))))))</f>
        <v/>
      </c>
      <c r="R881" s="3" t="str">
        <f t="shared" si="28"/>
        <v/>
      </c>
      <c r="S881" s="4">
        <f t="shared" si="27"/>
        <v>1048507</v>
      </c>
      <c r="T8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2" spans="1:20" hidden="1" x14ac:dyDescent="0.25">
      <c r="A882" t="s">
        <v>5</v>
      </c>
      <c r="B882" s="28" t="s">
        <v>56</v>
      </c>
      <c r="C882" t="s">
        <v>20</v>
      </c>
      <c r="D882" t="str">
        <f>_xlfn.XLOOKUP(Table1[[#This Row],[Player]]&amp;Table1[[#This Row],[Week]]&amp;Table1[[#This Row],[Role]],'Google Form Transform'!$A:$A,'Google Form Transform'!E:E,"")</f>
        <v/>
      </c>
      <c r="E882" t="str">
        <f>_xlfn.XLOOKUP(Table1[[#This Row],[Player]]&amp;Table1[[#This Row],[Week]]&amp;Table1[[#This Row],[Role]],'Google Form Transform'!$A:$A,'Google Form Transform'!F:F,"")</f>
        <v/>
      </c>
      <c r="F882" t="str">
        <f>_xlfn.XLOOKUP(Table1[[#This Row],[Player]]&amp;Table1[[#This Row],[Week]]&amp;Table1[[#This Row],[Role]],'Google Form Transform'!$A:$A,'Google Form Transform'!G:G,"")</f>
        <v/>
      </c>
      <c r="G882" s="59">
        <f>SUMIFS(Table2[Stat],Table2[Stat Category],"passing",Table2[Stat Type],"YDS",Table2[Athlete],Table1[[#This Row],[Pick]],Table2[Week],Table1[[#This Row],[Week]])</f>
        <v>0</v>
      </c>
      <c r="H882" s="59">
        <f>SUMIFS(Table2[Stat],Table2[Stat Category],"rushing",Table2[Stat Type],"YDS",Table2[Athlete],Table1[[#This Row],[Pick]],Table2[Week],Table1[[#This Row],[Week]])</f>
        <v>0</v>
      </c>
      <c r="I882" s="59">
        <f>SUMIFS(Table2[Stat],Table2[Stat Category],"receiving",Table2[Stat Type],"YDS",Table2[Athlete],Table1[[#This Row],[Pick]],Table2[Week],Table1[[#This Row],[Week]])</f>
        <v>0</v>
      </c>
      <c r="J882" s="6">
        <f>IF(AND($C882="Rushing", $H882&lt;=0), 0, IF(AND($C882="Passing", $G$3&lt;=0), 0,IF(AND($C882="Receiving",$I882&lt;=0), 0,SUMIFS(Table2[Stat],Table2[Week],Table1[[#This Row],[Week]],Table2[Athlete],Table1[[#This Row],[Pick]],Table2[Stat Category],"passing",Table2[Stat Type],"TD"))))</f>
        <v>0</v>
      </c>
      <c r="K882" s="6">
        <f>IF(AND($C882="Rushing", $H882&lt;=0), 0, IF(AND($C882="Passing", $G$3&lt;=0), 0,IF(AND($C882="Receiving",$I882&lt;=0),0,SUMIFS(Table2[Stat],Table2[Week],Table1[[#This Row],[Week]],Table2[Athlete],Table1[[#This Row],[Pick]],Table2[Stat Category],"rushing",Table2[Stat Type],"TD"))))</f>
        <v>0</v>
      </c>
      <c r="L882" s="6">
        <f>IF(AND($C882="Rushing", $H882&lt;=0), 0, IF(AND($C882="Passing", $G$3&lt;=0), 0,IF(AND($C882="Receiving",$I882&lt;=0),0,SUMIFS(Table2[Stat],Table2[Week],Table1[[#This Row],[Week]],Table2[Athlete],Table1[[#This Row],[Pick]],Table2[Stat Category],"receiving",Table2[Stat Type],"TD"))))</f>
        <v>0</v>
      </c>
      <c r="M8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2" s="61">
        <f>SUMIFS(Data!$J:$J,Data!$A:$A,Info!$B882,Data!$G:$G,Info!$C882,Data!$I:$I,Info!$D882,Data!$H:$H,"TOT")</f>
        <v>0</v>
      </c>
      <c r="O882" s="61">
        <f>IF(C882="Defensive",SUMIFS(Data!$J:$J,Data!$A:$A,Info!$B882,Data!$I:$I,Info!$D882,Data!$H:$H,"INT"),0)</f>
        <v>0</v>
      </c>
      <c r="P882" s="61">
        <f>IF(Table1[[#This Row],[Role]]="Defensive",SUMIFS(Data!$J:$J,Data!$A:$A,Info!$B882,Data!$I:$I,Info!$D882,Data!$H:$H,$P$1),0)</f>
        <v>0</v>
      </c>
      <c r="Q882" s="65" t="str">
        <f>IF(Table1[[#This Row],[Pick]]="","",IF(S882&gt;1,400,IF(G882="","",IF(C882="Passing",(400-Table1[[#This Row],[Passing Yards]]-(30*Table1[[#This Row],[Passing TDs]])-(50*SUM(Table1[[#This Row],[Rushing TDs]:[Other TD''s]]))),IF(C882="Rushing",2*(200-Table1[[#This Row],[Rushing Yards]]-(30*Table1[[#This Row],[Passing TDs]])-50*(Table1[[#This Row],[Rushing TDs]]+Table1[[#This Row],[Receiving TDs]]+Table1[[#This Row],[Other TD''s]])),IF(C882="Receiving",2*(200-Table1[[#This Row],[Receiving Yards]]-(30*Table1[[#This Row],[Passing TDs]])-50*(Table1[[#This Row],[Rushing TDs]]+Table1[[#This Row],[Receiving TDs]]+Table1[[#This Row],[Other TD''s]])),IF(C882="Defensive",(25*(16-Table1[[#This Row],[Tackles]]-(8*(Table1[[#This Row],[Other TD''s]]+Table1[[#This Row],[Interceptions]]+Table1[[#This Row],[Fumbles Recovered]])))))))))))</f>
        <v/>
      </c>
      <c r="R882" s="3" t="str">
        <f t="shared" si="28"/>
        <v/>
      </c>
      <c r="S882" s="4">
        <f t="shared" si="27"/>
        <v>1048507</v>
      </c>
      <c r="T8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3" spans="1:20" hidden="1" x14ac:dyDescent="0.25">
      <c r="A883" t="s">
        <v>18</v>
      </c>
      <c r="B883" s="28" t="s">
        <v>56</v>
      </c>
      <c r="C883" t="s">
        <v>16</v>
      </c>
      <c r="D883" t="str">
        <f>_xlfn.XLOOKUP(Table1[[#This Row],[Player]]&amp;Table1[[#This Row],[Week]]&amp;Table1[[#This Row],[Role]],'Google Form Transform'!$A:$A,'Google Form Transform'!E:E,"")</f>
        <v/>
      </c>
      <c r="E883" t="str">
        <f>_xlfn.XLOOKUP(Table1[[#This Row],[Player]]&amp;Table1[[#This Row],[Week]]&amp;Table1[[#This Row],[Role]],'Google Form Transform'!$A:$A,'Google Form Transform'!F:F,"")</f>
        <v/>
      </c>
      <c r="F883" t="str">
        <f>_xlfn.XLOOKUP(Table1[[#This Row],[Player]]&amp;Table1[[#This Row],[Week]]&amp;Table1[[#This Row],[Role]],'Google Form Transform'!$A:$A,'Google Form Transform'!G:G,"")</f>
        <v/>
      </c>
      <c r="G883" s="59">
        <f>SUMIFS(Table2[Stat],Table2[Stat Category],"passing",Table2[Stat Type],"YDS",Table2[Athlete],Table1[[#This Row],[Pick]],Table2[Week],Table1[[#This Row],[Week]])</f>
        <v>0</v>
      </c>
      <c r="H883" s="59">
        <f>SUMIFS(Table2[Stat],Table2[Stat Category],"rushing",Table2[Stat Type],"YDS",Table2[Athlete],Table1[[#This Row],[Pick]],Table2[Week],Table1[[#This Row],[Week]])</f>
        <v>0</v>
      </c>
      <c r="I883" s="59">
        <f>SUMIFS(Table2[Stat],Table2[Stat Category],"receiving",Table2[Stat Type],"YDS",Table2[Athlete],Table1[[#This Row],[Pick]],Table2[Week],Table1[[#This Row],[Week]])</f>
        <v>0</v>
      </c>
      <c r="J883" s="6">
        <f>IF(AND($C883="Rushing", $H883&lt;=0), 0, IF(AND($C883="Passing", $G$3&lt;=0), 0,IF(AND($C883="Receiving",$I883&lt;=0), 0,SUMIFS(Table2[Stat],Table2[Week],Table1[[#This Row],[Week]],Table2[Athlete],Table1[[#This Row],[Pick]],Table2[Stat Category],"passing",Table2[Stat Type],"TD"))))</f>
        <v>0</v>
      </c>
      <c r="K883" s="6">
        <f>IF(AND($C883="Rushing", $H883&lt;=0), 0, IF(AND($C883="Passing", $G$3&lt;=0), 0,IF(AND($C883="Receiving",$I883&lt;=0),0,SUMIFS(Table2[Stat],Table2[Week],Table1[[#This Row],[Week]],Table2[Athlete],Table1[[#This Row],[Pick]],Table2[Stat Category],"rushing",Table2[Stat Type],"TD"))))</f>
        <v>0</v>
      </c>
      <c r="L883" s="6">
        <f>IF(AND($C883="Rushing", $H883&lt;=0), 0, IF(AND($C883="Passing", $G$3&lt;=0), 0,IF(AND($C883="Receiving",$I883&lt;=0),0,SUMIFS(Table2[Stat],Table2[Week],Table1[[#This Row],[Week]],Table2[Athlete],Table1[[#This Row],[Pick]],Table2[Stat Category],"receiving",Table2[Stat Type],"TD"))))</f>
        <v>0</v>
      </c>
      <c r="M8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3" s="61">
        <f>SUMIFS(Data!$J:$J,Data!$A:$A,Info!$B883,Data!$G:$G,Info!$C883,Data!$I:$I,Info!$D883,Data!$H:$H,"TOT")</f>
        <v>0</v>
      </c>
      <c r="O883" s="61">
        <f>IF(C883="Defensive",SUMIFS(Data!$J:$J,Data!$A:$A,Info!$B883,Data!$I:$I,Info!$D883,Data!$H:$H,"INT"),0)</f>
        <v>0</v>
      </c>
      <c r="P883" s="61">
        <f>IF(Table1[[#This Row],[Role]]="Defensive",SUMIFS(Data!$J:$J,Data!$A:$A,Info!$B883,Data!$I:$I,Info!$D883,Data!$H:$H,$P$1),0)</f>
        <v>0</v>
      </c>
      <c r="Q883" s="65" t="str">
        <f>IF(Table1[[#This Row],[Pick]]="","",IF(S883&gt;1,400,IF(G883="","",IF(C883="Passing",(400-Table1[[#This Row],[Passing Yards]]-(30*Table1[[#This Row],[Passing TDs]])-(50*SUM(Table1[[#This Row],[Rushing TDs]:[Other TD''s]]))),IF(C883="Rushing",2*(200-Table1[[#This Row],[Rushing Yards]]-(30*Table1[[#This Row],[Passing TDs]])-50*(Table1[[#This Row],[Rushing TDs]]+Table1[[#This Row],[Receiving TDs]]+Table1[[#This Row],[Other TD''s]])),IF(C883="Receiving",2*(200-Table1[[#This Row],[Receiving Yards]]-(30*Table1[[#This Row],[Passing TDs]])-50*(Table1[[#This Row],[Rushing TDs]]+Table1[[#This Row],[Receiving TDs]]+Table1[[#This Row],[Other TD''s]])),IF(C883="Defensive",(25*(16-Table1[[#This Row],[Tackles]]-(8*(Table1[[#This Row],[Other TD''s]]+Table1[[#This Row],[Interceptions]]+Table1[[#This Row],[Fumbles Recovered]])))))))))))</f>
        <v/>
      </c>
      <c r="R883" s="3" t="str">
        <f t="shared" si="28"/>
        <v/>
      </c>
      <c r="S883" s="4">
        <f t="shared" si="27"/>
        <v>1048507</v>
      </c>
      <c r="T8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4" spans="1:20" hidden="1" x14ac:dyDescent="0.25">
      <c r="A884" t="s">
        <v>18</v>
      </c>
      <c r="B884" s="28" t="s">
        <v>56</v>
      </c>
      <c r="C884" t="s">
        <v>6</v>
      </c>
      <c r="D884" t="str">
        <f>_xlfn.XLOOKUP(Table1[[#This Row],[Player]]&amp;Table1[[#This Row],[Week]]&amp;Table1[[#This Row],[Role]],'Google Form Transform'!$A:$A,'Google Form Transform'!E:E,"")</f>
        <v/>
      </c>
      <c r="E884" t="str">
        <f>_xlfn.XLOOKUP(Table1[[#This Row],[Player]]&amp;Table1[[#This Row],[Week]]&amp;Table1[[#This Row],[Role]],'Google Form Transform'!$A:$A,'Google Form Transform'!F:F,"")</f>
        <v/>
      </c>
      <c r="F884" t="str">
        <f>_xlfn.XLOOKUP(Table1[[#This Row],[Player]]&amp;Table1[[#This Row],[Week]]&amp;Table1[[#This Row],[Role]],'Google Form Transform'!$A:$A,'Google Form Transform'!G:G,"")</f>
        <v/>
      </c>
      <c r="G884" s="59">
        <f>SUMIFS(Table2[Stat],Table2[Stat Category],"passing",Table2[Stat Type],"YDS",Table2[Athlete],Table1[[#This Row],[Pick]],Table2[Week],Table1[[#This Row],[Week]])</f>
        <v>0</v>
      </c>
      <c r="H884" s="59">
        <f>SUMIFS(Table2[Stat],Table2[Stat Category],"rushing",Table2[Stat Type],"YDS",Table2[Athlete],Table1[[#This Row],[Pick]],Table2[Week],Table1[[#This Row],[Week]])</f>
        <v>0</v>
      </c>
      <c r="I884" s="59">
        <f>SUMIFS(Table2[Stat],Table2[Stat Category],"receiving",Table2[Stat Type],"YDS",Table2[Athlete],Table1[[#This Row],[Pick]],Table2[Week],Table1[[#This Row],[Week]])</f>
        <v>0</v>
      </c>
      <c r="J884" s="6">
        <f>IF(AND($C884="Rushing", $H884&lt;=0), 0, IF(AND($C884="Passing", $G$3&lt;=0), 0,IF(AND($C884="Receiving",$I884&lt;=0), 0,SUMIFS(Table2[Stat],Table2[Week],Table1[[#This Row],[Week]],Table2[Athlete],Table1[[#This Row],[Pick]],Table2[Stat Category],"passing",Table2[Stat Type],"TD"))))</f>
        <v>0</v>
      </c>
      <c r="K884" s="6">
        <f>IF(AND($C884="Rushing", $H884&lt;=0), 0, IF(AND($C884="Passing", $G$3&lt;=0), 0,IF(AND($C884="Receiving",$I884&lt;=0),0,SUMIFS(Table2[Stat],Table2[Week],Table1[[#This Row],[Week]],Table2[Athlete],Table1[[#This Row],[Pick]],Table2[Stat Category],"rushing",Table2[Stat Type],"TD"))))</f>
        <v>0</v>
      </c>
      <c r="L884" s="6">
        <f>IF(AND($C884="Rushing", $H884&lt;=0), 0, IF(AND($C884="Passing", $G$3&lt;=0), 0,IF(AND($C884="Receiving",$I884&lt;=0),0,SUMIFS(Table2[Stat],Table2[Week],Table1[[#This Row],[Week]],Table2[Athlete],Table1[[#This Row],[Pick]],Table2[Stat Category],"receiving",Table2[Stat Type],"TD"))))</f>
        <v>0</v>
      </c>
      <c r="M8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4" s="61">
        <f>SUMIFS(Data!$J:$J,Data!$A:$A,Info!$B884,Data!$G:$G,Info!$C884,Data!$I:$I,Info!$D884,Data!$H:$H,"TOT")</f>
        <v>0</v>
      </c>
      <c r="O884" s="61">
        <f>IF(C884="Defensive",SUMIFS(Data!$J:$J,Data!$A:$A,Info!$B884,Data!$I:$I,Info!$D884,Data!$H:$H,"INT"),0)</f>
        <v>0</v>
      </c>
      <c r="P884" s="61">
        <f>IF(Table1[[#This Row],[Role]]="Defensive",SUMIFS(Data!$J:$J,Data!$A:$A,Info!$B884,Data!$I:$I,Info!$D884,Data!$H:$H,$P$1),0)</f>
        <v>0</v>
      </c>
      <c r="Q884" s="65" t="str">
        <f>IF(Table1[[#This Row],[Pick]]="","",IF(S884&gt;1,400,IF(G884="","",IF(C884="Passing",(400-Table1[[#This Row],[Passing Yards]]-(30*Table1[[#This Row],[Passing TDs]])-(50*SUM(Table1[[#This Row],[Rushing TDs]:[Other TD''s]]))),IF(C884="Rushing",2*(200-Table1[[#This Row],[Rushing Yards]]-(30*Table1[[#This Row],[Passing TDs]])-50*(Table1[[#This Row],[Rushing TDs]]+Table1[[#This Row],[Receiving TDs]]+Table1[[#This Row],[Other TD''s]])),IF(C884="Receiving",2*(200-Table1[[#This Row],[Receiving Yards]]-(30*Table1[[#This Row],[Passing TDs]])-50*(Table1[[#This Row],[Rushing TDs]]+Table1[[#This Row],[Receiving TDs]]+Table1[[#This Row],[Other TD''s]])),IF(C884="Defensive",(25*(16-Table1[[#This Row],[Tackles]]-(8*(Table1[[#This Row],[Other TD''s]]+Table1[[#This Row],[Interceptions]]+Table1[[#This Row],[Fumbles Recovered]])))))))))))</f>
        <v/>
      </c>
      <c r="R884" s="3" t="str">
        <f t="shared" si="28"/>
        <v/>
      </c>
      <c r="S884" s="4">
        <f t="shared" si="27"/>
        <v>1048507</v>
      </c>
      <c r="T8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5" spans="1:20" hidden="1" x14ac:dyDescent="0.25">
      <c r="A885" t="s">
        <v>18</v>
      </c>
      <c r="B885" s="28" t="s">
        <v>56</v>
      </c>
      <c r="C885" t="s">
        <v>17</v>
      </c>
      <c r="D885" t="str">
        <f>_xlfn.XLOOKUP(Table1[[#This Row],[Player]]&amp;Table1[[#This Row],[Week]]&amp;Table1[[#This Row],[Role]],'Google Form Transform'!$A:$A,'Google Form Transform'!E:E,"")</f>
        <v/>
      </c>
      <c r="E885" t="str">
        <f>_xlfn.XLOOKUP(Table1[[#This Row],[Player]]&amp;Table1[[#This Row],[Week]]&amp;Table1[[#This Row],[Role]],'Google Form Transform'!$A:$A,'Google Form Transform'!F:F,"")</f>
        <v/>
      </c>
      <c r="F885" t="str">
        <f>_xlfn.XLOOKUP(Table1[[#This Row],[Player]]&amp;Table1[[#This Row],[Week]]&amp;Table1[[#This Row],[Role]],'Google Form Transform'!$A:$A,'Google Form Transform'!G:G,"")</f>
        <v/>
      </c>
      <c r="G885" s="59">
        <f>SUMIFS(Table2[Stat],Table2[Stat Category],"passing",Table2[Stat Type],"YDS",Table2[Athlete],Table1[[#This Row],[Pick]],Table2[Week],Table1[[#This Row],[Week]])</f>
        <v>0</v>
      </c>
      <c r="H885" s="59">
        <f>SUMIFS(Table2[Stat],Table2[Stat Category],"rushing",Table2[Stat Type],"YDS",Table2[Athlete],Table1[[#This Row],[Pick]],Table2[Week],Table1[[#This Row],[Week]])</f>
        <v>0</v>
      </c>
      <c r="I885" s="59">
        <f>SUMIFS(Table2[Stat],Table2[Stat Category],"receiving",Table2[Stat Type],"YDS",Table2[Athlete],Table1[[#This Row],[Pick]],Table2[Week],Table1[[#This Row],[Week]])</f>
        <v>0</v>
      </c>
      <c r="J885" s="6">
        <f>IF(AND($C885="Rushing", $H885&lt;=0), 0, IF(AND($C885="Passing", $G$3&lt;=0), 0,IF(AND($C885="Receiving",$I885&lt;=0), 0,SUMIFS(Table2[Stat],Table2[Week],Table1[[#This Row],[Week]],Table2[Athlete],Table1[[#This Row],[Pick]],Table2[Stat Category],"passing",Table2[Stat Type],"TD"))))</f>
        <v>0</v>
      </c>
      <c r="K885" s="6">
        <f>IF(AND($C885="Rushing", $H885&lt;=0), 0, IF(AND($C885="Passing", $G$3&lt;=0), 0,IF(AND($C885="Receiving",$I885&lt;=0),0,SUMIFS(Table2[Stat],Table2[Week],Table1[[#This Row],[Week]],Table2[Athlete],Table1[[#This Row],[Pick]],Table2[Stat Category],"rushing",Table2[Stat Type],"TD"))))</f>
        <v>0</v>
      </c>
      <c r="L885" s="6">
        <f>IF(AND($C885="Rushing", $H885&lt;=0), 0, IF(AND($C885="Passing", $G$3&lt;=0), 0,IF(AND($C885="Receiving",$I885&lt;=0),0,SUMIFS(Table2[Stat],Table2[Week],Table1[[#This Row],[Week]],Table2[Athlete],Table1[[#This Row],[Pick]],Table2[Stat Category],"receiving",Table2[Stat Type],"TD"))))</f>
        <v>0</v>
      </c>
      <c r="M8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5" s="61">
        <f>SUMIFS(Data!$J:$J,Data!$A:$A,Info!$B885,Data!$G:$G,Info!$C885,Data!$I:$I,Info!$D885,Data!$H:$H,"TOT")</f>
        <v>0</v>
      </c>
      <c r="O885" s="61">
        <f>IF(C885="Defensive",SUMIFS(Data!$J:$J,Data!$A:$A,Info!$B885,Data!$I:$I,Info!$D885,Data!$H:$H,"INT"),0)</f>
        <v>0</v>
      </c>
      <c r="P885" s="61">
        <f>IF(Table1[[#This Row],[Role]]="Defensive",SUMIFS(Data!$J:$J,Data!$A:$A,Info!$B885,Data!$I:$I,Info!$D885,Data!$H:$H,$P$1),0)</f>
        <v>0</v>
      </c>
      <c r="Q885" s="65" t="str">
        <f>IF(Table1[[#This Row],[Pick]]="","",IF(S885&gt;1,400,IF(G885="","",IF(C885="Passing",(400-Table1[[#This Row],[Passing Yards]]-(30*Table1[[#This Row],[Passing TDs]])-(50*SUM(Table1[[#This Row],[Rushing TDs]:[Other TD''s]]))),IF(C885="Rushing",2*(200-Table1[[#This Row],[Rushing Yards]]-(30*Table1[[#This Row],[Passing TDs]])-50*(Table1[[#This Row],[Rushing TDs]]+Table1[[#This Row],[Receiving TDs]]+Table1[[#This Row],[Other TD''s]])),IF(C885="Receiving",2*(200-Table1[[#This Row],[Receiving Yards]]-(30*Table1[[#This Row],[Passing TDs]])-50*(Table1[[#This Row],[Rushing TDs]]+Table1[[#This Row],[Receiving TDs]]+Table1[[#This Row],[Other TD''s]])),IF(C885="Defensive",(25*(16-Table1[[#This Row],[Tackles]]-(8*(Table1[[#This Row],[Other TD''s]]+Table1[[#This Row],[Interceptions]]+Table1[[#This Row],[Fumbles Recovered]])))))))))))</f>
        <v/>
      </c>
      <c r="R885" s="3" t="str">
        <f t="shared" si="28"/>
        <v/>
      </c>
      <c r="S885" s="4">
        <f t="shared" si="27"/>
        <v>1048507</v>
      </c>
      <c r="T8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6" spans="1:20" hidden="1" x14ac:dyDescent="0.25">
      <c r="A886" t="s">
        <v>18</v>
      </c>
      <c r="B886" s="28" t="s">
        <v>56</v>
      </c>
      <c r="C886" t="s">
        <v>20</v>
      </c>
      <c r="D886" t="str">
        <f>_xlfn.XLOOKUP(Table1[[#This Row],[Player]]&amp;Table1[[#This Row],[Week]]&amp;Table1[[#This Row],[Role]],'Google Form Transform'!$A:$A,'Google Form Transform'!E:E,"")</f>
        <v/>
      </c>
      <c r="E886" t="str">
        <f>_xlfn.XLOOKUP(Table1[[#This Row],[Player]]&amp;Table1[[#This Row],[Week]]&amp;Table1[[#This Row],[Role]],'Google Form Transform'!$A:$A,'Google Form Transform'!F:F,"")</f>
        <v/>
      </c>
      <c r="F886" t="str">
        <f>_xlfn.XLOOKUP(Table1[[#This Row],[Player]]&amp;Table1[[#This Row],[Week]]&amp;Table1[[#This Row],[Role]],'Google Form Transform'!$A:$A,'Google Form Transform'!G:G,"")</f>
        <v/>
      </c>
      <c r="G886" s="59">
        <f>SUMIFS(Table2[Stat],Table2[Stat Category],"passing",Table2[Stat Type],"YDS",Table2[Athlete],Table1[[#This Row],[Pick]],Table2[Week],Table1[[#This Row],[Week]])</f>
        <v>0</v>
      </c>
      <c r="H886" s="59">
        <f>SUMIFS(Table2[Stat],Table2[Stat Category],"rushing",Table2[Stat Type],"YDS",Table2[Athlete],Table1[[#This Row],[Pick]],Table2[Week],Table1[[#This Row],[Week]])</f>
        <v>0</v>
      </c>
      <c r="I886" s="59">
        <f>SUMIFS(Table2[Stat],Table2[Stat Category],"receiving",Table2[Stat Type],"YDS",Table2[Athlete],Table1[[#This Row],[Pick]],Table2[Week],Table1[[#This Row],[Week]])</f>
        <v>0</v>
      </c>
      <c r="J886" s="6">
        <f>IF(AND($C886="Rushing", $H886&lt;=0), 0, IF(AND($C886="Passing", $G$3&lt;=0), 0,IF(AND($C886="Receiving",$I886&lt;=0), 0,SUMIFS(Table2[Stat],Table2[Week],Table1[[#This Row],[Week]],Table2[Athlete],Table1[[#This Row],[Pick]],Table2[Stat Category],"passing",Table2[Stat Type],"TD"))))</f>
        <v>0</v>
      </c>
      <c r="K886" s="6">
        <f>IF(AND($C886="Rushing", $H886&lt;=0), 0, IF(AND($C886="Passing", $G$3&lt;=0), 0,IF(AND($C886="Receiving",$I886&lt;=0),0,SUMIFS(Table2[Stat],Table2[Week],Table1[[#This Row],[Week]],Table2[Athlete],Table1[[#This Row],[Pick]],Table2[Stat Category],"rushing",Table2[Stat Type],"TD"))))</f>
        <v>0</v>
      </c>
      <c r="L886" s="6">
        <f>IF(AND($C886="Rushing", $H886&lt;=0), 0, IF(AND($C886="Passing", $G$3&lt;=0), 0,IF(AND($C886="Receiving",$I886&lt;=0),0,SUMIFS(Table2[Stat],Table2[Week],Table1[[#This Row],[Week]],Table2[Athlete],Table1[[#This Row],[Pick]],Table2[Stat Category],"receiving",Table2[Stat Type],"TD"))))</f>
        <v>0</v>
      </c>
      <c r="M8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6" s="61">
        <f>SUMIFS(Data!$J:$J,Data!$A:$A,Info!$B886,Data!$G:$G,Info!$C886,Data!$I:$I,Info!$D886,Data!$H:$H,"TOT")</f>
        <v>0</v>
      </c>
      <c r="O886" s="61">
        <f>IF(C886="Defensive",SUMIFS(Data!$J:$J,Data!$A:$A,Info!$B886,Data!$I:$I,Info!$D886,Data!$H:$H,"INT"),0)</f>
        <v>0</v>
      </c>
      <c r="P886" s="61">
        <f>IF(Table1[[#This Row],[Role]]="Defensive",SUMIFS(Data!$J:$J,Data!$A:$A,Info!$B886,Data!$I:$I,Info!$D886,Data!$H:$H,$P$1),0)</f>
        <v>0</v>
      </c>
      <c r="Q886" s="65" t="str">
        <f>IF(Table1[[#This Row],[Pick]]="","",IF(S886&gt;1,400,IF(G886="","",IF(C886="Passing",(400-Table1[[#This Row],[Passing Yards]]-(30*Table1[[#This Row],[Passing TDs]])-(50*SUM(Table1[[#This Row],[Rushing TDs]:[Other TD''s]]))),IF(C886="Rushing",2*(200-Table1[[#This Row],[Rushing Yards]]-(30*Table1[[#This Row],[Passing TDs]])-50*(Table1[[#This Row],[Rushing TDs]]+Table1[[#This Row],[Receiving TDs]]+Table1[[#This Row],[Other TD''s]])),IF(C886="Receiving",2*(200-Table1[[#This Row],[Receiving Yards]]-(30*Table1[[#This Row],[Passing TDs]])-50*(Table1[[#This Row],[Rushing TDs]]+Table1[[#This Row],[Receiving TDs]]+Table1[[#This Row],[Other TD''s]])),IF(C886="Defensive",(25*(16-Table1[[#This Row],[Tackles]]-(8*(Table1[[#This Row],[Other TD''s]]+Table1[[#This Row],[Interceptions]]+Table1[[#This Row],[Fumbles Recovered]])))))))))))</f>
        <v/>
      </c>
      <c r="R886" s="3" t="str">
        <f t="shared" si="28"/>
        <v/>
      </c>
      <c r="S886" s="4">
        <f t="shared" si="27"/>
        <v>1048507</v>
      </c>
      <c r="T8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7" spans="1:20" hidden="1" x14ac:dyDescent="0.25">
      <c r="A887" t="s">
        <v>19</v>
      </c>
      <c r="B887" s="28" t="s">
        <v>56</v>
      </c>
      <c r="C887" t="s">
        <v>16</v>
      </c>
      <c r="D887" t="str">
        <f>_xlfn.XLOOKUP(Table1[[#This Row],[Player]]&amp;Table1[[#This Row],[Week]]&amp;Table1[[#This Row],[Role]],'Google Form Transform'!$A:$A,'Google Form Transform'!E:E,"")</f>
        <v/>
      </c>
      <c r="E887" t="str">
        <f>_xlfn.XLOOKUP(Table1[[#This Row],[Player]]&amp;Table1[[#This Row],[Week]]&amp;Table1[[#This Row],[Role]],'Google Form Transform'!$A:$A,'Google Form Transform'!F:F,"")</f>
        <v/>
      </c>
      <c r="F887" t="str">
        <f>_xlfn.XLOOKUP(Table1[[#This Row],[Player]]&amp;Table1[[#This Row],[Week]]&amp;Table1[[#This Row],[Role]],'Google Form Transform'!$A:$A,'Google Form Transform'!G:G,"")</f>
        <v/>
      </c>
      <c r="G887" s="59">
        <f>SUMIFS(Table2[Stat],Table2[Stat Category],"passing",Table2[Stat Type],"YDS",Table2[Athlete],Table1[[#This Row],[Pick]],Table2[Week],Table1[[#This Row],[Week]])</f>
        <v>0</v>
      </c>
      <c r="H887" s="59">
        <f>SUMIFS(Table2[Stat],Table2[Stat Category],"rushing",Table2[Stat Type],"YDS",Table2[Athlete],Table1[[#This Row],[Pick]],Table2[Week],Table1[[#This Row],[Week]])</f>
        <v>0</v>
      </c>
      <c r="I887" s="59">
        <f>SUMIFS(Table2[Stat],Table2[Stat Category],"receiving",Table2[Stat Type],"YDS",Table2[Athlete],Table1[[#This Row],[Pick]],Table2[Week],Table1[[#This Row],[Week]])</f>
        <v>0</v>
      </c>
      <c r="J887" s="6">
        <f>IF(AND($C887="Rushing", $H887&lt;=0), 0, IF(AND($C887="Passing", $G$3&lt;=0), 0,IF(AND($C887="Receiving",$I887&lt;=0), 0,SUMIFS(Table2[Stat],Table2[Week],Table1[[#This Row],[Week]],Table2[Athlete],Table1[[#This Row],[Pick]],Table2[Stat Category],"passing",Table2[Stat Type],"TD"))))</f>
        <v>0</v>
      </c>
      <c r="K887" s="6">
        <f>IF(AND($C887="Rushing", $H887&lt;=0), 0, IF(AND($C887="Passing", $G$3&lt;=0), 0,IF(AND($C887="Receiving",$I887&lt;=0),0,SUMIFS(Table2[Stat],Table2[Week],Table1[[#This Row],[Week]],Table2[Athlete],Table1[[#This Row],[Pick]],Table2[Stat Category],"rushing",Table2[Stat Type],"TD"))))</f>
        <v>0</v>
      </c>
      <c r="L887" s="6">
        <f>IF(AND($C887="Rushing", $H887&lt;=0), 0, IF(AND($C887="Passing", $G$3&lt;=0), 0,IF(AND($C887="Receiving",$I887&lt;=0),0,SUMIFS(Table2[Stat],Table2[Week],Table1[[#This Row],[Week]],Table2[Athlete],Table1[[#This Row],[Pick]],Table2[Stat Category],"receiving",Table2[Stat Type],"TD"))))</f>
        <v>0</v>
      </c>
      <c r="M8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7" s="61">
        <f>SUMIFS(Data!$J:$J,Data!$A:$A,Info!$B887,Data!$G:$G,Info!$C887,Data!$I:$I,Info!$D887,Data!$H:$H,"TOT")</f>
        <v>0</v>
      </c>
      <c r="O887" s="61">
        <f>IF(C887="Defensive",SUMIFS(Data!$J:$J,Data!$A:$A,Info!$B887,Data!$I:$I,Info!$D887,Data!$H:$H,"INT"),0)</f>
        <v>0</v>
      </c>
      <c r="P887" s="61">
        <f>IF(Table1[[#This Row],[Role]]="Defensive",SUMIFS(Data!$J:$J,Data!$A:$A,Info!$B887,Data!$I:$I,Info!$D887,Data!$H:$H,$P$1),0)</f>
        <v>0</v>
      </c>
      <c r="Q887" s="65" t="str">
        <f>IF(Table1[[#This Row],[Pick]]="","",IF(S887&gt;1,400,IF(G887="","",IF(C887="Passing",(400-Table1[[#This Row],[Passing Yards]]-(30*Table1[[#This Row],[Passing TDs]])-(50*SUM(Table1[[#This Row],[Rushing TDs]:[Other TD''s]]))),IF(C887="Rushing",2*(200-Table1[[#This Row],[Rushing Yards]]-(30*Table1[[#This Row],[Passing TDs]])-50*(Table1[[#This Row],[Rushing TDs]]+Table1[[#This Row],[Receiving TDs]]+Table1[[#This Row],[Other TD''s]])),IF(C887="Receiving",2*(200-Table1[[#This Row],[Receiving Yards]]-(30*Table1[[#This Row],[Passing TDs]])-50*(Table1[[#This Row],[Rushing TDs]]+Table1[[#This Row],[Receiving TDs]]+Table1[[#This Row],[Other TD''s]])),IF(C887="Defensive",(25*(16-Table1[[#This Row],[Tackles]]-(8*(Table1[[#This Row],[Other TD''s]]+Table1[[#This Row],[Interceptions]]+Table1[[#This Row],[Fumbles Recovered]])))))))))))</f>
        <v/>
      </c>
      <c r="R887" s="3" t="str">
        <f t="shared" si="28"/>
        <v/>
      </c>
      <c r="S887" s="4">
        <f t="shared" si="27"/>
        <v>1048507</v>
      </c>
      <c r="T8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8" spans="1:20" hidden="1" x14ac:dyDescent="0.25">
      <c r="A888" t="s">
        <v>19</v>
      </c>
      <c r="B888" s="28" t="s">
        <v>56</v>
      </c>
      <c r="C888" t="s">
        <v>6</v>
      </c>
      <c r="D888" t="str">
        <f>_xlfn.XLOOKUP(Table1[[#This Row],[Player]]&amp;Table1[[#This Row],[Week]]&amp;Table1[[#This Row],[Role]],'Google Form Transform'!$A:$A,'Google Form Transform'!E:E,"")</f>
        <v/>
      </c>
      <c r="E888" t="str">
        <f>_xlfn.XLOOKUP(Table1[[#This Row],[Player]]&amp;Table1[[#This Row],[Week]]&amp;Table1[[#This Row],[Role]],'Google Form Transform'!$A:$A,'Google Form Transform'!F:F,"")</f>
        <v/>
      </c>
      <c r="F888" t="str">
        <f>_xlfn.XLOOKUP(Table1[[#This Row],[Player]]&amp;Table1[[#This Row],[Week]]&amp;Table1[[#This Row],[Role]],'Google Form Transform'!$A:$A,'Google Form Transform'!G:G,"")</f>
        <v/>
      </c>
      <c r="G888" s="59">
        <f>SUMIFS(Table2[Stat],Table2[Stat Category],"passing",Table2[Stat Type],"YDS",Table2[Athlete],Table1[[#This Row],[Pick]],Table2[Week],Table1[[#This Row],[Week]])</f>
        <v>0</v>
      </c>
      <c r="H888" s="59">
        <f>SUMIFS(Table2[Stat],Table2[Stat Category],"rushing",Table2[Stat Type],"YDS",Table2[Athlete],Table1[[#This Row],[Pick]],Table2[Week],Table1[[#This Row],[Week]])</f>
        <v>0</v>
      </c>
      <c r="I888" s="59">
        <f>SUMIFS(Table2[Stat],Table2[Stat Category],"receiving",Table2[Stat Type],"YDS",Table2[Athlete],Table1[[#This Row],[Pick]],Table2[Week],Table1[[#This Row],[Week]])</f>
        <v>0</v>
      </c>
      <c r="J888" s="6">
        <f>IF(AND($C888="Rushing", $H888&lt;=0), 0, IF(AND($C888="Passing", $G$3&lt;=0), 0,IF(AND($C888="Receiving",$I888&lt;=0), 0,SUMIFS(Table2[Stat],Table2[Week],Table1[[#This Row],[Week]],Table2[Athlete],Table1[[#This Row],[Pick]],Table2[Stat Category],"passing",Table2[Stat Type],"TD"))))</f>
        <v>0</v>
      </c>
      <c r="K888" s="6">
        <f>IF(AND($C888="Rushing", $H888&lt;=0), 0, IF(AND($C888="Passing", $G$3&lt;=0), 0,IF(AND($C888="Receiving",$I888&lt;=0),0,SUMIFS(Table2[Stat],Table2[Week],Table1[[#This Row],[Week]],Table2[Athlete],Table1[[#This Row],[Pick]],Table2[Stat Category],"rushing",Table2[Stat Type],"TD"))))</f>
        <v>0</v>
      </c>
      <c r="L888" s="6">
        <f>IF(AND($C888="Rushing", $H888&lt;=0), 0, IF(AND($C888="Passing", $G$3&lt;=0), 0,IF(AND($C888="Receiving",$I888&lt;=0),0,SUMIFS(Table2[Stat],Table2[Week],Table1[[#This Row],[Week]],Table2[Athlete],Table1[[#This Row],[Pick]],Table2[Stat Category],"receiving",Table2[Stat Type],"TD"))))</f>
        <v>0</v>
      </c>
      <c r="M8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8" s="61">
        <f>SUMIFS(Data!$J:$J,Data!$A:$A,Info!$B888,Data!$G:$G,Info!$C888,Data!$I:$I,Info!$D888,Data!$H:$H,"TOT")</f>
        <v>0</v>
      </c>
      <c r="O888" s="61">
        <f>IF(C888="Defensive",SUMIFS(Data!$J:$J,Data!$A:$A,Info!$B888,Data!$I:$I,Info!$D888,Data!$H:$H,"INT"),0)</f>
        <v>0</v>
      </c>
      <c r="P888" s="61">
        <f>IF(Table1[[#This Row],[Role]]="Defensive",SUMIFS(Data!$J:$J,Data!$A:$A,Info!$B888,Data!$I:$I,Info!$D888,Data!$H:$H,$P$1),0)</f>
        <v>0</v>
      </c>
      <c r="Q888" s="65" t="str">
        <f>IF(Table1[[#This Row],[Pick]]="","",IF(S888&gt;1,400,IF(G888="","",IF(C888="Passing",(400-Table1[[#This Row],[Passing Yards]]-(30*Table1[[#This Row],[Passing TDs]])-(50*SUM(Table1[[#This Row],[Rushing TDs]:[Other TD''s]]))),IF(C888="Rushing",2*(200-Table1[[#This Row],[Rushing Yards]]-(30*Table1[[#This Row],[Passing TDs]])-50*(Table1[[#This Row],[Rushing TDs]]+Table1[[#This Row],[Receiving TDs]]+Table1[[#This Row],[Other TD''s]])),IF(C888="Receiving",2*(200-Table1[[#This Row],[Receiving Yards]]-(30*Table1[[#This Row],[Passing TDs]])-50*(Table1[[#This Row],[Rushing TDs]]+Table1[[#This Row],[Receiving TDs]]+Table1[[#This Row],[Other TD''s]])),IF(C888="Defensive",(25*(16-Table1[[#This Row],[Tackles]]-(8*(Table1[[#This Row],[Other TD''s]]+Table1[[#This Row],[Interceptions]]+Table1[[#This Row],[Fumbles Recovered]])))))))))))</f>
        <v/>
      </c>
      <c r="R888" s="3" t="str">
        <f t="shared" si="28"/>
        <v/>
      </c>
      <c r="S888" s="4">
        <f t="shared" si="27"/>
        <v>1048507</v>
      </c>
      <c r="T8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9" spans="1:20" hidden="1" x14ac:dyDescent="0.25">
      <c r="A889" t="s">
        <v>19</v>
      </c>
      <c r="B889" s="28" t="s">
        <v>56</v>
      </c>
      <c r="C889" t="s">
        <v>17</v>
      </c>
      <c r="D889" t="str">
        <f>_xlfn.XLOOKUP(Table1[[#This Row],[Player]]&amp;Table1[[#This Row],[Week]]&amp;Table1[[#This Row],[Role]],'Google Form Transform'!$A:$A,'Google Form Transform'!E:E,"")</f>
        <v/>
      </c>
      <c r="E889" t="str">
        <f>_xlfn.XLOOKUP(Table1[[#This Row],[Player]]&amp;Table1[[#This Row],[Week]]&amp;Table1[[#This Row],[Role]],'Google Form Transform'!$A:$A,'Google Form Transform'!F:F,"")</f>
        <v/>
      </c>
      <c r="F889" t="str">
        <f>_xlfn.XLOOKUP(Table1[[#This Row],[Player]]&amp;Table1[[#This Row],[Week]]&amp;Table1[[#This Row],[Role]],'Google Form Transform'!$A:$A,'Google Form Transform'!G:G,"")</f>
        <v/>
      </c>
      <c r="G889" s="59">
        <f>SUMIFS(Table2[Stat],Table2[Stat Category],"passing",Table2[Stat Type],"YDS",Table2[Athlete],Table1[[#This Row],[Pick]],Table2[Week],Table1[[#This Row],[Week]])</f>
        <v>0</v>
      </c>
      <c r="H889" s="59">
        <f>SUMIFS(Table2[Stat],Table2[Stat Category],"rushing",Table2[Stat Type],"YDS",Table2[Athlete],Table1[[#This Row],[Pick]],Table2[Week],Table1[[#This Row],[Week]])</f>
        <v>0</v>
      </c>
      <c r="I889" s="59">
        <f>SUMIFS(Table2[Stat],Table2[Stat Category],"receiving",Table2[Stat Type],"YDS",Table2[Athlete],Table1[[#This Row],[Pick]],Table2[Week],Table1[[#This Row],[Week]])</f>
        <v>0</v>
      </c>
      <c r="J889" s="6">
        <f>IF(AND($C889="Rushing", $H889&lt;=0), 0, IF(AND($C889="Passing", $G$3&lt;=0), 0,IF(AND($C889="Receiving",$I889&lt;=0), 0,SUMIFS(Table2[Stat],Table2[Week],Table1[[#This Row],[Week]],Table2[Athlete],Table1[[#This Row],[Pick]],Table2[Stat Category],"passing",Table2[Stat Type],"TD"))))</f>
        <v>0</v>
      </c>
      <c r="K889" s="6">
        <f>IF(AND($C889="Rushing", $H889&lt;=0), 0, IF(AND($C889="Passing", $G$3&lt;=0), 0,IF(AND($C889="Receiving",$I889&lt;=0),0,SUMIFS(Table2[Stat],Table2[Week],Table1[[#This Row],[Week]],Table2[Athlete],Table1[[#This Row],[Pick]],Table2[Stat Category],"rushing",Table2[Stat Type],"TD"))))</f>
        <v>0</v>
      </c>
      <c r="L889" s="6">
        <f>IF(AND($C889="Rushing", $H889&lt;=0), 0, IF(AND($C889="Passing", $G$3&lt;=0), 0,IF(AND($C889="Receiving",$I889&lt;=0),0,SUMIFS(Table2[Stat],Table2[Week],Table1[[#This Row],[Week]],Table2[Athlete],Table1[[#This Row],[Pick]],Table2[Stat Category],"receiving",Table2[Stat Type],"TD"))))</f>
        <v>0</v>
      </c>
      <c r="M8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9" s="61">
        <f>SUMIFS(Data!$J:$J,Data!$A:$A,Info!$B889,Data!$G:$G,Info!$C889,Data!$I:$I,Info!$D889,Data!$H:$H,"TOT")</f>
        <v>0</v>
      </c>
      <c r="O889" s="61">
        <f>IF(C889="Defensive",SUMIFS(Data!$J:$J,Data!$A:$A,Info!$B889,Data!$I:$I,Info!$D889,Data!$H:$H,"INT"),0)</f>
        <v>0</v>
      </c>
      <c r="P889" s="61">
        <f>IF(Table1[[#This Row],[Role]]="Defensive",SUMIFS(Data!$J:$J,Data!$A:$A,Info!$B889,Data!$I:$I,Info!$D889,Data!$H:$H,$P$1),0)</f>
        <v>0</v>
      </c>
      <c r="Q889" s="65" t="str">
        <f>IF(Table1[[#This Row],[Pick]]="","",IF(S889&gt;1,400,IF(G889="","",IF(C889="Passing",(400-Table1[[#This Row],[Passing Yards]]-(30*Table1[[#This Row],[Passing TDs]])-(50*SUM(Table1[[#This Row],[Rushing TDs]:[Other TD''s]]))),IF(C889="Rushing",2*(200-Table1[[#This Row],[Rushing Yards]]-(30*Table1[[#This Row],[Passing TDs]])-50*(Table1[[#This Row],[Rushing TDs]]+Table1[[#This Row],[Receiving TDs]]+Table1[[#This Row],[Other TD''s]])),IF(C889="Receiving",2*(200-Table1[[#This Row],[Receiving Yards]]-(30*Table1[[#This Row],[Passing TDs]])-50*(Table1[[#This Row],[Rushing TDs]]+Table1[[#This Row],[Receiving TDs]]+Table1[[#This Row],[Other TD''s]])),IF(C889="Defensive",(25*(16-Table1[[#This Row],[Tackles]]-(8*(Table1[[#This Row],[Other TD''s]]+Table1[[#This Row],[Interceptions]]+Table1[[#This Row],[Fumbles Recovered]])))))))))))</f>
        <v/>
      </c>
      <c r="R889" s="3" t="str">
        <f t="shared" si="28"/>
        <v/>
      </c>
      <c r="S889" s="4">
        <f t="shared" si="27"/>
        <v>1048507</v>
      </c>
      <c r="T8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0" spans="1:20" hidden="1" x14ac:dyDescent="0.25">
      <c r="A890" t="s">
        <v>19</v>
      </c>
      <c r="B890" s="28" t="s">
        <v>56</v>
      </c>
      <c r="C890" t="s">
        <v>20</v>
      </c>
      <c r="D890" t="str">
        <f>_xlfn.XLOOKUP(Table1[[#This Row],[Player]]&amp;Table1[[#This Row],[Week]]&amp;Table1[[#This Row],[Role]],'Google Form Transform'!$A:$A,'Google Form Transform'!E:E,"")</f>
        <v/>
      </c>
      <c r="E890" t="str">
        <f>_xlfn.XLOOKUP(Table1[[#This Row],[Player]]&amp;Table1[[#This Row],[Week]]&amp;Table1[[#This Row],[Role]],'Google Form Transform'!$A:$A,'Google Form Transform'!F:F,"")</f>
        <v/>
      </c>
      <c r="F890" t="str">
        <f>_xlfn.XLOOKUP(Table1[[#This Row],[Player]]&amp;Table1[[#This Row],[Week]]&amp;Table1[[#This Row],[Role]],'Google Form Transform'!$A:$A,'Google Form Transform'!G:G,"")</f>
        <v/>
      </c>
      <c r="G890" s="59">
        <f>SUMIFS(Table2[Stat],Table2[Stat Category],"passing",Table2[Stat Type],"YDS",Table2[Athlete],Table1[[#This Row],[Pick]],Table2[Week],Table1[[#This Row],[Week]])</f>
        <v>0</v>
      </c>
      <c r="H890" s="59">
        <f>SUMIFS(Table2[Stat],Table2[Stat Category],"rushing",Table2[Stat Type],"YDS",Table2[Athlete],Table1[[#This Row],[Pick]],Table2[Week],Table1[[#This Row],[Week]])</f>
        <v>0</v>
      </c>
      <c r="I890" s="59">
        <f>SUMIFS(Table2[Stat],Table2[Stat Category],"receiving",Table2[Stat Type],"YDS",Table2[Athlete],Table1[[#This Row],[Pick]],Table2[Week],Table1[[#This Row],[Week]])</f>
        <v>0</v>
      </c>
      <c r="J890" s="6">
        <f>IF(AND($C890="Rushing", $H890&lt;=0), 0, IF(AND($C890="Passing", $G$3&lt;=0), 0,IF(AND($C890="Receiving",$I890&lt;=0), 0,SUMIFS(Table2[Stat],Table2[Week],Table1[[#This Row],[Week]],Table2[Athlete],Table1[[#This Row],[Pick]],Table2[Stat Category],"passing",Table2[Stat Type],"TD"))))</f>
        <v>0</v>
      </c>
      <c r="K890" s="6">
        <f>IF(AND($C890="Rushing", $H890&lt;=0), 0, IF(AND($C890="Passing", $G$3&lt;=0), 0,IF(AND($C890="Receiving",$I890&lt;=0),0,SUMIFS(Table2[Stat],Table2[Week],Table1[[#This Row],[Week]],Table2[Athlete],Table1[[#This Row],[Pick]],Table2[Stat Category],"rushing",Table2[Stat Type],"TD"))))</f>
        <v>0</v>
      </c>
      <c r="L890" s="6">
        <f>IF(AND($C890="Rushing", $H890&lt;=0), 0, IF(AND($C890="Passing", $G$3&lt;=0), 0,IF(AND($C890="Receiving",$I890&lt;=0),0,SUMIFS(Table2[Stat],Table2[Week],Table1[[#This Row],[Week]],Table2[Athlete],Table1[[#This Row],[Pick]],Table2[Stat Category],"receiving",Table2[Stat Type],"TD"))))</f>
        <v>0</v>
      </c>
      <c r="M8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0" s="61">
        <f>SUMIFS(Data!$J:$J,Data!$A:$A,Info!$B890,Data!$G:$G,Info!$C890,Data!$I:$I,Info!$D890,Data!$H:$H,"TOT")</f>
        <v>0</v>
      </c>
      <c r="O890" s="61">
        <f>IF(C890="Defensive",SUMIFS(Data!$J:$J,Data!$A:$A,Info!$B890,Data!$I:$I,Info!$D890,Data!$H:$H,"INT"),0)</f>
        <v>0</v>
      </c>
      <c r="P890" s="61">
        <f>IF(Table1[[#This Row],[Role]]="Defensive",SUMIFS(Data!$J:$J,Data!$A:$A,Info!$B890,Data!$I:$I,Info!$D890,Data!$H:$H,$P$1),0)</f>
        <v>0</v>
      </c>
      <c r="Q890" s="65" t="str">
        <f>IF(Table1[[#This Row],[Pick]]="","",IF(S890&gt;1,400,IF(G890="","",IF(C890="Passing",(400-Table1[[#This Row],[Passing Yards]]-(30*Table1[[#This Row],[Passing TDs]])-(50*SUM(Table1[[#This Row],[Rushing TDs]:[Other TD''s]]))),IF(C890="Rushing",2*(200-Table1[[#This Row],[Rushing Yards]]-(30*Table1[[#This Row],[Passing TDs]])-50*(Table1[[#This Row],[Rushing TDs]]+Table1[[#This Row],[Receiving TDs]]+Table1[[#This Row],[Other TD''s]])),IF(C890="Receiving",2*(200-Table1[[#This Row],[Receiving Yards]]-(30*Table1[[#This Row],[Passing TDs]])-50*(Table1[[#This Row],[Rushing TDs]]+Table1[[#This Row],[Receiving TDs]]+Table1[[#This Row],[Other TD''s]])),IF(C890="Defensive",(25*(16-Table1[[#This Row],[Tackles]]-(8*(Table1[[#This Row],[Other TD''s]]+Table1[[#This Row],[Interceptions]]+Table1[[#This Row],[Fumbles Recovered]])))))))))))</f>
        <v/>
      </c>
      <c r="R890" s="3" t="str">
        <f t="shared" si="28"/>
        <v/>
      </c>
      <c r="S890" s="4">
        <f t="shared" si="27"/>
        <v>1048507</v>
      </c>
      <c r="T8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1" spans="1:20" hidden="1" x14ac:dyDescent="0.25">
      <c r="A891" t="s">
        <v>26</v>
      </c>
      <c r="B891" s="28" t="s">
        <v>56</v>
      </c>
      <c r="C891" t="s">
        <v>16</v>
      </c>
      <c r="D891" t="str">
        <f>_xlfn.XLOOKUP(Table1[[#This Row],[Player]]&amp;Table1[[#This Row],[Week]]&amp;Table1[[#This Row],[Role]],'Google Form Transform'!$A:$A,'Google Form Transform'!E:E,"")</f>
        <v/>
      </c>
      <c r="E891" t="str">
        <f>_xlfn.XLOOKUP(Table1[[#This Row],[Player]]&amp;Table1[[#This Row],[Week]]&amp;Table1[[#This Row],[Role]],'Google Form Transform'!$A:$A,'Google Form Transform'!F:F,"")</f>
        <v/>
      </c>
      <c r="F891" t="str">
        <f>_xlfn.XLOOKUP(Table1[[#This Row],[Player]]&amp;Table1[[#This Row],[Week]]&amp;Table1[[#This Row],[Role]],'Google Form Transform'!$A:$A,'Google Form Transform'!G:G,"")</f>
        <v/>
      </c>
      <c r="G891" s="59">
        <f>SUMIFS(Table2[Stat],Table2[Stat Category],"passing",Table2[Stat Type],"YDS",Table2[Athlete],Table1[[#This Row],[Pick]],Table2[Week],Table1[[#This Row],[Week]])</f>
        <v>0</v>
      </c>
      <c r="H891" s="59">
        <f>SUMIFS(Table2[Stat],Table2[Stat Category],"rushing",Table2[Stat Type],"YDS",Table2[Athlete],Table1[[#This Row],[Pick]],Table2[Week],Table1[[#This Row],[Week]])</f>
        <v>0</v>
      </c>
      <c r="I891" s="59">
        <f>SUMIFS(Table2[Stat],Table2[Stat Category],"receiving",Table2[Stat Type],"YDS",Table2[Athlete],Table1[[#This Row],[Pick]],Table2[Week],Table1[[#This Row],[Week]])</f>
        <v>0</v>
      </c>
      <c r="J891" s="6">
        <f>IF(AND($C891="Rushing", $H891&lt;=0), 0, IF(AND($C891="Passing", $G$3&lt;=0), 0,IF(AND($C891="Receiving",$I891&lt;=0), 0,SUMIFS(Table2[Stat],Table2[Week],Table1[[#This Row],[Week]],Table2[Athlete],Table1[[#This Row],[Pick]],Table2[Stat Category],"passing",Table2[Stat Type],"TD"))))</f>
        <v>0</v>
      </c>
      <c r="K891" s="6">
        <f>IF(AND($C891="Rushing", $H891&lt;=0), 0, IF(AND($C891="Passing", $G$3&lt;=0), 0,IF(AND($C891="Receiving",$I891&lt;=0),0,SUMIFS(Table2[Stat],Table2[Week],Table1[[#This Row],[Week]],Table2[Athlete],Table1[[#This Row],[Pick]],Table2[Stat Category],"rushing",Table2[Stat Type],"TD"))))</f>
        <v>0</v>
      </c>
      <c r="L891" s="6">
        <f>IF(AND($C891="Rushing", $H891&lt;=0), 0, IF(AND($C891="Passing", $G$3&lt;=0), 0,IF(AND($C891="Receiving",$I891&lt;=0),0,SUMIFS(Table2[Stat],Table2[Week],Table1[[#This Row],[Week]],Table2[Athlete],Table1[[#This Row],[Pick]],Table2[Stat Category],"receiving",Table2[Stat Type],"TD"))))</f>
        <v>0</v>
      </c>
      <c r="M8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1" s="61">
        <f>SUMIFS(Data!$J:$J,Data!$A:$A,Info!$B891,Data!$G:$G,Info!$C891,Data!$I:$I,Info!$D891,Data!$H:$H,"TOT")</f>
        <v>0</v>
      </c>
      <c r="O891" s="61">
        <f>IF(C891="Defensive",SUMIFS(Data!$J:$J,Data!$A:$A,Info!$B891,Data!$I:$I,Info!$D891,Data!$H:$H,"INT"),0)</f>
        <v>0</v>
      </c>
      <c r="P891" s="61">
        <f>IF(Table1[[#This Row],[Role]]="Defensive",SUMIFS(Data!$J:$J,Data!$A:$A,Info!$B891,Data!$I:$I,Info!$D891,Data!$H:$H,$P$1),0)</f>
        <v>0</v>
      </c>
      <c r="Q891" s="65" t="str">
        <f>IF(Table1[[#This Row],[Pick]]="","",IF(S891&gt;1,400,IF(G891="","",IF(C891="Passing",(400-Table1[[#This Row],[Passing Yards]]-(30*Table1[[#This Row],[Passing TDs]])-(50*SUM(Table1[[#This Row],[Rushing TDs]:[Other TD''s]]))),IF(C891="Rushing",2*(200-Table1[[#This Row],[Rushing Yards]]-(30*Table1[[#This Row],[Passing TDs]])-50*(Table1[[#This Row],[Rushing TDs]]+Table1[[#This Row],[Receiving TDs]]+Table1[[#This Row],[Other TD''s]])),IF(C891="Receiving",2*(200-Table1[[#This Row],[Receiving Yards]]-(30*Table1[[#This Row],[Passing TDs]])-50*(Table1[[#This Row],[Rushing TDs]]+Table1[[#This Row],[Receiving TDs]]+Table1[[#This Row],[Other TD''s]])),IF(C891="Defensive",(25*(16-Table1[[#This Row],[Tackles]]-(8*(Table1[[#This Row],[Other TD''s]]+Table1[[#This Row],[Interceptions]]+Table1[[#This Row],[Fumbles Recovered]])))))))))))</f>
        <v/>
      </c>
      <c r="R891" s="3" t="str">
        <f t="shared" si="28"/>
        <v/>
      </c>
      <c r="S891" s="4">
        <f t="shared" si="27"/>
        <v>1048507</v>
      </c>
      <c r="T8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2" spans="1:20" hidden="1" x14ac:dyDescent="0.25">
      <c r="A892" t="s">
        <v>26</v>
      </c>
      <c r="B892" s="28" t="s">
        <v>56</v>
      </c>
      <c r="C892" t="s">
        <v>6</v>
      </c>
      <c r="D892" t="str">
        <f>_xlfn.XLOOKUP(Table1[[#This Row],[Player]]&amp;Table1[[#This Row],[Week]]&amp;Table1[[#This Row],[Role]],'Google Form Transform'!$A:$A,'Google Form Transform'!E:E,"")</f>
        <v/>
      </c>
      <c r="E892" t="str">
        <f>_xlfn.XLOOKUP(Table1[[#This Row],[Player]]&amp;Table1[[#This Row],[Week]]&amp;Table1[[#This Row],[Role]],'Google Form Transform'!$A:$A,'Google Form Transform'!F:F,"")</f>
        <v/>
      </c>
      <c r="F892" t="str">
        <f>_xlfn.XLOOKUP(Table1[[#This Row],[Player]]&amp;Table1[[#This Row],[Week]]&amp;Table1[[#This Row],[Role]],'Google Form Transform'!$A:$A,'Google Form Transform'!G:G,"")</f>
        <v/>
      </c>
      <c r="G892" s="59">
        <f>SUMIFS(Table2[Stat],Table2[Stat Category],"passing",Table2[Stat Type],"YDS",Table2[Athlete],Table1[[#This Row],[Pick]],Table2[Week],Table1[[#This Row],[Week]])</f>
        <v>0</v>
      </c>
      <c r="H892" s="59">
        <f>SUMIFS(Table2[Stat],Table2[Stat Category],"rushing",Table2[Stat Type],"YDS",Table2[Athlete],Table1[[#This Row],[Pick]],Table2[Week],Table1[[#This Row],[Week]])</f>
        <v>0</v>
      </c>
      <c r="I892" s="59">
        <f>SUMIFS(Table2[Stat],Table2[Stat Category],"receiving",Table2[Stat Type],"YDS",Table2[Athlete],Table1[[#This Row],[Pick]],Table2[Week],Table1[[#This Row],[Week]])</f>
        <v>0</v>
      </c>
      <c r="J892" s="6">
        <f>IF(AND($C892="Rushing", $H892&lt;=0), 0, IF(AND($C892="Passing", $G$3&lt;=0), 0,IF(AND($C892="Receiving",$I892&lt;=0), 0,SUMIFS(Table2[Stat],Table2[Week],Table1[[#This Row],[Week]],Table2[Athlete],Table1[[#This Row],[Pick]],Table2[Stat Category],"passing",Table2[Stat Type],"TD"))))</f>
        <v>0</v>
      </c>
      <c r="K892" s="6">
        <f>IF(AND($C892="Rushing", $H892&lt;=0), 0, IF(AND($C892="Passing", $G$3&lt;=0), 0,IF(AND($C892="Receiving",$I892&lt;=0),0,SUMIFS(Table2[Stat],Table2[Week],Table1[[#This Row],[Week]],Table2[Athlete],Table1[[#This Row],[Pick]],Table2[Stat Category],"rushing",Table2[Stat Type],"TD"))))</f>
        <v>0</v>
      </c>
      <c r="L892" s="6">
        <f>IF(AND($C892="Rushing", $H892&lt;=0), 0, IF(AND($C892="Passing", $G$3&lt;=0), 0,IF(AND($C892="Receiving",$I892&lt;=0),0,SUMIFS(Table2[Stat],Table2[Week],Table1[[#This Row],[Week]],Table2[Athlete],Table1[[#This Row],[Pick]],Table2[Stat Category],"receiving",Table2[Stat Type],"TD"))))</f>
        <v>0</v>
      </c>
      <c r="M8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2" s="61">
        <f>SUMIFS(Data!$J:$J,Data!$A:$A,Info!$B892,Data!$G:$G,Info!$C892,Data!$I:$I,Info!$D892,Data!$H:$H,"TOT")</f>
        <v>0</v>
      </c>
      <c r="O892" s="61">
        <f>IF(C892="Defensive",SUMIFS(Data!$J:$J,Data!$A:$A,Info!$B892,Data!$I:$I,Info!$D892,Data!$H:$H,"INT"),0)</f>
        <v>0</v>
      </c>
      <c r="P892" s="61">
        <f>IF(Table1[[#This Row],[Role]]="Defensive",SUMIFS(Data!$J:$J,Data!$A:$A,Info!$B892,Data!$I:$I,Info!$D892,Data!$H:$H,$P$1),0)</f>
        <v>0</v>
      </c>
      <c r="Q892" s="65" t="str">
        <f>IF(Table1[[#This Row],[Pick]]="","",IF(S892&gt;1,400,IF(G892="","",IF(C892="Passing",(400-Table1[[#This Row],[Passing Yards]]-(30*Table1[[#This Row],[Passing TDs]])-(50*SUM(Table1[[#This Row],[Rushing TDs]:[Other TD''s]]))),IF(C892="Rushing",2*(200-Table1[[#This Row],[Rushing Yards]]-(30*Table1[[#This Row],[Passing TDs]])-50*(Table1[[#This Row],[Rushing TDs]]+Table1[[#This Row],[Receiving TDs]]+Table1[[#This Row],[Other TD''s]])),IF(C892="Receiving",2*(200-Table1[[#This Row],[Receiving Yards]]-(30*Table1[[#This Row],[Passing TDs]])-50*(Table1[[#This Row],[Rushing TDs]]+Table1[[#This Row],[Receiving TDs]]+Table1[[#This Row],[Other TD''s]])),IF(C892="Defensive",(25*(16-Table1[[#This Row],[Tackles]]-(8*(Table1[[#This Row],[Other TD''s]]+Table1[[#This Row],[Interceptions]]+Table1[[#This Row],[Fumbles Recovered]])))))))))))</f>
        <v/>
      </c>
      <c r="R892" s="3" t="str">
        <f t="shared" si="28"/>
        <v/>
      </c>
      <c r="S892" s="4">
        <f t="shared" si="27"/>
        <v>1048507</v>
      </c>
      <c r="T8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3" spans="1:20" hidden="1" x14ac:dyDescent="0.25">
      <c r="A893" t="s">
        <v>26</v>
      </c>
      <c r="B893" s="28" t="s">
        <v>56</v>
      </c>
      <c r="C893" t="s">
        <v>17</v>
      </c>
      <c r="D893" t="str">
        <f>_xlfn.XLOOKUP(Table1[[#This Row],[Player]]&amp;Table1[[#This Row],[Week]]&amp;Table1[[#This Row],[Role]],'Google Form Transform'!$A:$A,'Google Form Transform'!E:E,"")</f>
        <v/>
      </c>
      <c r="E893" t="str">
        <f>_xlfn.XLOOKUP(Table1[[#This Row],[Player]]&amp;Table1[[#This Row],[Week]]&amp;Table1[[#This Row],[Role]],'Google Form Transform'!$A:$A,'Google Form Transform'!F:F,"")</f>
        <v/>
      </c>
      <c r="F893" t="str">
        <f>_xlfn.XLOOKUP(Table1[[#This Row],[Player]]&amp;Table1[[#This Row],[Week]]&amp;Table1[[#This Row],[Role]],'Google Form Transform'!$A:$A,'Google Form Transform'!G:G,"")</f>
        <v/>
      </c>
      <c r="G893" s="59">
        <f>SUMIFS(Table2[Stat],Table2[Stat Category],"passing",Table2[Stat Type],"YDS",Table2[Athlete],Table1[[#This Row],[Pick]],Table2[Week],Table1[[#This Row],[Week]])</f>
        <v>0</v>
      </c>
      <c r="H893" s="59">
        <f>SUMIFS(Table2[Stat],Table2[Stat Category],"rushing",Table2[Stat Type],"YDS",Table2[Athlete],Table1[[#This Row],[Pick]],Table2[Week],Table1[[#This Row],[Week]])</f>
        <v>0</v>
      </c>
      <c r="I893" s="59">
        <f>SUMIFS(Table2[Stat],Table2[Stat Category],"receiving",Table2[Stat Type],"YDS",Table2[Athlete],Table1[[#This Row],[Pick]],Table2[Week],Table1[[#This Row],[Week]])</f>
        <v>0</v>
      </c>
      <c r="J893" s="6">
        <f>IF(AND($C893="Rushing", $H893&lt;=0), 0, IF(AND($C893="Passing", $G$3&lt;=0), 0,IF(AND($C893="Receiving",$I893&lt;=0), 0,SUMIFS(Table2[Stat],Table2[Week],Table1[[#This Row],[Week]],Table2[Athlete],Table1[[#This Row],[Pick]],Table2[Stat Category],"passing",Table2[Stat Type],"TD"))))</f>
        <v>0</v>
      </c>
      <c r="K893" s="6">
        <f>IF(AND($C893="Rushing", $H893&lt;=0), 0, IF(AND($C893="Passing", $G$3&lt;=0), 0,IF(AND($C893="Receiving",$I893&lt;=0),0,SUMIFS(Table2[Stat],Table2[Week],Table1[[#This Row],[Week]],Table2[Athlete],Table1[[#This Row],[Pick]],Table2[Stat Category],"rushing",Table2[Stat Type],"TD"))))</f>
        <v>0</v>
      </c>
      <c r="L893" s="6">
        <f>IF(AND($C893="Rushing", $H893&lt;=0), 0, IF(AND($C893="Passing", $G$3&lt;=0), 0,IF(AND($C893="Receiving",$I893&lt;=0),0,SUMIFS(Table2[Stat],Table2[Week],Table1[[#This Row],[Week]],Table2[Athlete],Table1[[#This Row],[Pick]],Table2[Stat Category],"receiving",Table2[Stat Type],"TD"))))</f>
        <v>0</v>
      </c>
      <c r="M8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3" s="61">
        <f>SUMIFS(Data!$J:$J,Data!$A:$A,Info!$B893,Data!$G:$G,Info!$C893,Data!$I:$I,Info!$D893,Data!$H:$H,"TOT")</f>
        <v>0</v>
      </c>
      <c r="O893" s="61">
        <f>IF(C893="Defensive",SUMIFS(Data!$J:$J,Data!$A:$A,Info!$B893,Data!$I:$I,Info!$D893,Data!$H:$H,"INT"),0)</f>
        <v>0</v>
      </c>
      <c r="P893" s="61">
        <f>IF(Table1[[#This Row],[Role]]="Defensive",SUMIFS(Data!$J:$J,Data!$A:$A,Info!$B893,Data!$I:$I,Info!$D893,Data!$H:$H,$P$1),0)</f>
        <v>0</v>
      </c>
      <c r="Q893" s="65" t="str">
        <f>IF(Table1[[#This Row],[Pick]]="","",IF(S893&gt;1,400,IF(G893="","",IF(C893="Passing",(400-Table1[[#This Row],[Passing Yards]]-(30*Table1[[#This Row],[Passing TDs]])-(50*SUM(Table1[[#This Row],[Rushing TDs]:[Other TD''s]]))),IF(C893="Rushing",2*(200-Table1[[#This Row],[Rushing Yards]]-(30*Table1[[#This Row],[Passing TDs]])-50*(Table1[[#This Row],[Rushing TDs]]+Table1[[#This Row],[Receiving TDs]]+Table1[[#This Row],[Other TD''s]])),IF(C893="Receiving",2*(200-Table1[[#This Row],[Receiving Yards]]-(30*Table1[[#This Row],[Passing TDs]])-50*(Table1[[#This Row],[Rushing TDs]]+Table1[[#This Row],[Receiving TDs]]+Table1[[#This Row],[Other TD''s]])),IF(C893="Defensive",(25*(16-Table1[[#This Row],[Tackles]]-(8*(Table1[[#This Row],[Other TD''s]]+Table1[[#This Row],[Interceptions]]+Table1[[#This Row],[Fumbles Recovered]])))))))))))</f>
        <v/>
      </c>
      <c r="R893" s="3" t="str">
        <f t="shared" si="28"/>
        <v/>
      </c>
      <c r="S893" s="4">
        <f t="shared" si="27"/>
        <v>1048507</v>
      </c>
      <c r="T8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4" spans="1:20" hidden="1" x14ac:dyDescent="0.25">
      <c r="A894" t="s">
        <v>26</v>
      </c>
      <c r="B894" s="28" t="s">
        <v>56</v>
      </c>
      <c r="C894" t="s">
        <v>20</v>
      </c>
      <c r="D894" t="str">
        <f>_xlfn.XLOOKUP(Table1[[#This Row],[Player]]&amp;Table1[[#This Row],[Week]]&amp;Table1[[#This Row],[Role]],'Google Form Transform'!$A:$A,'Google Form Transform'!E:E,"")</f>
        <v/>
      </c>
      <c r="E894" t="str">
        <f>_xlfn.XLOOKUP(Table1[[#This Row],[Player]]&amp;Table1[[#This Row],[Week]]&amp;Table1[[#This Row],[Role]],'Google Form Transform'!$A:$A,'Google Form Transform'!F:F,"")</f>
        <v/>
      </c>
      <c r="F894" t="str">
        <f>_xlfn.XLOOKUP(Table1[[#This Row],[Player]]&amp;Table1[[#This Row],[Week]]&amp;Table1[[#This Row],[Role]],'Google Form Transform'!$A:$A,'Google Form Transform'!G:G,"")</f>
        <v/>
      </c>
      <c r="G894" s="59">
        <f>SUMIFS(Table2[Stat],Table2[Stat Category],"passing",Table2[Stat Type],"YDS",Table2[Athlete],Table1[[#This Row],[Pick]],Table2[Week],Table1[[#This Row],[Week]])</f>
        <v>0</v>
      </c>
      <c r="H894" s="59">
        <f>SUMIFS(Table2[Stat],Table2[Stat Category],"rushing",Table2[Stat Type],"YDS",Table2[Athlete],Table1[[#This Row],[Pick]],Table2[Week],Table1[[#This Row],[Week]])</f>
        <v>0</v>
      </c>
      <c r="I894" s="59">
        <f>SUMIFS(Table2[Stat],Table2[Stat Category],"receiving",Table2[Stat Type],"YDS",Table2[Athlete],Table1[[#This Row],[Pick]],Table2[Week],Table1[[#This Row],[Week]])</f>
        <v>0</v>
      </c>
      <c r="J894" s="6">
        <f>IF(AND($C894="Rushing", $H894&lt;=0), 0, IF(AND($C894="Passing", $G$3&lt;=0), 0,IF(AND($C894="Receiving",$I894&lt;=0), 0,SUMIFS(Table2[Stat],Table2[Week],Table1[[#This Row],[Week]],Table2[Athlete],Table1[[#This Row],[Pick]],Table2[Stat Category],"passing",Table2[Stat Type],"TD"))))</f>
        <v>0</v>
      </c>
      <c r="K894" s="6">
        <f>IF(AND($C894="Rushing", $H894&lt;=0), 0, IF(AND($C894="Passing", $G$3&lt;=0), 0,IF(AND($C894="Receiving",$I894&lt;=0),0,SUMIFS(Table2[Stat],Table2[Week],Table1[[#This Row],[Week]],Table2[Athlete],Table1[[#This Row],[Pick]],Table2[Stat Category],"rushing",Table2[Stat Type],"TD"))))</f>
        <v>0</v>
      </c>
      <c r="L894" s="6">
        <f>IF(AND($C894="Rushing", $H894&lt;=0), 0, IF(AND($C894="Passing", $G$3&lt;=0), 0,IF(AND($C894="Receiving",$I894&lt;=0),0,SUMIFS(Table2[Stat],Table2[Week],Table1[[#This Row],[Week]],Table2[Athlete],Table1[[#This Row],[Pick]],Table2[Stat Category],"receiving",Table2[Stat Type],"TD"))))</f>
        <v>0</v>
      </c>
      <c r="M8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4" s="61">
        <f>SUMIFS(Data!$J:$J,Data!$A:$A,Info!$B894,Data!$G:$G,Info!$C894,Data!$I:$I,Info!$D894,Data!$H:$H,"TOT")</f>
        <v>0</v>
      </c>
      <c r="O894" s="61">
        <f>IF(C894="Defensive",SUMIFS(Data!$J:$J,Data!$A:$A,Info!$B894,Data!$I:$I,Info!$D894,Data!$H:$H,"INT"),0)</f>
        <v>0</v>
      </c>
      <c r="P894" s="61">
        <f>IF(Table1[[#This Row],[Role]]="Defensive",SUMIFS(Data!$J:$J,Data!$A:$A,Info!$B894,Data!$I:$I,Info!$D894,Data!$H:$H,$P$1),0)</f>
        <v>0</v>
      </c>
      <c r="Q894" s="65" t="str">
        <f>IF(Table1[[#This Row],[Pick]]="","",IF(S894&gt;1,400,IF(G894="","",IF(C894="Passing",(400-Table1[[#This Row],[Passing Yards]]-(30*Table1[[#This Row],[Passing TDs]])-(50*SUM(Table1[[#This Row],[Rushing TDs]:[Other TD''s]]))),IF(C894="Rushing",2*(200-Table1[[#This Row],[Rushing Yards]]-(30*Table1[[#This Row],[Passing TDs]])-50*(Table1[[#This Row],[Rushing TDs]]+Table1[[#This Row],[Receiving TDs]]+Table1[[#This Row],[Other TD''s]])),IF(C894="Receiving",2*(200-Table1[[#This Row],[Receiving Yards]]-(30*Table1[[#This Row],[Passing TDs]])-50*(Table1[[#This Row],[Rushing TDs]]+Table1[[#This Row],[Receiving TDs]]+Table1[[#This Row],[Other TD''s]])),IF(C894="Defensive",(25*(16-Table1[[#This Row],[Tackles]]-(8*(Table1[[#This Row],[Other TD''s]]+Table1[[#This Row],[Interceptions]]+Table1[[#This Row],[Fumbles Recovered]])))))))))))</f>
        <v/>
      </c>
      <c r="R894" s="3" t="str">
        <f t="shared" si="28"/>
        <v/>
      </c>
      <c r="S894" s="4">
        <f t="shared" si="27"/>
        <v>1048507</v>
      </c>
      <c r="T8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5" spans="1:20" hidden="1" x14ac:dyDescent="0.25">
      <c r="A895" t="s">
        <v>43</v>
      </c>
      <c r="B895" s="28" t="s">
        <v>56</v>
      </c>
      <c r="C895" t="s">
        <v>16</v>
      </c>
      <c r="D895" t="str">
        <f>_xlfn.XLOOKUP(Table1[[#This Row],[Player]]&amp;Table1[[#This Row],[Week]]&amp;Table1[[#This Row],[Role]],'Google Form Transform'!$A:$A,'Google Form Transform'!E:E,"")</f>
        <v/>
      </c>
      <c r="E895" t="str">
        <f>_xlfn.XLOOKUP(Table1[[#This Row],[Player]]&amp;Table1[[#This Row],[Week]]&amp;Table1[[#This Row],[Role]],'Google Form Transform'!$A:$A,'Google Form Transform'!F:F,"")</f>
        <v/>
      </c>
      <c r="F895" t="str">
        <f>_xlfn.XLOOKUP(Table1[[#This Row],[Player]]&amp;Table1[[#This Row],[Week]]&amp;Table1[[#This Row],[Role]],'Google Form Transform'!$A:$A,'Google Form Transform'!G:G,"")</f>
        <v/>
      </c>
      <c r="G895" s="59">
        <f>SUMIFS(Table2[Stat],Table2[Stat Category],"passing",Table2[Stat Type],"YDS",Table2[Athlete],Table1[[#This Row],[Pick]],Table2[Week],Table1[[#This Row],[Week]])</f>
        <v>0</v>
      </c>
      <c r="H895" s="59">
        <f>SUMIFS(Table2[Stat],Table2[Stat Category],"rushing",Table2[Stat Type],"YDS",Table2[Athlete],Table1[[#This Row],[Pick]],Table2[Week],Table1[[#This Row],[Week]])</f>
        <v>0</v>
      </c>
      <c r="I895" s="59">
        <f>SUMIFS(Table2[Stat],Table2[Stat Category],"receiving",Table2[Stat Type],"YDS",Table2[Athlete],Table1[[#This Row],[Pick]],Table2[Week],Table1[[#This Row],[Week]])</f>
        <v>0</v>
      </c>
      <c r="J895" s="6">
        <f>IF(AND($C895="Rushing", $H895&lt;=0), 0, IF(AND($C895="Passing", $G$3&lt;=0), 0,IF(AND($C895="Receiving",$I895&lt;=0), 0,SUMIFS(Table2[Stat],Table2[Week],Table1[[#This Row],[Week]],Table2[Athlete],Table1[[#This Row],[Pick]],Table2[Stat Category],"passing",Table2[Stat Type],"TD"))))</f>
        <v>0</v>
      </c>
      <c r="K895" s="6">
        <f>IF(AND($C895="Rushing", $H895&lt;=0), 0, IF(AND($C895="Passing", $G$3&lt;=0), 0,IF(AND($C895="Receiving",$I895&lt;=0),0,SUMIFS(Table2[Stat],Table2[Week],Table1[[#This Row],[Week]],Table2[Athlete],Table1[[#This Row],[Pick]],Table2[Stat Category],"rushing",Table2[Stat Type],"TD"))))</f>
        <v>0</v>
      </c>
      <c r="L895" s="6">
        <f>IF(AND($C895="Rushing", $H895&lt;=0), 0, IF(AND($C895="Passing", $G$3&lt;=0), 0,IF(AND($C895="Receiving",$I895&lt;=0),0,SUMIFS(Table2[Stat],Table2[Week],Table1[[#This Row],[Week]],Table2[Athlete],Table1[[#This Row],[Pick]],Table2[Stat Category],"receiving",Table2[Stat Type],"TD"))))</f>
        <v>0</v>
      </c>
      <c r="M8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5" s="61">
        <f>SUMIFS(Data!$J:$J,Data!$A:$A,Info!$B895,Data!$G:$G,Info!$C895,Data!$I:$I,Info!$D895,Data!$H:$H,"TOT")</f>
        <v>0</v>
      </c>
      <c r="O895" s="61">
        <f>IF(C895="Defensive",SUMIFS(Data!$J:$J,Data!$A:$A,Info!$B895,Data!$I:$I,Info!$D895,Data!$H:$H,"INT"),0)</f>
        <v>0</v>
      </c>
      <c r="P895" s="61">
        <f>IF(Table1[[#This Row],[Role]]="Defensive",SUMIFS(Data!$J:$J,Data!$A:$A,Info!$B895,Data!$I:$I,Info!$D895,Data!$H:$H,$P$1),0)</f>
        <v>0</v>
      </c>
      <c r="Q895" s="65" t="str">
        <f>IF(Table1[[#This Row],[Pick]]="","",IF(S895&gt;1,400,IF(G895="","",IF(C895="Passing",(400-Table1[[#This Row],[Passing Yards]]-(30*Table1[[#This Row],[Passing TDs]])-(50*SUM(Table1[[#This Row],[Rushing TDs]:[Other TD''s]]))),IF(C895="Rushing",2*(200-Table1[[#This Row],[Rushing Yards]]-(30*Table1[[#This Row],[Passing TDs]])-50*(Table1[[#This Row],[Rushing TDs]]+Table1[[#This Row],[Receiving TDs]]+Table1[[#This Row],[Other TD''s]])),IF(C895="Receiving",2*(200-Table1[[#This Row],[Receiving Yards]]-(30*Table1[[#This Row],[Passing TDs]])-50*(Table1[[#This Row],[Rushing TDs]]+Table1[[#This Row],[Receiving TDs]]+Table1[[#This Row],[Other TD''s]])),IF(C895="Defensive",(25*(16-Table1[[#This Row],[Tackles]]-(8*(Table1[[#This Row],[Other TD''s]]+Table1[[#This Row],[Interceptions]]+Table1[[#This Row],[Fumbles Recovered]])))))))))))</f>
        <v/>
      </c>
      <c r="R895" s="3" t="str">
        <f t="shared" si="28"/>
        <v/>
      </c>
      <c r="S895" s="4">
        <f t="shared" si="27"/>
        <v>1048507</v>
      </c>
      <c r="T8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6" spans="1:20" hidden="1" x14ac:dyDescent="0.25">
      <c r="A896" t="s">
        <v>43</v>
      </c>
      <c r="B896" s="28" t="s">
        <v>56</v>
      </c>
      <c r="C896" t="s">
        <v>6</v>
      </c>
      <c r="D896" t="str">
        <f>_xlfn.XLOOKUP(Table1[[#This Row],[Player]]&amp;Table1[[#This Row],[Week]]&amp;Table1[[#This Row],[Role]],'Google Form Transform'!$A:$A,'Google Form Transform'!E:E,"")</f>
        <v/>
      </c>
      <c r="E896" t="str">
        <f>_xlfn.XLOOKUP(Table1[[#This Row],[Player]]&amp;Table1[[#This Row],[Week]]&amp;Table1[[#This Row],[Role]],'Google Form Transform'!$A:$A,'Google Form Transform'!F:F,"")</f>
        <v/>
      </c>
      <c r="F896" t="str">
        <f>_xlfn.XLOOKUP(Table1[[#This Row],[Player]]&amp;Table1[[#This Row],[Week]]&amp;Table1[[#This Row],[Role]],'Google Form Transform'!$A:$A,'Google Form Transform'!G:G,"")</f>
        <v/>
      </c>
      <c r="G896" s="59">
        <f>SUMIFS(Table2[Stat],Table2[Stat Category],"passing",Table2[Stat Type],"YDS",Table2[Athlete],Table1[[#This Row],[Pick]],Table2[Week],Table1[[#This Row],[Week]])</f>
        <v>0</v>
      </c>
      <c r="H896" s="59">
        <f>SUMIFS(Table2[Stat],Table2[Stat Category],"rushing",Table2[Stat Type],"YDS",Table2[Athlete],Table1[[#This Row],[Pick]],Table2[Week],Table1[[#This Row],[Week]])</f>
        <v>0</v>
      </c>
      <c r="I896" s="59">
        <f>SUMIFS(Table2[Stat],Table2[Stat Category],"receiving",Table2[Stat Type],"YDS",Table2[Athlete],Table1[[#This Row],[Pick]],Table2[Week],Table1[[#This Row],[Week]])</f>
        <v>0</v>
      </c>
      <c r="J896" s="6">
        <f>IF(AND($C896="Rushing", $H896&lt;=0), 0, IF(AND($C896="Passing", $G$3&lt;=0), 0,IF(AND($C896="Receiving",$I896&lt;=0), 0,SUMIFS(Table2[Stat],Table2[Week],Table1[[#This Row],[Week]],Table2[Athlete],Table1[[#This Row],[Pick]],Table2[Stat Category],"passing",Table2[Stat Type],"TD"))))</f>
        <v>0</v>
      </c>
      <c r="K896" s="6">
        <f>IF(AND($C896="Rushing", $H896&lt;=0), 0, IF(AND($C896="Passing", $G$3&lt;=0), 0,IF(AND($C896="Receiving",$I896&lt;=0),0,SUMIFS(Table2[Stat],Table2[Week],Table1[[#This Row],[Week]],Table2[Athlete],Table1[[#This Row],[Pick]],Table2[Stat Category],"rushing",Table2[Stat Type],"TD"))))</f>
        <v>0</v>
      </c>
      <c r="L896" s="6">
        <f>IF(AND($C896="Rushing", $H896&lt;=0), 0, IF(AND($C896="Passing", $G$3&lt;=0), 0,IF(AND($C896="Receiving",$I896&lt;=0),0,SUMIFS(Table2[Stat],Table2[Week],Table1[[#This Row],[Week]],Table2[Athlete],Table1[[#This Row],[Pick]],Table2[Stat Category],"receiving",Table2[Stat Type],"TD"))))</f>
        <v>0</v>
      </c>
      <c r="M8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6" s="61">
        <f>SUMIFS(Data!$J:$J,Data!$A:$A,Info!$B896,Data!$G:$G,Info!$C896,Data!$I:$I,Info!$D896,Data!$H:$H,"TOT")</f>
        <v>0</v>
      </c>
      <c r="O896" s="61">
        <f>IF(C896="Defensive",SUMIFS(Data!$J:$J,Data!$A:$A,Info!$B896,Data!$I:$I,Info!$D896,Data!$H:$H,"INT"),0)</f>
        <v>0</v>
      </c>
      <c r="P896" s="61">
        <f>IF(Table1[[#This Row],[Role]]="Defensive",SUMIFS(Data!$J:$J,Data!$A:$A,Info!$B896,Data!$I:$I,Info!$D896,Data!$H:$H,$P$1),0)</f>
        <v>0</v>
      </c>
      <c r="Q896" s="65" t="str">
        <f>IF(Table1[[#This Row],[Pick]]="","",IF(S896&gt;1,400,IF(G896="","",IF(C896="Passing",(400-Table1[[#This Row],[Passing Yards]]-(30*Table1[[#This Row],[Passing TDs]])-(50*SUM(Table1[[#This Row],[Rushing TDs]:[Other TD''s]]))),IF(C896="Rushing",2*(200-Table1[[#This Row],[Rushing Yards]]-(30*Table1[[#This Row],[Passing TDs]])-50*(Table1[[#This Row],[Rushing TDs]]+Table1[[#This Row],[Receiving TDs]]+Table1[[#This Row],[Other TD''s]])),IF(C896="Receiving",2*(200-Table1[[#This Row],[Receiving Yards]]-(30*Table1[[#This Row],[Passing TDs]])-50*(Table1[[#This Row],[Rushing TDs]]+Table1[[#This Row],[Receiving TDs]]+Table1[[#This Row],[Other TD''s]])),IF(C896="Defensive",(25*(16-Table1[[#This Row],[Tackles]]-(8*(Table1[[#This Row],[Other TD''s]]+Table1[[#This Row],[Interceptions]]+Table1[[#This Row],[Fumbles Recovered]])))))))))))</f>
        <v/>
      </c>
      <c r="R896" s="3" t="str">
        <f t="shared" si="28"/>
        <v/>
      </c>
      <c r="S896" s="4">
        <f t="shared" si="27"/>
        <v>1048507</v>
      </c>
      <c r="T8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7" spans="1:20" hidden="1" x14ac:dyDescent="0.25">
      <c r="A897" t="s">
        <v>43</v>
      </c>
      <c r="B897" s="28" t="s">
        <v>56</v>
      </c>
      <c r="C897" t="s">
        <v>17</v>
      </c>
      <c r="D897" t="str">
        <f>_xlfn.XLOOKUP(Table1[[#This Row],[Player]]&amp;Table1[[#This Row],[Week]]&amp;Table1[[#This Row],[Role]],'Google Form Transform'!$A:$A,'Google Form Transform'!E:E,"")</f>
        <v/>
      </c>
      <c r="E897" t="str">
        <f>_xlfn.XLOOKUP(Table1[[#This Row],[Player]]&amp;Table1[[#This Row],[Week]]&amp;Table1[[#This Row],[Role]],'Google Form Transform'!$A:$A,'Google Form Transform'!F:F,"")</f>
        <v/>
      </c>
      <c r="F897" t="str">
        <f>_xlfn.XLOOKUP(Table1[[#This Row],[Player]]&amp;Table1[[#This Row],[Week]]&amp;Table1[[#This Row],[Role]],'Google Form Transform'!$A:$A,'Google Form Transform'!G:G,"")</f>
        <v/>
      </c>
      <c r="G897" s="59">
        <f>SUMIFS(Table2[Stat],Table2[Stat Category],"passing",Table2[Stat Type],"YDS",Table2[Athlete],Table1[[#This Row],[Pick]],Table2[Week],Table1[[#This Row],[Week]])</f>
        <v>0</v>
      </c>
      <c r="H897" s="59">
        <f>SUMIFS(Table2[Stat],Table2[Stat Category],"rushing",Table2[Stat Type],"YDS",Table2[Athlete],Table1[[#This Row],[Pick]],Table2[Week],Table1[[#This Row],[Week]])</f>
        <v>0</v>
      </c>
      <c r="I897" s="59">
        <f>SUMIFS(Table2[Stat],Table2[Stat Category],"receiving",Table2[Stat Type],"YDS",Table2[Athlete],Table1[[#This Row],[Pick]],Table2[Week],Table1[[#This Row],[Week]])</f>
        <v>0</v>
      </c>
      <c r="J897" s="6">
        <f>IF(AND($C897="Rushing", $H897&lt;=0), 0, IF(AND($C897="Passing", $G$3&lt;=0), 0,IF(AND($C897="Receiving",$I897&lt;=0), 0,SUMIFS(Table2[Stat],Table2[Week],Table1[[#This Row],[Week]],Table2[Athlete],Table1[[#This Row],[Pick]],Table2[Stat Category],"passing",Table2[Stat Type],"TD"))))</f>
        <v>0</v>
      </c>
      <c r="K897" s="6">
        <f>IF(AND($C897="Rushing", $H897&lt;=0), 0, IF(AND($C897="Passing", $G$3&lt;=0), 0,IF(AND($C897="Receiving",$I897&lt;=0),0,SUMIFS(Table2[Stat],Table2[Week],Table1[[#This Row],[Week]],Table2[Athlete],Table1[[#This Row],[Pick]],Table2[Stat Category],"rushing",Table2[Stat Type],"TD"))))</f>
        <v>0</v>
      </c>
      <c r="L897" s="6">
        <f>IF(AND($C897="Rushing", $H897&lt;=0), 0, IF(AND($C897="Passing", $G$3&lt;=0), 0,IF(AND($C897="Receiving",$I897&lt;=0),0,SUMIFS(Table2[Stat],Table2[Week],Table1[[#This Row],[Week]],Table2[Athlete],Table1[[#This Row],[Pick]],Table2[Stat Category],"receiving",Table2[Stat Type],"TD"))))</f>
        <v>0</v>
      </c>
      <c r="M8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7" s="61">
        <f>SUMIFS(Data!$J:$J,Data!$A:$A,Info!$B897,Data!$G:$G,Info!$C897,Data!$I:$I,Info!$D897,Data!$H:$H,"TOT")</f>
        <v>0</v>
      </c>
      <c r="O897" s="61">
        <f>IF(C897="Defensive",SUMIFS(Data!$J:$J,Data!$A:$A,Info!$B897,Data!$I:$I,Info!$D897,Data!$H:$H,"INT"),0)</f>
        <v>0</v>
      </c>
      <c r="P897" s="61">
        <f>IF(Table1[[#This Row],[Role]]="Defensive",SUMIFS(Data!$J:$J,Data!$A:$A,Info!$B897,Data!$I:$I,Info!$D897,Data!$H:$H,$P$1),0)</f>
        <v>0</v>
      </c>
      <c r="Q897" s="65" t="str">
        <f>IF(Table1[[#This Row],[Pick]]="","",IF(S897&gt;1,400,IF(G897="","",IF(C897="Passing",(400-Table1[[#This Row],[Passing Yards]]-(30*Table1[[#This Row],[Passing TDs]])-(50*SUM(Table1[[#This Row],[Rushing TDs]:[Other TD''s]]))),IF(C897="Rushing",2*(200-Table1[[#This Row],[Rushing Yards]]-(30*Table1[[#This Row],[Passing TDs]])-50*(Table1[[#This Row],[Rushing TDs]]+Table1[[#This Row],[Receiving TDs]]+Table1[[#This Row],[Other TD''s]])),IF(C897="Receiving",2*(200-Table1[[#This Row],[Receiving Yards]]-(30*Table1[[#This Row],[Passing TDs]])-50*(Table1[[#This Row],[Rushing TDs]]+Table1[[#This Row],[Receiving TDs]]+Table1[[#This Row],[Other TD''s]])),IF(C897="Defensive",(25*(16-Table1[[#This Row],[Tackles]]-(8*(Table1[[#This Row],[Other TD''s]]+Table1[[#This Row],[Interceptions]]+Table1[[#This Row],[Fumbles Recovered]])))))))))))</f>
        <v/>
      </c>
      <c r="R897" s="3" t="str">
        <f t="shared" si="28"/>
        <v/>
      </c>
      <c r="S897" s="4">
        <f t="shared" si="27"/>
        <v>1048507</v>
      </c>
      <c r="T8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8" spans="1:20" hidden="1" x14ac:dyDescent="0.25">
      <c r="A898" t="s">
        <v>43</v>
      </c>
      <c r="B898" s="28" t="s">
        <v>56</v>
      </c>
      <c r="C898" t="s">
        <v>20</v>
      </c>
      <c r="D898" t="str">
        <f>_xlfn.XLOOKUP(Table1[[#This Row],[Player]]&amp;Table1[[#This Row],[Week]]&amp;Table1[[#This Row],[Role]],'Google Form Transform'!$A:$A,'Google Form Transform'!E:E,"")</f>
        <v/>
      </c>
      <c r="E898" t="str">
        <f>_xlfn.XLOOKUP(Table1[[#This Row],[Player]]&amp;Table1[[#This Row],[Week]]&amp;Table1[[#This Row],[Role]],'Google Form Transform'!$A:$A,'Google Form Transform'!F:F,"")</f>
        <v/>
      </c>
      <c r="F898" t="str">
        <f>_xlfn.XLOOKUP(Table1[[#This Row],[Player]]&amp;Table1[[#This Row],[Week]]&amp;Table1[[#This Row],[Role]],'Google Form Transform'!$A:$A,'Google Form Transform'!G:G,"")</f>
        <v/>
      </c>
      <c r="G898" s="59">
        <f>SUMIFS(Table2[Stat],Table2[Stat Category],"passing",Table2[Stat Type],"YDS",Table2[Athlete],Table1[[#This Row],[Pick]],Table2[Week],Table1[[#This Row],[Week]])</f>
        <v>0</v>
      </c>
      <c r="H898" s="59">
        <f>SUMIFS(Table2[Stat],Table2[Stat Category],"rushing",Table2[Stat Type],"YDS",Table2[Athlete],Table1[[#This Row],[Pick]],Table2[Week],Table1[[#This Row],[Week]])</f>
        <v>0</v>
      </c>
      <c r="I898" s="59">
        <f>SUMIFS(Table2[Stat],Table2[Stat Category],"receiving",Table2[Stat Type],"YDS",Table2[Athlete],Table1[[#This Row],[Pick]],Table2[Week],Table1[[#This Row],[Week]])</f>
        <v>0</v>
      </c>
      <c r="J898" s="6">
        <f>IF(AND($C898="Rushing", $H898&lt;=0), 0, IF(AND($C898="Passing", $G$3&lt;=0), 0,IF(AND($C898="Receiving",$I898&lt;=0), 0,SUMIFS(Table2[Stat],Table2[Week],Table1[[#This Row],[Week]],Table2[Athlete],Table1[[#This Row],[Pick]],Table2[Stat Category],"passing",Table2[Stat Type],"TD"))))</f>
        <v>0</v>
      </c>
      <c r="K898" s="6">
        <f>IF(AND($C898="Rushing", $H898&lt;=0), 0, IF(AND($C898="Passing", $G$3&lt;=0), 0,IF(AND($C898="Receiving",$I898&lt;=0),0,SUMIFS(Table2[Stat],Table2[Week],Table1[[#This Row],[Week]],Table2[Athlete],Table1[[#This Row],[Pick]],Table2[Stat Category],"rushing",Table2[Stat Type],"TD"))))</f>
        <v>0</v>
      </c>
      <c r="L898" s="6">
        <f>IF(AND($C898="Rushing", $H898&lt;=0), 0, IF(AND($C898="Passing", $G$3&lt;=0), 0,IF(AND($C898="Receiving",$I898&lt;=0),0,SUMIFS(Table2[Stat],Table2[Week],Table1[[#This Row],[Week]],Table2[Athlete],Table1[[#This Row],[Pick]],Table2[Stat Category],"receiving",Table2[Stat Type],"TD"))))</f>
        <v>0</v>
      </c>
      <c r="M8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8" s="61">
        <f>SUMIFS(Data!$J:$J,Data!$A:$A,Info!$B898,Data!$G:$G,Info!$C898,Data!$I:$I,Info!$D898,Data!$H:$H,"TOT")</f>
        <v>0</v>
      </c>
      <c r="O898" s="61">
        <f>IF(C898="Defensive",SUMIFS(Data!$J:$J,Data!$A:$A,Info!$B898,Data!$I:$I,Info!$D898,Data!$H:$H,"INT"),0)</f>
        <v>0</v>
      </c>
      <c r="P898" s="61">
        <f>IF(Table1[[#This Row],[Role]]="Defensive",SUMIFS(Data!$J:$J,Data!$A:$A,Info!$B898,Data!$I:$I,Info!$D898,Data!$H:$H,$P$1),0)</f>
        <v>0</v>
      </c>
      <c r="Q898" s="65" t="str">
        <f>IF(Table1[[#This Row],[Pick]]="","",IF(S898&gt;1,400,IF(G898="","",IF(C898="Passing",(400-Table1[[#This Row],[Passing Yards]]-(30*Table1[[#This Row],[Passing TDs]])-(50*SUM(Table1[[#This Row],[Rushing TDs]:[Other TD''s]]))),IF(C898="Rushing",2*(200-Table1[[#This Row],[Rushing Yards]]-(30*Table1[[#This Row],[Passing TDs]])-50*(Table1[[#This Row],[Rushing TDs]]+Table1[[#This Row],[Receiving TDs]]+Table1[[#This Row],[Other TD''s]])),IF(C898="Receiving",2*(200-Table1[[#This Row],[Receiving Yards]]-(30*Table1[[#This Row],[Passing TDs]])-50*(Table1[[#This Row],[Rushing TDs]]+Table1[[#This Row],[Receiving TDs]]+Table1[[#This Row],[Other TD''s]])),IF(C898="Defensive",(25*(16-Table1[[#This Row],[Tackles]]-(8*(Table1[[#This Row],[Other TD''s]]+Table1[[#This Row],[Interceptions]]+Table1[[#This Row],[Fumbles Recovered]])))))))))))</f>
        <v/>
      </c>
      <c r="R898" s="3" t="str">
        <f t="shared" si="28"/>
        <v/>
      </c>
      <c r="S898" s="4">
        <f t="shared" si="27"/>
        <v>1048507</v>
      </c>
      <c r="T8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9" spans="1:20" hidden="1" x14ac:dyDescent="0.25">
      <c r="A899" t="s">
        <v>7</v>
      </c>
      <c r="B899" s="28" t="s">
        <v>56</v>
      </c>
      <c r="C899" t="s">
        <v>16</v>
      </c>
      <c r="D899" t="str">
        <f>_xlfn.XLOOKUP(Table1[[#This Row],[Player]]&amp;Table1[[#This Row],[Week]]&amp;Table1[[#This Row],[Role]],'Google Form Transform'!$A:$A,'Google Form Transform'!E:E,"")</f>
        <v/>
      </c>
      <c r="E899" t="str">
        <f>_xlfn.XLOOKUP(Table1[[#This Row],[Player]]&amp;Table1[[#This Row],[Week]]&amp;Table1[[#This Row],[Role]],'Google Form Transform'!$A:$A,'Google Form Transform'!F:F,"")</f>
        <v/>
      </c>
      <c r="F899" t="str">
        <f>_xlfn.XLOOKUP(Table1[[#This Row],[Player]]&amp;Table1[[#This Row],[Week]]&amp;Table1[[#This Row],[Role]],'Google Form Transform'!$A:$A,'Google Form Transform'!G:G,"")</f>
        <v/>
      </c>
      <c r="G899" s="59">
        <f>SUMIFS(Table2[Stat],Table2[Stat Category],"passing",Table2[Stat Type],"YDS",Table2[Athlete],Table1[[#This Row],[Pick]],Table2[Week],Table1[[#This Row],[Week]])</f>
        <v>0</v>
      </c>
      <c r="H899" s="59">
        <f>SUMIFS(Table2[Stat],Table2[Stat Category],"rushing",Table2[Stat Type],"YDS",Table2[Athlete],Table1[[#This Row],[Pick]],Table2[Week],Table1[[#This Row],[Week]])</f>
        <v>0</v>
      </c>
      <c r="I899" s="59">
        <f>SUMIFS(Table2[Stat],Table2[Stat Category],"receiving",Table2[Stat Type],"YDS",Table2[Athlete],Table1[[#This Row],[Pick]],Table2[Week],Table1[[#This Row],[Week]])</f>
        <v>0</v>
      </c>
      <c r="J899" s="6">
        <f>IF(AND($C899="Rushing", $H899&lt;=0), 0, IF(AND($C899="Passing", $G$3&lt;=0), 0,IF(AND($C899="Receiving",$I899&lt;=0), 0,SUMIFS(Table2[Stat],Table2[Week],Table1[[#This Row],[Week]],Table2[Athlete],Table1[[#This Row],[Pick]],Table2[Stat Category],"passing",Table2[Stat Type],"TD"))))</f>
        <v>0</v>
      </c>
      <c r="K899" s="6">
        <f>IF(AND($C899="Rushing", $H899&lt;=0), 0, IF(AND($C899="Passing", $G$3&lt;=0), 0,IF(AND($C899="Receiving",$I899&lt;=0),0,SUMIFS(Table2[Stat],Table2[Week],Table1[[#This Row],[Week]],Table2[Athlete],Table1[[#This Row],[Pick]],Table2[Stat Category],"rushing",Table2[Stat Type],"TD"))))</f>
        <v>0</v>
      </c>
      <c r="L899" s="6">
        <f>IF(AND($C899="Rushing", $H899&lt;=0), 0, IF(AND($C899="Passing", $G$3&lt;=0), 0,IF(AND($C899="Receiving",$I899&lt;=0),0,SUMIFS(Table2[Stat],Table2[Week],Table1[[#This Row],[Week]],Table2[Athlete],Table1[[#This Row],[Pick]],Table2[Stat Category],"receiving",Table2[Stat Type],"TD"))))</f>
        <v>0</v>
      </c>
      <c r="M8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9" s="61">
        <f>SUMIFS(Data!$J:$J,Data!$A:$A,Info!$B899,Data!$G:$G,Info!$C899,Data!$I:$I,Info!$D899,Data!$H:$H,"TOT")</f>
        <v>0</v>
      </c>
      <c r="O899" s="61">
        <f>IF(C899="Defensive",SUMIFS(Data!$J:$J,Data!$A:$A,Info!$B899,Data!$I:$I,Info!$D899,Data!$H:$H,"INT"),0)</f>
        <v>0</v>
      </c>
      <c r="P899" s="61">
        <f>IF(Table1[[#This Row],[Role]]="Defensive",SUMIFS(Data!$J:$J,Data!$A:$A,Info!$B899,Data!$I:$I,Info!$D899,Data!$H:$H,$P$1),0)</f>
        <v>0</v>
      </c>
      <c r="Q899" s="65" t="str">
        <f>IF(Table1[[#This Row],[Pick]]="","",IF(S899&gt;1,400,IF(G899="","",IF(C899="Passing",(400-Table1[[#This Row],[Passing Yards]]-(30*Table1[[#This Row],[Passing TDs]])-(50*SUM(Table1[[#This Row],[Rushing TDs]:[Other TD''s]]))),IF(C899="Rushing",2*(200-Table1[[#This Row],[Rushing Yards]]-(30*Table1[[#This Row],[Passing TDs]])-50*(Table1[[#This Row],[Rushing TDs]]+Table1[[#This Row],[Receiving TDs]]+Table1[[#This Row],[Other TD''s]])),IF(C899="Receiving",2*(200-Table1[[#This Row],[Receiving Yards]]-(30*Table1[[#This Row],[Passing TDs]])-50*(Table1[[#This Row],[Rushing TDs]]+Table1[[#This Row],[Receiving TDs]]+Table1[[#This Row],[Other TD''s]])),IF(C899="Defensive",(25*(16-Table1[[#This Row],[Tackles]]-(8*(Table1[[#This Row],[Other TD''s]]+Table1[[#This Row],[Interceptions]]+Table1[[#This Row],[Fumbles Recovered]])))))))))))</f>
        <v/>
      </c>
      <c r="R899" s="3" t="str">
        <f t="shared" si="28"/>
        <v/>
      </c>
      <c r="S899" s="4">
        <f t="shared" ref="S899:S962" si="29">COUNTIF(R:R,R899)</f>
        <v>1048507</v>
      </c>
      <c r="T8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0" spans="1:20" hidden="1" x14ac:dyDescent="0.25">
      <c r="A900" t="s">
        <v>7</v>
      </c>
      <c r="B900" s="28" t="s">
        <v>56</v>
      </c>
      <c r="C900" t="s">
        <v>6</v>
      </c>
      <c r="D900" t="str">
        <f>_xlfn.XLOOKUP(Table1[[#This Row],[Player]]&amp;Table1[[#This Row],[Week]]&amp;Table1[[#This Row],[Role]],'Google Form Transform'!$A:$A,'Google Form Transform'!E:E,"")</f>
        <v/>
      </c>
      <c r="E900" t="str">
        <f>_xlfn.XLOOKUP(Table1[[#This Row],[Player]]&amp;Table1[[#This Row],[Week]]&amp;Table1[[#This Row],[Role]],'Google Form Transform'!$A:$A,'Google Form Transform'!F:F,"")</f>
        <v/>
      </c>
      <c r="F900" t="str">
        <f>_xlfn.XLOOKUP(Table1[[#This Row],[Player]]&amp;Table1[[#This Row],[Week]]&amp;Table1[[#This Row],[Role]],'Google Form Transform'!$A:$A,'Google Form Transform'!G:G,"")</f>
        <v/>
      </c>
      <c r="G900" s="59">
        <f>SUMIFS(Table2[Stat],Table2[Stat Category],"passing",Table2[Stat Type],"YDS",Table2[Athlete],Table1[[#This Row],[Pick]],Table2[Week],Table1[[#This Row],[Week]])</f>
        <v>0</v>
      </c>
      <c r="H900" s="59">
        <f>SUMIFS(Table2[Stat],Table2[Stat Category],"rushing",Table2[Stat Type],"YDS",Table2[Athlete],Table1[[#This Row],[Pick]],Table2[Week],Table1[[#This Row],[Week]])</f>
        <v>0</v>
      </c>
      <c r="I900" s="59">
        <f>SUMIFS(Table2[Stat],Table2[Stat Category],"receiving",Table2[Stat Type],"YDS",Table2[Athlete],Table1[[#This Row],[Pick]],Table2[Week],Table1[[#This Row],[Week]])</f>
        <v>0</v>
      </c>
      <c r="J900" s="6">
        <f>IF(AND($C900="Rushing", $H900&lt;=0), 0, IF(AND($C900="Passing", $G$3&lt;=0), 0,IF(AND($C900="Receiving",$I900&lt;=0), 0,SUMIFS(Table2[Stat],Table2[Week],Table1[[#This Row],[Week]],Table2[Athlete],Table1[[#This Row],[Pick]],Table2[Stat Category],"passing",Table2[Stat Type],"TD"))))</f>
        <v>0</v>
      </c>
      <c r="K900" s="6">
        <f>IF(AND($C900="Rushing", $H900&lt;=0), 0, IF(AND($C900="Passing", $G$3&lt;=0), 0,IF(AND($C900="Receiving",$I900&lt;=0),0,SUMIFS(Table2[Stat],Table2[Week],Table1[[#This Row],[Week]],Table2[Athlete],Table1[[#This Row],[Pick]],Table2[Stat Category],"rushing",Table2[Stat Type],"TD"))))</f>
        <v>0</v>
      </c>
      <c r="L900" s="6">
        <f>IF(AND($C900="Rushing", $H900&lt;=0), 0, IF(AND($C900="Passing", $G$3&lt;=0), 0,IF(AND($C900="Receiving",$I900&lt;=0),0,SUMIFS(Table2[Stat],Table2[Week],Table1[[#This Row],[Week]],Table2[Athlete],Table1[[#This Row],[Pick]],Table2[Stat Category],"receiving",Table2[Stat Type],"TD"))))</f>
        <v>0</v>
      </c>
      <c r="M9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0" s="61">
        <f>SUMIFS(Data!$J:$J,Data!$A:$A,Info!$B900,Data!$G:$G,Info!$C900,Data!$I:$I,Info!$D900,Data!$H:$H,"TOT")</f>
        <v>0</v>
      </c>
      <c r="O900" s="61">
        <f>IF(C900="Defensive",SUMIFS(Data!$J:$J,Data!$A:$A,Info!$B900,Data!$I:$I,Info!$D900,Data!$H:$H,"INT"),0)</f>
        <v>0</v>
      </c>
      <c r="P900" s="61">
        <f>IF(Table1[[#This Row],[Role]]="Defensive",SUMIFS(Data!$J:$J,Data!$A:$A,Info!$B900,Data!$I:$I,Info!$D900,Data!$H:$H,$P$1),0)</f>
        <v>0</v>
      </c>
      <c r="Q900" s="65" t="str">
        <f>IF(Table1[[#This Row],[Pick]]="","",IF(S900&gt;1,400,IF(G900="","",IF(C900="Passing",(400-Table1[[#This Row],[Passing Yards]]-(30*Table1[[#This Row],[Passing TDs]])-(50*SUM(Table1[[#This Row],[Rushing TDs]:[Other TD''s]]))),IF(C900="Rushing",2*(200-Table1[[#This Row],[Rushing Yards]]-(30*Table1[[#This Row],[Passing TDs]])-50*(Table1[[#This Row],[Rushing TDs]]+Table1[[#This Row],[Receiving TDs]]+Table1[[#This Row],[Other TD''s]])),IF(C900="Receiving",2*(200-Table1[[#This Row],[Receiving Yards]]-(30*Table1[[#This Row],[Passing TDs]])-50*(Table1[[#This Row],[Rushing TDs]]+Table1[[#This Row],[Receiving TDs]]+Table1[[#This Row],[Other TD''s]])),IF(C900="Defensive",(25*(16-Table1[[#This Row],[Tackles]]-(8*(Table1[[#This Row],[Other TD''s]]+Table1[[#This Row],[Interceptions]]+Table1[[#This Row],[Fumbles Recovered]])))))))))))</f>
        <v/>
      </c>
      <c r="R900" s="3" t="str">
        <f t="shared" ref="R900:R963" si="30">IF(D900="","",A900&amp;C900&amp;D900)</f>
        <v/>
      </c>
      <c r="S900" s="4">
        <f t="shared" si="29"/>
        <v>1048507</v>
      </c>
      <c r="T9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1" spans="1:20" hidden="1" x14ac:dyDescent="0.25">
      <c r="A901" t="s">
        <v>7</v>
      </c>
      <c r="B901" s="28" t="s">
        <v>56</v>
      </c>
      <c r="C901" t="s">
        <v>17</v>
      </c>
      <c r="D901" t="str">
        <f>_xlfn.XLOOKUP(Table1[[#This Row],[Player]]&amp;Table1[[#This Row],[Week]]&amp;Table1[[#This Row],[Role]],'Google Form Transform'!$A:$A,'Google Form Transform'!E:E,"")</f>
        <v/>
      </c>
      <c r="E901" t="str">
        <f>_xlfn.XLOOKUP(Table1[[#This Row],[Player]]&amp;Table1[[#This Row],[Week]]&amp;Table1[[#This Row],[Role]],'Google Form Transform'!$A:$A,'Google Form Transform'!F:F,"")</f>
        <v/>
      </c>
      <c r="F901" t="str">
        <f>_xlfn.XLOOKUP(Table1[[#This Row],[Player]]&amp;Table1[[#This Row],[Week]]&amp;Table1[[#This Row],[Role]],'Google Form Transform'!$A:$A,'Google Form Transform'!G:G,"")</f>
        <v/>
      </c>
      <c r="G901" s="59">
        <f>SUMIFS(Table2[Stat],Table2[Stat Category],"passing",Table2[Stat Type],"YDS",Table2[Athlete],Table1[[#This Row],[Pick]],Table2[Week],Table1[[#This Row],[Week]])</f>
        <v>0</v>
      </c>
      <c r="H901" s="59">
        <f>SUMIFS(Table2[Stat],Table2[Stat Category],"rushing",Table2[Stat Type],"YDS",Table2[Athlete],Table1[[#This Row],[Pick]],Table2[Week],Table1[[#This Row],[Week]])</f>
        <v>0</v>
      </c>
      <c r="I901" s="59">
        <f>SUMIFS(Table2[Stat],Table2[Stat Category],"receiving",Table2[Stat Type],"YDS",Table2[Athlete],Table1[[#This Row],[Pick]],Table2[Week],Table1[[#This Row],[Week]])</f>
        <v>0</v>
      </c>
      <c r="J901" s="6">
        <f>IF(AND($C901="Rushing", $H901&lt;=0), 0, IF(AND($C901="Passing", $G$3&lt;=0), 0,IF(AND($C901="Receiving",$I901&lt;=0), 0,SUMIFS(Table2[Stat],Table2[Week],Table1[[#This Row],[Week]],Table2[Athlete],Table1[[#This Row],[Pick]],Table2[Stat Category],"passing",Table2[Stat Type],"TD"))))</f>
        <v>0</v>
      </c>
      <c r="K901" s="6">
        <f>IF(AND($C901="Rushing", $H901&lt;=0), 0, IF(AND($C901="Passing", $G$3&lt;=0), 0,IF(AND($C901="Receiving",$I901&lt;=0),0,SUMIFS(Table2[Stat],Table2[Week],Table1[[#This Row],[Week]],Table2[Athlete],Table1[[#This Row],[Pick]],Table2[Stat Category],"rushing",Table2[Stat Type],"TD"))))</f>
        <v>0</v>
      </c>
      <c r="L901" s="6">
        <f>IF(AND($C901="Rushing", $H901&lt;=0), 0, IF(AND($C901="Passing", $G$3&lt;=0), 0,IF(AND($C901="Receiving",$I901&lt;=0),0,SUMIFS(Table2[Stat],Table2[Week],Table1[[#This Row],[Week]],Table2[Athlete],Table1[[#This Row],[Pick]],Table2[Stat Category],"receiving",Table2[Stat Type],"TD"))))</f>
        <v>0</v>
      </c>
      <c r="M9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1" s="61">
        <f>SUMIFS(Data!$J:$J,Data!$A:$A,Info!$B901,Data!$G:$G,Info!$C901,Data!$I:$I,Info!$D901,Data!$H:$H,"TOT")</f>
        <v>0</v>
      </c>
      <c r="O901" s="61">
        <f>IF(C901="Defensive",SUMIFS(Data!$J:$J,Data!$A:$A,Info!$B901,Data!$I:$I,Info!$D901,Data!$H:$H,"INT"),0)</f>
        <v>0</v>
      </c>
      <c r="P901" s="61">
        <f>IF(Table1[[#This Row],[Role]]="Defensive",SUMIFS(Data!$J:$J,Data!$A:$A,Info!$B901,Data!$I:$I,Info!$D901,Data!$H:$H,$P$1),0)</f>
        <v>0</v>
      </c>
      <c r="Q901" s="65" t="str">
        <f>IF(Table1[[#This Row],[Pick]]="","",IF(S901&gt;1,400,IF(G901="","",IF(C901="Passing",(400-Table1[[#This Row],[Passing Yards]]-(30*Table1[[#This Row],[Passing TDs]])-(50*SUM(Table1[[#This Row],[Rushing TDs]:[Other TD''s]]))),IF(C901="Rushing",2*(200-Table1[[#This Row],[Rushing Yards]]-(30*Table1[[#This Row],[Passing TDs]])-50*(Table1[[#This Row],[Rushing TDs]]+Table1[[#This Row],[Receiving TDs]]+Table1[[#This Row],[Other TD''s]])),IF(C901="Receiving",2*(200-Table1[[#This Row],[Receiving Yards]]-(30*Table1[[#This Row],[Passing TDs]])-50*(Table1[[#This Row],[Rushing TDs]]+Table1[[#This Row],[Receiving TDs]]+Table1[[#This Row],[Other TD''s]])),IF(C901="Defensive",(25*(16-Table1[[#This Row],[Tackles]]-(8*(Table1[[#This Row],[Other TD''s]]+Table1[[#This Row],[Interceptions]]+Table1[[#This Row],[Fumbles Recovered]])))))))))))</f>
        <v/>
      </c>
      <c r="R901" s="3" t="str">
        <f t="shared" si="30"/>
        <v/>
      </c>
      <c r="S901" s="4">
        <f t="shared" si="29"/>
        <v>1048507</v>
      </c>
      <c r="T9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2" spans="1:20" hidden="1" x14ac:dyDescent="0.25">
      <c r="A902" t="s">
        <v>7</v>
      </c>
      <c r="B902" s="28" t="s">
        <v>56</v>
      </c>
      <c r="C902" t="s">
        <v>20</v>
      </c>
      <c r="D902" t="str">
        <f>_xlfn.XLOOKUP(Table1[[#This Row],[Player]]&amp;Table1[[#This Row],[Week]]&amp;Table1[[#This Row],[Role]],'Google Form Transform'!$A:$A,'Google Form Transform'!E:E,"")</f>
        <v/>
      </c>
      <c r="E902" t="str">
        <f>_xlfn.XLOOKUP(Table1[[#This Row],[Player]]&amp;Table1[[#This Row],[Week]]&amp;Table1[[#This Row],[Role]],'Google Form Transform'!$A:$A,'Google Form Transform'!F:F,"")</f>
        <v/>
      </c>
      <c r="F902" t="str">
        <f>_xlfn.XLOOKUP(Table1[[#This Row],[Player]]&amp;Table1[[#This Row],[Week]]&amp;Table1[[#This Row],[Role]],'Google Form Transform'!$A:$A,'Google Form Transform'!G:G,"")</f>
        <v/>
      </c>
      <c r="G902" s="59">
        <f>SUMIFS(Table2[Stat],Table2[Stat Category],"passing",Table2[Stat Type],"YDS",Table2[Athlete],Table1[[#This Row],[Pick]],Table2[Week],Table1[[#This Row],[Week]])</f>
        <v>0</v>
      </c>
      <c r="H902" s="59">
        <f>SUMIFS(Table2[Stat],Table2[Stat Category],"rushing",Table2[Stat Type],"YDS",Table2[Athlete],Table1[[#This Row],[Pick]],Table2[Week],Table1[[#This Row],[Week]])</f>
        <v>0</v>
      </c>
      <c r="I902" s="59">
        <f>SUMIFS(Table2[Stat],Table2[Stat Category],"receiving",Table2[Stat Type],"YDS",Table2[Athlete],Table1[[#This Row],[Pick]],Table2[Week],Table1[[#This Row],[Week]])</f>
        <v>0</v>
      </c>
      <c r="J902" s="6">
        <f>IF(AND($C902="Rushing", $H902&lt;=0), 0, IF(AND($C902="Passing", $G$3&lt;=0), 0,IF(AND($C902="Receiving",$I902&lt;=0), 0,SUMIFS(Table2[Stat],Table2[Week],Table1[[#This Row],[Week]],Table2[Athlete],Table1[[#This Row],[Pick]],Table2[Stat Category],"passing",Table2[Stat Type],"TD"))))</f>
        <v>0</v>
      </c>
      <c r="K902" s="6">
        <f>IF(AND($C902="Rushing", $H902&lt;=0), 0, IF(AND($C902="Passing", $G$3&lt;=0), 0,IF(AND($C902="Receiving",$I902&lt;=0),0,SUMIFS(Table2[Stat],Table2[Week],Table1[[#This Row],[Week]],Table2[Athlete],Table1[[#This Row],[Pick]],Table2[Stat Category],"rushing",Table2[Stat Type],"TD"))))</f>
        <v>0</v>
      </c>
      <c r="L902" s="6">
        <f>IF(AND($C902="Rushing", $H902&lt;=0), 0, IF(AND($C902="Passing", $G$3&lt;=0), 0,IF(AND($C902="Receiving",$I902&lt;=0),0,SUMIFS(Table2[Stat],Table2[Week],Table1[[#This Row],[Week]],Table2[Athlete],Table1[[#This Row],[Pick]],Table2[Stat Category],"receiving",Table2[Stat Type],"TD"))))</f>
        <v>0</v>
      </c>
      <c r="M9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2" s="61">
        <f>SUMIFS(Data!$J:$J,Data!$A:$A,Info!$B902,Data!$G:$G,Info!$C902,Data!$I:$I,Info!$D902,Data!$H:$H,"TOT")</f>
        <v>0</v>
      </c>
      <c r="O902" s="61">
        <f>IF(C902="Defensive",SUMIFS(Data!$J:$J,Data!$A:$A,Info!$B902,Data!$I:$I,Info!$D902,Data!$H:$H,"INT"),0)</f>
        <v>0</v>
      </c>
      <c r="P902" s="61">
        <f>IF(Table1[[#This Row],[Role]]="Defensive",SUMIFS(Data!$J:$J,Data!$A:$A,Info!$B902,Data!$I:$I,Info!$D902,Data!$H:$H,$P$1),0)</f>
        <v>0</v>
      </c>
      <c r="Q902" s="65" t="str">
        <f>IF(Table1[[#This Row],[Pick]]="","",IF(S902&gt;1,400,IF(G902="","",IF(C902="Passing",(400-Table1[[#This Row],[Passing Yards]]-(30*Table1[[#This Row],[Passing TDs]])-(50*SUM(Table1[[#This Row],[Rushing TDs]:[Other TD''s]]))),IF(C902="Rushing",2*(200-Table1[[#This Row],[Rushing Yards]]-(30*Table1[[#This Row],[Passing TDs]])-50*(Table1[[#This Row],[Rushing TDs]]+Table1[[#This Row],[Receiving TDs]]+Table1[[#This Row],[Other TD''s]])),IF(C902="Receiving",2*(200-Table1[[#This Row],[Receiving Yards]]-(30*Table1[[#This Row],[Passing TDs]])-50*(Table1[[#This Row],[Rushing TDs]]+Table1[[#This Row],[Receiving TDs]]+Table1[[#This Row],[Other TD''s]])),IF(C902="Defensive",(25*(16-Table1[[#This Row],[Tackles]]-(8*(Table1[[#This Row],[Other TD''s]]+Table1[[#This Row],[Interceptions]]+Table1[[#This Row],[Fumbles Recovered]])))))))))))</f>
        <v/>
      </c>
      <c r="R902" s="3" t="str">
        <f t="shared" si="30"/>
        <v/>
      </c>
      <c r="S902" s="4">
        <f t="shared" si="29"/>
        <v>1048507</v>
      </c>
      <c r="T9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3" spans="1:20" hidden="1" x14ac:dyDescent="0.25">
      <c r="A903" t="s">
        <v>2</v>
      </c>
      <c r="B903" s="28" t="s">
        <v>57</v>
      </c>
      <c r="C903" t="s">
        <v>16</v>
      </c>
      <c r="D903" t="str">
        <f>_xlfn.XLOOKUP(Table1[[#This Row],[Player]]&amp;Table1[[#This Row],[Week]]&amp;Table1[[#This Row],[Role]],'Google Form Transform'!$A:$A,'Google Form Transform'!E:E,"")</f>
        <v/>
      </c>
      <c r="E903" t="str">
        <f>_xlfn.XLOOKUP(Table1[[#This Row],[Player]]&amp;Table1[[#This Row],[Week]]&amp;Table1[[#This Row],[Role]],'Google Form Transform'!$A:$A,'Google Form Transform'!F:F,"")</f>
        <v/>
      </c>
      <c r="F903" t="str">
        <f>_xlfn.XLOOKUP(Table1[[#This Row],[Player]]&amp;Table1[[#This Row],[Week]]&amp;Table1[[#This Row],[Role]],'Google Form Transform'!$A:$A,'Google Form Transform'!G:G,"")</f>
        <v/>
      </c>
      <c r="G903" s="59">
        <f>SUMIFS(Table2[Stat],Table2[Stat Category],"passing",Table2[Stat Type],"YDS",Table2[Athlete],Table1[[#This Row],[Pick]],Table2[Week],Table1[[#This Row],[Week]])</f>
        <v>0</v>
      </c>
      <c r="H903" s="59">
        <f>SUMIFS(Table2[Stat],Table2[Stat Category],"rushing",Table2[Stat Type],"YDS",Table2[Athlete],Table1[[#This Row],[Pick]],Table2[Week],Table1[[#This Row],[Week]])</f>
        <v>0</v>
      </c>
      <c r="I903" s="59">
        <f>SUMIFS(Table2[Stat],Table2[Stat Category],"receiving",Table2[Stat Type],"YDS",Table2[Athlete],Table1[[#This Row],[Pick]],Table2[Week],Table1[[#This Row],[Week]])</f>
        <v>0</v>
      </c>
      <c r="J903" s="6">
        <f>IF(AND($C903="Rushing", $H903&lt;=0), 0, IF(AND($C903="Passing", $G$3&lt;=0), 0,IF(AND($C903="Receiving",$I903&lt;=0), 0,SUMIFS(Table2[Stat],Table2[Week],Table1[[#This Row],[Week]],Table2[Athlete],Table1[[#This Row],[Pick]],Table2[Stat Category],"passing",Table2[Stat Type],"TD"))))</f>
        <v>0</v>
      </c>
      <c r="K903" s="6">
        <f>IF(AND($C903="Rushing", $H903&lt;=0), 0, IF(AND($C903="Passing", $G$3&lt;=0), 0,IF(AND($C903="Receiving",$I903&lt;=0),0,SUMIFS(Table2[Stat],Table2[Week],Table1[[#This Row],[Week]],Table2[Athlete],Table1[[#This Row],[Pick]],Table2[Stat Category],"rushing",Table2[Stat Type],"TD"))))</f>
        <v>0</v>
      </c>
      <c r="L903" s="6">
        <f>IF(AND($C903="Rushing", $H903&lt;=0), 0, IF(AND($C903="Passing", $G$3&lt;=0), 0,IF(AND($C903="Receiving",$I903&lt;=0),0,SUMIFS(Table2[Stat],Table2[Week],Table1[[#This Row],[Week]],Table2[Athlete],Table1[[#This Row],[Pick]],Table2[Stat Category],"receiving",Table2[Stat Type],"TD"))))</f>
        <v>0</v>
      </c>
      <c r="M9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3" s="61">
        <f>SUMIFS(Data!$J:$J,Data!$A:$A,Info!$B903,Data!$G:$G,Info!$C903,Data!$I:$I,Info!$D903,Data!$H:$H,"TOT")</f>
        <v>0</v>
      </c>
      <c r="O903" s="61">
        <f>IF(C903="Defensive",SUMIFS(Data!$J:$J,Data!$A:$A,Info!$B903,Data!$I:$I,Info!$D903,Data!$H:$H,"INT"),0)</f>
        <v>0</v>
      </c>
      <c r="P903" s="61">
        <f>IF(Table1[[#This Row],[Role]]="Defensive",SUMIFS(Data!$J:$J,Data!$A:$A,Info!$B903,Data!$I:$I,Info!$D903,Data!$H:$H,$P$1),0)</f>
        <v>0</v>
      </c>
      <c r="Q903" s="65" t="str">
        <f>IF(Table1[[#This Row],[Pick]]="","",IF(S903&gt;1,400,IF(G903="","",IF(C903="Passing",(400-Table1[[#This Row],[Passing Yards]]-(30*Table1[[#This Row],[Passing TDs]])-(50*SUM(Table1[[#This Row],[Rushing TDs]:[Other TD''s]]))),IF(C903="Rushing",2*(200-Table1[[#This Row],[Rushing Yards]]-(30*Table1[[#This Row],[Passing TDs]])-50*(Table1[[#This Row],[Rushing TDs]]+Table1[[#This Row],[Receiving TDs]]+Table1[[#This Row],[Other TD''s]])),IF(C903="Receiving",2*(200-Table1[[#This Row],[Receiving Yards]]-(30*Table1[[#This Row],[Passing TDs]])-50*(Table1[[#This Row],[Rushing TDs]]+Table1[[#This Row],[Receiving TDs]]+Table1[[#This Row],[Other TD''s]])),IF(C903="Defensive",(25*(16-Table1[[#This Row],[Tackles]]-(8*(Table1[[#This Row],[Other TD''s]]+Table1[[#This Row],[Interceptions]]+Table1[[#This Row],[Fumbles Recovered]])))))))))))</f>
        <v/>
      </c>
      <c r="R903" s="3" t="str">
        <f t="shared" si="30"/>
        <v/>
      </c>
      <c r="S903" s="4">
        <f t="shared" si="29"/>
        <v>1048507</v>
      </c>
      <c r="T9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4" spans="1:20" hidden="1" x14ac:dyDescent="0.25">
      <c r="A904" t="s">
        <v>2</v>
      </c>
      <c r="B904" s="28" t="s">
        <v>57</v>
      </c>
      <c r="C904" t="s">
        <v>6</v>
      </c>
      <c r="D904" t="str">
        <f>_xlfn.XLOOKUP(Table1[[#This Row],[Player]]&amp;Table1[[#This Row],[Week]]&amp;Table1[[#This Row],[Role]],'Google Form Transform'!$A:$A,'Google Form Transform'!E:E,"")</f>
        <v/>
      </c>
      <c r="E904" t="str">
        <f>_xlfn.XLOOKUP(Table1[[#This Row],[Player]]&amp;Table1[[#This Row],[Week]]&amp;Table1[[#This Row],[Role]],'Google Form Transform'!$A:$A,'Google Form Transform'!F:F,"")</f>
        <v/>
      </c>
      <c r="F904" t="str">
        <f>_xlfn.XLOOKUP(Table1[[#This Row],[Player]]&amp;Table1[[#This Row],[Week]]&amp;Table1[[#This Row],[Role]],'Google Form Transform'!$A:$A,'Google Form Transform'!G:G,"")</f>
        <v/>
      </c>
      <c r="G904" s="59">
        <f>SUMIFS(Table2[Stat],Table2[Stat Category],"passing",Table2[Stat Type],"YDS",Table2[Athlete],Table1[[#This Row],[Pick]],Table2[Week],Table1[[#This Row],[Week]])</f>
        <v>0</v>
      </c>
      <c r="H904" s="59">
        <f>SUMIFS(Table2[Stat],Table2[Stat Category],"rushing",Table2[Stat Type],"YDS",Table2[Athlete],Table1[[#This Row],[Pick]],Table2[Week],Table1[[#This Row],[Week]])</f>
        <v>0</v>
      </c>
      <c r="I904" s="59">
        <f>SUMIFS(Table2[Stat],Table2[Stat Category],"receiving",Table2[Stat Type],"YDS",Table2[Athlete],Table1[[#This Row],[Pick]],Table2[Week],Table1[[#This Row],[Week]])</f>
        <v>0</v>
      </c>
      <c r="J904" s="6">
        <f>IF(AND($C904="Rushing", $H904&lt;=0), 0, IF(AND($C904="Passing", $G$3&lt;=0), 0,IF(AND($C904="Receiving",$I904&lt;=0), 0,SUMIFS(Table2[Stat],Table2[Week],Table1[[#This Row],[Week]],Table2[Athlete],Table1[[#This Row],[Pick]],Table2[Stat Category],"passing",Table2[Stat Type],"TD"))))</f>
        <v>0</v>
      </c>
      <c r="K904" s="6">
        <f>IF(AND($C904="Rushing", $H904&lt;=0), 0, IF(AND($C904="Passing", $G$3&lt;=0), 0,IF(AND($C904="Receiving",$I904&lt;=0),0,SUMIFS(Table2[Stat],Table2[Week],Table1[[#This Row],[Week]],Table2[Athlete],Table1[[#This Row],[Pick]],Table2[Stat Category],"rushing",Table2[Stat Type],"TD"))))</f>
        <v>0</v>
      </c>
      <c r="L904" s="6">
        <f>IF(AND($C904="Rushing", $H904&lt;=0), 0, IF(AND($C904="Passing", $G$3&lt;=0), 0,IF(AND($C904="Receiving",$I904&lt;=0),0,SUMIFS(Table2[Stat],Table2[Week],Table1[[#This Row],[Week]],Table2[Athlete],Table1[[#This Row],[Pick]],Table2[Stat Category],"receiving",Table2[Stat Type],"TD"))))</f>
        <v>0</v>
      </c>
      <c r="M9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4" s="61">
        <f>SUMIFS(Data!$J:$J,Data!$A:$A,Info!$B904,Data!$G:$G,Info!$C904,Data!$I:$I,Info!$D904,Data!$H:$H,"TOT")</f>
        <v>0</v>
      </c>
      <c r="O904" s="61">
        <f>IF(C904="Defensive",SUMIFS(Data!$J:$J,Data!$A:$A,Info!$B904,Data!$I:$I,Info!$D904,Data!$H:$H,"INT"),0)</f>
        <v>0</v>
      </c>
      <c r="P904" s="61">
        <f>IF(Table1[[#This Row],[Role]]="Defensive",SUMIFS(Data!$J:$J,Data!$A:$A,Info!$B904,Data!$I:$I,Info!$D904,Data!$H:$H,$P$1),0)</f>
        <v>0</v>
      </c>
      <c r="Q904" s="65" t="str">
        <f>IF(Table1[[#This Row],[Pick]]="","",IF(S904&gt;1,400,IF(G904="","",IF(C904="Passing",(400-Table1[[#This Row],[Passing Yards]]-(30*Table1[[#This Row],[Passing TDs]])-(50*SUM(Table1[[#This Row],[Rushing TDs]:[Other TD''s]]))),IF(C904="Rushing",2*(200-Table1[[#This Row],[Rushing Yards]]-(30*Table1[[#This Row],[Passing TDs]])-50*(Table1[[#This Row],[Rushing TDs]]+Table1[[#This Row],[Receiving TDs]]+Table1[[#This Row],[Other TD''s]])),IF(C904="Receiving",2*(200-Table1[[#This Row],[Receiving Yards]]-(30*Table1[[#This Row],[Passing TDs]])-50*(Table1[[#This Row],[Rushing TDs]]+Table1[[#This Row],[Receiving TDs]]+Table1[[#This Row],[Other TD''s]])),IF(C904="Defensive",(25*(16-Table1[[#This Row],[Tackles]]-(8*(Table1[[#This Row],[Other TD''s]]+Table1[[#This Row],[Interceptions]]+Table1[[#This Row],[Fumbles Recovered]])))))))))))</f>
        <v/>
      </c>
      <c r="R904" s="3" t="str">
        <f t="shared" si="30"/>
        <v/>
      </c>
      <c r="S904" s="4">
        <f t="shared" si="29"/>
        <v>1048507</v>
      </c>
      <c r="T9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5" spans="1:20" hidden="1" x14ac:dyDescent="0.25">
      <c r="A905" t="s">
        <v>2</v>
      </c>
      <c r="B905" s="28" t="s">
        <v>57</v>
      </c>
      <c r="C905" t="s">
        <v>17</v>
      </c>
      <c r="D905" t="str">
        <f>_xlfn.XLOOKUP(Table1[[#This Row],[Player]]&amp;Table1[[#This Row],[Week]]&amp;Table1[[#This Row],[Role]],'Google Form Transform'!$A:$A,'Google Form Transform'!E:E,"")</f>
        <v/>
      </c>
      <c r="E905" t="str">
        <f>_xlfn.XLOOKUP(Table1[[#This Row],[Player]]&amp;Table1[[#This Row],[Week]]&amp;Table1[[#This Row],[Role]],'Google Form Transform'!$A:$A,'Google Form Transform'!F:F,"")</f>
        <v/>
      </c>
      <c r="F905" t="str">
        <f>_xlfn.XLOOKUP(Table1[[#This Row],[Player]]&amp;Table1[[#This Row],[Week]]&amp;Table1[[#This Row],[Role]],'Google Form Transform'!$A:$A,'Google Form Transform'!G:G,"")</f>
        <v/>
      </c>
      <c r="G905" s="59">
        <f>SUMIFS(Table2[Stat],Table2[Stat Category],"passing",Table2[Stat Type],"YDS",Table2[Athlete],Table1[[#This Row],[Pick]],Table2[Week],Table1[[#This Row],[Week]])</f>
        <v>0</v>
      </c>
      <c r="H905" s="59">
        <f>SUMIFS(Table2[Stat],Table2[Stat Category],"rushing",Table2[Stat Type],"YDS",Table2[Athlete],Table1[[#This Row],[Pick]],Table2[Week],Table1[[#This Row],[Week]])</f>
        <v>0</v>
      </c>
      <c r="I905" s="59">
        <f>SUMIFS(Table2[Stat],Table2[Stat Category],"receiving",Table2[Stat Type],"YDS",Table2[Athlete],Table1[[#This Row],[Pick]],Table2[Week],Table1[[#This Row],[Week]])</f>
        <v>0</v>
      </c>
      <c r="J905" s="6">
        <f>IF(AND($C905="Rushing", $H905&lt;=0), 0, IF(AND($C905="Passing", $G$3&lt;=0), 0,IF(AND($C905="Receiving",$I905&lt;=0), 0,SUMIFS(Table2[Stat],Table2[Week],Table1[[#This Row],[Week]],Table2[Athlete],Table1[[#This Row],[Pick]],Table2[Stat Category],"passing",Table2[Stat Type],"TD"))))</f>
        <v>0</v>
      </c>
      <c r="K905" s="6">
        <f>IF(AND($C905="Rushing", $H905&lt;=0), 0, IF(AND($C905="Passing", $G$3&lt;=0), 0,IF(AND($C905="Receiving",$I905&lt;=0),0,SUMIFS(Table2[Stat],Table2[Week],Table1[[#This Row],[Week]],Table2[Athlete],Table1[[#This Row],[Pick]],Table2[Stat Category],"rushing",Table2[Stat Type],"TD"))))</f>
        <v>0</v>
      </c>
      <c r="L905" s="6">
        <f>IF(AND($C905="Rushing", $H905&lt;=0), 0, IF(AND($C905="Passing", $G$3&lt;=0), 0,IF(AND($C905="Receiving",$I905&lt;=0),0,SUMIFS(Table2[Stat],Table2[Week],Table1[[#This Row],[Week]],Table2[Athlete],Table1[[#This Row],[Pick]],Table2[Stat Category],"receiving",Table2[Stat Type],"TD"))))</f>
        <v>0</v>
      </c>
      <c r="M9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5" s="61">
        <f>SUMIFS(Data!$J:$J,Data!$A:$A,Info!$B905,Data!$G:$G,Info!$C905,Data!$I:$I,Info!$D905,Data!$H:$H,"TOT")</f>
        <v>0</v>
      </c>
      <c r="O905" s="61">
        <f>IF(C905="Defensive",SUMIFS(Data!$J:$J,Data!$A:$A,Info!$B905,Data!$I:$I,Info!$D905,Data!$H:$H,"INT"),0)</f>
        <v>0</v>
      </c>
      <c r="P905" s="61">
        <f>IF(Table1[[#This Row],[Role]]="Defensive",SUMIFS(Data!$J:$J,Data!$A:$A,Info!$B905,Data!$I:$I,Info!$D905,Data!$H:$H,$P$1),0)</f>
        <v>0</v>
      </c>
      <c r="Q905" s="65" t="str">
        <f>IF(Table1[[#This Row],[Pick]]="","",IF(S905&gt;1,400,IF(G905="","",IF(C905="Passing",(400-Table1[[#This Row],[Passing Yards]]-(30*Table1[[#This Row],[Passing TDs]])-(50*SUM(Table1[[#This Row],[Rushing TDs]:[Other TD''s]]))),IF(C905="Rushing",2*(200-Table1[[#This Row],[Rushing Yards]]-(30*Table1[[#This Row],[Passing TDs]])-50*(Table1[[#This Row],[Rushing TDs]]+Table1[[#This Row],[Receiving TDs]]+Table1[[#This Row],[Other TD''s]])),IF(C905="Receiving",2*(200-Table1[[#This Row],[Receiving Yards]]-(30*Table1[[#This Row],[Passing TDs]])-50*(Table1[[#This Row],[Rushing TDs]]+Table1[[#This Row],[Receiving TDs]]+Table1[[#This Row],[Other TD''s]])),IF(C905="Defensive",(25*(16-Table1[[#This Row],[Tackles]]-(8*(Table1[[#This Row],[Other TD''s]]+Table1[[#This Row],[Interceptions]]+Table1[[#This Row],[Fumbles Recovered]])))))))))))</f>
        <v/>
      </c>
      <c r="R905" s="3" t="str">
        <f t="shared" si="30"/>
        <v/>
      </c>
      <c r="S905" s="4">
        <f t="shared" si="29"/>
        <v>1048507</v>
      </c>
      <c r="T9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6" spans="1:20" hidden="1" x14ac:dyDescent="0.25">
      <c r="A906" t="s">
        <v>2</v>
      </c>
      <c r="B906" s="28" t="s">
        <v>57</v>
      </c>
      <c r="C906" t="s">
        <v>20</v>
      </c>
      <c r="D906" t="str">
        <f>_xlfn.XLOOKUP(Table1[[#This Row],[Player]]&amp;Table1[[#This Row],[Week]]&amp;Table1[[#This Row],[Role]],'Google Form Transform'!$A:$A,'Google Form Transform'!E:E,"")</f>
        <v/>
      </c>
      <c r="E906" t="str">
        <f>_xlfn.XLOOKUP(Table1[[#This Row],[Player]]&amp;Table1[[#This Row],[Week]]&amp;Table1[[#This Row],[Role]],'Google Form Transform'!$A:$A,'Google Form Transform'!F:F,"")</f>
        <v/>
      </c>
      <c r="F906" t="str">
        <f>_xlfn.XLOOKUP(Table1[[#This Row],[Player]]&amp;Table1[[#This Row],[Week]]&amp;Table1[[#This Row],[Role]],'Google Form Transform'!$A:$A,'Google Form Transform'!G:G,"")</f>
        <v/>
      </c>
      <c r="G906" s="59">
        <f>SUMIFS(Table2[Stat],Table2[Stat Category],"passing",Table2[Stat Type],"YDS",Table2[Athlete],Table1[[#This Row],[Pick]],Table2[Week],Table1[[#This Row],[Week]])</f>
        <v>0</v>
      </c>
      <c r="H906" s="59">
        <f>SUMIFS(Table2[Stat],Table2[Stat Category],"rushing",Table2[Stat Type],"YDS",Table2[Athlete],Table1[[#This Row],[Pick]],Table2[Week],Table1[[#This Row],[Week]])</f>
        <v>0</v>
      </c>
      <c r="I906" s="59">
        <f>SUMIFS(Table2[Stat],Table2[Stat Category],"receiving",Table2[Stat Type],"YDS",Table2[Athlete],Table1[[#This Row],[Pick]],Table2[Week],Table1[[#This Row],[Week]])</f>
        <v>0</v>
      </c>
      <c r="J906" s="6">
        <f>IF(AND($C906="Rushing", $H906&lt;=0), 0, IF(AND($C906="Passing", $G$3&lt;=0), 0,IF(AND($C906="Receiving",$I906&lt;=0), 0,SUMIFS(Table2[Stat],Table2[Week],Table1[[#This Row],[Week]],Table2[Athlete],Table1[[#This Row],[Pick]],Table2[Stat Category],"passing",Table2[Stat Type],"TD"))))</f>
        <v>0</v>
      </c>
      <c r="K906" s="6">
        <f>IF(AND($C906="Rushing", $H906&lt;=0), 0, IF(AND($C906="Passing", $G$3&lt;=0), 0,IF(AND($C906="Receiving",$I906&lt;=0),0,SUMIFS(Table2[Stat],Table2[Week],Table1[[#This Row],[Week]],Table2[Athlete],Table1[[#This Row],[Pick]],Table2[Stat Category],"rushing",Table2[Stat Type],"TD"))))</f>
        <v>0</v>
      </c>
      <c r="L906" s="6">
        <f>IF(AND($C906="Rushing", $H906&lt;=0), 0, IF(AND($C906="Passing", $G$3&lt;=0), 0,IF(AND($C906="Receiving",$I906&lt;=0),0,SUMIFS(Table2[Stat],Table2[Week],Table1[[#This Row],[Week]],Table2[Athlete],Table1[[#This Row],[Pick]],Table2[Stat Category],"receiving",Table2[Stat Type],"TD"))))</f>
        <v>0</v>
      </c>
      <c r="M9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6" s="61">
        <f>SUMIFS(Data!$J:$J,Data!$A:$A,Info!$B906,Data!$G:$G,Info!$C906,Data!$I:$I,Info!$D906,Data!$H:$H,"TOT")</f>
        <v>0</v>
      </c>
      <c r="O906" s="61">
        <f>IF(C906="Defensive",SUMIFS(Data!$J:$J,Data!$A:$A,Info!$B906,Data!$I:$I,Info!$D906,Data!$H:$H,"INT"),0)</f>
        <v>0</v>
      </c>
      <c r="P906" s="61">
        <f>IF(Table1[[#This Row],[Role]]="Defensive",SUMIFS(Data!$J:$J,Data!$A:$A,Info!$B906,Data!$I:$I,Info!$D906,Data!$H:$H,$P$1),0)</f>
        <v>0</v>
      </c>
      <c r="Q906" s="65" t="str">
        <f>IF(Table1[[#This Row],[Pick]]="","",IF(S906&gt;1,400,IF(G906="","",IF(C906="Passing",(400-Table1[[#This Row],[Passing Yards]]-(30*Table1[[#This Row],[Passing TDs]])-(50*SUM(Table1[[#This Row],[Rushing TDs]:[Other TD''s]]))),IF(C906="Rushing",2*(200-Table1[[#This Row],[Rushing Yards]]-(30*Table1[[#This Row],[Passing TDs]])-50*(Table1[[#This Row],[Rushing TDs]]+Table1[[#This Row],[Receiving TDs]]+Table1[[#This Row],[Other TD''s]])),IF(C906="Receiving",2*(200-Table1[[#This Row],[Receiving Yards]]-(30*Table1[[#This Row],[Passing TDs]])-50*(Table1[[#This Row],[Rushing TDs]]+Table1[[#This Row],[Receiving TDs]]+Table1[[#This Row],[Other TD''s]])),IF(C906="Defensive",(25*(16-Table1[[#This Row],[Tackles]]-(8*(Table1[[#This Row],[Other TD''s]]+Table1[[#This Row],[Interceptions]]+Table1[[#This Row],[Fumbles Recovered]])))))))))))</f>
        <v/>
      </c>
      <c r="R906" s="3" t="str">
        <f t="shared" si="30"/>
        <v/>
      </c>
      <c r="S906" s="4">
        <f t="shared" si="29"/>
        <v>1048507</v>
      </c>
      <c r="T9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7" spans="1:20" hidden="1" x14ac:dyDescent="0.25">
      <c r="A907" t="s">
        <v>4</v>
      </c>
      <c r="B907" s="28" t="s">
        <v>57</v>
      </c>
      <c r="C907" t="s">
        <v>16</v>
      </c>
      <c r="D907" t="str">
        <f>_xlfn.XLOOKUP(Table1[[#This Row],[Player]]&amp;Table1[[#This Row],[Week]]&amp;Table1[[#This Row],[Role]],'Google Form Transform'!$A:$A,'Google Form Transform'!E:E,"")</f>
        <v/>
      </c>
      <c r="E907" t="str">
        <f>_xlfn.XLOOKUP(Table1[[#This Row],[Player]]&amp;Table1[[#This Row],[Week]]&amp;Table1[[#This Row],[Role]],'Google Form Transform'!$A:$A,'Google Form Transform'!F:F,"")</f>
        <v/>
      </c>
      <c r="F907" t="str">
        <f>_xlfn.XLOOKUP(Table1[[#This Row],[Player]]&amp;Table1[[#This Row],[Week]]&amp;Table1[[#This Row],[Role]],'Google Form Transform'!$A:$A,'Google Form Transform'!G:G,"")</f>
        <v/>
      </c>
      <c r="G907" s="59">
        <f>SUMIFS(Table2[Stat],Table2[Stat Category],"passing",Table2[Stat Type],"YDS",Table2[Athlete],Table1[[#This Row],[Pick]],Table2[Week],Table1[[#This Row],[Week]])</f>
        <v>0</v>
      </c>
      <c r="H907" s="59">
        <f>SUMIFS(Table2[Stat],Table2[Stat Category],"rushing",Table2[Stat Type],"YDS",Table2[Athlete],Table1[[#This Row],[Pick]],Table2[Week],Table1[[#This Row],[Week]])</f>
        <v>0</v>
      </c>
      <c r="I907" s="59">
        <f>SUMIFS(Table2[Stat],Table2[Stat Category],"receiving",Table2[Stat Type],"YDS",Table2[Athlete],Table1[[#This Row],[Pick]],Table2[Week],Table1[[#This Row],[Week]])</f>
        <v>0</v>
      </c>
      <c r="J907" s="6">
        <f>IF(AND($C907="Rushing", $H907&lt;=0), 0, IF(AND($C907="Passing", $G$3&lt;=0), 0,IF(AND($C907="Receiving",$I907&lt;=0), 0,SUMIFS(Table2[Stat],Table2[Week],Table1[[#This Row],[Week]],Table2[Athlete],Table1[[#This Row],[Pick]],Table2[Stat Category],"passing",Table2[Stat Type],"TD"))))</f>
        <v>0</v>
      </c>
      <c r="K907" s="6">
        <f>IF(AND($C907="Rushing", $H907&lt;=0), 0, IF(AND($C907="Passing", $G$3&lt;=0), 0,IF(AND($C907="Receiving",$I907&lt;=0),0,SUMIFS(Table2[Stat],Table2[Week],Table1[[#This Row],[Week]],Table2[Athlete],Table1[[#This Row],[Pick]],Table2[Stat Category],"rushing",Table2[Stat Type],"TD"))))</f>
        <v>0</v>
      </c>
      <c r="L907" s="6">
        <f>IF(AND($C907="Rushing", $H907&lt;=0), 0, IF(AND($C907="Passing", $G$3&lt;=0), 0,IF(AND($C907="Receiving",$I907&lt;=0),0,SUMIFS(Table2[Stat],Table2[Week],Table1[[#This Row],[Week]],Table2[Athlete],Table1[[#This Row],[Pick]],Table2[Stat Category],"receiving",Table2[Stat Type],"TD"))))</f>
        <v>0</v>
      </c>
      <c r="M9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7" s="61">
        <f>SUMIFS(Data!$J:$J,Data!$A:$A,Info!$B907,Data!$G:$G,Info!$C907,Data!$I:$I,Info!$D907,Data!$H:$H,"TOT")</f>
        <v>0</v>
      </c>
      <c r="O907" s="61">
        <f>IF(C907="Defensive",SUMIFS(Data!$J:$J,Data!$A:$A,Info!$B907,Data!$I:$I,Info!$D907,Data!$H:$H,"INT"),0)</f>
        <v>0</v>
      </c>
      <c r="P907" s="61">
        <f>IF(Table1[[#This Row],[Role]]="Defensive",SUMIFS(Data!$J:$J,Data!$A:$A,Info!$B907,Data!$I:$I,Info!$D907,Data!$H:$H,$P$1),0)</f>
        <v>0</v>
      </c>
      <c r="Q907" s="65" t="str">
        <f>IF(Table1[[#This Row],[Pick]]="","",IF(S907&gt;1,400,IF(G907="","",IF(C907="Passing",(400-Table1[[#This Row],[Passing Yards]]-(30*Table1[[#This Row],[Passing TDs]])-(50*SUM(Table1[[#This Row],[Rushing TDs]:[Other TD''s]]))),IF(C907="Rushing",2*(200-Table1[[#This Row],[Rushing Yards]]-(30*Table1[[#This Row],[Passing TDs]])-50*(Table1[[#This Row],[Rushing TDs]]+Table1[[#This Row],[Receiving TDs]]+Table1[[#This Row],[Other TD''s]])),IF(C907="Receiving",2*(200-Table1[[#This Row],[Receiving Yards]]-(30*Table1[[#This Row],[Passing TDs]])-50*(Table1[[#This Row],[Rushing TDs]]+Table1[[#This Row],[Receiving TDs]]+Table1[[#This Row],[Other TD''s]])),IF(C907="Defensive",(25*(16-Table1[[#This Row],[Tackles]]-(8*(Table1[[#This Row],[Other TD''s]]+Table1[[#This Row],[Interceptions]]+Table1[[#This Row],[Fumbles Recovered]])))))))))))</f>
        <v/>
      </c>
      <c r="R907" s="3" t="str">
        <f t="shared" si="30"/>
        <v/>
      </c>
      <c r="S907" s="4">
        <f t="shared" si="29"/>
        <v>1048507</v>
      </c>
      <c r="T9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8" spans="1:20" hidden="1" x14ac:dyDescent="0.25">
      <c r="A908" t="s">
        <v>4</v>
      </c>
      <c r="B908" s="28" t="s">
        <v>57</v>
      </c>
      <c r="C908" t="s">
        <v>6</v>
      </c>
      <c r="D908" t="str">
        <f>_xlfn.XLOOKUP(Table1[[#This Row],[Player]]&amp;Table1[[#This Row],[Week]]&amp;Table1[[#This Row],[Role]],'Google Form Transform'!$A:$A,'Google Form Transform'!E:E,"")</f>
        <v/>
      </c>
      <c r="E908" t="str">
        <f>_xlfn.XLOOKUP(Table1[[#This Row],[Player]]&amp;Table1[[#This Row],[Week]]&amp;Table1[[#This Row],[Role]],'Google Form Transform'!$A:$A,'Google Form Transform'!F:F,"")</f>
        <v/>
      </c>
      <c r="F908" t="str">
        <f>_xlfn.XLOOKUP(Table1[[#This Row],[Player]]&amp;Table1[[#This Row],[Week]]&amp;Table1[[#This Row],[Role]],'Google Form Transform'!$A:$A,'Google Form Transform'!G:G,"")</f>
        <v/>
      </c>
      <c r="G908" s="59">
        <f>SUMIFS(Table2[Stat],Table2[Stat Category],"passing",Table2[Stat Type],"YDS",Table2[Athlete],Table1[[#This Row],[Pick]],Table2[Week],Table1[[#This Row],[Week]])</f>
        <v>0</v>
      </c>
      <c r="H908" s="59">
        <f>SUMIFS(Table2[Stat],Table2[Stat Category],"rushing",Table2[Stat Type],"YDS",Table2[Athlete],Table1[[#This Row],[Pick]],Table2[Week],Table1[[#This Row],[Week]])</f>
        <v>0</v>
      </c>
      <c r="I908" s="59">
        <f>SUMIFS(Table2[Stat],Table2[Stat Category],"receiving",Table2[Stat Type],"YDS",Table2[Athlete],Table1[[#This Row],[Pick]],Table2[Week],Table1[[#This Row],[Week]])</f>
        <v>0</v>
      </c>
      <c r="J908" s="6">
        <f>IF(AND($C908="Rushing", $H908&lt;=0), 0, IF(AND($C908="Passing", $G$3&lt;=0), 0,IF(AND($C908="Receiving",$I908&lt;=0), 0,SUMIFS(Table2[Stat],Table2[Week],Table1[[#This Row],[Week]],Table2[Athlete],Table1[[#This Row],[Pick]],Table2[Stat Category],"passing",Table2[Stat Type],"TD"))))</f>
        <v>0</v>
      </c>
      <c r="K908" s="6">
        <f>IF(AND($C908="Rushing", $H908&lt;=0), 0, IF(AND($C908="Passing", $G$3&lt;=0), 0,IF(AND($C908="Receiving",$I908&lt;=0),0,SUMIFS(Table2[Stat],Table2[Week],Table1[[#This Row],[Week]],Table2[Athlete],Table1[[#This Row],[Pick]],Table2[Stat Category],"rushing",Table2[Stat Type],"TD"))))</f>
        <v>0</v>
      </c>
      <c r="L908" s="6">
        <f>IF(AND($C908="Rushing", $H908&lt;=0), 0, IF(AND($C908="Passing", $G$3&lt;=0), 0,IF(AND($C908="Receiving",$I908&lt;=0),0,SUMIFS(Table2[Stat],Table2[Week],Table1[[#This Row],[Week]],Table2[Athlete],Table1[[#This Row],[Pick]],Table2[Stat Category],"receiving",Table2[Stat Type],"TD"))))</f>
        <v>0</v>
      </c>
      <c r="M9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8" s="61">
        <f>SUMIFS(Data!$J:$J,Data!$A:$A,Info!$B908,Data!$G:$G,Info!$C908,Data!$I:$I,Info!$D908,Data!$H:$H,"TOT")</f>
        <v>0</v>
      </c>
      <c r="O908" s="61">
        <f>IF(C908="Defensive",SUMIFS(Data!$J:$J,Data!$A:$A,Info!$B908,Data!$I:$I,Info!$D908,Data!$H:$H,"INT"),0)</f>
        <v>0</v>
      </c>
      <c r="P908" s="61">
        <f>IF(Table1[[#This Row],[Role]]="Defensive",SUMIFS(Data!$J:$J,Data!$A:$A,Info!$B908,Data!$I:$I,Info!$D908,Data!$H:$H,$P$1),0)</f>
        <v>0</v>
      </c>
      <c r="Q908" s="65" t="str">
        <f>IF(Table1[[#This Row],[Pick]]="","",IF(S908&gt;1,400,IF(G908="","",IF(C908="Passing",(400-Table1[[#This Row],[Passing Yards]]-(30*Table1[[#This Row],[Passing TDs]])-(50*SUM(Table1[[#This Row],[Rushing TDs]:[Other TD''s]]))),IF(C908="Rushing",2*(200-Table1[[#This Row],[Rushing Yards]]-(30*Table1[[#This Row],[Passing TDs]])-50*(Table1[[#This Row],[Rushing TDs]]+Table1[[#This Row],[Receiving TDs]]+Table1[[#This Row],[Other TD''s]])),IF(C908="Receiving",2*(200-Table1[[#This Row],[Receiving Yards]]-(30*Table1[[#This Row],[Passing TDs]])-50*(Table1[[#This Row],[Rushing TDs]]+Table1[[#This Row],[Receiving TDs]]+Table1[[#This Row],[Other TD''s]])),IF(C908="Defensive",(25*(16-Table1[[#This Row],[Tackles]]-(8*(Table1[[#This Row],[Other TD''s]]+Table1[[#This Row],[Interceptions]]+Table1[[#This Row],[Fumbles Recovered]])))))))))))</f>
        <v/>
      </c>
      <c r="R908" s="3" t="str">
        <f t="shared" si="30"/>
        <v/>
      </c>
      <c r="S908" s="4">
        <f t="shared" si="29"/>
        <v>1048507</v>
      </c>
      <c r="T9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9" spans="1:20" hidden="1" x14ac:dyDescent="0.25">
      <c r="A909" t="s">
        <v>4</v>
      </c>
      <c r="B909" s="28" t="s">
        <v>57</v>
      </c>
      <c r="C909" t="s">
        <v>17</v>
      </c>
      <c r="D909" t="str">
        <f>_xlfn.XLOOKUP(Table1[[#This Row],[Player]]&amp;Table1[[#This Row],[Week]]&amp;Table1[[#This Row],[Role]],'Google Form Transform'!$A:$A,'Google Form Transform'!E:E,"")</f>
        <v/>
      </c>
      <c r="E909" t="str">
        <f>_xlfn.XLOOKUP(Table1[[#This Row],[Player]]&amp;Table1[[#This Row],[Week]]&amp;Table1[[#This Row],[Role]],'Google Form Transform'!$A:$A,'Google Form Transform'!F:F,"")</f>
        <v/>
      </c>
      <c r="F909" t="str">
        <f>_xlfn.XLOOKUP(Table1[[#This Row],[Player]]&amp;Table1[[#This Row],[Week]]&amp;Table1[[#This Row],[Role]],'Google Form Transform'!$A:$A,'Google Form Transform'!G:G,"")</f>
        <v/>
      </c>
      <c r="G909" s="59">
        <f>SUMIFS(Table2[Stat],Table2[Stat Category],"passing",Table2[Stat Type],"YDS",Table2[Athlete],Table1[[#This Row],[Pick]],Table2[Week],Table1[[#This Row],[Week]])</f>
        <v>0</v>
      </c>
      <c r="H909" s="59">
        <f>SUMIFS(Table2[Stat],Table2[Stat Category],"rushing",Table2[Stat Type],"YDS",Table2[Athlete],Table1[[#This Row],[Pick]],Table2[Week],Table1[[#This Row],[Week]])</f>
        <v>0</v>
      </c>
      <c r="I909" s="59">
        <f>SUMIFS(Table2[Stat],Table2[Stat Category],"receiving",Table2[Stat Type],"YDS",Table2[Athlete],Table1[[#This Row],[Pick]],Table2[Week],Table1[[#This Row],[Week]])</f>
        <v>0</v>
      </c>
      <c r="J909" s="6">
        <f>IF(AND($C909="Rushing", $H909&lt;=0), 0, IF(AND($C909="Passing", $G$3&lt;=0), 0,IF(AND($C909="Receiving",$I909&lt;=0), 0,SUMIFS(Table2[Stat],Table2[Week],Table1[[#This Row],[Week]],Table2[Athlete],Table1[[#This Row],[Pick]],Table2[Stat Category],"passing",Table2[Stat Type],"TD"))))</f>
        <v>0</v>
      </c>
      <c r="K909" s="6">
        <f>IF(AND($C909="Rushing", $H909&lt;=0), 0, IF(AND($C909="Passing", $G$3&lt;=0), 0,IF(AND($C909="Receiving",$I909&lt;=0),0,SUMIFS(Table2[Stat],Table2[Week],Table1[[#This Row],[Week]],Table2[Athlete],Table1[[#This Row],[Pick]],Table2[Stat Category],"rushing",Table2[Stat Type],"TD"))))</f>
        <v>0</v>
      </c>
      <c r="L909" s="6">
        <f>IF(AND($C909="Rushing", $H909&lt;=0), 0, IF(AND($C909="Passing", $G$3&lt;=0), 0,IF(AND($C909="Receiving",$I909&lt;=0),0,SUMIFS(Table2[Stat],Table2[Week],Table1[[#This Row],[Week]],Table2[Athlete],Table1[[#This Row],[Pick]],Table2[Stat Category],"receiving",Table2[Stat Type],"TD"))))</f>
        <v>0</v>
      </c>
      <c r="M9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9" s="61">
        <f>SUMIFS(Data!$J:$J,Data!$A:$A,Info!$B909,Data!$G:$G,Info!$C909,Data!$I:$I,Info!$D909,Data!$H:$H,"TOT")</f>
        <v>0</v>
      </c>
      <c r="O909" s="61">
        <f>IF(C909="Defensive",SUMIFS(Data!$J:$J,Data!$A:$A,Info!$B909,Data!$I:$I,Info!$D909,Data!$H:$H,"INT"),0)</f>
        <v>0</v>
      </c>
      <c r="P909" s="61">
        <f>IF(Table1[[#This Row],[Role]]="Defensive",SUMIFS(Data!$J:$J,Data!$A:$A,Info!$B909,Data!$I:$I,Info!$D909,Data!$H:$H,$P$1),0)</f>
        <v>0</v>
      </c>
      <c r="Q909" s="65" t="str">
        <f>IF(Table1[[#This Row],[Pick]]="","",IF(S909&gt;1,400,IF(G909="","",IF(C909="Passing",(400-Table1[[#This Row],[Passing Yards]]-(30*Table1[[#This Row],[Passing TDs]])-(50*SUM(Table1[[#This Row],[Rushing TDs]:[Other TD''s]]))),IF(C909="Rushing",2*(200-Table1[[#This Row],[Rushing Yards]]-(30*Table1[[#This Row],[Passing TDs]])-50*(Table1[[#This Row],[Rushing TDs]]+Table1[[#This Row],[Receiving TDs]]+Table1[[#This Row],[Other TD''s]])),IF(C909="Receiving",2*(200-Table1[[#This Row],[Receiving Yards]]-(30*Table1[[#This Row],[Passing TDs]])-50*(Table1[[#This Row],[Rushing TDs]]+Table1[[#This Row],[Receiving TDs]]+Table1[[#This Row],[Other TD''s]])),IF(C909="Defensive",(25*(16-Table1[[#This Row],[Tackles]]-(8*(Table1[[#This Row],[Other TD''s]]+Table1[[#This Row],[Interceptions]]+Table1[[#This Row],[Fumbles Recovered]])))))))))))</f>
        <v/>
      </c>
      <c r="R909" s="3" t="str">
        <f t="shared" si="30"/>
        <v/>
      </c>
      <c r="S909" s="4">
        <f t="shared" si="29"/>
        <v>1048507</v>
      </c>
      <c r="T9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0" spans="1:20" hidden="1" x14ac:dyDescent="0.25">
      <c r="A910" t="s">
        <v>4</v>
      </c>
      <c r="B910" s="28" t="s">
        <v>57</v>
      </c>
      <c r="C910" t="s">
        <v>20</v>
      </c>
      <c r="D910" t="str">
        <f>_xlfn.XLOOKUP(Table1[[#This Row],[Player]]&amp;Table1[[#This Row],[Week]]&amp;Table1[[#This Row],[Role]],'Google Form Transform'!$A:$A,'Google Form Transform'!E:E,"")</f>
        <v/>
      </c>
      <c r="E910" t="str">
        <f>_xlfn.XLOOKUP(Table1[[#This Row],[Player]]&amp;Table1[[#This Row],[Week]]&amp;Table1[[#This Row],[Role]],'Google Form Transform'!$A:$A,'Google Form Transform'!F:F,"")</f>
        <v/>
      </c>
      <c r="F910" t="str">
        <f>_xlfn.XLOOKUP(Table1[[#This Row],[Player]]&amp;Table1[[#This Row],[Week]]&amp;Table1[[#This Row],[Role]],'Google Form Transform'!$A:$A,'Google Form Transform'!G:G,"")</f>
        <v/>
      </c>
      <c r="G910" s="59">
        <f>SUMIFS(Table2[Stat],Table2[Stat Category],"passing",Table2[Stat Type],"YDS",Table2[Athlete],Table1[[#This Row],[Pick]],Table2[Week],Table1[[#This Row],[Week]])</f>
        <v>0</v>
      </c>
      <c r="H910" s="59">
        <f>SUMIFS(Table2[Stat],Table2[Stat Category],"rushing",Table2[Stat Type],"YDS",Table2[Athlete],Table1[[#This Row],[Pick]],Table2[Week],Table1[[#This Row],[Week]])</f>
        <v>0</v>
      </c>
      <c r="I910" s="59">
        <f>SUMIFS(Table2[Stat],Table2[Stat Category],"receiving",Table2[Stat Type],"YDS",Table2[Athlete],Table1[[#This Row],[Pick]],Table2[Week],Table1[[#This Row],[Week]])</f>
        <v>0</v>
      </c>
      <c r="J910" s="6">
        <f>IF(AND($C910="Rushing", $H910&lt;=0), 0, IF(AND($C910="Passing", $G$3&lt;=0), 0,IF(AND($C910="Receiving",$I910&lt;=0), 0,SUMIFS(Table2[Stat],Table2[Week],Table1[[#This Row],[Week]],Table2[Athlete],Table1[[#This Row],[Pick]],Table2[Stat Category],"passing",Table2[Stat Type],"TD"))))</f>
        <v>0</v>
      </c>
      <c r="K910" s="6">
        <f>IF(AND($C910="Rushing", $H910&lt;=0), 0, IF(AND($C910="Passing", $G$3&lt;=0), 0,IF(AND($C910="Receiving",$I910&lt;=0),0,SUMIFS(Table2[Stat],Table2[Week],Table1[[#This Row],[Week]],Table2[Athlete],Table1[[#This Row],[Pick]],Table2[Stat Category],"rushing",Table2[Stat Type],"TD"))))</f>
        <v>0</v>
      </c>
      <c r="L910" s="6">
        <f>IF(AND($C910="Rushing", $H910&lt;=0), 0, IF(AND($C910="Passing", $G$3&lt;=0), 0,IF(AND($C910="Receiving",$I910&lt;=0),0,SUMIFS(Table2[Stat],Table2[Week],Table1[[#This Row],[Week]],Table2[Athlete],Table1[[#This Row],[Pick]],Table2[Stat Category],"receiving",Table2[Stat Type],"TD"))))</f>
        <v>0</v>
      </c>
      <c r="M9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0" s="61">
        <f>SUMIFS(Data!$J:$J,Data!$A:$A,Info!$B910,Data!$G:$G,Info!$C910,Data!$I:$I,Info!$D910,Data!$H:$H,"TOT")</f>
        <v>0</v>
      </c>
      <c r="O910" s="61">
        <f>IF(C910="Defensive",SUMIFS(Data!$J:$J,Data!$A:$A,Info!$B910,Data!$I:$I,Info!$D910,Data!$H:$H,"INT"),0)</f>
        <v>0</v>
      </c>
      <c r="P910" s="61">
        <f>IF(Table1[[#This Row],[Role]]="Defensive",SUMIFS(Data!$J:$J,Data!$A:$A,Info!$B910,Data!$I:$I,Info!$D910,Data!$H:$H,$P$1),0)</f>
        <v>0</v>
      </c>
      <c r="Q910" s="65" t="str">
        <f>IF(Table1[[#This Row],[Pick]]="","",IF(S910&gt;1,400,IF(G910="","",IF(C910="Passing",(400-Table1[[#This Row],[Passing Yards]]-(30*Table1[[#This Row],[Passing TDs]])-(50*SUM(Table1[[#This Row],[Rushing TDs]:[Other TD''s]]))),IF(C910="Rushing",2*(200-Table1[[#This Row],[Rushing Yards]]-(30*Table1[[#This Row],[Passing TDs]])-50*(Table1[[#This Row],[Rushing TDs]]+Table1[[#This Row],[Receiving TDs]]+Table1[[#This Row],[Other TD''s]])),IF(C910="Receiving",2*(200-Table1[[#This Row],[Receiving Yards]]-(30*Table1[[#This Row],[Passing TDs]])-50*(Table1[[#This Row],[Rushing TDs]]+Table1[[#This Row],[Receiving TDs]]+Table1[[#This Row],[Other TD''s]])),IF(C910="Defensive",(25*(16-Table1[[#This Row],[Tackles]]-(8*(Table1[[#This Row],[Other TD''s]]+Table1[[#This Row],[Interceptions]]+Table1[[#This Row],[Fumbles Recovered]])))))))))))</f>
        <v/>
      </c>
      <c r="R910" s="3" t="str">
        <f t="shared" si="30"/>
        <v/>
      </c>
      <c r="S910" s="4">
        <f t="shared" si="29"/>
        <v>1048507</v>
      </c>
      <c r="T9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1" spans="1:20" hidden="1" x14ac:dyDescent="0.25">
      <c r="A911" t="s">
        <v>79</v>
      </c>
      <c r="B911" s="28" t="s">
        <v>57</v>
      </c>
      <c r="C911" t="s">
        <v>16</v>
      </c>
      <c r="D911" t="str">
        <f>_xlfn.XLOOKUP(Table1[[#This Row],[Player]]&amp;Table1[[#This Row],[Week]]&amp;Table1[[#This Row],[Role]],'Google Form Transform'!$A:$A,'Google Form Transform'!E:E,"")</f>
        <v/>
      </c>
      <c r="E911" t="str">
        <f>_xlfn.XLOOKUP(Table1[[#This Row],[Player]]&amp;Table1[[#This Row],[Week]]&amp;Table1[[#This Row],[Role]],'Google Form Transform'!$A:$A,'Google Form Transform'!F:F,"")</f>
        <v/>
      </c>
      <c r="F911" t="str">
        <f>_xlfn.XLOOKUP(Table1[[#This Row],[Player]]&amp;Table1[[#This Row],[Week]]&amp;Table1[[#This Row],[Role]],'Google Form Transform'!$A:$A,'Google Form Transform'!G:G,"")</f>
        <v/>
      </c>
      <c r="G911" s="59">
        <f>SUMIFS(Table2[Stat],Table2[Stat Category],"passing",Table2[Stat Type],"YDS",Table2[Athlete],Table1[[#This Row],[Pick]],Table2[Week],Table1[[#This Row],[Week]])</f>
        <v>0</v>
      </c>
      <c r="H911" s="59">
        <f>SUMIFS(Table2[Stat],Table2[Stat Category],"rushing",Table2[Stat Type],"YDS",Table2[Athlete],Table1[[#This Row],[Pick]],Table2[Week],Table1[[#This Row],[Week]])</f>
        <v>0</v>
      </c>
      <c r="I911" s="59">
        <f>SUMIFS(Table2[Stat],Table2[Stat Category],"receiving",Table2[Stat Type],"YDS",Table2[Athlete],Table1[[#This Row],[Pick]],Table2[Week],Table1[[#This Row],[Week]])</f>
        <v>0</v>
      </c>
      <c r="J911" s="6">
        <f>IF(AND($C911="Rushing", $H911&lt;=0), 0, IF(AND($C911="Passing", $G$3&lt;=0), 0,IF(AND($C911="Receiving",$I911&lt;=0), 0,SUMIFS(Table2[Stat],Table2[Week],Table1[[#This Row],[Week]],Table2[Athlete],Table1[[#This Row],[Pick]],Table2[Stat Category],"passing",Table2[Stat Type],"TD"))))</f>
        <v>0</v>
      </c>
      <c r="K911" s="6">
        <f>IF(AND($C911="Rushing", $H911&lt;=0), 0, IF(AND($C911="Passing", $G$3&lt;=0), 0,IF(AND($C911="Receiving",$I911&lt;=0),0,SUMIFS(Table2[Stat],Table2[Week],Table1[[#This Row],[Week]],Table2[Athlete],Table1[[#This Row],[Pick]],Table2[Stat Category],"rushing",Table2[Stat Type],"TD"))))</f>
        <v>0</v>
      </c>
      <c r="L911" s="6">
        <f>IF(AND($C911="Rushing", $H911&lt;=0), 0, IF(AND($C911="Passing", $G$3&lt;=0), 0,IF(AND($C911="Receiving",$I911&lt;=0),0,SUMIFS(Table2[Stat],Table2[Week],Table1[[#This Row],[Week]],Table2[Athlete],Table1[[#This Row],[Pick]],Table2[Stat Category],"receiving",Table2[Stat Type],"TD"))))</f>
        <v>0</v>
      </c>
      <c r="M9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1" s="61">
        <f>SUMIFS(Data!$J:$J,Data!$A:$A,Info!$B911,Data!$G:$G,Info!$C911,Data!$I:$I,Info!$D911,Data!$H:$H,"TOT")</f>
        <v>0</v>
      </c>
      <c r="O911" s="61">
        <f>IF(C911="Defensive",SUMIFS(Data!$J:$J,Data!$A:$A,Info!$B911,Data!$I:$I,Info!$D911,Data!$H:$H,"INT"),0)</f>
        <v>0</v>
      </c>
      <c r="P911" s="61">
        <f>IF(Table1[[#This Row],[Role]]="Defensive",SUMIFS(Data!$J:$J,Data!$A:$A,Info!$B911,Data!$I:$I,Info!$D911,Data!$H:$H,$P$1),0)</f>
        <v>0</v>
      </c>
      <c r="Q911" s="65" t="str">
        <f>IF(Table1[[#This Row],[Pick]]="","",IF(S911&gt;1,400,IF(G911="","",IF(C911="Passing",(400-Table1[[#This Row],[Passing Yards]]-(30*Table1[[#This Row],[Passing TDs]])-(50*SUM(Table1[[#This Row],[Rushing TDs]:[Other TD''s]]))),IF(C911="Rushing",2*(200-Table1[[#This Row],[Rushing Yards]]-(30*Table1[[#This Row],[Passing TDs]])-50*(Table1[[#This Row],[Rushing TDs]]+Table1[[#This Row],[Receiving TDs]]+Table1[[#This Row],[Other TD''s]])),IF(C911="Receiving",2*(200-Table1[[#This Row],[Receiving Yards]]-(30*Table1[[#This Row],[Passing TDs]])-50*(Table1[[#This Row],[Rushing TDs]]+Table1[[#This Row],[Receiving TDs]]+Table1[[#This Row],[Other TD''s]])),IF(C911="Defensive",(25*(16-Table1[[#This Row],[Tackles]]-(8*(Table1[[#This Row],[Other TD''s]]+Table1[[#This Row],[Interceptions]]+Table1[[#This Row],[Fumbles Recovered]])))))))))))</f>
        <v/>
      </c>
      <c r="R911" s="3" t="str">
        <f t="shared" si="30"/>
        <v/>
      </c>
      <c r="S911" s="4">
        <f t="shared" si="29"/>
        <v>1048507</v>
      </c>
      <c r="T9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2" spans="1:20" hidden="1" x14ac:dyDescent="0.25">
      <c r="A912" t="s">
        <v>79</v>
      </c>
      <c r="B912" s="28" t="s">
        <v>57</v>
      </c>
      <c r="C912" t="s">
        <v>6</v>
      </c>
      <c r="D912" t="str">
        <f>_xlfn.XLOOKUP(Table1[[#This Row],[Player]]&amp;Table1[[#This Row],[Week]]&amp;Table1[[#This Row],[Role]],'Google Form Transform'!$A:$A,'Google Form Transform'!E:E,"")</f>
        <v/>
      </c>
      <c r="E912" t="str">
        <f>_xlfn.XLOOKUP(Table1[[#This Row],[Player]]&amp;Table1[[#This Row],[Week]]&amp;Table1[[#This Row],[Role]],'Google Form Transform'!$A:$A,'Google Form Transform'!F:F,"")</f>
        <v/>
      </c>
      <c r="F912" t="str">
        <f>_xlfn.XLOOKUP(Table1[[#This Row],[Player]]&amp;Table1[[#This Row],[Week]]&amp;Table1[[#This Row],[Role]],'Google Form Transform'!$A:$A,'Google Form Transform'!G:G,"")</f>
        <v/>
      </c>
      <c r="G912" s="59">
        <f>SUMIFS(Table2[Stat],Table2[Stat Category],"passing",Table2[Stat Type],"YDS",Table2[Athlete],Table1[[#This Row],[Pick]],Table2[Week],Table1[[#This Row],[Week]])</f>
        <v>0</v>
      </c>
      <c r="H912" s="59">
        <f>SUMIFS(Table2[Stat],Table2[Stat Category],"rushing",Table2[Stat Type],"YDS",Table2[Athlete],Table1[[#This Row],[Pick]],Table2[Week],Table1[[#This Row],[Week]])</f>
        <v>0</v>
      </c>
      <c r="I912" s="59">
        <f>SUMIFS(Table2[Stat],Table2[Stat Category],"receiving",Table2[Stat Type],"YDS",Table2[Athlete],Table1[[#This Row],[Pick]],Table2[Week],Table1[[#This Row],[Week]])</f>
        <v>0</v>
      </c>
      <c r="J912" s="6">
        <f>IF(AND($C912="Rushing", $H912&lt;=0), 0, IF(AND($C912="Passing", $G$3&lt;=0), 0,IF(AND($C912="Receiving",$I912&lt;=0), 0,SUMIFS(Table2[Stat],Table2[Week],Table1[[#This Row],[Week]],Table2[Athlete],Table1[[#This Row],[Pick]],Table2[Stat Category],"passing",Table2[Stat Type],"TD"))))</f>
        <v>0</v>
      </c>
      <c r="K912" s="6">
        <f>IF(AND($C912="Rushing", $H912&lt;=0), 0, IF(AND($C912="Passing", $G$3&lt;=0), 0,IF(AND($C912="Receiving",$I912&lt;=0),0,SUMIFS(Table2[Stat],Table2[Week],Table1[[#This Row],[Week]],Table2[Athlete],Table1[[#This Row],[Pick]],Table2[Stat Category],"rushing",Table2[Stat Type],"TD"))))</f>
        <v>0</v>
      </c>
      <c r="L912" s="6">
        <f>IF(AND($C912="Rushing", $H912&lt;=0), 0, IF(AND($C912="Passing", $G$3&lt;=0), 0,IF(AND($C912="Receiving",$I912&lt;=0),0,SUMIFS(Table2[Stat],Table2[Week],Table1[[#This Row],[Week]],Table2[Athlete],Table1[[#This Row],[Pick]],Table2[Stat Category],"receiving",Table2[Stat Type],"TD"))))</f>
        <v>0</v>
      </c>
      <c r="M9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2" s="61">
        <f>SUMIFS(Data!$J:$J,Data!$A:$A,Info!$B912,Data!$G:$G,Info!$C912,Data!$I:$I,Info!$D912,Data!$H:$H,"TOT")</f>
        <v>0</v>
      </c>
      <c r="O912" s="61">
        <f>IF(C912="Defensive",SUMIFS(Data!$J:$J,Data!$A:$A,Info!$B912,Data!$I:$I,Info!$D912,Data!$H:$H,"INT"),0)</f>
        <v>0</v>
      </c>
      <c r="P912" s="61">
        <f>IF(Table1[[#This Row],[Role]]="Defensive",SUMIFS(Data!$J:$J,Data!$A:$A,Info!$B912,Data!$I:$I,Info!$D912,Data!$H:$H,$P$1),0)</f>
        <v>0</v>
      </c>
      <c r="Q912" s="65" t="str">
        <f>IF(Table1[[#This Row],[Pick]]="","",IF(S912&gt;1,400,IF(G912="","",IF(C912="Passing",(400-Table1[[#This Row],[Passing Yards]]-(30*Table1[[#This Row],[Passing TDs]])-(50*SUM(Table1[[#This Row],[Rushing TDs]:[Other TD''s]]))),IF(C912="Rushing",2*(200-Table1[[#This Row],[Rushing Yards]]-(30*Table1[[#This Row],[Passing TDs]])-50*(Table1[[#This Row],[Rushing TDs]]+Table1[[#This Row],[Receiving TDs]]+Table1[[#This Row],[Other TD''s]])),IF(C912="Receiving",2*(200-Table1[[#This Row],[Receiving Yards]]-(30*Table1[[#This Row],[Passing TDs]])-50*(Table1[[#This Row],[Rushing TDs]]+Table1[[#This Row],[Receiving TDs]]+Table1[[#This Row],[Other TD''s]])),IF(C912="Defensive",(25*(16-Table1[[#This Row],[Tackles]]-(8*(Table1[[#This Row],[Other TD''s]]+Table1[[#This Row],[Interceptions]]+Table1[[#This Row],[Fumbles Recovered]])))))))))))</f>
        <v/>
      </c>
      <c r="R912" s="3" t="str">
        <f t="shared" si="30"/>
        <v/>
      </c>
      <c r="S912" s="4">
        <f t="shared" si="29"/>
        <v>1048507</v>
      </c>
      <c r="T9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3" spans="1:20" hidden="1" x14ac:dyDescent="0.25">
      <c r="A913" t="s">
        <v>79</v>
      </c>
      <c r="B913" s="28" t="s">
        <v>57</v>
      </c>
      <c r="C913" t="s">
        <v>17</v>
      </c>
      <c r="D913" t="str">
        <f>_xlfn.XLOOKUP(Table1[[#This Row],[Player]]&amp;Table1[[#This Row],[Week]]&amp;Table1[[#This Row],[Role]],'Google Form Transform'!$A:$A,'Google Form Transform'!E:E,"")</f>
        <v/>
      </c>
      <c r="E913" t="str">
        <f>_xlfn.XLOOKUP(Table1[[#This Row],[Player]]&amp;Table1[[#This Row],[Week]]&amp;Table1[[#This Row],[Role]],'Google Form Transform'!$A:$A,'Google Form Transform'!F:F,"")</f>
        <v/>
      </c>
      <c r="F913" t="str">
        <f>_xlfn.XLOOKUP(Table1[[#This Row],[Player]]&amp;Table1[[#This Row],[Week]]&amp;Table1[[#This Row],[Role]],'Google Form Transform'!$A:$A,'Google Form Transform'!G:G,"")</f>
        <v/>
      </c>
      <c r="G913" s="59">
        <f>SUMIFS(Table2[Stat],Table2[Stat Category],"passing",Table2[Stat Type],"YDS",Table2[Athlete],Table1[[#This Row],[Pick]],Table2[Week],Table1[[#This Row],[Week]])</f>
        <v>0</v>
      </c>
      <c r="H913" s="59">
        <f>SUMIFS(Table2[Stat],Table2[Stat Category],"rushing",Table2[Stat Type],"YDS",Table2[Athlete],Table1[[#This Row],[Pick]],Table2[Week],Table1[[#This Row],[Week]])</f>
        <v>0</v>
      </c>
      <c r="I913" s="59">
        <f>SUMIFS(Table2[Stat],Table2[Stat Category],"receiving",Table2[Stat Type],"YDS",Table2[Athlete],Table1[[#This Row],[Pick]],Table2[Week],Table1[[#This Row],[Week]])</f>
        <v>0</v>
      </c>
      <c r="J913" s="6">
        <f>IF(AND($C913="Rushing", $H913&lt;=0), 0, IF(AND($C913="Passing", $G$3&lt;=0), 0,IF(AND($C913="Receiving",$I913&lt;=0), 0,SUMIFS(Table2[Stat],Table2[Week],Table1[[#This Row],[Week]],Table2[Athlete],Table1[[#This Row],[Pick]],Table2[Stat Category],"passing",Table2[Stat Type],"TD"))))</f>
        <v>0</v>
      </c>
      <c r="K913" s="6">
        <f>IF(AND($C913="Rushing", $H913&lt;=0), 0, IF(AND($C913="Passing", $G$3&lt;=0), 0,IF(AND($C913="Receiving",$I913&lt;=0),0,SUMIFS(Table2[Stat],Table2[Week],Table1[[#This Row],[Week]],Table2[Athlete],Table1[[#This Row],[Pick]],Table2[Stat Category],"rushing",Table2[Stat Type],"TD"))))</f>
        <v>0</v>
      </c>
      <c r="L913" s="6">
        <f>IF(AND($C913="Rushing", $H913&lt;=0), 0, IF(AND($C913="Passing", $G$3&lt;=0), 0,IF(AND($C913="Receiving",$I913&lt;=0),0,SUMIFS(Table2[Stat],Table2[Week],Table1[[#This Row],[Week]],Table2[Athlete],Table1[[#This Row],[Pick]],Table2[Stat Category],"receiving",Table2[Stat Type],"TD"))))</f>
        <v>0</v>
      </c>
      <c r="M9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3" s="61">
        <f>SUMIFS(Data!$J:$J,Data!$A:$A,Info!$B913,Data!$G:$G,Info!$C913,Data!$I:$I,Info!$D913,Data!$H:$H,"TOT")</f>
        <v>0</v>
      </c>
      <c r="O913" s="61">
        <f>IF(C913="Defensive",SUMIFS(Data!$J:$J,Data!$A:$A,Info!$B913,Data!$I:$I,Info!$D913,Data!$H:$H,"INT"),0)</f>
        <v>0</v>
      </c>
      <c r="P913" s="61">
        <f>IF(Table1[[#This Row],[Role]]="Defensive",SUMIFS(Data!$J:$J,Data!$A:$A,Info!$B913,Data!$I:$I,Info!$D913,Data!$H:$H,$P$1),0)</f>
        <v>0</v>
      </c>
      <c r="Q913" s="65" t="str">
        <f>IF(Table1[[#This Row],[Pick]]="","",IF(S913&gt;1,400,IF(G913="","",IF(C913="Passing",(400-Table1[[#This Row],[Passing Yards]]-(30*Table1[[#This Row],[Passing TDs]])-(50*SUM(Table1[[#This Row],[Rushing TDs]:[Other TD''s]]))),IF(C913="Rushing",2*(200-Table1[[#This Row],[Rushing Yards]]-(30*Table1[[#This Row],[Passing TDs]])-50*(Table1[[#This Row],[Rushing TDs]]+Table1[[#This Row],[Receiving TDs]]+Table1[[#This Row],[Other TD''s]])),IF(C913="Receiving",2*(200-Table1[[#This Row],[Receiving Yards]]-(30*Table1[[#This Row],[Passing TDs]])-50*(Table1[[#This Row],[Rushing TDs]]+Table1[[#This Row],[Receiving TDs]]+Table1[[#This Row],[Other TD''s]])),IF(C913="Defensive",(25*(16-Table1[[#This Row],[Tackles]]-(8*(Table1[[#This Row],[Other TD''s]]+Table1[[#This Row],[Interceptions]]+Table1[[#This Row],[Fumbles Recovered]])))))))))))</f>
        <v/>
      </c>
      <c r="R913" s="3" t="str">
        <f t="shared" si="30"/>
        <v/>
      </c>
      <c r="S913" s="4">
        <f t="shared" si="29"/>
        <v>1048507</v>
      </c>
      <c r="T9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4" spans="1:20" hidden="1" x14ac:dyDescent="0.25">
      <c r="A914" t="s">
        <v>79</v>
      </c>
      <c r="B914" s="28" t="s">
        <v>57</v>
      </c>
      <c r="C914" t="s">
        <v>20</v>
      </c>
      <c r="D914" t="str">
        <f>_xlfn.XLOOKUP(Table1[[#This Row],[Player]]&amp;Table1[[#This Row],[Week]]&amp;Table1[[#This Row],[Role]],'Google Form Transform'!$A:$A,'Google Form Transform'!E:E,"")</f>
        <v/>
      </c>
      <c r="E914" t="str">
        <f>_xlfn.XLOOKUP(Table1[[#This Row],[Player]]&amp;Table1[[#This Row],[Week]]&amp;Table1[[#This Row],[Role]],'Google Form Transform'!$A:$A,'Google Form Transform'!F:F,"")</f>
        <v/>
      </c>
      <c r="F914" t="str">
        <f>_xlfn.XLOOKUP(Table1[[#This Row],[Player]]&amp;Table1[[#This Row],[Week]]&amp;Table1[[#This Row],[Role]],'Google Form Transform'!$A:$A,'Google Form Transform'!G:G,"")</f>
        <v/>
      </c>
      <c r="G914" s="59">
        <f>SUMIFS(Table2[Stat],Table2[Stat Category],"passing",Table2[Stat Type],"YDS",Table2[Athlete],Table1[[#This Row],[Pick]],Table2[Week],Table1[[#This Row],[Week]])</f>
        <v>0</v>
      </c>
      <c r="H914" s="59">
        <f>SUMIFS(Table2[Stat],Table2[Stat Category],"rushing",Table2[Stat Type],"YDS",Table2[Athlete],Table1[[#This Row],[Pick]],Table2[Week],Table1[[#This Row],[Week]])</f>
        <v>0</v>
      </c>
      <c r="I914" s="59">
        <f>SUMIFS(Table2[Stat],Table2[Stat Category],"receiving",Table2[Stat Type],"YDS",Table2[Athlete],Table1[[#This Row],[Pick]],Table2[Week],Table1[[#This Row],[Week]])</f>
        <v>0</v>
      </c>
      <c r="J914" s="6">
        <f>IF(AND($C914="Rushing", $H914&lt;=0), 0, IF(AND($C914="Passing", $G$3&lt;=0), 0,IF(AND($C914="Receiving",$I914&lt;=0), 0,SUMIFS(Table2[Stat],Table2[Week],Table1[[#This Row],[Week]],Table2[Athlete],Table1[[#This Row],[Pick]],Table2[Stat Category],"passing",Table2[Stat Type],"TD"))))</f>
        <v>0</v>
      </c>
      <c r="K914" s="6">
        <f>IF(AND($C914="Rushing", $H914&lt;=0), 0, IF(AND($C914="Passing", $G$3&lt;=0), 0,IF(AND($C914="Receiving",$I914&lt;=0),0,SUMIFS(Table2[Stat],Table2[Week],Table1[[#This Row],[Week]],Table2[Athlete],Table1[[#This Row],[Pick]],Table2[Stat Category],"rushing",Table2[Stat Type],"TD"))))</f>
        <v>0</v>
      </c>
      <c r="L914" s="6">
        <f>IF(AND($C914="Rushing", $H914&lt;=0), 0, IF(AND($C914="Passing", $G$3&lt;=0), 0,IF(AND($C914="Receiving",$I914&lt;=0),0,SUMIFS(Table2[Stat],Table2[Week],Table1[[#This Row],[Week]],Table2[Athlete],Table1[[#This Row],[Pick]],Table2[Stat Category],"receiving",Table2[Stat Type],"TD"))))</f>
        <v>0</v>
      </c>
      <c r="M9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4" s="61">
        <f>SUMIFS(Data!$J:$J,Data!$A:$A,Info!$B914,Data!$G:$G,Info!$C914,Data!$I:$I,Info!$D914,Data!$H:$H,"TOT")</f>
        <v>0</v>
      </c>
      <c r="O914" s="61">
        <f>IF(C914="Defensive",SUMIFS(Data!$J:$J,Data!$A:$A,Info!$B914,Data!$I:$I,Info!$D914,Data!$H:$H,"INT"),0)</f>
        <v>0</v>
      </c>
      <c r="P914" s="61">
        <f>IF(Table1[[#This Row],[Role]]="Defensive",SUMIFS(Data!$J:$J,Data!$A:$A,Info!$B914,Data!$I:$I,Info!$D914,Data!$H:$H,$P$1),0)</f>
        <v>0</v>
      </c>
      <c r="Q914" s="65" t="str">
        <f>IF(Table1[[#This Row],[Pick]]="","",IF(S914&gt;1,400,IF(G914="","",IF(C914="Passing",(400-Table1[[#This Row],[Passing Yards]]-(30*Table1[[#This Row],[Passing TDs]])-(50*SUM(Table1[[#This Row],[Rushing TDs]:[Other TD''s]]))),IF(C914="Rushing",2*(200-Table1[[#This Row],[Rushing Yards]]-(30*Table1[[#This Row],[Passing TDs]])-50*(Table1[[#This Row],[Rushing TDs]]+Table1[[#This Row],[Receiving TDs]]+Table1[[#This Row],[Other TD''s]])),IF(C914="Receiving",2*(200-Table1[[#This Row],[Receiving Yards]]-(30*Table1[[#This Row],[Passing TDs]])-50*(Table1[[#This Row],[Rushing TDs]]+Table1[[#This Row],[Receiving TDs]]+Table1[[#This Row],[Other TD''s]])),IF(C914="Defensive",(25*(16-Table1[[#This Row],[Tackles]]-(8*(Table1[[#This Row],[Other TD''s]]+Table1[[#This Row],[Interceptions]]+Table1[[#This Row],[Fumbles Recovered]])))))))))))</f>
        <v/>
      </c>
      <c r="R914" s="3" t="str">
        <f t="shared" si="30"/>
        <v/>
      </c>
      <c r="S914" s="4">
        <f t="shared" si="29"/>
        <v>1048507</v>
      </c>
      <c r="T9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5" spans="1:20" hidden="1" x14ac:dyDescent="0.25">
      <c r="A915" t="s">
        <v>58</v>
      </c>
      <c r="B915" s="28" t="s">
        <v>57</v>
      </c>
      <c r="C915" t="s">
        <v>16</v>
      </c>
      <c r="D915" t="str">
        <f>_xlfn.XLOOKUP(Table1[[#This Row],[Player]]&amp;Table1[[#This Row],[Week]]&amp;Table1[[#This Row],[Role]],'Google Form Transform'!$A:$A,'Google Form Transform'!E:E,"")</f>
        <v/>
      </c>
      <c r="E915" t="str">
        <f>_xlfn.XLOOKUP(Table1[[#This Row],[Player]]&amp;Table1[[#This Row],[Week]]&amp;Table1[[#This Row],[Role]],'Google Form Transform'!$A:$A,'Google Form Transform'!F:F,"")</f>
        <v/>
      </c>
      <c r="F915" t="str">
        <f>_xlfn.XLOOKUP(Table1[[#This Row],[Player]]&amp;Table1[[#This Row],[Week]]&amp;Table1[[#This Row],[Role]],'Google Form Transform'!$A:$A,'Google Form Transform'!G:G,"")</f>
        <v/>
      </c>
      <c r="G915" s="59">
        <f>SUMIFS(Table2[Stat],Table2[Stat Category],"passing",Table2[Stat Type],"YDS",Table2[Athlete],Table1[[#This Row],[Pick]],Table2[Week],Table1[[#This Row],[Week]])</f>
        <v>0</v>
      </c>
      <c r="H915" s="59">
        <f>SUMIFS(Table2[Stat],Table2[Stat Category],"rushing",Table2[Stat Type],"YDS",Table2[Athlete],Table1[[#This Row],[Pick]],Table2[Week],Table1[[#This Row],[Week]])</f>
        <v>0</v>
      </c>
      <c r="I915" s="59">
        <f>SUMIFS(Table2[Stat],Table2[Stat Category],"receiving",Table2[Stat Type],"YDS",Table2[Athlete],Table1[[#This Row],[Pick]],Table2[Week],Table1[[#This Row],[Week]])</f>
        <v>0</v>
      </c>
      <c r="J915" s="6">
        <f>IF(AND($C915="Rushing", $H915&lt;=0), 0, IF(AND($C915="Passing", $G$3&lt;=0), 0,IF(AND($C915="Receiving",$I915&lt;=0), 0,SUMIFS(Table2[Stat],Table2[Week],Table1[[#This Row],[Week]],Table2[Athlete],Table1[[#This Row],[Pick]],Table2[Stat Category],"passing",Table2[Stat Type],"TD"))))</f>
        <v>0</v>
      </c>
      <c r="K915" s="6">
        <f>IF(AND($C915="Rushing", $H915&lt;=0), 0, IF(AND($C915="Passing", $G$3&lt;=0), 0,IF(AND($C915="Receiving",$I915&lt;=0),0,SUMIFS(Table2[Stat],Table2[Week],Table1[[#This Row],[Week]],Table2[Athlete],Table1[[#This Row],[Pick]],Table2[Stat Category],"rushing",Table2[Stat Type],"TD"))))</f>
        <v>0</v>
      </c>
      <c r="L915" s="6">
        <f>IF(AND($C915="Rushing", $H915&lt;=0), 0, IF(AND($C915="Passing", $G$3&lt;=0), 0,IF(AND($C915="Receiving",$I915&lt;=0),0,SUMIFS(Table2[Stat],Table2[Week],Table1[[#This Row],[Week]],Table2[Athlete],Table1[[#This Row],[Pick]],Table2[Stat Category],"receiving",Table2[Stat Type],"TD"))))</f>
        <v>0</v>
      </c>
      <c r="M9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5" s="61">
        <f>SUMIFS(Data!$J:$J,Data!$A:$A,Info!$B915,Data!$G:$G,Info!$C915,Data!$I:$I,Info!$D915,Data!$H:$H,"TOT")</f>
        <v>0</v>
      </c>
      <c r="O915" s="61">
        <f>IF(C915="Defensive",SUMIFS(Data!$J:$J,Data!$A:$A,Info!$B915,Data!$I:$I,Info!$D915,Data!$H:$H,"INT"),0)</f>
        <v>0</v>
      </c>
      <c r="P915" s="61">
        <f>IF(Table1[[#This Row],[Role]]="Defensive",SUMIFS(Data!$J:$J,Data!$A:$A,Info!$B915,Data!$I:$I,Info!$D915,Data!$H:$H,$P$1),0)</f>
        <v>0</v>
      </c>
      <c r="Q915" s="65" t="str">
        <f>IF(Table1[[#This Row],[Pick]]="","",IF(S915&gt;1,400,IF(G915="","",IF(C915="Passing",(400-Table1[[#This Row],[Passing Yards]]-(30*Table1[[#This Row],[Passing TDs]])-(50*SUM(Table1[[#This Row],[Rushing TDs]:[Other TD''s]]))),IF(C915="Rushing",2*(200-Table1[[#This Row],[Rushing Yards]]-(30*Table1[[#This Row],[Passing TDs]])-50*(Table1[[#This Row],[Rushing TDs]]+Table1[[#This Row],[Receiving TDs]]+Table1[[#This Row],[Other TD''s]])),IF(C915="Receiving",2*(200-Table1[[#This Row],[Receiving Yards]]-(30*Table1[[#This Row],[Passing TDs]])-50*(Table1[[#This Row],[Rushing TDs]]+Table1[[#This Row],[Receiving TDs]]+Table1[[#This Row],[Other TD''s]])),IF(C915="Defensive",(25*(16-Table1[[#This Row],[Tackles]]-(8*(Table1[[#This Row],[Other TD''s]]+Table1[[#This Row],[Interceptions]]+Table1[[#This Row],[Fumbles Recovered]])))))))))))</f>
        <v/>
      </c>
      <c r="R915" s="3" t="str">
        <f t="shared" si="30"/>
        <v/>
      </c>
      <c r="S915" s="4">
        <f t="shared" si="29"/>
        <v>1048507</v>
      </c>
      <c r="T9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6" spans="1:20" hidden="1" x14ac:dyDescent="0.25">
      <c r="A916" t="s">
        <v>58</v>
      </c>
      <c r="B916" s="28" t="s">
        <v>57</v>
      </c>
      <c r="C916" t="s">
        <v>6</v>
      </c>
      <c r="D916" t="str">
        <f>_xlfn.XLOOKUP(Table1[[#This Row],[Player]]&amp;Table1[[#This Row],[Week]]&amp;Table1[[#This Row],[Role]],'Google Form Transform'!$A:$A,'Google Form Transform'!E:E,"")</f>
        <v/>
      </c>
      <c r="E916" t="str">
        <f>_xlfn.XLOOKUP(Table1[[#This Row],[Player]]&amp;Table1[[#This Row],[Week]]&amp;Table1[[#This Row],[Role]],'Google Form Transform'!$A:$A,'Google Form Transform'!F:F,"")</f>
        <v/>
      </c>
      <c r="F916" t="str">
        <f>_xlfn.XLOOKUP(Table1[[#This Row],[Player]]&amp;Table1[[#This Row],[Week]]&amp;Table1[[#This Row],[Role]],'Google Form Transform'!$A:$A,'Google Form Transform'!G:G,"")</f>
        <v/>
      </c>
      <c r="G916" s="59">
        <f>SUMIFS(Table2[Stat],Table2[Stat Category],"passing",Table2[Stat Type],"YDS",Table2[Athlete],Table1[[#This Row],[Pick]],Table2[Week],Table1[[#This Row],[Week]])</f>
        <v>0</v>
      </c>
      <c r="H916" s="59">
        <f>SUMIFS(Table2[Stat],Table2[Stat Category],"rushing",Table2[Stat Type],"YDS",Table2[Athlete],Table1[[#This Row],[Pick]],Table2[Week],Table1[[#This Row],[Week]])</f>
        <v>0</v>
      </c>
      <c r="I916" s="59">
        <f>SUMIFS(Table2[Stat],Table2[Stat Category],"receiving",Table2[Stat Type],"YDS",Table2[Athlete],Table1[[#This Row],[Pick]],Table2[Week],Table1[[#This Row],[Week]])</f>
        <v>0</v>
      </c>
      <c r="J916" s="6">
        <f>IF(AND($C916="Rushing", $H916&lt;=0), 0, IF(AND($C916="Passing", $G$3&lt;=0), 0,IF(AND($C916="Receiving",$I916&lt;=0), 0,SUMIFS(Table2[Stat],Table2[Week],Table1[[#This Row],[Week]],Table2[Athlete],Table1[[#This Row],[Pick]],Table2[Stat Category],"passing",Table2[Stat Type],"TD"))))</f>
        <v>0</v>
      </c>
      <c r="K916" s="6">
        <f>IF(AND($C916="Rushing", $H916&lt;=0), 0, IF(AND($C916="Passing", $G$3&lt;=0), 0,IF(AND($C916="Receiving",$I916&lt;=0),0,SUMIFS(Table2[Stat],Table2[Week],Table1[[#This Row],[Week]],Table2[Athlete],Table1[[#This Row],[Pick]],Table2[Stat Category],"rushing",Table2[Stat Type],"TD"))))</f>
        <v>0</v>
      </c>
      <c r="L916" s="6">
        <f>IF(AND($C916="Rushing", $H916&lt;=0), 0, IF(AND($C916="Passing", $G$3&lt;=0), 0,IF(AND($C916="Receiving",$I916&lt;=0),0,SUMIFS(Table2[Stat],Table2[Week],Table1[[#This Row],[Week]],Table2[Athlete],Table1[[#This Row],[Pick]],Table2[Stat Category],"receiving",Table2[Stat Type],"TD"))))</f>
        <v>0</v>
      </c>
      <c r="M9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6" s="61">
        <f>SUMIFS(Data!$J:$J,Data!$A:$A,Info!$B916,Data!$G:$G,Info!$C916,Data!$I:$I,Info!$D916,Data!$H:$H,"TOT")</f>
        <v>0</v>
      </c>
      <c r="O916" s="61">
        <f>IF(C916="Defensive",SUMIFS(Data!$J:$J,Data!$A:$A,Info!$B916,Data!$I:$I,Info!$D916,Data!$H:$H,"INT"),0)</f>
        <v>0</v>
      </c>
      <c r="P916" s="61">
        <f>IF(Table1[[#This Row],[Role]]="Defensive",SUMIFS(Data!$J:$J,Data!$A:$A,Info!$B916,Data!$I:$I,Info!$D916,Data!$H:$H,$P$1),0)</f>
        <v>0</v>
      </c>
      <c r="Q916" s="65" t="str">
        <f>IF(Table1[[#This Row],[Pick]]="","",IF(S916&gt;1,400,IF(G916="","",IF(C916="Passing",(400-Table1[[#This Row],[Passing Yards]]-(30*Table1[[#This Row],[Passing TDs]])-(50*SUM(Table1[[#This Row],[Rushing TDs]:[Other TD''s]]))),IF(C916="Rushing",2*(200-Table1[[#This Row],[Rushing Yards]]-(30*Table1[[#This Row],[Passing TDs]])-50*(Table1[[#This Row],[Rushing TDs]]+Table1[[#This Row],[Receiving TDs]]+Table1[[#This Row],[Other TD''s]])),IF(C916="Receiving",2*(200-Table1[[#This Row],[Receiving Yards]]-(30*Table1[[#This Row],[Passing TDs]])-50*(Table1[[#This Row],[Rushing TDs]]+Table1[[#This Row],[Receiving TDs]]+Table1[[#This Row],[Other TD''s]])),IF(C916="Defensive",(25*(16-Table1[[#This Row],[Tackles]]-(8*(Table1[[#This Row],[Other TD''s]]+Table1[[#This Row],[Interceptions]]+Table1[[#This Row],[Fumbles Recovered]])))))))))))</f>
        <v/>
      </c>
      <c r="R916" s="3" t="str">
        <f t="shared" si="30"/>
        <v/>
      </c>
      <c r="S916" s="4">
        <f t="shared" si="29"/>
        <v>1048507</v>
      </c>
      <c r="T9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7" spans="1:20" hidden="1" x14ac:dyDescent="0.25">
      <c r="A917" t="s">
        <v>58</v>
      </c>
      <c r="B917" s="28" t="s">
        <v>57</v>
      </c>
      <c r="C917" t="s">
        <v>17</v>
      </c>
      <c r="D917" t="str">
        <f>_xlfn.XLOOKUP(Table1[[#This Row],[Player]]&amp;Table1[[#This Row],[Week]]&amp;Table1[[#This Row],[Role]],'Google Form Transform'!$A:$A,'Google Form Transform'!E:E,"")</f>
        <v/>
      </c>
      <c r="E917" t="str">
        <f>_xlfn.XLOOKUP(Table1[[#This Row],[Player]]&amp;Table1[[#This Row],[Week]]&amp;Table1[[#This Row],[Role]],'Google Form Transform'!$A:$A,'Google Form Transform'!F:F,"")</f>
        <v/>
      </c>
      <c r="F917" t="str">
        <f>_xlfn.XLOOKUP(Table1[[#This Row],[Player]]&amp;Table1[[#This Row],[Week]]&amp;Table1[[#This Row],[Role]],'Google Form Transform'!$A:$A,'Google Form Transform'!G:G,"")</f>
        <v/>
      </c>
      <c r="G917" s="59">
        <f>SUMIFS(Table2[Stat],Table2[Stat Category],"passing",Table2[Stat Type],"YDS",Table2[Athlete],Table1[[#This Row],[Pick]],Table2[Week],Table1[[#This Row],[Week]])</f>
        <v>0</v>
      </c>
      <c r="H917" s="59">
        <f>SUMIFS(Table2[Stat],Table2[Stat Category],"rushing",Table2[Stat Type],"YDS",Table2[Athlete],Table1[[#This Row],[Pick]],Table2[Week],Table1[[#This Row],[Week]])</f>
        <v>0</v>
      </c>
      <c r="I917" s="59">
        <f>SUMIFS(Table2[Stat],Table2[Stat Category],"receiving",Table2[Stat Type],"YDS",Table2[Athlete],Table1[[#This Row],[Pick]],Table2[Week],Table1[[#This Row],[Week]])</f>
        <v>0</v>
      </c>
      <c r="J917" s="6">
        <f>IF(AND($C917="Rushing", $H917&lt;=0), 0, IF(AND($C917="Passing", $G$3&lt;=0), 0,IF(AND($C917="Receiving",$I917&lt;=0), 0,SUMIFS(Table2[Stat],Table2[Week],Table1[[#This Row],[Week]],Table2[Athlete],Table1[[#This Row],[Pick]],Table2[Stat Category],"passing",Table2[Stat Type],"TD"))))</f>
        <v>0</v>
      </c>
      <c r="K917" s="6">
        <f>IF(AND($C917="Rushing", $H917&lt;=0), 0, IF(AND($C917="Passing", $G$3&lt;=0), 0,IF(AND($C917="Receiving",$I917&lt;=0),0,SUMIFS(Table2[Stat],Table2[Week],Table1[[#This Row],[Week]],Table2[Athlete],Table1[[#This Row],[Pick]],Table2[Stat Category],"rushing",Table2[Stat Type],"TD"))))</f>
        <v>0</v>
      </c>
      <c r="L917" s="6">
        <f>IF(AND($C917="Rushing", $H917&lt;=0), 0, IF(AND($C917="Passing", $G$3&lt;=0), 0,IF(AND($C917="Receiving",$I917&lt;=0),0,SUMIFS(Table2[Stat],Table2[Week],Table1[[#This Row],[Week]],Table2[Athlete],Table1[[#This Row],[Pick]],Table2[Stat Category],"receiving",Table2[Stat Type],"TD"))))</f>
        <v>0</v>
      </c>
      <c r="M9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7" s="61">
        <f>SUMIFS(Data!$J:$J,Data!$A:$A,Info!$B917,Data!$G:$G,Info!$C917,Data!$I:$I,Info!$D917,Data!$H:$H,"TOT")</f>
        <v>0</v>
      </c>
      <c r="O917" s="61">
        <f>IF(C917="Defensive",SUMIFS(Data!$J:$J,Data!$A:$A,Info!$B917,Data!$I:$I,Info!$D917,Data!$H:$H,"INT"),0)</f>
        <v>0</v>
      </c>
      <c r="P917" s="61">
        <f>IF(Table1[[#This Row],[Role]]="Defensive",SUMIFS(Data!$J:$J,Data!$A:$A,Info!$B917,Data!$I:$I,Info!$D917,Data!$H:$H,$P$1),0)</f>
        <v>0</v>
      </c>
      <c r="Q917" s="65" t="str">
        <f>IF(Table1[[#This Row],[Pick]]="","",IF(S917&gt;1,400,IF(G917="","",IF(C917="Passing",(400-Table1[[#This Row],[Passing Yards]]-(30*Table1[[#This Row],[Passing TDs]])-(50*SUM(Table1[[#This Row],[Rushing TDs]:[Other TD''s]]))),IF(C917="Rushing",2*(200-Table1[[#This Row],[Rushing Yards]]-(30*Table1[[#This Row],[Passing TDs]])-50*(Table1[[#This Row],[Rushing TDs]]+Table1[[#This Row],[Receiving TDs]]+Table1[[#This Row],[Other TD''s]])),IF(C917="Receiving",2*(200-Table1[[#This Row],[Receiving Yards]]-(30*Table1[[#This Row],[Passing TDs]])-50*(Table1[[#This Row],[Rushing TDs]]+Table1[[#This Row],[Receiving TDs]]+Table1[[#This Row],[Other TD''s]])),IF(C917="Defensive",(25*(16-Table1[[#This Row],[Tackles]]-(8*(Table1[[#This Row],[Other TD''s]]+Table1[[#This Row],[Interceptions]]+Table1[[#This Row],[Fumbles Recovered]])))))))))))</f>
        <v/>
      </c>
      <c r="R917" s="3" t="str">
        <f t="shared" si="30"/>
        <v/>
      </c>
      <c r="S917" s="4">
        <f t="shared" si="29"/>
        <v>1048507</v>
      </c>
      <c r="T9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8" spans="1:20" hidden="1" x14ac:dyDescent="0.25">
      <c r="A918" t="s">
        <v>58</v>
      </c>
      <c r="B918" s="28" t="s">
        <v>57</v>
      </c>
      <c r="C918" t="s">
        <v>20</v>
      </c>
      <c r="D918" t="str">
        <f>_xlfn.XLOOKUP(Table1[[#This Row],[Player]]&amp;Table1[[#This Row],[Week]]&amp;Table1[[#This Row],[Role]],'Google Form Transform'!$A:$A,'Google Form Transform'!E:E,"")</f>
        <v/>
      </c>
      <c r="E918" t="str">
        <f>_xlfn.XLOOKUP(Table1[[#This Row],[Player]]&amp;Table1[[#This Row],[Week]]&amp;Table1[[#This Row],[Role]],'Google Form Transform'!$A:$A,'Google Form Transform'!F:F,"")</f>
        <v/>
      </c>
      <c r="F918" t="str">
        <f>_xlfn.XLOOKUP(Table1[[#This Row],[Player]]&amp;Table1[[#This Row],[Week]]&amp;Table1[[#This Row],[Role]],'Google Form Transform'!$A:$A,'Google Form Transform'!G:G,"")</f>
        <v/>
      </c>
      <c r="G918" s="59">
        <f>SUMIFS(Table2[Stat],Table2[Stat Category],"passing",Table2[Stat Type],"YDS",Table2[Athlete],Table1[[#This Row],[Pick]],Table2[Week],Table1[[#This Row],[Week]])</f>
        <v>0</v>
      </c>
      <c r="H918" s="59">
        <f>SUMIFS(Table2[Stat],Table2[Stat Category],"rushing",Table2[Stat Type],"YDS",Table2[Athlete],Table1[[#This Row],[Pick]],Table2[Week],Table1[[#This Row],[Week]])</f>
        <v>0</v>
      </c>
      <c r="I918" s="59">
        <f>SUMIFS(Table2[Stat],Table2[Stat Category],"receiving",Table2[Stat Type],"YDS",Table2[Athlete],Table1[[#This Row],[Pick]],Table2[Week],Table1[[#This Row],[Week]])</f>
        <v>0</v>
      </c>
      <c r="J918" s="6">
        <f>IF(AND($C918="Rushing", $H918&lt;=0), 0, IF(AND($C918="Passing", $G$3&lt;=0), 0,IF(AND($C918="Receiving",$I918&lt;=0), 0,SUMIFS(Table2[Stat],Table2[Week],Table1[[#This Row],[Week]],Table2[Athlete],Table1[[#This Row],[Pick]],Table2[Stat Category],"passing",Table2[Stat Type],"TD"))))</f>
        <v>0</v>
      </c>
      <c r="K918" s="6">
        <f>IF(AND($C918="Rushing", $H918&lt;=0), 0, IF(AND($C918="Passing", $G$3&lt;=0), 0,IF(AND($C918="Receiving",$I918&lt;=0),0,SUMIFS(Table2[Stat],Table2[Week],Table1[[#This Row],[Week]],Table2[Athlete],Table1[[#This Row],[Pick]],Table2[Stat Category],"rushing",Table2[Stat Type],"TD"))))</f>
        <v>0</v>
      </c>
      <c r="L918" s="6">
        <f>IF(AND($C918="Rushing", $H918&lt;=0), 0, IF(AND($C918="Passing", $G$3&lt;=0), 0,IF(AND($C918="Receiving",$I918&lt;=0),0,SUMIFS(Table2[Stat],Table2[Week],Table1[[#This Row],[Week]],Table2[Athlete],Table1[[#This Row],[Pick]],Table2[Stat Category],"receiving",Table2[Stat Type],"TD"))))</f>
        <v>0</v>
      </c>
      <c r="M9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8" s="61">
        <f>SUMIFS(Data!$J:$J,Data!$A:$A,Info!$B918,Data!$G:$G,Info!$C918,Data!$I:$I,Info!$D918,Data!$H:$H,"TOT")</f>
        <v>0</v>
      </c>
      <c r="O918" s="61">
        <f>IF(C918="Defensive",SUMIFS(Data!$J:$J,Data!$A:$A,Info!$B918,Data!$I:$I,Info!$D918,Data!$H:$H,"INT"),0)</f>
        <v>0</v>
      </c>
      <c r="P918" s="61">
        <f>IF(Table1[[#This Row],[Role]]="Defensive",SUMIFS(Data!$J:$J,Data!$A:$A,Info!$B918,Data!$I:$I,Info!$D918,Data!$H:$H,$P$1),0)</f>
        <v>0</v>
      </c>
      <c r="Q918" s="65" t="str">
        <f>IF(Table1[[#This Row],[Pick]]="","",IF(S918&gt;1,400,IF(G918="","",IF(C918="Passing",(400-Table1[[#This Row],[Passing Yards]]-(30*Table1[[#This Row],[Passing TDs]])-(50*SUM(Table1[[#This Row],[Rushing TDs]:[Other TD''s]]))),IF(C918="Rushing",2*(200-Table1[[#This Row],[Rushing Yards]]-(30*Table1[[#This Row],[Passing TDs]])-50*(Table1[[#This Row],[Rushing TDs]]+Table1[[#This Row],[Receiving TDs]]+Table1[[#This Row],[Other TD''s]])),IF(C918="Receiving",2*(200-Table1[[#This Row],[Receiving Yards]]-(30*Table1[[#This Row],[Passing TDs]])-50*(Table1[[#This Row],[Rushing TDs]]+Table1[[#This Row],[Receiving TDs]]+Table1[[#This Row],[Other TD''s]])),IF(C918="Defensive",(25*(16-Table1[[#This Row],[Tackles]]-(8*(Table1[[#This Row],[Other TD''s]]+Table1[[#This Row],[Interceptions]]+Table1[[#This Row],[Fumbles Recovered]])))))))))))</f>
        <v/>
      </c>
      <c r="R918" s="3" t="str">
        <f t="shared" si="30"/>
        <v/>
      </c>
      <c r="S918" s="4">
        <f t="shared" si="29"/>
        <v>1048507</v>
      </c>
      <c r="T9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9" spans="1:20" hidden="1" x14ac:dyDescent="0.25">
      <c r="A919" t="s">
        <v>61</v>
      </c>
      <c r="B919" s="28" t="s">
        <v>57</v>
      </c>
      <c r="C919" t="s">
        <v>16</v>
      </c>
      <c r="D919" t="str">
        <f>_xlfn.XLOOKUP(Table1[[#This Row],[Player]]&amp;Table1[[#This Row],[Week]]&amp;Table1[[#This Row],[Role]],'Google Form Transform'!$A:$A,'Google Form Transform'!E:E,"")</f>
        <v/>
      </c>
      <c r="E919" t="str">
        <f>_xlfn.XLOOKUP(Table1[[#This Row],[Player]]&amp;Table1[[#This Row],[Week]]&amp;Table1[[#This Row],[Role]],'Google Form Transform'!$A:$A,'Google Form Transform'!F:F,"")</f>
        <v/>
      </c>
      <c r="F919" t="str">
        <f>_xlfn.XLOOKUP(Table1[[#This Row],[Player]]&amp;Table1[[#This Row],[Week]]&amp;Table1[[#This Row],[Role]],'Google Form Transform'!$A:$A,'Google Form Transform'!G:G,"")</f>
        <v/>
      </c>
      <c r="G919" s="59">
        <f>SUMIFS(Table2[Stat],Table2[Stat Category],"passing",Table2[Stat Type],"YDS",Table2[Athlete],Table1[[#This Row],[Pick]],Table2[Week],Table1[[#This Row],[Week]])</f>
        <v>0</v>
      </c>
      <c r="H919" s="59">
        <f>SUMIFS(Table2[Stat],Table2[Stat Category],"rushing",Table2[Stat Type],"YDS",Table2[Athlete],Table1[[#This Row],[Pick]],Table2[Week],Table1[[#This Row],[Week]])</f>
        <v>0</v>
      </c>
      <c r="I919" s="59">
        <f>SUMIFS(Table2[Stat],Table2[Stat Category],"receiving",Table2[Stat Type],"YDS",Table2[Athlete],Table1[[#This Row],[Pick]],Table2[Week],Table1[[#This Row],[Week]])</f>
        <v>0</v>
      </c>
      <c r="J919" s="6">
        <f>IF(AND($C919="Rushing", $H919&lt;=0), 0, IF(AND($C919="Passing", $G$3&lt;=0), 0,IF(AND($C919="Receiving",$I919&lt;=0), 0,SUMIFS(Table2[Stat],Table2[Week],Table1[[#This Row],[Week]],Table2[Athlete],Table1[[#This Row],[Pick]],Table2[Stat Category],"passing",Table2[Stat Type],"TD"))))</f>
        <v>0</v>
      </c>
      <c r="K919" s="6">
        <f>IF(AND($C919="Rushing", $H919&lt;=0), 0, IF(AND($C919="Passing", $G$3&lt;=0), 0,IF(AND($C919="Receiving",$I919&lt;=0),0,SUMIFS(Table2[Stat],Table2[Week],Table1[[#This Row],[Week]],Table2[Athlete],Table1[[#This Row],[Pick]],Table2[Stat Category],"rushing",Table2[Stat Type],"TD"))))</f>
        <v>0</v>
      </c>
      <c r="L919" s="6">
        <f>IF(AND($C919="Rushing", $H919&lt;=0), 0, IF(AND($C919="Passing", $G$3&lt;=0), 0,IF(AND($C919="Receiving",$I919&lt;=0),0,SUMIFS(Table2[Stat],Table2[Week],Table1[[#This Row],[Week]],Table2[Athlete],Table1[[#This Row],[Pick]],Table2[Stat Category],"receiving",Table2[Stat Type],"TD"))))</f>
        <v>0</v>
      </c>
      <c r="M9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9" s="61">
        <f>SUMIFS(Data!$J:$J,Data!$A:$A,Info!$B919,Data!$G:$G,Info!$C919,Data!$I:$I,Info!$D919,Data!$H:$H,"TOT")</f>
        <v>0</v>
      </c>
      <c r="O919" s="61">
        <f>IF(C919="Defensive",SUMIFS(Data!$J:$J,Data!$A:$A,Info!$B919,Data!$I:$I,Info!$D919,Data!$H:$H,"INT"),0)</f>
        <v>0</v>
      </c>
      <c r="P919" s="61">
        <f>IF(Table1[[#This Row],[Role]]="Defensive",SUMIFS(Data!$J:$J,Data!$A:$A,Info!$B919,Data!$I:$I,Info!$D919,Data!$H:$H,$P$1),0)</f>
        <v>0</v>
      </c>
      <c r="Q919" s="65" t="str">
        <f>IF(Table1[[#This Row],[Pick]]="","",IF(S919&gt;1,400,IF(G919="","",IF(C919="Passing",(400-Table1[[#This Row],[Passing Yards]]-(30*Table1[[#This Row],[Passing TDs]])-(50*SUM(Table1[[#This Row],[Rushing TDs]:[Other TD''s]]))),IF(C919="Rushing",2*(200-Table1[[#This Row],[Rushing Yards]]-(30*Table1[[#This Row],[Passing TDs]])-50*(Table1[[#This Row],[Rushing TDs]]+Table1[[#This Row],[Receiving TDs]]+Table1[[#This Row],[Other TD''s]])),IF(C919="Receiving",2*(200-Table1[[#This Row],[Receiving Yards]]-(30*Table1[[#This Row],[Passing TDs]])-50*(Table1[[#This Row],[Rushing TDs]]+Table1[[#This Row],[Receiving TDs]]+Table1[[#This Row],[Other TD''s]])),IF(C919="Defensive",(25*(16-Table1[[#This Row],[Tackles]]-(8*(Table1[[#This Row],[Other TD''s]]+Table1[[#This Row],[Interceptions]]+Table1[[#This Row],[Fumbles Recovered]])))))))))))</f>
        <v/>
      </c>
      <c r="R919" s="3" t="str">
        <f t="shared" si="30"/>
        <v/>
      </c>
      <c r="S919" s="4">
        <f t="shared" si="29"/>
        <v>1048507</v>
      </c>
      <c r="T9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0" spans="1:20" hidden="1" x14ac:dyDescent="0.25">
      <c r="A920" t="s">
        <v>61</v>
      </c>
      <c r="B920" s="28" t="s">
        <v>57</v>
      </c>
      <c r="C920" t="s">
        <v>6</v>
      </c>
      <c r="D920" t="str">
        <f>_xlfn.XLOOKUP(Table1[[#This Row],[Player]]&amp;Table1[[#This Row],[Week]]&amp;Table1[[#This Row],[Role]],'Google Form Transform'!$A:$A,'Google Form Transform'!E:E,"")</f>
        <v/>
      </c>
      <c r="E920" t="str">
        <f>_xlfn.XLOOKUP(Table1[[#This Row],[Player]]&amp;Table1[[#This Row],[Week]]&amp;Table1[[#This Row],[Role]],'Google Form Transform'!$A:$A,'Google Form Transform'!F:F,"")</f>
        <v/>
      </c>
      <c r="F920" t="str">
        <f>_xlfn.XLOOKUP(Table1[[#This Row],[Player]]&amp;Table1[[#This Row],[Week]]&amp;Table1[[#This Row],[Role]],'Google Form Transform'!$A:$A,'Google Form Transform'!G:G,"")</f>
        <v/>
      </c>
      <c r="G920" s="59">
        <f>SUMIFS(Table2[Stat],Table2[Stat Category],"passing",Table2[Stat Type],"YDS",Table2[Athlete],Table1[[#This Row],[Pick]],Table2[Week],Table1[[#This Row],[Week]])</f>
        <v>0</v>
      </c>
      <c r="H920" s="59">
        <f>SUMIFS(Table2[Stat],Table2[Stat Category],"rushing",Table2[Stat Type],"YDS",Table2[Athlete],Table1[[#This Row],[Pick]],Table2[Week],Table1[[#This Row],[Week]])</f>
        <v>0</v>
      </c>
      <c r="I920" s="59">
        <f>SUMIFS(Table2[Stat],Table2[Stat Category],"receiving",Table2[Stat Type],"YDS",Table2[Athlete],Table1[[#This Row],[Pick]],Table2[Week],Table1[[#This Row],[Week]])</f>
        <v>0</v>
      </c>
      <c r="J920" s="6">
        <f>IF(AND($C920="Rushing", $H920&lt;=0), 0, IF(AND($C920="Passing", $G$3&lt;=0), 0,IF(AND($C920="Receiving",$I920&lt;=0), 0,SUMIFS(Table2[Stat],Table2[Week],Table1[[#This Row],[Week]],Table2[Athlete],Table1[[#This Row],[Pick]],Table2[Stat Category],"passing",Table2[Stat Type],"TD"))))</f>
        <v>0</v>
      </c>
      <c r="K920" s="6">
        <f>IF(AND($C920="Rushing", $H920&lt;=0), 0, IF(AND($C920="Passing", $G$3&lt;=0), 0,IF(AND($C920="Receiving",$I920&lt;=0),0,SUMIFS(Table2[Stat],Table2[Week],Table1[[#This Row],[Week]],Table2[Athlete],Table1[[#This Row],[Pick]],Table2[Stat Category],"rushing",Table2[Stat Type],"TD"))))</f>
        <v>0</v>
      </c>
      <c r="L920" s="6">
        <f>IF(AND($C920="Rushing", $H920&lt;=0), 0, IF(AND($C920="Passing", $G$3&lt;=0), 0,IF(AND($C920="Receiving",$I920&lt;=0),0,SUMIFS(Table2[Stat],Table2[Week],Table1[[#This Row],[Week]],Table2[Athlete],Table1[[#This Row],[Pick]],Table2[Stat Category],"receiving",Table2[Stat Type],"TD"))))</f>
        <v>0</v>
      </c>
      <c r="M9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0" s="61">
        <f>SUMIFS(Data!$J:$J,Data!$A:$A,Info!$B920,Data!$G:$G,Info!$C920,Data!$I:$I,Info!$D920,Data!$H:$H,"TOT")</f>
        <v>0</v>
      </c>
      <c r="O920" s="61">
        <f>IF(C920="Defensive",SUMIFS(Data!$J:$J,Data!$A:$A,Info!$B920,Data!$I:$I,Info!$D920,Data!$H:$H,"INT"),0)</f>
        <v>0</v>
      </c>
      <c r="P920" s="61">
        <f>IF(Table1[[#This Row],[Role]]="Defensive",SUMIFS(Data!$J:$J,Data!$A:$A,Info!$B920,Data!$I:$I,Info!$D920,Data!$H:$H,$P$1),0)</f>
        <v>0</v>
      </c>
      <c r="Q920" s="65" t="str">
        <f>IF(Table1[[#This Row],[Pick]]="","",IF(S920&gt;1,400,IF(G920="","",IF(C920="Passing",(400-Table1[[#This Row],[Passing Yards]]-(30*Table1[[#This Row],[Passing TDs]])-(50*SUM(Table1[[#This Row],[Rushing TDs]:[Other TD''s]]))),IF(C920="Rushing",2*(200-Table1[[#This Row],[Rushing Yards]]-(30*Table1[[#This Row],[Passing TDs]])-50*(Table1[[#This Row],[Rushing TDs]]+Table1[[#This Row],[Receiving TDs]]+Table1[[#This Row],[Other TD''s]])),IF(C920="Receiving",2*(200-Table1[[#This Row],[Receiving Yards]]-(30*Table1[[#This Row],[Passing TDs]])-50*(Table1[[#This Row],[Rushing TDs]]+Table1[[#This Row],[Receiving TDs]]+Table1[[#This Row],[Other TD''s]])),IF(C920="Defensive",(25*(16-Table1[[#This Row],[Tackles]]-(8*(Table1[[#This Row],[Other TD''s]]+Table1[[#This Row],[Interceptions]]+Table1[[#This Row],[Fumbles Recovered]])))))))))))</f>
        <v/>
      </c>
      <c r="R920" s="3" t="str">
        <f t="shared" si="30"/>
        <v/>
      </c>
      <c r="S920" s="4">
        <f t="shared" si="29"/>
        <v>1048507</v>
      </c>
      <c r="T9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1" spans="1:20" hidden="1" x14ac:dyDescent="0.25">
      <c r="A921" t="s">
        <v>61</v>
      </c>
      <c r="B921" s="28" t="s">
        <v>57</v>
      </c>
      <c r="C921" t="s">
        <v>17</v>
      </c>
      <c r="D921" t="str">
        <f>_xlfn.XLOOKUP(Table1[[#This Row],[Player]]&amp;Table1[[#This Row],[Week]]&amp;Table1[[#This Row],[Role]],'Google Form Transform'!$A:$A,'Google Form Transform'!E:E,"")</f>
        <v/>
      </c>
      <c r="E921" t="str">
        <f>_xlfn.XLOOKUP(Table1[[#This Row],[Player]]&amp;Table1[[#This Row],[Week]]&amp;Table1[[#This Row],[Role]],'Google Form Transform'!$A:$A,'Google Form Transform'!F:F,"")</f>
        <v/>
      </c>
      <c r="F921" t="str">
        <f>_xlfn.XLOOKUP(Table1[[#This Row],[Player]]&amp;Table1[[#This Row],[Week]]&amp;Table1[[#This Row],[Role]],'Google Form Transform'!$A:$A,'Google Form Transform'!G:G,"")</f>
        <v/>
      </c>
      <c r="G921" s="59">
        <f>SUMIFS(Table2[Stat],Table2[Stat Category],"passing",Table2[Stat Type],"YDS",Table2[Athlete],Table1[[#This Row],[Pick]],Table2[Week],Table1[[#This Row],[Week]])</f>
        <v>0</v>
      </c>
      <c r="H921" s="59">
        <f>SUMIFS(Table2[Stat],Table2[Stat Category],"rushing",Table2[Stat Type],"YDS",Table2[Athlete],Table1[[#This Row],[Pick]],Table2[Week],Table1[[#This Row],[Week]])</f>
        <v>0</v>
      </c>
      <c r="I921" s="59">
        <f>SUMIFS(Table2[Stat],Table2[Stat Category],"receiving",Table2[Stat Type],"YDS",Table2[Athlete],Table1[[#This Row],[Pick]],Table2[Week],Table1[[#This Row],[Week]])</f>
        <v>0</v>
      </c>
      <c r="J921" s="6">
        <f>IF(AND($C921="Rushing", $H921&lt;=0), 0, IF(AND($C921="Passing", $G$3&lt;=0), 0,IF(AND($C921="Receiving",$I921&lt;=0), 0,SUMIFS(Table2[Stat],Table2[Week],Table1[[#This Row],[Week]],Table2[Athlete],Table1[[#This Row],[Pick]],Table2[Stat Category],"passing",Table2[Stat Type],"TD"))))</f>
        <v>0</v>
      </c>
      <c r="K921" s="6">
        <f>IF(AND($C921="Rushing", $H921&lt;=0), 0, IF(AND($C921="Passing", $G$3&lt;=0), 0,IF(AND($C921="Receiving",$I921&lt;=0),0,SUMIFS(Table2[Stat],Table2[Week],Table1[[#This Row],[Week]],Table2[Athlete],Table1[[#This Row],[Pick]],Table2[Stat Category],"rushing",Table2[Stat Type],"TD"))))</f>
        <v>0</v>
      </c>
      <c r="L921" s="6">
        <f>IF(AND($C921="Rushing", $H921&lt;=0), 0, IF(AND($C921="Passing", $G$3&lt;=0), 0,IF(AND($C921="Receiving",$I921&lt;=0),0,SUMIFS(Table2[Stat],Table2[Week],Table1[[#This Row],[Week]],Table2[Athlete],Table1[[#This Row],[Pick]],Table2[Stat Category],"receiving",Table2[Stat Type],"TD"))))</f>
        <v>0</v>
      </c>
      <c r="M9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1" s="61">
        <f>SUMIFS(Data!$J:$J,Data!$A:$A,Info!$B921,Data!$G:$G,Info!$C921,Data!$I:$I,Info!$D921,Data!$H:$H,"TOT")</f>
        <v>0</v>
      </c>
      <c r="O921" s="61">
        <f>IF(C921="Defensive",SUMIFS(Data!$J:$J,Data!$A:$A,Info!$B921,Data!$I:$I,Info!$D921,Data!$H:$H,"INT"),0)</f>
        <v>0</v>
      </c>
      <c r="P921" s="61">
        <f>IF(Table1[[#This Row],[Role]]="Defensive",SUMIFS(Data!$J:$J,Data!$A:$A,Info!$B921,Data!$I:$I,Info!$D921,Data!$H:$H,$P$1),0)</f>
        <v>0</v>
      </c>
      <c r="Q921" s="65" t="str">
        <f>IF(Table1[[#This Row],[Pick]]="","",IF(S921&gt;1,400,IF(G921="","",IF(C921="Passing",(400-Table1[[#This Row],[Passing Yards]]-(30*Table1[[#This Row],[Passing TDs]])-(50*SUM(Table1[[#This Row],[Rushing TDs]:[Other TD''s]]))),IF(C921="Rushing",2*(200-Table1[[#This Row],[Rushing Yards]]-(30*Table1[[#This Row],[Passing TDs]])-50*(Table1[[#This Row],[Rushing TDs]]+Table1[[#This Row],[Receiving TDs]]+Table1[[#This Row],[Other TD''s]])),IF(C921="Receiving",2*(200-Table1[[#This Row],[Receiving Yards]]-(30*Table1[[#This Row],[Passing TDs]])-50*(Table1[[#This Row],[Rushing TDs]]+Table1[[#This Row],[Receiving TDs]]+Table1[[#This Row],[Other TD''s]])),IF(C921="Defensive",(25*(16-Table1[[#This Row],[Tackles]]-(8*(Table1[[#This Row],[Other TD''s]]+Table1[[#This Row],[Interceptions]]+Table1[[#This Row],[Fumbles Recovered]])))))))))))</f>
        <v/>
      </c>
      <c r="R921" s="3" t="str">
        <f t="shared" si="30"/>
        <v/>
      </c>
      <c r="S921" s="4">
        <f t="shared" si="29"/>
        <v>1048507</v>
      </c>
      <c r="T9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2" spans="1:20" hidden="1" x14ac:dyDescent="0.25">
      <c r="A922" t="s">
        <v>61</v>
      </c>
      <c r="B922" s="28" t="s">
        <v>57</v>
      </c>
      <c r="C922" t="s">
        <v>20</v>
      </c>
      <c r="D922" t="str">
        <f>_xlfn.XLOOKUP(Table1[[#This Row],[Player]]&amp;Table1[[#This Row],[Week]]&amp;Table1[[#This Row],[Role]],'Google Form Transform'!$A:$A,'Google Form Transform'!E:E,"")</f>
        <v/>
      </c>
      <c r="E922" t="str">
        <f>_xlfn.XLOOKUP(Table1[[#This Row],[Player]]&amp;Table1[[#This Row],[Week]]&amp;Table1[[#This Row],[Role]],'Google Form Transform'!$A:$A,'Google Form Transform'!F:F,"")</f>
        <v/>
      </c>
      <c r="F922" t="str">
        <f>_xlfn.XLOOKUP(Table1[[#This Row],[Player]]&amp;Table1[[#This Row],[Week]]&amp;Table1[[#This Row],[Role]],'Google Form Transform'!$A:$A,'Google Form Transform'!G:G,"")</f>
        <v/>
      </c>
      <c r="G922" s="59">
        <f>SUMIFS(Table2[Stat],Table2[Stat Category],"passing",Table2[Stat Type],"YDS",Table2[Athlete],Table1[[#This Row],[Pick]],Table2[Week],Table1[[#This Row],[Week]])</f>
        <v>0</v>
      </c>
      <c r="H922" s="59">
        <f>SUMIFS(Table2[Stat],Table2[Stat Category],"rushing",Table2[Stat Type],"YDS",Table2[Athlete],Table1[[#This Row],[Pick]],Table2[Week],Table1[[#This Row],[Week]])</f>
        <v>0</v>
      </c>
      <c r="I922" s="59">
        <f>SUMIFS(Table2[Stat],Table2[Stat Category],"receiving",Table2[Stat Type],"YDS",Table2[Athlete],Table1[[#This Row],[Pick]],Table2[Week],Table1[[#This Row],[Week]])</f>
        <v>0</v>
      </c>
      <c r="J922" s="6">
        <f>IF(AND($C922="Rushing", $H922&lt;=0), 0, IF(AND($C922="Passing", $G$3&lt;=0), 0,IF(AND($C922="Receiving",$I922&lt;=0), 0,SUMIFS(Table2[Stat],Table2[Week],Table1[[#This Row],[Week]],Table2[Athlete],Table1[[#This Row],[Pick]],Table2[Stat Category],"passing",Table2[Stat Type],"TD"))))</f>
        <v>0</v>
      </c>
      <c r="K922" s="6">
        <f>IF(AND($C922="Rushing", $H922&lt;=0), 0, IF(AND($C922="Passing", $G$3&lt;=0), 0,IF(AND($C922="Receiving",$I922&lt;=0),0,SUMIFS(Table2[Stat],Table2[Week],Table1[[#This Row],[Week]],Table2[Athlete],Table1[[#This Row],[Pick]],Table2[Stat Category],"rushing",Table2[Stat Type],"TD"))))</f>
        <v>0</v>
      </c>
      <c r="L922" s="6">
        <f>IF(AND($C922="Rushing", $H922&lt;=0), 0, IF(AND($C922="Passing", $G$3&lt;=0), 0,IF(AND($C922="Receiving",$I922&lt;=0),0,SUMIFS(Table2[Stat],Table2[Week],Table1[[#This Row],[Week]],Table2[Athlete],Table1[[#This Row],[Pick]],Table2[Stat Category],"receiving",Table2[Stat Type],"TD"))))</f>
        <v>0</v>
      </c>
      <c r="M9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2" s="61">
        <f>SUMIFS(Data!$J:$J,Data!$A:$A,Info!$B922,Data!$G:$G,Info!$C922,Data!$I:$I,Info!$D922,Data!$H:$H,"TOT")</f>
        <v>0</v>
      </c>
      <c r="O922" s="61">
        <f>IF(C922="Defensive",SUMIFS(Data!$J:$J,Data!$A:$A,Info!$B922,Data!$I:$I,Info!$D922,Data!$H:$H,"INT"),0)</f>
        <v>0</v>
      </c>
      <c r="P922" s="61">
        <f>IF(Table1[[#This Row],[Role]]="Defensive",SUMIFS(Data!$J:$J,Data!$A:$A,Info!$B922,Data!$I:$I,Info!$D922,Data!$H:$H,$P$1),0)</f>
        <v>0</v>
      </c>
      <c r="Q922" s="65" t="str">
        <f>IF(Table1[[#This Row],[Pick]]="","",IF(S922&gt;1,400,IF(G922="","",IF(C922="Passing",(400-Table1[[#This Row],[Passing Yards]]-(30*Table1[[#This Row],[Passing TDs]])-(50*SUM(Table1[[#This Row],[Rushing TDs]:[Other TD''s]]))),IF(C922="Rushing",2*(200-Table1[[#This Row],[Rushing Yards]]-(30*Table1[[#This Row],[Passing TDs]])-50*(Table1[[#This Row],[Rushing TDs]]+Table1[[#This Row],[Receiving TDs]]+Table1[[#This Row],[Other TD''s]])),IF(C922="Receiving",2*(200-Table1[[#This Row],[Receiving Yards]]-(30*Table1[[#This Row],[Passing TDs]])-50*(Table1[[#This Row],[Rushing TDs]]+Table1[[#This Row],[Receiving TDs]]+Table1[[#This Row],[Other TD''s]])),IF(C922="Defensive",(25*(16-Table1[[#This Row],[Tackles]]-(8*(Table1[[#This Row],[Other TD''s]]+Table1[[#This Row],[Interceptions]]+Table1[[#This Row],[Fumbles Recovered]])))))))))))</f>
        <v/>
      </c>
      <c r="R922" s="3" t="str">
        <f t="shared" si="30"/>
        <v/>
      </c>
      <c r="S922" s="4">
        <f t="shared" si="29"/>
        <v>1048507</v>
      </c>
      <c r="T9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3" spans="1:20" hidden="1" x14ac:dyDescent="0.25">
      <c r="A923" t="s">
        <v>60</v>
      </c>
      <c r="B923" s="28" t="s">
        <v>57</v>
      </c>
      <c r="C923" t="s">
        <v>16</v>
      </c>
      <c r="D923" t="str">
        <f>_xlfn.XLOOKUP(Table1[[#This Row],[Player]]&amp;Table1[[#This Row],[Week]]&amp;Table1[[#This Row],[Role]],'Google Form Transform'!$A:$A,'Google Form Transform'!E:E,"")</f>
        <v/>
      </c>
      <c r="E923" t="str">
        <f>_xlfn.XLOOKUP(Table1[[#This Row],[Player]]&amp;Table1[[#This Row],[Week]]&amp;Table1[[#This Row],[Role]],'Google Form Transform'!$A:$A,'Google Form Transform'!F:F,"")</f>
        <v/>
      </c>
      <c r="F923" t="str">
        <f>_xlfn.XLOOKUP(Table1[[#This Row],[Player]]&amp;Table1[[#This Row],[Week]]&amp;Table1[[#This Row],[Role]],'Google Form Transform'!$A:$A,'Google Form Transform'!G:G,"")</f>
        <v/>
      </c>
      <c r="G923" s="59">
        <f>SUMIFS(Table2[Stat],Table2[Stat Category],"passing",Table2[Stat Type],"YDS",Table2[Athlete],Table1[[#This Row],[Pick]],Table2[Week],Table1[[#This Row],[Week]])</f>
        <v>0</v>
      </c>
      <c r="H923" s="59">
        <f>SUMIFS(Table2[Stat],Table2[Stat Category],"rushing",Table2[Stat Type],"YDS",Table2[Athlete],Table1[[#This Row],[Pick]],Table2[Week],Table1[[#This Row],[Week]])</f>
        <v>0</v>
      </c>
      <c r="I923" s="59">
        <f>SUMIFS(Table2[Stat],Table2[Stat Category],"receiving",Table2[Stat Type],"YDS",Table2[Athlete],Table1[[#This Row],[Pick]],Table2[Week],Table1[[#This Row],[Week]])</f>
        <v>0</v>
      </c>
      <c r="J923" s="6">
        <f>IF(AND($C923="Rushing", $H923&lt;=0), 0, IF(AND($C923="Passing", $G$3&lt;=0), 0,IF(AND($C923="Receiving",$I923&lt;=0), 0,SUMIFS(Table2[Stat],Table2[Week],Table1[[#This Row],[Week]],Table2[Athlete],Table1[[#This Row],[Pick]],Table2[Stat Category],"passing",Table2[Stat Type],"TD"))))</f>
        <v>0</v>
      </c>
      <c r="K923" s="6">
        <f>IF(AND($C923="Rushing", $H923&lt;=0), 0, IF(AND($C923="Passing", $G$3&lt;=0), 0,IF(AND($C923="Receiving",$I923&lt;=0),0,SUMIFS(Table2[Stat],Table2[Week],Table1[[#This Row],[Week]],Table2[Athlete],Table1[[#This Row],[Pick]],Table2[Stat Category],"rushing",Table2[Stat Type],"TD"))))</f>
        <v>0</v>
      </c>
      <c r="L923" s="6">
        <f>IF(AND($C923="Rushing", $H923&lt;=0), 0, IF(AND($C923="Passing", $G$3&lt;=0), 0,IF(AND($C923="Receiving",$I923&lt;=0),0,SUMIFS(Table2[Stat],Table2[Week],Table1[[#This Row],[Week]],Table2[Athlete],Table1[[#This Row],[Pick]],Table2[Stat Category],"receiving",Table2[Stat Type],"TD"))))</f>
        <v>0</v>
      </c>
      <c r="M9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3" s="61">
        <f>SUMIFS(Data!$J:$J,Data!$A:$A,Info!$B923,Data!$G:$G,Info!$C923,Data!$I:$I,Info!$D923,Data!$H:$H,"TOT")</f>
        <v>0</v>
      </c>
      <c r="O923" s="61">
        <f>IF(C923="Defensive",SUMIFS(Data!$J:$J,Data!$A:$A,Info!$B923,Data!$I:$I,Info!$D923,Data!$H:$H,"INT"),0)</f>
        <v>0</v>
      </c>
      <c r="P923" s="61">
        <f>IF(Table1[[#This Row],[Role]]="Defensive",SUMIFS(Data!$J:$J,Data!$A:$A,Info!$B923,Data!$I:$I,Info!$D923,Data!$H:$H,$P$1),0)</f>
        <v>0</v>
      </c>
      <c r="Q923" s="65" t="str">
        <f>IF(Table1[[#This Row],[Pick]]="","",IF(S923&gt;1,400,IF(G923="","",IF(C923="Passing",(400-Table1[[#This Row],[Passing Yards]]-(30*Table1[[#This Row],[Passing TDs]])-(50*SUM(Table1[[#This Row],[Rushing TDs]:[Other TD''s]]))),IF(C923="Rushing",2*(200-Table1[[#This Row],[Rushing Yards]]-(30*Table1[[#This Row],[Passing TDs]])-50*(Table1[[#This Row],[Rushing TDs]]+Table1[[#This Row],[Receiving TDs]]+Table1[[#This Row],[Other TD''s]])),IF(C923="Receiving",2*(200-Table1[[#This Row],[Receiving Yards]]-(30*Table1[[#This Row],[Passing TDs]])-50*(Table1[[#This Row],[Rushing TDs]]+Table1[[#This Row],[Receiving TDs]]+Table1[[#This Row],[Other TD''s]])),IF(C923="Defensive",(25*(16-Table1[[#This Row],[Tackles]]-(8*(Table1[[#This Row],[Other TD''s]]+Table1[[#This Row],[Interceptions]]+Table1[[#This Row],[Fumbles Recovered]])))))))))))</f>
        <v/>
      </c>
      <c r="R923" s="3" t="str">
        <f t="shared" si="30"/>
        <v/>
      </c>
      <c r="S923" s="4">
        <f t="shared" si="29"/>
        <v>1048507</v>
      </c>
      <c r="T9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4" spans="1:20" hidden="1" x14ac:dyDescent="0.25">
      <c r="A924" t="s">
        <v>60</v>
      </c>
      <c r="B924" s="28" t="s">
        <v>57</v>
      </c>
      <c r="C924" t="s">
        <v>6</v>
      </c>
      <c r="D924" t="str">
        <f>_xlfn.XLOOKUP(Table1[[#This Row],[Player]]&amp;Table1[[#This Row],[Week]]&amp;Table1[[#This Row],[Role]],'Google Form Transform'!$A:$A,'Google Form Transform'!E:E,"")</f>
        <v/>
      </c>
      <c r="E924" t="str">
        <f>_xlfn.XLOOKUP(Table1[[#This Row],[Player]]&amp;Table1[[#This Row],[Week]]&amp;Table1[[#This Row],[Role]],'Google Form Transform'!$A:$A,'Google Form Transform'!F:F,"")</f>
        <v/>
      </c>
      <c r="F924" t="str">
        <f>_xlfn.XLOOKUP(Table1[[#This Row],[Player]]&amp;Table1[[#This Row],[Week]]&amp;Table1[[#This Row],[Role]],'Google Form Transform'!$A:$A,'Google Form Transform'!G:G,"")</f>
        <v/>
      </c>
      <c r="G924" s="59">
        <f>SUMIFS(Table2[Stat],Table2[Stat Category],"passing",Table2[Stat Type],"YDS",Table2[Athlete],Table1[[#This Row],[Pick]],Table2[Week],Table1[[#This Row],[Week]])</f>
        <v>0</v>
      </c>
      <c r="H924" s="59">
        <f>SUMIFS(Table2[Stat],Table2[Stat Category],"rushing",Table2[Stat Type],"YDS",Table2[Athlete],Table1[[#This Row],[Pick]],Table2[Week],Table1[[#This Row],[Week]])</f>
        <v>0</v>
      </c>
      <c r="I924" s="59">
        <f>SUMIFS(Table2[Stat],Table2[Stat Category],"receiving",Table2[Stat Type],"YDS",Table2[Athlete],Table1[[#This Row],[Pick]],Table2[Week],Table1[[#This Row],[Week]])</f>
        <v>0</v>
      </c>
      <c r="J924" s="6">
        <f>IF(AND($C924="Rushing", $H924&lt;=0), 0, IF(AND($C924="Passing", $G$3&lt;=0), 0,IF(AND($C924="Receiving",$I924&lt;=0), 0,SUMIFS(Table2[Stat],Table2[Week],Table1[[#This Row],[Week]],Table2[Athlete],Table1[[#This Row],[Pick]],Table2[Stat Category],"passing",Table2[Stat Type],"TD"))))</f>
        <v>0</v>
      </c>
      <c r="K924" s="6">
        <f>IF(AND($C924="Rushing", $H924&lt;=0), 0, IF(AND($C924="Passing", $G$3&lt;=0), 0,IF(AND($C924="Receiving",$I924&lt;=0),0,SUMIFS(Table2[Stat],Table2[Week],Table1[[#This Row],[Week]],Table2[Athlete],Table1[[#This Row],[Pick]],Table2[Stat Category],"rushing",Table2[Stat Type],"TD"))))</f>
        <v>0</v>
      </c>
      <c r="L924" s="6">
        <f>IF(AND($C924="Rushing", $H924&lt;=0), 0, IF(AND($C924="Passing", $G$3&lt;=0), 0,IF(AND($C924="Receiving",$I924&lt;=0),0,SUMIFS(Table2[Stat],Table2[Week],Table1[[#This Row],[Week]],Table2[Athlete],Table1[[#This Row],[Pick]],Table2[Stat Category],"receiving",Table2[Stat Type],"TD"))))</f>
        <v>0</v>
      </c>
      <c r="M9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4" s="61">
        <f>SUMIFS(Data!$J:$J,Data!$A:$A,Info!$B924,Data!$G:$G,Info!$C924,Data!$I:$I,Info!$D924,Data!$H:$H,"TOT")</f>
        <v>0</v>
      </c>
      <c r="O924" s="61">
        <f>IF(C924="Defensive",SUMIFS(Data!$J:$J,Data!$A:$A,Info!$B924,Data!$I:$I,Info!$D924,Data!$H:$H,"INT"),0)</f>
        <v>0</v>
      </c>
      <c r="P924" s="61">
        <f>IF(Table1[[#This Row],[Role]]="Defensive",SUMIFS(Data!$J:$J,Data!$A:$A,Info!$B924,Data!$I:$I,Info!$D924,Data!$H:$H,$P$1),0)</f>
        <v>0</v>
      </c>
      <c r="Q924" s="65" t="str">
        <f>IF(Table1[[#This Row],[Pick]]="","",IF(S924&gt;1,400,IF(G924="","",IF(C924="Passing",(400-Table1[[#This Row],[Passing Yards]]-(30*Table1[[#This Row],[Passing TDs]])-(50*SUM(Table1[[#This Row],[Rushing TDs]:[Other TD''s]]))),IF(C924="Rushing",2*(200-Table1[[#This Row],[Rushing Yards]]-(30*Table1[[#This Row],[Passing TDs]])-50*(Table1[[#This Row],[Rushing TDs]]+Table1[[#This Row],[Receiving TDs]]+Table1[[#This Row],[Other TD''s]])),IF(C924="Receiving",2*(200-Table1[[#This Row],[Receiving Yards]]-(30*Table1[[#This Row],[Passing TDs]])-50*(Table1[[#This Row],[Rushing TDs]]+Table1[[#This Row],[Receiving TDs]]+Table1[[#This Row],[Other TD''s]])),IF(C924="Defensive",(25*(16-Table1[[#This Row],[Tackles]]-(8*(Table1[[#This Row],[Other TD''s]]+Table1[[#This Row],[Interceptions]]+Table1[[#This Row],[Fumbles Recovered]])))))))))))</f>
        <v/>
      </c>
      <c r="R924" s="3" t="str">
        <f t="shared" si="30"/>
        <v/>
      </c>
      <c r="S924" s="4">
        <f t="shared" si="29"/>
        <v>1048507</v>
      </c>
      <c r="T9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5" spans="1:20" hidden="1" x14ac:dyDescent="0.25">
      <c r="A925" t="s">
        <v>60</v>
      </c>
      <c r="B925" s="28" t="s">
        <v>57</v>
      </c>
      <c r="C925" t="s">
        <v>17</v>
      </c>
      <c r="D925" t="str">
        <f>_xlfn.XLOOKUP(Table1[[#This Row],[Player]]&amp;Table1[[#This Row],[Week]]&amp;Table1[[#This Row],[Role]],'Google Form Transform'!$A:$A,'Google Form Transform'!E:E,"")</f>
        <v/>
      </c>
      <c r="E925" t="str">
        <f>_xlfn.XLOOKUP(Table1[[#This Row],[Player]]&amp;Table1[[#This Row],[Week]]&amp;Table1[[#This Row],[Role]],'Google Form Transform'!$A:$A,'Google Form Transform'!F:F,"")</f>
        <v/>
      </c>
      <c r="F925" t="str">
        <f>_xlfn.XLOOKUP(Table1[[#This Row],[Player]]&amp;Table1[[#This Row],[Week]]&amp;Table1[[#This Row],[Role]],'Google Form Transform'!$A:$A,'Google Form Transform'!G:G,"")</f>
        <v/>
      </c>
      <c r="G925" s="59">
        <f>SUMIFS(Table2[Stat],Table2[Stat Category],"passing",Table2[Stat Type],"YDS",Table2[Athlete],Table1[[#This Row],[Pick]],Table2[Week],Table1[[#This Row],[Week]])</f>
        <v>0</v>
      </c>
      <c r="H925" s="59">
        <f>SUMIFS(Table2[Stat],Table2[Stat Category],"rushing",Table2[Stat Type],"YDS",Table2[Athlete],Table1[[#This Row],[Pick]],Table2[Week],Table1[[#This Row],[Week]])</f>
        <v>0</v>
      </c>
      <c r="I925" s="59">
        <f>SUMIFS(Table2[Stat],Table2[Stat Category],"receiving",Table2[Stat Type],"YDS",Table2[Athlete],Table1[[#This Row],[Pick]],Table2[Week],Table1[[#This Row],[Week]])</f>
        <v>0</v>
      </c>
      <c r="J925" s="6">
        <f>IF(AND($C925="Rushing", $H925&lt;=0), 0, IF(AND($C925="Passing", $G$3&lt;=0), 0,IF(AND($C925="Receiving",$I925&lt;=0), 0,SUMIFS(Table2[Stat],Table2[Week],Table1[[#This Row],[Week]],Table2[Athlete],Table1[[#This Row],[Pick]],Table2[Stat Category],"passing",Table2[Stat Type],"TD"))))</f>
        <v>0</v>
      </c>
      <c r="K925" s="6">
        <f>IF(AND($C925="Rushing", $H925&lt;=0), 0, IF(AND($C925="Passing", $G$3&lt;=0), 0,IF(AND($C925="Receiving",$I925&lt;=0),0,SUMIFS(Table2[Stat],Table2[Week],Table1[[#This Row],[Week]],Table2[Athlete],Table1[[#This Row],[Pick]],Table2[Stat Category],"rushing",Table2[Stat Type],"TD"))))</f>
        <v>0</v>
      </c>
      <c r="L925" s="6">
        <f>IF(AND($C925="Rushing", $H925&lt;=0), 0, IF(AND($C925="Passing", $G$3&lt;=0), 0,IF(AND($C925="Receiving",$I925&lt;=0),0,SUMIFS(Table2[Stat],Table2[Week],Table1[[#This Row],[Week]],Table2[Athlete],Table1[[#This Row],[Pick]],Table2[Stat Category],"receiving",Table2[Stat Type],"TD"))))</f>
        <v>0</v>
      </c>
      <c r="M9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5" s="61">
        <f>SUMIFS(Data!$J:$J,Data!$A:$A,Info!$B925,Data!$G:$G,Info!$C925,Data!$I:$I,Info!$D925,Data!$H:$H,"TOT")</f>
        <v>0</v>
      </c>
      <c r="O925" s="61">
        <f>IF(C925="Defensive",SUMIFS(Data!$J:$J,Data!$A:$A,Info!$B925,Data!$I:$I,Info!$D925,Data!$H:$H,"INT"),0)</f>
        <v>0</v>
      </c>
      <c r="P925" s="61">
        <f>IF(Table1[[#This Row],[Role]]="Defensive",SUMIFS(Data!$J:$J,Data!$A:$A,Info!$B925,Data!$I:$I,Info!$D925,Data!$H:$H,$P$1),0)</f>
        <v>0</v>
      </c>
      <c r="Q925" s="65" t="str">
        <f>IF(Table1[[#This Row],[Pick]]="","",IF(S925&gt;1,400,IF(G925="","",IF(C925="Passing",(400-Table1[[#This Row],[Passing Yards]]-(30*Table1[[#This Row],[Passing TDs]])-(50*SUM(Table1[[#This Row],[Rushing TDs]:[Other TD''s]]))),IF(C925="Rushing",2*(200-Table1[[#This Row],[Rushing Yards]]-(30*Table1[[#This Row],[Passing TDs]])-50*(Table1[[#This Row],[Rushing TDs]]+Table1[[#This Row],[Receiving TDs]]+Table1[[#This Row],[Other TD''s]])),IF(C925="Receiving",2*(200-Table1[[#This Row],[Receiving Yards]]-(30*Table1[[#This Row],[Passing TDs]])-50*(Table1[[#This Row],[Rushing TDs]]+Table1[[#This Row],[Receiving TDs]]+Table1[[#This Row],[Other TD''s]])),IF(C925="Defensive",(25*(16-Table1[[#This Row],[Tackles]]-(8*(Table1[[#This Row],[Other TD''s]]+Table1[[#This Row],[Interceptions]]+Table1[[#This Row],[Fumbles Recovered]])))))))))))</f>
        <v/>
      </c>
      <c r="R925" s="3" t="str">
        <f t="shared" si="30"/>
        <v/>
      </c>
      <c r="S925" s="4">
        <f t="shared" si="29"/>
        <v>1048507</v>
      </c>
      <c r="T9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6" spans="1:20" hidden="1" x14ac:dyDescent="0.25">
      <c r="A926" t="s">
        <v>60</v>
      </c>
      <c r="B926" s="28" t="s">
        <v>57</v>
      </c>
      <c r="C926" t="s">
        <v>20</v>
      </c>
      <c r="D926" t="str">
        <f>_xlfn.XLOOKUP(Table1[[#This Row],[Player]]&amp;Table1[[#This Row],[Week]]&amp;Table1[[#This Row],[Role]],'Google Form Transform'!$A:$A,'Google Form Transform'!E:E,"")</f>
        <v/>
      </c>
      <c r="E926" t="str">
        <f>_xlfn.XLOOKUP(Table1[[#This Row],[Player]]&amp;Table1[[#This Row],[Week]]&amp;Table1[[#This Row],[Role]],'Google Form Transform'!$A:$A,'Google Form Transform'!F:F,"")</f>
        <v/>
      </c>
      <c r="F926" t="str">
        <f>_xlfn.XLOOKUP(Table1[[#This Row],[Player]]&amp;Table1[[#This Row],[Week]]&amp;Table1[[#This Row],[Role]],'Google Form Transform'!$A:$A,'Google Form Transform'!G:G,"")</f>
        <v/>
      </c>
      <c r="G926" s="59">
        <f>SUMIFS(Table2[Stat],Table2[Stat Category],"passing",Table2[Stat Type],"YDS",Table2[Athlete],Table1[[#This Row],[Pick]],Table2[Week],Table1[[#This Row],[Week]])</f>
        <v>0</v>
      </c>
      <c r="H926" s="59">
        <f>SUMIFS(Table2[Stat],Table2[Stat Category],"rushing",Table2[Stat Type],"YDS",Table2[Athlete],Table1[[#This Row],[Pick]],Table2[Week],Table1[[#This Row],[Week]])</f>
        <v>0</v>
      </c>
      <c r="I926" s="59">
        <f>SUMIFS(Table2[Stat],Table2[Stat Category],"receiving",Table2[Stat Type],"YDS",Table2[Athlete],Table1[[#This Row],[Pick]],Table2[Week],Table1[[#This Row],[Week]])</f>
        <v>0</v>
      </c>
      <c r="J926" s="6">
        <f>IF(AND($C926="Rushing", $H926&lt;=0), 0, IF(AND($C926="Passing", $G$3&lt;=0), 0,IF(AND($C926="Receiving",$I926&lt;=0), 0,SUMIFS(Table2[Stat],Table2[Week],Table1[[#This Row],[Week]],Table2[Athlete],Table1[[#This Row],[Pick]],Table2[Stat Category],"passing",Table2[Stat Type],"TD"))))</f>
        <v>0</v>
      </c>
      <c r="K926" s="6">
        <f>IF(AND($C926="Rushing", $H926&lt;=0), 0, IF(AND($C926="Passing", $G$3&lt;=0), 0,IF(AND($C926="Receiving",$I926&lt;=0),0,SUMIFS(Table2[Stat],Table2[Week],Table1[[#This Row],[Week]],Table2[Athlete],Table1[[#This Row],[Pick]],Table2[Stat Category],"rushing",Table2[Stat Type],"TD"))))</f>
        <v>0</v>
      </c>
      <c r="L926" s="6">
        <f>IF(AND($C926="Rushing", $H926&lt;=0), 0, IF(AND($C926="Passing", $G$3&lt;=0), 0,IF(AND($C926="Receiving",$I926&lt;=0),0,SUMIFS(Table2[Stat],Table2[Week],Table1[[#This Row],[Week]],Table2[Athlete],Table1[[#This Row],[Pick]],Table2[Stat Category],"receiving",Table2[Stat Type],"TD"))))</f>
        <v>0</v>
      </c>
      <c r="M9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6" s="61">
        <f>SUMIFS(Data!$J:$J,Data!$A:$A,Info!$B926,Data!$G:$G,Info!$C926,Data!$I:$I,Info!$D926,Data!$H:$H,"TOT")</f>
        <v>0</v>
      </c>
      <c r="O926" s="61">
        <f>IF(C926="Defensive",SUMIFS(Data!$J:$J,Data!$A:$A,Info!$B926,Data!$I:$I,Info!$D926,Data!$H:$H,"INT"),0)</f>
        <v>0</v>
      </c>
      <c r="P926" s="61">
        <f>IF(Table1[[#This Row],[Role]]="Defensive",SUMIFS(Data!$J:$J,Data!$A:$A,Info!$B926,Data!$I:$I,Info!$D926,Data!$H:$H,$P$1),0)</f>
        <v>0</v>
      </c>
      <c r="Q926" s="65" t="str">
        <f>IF(Table1[[#This Row],[Pick]]="","",IF(S926&gt;1,400,IF(G926="","",IF(C926="Passing",(400-Table1[[#This Row],[Passing Yards]]-(30*Table1[[#This Row],[Passing TDs]])-(50*SUM(Table1[[#This Row],[Rushing TDs]:[Other TD''s]]))),IF(C926="Rushing",2*(200-Table1[[#This Row],[Rushing Yards]]-(30*Table1[[#This Row],[Passing TDs]])-50*(Table1[[#This Row],[Rushing TDs]]+Table1[[#This Row],[Receiving TDs]]+Table1[[#This Row],[Other TD''s]])),IF(C926="Receiving",2*(200-Table1[[#This Row],[Receiving Yards]]-(30*Table1[[#This Row],[Passing TDs]])-50*(Table1[[#This Row],[Rushing TDs]]+Table1[[#This Row],[Receiving TDs]]+Table1[[#This Row],[Other TD''s]])),IF(C926="Defensive",(25*(16-Table1[[#This Row],[Tackles]]-(8*(Table1[[#This Row],[Other TD''s]]+Table1[[#This Row],[Interceptions]]+Table1[[#This Row],[Fumbles Recovered]])))))))))))</f>
        <v/>
      </c>
      <c r="R926" s="3" t="str">
        <f t="shared" si="30"/>
        <v/>
      </c>
      <c r="S926" s="4">
        <f t="shared" si="29"/>
        <v>1048507</v>
      </c>
      <c r="T9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7" spans="1:20" hidden="1" x14ac:dyDescent="0.25">
      <c r="A927" t="s">
        <v>62</v>
      </c>
      <c r="B927" s="28" t="s">
        <v>57</v>
      </c>
      <c r="C927" t="s">
        <v>16</v>
      </c>
      <c r="D927" t="str">
        <f>_xlfn.XLOOKUP(Table1[[#This Row],[Player]]&amp;Table1[[#This Row],[Week]]&amp;Table1[[#This Row],[Role]],'Google Form Transform'!$A:$A,'Google Form Transform'!E:E,"")</f>
        <v/>
      </c>
      <c r="E927" t="str">
        <f>_xlfn.XLOOKUP(Table1[[#This Row],[Player]]&amp;Table1[[#This Row],[Week]]&amp;Table1[[#This Row],[Role]],'Google Form Transform'!$A:$A,'Google Form Transform'!F:F,"")</f>
        <v/>
      </c>
      <c r="F927" t="str">
        <f>_xlfn.XLOOKUP(Table1[[#This Row],[Player]]&amp;Table1[[#This Row],[Week]]&amp;Table1[[#This Row],[Role]],'Google Form Transform'!$A:$A,'Google Form Transform'!G:G,"")</f>
        <v/>
      </c>
      <c r="G927" s="59">
        <f>SUMIFS(Table2[Stat],Table2[Stat Category],"passing",Table2[Stat Type],"YDS",Table2[Athlete],Table1[[#This Row],[Pick]],Table2[Week],Table1[[#This Row],[Week]])</f>
        <v>0</v>
      </c>
      <c r="H927" s="59">
        <f>SUMIFS(Table2[Stat],Table2[Stat Category],"rushing",Table2[Stat Type],"YDS",Table2[Athlete],Table1[[#This Row],[Pick]],Table2[Week],Table1[[#This Row],[Week]])</f>
        <v>0</v>
      </c>
      <c r="I927" s="59">
        <f>SUMIFS(Table2[Stat],Table2[Stat Category],"receiving",Table2[Stat Type],"YDS",Table2[Athlete],Table1[[#This Row],[Pick]],Table2[Week],Table1[[#This Row],[Week]])</f>
        <v>0</v>
      </c>
      <c r="J927" s="6">
        <f>IF(AND($C927="Rushing", $H927&lt;=0), 0, IF(AND($C927="Passing", $G$3&lt;=0), 0,IF(AND($C927="Receiving",$I927&lt;=0), 0,SUMIFS(Table2[Stat],Table2[Week],Table1[[#This Row],[Week]],Table2[Athlete],Table1[[#This Row],[Pick]],Table2[Stat Category],"passing",Table2[Stat Type],"TD"))))</f>
        <v>0</v>
      </c>
      <c r="K927" s="6">
        <f>IF(AND($C927="Rushing", $H927&lt;=0), 0, IF(AND($C927="Passing", $G$3&lt;=0), 0,IF(AND($C927="Receiving",$I927&lt;=0),0,SUMIFS(Table2[Stat],Table2[Week],Table1[[#This Row],[Week]],Table2[Athlete],Table1[[#This Row],[Pick]],Table2[Stat Category],"rushing",Table2[Stat Type],"TD"))))</f>
        <v>0</v>
      </c>
      <c r="L927" s="6">
        <f>IF(AND($C927="Rushing", $H927&lt;=0), 0, IF(AND($C927="Passing", $G$3&lt;=0), 0,IF(AND($C927="Receiving",$I927&lt;=0),0,SUMIFS(Table2[Stat],Table2[Week],Table1[[#This Row],[Week]],Table2[Athlete],Table1[[#This Row],[Pick]],Table2[Stat Category],"receiving",Table2[Stat Type],"TD"))))</f>
        <v>0</v>
      </c>
      <c r="M9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7" s="61">
        <f>SUMIFS(Data!$J:$J,Data!$A:$A,Info!$B927,Data!$G:$G,Info!$C927,Data!$I:$I,Info!$D927,Data!$H:$H,"TOT")</f>
        <v>0</v>
      </c>
      <c r="O927" s="61">
        <f>IF(C927="Defensive",SUMIFS(Data!$J:$J,Data!$A:$A,Info!$B927,Data!$I:$I,Info!$D927,Data!$H:$H,"INT"),0)</f>
        <v>0</v>
      </c>
      <c r="P927" s="61">
        <f>IF(Table1[[#This Row],[Role]]="Defensive",SUMIFS(Data!$J:$J,Data!$A:$A,Info!$B927,Data!$I:$I,Info!$D927,Data!$H:$H,$P$1),0)</f>
        <v>0</v>
      </c>
      <c r="Q927" s="65" t="str">
        <f>IF(Table1[[#This Row],[Pick]]="","",IF(S927&gt;1,400,IF(G927="","",IF(C927="Passing",(400-Table1[[#This Row],[Passing Yards]]-(30*Table1[[#This Row],[Passing TDs]])-(50*SUM(Table1[[#This Row],[Rushing TDs]:[Other TD''s]]))),IF(C927="Rushing",2*(200-Table1[[#This Row],[Rushing Yards]]-(30*Table1[[#This Row],[Passing TDs]])-50*(Table1[[#This Row],[Rushing TDs]]+Table1[[#This Row],[Receiving TDs]]+Table1[[#This Row],[Other TD''s]])),IF(C927="Receiving",2*(200-Table1[[#This Row],[Receiving Yards]]-(30*Table1[[#This Row],[Passing TDs]])-50*(Table1[[#This Row],[Rushing TDs]]+Table1[[#This Row],[Receiving TDs]]+Table1[[#This Row],[Other TD''s]])),IF(C927="Defensive",(25*(16-Table1[[#This Row],[Tackles]]-(8*(Table1[[#This Row],[Other TD''s]]+Table1[[#This Row],[Interceptions]]+Table1[[#This Row],[Fumbles Recovered]])))))))))))</f>
        <v/>
      </c>
      <c r="R927" s="3" t="str">
        <f t="shared" si="30"/>
        <v/>
      </c>
      <c r="S927" s="4">
        <f t="shared" si="29"/>
        <v>1048507</v>
      </c>
      <c r="T9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8" spans="1:20" hidden="1" x14ac:dyDescent="0.25">
      <c r="A928" t="s">
        <v>62</v>
      </c>
      <c r="B928" s="28" t="s">
        <v>57</v>
      </c>
      <c r="C928" t="s">
        <v>6</v>
      </c>
      <c r="D928" t="str">
        <f>_xlfn.XLOOKUP(Table1[[#This Row],[Player]]&amp;Table1[[#This Row],[Week]]&amp;Table1[[#This Row],[Role]],'Google Form Transform'!$A:$A,'Google Form Transform'!E:E,"")</f>
        <v/>
      </c>
      <c r="E928" t="str">
        <f>_xlfn.XLOOKUP(Table1[[#This Row],[Player]]&amp;Table1[[#This Row],[Week]]&amp;Table1[[#This Row],[Role]],'Google Form Transform'!$A:$A,'Google Form Transform'!F:F,"")</f>
        <v/>
      </c>
      <c r="F928" t="str">
        <f>_xlfn.XLOOKUP(Table1[[#This Row],[Player]]&amp;Table1[[#This Row],[Week]]&amp;Table1[[#This Row],[Role]],'Google Form Transform'!$A:$A,'Google Form Transform'!G:G,"")</f>
        <v/>
      </c>
      <c r="G928" s="59">
        <f>SUMIFS(Table2[Stat],Table2[Stat Category],"passing",Table2[Stat Type],"YDS",Table2[Athlete],Table1[[#This Row],[Pick]],Table2[Week],Table1[[#This Row],[Week]])</f>
        <v>0</v>
      </c>
      <c r="H928" s="59">
        <f>SUMIFS(Table2[Stat],Table2[Stat Category],"rushing",Table2[Stat Type],"YDS",Table2[Athlete],Table1[[#This Row],[Pick]],Table2[Week],Table1[[#This Row],[Week]])</f>
        <v>0</v>
      </c>
      <c r="I928" s="59">
        <f>SUMIFS(Table2[Stat],Table2[Stat Category],"receiving",Table2[Stat Type],"YDS",Table2[Athlete],Table1[[#This Row],[Pick]],Table2[Week],Table1[[#This Row],[Week]])</f>
        <v>0</v>
      </c>
      <c r="J928" s="6">
        <f>IF(AND($C928="Rushing", $H928&lt;=0), 0, IF(AND($C928="Passing", $G$3&lt;=0), 0,IF(AND($C928="Receiving",$I928&lt;=0), 0,SUMIFS(Table2[Stat],Table2[Week],Table1[[#This Row],[Week]],Table2[Athlete],Table1[[#This Row],[Pick]],Table2[Stat Category],"passing",Table2[Stat Type],"TD"))))</f>
        <v>0</v>
      </c>
      <c r="K928" s="6">
        <f>IF(AND($C928="Rushing", $H928&lt;=0), 0, IF(AND($C928="Passing", $G$3&lt;=0), 0,IF(AND($C928="Receiving",$I928&lt;=0),0,SUMIFS(Table2[Stat],Table2[Week],Table1[[#This Row],[Week]],Table2[Athlete],Table1[[#This Row],[Pick]],Table2[Stat Category],"rushing",Table2[Stat Type],"TD"))))</f>
        <v>0</v>
      </c>
      <c r="L928" s="6">
        <f>IF(AND($C928="Rushing", $H928&lt;=0), 0, IF(AND($C928="Passing", $G$3&lt;=0), 0,IF(AND($C928="Receiving",$I928&lt;=0),0,SUMIFS(Table2[Stat],Table2[Week],Table1[[#This Row],[Week]],Table2[Athlete],Table1[[#This Row],[Pick]],Table2[Stat Category],"receiving",Table2[Stat Type],"TD"))))</f>
        <v>0</v>
      </c>
      <c r="M9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8" s="61">
        <f>SUMIFS(Data!$J:$J,Data!$A:$A,Info!$B928,Data!$G:$G,Info!$C928,Data!$I:$I,Info!$D928,Data!$H:$H,"TOT")</f>
        <v>0</v>
      </c>
      <c r="O928" s="61">
        <f>IF(C928="Defensive",SUMIFS(Data!$J:$J,Data!$A:$A,Info!$B928,Data!$I:$I,Info!$D928,Data!$H:$H,"INT"),0)</f>
        <v>0</v>
      </c>
      <c r="P928" s="61">
        <f>IF(Table1[[#This Row],[Role]]="Defensive",SUMIFS(Data!$J:$J,Data!$A:$A,Info!$B928,Data!$I:$I,Info!$D928,Data!$H:$H,$P$1),0)</f>
        <v>0</v>
      </c>
      <c r="Q928" s="65" t="str">
        <f>IF(Table1[[#This Row],[Pick]]="","",IF(S928&gt;1,400,IF(G928="","",IF(C928="Passing",(400-Table1[[#This Row],[Passing Yards]]-(30*Table1[[#This Row],[Passing TDs]])-(50*SUM(Table1[[#This Row],[Rushing TDs]:[Other TD''s]]))),IF(C928="Rushing",2*(200-Table1[[#This Row],[Rushing Yards]]-(30*Table1[[#This Row],[Passing TDs]])-50*(Table1[[#This Row],[Rushing TDs]]+Table1[[#This Row],[Receiving TDs]]+Table1[[#This Row],[Other TD''s]])),IF(C928="Receiving",2*(200-Table1[[#This Row],[Receiving Yards]]-(30*Table1[[#This Row],[Passing TDs]])-50*(Table1[[#This Row],[Rushing TDs]]+Table1[[#This Row],[Receiving TDs]]+Table1[[#This Row],[Other TD''s]])),IF(C928="Defensive",(25*(16-Table1[[#This Row],[Tackles]]-(8*(Table1[[#This Row],[Other TD''s]]+Table1[[#This Row],[Interceptions]]+Table1[[#This Row],[Fumbles Recovered]])))))))))))</f>
        <v/>
      </c>
      <c r="R928" s="3" t="str">
        <f t="shared" si="30"/>
        <v/>
      </c>
      <c r="S928" s="4">
        <f t="shared" si="29"/>
        <v>1048507</v>
      </c>
      <c r="T9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9" spans="1:20" hidden="1" x14ac:dyDescent="0.25">
      <c r="A929" t="s">
        <v>62</v>
      </c>
      <c r="B929" s="28" t="s">
        <v>57</v>
      </c>
      <c r="C929" t="s">
        <v>17</v>
      </c>
      <c r="D929" t="str">
        <f>_xlfn.XLOOKUP(Table1[[#This Row],[Player]]&amp;Table1[[#This Row],[Week]]&amp;Table1[[#This Row],[Role]],'Google Form Transform'!$A:$A,'Google Form Transform'!E:E,"")</f>
        <v/>
      </c>
      <c r="E929" t="str">
        <f>_xlfn.XLOOKUP(Table1[[#This Row],[Player]]&amp;Table1[[#This Row],[Week]]&amp;Table1[[#This Row],[Role]],'Google Form Transform'!$A:$A,'Google Form Transform'!F:F,"")</f>
        <v/>
      </c>
      <c r="F929" t="str">
        <f>_xlfn.XLOOKUP(Table1[[#This Row],[Player]]&amp;Table1[[#This Row],[Week]]&amp;Table1[[#This Row],[Role]],'Google Form Transform'!$A:$A,'Google Form Transform'!G:G,"")</f>
        <v/>
      </c>
      <c r="G929" s="59">
        <f>SUMIFS(Table2[Stat],Table2[Stat Category],"passing",Table2[Stat Type],"YDS",Table2[Athlete],Table1[[#This Row],[Pick]],Table2[Week],Table1[[#This Row],[Week]])</f>
        <v>0</v>
      </c>
      <c r="H929" s="59">
        <f>SUMIFS(Table2[Stat],Table2[Stat Category],"rushing",Table2[Stat Type],"YDS",Table2[Athlete],Table1[[#This Row],[Pick]],Table2[Week],Table1[[#This Row],[Week]])</f>
        <v>0</v>
      </c>
      <c r="I929" s="59">
        <f>SUMIFS(Table2[Stat],Table2[Stat Category],"receiving",Table2[Stat Type],"YDS",Table2[Athlete],Table1[[#This Row],[Pick]],Table2[Week],Table1[[#This Row],[Week]])</f>
        <v>0</v>
      </c>
      <c r="J929" s="6">
        <f>IF(AND($C929="Rushing", $H929&lt;=0), 0, IF(AND($C929="Passing", $G$3&lt;=0), 0,IF(AND($C929="Receiving",$I929&lt;=0), 0,SUMIFS(Table2[Stat],Table2[Week],Table1[[#This Row],[Week]],Table2[Athlete],Table1[[#This Row],[Pick]],Table2[Stat Category],"passing",Table2[Stat Type],"TD"))))</f>
        <v>0</v>
      </c>
      <c r="K929" s="6">
        <f>IF(AND($C929="Rushing", $H929&lt;=0), 0, IF(AND($C929="Passing", $G$3&lt;=0), 0,IF(AND($C929="Receiving",$I929&lt;=0),0,SUMIFS(Table2[Stat],Table2[Week],Table1[[#This Row],[Week]],Table2[Athlete],Table1[[#This Row],[Pick]],Table2[Stat Category],"rushing",Table2[Stat Type],"TD"))))</f>
        <v>0</v>
      </c>
      <c r="L929" s="6">
        <f>IF(AND($C929="Rushing", $H929&lt;=0), 0, IF(AND($C929="Passing", $G$3&lt;=0), 0,IF(AND($C929="Receiving",$I929&lt;=0),0,SUMIFS(Table2[Stat],Table2[Week],Table1[[#This Row],[Week]],Table2[Athlete],Table1[[#This Row],[Pick]],Table2[Stat Category],"receiving",Table2[Stat Type],"TD"))))</f>
        <v>0</v>
      </c>
      <c r="M9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9" s="61">
        <f>SUMIFS(Data!$J:$J,Data!$A:$A,Info!$B929,Data!$G:$G,Info!$C929,Data!$I:$I,Info!$D929,Data!$H:$H,"TOT")</f>
        <v>0</v>
      </c>
      <c r="O929" s="61">
        <f>IF(C929="Defensive",SUMIFS(Data!$J:$J,Data!$A:$A,Info!$B929,Data!$I:$I,Info!$D929,Data!$H:$H,"INT"),0)</f>
        <v>0</v>
      </c>
      <c r="P929" s="61">
        <f>IF(Table1[[#This Row],[Role]]="Defensive",SUMIFS(Data!$J:$J,Data!$A:$A,Info!$B929,Data!$I:$I,Info!$D929,Data!$H:$H,$P$1),0)</f>
        <v>0</v>
      </c>
      <c r="Q929" s="65" t="str">
        <f>IF(Table1[[#This Row],[Pick]]="","",IF(S929&gt;1,400,IF(G929="","",IF(C929="Passing",(400-Table1[[#This Row],[Passing Yards]]-(30*Table1[[#This Row],[Passing TDs]])-(50*SUM(Table1[[#This Row],[Rushing TDs]:[Other TD''s]]))),IF(C929="Rushing",2*(200-Table1[[#This Row],[Rushing Yards]]-(30*Table1[[#This Row],[Passing TDs]])-50*(Table1[[#This Row],[Rushing TDs]]+Table1[[#This Row],[Receiving TDs]]+Table1[[#This Row],[Other TD''s]])),IF(C929="Receiving",2*(200-Table1[[#This Row],[Receiving Yards]]-(30*Table1[[#This Row],[Passing TDs]])-50*(Table1[[#This Row],[Rushing TDs]]+Table1[[#This Row],[Receiving TDs]]+Table1[[#This Row],[Other TD''s]])),IF(C929="Defensive",(25*(16-Table1[[#This Row],[Tackles]]-(8*(Table1[[#This Row],[Other TD''s]]+Table1[[#This Row],[Interceptions]]+Table1[[#This Row],[Fumbles Recovered]])))))))))))</f>
        <v/>
      </c>
      <c r="R929" s="3" t="str">
        <f t="shared" si="30"/>
        <v/>
      </c>
      <c r="S929" s="4">
        <f t="shared" si="29"/>
        <v>1048507</v>
      </c>
      <c r="T9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0" spans="1:20" hidden="1" x14ac:dyDescent="0.25">
      <c r="A930" t="s">
        <v>62</v>
      </c>
      <c r="B930" s="28" t="s">
        <v>57</v>
      </c>
      <c r="C930" t="s">
        <v>20</v>
      </c>
      <c r="D930" t="str">
        <f>_xlfn.XLOOKUP(Table1[[#This Row],[Player]]&amp;Table1[[#This Row],[Week]]&amp;Table1[[#This Row],[Role]],'Google Form Transform'!$A:$A,'Google Form Transform'!E:E,"")</f>
        <v/>
      </c>
      <c r="E930" t="str">
        <f>_xlfn.XLOOKUP(Table1[[#This Row],[Player]]&amp;Table1[[#This Row],[Week]]&amp;Table1[[#This Row],[Role]],'Google Form Transform'!$A:$A,'Google Form Transform'!F:F,"")</f>
        <v/>
      </c>
      <c r="F930" t="str">
        <f>_xlfn.XLOOKUP(Table1[[#This Row],[Player]]&amp;Table1[[#This Row],[Week]]&amp;Table1[[#This Row],[Role]],'Google Form Transform'!$A:$A,'Google Form Transform'!G:G,"")</f>
        <v/>
      </c>
      <c r="G930" s="59">
        <f>SUMIFS(Table2[Stat],Table2[Stat Category],"passing",Table2[Stat Type],"YDS",Table2[Athlete],Table1[[#This Row],[Pick]],Table2[Week],Table1[[#This Row],[Week]])</f>
        <v>0</v>
      </c>
      <c r="H930" s="59">
        <f>SUMIFS(Table2[Stat],Table2[Stat Category],"rushing",Table2[Stat Type],"YDS",Table2[Athlete],Table1[[#This Row],[Pick]],Table2[Week],Table1[[#This Row],[Week]])</f>
        <v>0</v>
      </c>
      <c r="I930" s="59">
        <f>SUMIFS(Table2[Stat],Table2[Stat Category],"receiving",Table2[Stat Type],"YDS",Table2[Athlete],Table1[[#This Row],[Pick]],Table2[Week],Table1[[#This Row],[Week]])</f>
        <v>0</v>
      </c>
      <c r="J930" s="6">
        <f>IF(AND($C930="Rushing", $H930&lt;=0), 0, IF(AND($C930="Passing", $G$3&lt;=0), 0,IF(AND($C930="Receiving",$I930&lt;=0), 0,SUMIFS(Table2[Stat],Table2[Week],Table1[[#This Row],[Week]],Table2[Athlete],Table1[[#This Row],[Pick]],Table2[Stat Category],"passing",Table2[Stat Type],"TD"))))</f>
        <v>0</v>
      </c>
      <c r="K930" s="6">
        <f>IF(AND($C930="Rushing", $H930&lt;=0), 0, IF(AND($C930="Passing", $G$3&lt;=0), 0,IF(AND($C930="Receiving",$I930&lt;=0),0,SUMIFS(Table2[Stat],Table2[Week],Table1[[#This Row],[Week]],Table2[Athlete],Table1[[#This Row],[Pick]],Table2[Stat Category],"rushing",Table2[Stat Type],"TD"))))</f>
        <v>0</v>
      </c>
      <c r="L930" s="6">
        <f>IF(AND($C930="Rushing", $H930&lt;=0), 0, IF(AND($C930="Passing", $G$3&lt;=0), 0,IF(AND($C930="Receiving",$I930&lt;=0),0,SUMIFS(Table2[Stat],Table2[Week],Table1[[#This Row],[Week]],Table2[Athlete],Table1[[#This Row],[Pick]],Table2[Stat Category],"receiving",Table2[Stat Type],"TD"))))</f>
        <v>0</v>
      </c>
      <c r="M9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0" s="61">
        <f>SUMIFS(Data!$J:$J,Data!$A:$A,Info!$B930,Data!$G:$G,Info!$C930,Data!$I:$I,Info!$D930,Data!$H:$H,"TOT")</f>
        <v>0</v>
      </c>
      <c r="O930" s="61">
        <f>IF(C930="Defensive",SUMIFS(Data!$J:$J,Data!$A:$A,Info!$B930,Data!$I:$I,Info!$D930,Data!$H:$H,"INT"),0)</f>
        <v>0</v>
      </c>
      <c r="P930" s="61">
        <f>IF(Table1[[#This Row],[Role]]="Defensive",SUMIFS(Data!$J:$J,Data!$A:$A,Info!$B930,Data!$I:$I,Info!$D930,Data!$H:$H,$P$1),0)</f>
        <v>0</v>
      </c>
      <c r="Q930" s="65" t="str">
        <f>IF(Table1[[#This Row],[Pick]]="","",IF(S930&gt;1,400,IF(G930="","",IF(C930="Passing",(400-Table1[[#This Row],[Passing Yards]]-(30*Table1[[#This Row],[Passing TDs]])-(50*SUM(Table1[[#This Row],[Rushing TDs]:[Other TD''s]]))),IF(C930="Rushing",2*(200-Table1[[#This Row],[Rushing Yards]]-(30*Table1[[#This Row],[Passing TDs]])-50*(Table1[[#This Row],[Rushing TDs]]+Table1[[#This Row],[Receiving TDs]]+Table1[[#This Row],[Other TD''s]])),IF(C930="Receiving",2*(200-Table1[[#This Row],[Receiving Yards]]-(30*Table1[[#This Row],[Passing TDs]])-50*(Table1[[#This Row],[Rushing TDs]]+Table1[[#This Row],[Receiving TDs]]+Table1[[#This Row],[Other TD''s]])),IF(C930="Defensive",(25*(16-Table1[[#This Row],[Tackles]]-(8*(Table1[[#This Row],[Other TD''s]]+Table1[[#This Row],[Interceptions]]+Table1[[#This Row],[Fumbles Recovered]])))))))))))</f>
        <v/>
      </c>
      <c r="R930" s="3" t="str">
        <f t="shared" si="30"/>
        <v/>
      </c>
      <c r="S930" s="4">
        <f t="shared" si="29"/>
        <v>1048507</v>
      </c>
      <c r="T9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1" spans="1:20" hidden="1" x14ac:dyDescent="0.25">
      <c r="A931" t="s">
        <v>59</v>
      </c>
      <c r="B931" s="28" t="s">
        <v>57</v>
      </c>
      <c r="C931" t="s">
        <v>16</v>
      </c>
      <c r="D931" t="str">
        <f>_xlfn.XLOOKUP(Table1[[#This Row],[Player]]&amp;Table1[[#This Row],[Week]]&amp;Table1[[#This Row],[Role]],'Google Form Transform'!$A:$A,'Google Form Transform'!E:E,"")</f>
        <v/>
      </c>
      <c r="E931" t="str">
        <f>_xlfn.XLOOKUP(Table1[[#This Row],[Player]]&amp;Table1[[#This Row],[Week]]&amp;Table1[[#This Row],[Role]],'Google Form Transform'!$A:$A,'Google Form Transform'!F:F,"")</f>
        <v/>
      </c>
      <c r="F931" t="str">
        <f>_xlfn.XLOOKUP(Table1[[#This Row],[Player]]&amp;Table1[[#This Row],[Week]]&amp;Table1[[#This Row],[Role]],'Google Form Transform'!$A:$A,'Google Form Transform'!G:G,"")</f>
        <v/>
      </c>
      <c r="G931" s="59">
        <f>SUMIFS(Table2[Stat],Table2[Stat Category],"passing",Table2[Stat Type],"YDS",Table2[Athlete],Table1[[#This Row],[Pick]],Table2[Week],Table1[[#This Row],[Week]])</f>
        <v>0</v>
      </c>
      <c r="H931" s="59">
        <f>SUMIFS(Table2[Stat],Table2[Stat Category],"rushing",Table2[Stat Type],"YDS",Table2[Athlete],Table1[[#This Row],[Pick]],Table2[Week],Table1[[#This Row],[Week]])</f>
        <v>0</v>
      </c>
      <c r="I931" s="59">
        <f>SUMIFS(Table2[Stat],Table2[Stat Category],"receiving",Table2[Stat Type],"YDS",Table2[Athlete],Table1[[#This Row],[Pick]],Table2[Week],Table1[[#This Row],[Week]])</f>
        <v>0</v>
      </c>
      <c r="J931" s="6">
        <f>IF(AND($C931="Rushing", $H931&lt;=0), 0, IF(AND($C931="Passing", $G$3&lt;=0), 0,IF(AND($C931="Receiving",$I931&lt;=0), 0,SUMIFS(Table2[Stat],Table2[Week],Table1[[#This Row],[Week]],Table2[Athlete],Table1[[#This Row],[Pick]],Table2[Stat Category],"passing",Table2[Stat Type],"TD"))))</f>
        <v>0</v>
      </c>
      <c r="K931" s="6">
        <f>IF(AND($C931="Rushing", $H931&lt;=0), 0, IF(AND($C931="Passing", $G$3&lt;=0), 0,IF(AND($C931="Receiving",$I931&lt;=0),0,SUMIFS(Table2[Stat],Table2[Week],Table1[[#This Row],[Week]],Table2[Athlete],Table1[[#This Row],[Pick]],Table2[Stat Category],"rushing",Table2[Stat Type],"TD"))))</f>
        <v>0</v>
      </c>
      <c r="L931" s="6">
        <f>IF(AND($C931="Rushing", $H931&lt;=0), 0, IF(AND($C931="Passing", $G$3&lt;=0), 0,IF(AND($C931="Receiving",$I931&lt;=0),0,SUMIFS(Table2[Stat],Table2[Week],Table1[[#This Row],[Week]],Table2[Athlete],Table1[[#This Row],[Pick]],Table2[Stat Category],"receiving",Table2[Stat Type],"TD"))))</f>
        <v>0</v>
      </c>
      <c r="M9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1" s="61">
        <f>SUMIFS(Data!$J:$J,Data!$A:$A,Info!$B931,Data!$G:$G,Info!$C931,Data!$I:$I,Info!$D931,Data!$H:$H,"TOT")</f>
        <v>0</v>
      </c>
      <c r="O931" s="61">
        <f>IF(C931="Defensive",SUMIFS(Data!$J:$J,Data!$A:$A,Info!$B931,Data!$I:$I,Info!$D931,Data!$H:$H,"INT"),0)</f>
        <v>0</v>
      </c>
      <c r="P931" s="61">
        <f>IF(Table1[[#This Row],[Role]]="Defensive",SUMIFS(Data!$J:$J,Data!$A:$A,Info!$B931,Data!$I:$I,Info!$D931,Data!$H:$H,$P$1),0)</f>
        <v>0</v>
      </c>
      <c r="Q931" s="65" t="str">
        <f>IF(Table1[[#This Row],[Pick]]="","",IF(S931&gt;1,400,IF(G931="","",IF(C931="Passing",(400-Table1[[#This Row],[Passing Yards]]-(30*Table1[[#This Row],[Passing TDs]])-(50*SUM(Table1[[#This Row],[Rushing TDs]:[Other TD''s]]))),IF(C931="Rushing",2*(200-Table1[[#This Row],[Rushing Yards]]-(30*Table1[[#This Row],[Passing TDs]])-50*(Table1[[#This Row],[Rushing TDs]]+Table1[[#This Row],[Receiving TDs]]+Table1[[#This Row],[Other TD''s]])),IF(C931="Receiving",2*(200-Table1[[#This Row],[Receiving Yards]]-(30*Table1[[#This Row],[Passing TDs]])-50*(Table1[[#This Row],[Rushing TDs]]+Table1[[#This Row],[Receiving TDs]]+Table1[[#This Row],[Other TD''s]])),IF(C931="Defensive",(25*(16-Table1[[#This Row],[Tackles]]-(8*(Table1[[#This Row],[Other TD''s]]+Table1[[#This Row],[Interceptions]]+Table1[[#This Row],[Fumbles Recovered]])))))))))))</f>
        <v/>
      </c>
      <c r="R931" s="3" t="str">
        <f t="shared" si="30"/>
        <v/>
      </c>
      <c r="S931" s="4">
        <f t="shared" si="29"/>
        <v>1048507</v>
      </c>
      <c r="T9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2" spans="1:20" hidden="1" x14ac:dyDescent="0.25">
      <c r="A932" t="s">
        <v>59</v>
      </c>
      <c r="B932" s="28" t="s">
        <v>57</v>
      </c>
      <c r="C932" t="s">
        <v>6</v>
      </c>
      <c r="D932" t="str">
        <f>_xlfn.XLOOKUP(Table1[[#This Row],[Player]]&amp;Table1[[#This Row],[Week]]&amp;Table1[[#This Row],[Role]],'Google Form Transform'!$A:$A,'Google Form Transform'!E:E,"")</f>
        <v/>
      </c>
      <c r="E932" t="str">
        <f>_xlfn.XLOOKUP(Table1[[#This Row],[Player]]&amp;Table1[[#This Row],[Week]]&amp;Table1[[#This Row],[Role]],'Google Form Transform'!$A:$A,'Google Form Transform'!F:F,"")</f>
        <v/>
      </c>
      <c r="F932" t="str">
        <f>_xlfn.XLOOKUP(Table1[[#This Row],[Player]]&amp;Table1[[#This Row],[Week]]&amp;Table1[[#This Row],[Role]],'Google Form Transform'!$A:$A,'Google Form Transform'!G:G,"")</f>
        <v/>
      </c>
      <c r="G932" s="59">
        <f>SUMIFS(Table2[Stat],Table2[Stat Category],"passing",Table2[Stat Type],"YDS",Table2[Athlete],Table1[[#This Row],[Pick]],Table2[Week],Table1[[#This Row],[Week]])</f>
        <v>0</v>
      </c>
      <c r="H932" s="59">
        <f>SUMIFS(Table2[Stat],Table2[Stat Category],"rushing",Table2[Stat Type],"YDS",Table2[Athlete],Table1[[#This Row],[Pick]],Table2[Week],Table1[[#This Row],[Week]])</f>
        <v>0</v>
      </c>
      <c r="I932" s="59">
        <f>SUMIFS(Table2[Stat],Table2[Stat Category],"receiving",Table2[Stat Type],"YDS",Table2[Athlete],Table1[[#This Row],[Pick]],Table2[Week],Table1[[#This Row],[Week]])</f>
        <v>0</v>
      </c>
      <c r="J932" s="6">
        <f>IF(AND($C932="Rushing", $H932&lt;=0), 0, IF(AND($C932="Passing", $G$3&lt;=0), 0,IF(AND($C932="Receiving",$I932&lt;=0), 0,SUMIFS(Table2[Stat],Table2[Week],Table1[[#This Row],[Week]],Table2[Athlete],Table1[[#This Row],[Pick]],Table2[Stat Category],"passing",Table2[Stat Type],"TD"))))</f>
        <v>0</v>
      </c>
      <c r="K932" s="6">
        <f>IF(AND($C932="Rushing", $H932&lt;=0), 0, IF(AND($C932="Passing", $G$3&lt;=0), 0,IF(AND($C932="Receiving",$I932&lt;=0),0,SUMIFS(Table2[Stat],Table2[Week],Table1[[#This Row],[Week]],Table2[Athlete],Table1[[#This Row],[Pick]],Table2[Stat Category],"rushing",Table2[Stat Type],"TD"))))</f>
        <v>0</v>
      </c>
      <c r="L932" s="6">
        <f>IF(AND($C932="Rushing", $H932&lt;=0), 0, IF(AND($C932="Passing", $G$3&lt;=0), 0,IF(AND($C932="Receiving",$I932&lt;=0),0,SUMIFS(Table2[Stat],Table2[Week],Table1[[#This Row],[Week]],Table2[Athlete],Table1[[#This Row],[Pick]],Table2[Stat Category],"receiving",Table2[Stat Type],"TD"))))</f>
        <v>0</v>
      </c>
      <c r="M9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2" s="61">
        <f>SUMIFS(Data!$J:$J,Data!$A:$A,Info!$B932,Data!$G:$G,Info!$C932,Data!$I:$I,Info!$D932,Data!$H:$H,"TOT")</f>
        <v>0</v>
      </c>
      <c r="O932" s="61">
        <f>IF(C932="Defensive",SUMIFS(Data!$J:$J,Data!$A:$A,Info!$B932,Data!$I:$I,Info!$D932,Data!$H:$H,"INT"),0)</f>
        <v>0</v>
      </c>
      <c r="P932" s="61">
        <f>IF(Table1[[#This Row],[Role]]="Defensive",SUMIFS(Data!$J:$J,Data!$A:$A,Info!$B932,Data!$I:$I,Info!$D932,Data!$H:$H,$P$1),0)</f>
        <v>0</v>
      </c>
      <c r="Q932" s="65" t="str">
        <f>IF(Table1[[#This Row],[Pick]]="","",IF(S932&gt;1,400,IF(G932="","",IF(C932="Passing",(400-Table1[[#This Row],[Passing Yards]]-(30*Table1[[#This Row],[Passing TDs]])-(50*SUM(Table1[[#This Row],[Rushing TDs]:[Other TD''s]]))),IF(C932="Rushing",2*(200-Table1[[#This Row],[Rushing Yards]]-(30*Table1[[#This Row],[Passing TDs]])-50*(Table1[[#This Row],[Rushing TDs]]+Table1[[#This Row],[Receiving TDs]]+Table1[[#This Row],[Other TD''s]])),IF(C932="Receiving",2*(200-Table1[[#This Row],[Receiving Yards]]-(30*Table1[[#This Row],[Passing TDs]])-50*(Table1[[#This Row],[Rushing TDs]]+Table1[[#This Row],[Receiving TDs]]+Table1[[#This Row],[Other TD''s]])),IF(C932="Defensive",(25*(16-Table1[[#This Row],[Tackles]]-(8*(Table1[[#This Row],[Other TD''s]]+Table1[[#This Row],[Interceptions]]+Table1[[#This Row],[Fumbles Recovered]])))))))))))</f>
        <v/>
      </c>
      <c r="R932" s="3" t="str">
        <f t="shared" si="30"/>
        <v/>
      </c>
      <c r="S932" s="4">
        <f t="shared" si="29"/>
        <v>1048507</v>
      </c>
      <c r="T9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3" spans="1:20" hidden="1" x14ac:dyDescent="0.25">
      <c r="A933" t="s">
        <v>59</v>
      </c>
      <c r="B933" s="28" t="s">
        <v>57</v>
      </c>
      <c r="C933" t="s">
        <v>17</v>
      </c>
      <c r="D933" t="str">
        <f>_xlfn.XLOOKUP(Table1[[#This Row],[Player]]&amp;Table1[[#This Row],[Week]]&amp;Table1[[#This Row],[Role]],'Google Form Transform'!$A:$A,'Google Form Transform'!E:E,"")</f>
        <v/>
      </c>
      <c r="E933" t="str">
        <f>_xlfn.XLOOKUP(Table1[[#This Row],[Player]]&amp;Table1[[#This Row],[Week]]&amp;Table1[[#This Row],[Role]],'Google Form Transform'!$A:$A,'Google Form Transform'!F:F,"")</f>
        <v/>
      </c>
      <c r="F933" t="str">
        <f>_xlfn.XLOOKUP(Table1[[#This Row],[Player]]&amp;Table1[[#This Row],[Week]]&amp;Table1[[#This Row],[Role]],'Google Form Transform'!$A:$A,'Google Form Transform'!G:G,"")</f>
        <v/>
      </c>
      <c r="G933" s="59">
        <f>SUMIFS(Table2[Stat],Table2[Stat Category],"passing",Table2[Stat Type],"YDS",Table2[Athlete],Table1[[#This Row],[Pick]],Table2[Week],Table1[[#This Row],[Week]])</f>
        <v>0</v>
      </c>
      <c r="H933" s="59">
        <f>SUMIFS(Table2[Stat],Table2[Stat Category],"rushing",Table2[Stat Type],"YDS",Table2[Athlete],Table1[[#This Row],[Pick]],Table2[Week],Table1[[#This Row],[Week]])</f>
        <v>0</v>
      </c>
      <c r="I933" s="59">
        <f>SUMIFS(Table2[Stat],Table2[Stat Category],"receiving",Table2[Stat Type],"YDS",Table2[Athlete],Table1[[#This Row],[Pick]],Table2[Week],Table1[[#This Row],[Week]])</f>
        <v>0</v>
      </c>
      <c r="J933" s="6">
        <f>IF(AND($C933="Rushing", $H933&lt;=0), 0, IF(AND($C933="Passing", $G$3&lt;=0), 0,IF(AND($C933="Receiving",$I933&lt;=0), 0,SUMIFS(Table2[Stat],Table2[Week],Table1[[#This Row],[Week]],Table2[Athlete],Table1[[#This Row],[Pick]],Table2[Stat Category],"passing",Table2[Stat Type],"TD"))))</f>
        <v>0</v>
      </c>
      <c r="K933" s="6">
        <f>IF(AND($C933="Rushing", $H933&lt;=0), 0, IF(AND($C933="Passing", $G$3&lt;=0), 0,IF(AND($C933="Receiving",$I933&lt;=0),0,SUMIFS(Table2[Stat],Table2[Week],Table1[[#This Row],[Week]],Table2[Athlete],Table1[[#This Row],[Pick]],Table2[Stat Category],"rushing",Table2[Stat Type],"TD"))))</f>
        <v>0</v>
      </c>
      <c r="L933" s="6">
        <f>IF(AND($C933="Rushing", $H933&lt;=0), 0, IF(AND($C933="Passing", $G$3&lt;=0), 0,IF(AND($C933="Receiving",$I933&lt;=0),0,SUMIFS(Table2[Stat],Table2[Week],Table1[[#This Row],[Week]],Table2[Athlete],Table1[[#This Row],[Pick]],Table2[Stat Category],"receiving",Table2[Stat Type],"TD"))))</f>
        <v>0</v>
      </c>
      <c r="M9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3" s="61">
        <f>SUMIFS(Data!$J:$J,Data!$A:$A,Info!$B933,Data!$G:$G,Info!$C933,Data!$I:$I,Info!$D933,Data!$H:$H,"TOT")</f>
        <v>0</v>
      </c>
      <c r="O933" s="61">
        <f>IF(C933="Defensive",SUMIFS(Data!$J:$J,Data!$A:$A,Info!$B933,Data!$I:$I,Info!$D933,Data!$H:$H,"INT"),0)</f>
        <v>0</v>
      </c>
      <c r="P933" s="61">
        <f>IF(Table1[[#This Row],[Role]]="Defensive",SUMIFS(Data!$J:$J,Data!$A:$A,Info!$B933,Data!$I:$I,Info!$D933,Data!$H:$H,$P$1),0)</f>
        <v>0</v>
      </c>
      <c r="Q933" s="65" t="str">
        <f>IF(Table1[[#This Row],[Pick]]="","",IF(S933&gt;1,400,IF(G933="","",IF(C933="Passing",(400-Table1[[#This Row],[Passing Yards]]-(30*Table1[[#This Row],[Passing TDs]])-(50*SUM(Table1[[#This Row],[Rushing TDs]:[Other TD''s]]))),IF(C933="Rushing",2*(200-Table1[[#This Row],[Rushing Yards]]-(30*Table1[[#This Row],[Passing TDs]])-50*(Table1[[#This Row],[Rushing TDs]]+Table1[[#This Row],[Receiving TDs]]+Table1[[#This Row],[Other TD''s]])),IF(C933="Receiving",2*(200-Table1[[#This Row],[Receiving Yards]]-(30*Table1[[#This Row],[Passing TDs]])-50*(Table1[[#This Row],[Rushing TDs]]+Table1[[#This Row],[Receiving TDs]]+Table1[[#This Row],[Other TD''s]])),IF(C933="Defensive",(25*(16-Table1[[#This Row],[Tackles]]-(8*(Table1[[#This Row],[Other TD''s]]+Table1[[#This Row],[Interceptions]]+Table1[[#This Row],[Fumbles Recovered]])))))))))))</f>
        <v/>
      </c>
      <c r="R933" s="3" t="str">
        <f t="shared" si="30"/>
        <v/>
      </c>
      <c r="S933" s="4">
        <f t="shared" si="29"/>
        <v>1048507</v>
      </c>
      <c r="T9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4" spans="1:20" hidden="1" x14ac:dyDescent="0.25">
      <c r="A934" t="s">
        <v>59</v>
      </c>
      <c r="B934" s="28" t="s">
        <v>57</v>
      </c>
      <c r="C934" t="s">
        <v>20</v>
      </c>
      <c r="D934" t="str">
        <f>_xlfn.XLOOKUP(Table1[[#This Row],[Player]]&amp;Table1[[#This Row],[Week]]&amp;Table1[[#This Row],[Role]],'Google Form Transform'!$A:$A,'Google Form Transform'!E:E,"")</f>
        <v/>
      </c>
      <c r="E934" t="str">
        <f>_xlfn.XLOOKUP(Table1[[#This Row],[Player]]&amp;Table1[[#This Row],[Week]]&amp;Table1[[#This Row],[Role]],'Google Form Transform'!$A:$A,'Google Form Transform'!F:F,"")</f>
        <v/>
      </c>
      <c r="F934" t="str">
        <f>_xlfn.XLOOKUP(Table1[[#This Row],[Player]]&amp;Table1[[#This Row],[Week]]&amp;Table1[[#This Row],[Role]],'Google Form Transform'!$A:$A,'Google Form Transform'!G:G,"")</f>
        <v/>
      </c>
      <c r="G934" s="59">
        <f>SUMIFS(Table2[Stat],Table2[Stat Category],"passing",Table2[Stat Type],"YDS",Table2[Athlete],Table1[[#This Row],[Pick]],Table2[Week],Table1[[#This Row],[Week]])</f>
        <v>0</v>
      </c>
      <c r="H934" s="59">
        <f>SUMIFS(Table2[Stat],Table2[Stat Category],"rushing",Table2[Stat Type],"YDS",Table2[Athlete],Table1[[#This Row],[Pick]],Table2[Week],Table1[[#This Row],[Week]])</f>
        <v>0</v>
      </c>
      <c r="I934" s="59">
        <f>SUMIFS(Table2[Stat],Table2[Stat Category],"receiving",Table2[Stat Type],"YDS",Table2[Athlete],Table1[[#This Row],[Pick]],Table2[Week],Table1[[#This Row],[Week]])</f>
        <v>0</v>
      </c>
      <c r="J934" s="6">
        <f>IF(AND($C934="Rushing", $H934&lt;=0), 0, IF(AND($C934="Passing", $G$3&lt;=0), 0,IF(AND($C934="Receiving",$I934&lt;=0), 0,SUMIFS(Table2[Stat],Table2[Week],Table1[[#This Row],[Week]],Table2[Athlete],Table1[[#This Row],[Pick]],Table2[Stat Category],"passing",Table2[Stat Type],"TD"))))</f>
        <v>0</v>
      </c>
      <c r="K934" s="6">
        <f>IF(AND($C934="Rushing", $H934&lt;=0), 0, IF(AND($C934="Passing", $G$3&lt;=0), 0,IF(AND($C934="Receiving",$I934&lt;=0),0,SUMIFS(Table2[Stat],Table2[Week],Table1[[#This Row],[Week]],Table2[Athlete],Table1[[#This Row],[Pick]],Table2[Stat Category],"rushing",Table2[Stat Type],"TD"))))</f>
        <v>0</v>
      </c>
      <c r="L934" s="6">
        <f>IF(AND($C934="Rushing", $H934&lt;=0), 0, IF(AND($C934="Passing", $G$3&lt;=0), 0,IF(AND($C934="Receiving",$I934&lt;=0),0,SUMIFS(Table2[Stat],Table2[Week],Table1[[#This Row],[Week]],Table2[Athlete],Table1[[#This Row],[Pick]],Table2[Stat Category],"receiving",Table2[Stat Type],"TD"))))</f>
        <v>0</v>
      </c>
      <c r="M9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4" s="61">
        <f>SUMIFS(Data!$J:$J,Data!$A:$A,Info!$B934,Data!$G:$G,Info!$C934,Data!$I:$I,Info!$D934,Data!$H:$H,"TOT")</f>
        <v>0</v>
      </c>
      <c r="O934" s="61">
        <f>IF(C934="Defensive",SUMIFS(Data!$J:$J,Data!$A:$A,Info!$B934,Data!$I:$I,Info!$D934,Data!$H:$H,"INT"),0)</f>
        <v>0</v>
      </c>
      <c r="P934" s="61">
        <f>IF(Table1[[#This Row],[Role]]="Defensive",SUMIFS(Data!$J:$J,Data!$A:$A,Info!$B934,Data!$I:$I,Info!$D934,Data!$H:$H,$P$1),0)</f>
        <v>0</v>
      </c>
      <c r="Q934" s="65" t="str">
        <f>IF(Table1[[#This Row],[Pick]]="","",IF(S934&gt;1,400,IF(G934="","",IF(C934="Passing",(400-Table1[[#This Row],[Passing Yards]]-(30*Table1[[#This Row],[Passing TDs]])-(50*SUM(Table1[[#This Row],[Rushing TDs]:[Other TD''s]]))),IF(C934="Rushing",2*(200-Table1[[#This Row],[Rushing Yards]]-(30*Table1[[#This Row],[Passing TDs]])-50*(Table1[[#This Row],[Rushing TDs]]+Table1[[#This Row],[Receiving TDs]]+Table1[[#This Row],[Other TD''s]])),IF(C934="Receiving",2*(200-Table1[[#This Row],[Receiving Yards]]-(30*Table1[[#This Row],[Passing TDs]])-50*(Table1[[#This Row],[Rushing TDs]]+Table1[[#This Row],[Receiving TDs]]+Table1[[#This Row],[Other TD''s]])),IF(C934="Defensive",(25*(16-Table1[[#This Row],[Tackles]]-(8*(Table1[[#This Row],[Other TD''s]]+Table1[[#This Row],[Interceptions]]+Table1[[#This Row],[Fumbles Recovered]])))))))))))</f>
        <v/>
      </c>
      <c r="R934" s="3" t="str">
        <f t="shared" si="30"/>
        <v/>
      </c>
      <c r="S934" s="4">
        <f t="shared" si="29"/>
        <v>1048507</v>
      </c>
      <c r="T9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5" spans="1:20" hidden="1" x14ac:dyDescent="0.25">
      <c r="A935" t="s">
        <v>68</v>
      </c>
      <c r="B935" s="28" t="s">
        <v>57</v>
      </c>
      <c r="C935" t="s">
        <v>16</v>
      </c>
      <c r="D935" t="str">
        <f>_xlfn.XLOOKUP(Table1[[#This Row],[Player]]&amp;Table1[[#This Row],[Week]]&amp;Table1[[#This Row],[Role]],'Google Form Transform'!$A:$A,'Google Form Transform'!E:E,"")</f>
        <v/>
      </c>
      <c r="E935" t="str">
        <f>_xlfn.XLOOKUP(Table1[[#This Row],[Player]]&amp;Table1[[#This Row],[Week]]&amp;Table1[[#This Row],[Role]],'Google Form Transform'!$A:$A,'Google Form Transform'!F:F,"")</f>
        <v/>
      </c>
      <c r="F935" t="str">
        <f>_xlfn.XLOOKUP(Table1[[#This Row],[Player]]&amp;Table1[[#This Row],[Week]]&amp;Table1[[#This Row],[Role]],'Google Form Transform'!$A:$A,'Google Form Transform'!G:G,"")</f>
        <v/>
      </c>
      <c r="G935" s="59">
        <f>SUMIFS(Table2[Stat],Table2[Stat Category],"passing",Table2[Stat Type],"YDS",Table2[Athlete],Table1[[#This Row],[Pick]],Table2[Week],Table1[[#This Row],[Week]])</f>
        <v>0</v>
      </c>
      <c r="H935" s="59">
        <f>SUMIFS(Table2[Stat],Table2[Stat Category],"rushing",Table2[Stat Type],"YDS",Table2[Athlete],Table1[[#This Row],[Pick]],Table2[Week],Table1[[#This Row],[Week]])</f>
        <v>0</v>
      </c>
      <c r="I935" s="59">
        <f>SUMIFS(Table2[Stat],Table2[Stat Category],"receiving",Table2[Stat Type],"YDS",Table2[Athlete],Table1[[#This Row],[Pick]],Table2[Week],Table1[[#This Row],[Week]])</f>
        <v>0</v>
      </c>
      <c r="J935" s="6">
        <f>IF(AND($C935="Rushing", $H935&lt;=0), 0, IF(AND($C935="Passing", $G$3&lt;=0), 0,IF(AND($C935="Receiving",$I935&lt;=0), 0,SUMIFS(Table2[Stat],Table2[Week],Table1[[#This Row],[Week]],Table2[Athlete],Table1[[#This Row],[Pick]],Table2[Stat Category],"passing",Table2[Stat Type],"TD"))))</f>
        <v>0</v>
      </c>
      <c r="K935" s="6">
        <f>IF(AND($C935="Rushing", $H935&lt;=0), 0, IF(AND($C935="Passing", $G$3&lt;=0), 0,IF(AND($C935="Receiving",$I935&lt;=0),0,SUMIFS(Table2[Stat],Table2[Week],Table1[[#This Row],[Week]],Table2[Athlete],Table1[[#This Row],[Pick]],Table2[Stat Category],"rushing",Table2[Stat Type],"TD"))))</f>
        <v>0</v>
      </c>
      <c r="L935" s="6">
        <f>IF(AND($C935="Rushing", $H935&lt;=0), 0, IF(AND($C935="Passing", $G$3&lt;=0), 0,IF(AND($C935="Receiving",$I935&lt;=0),0,SUMIFS(Table2[Stat],Table2[Week],Table1[[#This Row],[Week]],Table2[Athlete],Table1[[#This Row],[Pick]],Table2[Stat Category],"receiving",Table2[Stat Type],"TD"))))</f>
        <v>0</v>
      </c>
      <c r="M9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5" s="61">
        <f>SUMIFS(Data!$J:$J,Data!$A:$A,Info!$B935,Data!$G:$G,Info!$C935,Data!$I:$I,Info!$D935,Data!$H:$H,"TOT")</f>
        <v>0</v>
      </c>
      <c r="O935" s="61">
        <f>IF(C935="Defensive",SUMIFS(Data!$J:$J,Data!$A:$A,Info!$B935,Data!$I:$I,Info!$D935,Data!$H:$H,"INT"),0)</f>
        <v>0</v>
      </c>
      <c r="P935" s="61">
        <f>IF(Table1[[#This Row],[Role]]="Defensive",SUMIFS(Data!$J:$J,Data!$A:$A,Info!$B935,Data!$I:$I,Info!$D935,Data!$H:$H,$P$1),0)</f>
        <v>0</v>
      </c>
      <c r="Q935" s="65" t="str">
        <f>IF(Table1[[#This Row],[Pick]]="","",IF(S935&gt;1,400,IF(G935="","",IF(C935="Passing",(400-Table1[[#This Row],[Passing Yards]]-(30*Table1[[#This Row],[Passing TDs]])-(50*SUM(Table1[[#This Row],[Rushing TDs]:[Other TD''s]]))),IF(C935="Rushing",2*(200-Table1[[#This Row],[Rushing Yards]]-(30*Table1[[#This Row],[Passing TDs]])-50*(Table1[[#This Row],[Rushing TDs]]+Table1[[#This Row],[Receiving TDs]]+Table1[[#This Row],[Other TD''s]])),IF(C935="Receiving",2*(200-Table1[[#This Row],[Receiving Yards]]-(30*Table1[[#This Row],[Passing TDs]])-50*(Table1[[#This Row],[Rushing TDs]]+Table1[[#This Row],[Receiving TDs]]+Table1[[#This Row],[Other TD''s]])),IF(C935="Defensive",(25*(16-Table1[[#This Row],[Tackles]]-(8*(Table1[[#This Row],[Other TD''s]]+Table1[[#This Row],[Interceptions]]+Table1[[#This Row],[Fumbles Recovered]])))))))))))</f>
        <v/>
      </c>
      <c r="R935" s="3" t="str">
        <f t="shared" si="30"/>
        <v/>
      </c>
      <c r="S935" s="4">
        <f t="shared" si="29"/>
        <v>1048507</v>
      </c>
      <c r="T9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6" spans="1:20" hidden="1" x14ac:dyDescent="0.25">
      <c r="A936" t="s">
        <v>68</v>
      </c>
      <c r="B936" s="28" t="s">
        <v>57</v>
      </c>
      <c r="C936" t="s">
        <v>6</v>
      </c>
      <c r="D936" t="str">
        <f>_xlfn.XLOOKUP(Table1[[#This Row],[Player]]&amp;Table1[[#This Row],[Week]]&amp;Table1[[#This Row],[Role]],'Google Form Transform'!$A:$A,'Google Form Transform'!E:E,"")</f>
        <v/>
      </c>
      <c r="E936" t="str">
        <f>_xlfn.XLOOKUP(Table1[[#This Row],[Player]]&amp;Table1[[#This Row],[Week]]&amp;Table1[[#This Row],[Role]],'Google Form Transform'!$A:$A,'Google Form Transform'!F:F,"")</f>
        <v/>
      </c>
      <c r="F936" t="str">
        <f>_xlfn.XLOOKUP(Table1[[#This Row],[Player]]&amp;Table1[[#This Row],[Week]]&amp;Table1[[#This Row],[Role]],'Google Form Transform'!$A:$A,'Google Form Transform'!G:G,"")</f>
        <v/>
      </c>
      <c r="G936" s="59">
        <f>SUMIFS(Table2[Stat],Table2[Stat Category],"passing",Table2[Stat Type],"YDS",Table2[Athlete],Table1[[#This Row],[Pick]],Table2[Week],Table1[[#This Row],[Week]])</f>
        <v>0</v>
      </c>
      <c r="H936" s="59">
        <f>SUMIFS(Table2[Stat],Table2[Stat Category],"rushing",Table2[Stat Type],"YDS",Table2[Athlete],Table1[[#This Row],[Pick]],Table2[Week],Table1[[#This Row],[Week]])</f>
        <v>0</v>
      </c>
      <c r="I936" s="59">
        <f>SUMIFS(Table2[Stat],Table2[Stat Category],"receiving",Table2[Stat Type],"YDS",Table2[Athlete],Table1[[#This Row],[Pick]],Table2[Week],Table1[[#This Row],[Week]])</f>
        <v>0</v>
      </c>
      <c r="J936" s="6">
        <f>IF(AND($C936="Rushing", $H936&lt;=0), 0, IF(AND($C936="Passing", $G$3&lt;=0), 0,IF(AND($C936="Receiving",$I936&lt;=0), 0,SUMIFS(Table2[Stat],Table2[Week],Table1[[#This Row],[Week]],Table2[Athlete],Table1[[#This Row],[Pick]],Table2[Stat Category],"passing",Table2[Stat Type],"TD"))))</f>
        <v>0</v>
      </c>
      <c r="K936" s="6">
        <f>IF(AND($C936="Rushing", $H936&lt;=0), 0, IF(AND($C936="Passing", $G$3&lt;=0), 0,IF(AND($C936="Receiving",$I936&lt;=0),0,SUMIFS(Table2[Stat],Table2[Week],Table1[[#This Row],[Week]],Table2[Athlete],Table1[[#This Row],[Pick]],Table2[Stat Category],"rushing",Table2[Stat Type],"TD"))))</f>
        <v>0</v>
      </c>
      <c r="L936" s="6">
        <f>IF(AND($C936="Rushing", $H936&lt;=0), 0, IF(AND($C936="Passing", $G$3&lt;=0), 0,IF(AND($C936="Receiving",$I936&lt;=0),0,SUMIFS(Table2[Stat],Table2[Week],Table1[[#This Row],[Week]],Table2[Athlete],Table1[[#This Row],[Pick]],Table2[Stat Category],"receiving",Table2[Stat Type],"TD"))))</f>
        <v>0</v>
      </c>
      <c r="M9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6" s="61">
        <f>SUMIFS(Data!$J:$J,Data!$A:$A,Info!$B936,Data!$G:$G,Info!$C936,Data!$I:$I,Info!$D936,Data!$H:$H,"TOT")</f>
        <v>0</v>
      </c>
      <c r="O936" s="61">
        <f>IF(C936="Defensive",SUMIFS(Data!$J:$J,Data!$A:$A,Info!$B936,Data!$I:$I,Info!$D936,Data!$H:$H,"INT"),0)</f>
        <v>0</v>
      </c>
      <c r="P936" s="61">
        <f>IF(Table1[[#This Row],[Role]]="Defensive",SUMIFS(Data!$J:$J,Data!$A:$A,Info!$B936,Data!$I:$I,Info!$D936,Data!$H:$H,$P$1),0)</f>
        <v>0</v>
      </c>
      <c r="Q936" s="65" t="str">
        <f>IF(Table1[[#This Row],[Pick]]="","",IF(S936&gt;1,400,IF(G936="","",IF(C936="Passing",(400-Table1[[#This Row],[Passing Yards]]-(30*Table1[[#This Row],[Passing TDs]])-(50*SUM(Table1[[#This Row],[Rushing TDs]:[Other TD''s]]))),IF(C936="Rushing",2*(200-Table1[[#This Row],[Rushing Yards]]-(30*Table1[[#This Row],[Passing TDs]])-50*(Table1[[#This Row],[Rushing TDs]]+Table1[[#This Row],[Receiving TDs]]+Table1[[#This Row],[Other TD''s]])),IF(C936="Receiving",2*(200-Table1[[#This Row],[Receiving Yards]]-(30*Table1[[#This Row],[Passing TDs]])-50*(Table1[[#This Row],[Rushing TDs]]+Table1[[#This Row],[Receiving TDs]]+Table1[[#This Row],[Other TD''s]])),IF(C936="Defensive",(25*(16-Table1[[#This Row],[Tackles]]-(8*(Table1[[#This Row],[Other TD''s]]+Table1[[#This Row],[Interceptions]]+Table1[[#This Row],[Fumbles Recovered]])))))))))))</f>
        <v/>
      </c>
      <c r="R936" s="3" t="str">
        <f t="shared" si="30"/>
        <v/>
      </c>
      <c r="S936" s="4">
        <f t="shared" si="29"/>
        <v>1048507</v>
      </c>
      <c r="T9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7" spans="1:20" hidden="1" x14ac:dyDescent="0.25">
      <c r="A937" t="s">
        <v>68</v>
      </c>
      <c r="B937" s="28" t="s">
        <v>57</v>
      </c>
      <c r="C937" t="s">
        <v>17</v>
      </c>
      <c r="D937" t="str">
        <f>_xlfn.XLOOKUP(Table1[[#This Row],[Player]]&amp;Table1[[#This Row],[Week]]&amp;Table1[[#This Row],[Role]],'Google Form Transform'!$A:$A,'Google Form Transform'!E:E,"")</f>
        <v/>
      </c>
      <c r="E937" t="str">
        <f>_xlfn.XLOOKUP(Table1[[#This Row],[Player]]&amp;Table1[[#This Row],[Week]]&amp;Table1[[#This Row],[Role]],'Google Form Transform'!$A:$A,'Google Form Transform'!F:F,"")</f>
        <v/>
      </c>
      <c r="F937" t="str">
        <f>_xlfn.XLOOKUP(Table1[[#This Row],[Player]]&amp;Table1[[#This Row],[Week]]&amp;Table1[[#This Row],[Role]],'Google Form Transform'!$A:$A,'Google Form Transform'!G:G,"")</f>
        <v/>
      </c>
      <c r="G937" s="59">
        <f>SUMIFS(Table2[Stat],Table2[Stat Category],"passing",Table2[Stat Type],"YDS",Table2[Athlete],Table1[[#This Row],[Pick]],Table2[Week],Table1[[#This Row],[Week]])</f>
        <v>0</v>
      </c>
      <c r="H937" s="59">
        <f>SUMIFS(Table2[Stat],Table2[Stat Category],"rushing",Table2[Stat Type],"YDS",Table2[Athlete],Table1[[#This Row],[Pick]],Table2[Week],Table1[[#This Row],[Week]])</f>
        <v>0</v>
      </c>
      <c r="I937" s="59">
        <f>SUMIFS(Table2[Stat],Table2[Stat Category],"receiving",Table2[Stat Type],"YDS",Table2[Athlete],Table1[[#This Row],[Pick]],Table2[Week],Table1[[#This Row],[Week]])</f>
        <v>0</v>
      </c>
      <c r="J937" s="6">
        <f>IF(AND($C937="Rushing", $H937&lt;=0), 0, IF(AND($C937="Passing", $G$3&lt;=0), 0,IF(AND($C937="Receiving",$I937&lt;=0), 0,SUMIFS(Table2[Stat],Table2[Week],Table1[[#This Row],[Week]],Table2[Athlete],Table1[[#This Row],[Pick]],Table2[Stat Category],"passing",Table2[Stat Type],"TD"))))</f>
        <v>0</v>
      </c>
      <c r="K937" s="6">
        <f>IF(AND($C937="Rushing", $H937&lt;=0), 0, IF(AND($C937="Passing", $G$3&lt;=0), 0,IF(AND($C937="Receiving",$I937&lt;=0),0,SUMIFS(Table2[Stat],Table2[Week],Table1[[#This Row],[Week]],Table2[Athlete],Table1[[#This Row],[Pick]],Table2[Stat Category],"rushing",Table2[Stat Type],"TD"))))</f>
        <v>0</v>
      </c>
      <c r="L937" s="6">
        <f>IF(AND($C937="Rushing", $H937&lt;=0), 0, IF(AND($C937="Passing", $G$3&lt;=0), 0,IF(AND($C937="Receiving",$I937&lt;=0),0,SUMIFS(Table2[Stat],Table2[Week],Table1[[#This Row],[Week]],Table2[Athlete],Table1[[#This Row],[Pick]],Table2[Stat Category],"receiving",Table2[Stat Type],"TD"))))</f>
        <v>0</v>
      </c>
      <c r="M9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7" s="61">
        <f>SUMIFS(Data!$J:$J,Data!$A:$A,Info!$B937,Data!$G:$G,Info!$C937,Data!$I:$I,Info!$D937,Data!$H:$H,"TOT")</f>
        <v>0</v>
      </c>
      <c r="O937" s="61">
        <f>IF(C937="Defensive",SUMIFS(Data!$J:$J,Data!$A:$A,Info!$B937,Data!$I:$I,Info!$D937,Data!$H:$H,"INT"),0)</f>
        <v>0</v>
      </c>
      <c r="P937" s="61">
        <f>IF(Table1[[#This Row],[Role]]="Defensive",SUMIFS(Data!$J:$J,Data!$A:$A,Info!$B937,Data!$I:$I,Info!$D937,Data!$H:$H,$P$1),0)</f>
        <v>0</v>
      </c>
      <c r="Q937" s="65" t="str">
        <f>IF(Table1[[#This Row],[Pick]]="","",IF(S937&gt;1,400,IF(G937="","",IF(C937="Passing",(400-Table1[[#This Row],[Passing Yards]]-(30*Table1[[#This Row],[Passing TDs]])-(50*SUM(Table1[[#This Row],[Rushing TDs]:[Other TD''s]]))),IF(C937="Rushing",2*(200-Table1[[#This Row],[Rushing Yards]]-(30*Table1[[#This Row],[Passing TDs]])-50*(Table1[[#This Row],[Rushing TDs]]+Table1[[#This Row],[Receiving TDs]]+Table1[[#This Row],[Other TD''s]])),IF(C937="Receiving",2*(200-Table1[[#This Row],[Receiving Yards]]-(30*Table1[[#This Row],[Passing TDs]])-50*(Table1[[#This Row],[Rushing TDs]]+Table1[[#This Row],[Receiving TDs]]+Table1[[#This Row],[Other TD''s]])),IF(C937="Defensive",(25*(16-Table1[[#This Row],[Tackles]]-(8*(Table1[[#This Row],[Other TD''s]]+Table1[[#This Row],[Interceptions]]+Table1[[#This Row],[Fumbles Recovered]])))))))))))</f>
        <v/>
      </c>
      <c r="R937" s="3" t="str">
        <f t="shared" si="30"/>
        <v/>
      </c>
      <c r="S937" s="4">
        <f t="shared" si="29"/>
        <v>1048507</v>
      </c>
      <c r="T9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8" spans="1:20" hidden="1" x14ac:dyDescent="0.25">
      <c r="A938" t="s">
        <v>68</v>
      </c>
      <c r="B938" s="28" t="s">
        <v>57</v>
      </c>
      <c r="C938" t="s">
        <v>20</v>
      </c>
      <c r="D938" t="str">
        <f>_xlfn.XLOOKUP(Table1[[#This Row],[Player]]&amp;Table1[[#This Row],[Week]]&amp;Table1[[#This Row],[Role]],'Google Form Transform'!$A:$A,'Google Form Transform'!E:E,"")</f>
        <v/>
      </c>
      <c r="E938" t="str">
        <f>_xlfn.XLOOKUP(Table1[[#This Row],[Player]]&amp;Table1[[#This Row],[Week]]&amp;Table1[[#This Row],[Role]],'Google Form Transform'!$A:$A,'Google Form Transform'!F:F,"")</f>
        <v/>
      </c>
      <c r="F938" t="str">
        <f>_xlfn.XLOOKUP(Table1[[#This Row],[Player]]&amp;Table1[[#This Row],[Week]]&amp;Table1[[#This Row],[Role]],'Google Form Transform'!$A:$A,'Google Form Transform'!G:G,"")</f>
        <v/>
      </c>
      <c r="G938" s="59">
        <f>SUMIFS(Table2[Stat],Table2[Stat Category],"passing",Table2[Stat Type],"YDS",Table2[Athlete],Table1[[#This Row],[Pick]],Table2[Week],Table1[[#This Row],[Week]])</f>
        <v>0</v>
      </c>
      <c r="H938" s="59">
        <f>SUMIFS(Table2[Stat],Table2[Stat Category],"rushing",Table2[Stat Type],"YDS",Table2[Athlete],Table1[[#This Row],[Pick]],Table2[Week],Table1[[#This Row],[Week]])</f>
        <v>0</v>
      </c>
      <c r="I938" s="59">
        <f>SUMIFS(Table2[Stat],Table2[Stat Category],"receiving",Table2[Stat Type],"YDS",Table2[Athlete],Table1[[#This Row],[Pick]],Table2[Week],Table1[[#This Row],[Week]])</f>
        <v>0</v>
      </c>
      <c r="J938" s="6">
        <f>IF(AND($C938="Rushing", $H938&lt;=0), 0, IF(AND($C938="Passing", $G$3&lt;=0), 0,IF(AND($C938="Receiving",$I938&lt;=0), 0,SUMIFS(Table2[Stat],Table2[Week],Table1[[#This Row],[Week]],Table2[Athlete],Table1[[#This Row],[Pick]],Table2[Stat Category],"passing",Table2[Stat Type],"TD"))))</f>
        <v>0</v>
      </c>
      <c r="K938" s="6">
        <f>IF(AND($C938="Rushing", $H938&lt;=0), 0, IF(AND($C938="Passing", $G$3&lt;=0), 0,IF(AND($C938="Receiving",$I938&lt;=0),0,SUMIFS(Table2[Stat],Table2[Week],Table1[[#This Row],[Week]],Table2[Athlete],Table1[[#This Row],[Pick]],Table2[Stat Category],"rushing",Table2[Stat Type],"TD"))))</f>
        <v>0</v>
      </c>
      <c r="L938" s="6">
        <f>IF(AND($C938="Rushing", $H938&lt;=0), 0, IF(AND($C938="Passing", $G$3&lt;=0), 0,IF(AND($C938="Receiving",$I938&lt;=0),0,SUMIFS(Table2[Stat],Table2[Week],Table1[[#This Row],[Week]],Table2[Athlete],Table1[[#This Row],[Pick]],Table2[Stat Category],"receiving",Table2[Stat Type],"TD"))))</f>
        <v>0</v>
      </c>
      <c r="M9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8" s="61">
        <f>SUMIFS(Data!$J:$J,Data!$A:$A,Info!$B938,Data!$G:$G,Info!$C938,Data!$I:$I,Info!$D938,Data!$H:$H,"TOT")</f>
        <v>0</v>
      </c>
      <c r="O938" s="61">
        <f>IF(C938="Defensive",SUMIFS(Data!$J:$J,Data!$A:$A,Info!$B938,Data!$I:$I,Info!$D938,Data!$H:$H,"INT"),0)</f>
        <v>0</v>
      </c>
      <c r="P938" s="61">
        <f>IF(Table1[[#This Row],[Role]]="Defensive",SUMIFS(Data!$J:$J,Data!$A:$A,Info!$B938,Data!$I:$I,Info!$D938,Data!$H:$H,$P$1),0)</f>
        <v>0</v>
      </c>
      <c r="Q938" s="65" t="str">
        <f>IF(Table1[[#This Row],[Pick]]="","",IF(S938&gt;1,400,IF(G938="","",IF(C938="Passing",(400-Table1[[#This Row],[Passing Yards]]-(30*Table1[[#This Row],[Passing TDs]])-(50*SUM(Table1[[#This Row],[Rushing TDs]:[Other TD''s]]))),IF(C938="Rushing",2*(200-Table1[[#This Row],[Rushing Yards]]-(30*Table1[[#This Row],[Passing TDs]])-50*(Table1[[#This Row],[Rushing TDs]]+Table1[[#This Row],[Receiving TDs]]+Table1[[#This Row],[Other TD''s]])),IF(C938="Receiving",2*(200-Table1[[#This Row],[Receiving Yards]]-(30*Table1[[#This Row],[Passing TDs]])-50*(Table1[[#This Row],[Rushing TDs]]+Table1[[#This Row],[Receiving TDs]]+Table1[[#This Row],[Other TD''s]])),IF(C938="Defensive",(25*(16-Table1[[#This Row],[Tackles]]-(8*(Table1[[#This Row],[Other TD''s]]+Table1[[#This Row],[Interceptions]]+Table1[[#This Row],[Fumbles Recovered]])))))))))))</f>
        <v/>
      </c>
      <c r="R938" s="3" t="str">
        <f t="shared" si="30"/>
        <v/>
      </c>
      <c r="S938" s="4">
        <f t="shared" si="29"/>
        <v>1048507</v>
      </c>
      <c r="T9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9" spans="1:20" hidden="1" x14ac:dyDescent="0.25">
      <c r="A939" t="s">
        <v>5</v>
      </c>
      <c r="B939" s="28" t="s">
        <v>57</v>
      </c>
      <c r="C939" t="s">
        <v>16</v>
      </c>
      <c r="D939" t="str">
        <f>_xlfn.XLOOKUP(Table1[[#This Row],[Player]]&amp;Table1[[#This Row],[Week]]&amp;Table1[[#This Row],[Role]],'Google Form Transform'!$A:$A,'Google Form Transform'!E:E,"")</f>
        <v/>
      </c>
      <c r="E939" t="str">
        <f>_xlfn.XLOOKUP(Table1[[#This Row],[Player]]&amp;Table1[[#This Row],[Week]]&amp;Table1[[#This Row],[Role]],'Google Form Transform'!$A:$A,'Google Form Transform'!F:F,"")</f>
        <v/>
      </c>
      <c r="F939" t="str">
        <f>_xlfn.XLOOKUP(Table1[[#This Row],[Player]]&amp;Table1[[#This Row],[Week]]&amp;Table1[[#This Row],[Role]],'Google Form Transform'!$A:$A,'Google Form Transform'!G:G,"")</f>
        <v/>
      </c>
      <c r="G939" s="59">
        <f>SUMIFS(Table2[Stat],Table2[Stat Category],"passing",Table2[Stat Type],"YDS",Table2[Athlete],Table1[[#This Row],[Pick]],Table2[Week],Table1[[#This Row],[Week]])</f>
        <v>0</v>
      </c>
      <c r="H939" s="59">
        <f>SUMIFS(Table2[Stat],Table2[Stat Category],"rushing",Table2[Stat Type],"YDS",Table2[Athlete],Table1[[#This Row],[Pick]],Table2[Week],Table1[[#This Row],[Week]])</f>
        <v>0</v>
      </c>
      <c r="I939" s="59">
        <f>SUMIFS(Table2[Stat],Table2[Stat Category],"receiving",Table2[Stat Type],"YDS",Table2[Athlete],Table1[[#This Row],[Pick]],Table2[Week],Table1[[#This Row],[Week]])</f>
        <v>0</v>
      </c>
      <c r="J939" s="6">
        <f>IF(AND($C939="Rushing", $H939&lt;=0), 0, IF(AND($C939="Passing", $G$3&lt;=0), 0,IF(AND($C939="Receiving",$I939&lt;=0), 0,SUMIFS(Table2[Stat],Table2[Week],Table1[[#This Row],[Week]],Table2[Athlete],Table1[[#This Row],[Pick]],Table2[Stat Category],"passing",Table2[Stat Type],"TD"))))</f>
        <v>0</v>
      </c>
      <c r="K939" s="6">
        <f>IF(AND($C939="Rushing", $H939&lt;=0), 0, IF(AND($C939="Passing", $G$3&lt;=0), 0,IF(AND($C939="Receiving",$I939&lt;=0),0,SUMIFS(Table2[Stat],Table2[Week],Table1[[#This Row],[Week]],Table2[Athlete],Table1[[#This Row],[Pick]],Table2[Stat Category],"rushing",Table2[Stat Type],"TD"))))</f>
        <v>0</v>
      </c>
      <c r="L939" s="6">
        <f>IF(AND($C939="Rushing", $H939&lt;=0), 0, IF(AND($C939="Passing", $G$3&lt;=0), 0,IF(AND($C939="Receiving",$I939&lt;=0),0,SUMIFS(Table2[Stat],Table2[Week],Table1[[#This Row],[Week]],Table2[Athlete],Table1[[#This Row],[Pick]],Table2[Stat Category],"receiving",Table2[Stat Type],"TD"))))</f>
        <v>0</v>
      </c>
      <c r="M9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9" s="61">
        <f>SUMIFS(Data!$J:$J,Data!$A:$A,Info!$B939,Data!$G:$G,Info!$C939,Data!$I:$I,Info!$D939,Data!$H:$H,"TOT")</f>
        <v>0</v>
      </c>
      <c r="O939" s="61">
        <f>IF(C939="Defensive",SUMIFS(Data!$J:$J,Data!$A:$A,Info!$B939,Data!$I:$I,Info!$D939,Data!$H:$H,"INT"),0)</f>
        <v>0</v>
      </c>
      <c r="P939" s="61">
        <f>IF(Table1[[#This Row],[Role]]="Defensive",SUMIFS(Data!$J:$J,Data!$A:$A,Info!$B939,Data!$I:$I,Info!$D939,Data!$H:$H,$P$1),0)</f>
        <v>0</v>
      </c>
      <c r="Q939" s="65" t="str">
        <f>IF(Table1[[#This Row],[Pick]]="","",IF(S939&gt;1,400,IF(G939="","",IF(C939="Passing",(400-Table1[[#This Row],[Passing Yards]]-(30*Table1[[#This Row],[Passing TDs]])-(50*SUM(Table1[[#This Row],[Rushing TDs]:[Other TD''s]]))),IF(C939="Rushing",2*(200-Table1[[#This Row],[Rushing Yards]]-(30*Table1[[#This Row],[Passing TDs]])-50*(Table1[[#This Row],[Rushing TDs]]+Table1[[#This Row],[Receiving TDs]]+Table1[[#This Row],[Other TD''s]])),IF(C939="Receiving",2*(200-Table1[[#This Row],[Receiving Yards]]-(30*Table1[[#This Row],[Passing TDs]])-50*(Table1[[#This Row],[Rushing TDs]]+Table1[[#This Row],[Receiving TDs]]+Table1[[#This Row],[Other TD''s]])),IF(C939="Defensive",(25*(16-Table1[[#This Row],[Tackles]]-(8*(Table1[[#This Row],[Other TD''s]]+Table1[[#This Row],[Interceptions]]+Table1[[#This Row],[Fumbles Recovered]])))))))))))</f>
        <v/>
      </c>
      <c r="R939" s="3" t="str">
        <f t="shared" si="30"/>
        <v/>
      </c>
      <c r="S939" s="4">
        <f t="shared" si="29"/>
        <v>1048507</v>
      </c>
      <c r="T9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0" spans="1:20" hidden="1" x14ac:dyDescent="0.25">
      <c r="A940" t="s">
        <v>5</v>
      </c>
      <c r="B940" s="28" t="s">
        <v>57</v>
      </c>
      <c r="C940" t="s">
        <v>6</v>
      </c>
      <c r="D940" t="str">
        <f>_xlfn.XLOOKUP(Table1[[#This Row],[Player]]&amp;Table1[[#This Row],[Week]]&amp;Table1[[#This Row],[Role]],'Google Form Transform'!$A:$A,'Google Form Transform'!E:E,"")</f>
        <v/>
      </c>
      <c r="E940" t="str">
        <f>_xlfn.XLOOKUP(Table1[[#This Row],[Player]]&amp;Table1[[#This Row],[Week]]&amp;Table1[[#This Row],[Role]],'Google Form Transform'!$A:$A,'Google Form Transform'!F:F,"")</f>
        <v/>
      </c>
      <c r="F940" t="str">
        <f>_xlfn.XLOOKUP(Table1[[#This Row],[Player]]&amp;Table1[[#This Row],[Week]]&amp;Table1[[#This Row],[Role]],'Google Form Transform'!$A:$A,'Google Form Transform'!G:G,"")</f>
        <v/>
      </c>
      <c r="G940" s="59">
        <f>SUMIFS(Table2[Stat],Table2[Stat Category],"passing",Table2[Stat Type],"YDS",Table2[Athlete],Table1[[#This Row],[Pick]],Table2[Week],Table1[[#This Row],[Week]])</f>
        <v>0</v>
      </c>
      <c r="H940" s="59">
        <f>SUMIFS(Table2[Stat],Table2[Stat Category],"rushing",Table2[Stat Type],"YDS",Table2[Athlete],Table1[[#This Row],[Pick]],Table2[Week],Table1[[#This Row],[Week]])</f>
        <v>0</v>
      </c>
      <c r="I940" s="59">
        <f>SUMIFS(Table2[Stat],Table2[Stat Category],"receiving",Table2[Stat Type],"YDS",Table2[Athlete],Table1[[#This Row],[Pick]],Table2[Week],Table1[[#This Row],[Week]])</f>
        <v>0</v>
      </c>
      <c r="J940" s="6">
        <f>IF(AND($C940="Rushing", $H940&lt;=0), 0, IF(AND($C940="Passing", $G$3&lt;=0), 0,IF(AND($C940="Receiving",$I940&lt;=0), 0,SUMIFS(Table2[Stat],Table2[Week],Table1[[#This Row],[Week]],Table2[Athlete],Table1[[#This Row],[Pick]],Table2[Stat Category],"passing",Table2[Stat Type],"TD"))))</f>
        <v>0</v>
      </c>
      <c r="K940" s="6">
        <f>IF(AND($C940="Rushing", $H940&lt;=0), 0, IF(AND($C940="Passing", $G$3&lt;=0), 0,IF(AND($C940="Receiving",$I940&lt;=0),0,SUMIFS(Table2[Stat],Table2[Week],Table1[[#This Row],[Week]],Table2[Athlete],Table1[[#This Row],[Pick]],Table2[Stat Category],"rushing",Table2[Stat Type],"TD"))))</f>
        <v>0</v>
      </c>
      <c r="L940" s="6">
        <f>IF(AND($C940="Rushing", $H940&lt;=0), 0, IF(AND($C940="Passing", $G$3&lt;=0), 0,IF(AND($C940="Receiving",$I940&lt;=0),0,SUMIFS(Table2[Stat],Table2[Week],Table1[[#This Row],[Week]],Table2[Athlete],Table1[[#This Row],[Pick]],Table2[Stat Category],"receiving",Table2[Stat Type],"TD"))))</f>
        <v>0</v>
      </c>
      <c r="M9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0" s="61">
        <f>SUMIFS(Data!$J:$J,Data!$A:$A,Info!$B940,Data!$G:$G,Info!$C940,Data!$I:$I,Info!$D940,Data!$H:$H,"TOT")</f>
        <v>0</v>
      </c>
      <c r="O940" s="61">
        <f>IF(C940="Defensive",SUMIFS(Data!$J:$J,Data!$A:$A,Info!$B940,Data!$I:$I,Info!$D940,Data!$H:$H,"INT"),0)</f>
        <v>0</v>
      </c>
      <c r="P940" s="61">
        <f>IF(Table1[[#This Row],[Role]]="Defensive",SUMIFS(Data!$J:$J,Data!$A:$A,Info!$B940,Data!$I:$I,Info!$D940,Data!$H:$H,$P$1),0)</f>
        <v>0</v>
      </c>
      <c r="Q940" s="65" t="str">
        <f>IF(Table1[[#This Row],[Pick]]="","",IF(S940&gt;1,400,IF(G940="","",IF(C940="Passing",(400-Table1[[#This Row],[Passing Yards]]-(30*Table1[[#This Row],[Passing TDs]])-(50*SUM(Table1[[#This Row],[Rushing TDs]:[Other TD''s]]))),IF(C940="Rushing",2*(200-Table1[[#This Row],[Rushing Yards]]-(30*Table1[[#This Row],[Passing TDs]])-50*(Table1[[#This Row],[Rushing TDs]]+Table1[[#This Row],[Receiving TDs]]+Table1[[#This Row],[Other TD''s]])),IF(C940="Receiving",2*(200-Table1[[#This Row],[Receiving Yards]]-(30*Table1[[#This Row],[Passing TDs]])-50*(Table1[[#This Row],[Rushing TDs]]+Table1[[#This Row],[Receiving TDs]]+Table1[[#This Row],[Other TD''s]])),IF(C940="Defensive",(25*(16-Table1[[#This Row],[Tackles]]-(8*(Table1[[#This Row],[Other TD''s]]+Table1[[#This Row],[Interceptions]]+Table1[[#This Row],[Fumbles Recovered]])))))))))))</f>
        <v/>
      </c>
      <c r="R940" s="3" t="str">
        <f t="shared" si="30"/>
        <v/>
      </c>
      <c r="S940" s="4">
        <f t="shared" si="29"/>
        <v>1048507</v>
      </c>
      <c r="T9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1" spans="1:20" hidden="1" x14ac:dyDescent="0.25">
      <c r="A941" t="s">
        <v>5</v>
      </c>
      <c r="B941" s="28" t="s">
        <v>57</v>
      </c>
      <c r="C941" t="s">
        <v>17</v>
      </c>
      <c r="D941" t="str">
        <f>_xlfn.XLOOKUP(Table1[[#This Row],[Player]]&amp;Table1[[#This Row],[Week]]&amp;Table1[[#This Row],[Role]],'Google Form Transform'!$A:$A,'Google Form Transform'!E:E,"")</f>
        <v/>
      </c>
      <c r="E941" t="str">
        <f>_xlfn.XLOOKUP(Table1[[#This Row],[Player]]&amp;Table1[[#This Row],[Week]]&amp;Table1[[#This Row],[Role]],'Google Form Transform'!$A:$A,'Google Form Transform'!F:F,"")</f>
        <v/>
      </c>
      <c r="F941" t="str">
        <f>_xlfn.XLOOKUP(Table1[[#This Row],[Player]]&amp;Table1[[#This Row],[Week]]&amp;Table1[[#This Row],[Role]],'Google Form Transform'!$A:$A,'Google Form Transform'!G:G,"")</f>
        <v/>
      </c>
      <c r="G941" s="59">
        <f>SUMIFS(Table2[Stat],Table2[Stat Category],"passing",Table2[Stat Type],"YDS",Table2[Athlete],Table1[[#This Row],[Pick]],Table2[Week],Table1[[#This Row],[Week]])</f>
        <v>0</v>
      </c>
      <c r="H941" s="59">
        <f>SUMIFS(Table2[Stat],Table2[Stat Category],"rushing",Table2[Stat Type],"YDS",Table2[Athlete],Table1[[#This Row],[Pick]],Table2[Week],Table1[[#This Row],[Week]])</f>
        <v>0</v>
      </c>
      <c r="I941" s="59">
        <f>SUMIFS(Table2[Stat],Table2[Stat Category],"receiving",Table2[Stat Type],"YDS",Table2[Athlete],Table1[[#This Row],[Pick]],Table2[Week],Table1[[#This Row],[Week]])</f>
        <v>0</v>
      </c>
      <c r="J941" s="6">
        <f>IF(AND($C941="Rushing", $H941&lt;=0), 0, IF(AND($C941="Passing", $G$3&lt;=0), 0,IF(AND($C941="Receiving",$I941&lt;=0), 0,SUMIFS(Table2[Stat],Table2[Week],Table1[[#This Row],[Week]],Table2[Athlete],Table1[[#This Row],[Pick]],Table2[Stat Category],"passing",Table2[Stat Type],"TD"))))</f>
        <v>0</v>
      </c>
      <c r="K941" s="6">
        <f>IF(AND($C941="Rushing", $H941&lt;=0), 0, IF(AND($C941="Passing", $G$3&lt;=0), 0,IF(AND($C941="Receiving",$I941&lt;=0),0,SUMIFS(Table2[Stat],Table2[Week],Table1[[#This Row],[Week]],Table2[Athlete],Table1[[#This Row],[Pick]],Table2[Stat Category],"rushing",Table2[Stat Type],"TD"))))</f>
        <v>0</v>
      </c>
      <c r="L941" s="6">
        <f>IF(AND($C941="Rushing", $H941&lt;=0), 0, IF(AND($C941="Passing", $G$3&lt;=0), 0,IF(AND($C941="Receiving",$I941&lt;=0),0,SUMIFS(Table2[Stat],Table2[Week],Table1[[#This Row],[Week]],Table2[Athlete],Table1[[#This Row],[Pick]],Table2[Stat Category],"receiving",Table2[Stat Type],"TD"))))</f>
        <v>0</v>
      </c>
      <c r="M9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1" s="61">
        <f>SUMIFS(Data!$J:$J,Data!$A:$A,Info!$B941,Data!$G:$G,Info!$C941,Data!$I:$I,Info!$D941,Data!$H:$H,"TOT")</f>
        <v>0</v>
      </c>
      <c r="O941" s="61">
        <f>IF(C941="Defensive",SUMIFS(Data!$J:$J,Data!$A:$A,Info!$B941,Data!$I:$I,Info!$D941,Data!$H:$H,"INT"),0)</f>
        <v>0</v>
      </c>
      <c r="P941" s="61">
        <f>IF(Table1[[#This Row],[Role]]="Defensive",SUMIFS(Data!$J:$J,Data!$A:$A,Info!$B941,Data!$I:$I,Info!$D941,Data!$H:$H,$P$1),0)</f>
        <v>0</v>
      </c>
      <c r="Q941" s="65" t="str">
        <f>IF(Table1[[#This Row],[Pick]]="","",IF(S941&gt;1,400,IF(G941="","",IF(C941="Passing",(400-Table1[[#This Row],[Passing Yards]]-(30*Table1[[#This Row],[Passing TDs]])-(50*SUM(Table1[[#This Row],[Rushing TDs]:[Other TD''s]]))),IF(C941="Rushing",2*(200-Table1[[#This Row],[Rushing Yards]]-(30*Table1[[#This Row],[Passing TDs]])-50*(Table1[[#This Row],[Rushing TDs]]+Table1[[#This Row],[Receiving TDs]]+Table1[[#This Row],[Other TD''s]])),IF(C941="Receiving",2*(200-Table1[[#This Row],[Receiving Yards]]-(30*Table1[[#This Row],[Passing TDs]])-50*(Table1[[#This Row],[Rushing TDs]]+Table1[[#This Row],[Receiving TDs]]+Table1[[#This Row],[Other TD''s]])),IF(C941="Defensive",(25*(16-Table1[[#This Row],[Tackles]]-(8*(Table1[[#This Row],[Other TD''s]]+Table1[[#This Row],[Interceptions]]+Table1[[#This Row],[Fumbles Recovered]])))))))))))</f>
        <v/>
      </c>
      <c r="R941" s="3" t="str">
        <f t="shared" si="30"/>
        <v/>
      </c>
      <c r="S941" s="4">
        <f t="shared" si="29"/>
        <v>1048507</v>
      </c>
      <c r="T9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2" spans="1:20" hidden="1" x14ac:dyDescent="0.25">
      <c r="A942" t="s">
        <v>5</v>
      </c>
      <c r="B942" s="28" t="s">
        <v>57</v>
      </c>
      <c r="C942" t="s">
        <v>20</v>
      </c>
      <c r="D942" t="str">
        <f>_xlfn.XLOOKUP(Table1[[#This Row],[Player]]&amp;Table1[[#This Row],[Week]]&amp;Table1[[#This Row],[Role]],'Google Form Transform'!$A:$A,'Google Form Transform'!E:E,"")</f>
        <v/>
      </c>
      <c r="E942" t="str">
        <f>_xlfn.XLOOKUP(Table1[[#This Row],[Player]]&amp;Table1[[#This Row],[Week]]&amp;Table1[[#This Row],[Role]],'Google Form Transform'!$A:$A,'Google Form Transform'!F:F,"")</f>
        <v/>
      </c>
      <c r="F942" t="str">
        <f>_xlfn.XLOOKUP(Table1[[#This Row],[Player]]&amp;Table1[[#This Row],[Week]]&amp;Table1[[#This Row],[Role]],'Google Form Transform'!$A:$A,'Google Form Transform'!G:G,"")</f>
        <v/>
      </c>
      <c r="G942" s="59">
        <f>SUMIFS(Table2[Stat],Table2[Stat Category],"passing",Table2[Stat Type],"YDS",Table2[Athlete],Table1[[#This Row],[Pick]],Table2[Week],Table1[[#This Row],[Week]])</f>
        <v>0</v>
      </c>
      <c r="H942" s="59">
        <f>SUMIFS(Table2[Stat],Table2[Stat Category],"rushing",Table2[Stat Type],"YDS",Table2[Athlete],Table1[[#This Row],[Pick]],Table2[Week],Table1[[#This Row],[Week]])</f>
        <v>0</v>
      </c>
      <c r="I942" s="59">
        <f>SUMIFS(Table2[Stat],Table2[Stat Category],"receiving",Table2[Stat Type],"YDS",Table2[Athlete],Table1[[#This Row],[Pick]],Table2[Week],Table1[[#This Row],[Week]])</f>
        <v>0</v>
      </c>
      <c r="J942" s="6">
        <f>IF(AND($C942="Rushing", $H942&lt;=0), 0, IF(AND($C942="Passing", $G$3&lt;=0), 0,IF(AND($C942="Receiving",$I942&lt;=0), 0,SUMIFS(Table2[Stat],Table2[Week],Table1[[#This Row],[Week]],Table2[Athlete],Table1[[#This Row],[Pick]],Table2[Stat Category],"passing",Table2[Stat Type],"TD"))))</f>
        <v>0</v>
      </c>
      <c r="K942" s="6">
        <f>IF(AND($C942="Rushing", $H942&lt;=0), 0, IF(AND($C942="Passing", $G$3&lt;=0), 0,IF(AND($C942="Receiving",$I942&lt;=0),0,SUMIFS(Table2[Stat],Table2[Week],Table1[[#This Row],[Week]],Table2[Athlete],Table1[[#This Row],[Pick]],Table2[Stat Category],"rushing",Table2[Stat Type],"TD"))))</f>
        <v>0</v>
      </c>
      <c r="L942" s="6">
        <f>IF(AND($C942="Rushing", $H942&lt;=0), 0, IF(AND($C942="Passing", $G$3&lt;=0), 0,IF(AND($C942="Receiving",$I942&lt;=0),0,SUMIFS(Table2[Stat],Table2[Week],Table1[[#This Row],[Week]],Table2[Athlete],Table1[[#This Row],[Pick]],Table2[Stat Category],"receiving",Table2[Stat Type],"TD"))))</f>
        <v>0</v>
      </c>
      <c r="M9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2" s="61">
        <f>SUMIFS(Data!$J:$J,Data!$A:$A,Info!$B942,Data!$G:$G,Info!$C942,Data!$I:$I,Info!$D942,Data!$H:$H,"TOT")</f>
        <v>0</v>
      </c>
      <c r="O942" s="61">
        <f>IF(C942="Defensive",SUMIFS(Data!$J:$J,Data!$A:$A,Info!$B942,Data!$I:$I,Info!$D942,Data!$H:$H,"INT"),0)</f>
        <v>0</v>
      </c>
      <c r="P942" s="61">
        <f>IF(Table1[[#This Row],[Role]]="Defensive",SUMIFS(Data!$J:$J,Data!$A:$A,Info!$B942,Data!$I:$I,Info!$D942,Data!$H:$H,$P$1),0)</f>
        <v>0</v>
      </c>
      <c r="Q942" s="65" t="str">
        <f>IF(Table1[[#This Row],[Pick]]="","",IF(S942&gt;1,400,IF(G942="","",IF(C942="Passing",(400-Table1[[#This Row],[Passing Yards]]-(30*Table1[[#This Row],[Passing TDs]])-(50*SUM(Table1[[#This Row],[Rushing TDs]:[Other TD''s]]))),IF(C942="Rushing",2*(200-Table1[[#This Row],[Rushing Yards]]-(30*Table1[[#This Row],[Passing TDs]])-50*(Table1[[#This Row],[Rushing TDs]]+Table1[[#This Row],[Receiving TDs]]+Table1[[#This Row],[Other TD''s]])),IF(C942="Receiving",2*(200-Table1[[#This Row],[Receiving Yards]]-(30*Table1[[#This Row],[Passing TDs]])-50*(Table1[[#This Row],[Rushing TDs]]+Table1[[#This Row],[Receiving TDs]]+Table1[[#This Row],[Other TD''s]])),IF(C942="Defensive",(25*(16-Table1[[#This Row],[Tackles]]-(8*(Table1[[#This Row],[Other TD''s]]+Table1[[#This Row],[Interceptions]]+Table1[[#This Row],[Fumbles Recovered]])))))))))))</f>
        <v/>
      </c>
      <c r="R942" s="3" t="str">
        <f t="shared" si="30"/>
        <v/>
      </c>
      <c r="S942" s="4">
        <f t="shared" si="29"/>
        <v>1048507</v>
      </c>
      <c r="T9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3" spans="1:20" hidden="1" x14ac:dyDescent="0.25">
      <c r="A943" t="s">
        <v>18</v>
      </c>
      <c r="B943" s="28" t="s">
        <v>57</v>
      </c>
      <c r="C943" t="s">
        <v>16</v>
      </c>
      <c r="D943" t="str">
        <f>_xlfn.XLOOKUP(Table1[[#This Row],[Player]]&amp;Table1[[#This Row],[Week]]&amp;Table1[[#This Row],[Role]],'Google Form Transform'!$A:$A,'Google Form Transform'!E:E,"")</f>
        <v/>
      </c>
      <c r="E943" t="str">
        <f>_xlfn.XLOOKUP(Table1[[#This Row],[Player]]&amp;Table1[[#This Row],[Week]]&amp;Table1[[#This Row],[Role]],'Google Form Transform'!$A:$A,'Google Form Transform'!F:F,"")</f>
        <v/>
      </c>
      <c r="F943" t="str">
        <f>_xlfn.XLOOKUP(Table1[[#This Row],[Player]]&amp;Table1[[#This Row],[Week]]&amp;Table1[[#This Row],[Role]],'Google Form Transform'!$A:$A,'Google Form Transform'!G:G,"")</f>
        <v/>
      </c>
      <c r="G943" s="59">
        <f>SUMIFS(Table2[Stat],Table2[Stat Category],"passing",Table2[Stat Type],"YDS",Table2[Athlete],Table1[[#This Row],[Pick]],Table2[Week],Table1[[#This Row],[Week]])</f>
        <v>0</v>
      </c>
      <c r="H943" s="59">
        <f>SUMIFS(Table2[Stat],Table2[Stat Category],"rushing",Table2[Stat Type],"YDS",Table2[Athlete],Table1[[#This Row],[Pick]],Table2[Week],Table1[[#This Row],[Week]])</f>
        <v>0</v>
      </c>
      <c r="I943" s="59">
        <f>SUMIFS(Table2[Stat],Table2[Stat Category],"receiving",Table2[Stat Type],"YDS",Table2[Athlete],Table1[[#This Row],[Pick]],Table2[Week],Table1[[#This Row],[Week]])</f>
        <v>0</v>
      </c>
      <c r="J943" s="6">
        <f>IF(AND($C943="Rushing", $H943&lt;=0), 0, IF(AND($C943="Passing", $G$3&lt;=0), 0,IF(AND($C943="Receiving",$I943&lt;=0), 0,SUMIFS(Table2[Stat],Table2[Week],Table1[[#This Row],[Week]],Table2[Athlete],Table1[[#This Row],[Pick]],Table2[Stat Category],"passing",Table2[Stat Type],"TD"))))</f>
        <v>0</v>
      </c>
      <c r="K943" s="6">
        <f>IF(AND($C943="Rushing", $H943&lt;=0), 0, IF(AND($C943="Passing", $G$3&lt;=0), 0,IF(AND($C943="Receiving",$I943&lt;=0),0,SUMIFS(Table2[Stat],Table2[Week],Table1[[#This Row],[Week]],Table2[Athlete],Table1[[#This Row],[Pick]],Table2[Stat Category],"rushing",Table2[Stat Type],"TD"))))</f>
        <v>0</v>
      </c>
      <c r="L943" s="6">
        <f>IF(AND($C943="Rushing", $H943&lt;=0), 0, IF(AND($C943="Passing", $G$3&lt;=0), 0,IF(AND($C943="Receiving",$I943&lt;=0),0,SUMIFS(Table2[Stat],Table2[Week],Table1[[#This Row],[Week]],Table2[Athlete],Table1[[#This Row],[Pick]],Table2[Stat Category],"receiving",Table2[Stat Type],"TD"))))</f>
        <v>0</v>
      </c>
      <c r="M9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3" s="61">
        <f>SUMIFS(Data!$J:$J,Data!$A:$A,Info!$B943,Data!$G:$G,Info!$C943,Data!$I:$I,Info!$D943,Data!$H:$H,"TOT")</f>
        <v>0</v>
      </c>
      <c r="O943" s="61">
        <f>IF(C943="Defensive",SUMIFS(Data!$J:$J,Data!$A:$A,Info!$B943,Data!$I:$I,Info!$D943,Data!$H:$H,"INT"),0)</f>
        <v>0</v>
      </c>
      <c r="P943" s="61">
        <f>IF(Table1[[#This Row],[Role]]="Defensive",SUMIFS(Data!$J:$J,Data!$A:$A,Info!$B943,Data!$I:$I,Info!$D943,Data!$H:$H,$P$1),0)</f>
        <v>0</v>
      </c>
      <c r="Q943" s="65" t="str">
        <f>IF(Table1[[#This Row],[Pick]]="","",IF(S943&gt;1,400,IF(G943="","",IF(C943="Passing",(400-Table1[[#This Row],[Passing Yards]]-(30*Table1[[#This Row],[Passing TDs]])-(50*SUM(Table1[[#This Row],[Rushing TDs]:[Other TD''s]]))),IF(C943="Rushing",2*(200-Table1[[#This Row],[Rushing Yards]]-(30*Table1[[#This Row],[Passing TDs]])-50*(Table1[[#This Row],[Rushing TDs]]+Table1[[#This Row],[Receiving TDs]]+Table1[[#This Row],[Other TD''s]])),IF(C943="Receiving",2*(200-Table1[[#This Row],[Receiving Yards]]-(30*Table1[[#This Row],[Passing TDs]])-50*(Table1[[#This Row],[Rushing TDs]]+Table1[[#This Row],[Receiving TDs]]+Table1[[#This Row],[Other TD''s]])),IF(C943="Defensive",(25*(16-Table1[[#This Row],[Tackles]]-(8*(Table1[[#This Row],[Other TD''s]]+Table1[[#This Row],[Interceptions]]+Table1[[#This Row],[Fumbles Recovered]])))))))))))</f>
        <v/>
      </c>
      <c r="R943" s="3" t="str">
        <f t="shared" si="30"/>
        <v/>
      </c>
      <c r="S943" s="4">
        <f t="shared" si="29"/>
        <v>1048507</v>
      </c>
      <c r="T9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4" spans="1:20" hidden="1" x14ac:dyDescent="0.25">
      <c r="A944" t="s">
        <v>18</v>
      </c>
      <c r="B944" s="28" t="s">
        <v>57</v>
      </c>
      <c r="C944" t="s">
        <v>6</v>
      </c>
      <c r="D944" t="str">
        <f>_xlfn.XLOOKUP(Table1[[#This Row],[Player]]&amp;Table1[[#This Row],[Week]]&amp;Table1[[#This Row],[Role]],'Google Form Transform'!$A:$A,'Google Form Transform'!E:E,"")</f>
        <v/>
      </c>
      <c r="E944" t="str">
        <f>_xlfn.XLOOKUP(Table1[[#This Row],[Player]]&amp;Table1[[#This Row],[Week]]&amp;Table1[[#This Row],[Role]],'Google Form Transform'!$A:$A,'Google Form Transform'!F:F,"")</f>
        <v/>
      </c>
      <c r="F944" t="str">
        <f>_xlfn.XLOOKUP(Table1[[#This Row],[Player]]&amp;Table1[[#This Row],[Week]]&amp;Table1[[#This Row],[Role]],'Google Form Transform'!$A:$A,'Google Form Transform'!G:G,"")</f>
        <v/>
      </c>
      <c r="G944" s="59">
        <f>SUMIFS(Table2[Stat],Table2[Stat Category],"passing",Table2[Stat Type],"YDS",Table2[Athlete],Table1[[#This Row],[Pick]],Table2[Week],Table1[[#This Row],[Week]])</f>
        <v>0</v>
      </c>
      <c r="H944" s="59">
        <f>SUMIFS(Table2[Stat],Table2[Stat Category],"rushing",Table2[Stat Type],"YDS",Table2[Athlete],Table1[[#This Row],[Pick]],Table2[Week],Table1[[#This Row],[Week]])</f>
        <v>0</v>
      </c>
      <c r="I944" s="59">
        <f>SUMIFS(Table2[Stat],Table2[Stat Category],"receiving",Table2[Stat Type],"YDS",Table2[Athlete],Table1[[#This Row],[Pick]],Table2[Week],Table1[[#This Row],[Week]])</f>
        <v>0</v>
      </c>
      <c r="J944" s="6">
        <f>IF(AND($C944="Rushing", $H944&lt;=0), 0, IF(AND($C944="Passing", $G$3&lt;=0), 0,IF(AND($C944="Receiving",$I944&lt;=0), 0,SUMIFS(Table2[Stat],Table2[Week],Table1[[#This Row],[Week]],Table2[Athlete],Table1[[#This Row],[Pick]],Table2[Stat Category],"passing",Table2[Stat Type],"TD"))))</f>
        <v>0</v>
      </c>
      <c r="K944" s="6">
        <f>IF(AND($C944="Rushing", $H944&lt;=0), 0, IF(AND($C944="Passing", $G$3&lt;=0), 0,IF(AND($C944="Receiving",$I944&lt;=0),0,SUMIFS(Table2[Stat],Table2[Week],Table1[[#This Row],[Week]],Table2[Athlete],Table1[[#This Row],[Pick]],Table2[Stat Category],"rushing",Table2[Stat Type],"TD"))))</f>
        <v>0</v>
      </c>
      <c r="L944" s="6">
        <f>IF(AND($C944="Rushing", $H944&lt;=0), 0, IF(AND($C944="Passing", $G$3&lt;=0), 0,IF(AND($C944="Receiving",$I944&lt;=0),0,SUMIFS(Table2[Stat],Table2[Week],Table1[[#This Row],[Week]],Table2[Athlete],Table1[[#This Row],[Pick]],Table2[Stat Category],"receiving",Table2[Stat Type],"TD"))))</f>
        <v>0</v>
      </c>
      <c r="M9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4" s="61">
        <f>SUMIFS(Data!$J:$J,Data!$A:$A,Info!$B944,Data!$G:$G,Info!$C944,Data!$I:$I,Info!$D944,Data!$H:$H,"TOT")</f>
        <v>0</v>
      </c>
      <c r="O944" s="61">
        <f>IF(C944="Defensive",SUMIFS(Data!$J:$J,Data!$A:$A,Info!$B944,Data!$I:$I,Info!$D944,Data!$H:$H,"INT"),0)</f>
        <v>0</v>
      </c>
      <c r="P944" s="61">
        <f>IF(Table1[[#This Row],[Role]]="Defensive",SUMIFS(Data!$J:$J,Data!$A:$A,Info!$B944,Data!$I:$I,Info!$D944,Data!$H:$H,$P$1),0)</f>
        <v>0</v>
      </c>
      <c r="Q944" s="65" t="str">
        <f>IF(Table1[[#This Row],[Pick]]="","",IF(S944&gt;1,400,IF(G944="","",IF(C944="Passing",(400-Table1[[#This Row],[Passing Yards]]-(30*Table1[[#This Row],[Passing TDs]])-(50*SUM(Table1[[#This Row],[Rushing TDs]:[Other TD''s]]))),IF(C944="Rushing",2*(200-Table1[[#This Row],[Rushing Yards]]-(30*Table1[[#This Row],[Passing TDs]])-50*(Table1[[#This Row],[Rushing TDs]]+Table1[[#This Row],[Receiving TDs]]+Table1[[#This Row],[Other TD''s]])),IF(C944="Receiving",2*(200-Table1[[#This Row],[Receiving Yards]]-(30*Table1[[#This Row],[Passing TDs]])-50*(Table1[[#This Row],[Rushing TDs]]+Table1[[#This Row],[Receiving TDs]]+Table1[[#This Row],[Other TD''s]])),IF(C944="Defensive",(25*(16-Table1[[#This Row],[Tackles]]-(8*(Table1[[#This Row],[Other TD''s]]+Table1[[#This Row],[Interceptions]]+Table1[[#This Row],[Fumbles Recovered]])))))))))))</f>
        <v/>
      </c>
      <c r="R944" s="3" t="str">
        <f t="shared" si="30"/>
        <v/>
      </c>
      <c r="S944" s="4">
        <f t="shared" si="29"/>
        <v>1048507</v>
      </c>
      <c r="T9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5" spans="1:20" hidden="1" x14ac:dyDescent="0.25">
      <c r="A945" t="s">
        <v>18</v>
      </c>
      <c r="B945" s="28" t="s">
        <v>57</v>
      </c>
      <c r="C945" t="s">
        <v>17</v>
      </c>
      <c r="D945" t="str">
        <f>_xlfn.XLOOKUP(Table1[[#This Row],[Player]]&amp;Table1[[#This Row],[Week]]&amp;Table1[[#This Row],[Role]],'Google Form Transform'!$A:$A,'Google Form Transform'!E:E,"")</f>
        <v/>
      </c>
      <c r="E945" t="str">
        <f>_xlfn.XLOOKUP(Table1[[#This Row],[Player]]&amp;Table1[[#This Row],[Week]]&amp;Table1[[#This Row],[Role]],'Google Form Transform'!$A:$A,'Google Form Transform'!F:F,"")</f>
        <v/>
      </c>
      <c r="F945" t="str">
        <f>_xlfn.XLOOKUP(Table1[[#This Row],[Player]]&amp;Table1[[#This Row],[Week]]&amp;Table1[[#This Row],[Role]],'Google Form Transform'!$A:$A,'Google Form Transform'!G:G,"")</f>
        <v/>
      </c>
      <c r="G945" s="59">
        <f>SUMIFS(Table2[Stat],Table2[Stat Category],"passing",Table2[Stat Type],"YDS",Table2[Athlete],Table1[[#This Row],[Pick]],Table2[Week],Table1[[#This Row],[Week]])</f>
        <v>0</v>
      </c>
      <c r="H945" s="59">
        <f>SUMIFS(Table2[Stat],Table2[Stat Category],"rushing",Table2[Stat Type],"YDS",Table2[Athlete],Table1[[#This Row],[Pick]],Table2[Week],Table1[[#This Row],[Week]])</f>
        <v>0</v>
      </c>
      <c r="I945" s="59">
        <f>SUMIFS(Table2[Stat],Table2[Stat Category],"receiving",Table2[Stat Type],"YDS",Table2[Athlete],Table1[[#This Row],[Pick]],Table2[Week],Table1[[#This Row],[Week]])</f>
        <v>0</v>
      </c>
      <c r="J945" s="6">
        <f>IF(AND($C945="Rushing", $H945&lt;=0), 0, IF(AND($C945="Passing", $G$3&lt;=0), 0,IF(AND($C945="Receiving",$I945&lt;=0), 0,SUMIFS(Table2[Stat],Table2[Week],Table1[[#This Row],[Week]],Table2[Athlete],Table1[[#This Row],[Pick]],Table2[Stat Category],"passing",Table2[Stat Type],"TD"))))</f>
        <v>0</v>
      </c>
      <c r="K945" s="6">
        <f>IF(AND($C945="Rushing", $H945&lt;=0), 0, IF(AND($C945="Passing", $G$3&lt;=0), 0,IF(AND($C945="Receiving",$I945&lt;=0),0,SUMIFS(Table2[Stat],Table2[Week],Table1[[#This Row],[Week]],Table2[Athlete],Table1[[#This Row],[Pick]],Table2[Stat Category],"rushing",Table2[Stat Type],"TD"))))</f>
        <v>0</v>
      </c>
      <c r="L945" s="6">
        <f>IF(AND($C945="Rushing", $H945&lt;=0), 0, IF(AND($C945="Passing", $G$3&lt;=0), 0,IF(AND($C945="Receiving",$I945&lt;=0),0,SUMIFS(Table2[Stat],Table2[Week],Table1[[#This Row],[Week]],Table2[Athlete],Table1[[#This Row],[Pick]],Table2[Stat Category],"receiving",Table2[Stat Type],"TD"))))</f>
        <v>0</v>
      </c>
      <c r="M9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5" s="61">
        <f>SUMIFS(Data!$J:$J,Data!$A:$A,Info!$B945,Data!$G:$G,Info!$C945,Data!$I:$I,Info!$D945,Data!$H:$H,"TOT")</f>
        <v>0</v>
      </c>
      <c r="O945" s="61">
        <f>IF(C945="Defensive",SUMIFS(Data!$J:$J,Data!$A:$A,Info!$B945,Data!$I:$I,Info!$D945,Data!$H:$H,"INT"),0)</f>
        <v>0</v>
      </c>
      <c r="P945" s="61">
        <f>IF(Table1[[#This Row],[Role]]="Defensive",SUMIFS(Data!$J:$J,Data!$A:$A,Info!$B945,Data!$I:$I,Info!$D945,Data!$H:$H,$P$1),0)</f>
        <v>0</v>
      </c>
      <c r="Q945" s="65" t="str">
        <f>IF(Table1[[#This Row],[Pick]]="","",IF(S945&gt;1,400,IF(G945="","",IF(C945="Passing",(400-Table1[[#This Row],[Passing Yards]]-(30*Table1[[#This Row],[Passing TDs]])-(50*SUM(Table1[[#This Row],[Rushing TDs]:[Other TD''s]]))),IF(C945="Rushing",2*(200-Table1[[#This Row],[Rushing Yards]]-(30*Table1[[#This Row],[Passing TDs]])-50*(Table1[[#This Row],[Rushing TDs]]+Table1[[#This Row],[Receiving TDs]]+Table1[[#This Row],[Other TD''s]])),IF(C945="Receiving",2*(200-Table1[[#This Row],[Receiving Yards]]-(30*Table1[[#This Row],[Passing TDs]])-50*(Table1[[#This Row],[Rushing TDs]]+Table1[[#This Row],[Receiving TDs]]+Table1[[#This Row],[Other TD''s]])),IF(C945="Defensive",(25*(16-Table1[[#This Row],[Tackles]]-(8*(Table1[[#This Row],[Other TD''s]]+Table1[[#This Row],[Interceptions]]+Table1[[#This Row],[Fumbles Recovered]])))))))))))</f>
        <v/>
      </c>
      <c r="R945" s="3" t="str">
        <f t="shared" si="30"/>
        <v/>
      </c>
      <c r="S945" s="4">
        <f t="shared" si="29"/>
        <v>1048507</v>
      </c>
      <c r="T9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6" spans="1:20" hidden="1" x14ac:dyDescent="0.25">
      <c r="A946" t="s">
        <v>18</v>
      </c>
      <c r="B946" s="28" t="s">
        <v>57</v>
      </c>
      <c r="C946" t="s">
        <v>20</v>
      </c>
      <c r="D946" t="str">
        <f>_xlfn.XLOOKUP(Table1[[#This Row],[Player]]&amp;Table1[[#This Row],[Week]]&amp;Table1[[#This Row],[Role]],'Google Form Transform'!$A:$A,'Google Form Transform'!E:E,"")</f>
        <v/>
      </c>
      <c r="E946" t="str">
        <f>_xlfn.XLOOKUP(Table1[[#This Row],[Player]]&amp;Table1[[#This Row],[Week]]&amp;Table1[[#This Row],[Role]],'Google Form Transform'!$A:$A,'Google Form Transform'!F:F,"")</f>
        <v/>
      </c>
      <c r="F946" t="str">
        <f>_xlfn.XLOOKUP(Table1[[#This Row],[Player]]&amp;Table1[[#This Row],[Week]]&amp;Table1[[#This Row],[Role]],'Google Form Transform'!$A:$A,'Google Form Transform'!G:G,"")</f>
        <v/>
      </c>
      <c r="G946" s="59">
        <f>SUMIFS(Table2[Stat],Table2[Stat Category],"passing",Table2[Stat Type],"YDS",Table2[Athlete],Table1[[#This Row],[Pick]],Table2[Week],Table1[[#This Row],[Week]])</f>
        <v>0</v>
      </c>
      <c r="H946" s="59">
        <f>SUMIFS(Table2[Stat],Table2[Stat Category],"rushing",Table2[Stat Type],"YDS",Table2[Athlete],Table1[[#This Row],[Pick]],Table2[Week],Table1[[#This Row],[Week]])</f>
        <v>0</v>
      </c>
      <c r="I946" s="59">
        <f>SUMIFS(Table2[Stat],Table2[Stat Category],"receiving",Table2[Stat Type],"YDS",Table2[Athlete],Table1[[#This Row],[Pick]],Table2[Week],Table1[[#This Row],[Week]])</f>
        <v>0</v>
      </c>
      <c r="J946" s="6">
        <f>IF(AND($C946="Rushing", $H946&lt;=0), 0, IF(AND($C946="Passing", $G$3&lt;=0), 0,IF(AND($C946="Receiving",$I946&lt;=0), 0,SUMIFS(Table2[Stat],Table2[Week],Table1[[#This Row],[Week]],Table2[Athlete],Table1[[#This Row],[Pick]],Table2[Stat Category],"passing",Table2[Stat Type],"TD"))))</f>
        <v>0</v>
      </c>
      <c r="K946" s="6">
        <f>IF(AND($C946="Rushing", $H946&lt;=0), 0, IF(AND($C946="Passing", $G$3&lt;=0), 0,IF(AND($C946="Receiving",$I946&lt;=0),0,SUMIFS(Table2[Stat],Table2[Week],Table1[[#This Row],[Week]],Table2[Athlete],Table1[[#This Row],[Pick]],Table2[Stat Category],"rushing",Table2[Stat Type],"TD"))))</f>
        <v>0</v>
      </c>
      <c r="L946" s="6">
        <f>IF(AND($C946="Rushing", $H946&lt;=0), 0, IF(AND($C946="Passing", $G$3&lt;=0), 0,IF(AND($C946="Receiving",$I946&lt;=0),0,SUMIFS(Table2[Stat],Table2[Week],Table1[[#This Row],[Week]],Table2[Athlete],Table1[[#This Row],[Pick]],Table2[Stat Category],"receiving",Table2[Stat Type],"TD"))))</f>
        <v>0</v>
      </c>
      <c r="M9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6" s="61">
        <f>SUMIFS(Data!$J:$J,Data!$A:$A,Info!$B946,Data!$G:$G,Info!$C946,Data!$I:$I,Info!$D946,Data!$H:$H,"TOT")</f>
        <v>0</v>
      </c>
      <c r="O946" s="61">
        <f>IF(C946="Defensive",SUMIFS(Data!$J:$J,Data!$A:$A,Info!$B946,Data!$I:$I,Info!$D946,Data!$H:$H,"INT"),0)</f>
        <v>0</v>
      </c>
      <c r="P946" s="61">
        <f>IF(Table1[[#This Row],[Role]]="Defensive",SUMIFS(Data!$J:$J,Data!$A:$A,Info!$B946,Data!$I:$I,Info!$D946,Data!$H:$H,$P$1),0)</f>
        <v>0</v>
      </c>
      <c r="Q946" s="65" t="str">
        <f>IF(Table1[[#This Row],[Pick]]="","",IF(S946&gt;1,400,IF(G946="","",IF(C946="Passing",(400-Table1[[#This Row],[Passing Yards]]-(30*Table1[[#This Row],[Passing TDs]])-(50*SUM(Table1[[#This Row],[Rushing TDs]:[Other TD''s]]))),IF(C946="Rushing",2*(200-Table1[[#This Row],[Rushing Yards]]-(30*Table1[[#This Row],[Passing TDs]])-50*(Table1[[#This Row],[Rushing TDs]]+Table1[[#This Row],[Receiving TDs]]+Table1[[#This Row],[Other TD''s]])),IF(C946="Receiving",2*(200-Table1[[#This Row],[Receiving Yards]]-(30*Table1[[#This Row],[Passing TDs]])-50*(Table1[[#This Row],[Rushing TDs]]+Table1[[#This Row],[Receiving TDs]]+Table1[[#This Row],[Other TD''s]])),IF(C946="Defensive",(25*(16-Table1[[#This Row],[Tackles]]-(8*(Table1[[#This Row],[Other TD''s]]+Table1[[#This Row],[Interceptions]]+Table1[[#This Row],[Fumbles Recovered]])))))))))))</f>
        <v/>
      </c>
      <c r="R946" s="3" t="str">
        <f t="shared" si="30"/>
        <v/>
      </c>
      <c r="S946" s="4">
        <f t="shared" si="29"/>
        <v>1048507</v>
      </c>
      <c r="T9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7" spans="1:20" hidden="1" x14ac:dyDescent="0.25">
      <c r="A947" t="s">
        <v>19</v>
      </c>
      <c r="B947" s="28" t="s">
        <v>57</v>
      </c>
      <c r="C947" t="s">
        <v>16</v>
      </c>
      <c r="D947" t="str">
        <f>_xlfn.XLOOKUP(Table1[[#This Row],[Player]]&amp;Table1[[#This Row],[Week]]&amp;Table1[[#This Row],[Role]],'Google Form Transform'!$A:$A,'Google Form Transform'!E:E,"")</f>
        <v/>
      </c>
      <c r="E947" t="str">
        <f>_xlfn.XLOOKUP(Table1[[#This Row],[Player]]&amp;Table1[[#This Row],[Week]]&amp;Table1[[#This Row],[Role]],'Google Form Transform'!$A:$A,'Google Form Transform'!F:F,"")</f>
        <v/>
      </c>
      <c r="F947" t="str">
        <f>_xlfn.XLOOKUP(Table1[[#This Row],[Player]]&amp;Table1[[#This Row],[Week]]&amp;Table1[[#This Row],[Role]],'Google Form Transform'!$A:$A,'Google Form Transform'!G:G,"")</f>
        <v/>
      </c>
      <c r="G947" s="59">
        <f>SUMIFS(Table2[Stat],Table2[Stat Category],"passing",Table2[Stat Type],"YDS",Table2[Athlete],Table1[[#This Row],[Pick]],Table2[Week],Table1[[#This Row],[Week]])</f>
        <v>0</v>
      </c>
      <c r="H947" s="59">
        <f>SUMIFS(Table2[Stat],Table2[Stat Category],"rushing",Table2[Stat Type],"YDS",Table2[Athlete],Table1[[#This Row],[Pick]],Table2[Week],Table1[[#This Row],[Week]])</f>
        <v>0</v>
      </c>
      <c r="I947" s="59">
        <f>SUMIFS(Table2[Stat],Table2[Stat Category],"receiving",Table2[Stat Type],"YDS",Table2[Athlete],Table1[[#This Row],[Pick]],Table2[Week],Table1[[#This Row],[Week]])</f>
        <v>0</v>
      </c>
      <c r="J947" s="6">
        <f>IF(AND($C947="Rushing", $H947&lt;=0), 0, IF(AND($C947="Passing", $G$3&lt;=0), 0,IF(AND($C947="Receiving",$I947&lt;=0), 0,SUMIFS(Table2[Stat],Table2[Week],Table1[[#This Row],[Week]],Table2[Athlete],Table1[[#This Row],[Pick]],Table2[Stat Category],"passing",Table2[Stat Type],"TD"))))</f>
        <v>0</v>
      </c>
      <c r="K947" s="6">
        <f>IF(AND($C947="Rushing", $H947&lt;=0), 0, IF(AND($C947="Passing", $G$3&lt;=0), 0,IF(AND($C947="Receiving",$I947&lt;=0),0,SUMIFS(Table2[Stat],Table2[Week],Table1[[#This Row],[Week]],Table2[Athlete],Table1[[#This Row],[Pick]],Table2[Stat Category],"rushing",Table2[Stat Type],"TD"))))</f>
        <v>0</v>
      </c>
      <c r="L947" s="6">
        <f>IF(AND($C947="Rushing", $H947&lt;=0), 0, IF(AND($C947="Passing", $G$3&lt;=0), 0,IF(AND($C947="Receiving",$I947&lt;=0),0,SUMIFS(Table2[Stat],Table2[Week],Table1[[#This Row],[Week]],Table2[Athlete],Table1[[#This Row],[Pick]],Table2[Stat Category],"receiving",Table2[Stat Type],"TD"))))</f>
        <v>0</v>
      </c>
      <c r="M9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7" s="61">
        <f>SUMIFS(Data!$J:$J,Data!$A:$A,Info!$B947,Data!$G:$G,Info!$C947,Data!$I:$I,Info!$D947,Data!$H:$H,"TOT")</f>
        <v>0</v>
      </c>
      <c r="O947" s="61">
        <f>IF(C947="Defensive",SUMIFS(Data!$J:$J,Data!$A:$A,Info!$B947,Data!$I:$I,Info!$D947,Data!$H:$H,"INT"),0)</f>
        <v>0</v>
      </c>
      <c r="P947" s="61">
        <f>IF(Table1[[#This Row],[Role]]="Defensive",SUMIFS(Data!$J:$J,Data!$A:$A,Info!$B947,Data!$I:$I,Info!$D947,Data!$H:$H,$P$1),0)</f>
        <v>0</v>
      </c>
      <c r="Q947" s="65" t="str">
        <f>IF(Table1[[#This Row],[Pick]]="","",IF(S947&gt;1,400,IF(G947="","",IF(C947="Passing",(400-Table1[[#This Row],[Passing Yards]]-(30*Table1[[#This Row],[Passing TDs]])-(50*SUM(Table1[[#This Row],[Rushing TDs]:[Other TD''s]]))),IF(C947="Rushing",2*(200-Table1[[#This Row],[Rushing Yards]]-(30*Table1[[#This Row],[Passing TDs]])-50*(Table1[[#This Row],[Rushing TDs]]+Table1[[#This Row],[Receiving TDs]]+Table1[[#This Row],[Other TD''s]])),IF(C947="Receiving",2*(200-Table1[[#This Row],[Receiving Yards]]-(30*Table1[[#This Row],[Passing TDs]])-50*(Table1[[#This Row],[Rushing TDs]]+Table1[[#This Row],[Receiving TDs]]+Table1[[#This Row],[Other TD''s]])),IF(C947="Defensive",(25*(16-Table1[[#This Row],[Tackles]]-(8*(Table1[[#This Row],[Other TD''s]]+Table1[[#This Row],[Interceptions]]+Table1[[#This Row],[Fumbles Recovered]])))))))))))</f>
        <v/>
      </c>
      <c r="R947" s="3" t="str">
        <f t="shared" si="30"/>
        <v/>
      </c>
      <c r="S947" s="4">
        <f t="shared" si="29"/>
        <v>1048507</v>
      </c>
      <c r="T9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8" spans="1:20" hidden="1" x14ac:dyDescent="0.25">
      <c r="A948" t="s">
        <v>19</v>
      </c>
      <c r="B948" s="28" t="s">
        <v>57</v>
      </c>
      <c r="C948" t="s">
        <v>6</v>
      </c>
      <c r="D948" t="str">
        <f>_xlfn.XLOOKUP(Table1[[#This Row],[Player]]&amp;Table1[[#This Row],[Week]]&amp;Table1[[#This Row],[Role]],'Google Form Transform'!$A:$A,'Google Form Transform'!E:E,"")</f>
        <v/>
      </c>
      <c r="E948" t="str">
        <f>_xlfn.XLOOKUP(Table1[[#This Row],[Player]]&amp;Table1[[#This Row],[Week]]&amp;Table1[[#This Row],[Role]],'Google Form Transform'!$A:$A,'Google Form Transform'!F:F,"")</f>
        <v/>
      </c>
      <c r="F948" t="str">
        <f>_xlfn.XLOOKUP(Table1[[#This Row],[Player]]&amp;Table1[[#This Row],[Week]]&amp;Table1[[#This Row],[Role]],'Google Form Transform'!$A:$A,'Google Form Transform'!G:G,"")</f>
        <v/>
      </c>
      <c r="G948" s="59">
        <f>SUMIFS(Table2[Stat],Table2[Stat Category],"passing",Table2[Stat Type],"YDS",Table2[Athlete],Table1[[#This Row],[Pick]],Table2[Week],Table1[[#This Row],[Week]])</f>
        <v>0</v>
      </c>
      <c r="H948" s="59">
        <f>SUMIFS(Table2[Stat],Table2[Stat Category],"rushing",Table2[Stat Type],"YDS",Table2[Athlete],Table1[[#This Row],[Pick]],Table2[Week],Table1[[#This Row],[Week]])</f>
        <v>0</v>
      </c>
      <c r="I948" s="59">
        <f>SUMIFS(Table2[Stat],Table2[Stat Category],"receiving",Table2[Stat Type],"YDS",Table2[Athlete],Table1[[#This Row],[Pick]],Table2[Week],Table1[[#This Row],[Week]])</f>
        <v>0</v>
      </c>
      <c r="J948" s="6">
        <f>IF(AND($C948="Rushing", $H948&lt;=0), 0, IF(AND($C948="Passing", $G$3&lt;=0), 0,IF(AND($C948="Receiving",$I948&lt;=0), 0,SUMIFS(Table2[Stat],Table2[Week],Table1[[#This Row],[Week]],Table2[Athlete],Table1[[#This Row],[Pick]],Table2[Stat Category],"passing",Table2[Stat Type],"TD"))))</f>
        <v>0</v>
      </c>
      <c r="K948" s="6">
        <f>IF(AND($C948="Rushing", $H948&lt;=0), 0, IF(AND($C948="Passing", $G$3&lt;=0), 0,IF(AND($C948="Receiving",$I948&lt;=0),0,SUMIFS(Table2[Stat],Table2[Week],Table1[[#This Row],[Week]],Table2[Athlete],Table1[[#This Row],[Pick]],Table2[Stat Category],"rushing",Table2[Stat Type],"TD"))))</f>
        <v>0</v>
      </c>
      <c r="L948" s="6">
        <f>IF(AND($C948="Rushing", $H948&lt;=0), 0, IF(AND($C948="Passing", $G$3&lt;=0), 0,IF(AND($C948="Receiving",$I948&lt;=0),0,SUMIFS(Table2[Stat],Table2[Week],Table1[[#This Row],[Week]],Table2[Athlete],Table1[[#This Row],[Pick]],Table2[Stat Category],"receiving",Table2[Stat Type],"TD"))))</f>
        <v>0</v>
      </c>
      <c r="M9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8" s="61">
        <f>SUMIFS(Data!$J:$J,Data!$A:$A,Info!$B948,Data!$G:$G,Info!$C948,Data!$I:$I,Info!$D948,Data!$H:$H,"TOT")</f>
        <v>0</v>
      </c>
      <c r="O948" s="61">
        <f>IF(C948="Defensive",SUMIFS(Data!$J:$J,Data!$A:$A,Info!$B948,Data!$I:$I,Info!$D948,Data!$H:$H,"INT"),0)</f>
        <v>0</v>
      </c>
      <c r="P948" s="61">
        <f>IF(Table1[[#This Row],[Role]]="Defensive",SUMIFS(Data!$J:$J,Data!$A:$A,Info!$B948,Data!$I:$I,Info!$D948,Data!$H:$H,$P$1),0)</f>
        <v>0</v>
      </c>
      <c r="Q948" s="65" t="str">
        <f>IF(Table1[[#This Row],[Pick]]="","",IF(S948&gt;1,400,IF(G948="","",IF(C948="Passing",(400-Table1[[#This Row],[Passing Yards]]-(30*Table1[[#This Row],[Passing TDs]])-(50*SUM(Table1[[#This Row],[Rushing TDs]:[Other TD''s]]))),IF(C948="Rushing",2*(200-Table1[[#This Row],[Rushing Yards]]-(30*Table1[[#This Row],[Passing TDs]])-50*(Table1[[#This Row],[Rushing TDs]]+Table1[[#This Row],[Receiving TDs]]+Table1[[#This Row],[Other TD''s]])),IF(C948="Receiving",2*(200-Table1[[#This Row],[Receiving Yards]]-(30*Table1[[#This Row],[Passing TDs]])-50*(Table1[[#This Row],[Rushing TDs]]+Table1[[#This Row],[Receiving TDs]]+Table1[[#This Row],[Other TD''s]])),IF(C948="Defensive",(25*(16-Table1[[#This Row],[Tackles]]-(8*(Table1[[#This Row],[Other TD''s]]+Table1[[#This Row],[Interceptions]]+Table1[[#This Row],[Fumbles Recovered]])))))))))))</f>
        <v/>
      </c>
      <c r="R948" s="3" t="str">
        <f t="shared" si="30"/>
        <v/>
      </c>
      <c r="S948" s="4">
        <f t="shared" si="29"/>
        <v>1048507</v>
      </c>
      <c r="T9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9" spans="1:20" hidden="1" x14ac:dyDescent="0.25">
      <c r="A949" t="s">
        <v>19</v>
      </c>
      <c r="B949" s="28" t="s">
        <v>57</v>
      </c>
      <c r="C949" t="s">
        <v>17</v>
      </c>
      <c r="D949" t="str">
        <f>_xlfn.XLOOKUP(Table1[[#This Row],[Player]]&amp;Table1[[#This Row],[Week]]&amp;Table1[[#This Row],[Role]],'Google Form Transform'!$A:$A,'Google Form Transform'!E:E,"")</f>
        <v/>
      </c>
      <c r="E949" t="str">
        <f>_xlfn.XLOOKUP(Table1[[#This Row],[Player]]&amp;Table1[[#This Row],[Week]]&amp;Table1[[#This Row],[Role]],'Google Form Transform'!$A:$A,'Google Form Transform'!F:F,"")</f>
        <v/>
      </c>
      <c r="F949" t="str">
        <f>_xlfn.XLOOKUP(Table1[[#This Row],[Player]]&amp;Table1[[#This Row],[Week]]&amp;Table1[[#This Row],[Role]],'Google Form Transform'!$A:$A,'Google Form Transform'!G:G,"")</f>
        <v/>
      </c>
      <c r="G949" s="59">
        <f>SUMIFS(Table2[Stat],Table2[Stat Category],"passing",Table2[Stat Type],"YDS",Table2[Athlete],Table1[[#This Row],[Pick]],Table2[Week],Table1[[#This Row],[Week]])</f>
        <v>0</v>
      </c>
      <c r="H949" s="59">
        <f>SUMIFS(Table2[Stat],Table2[Stat Category],"rushing",Table2[Stat Type],"YDS",Table2[Athlete],Table1[[#This Row],[Pick]],Table2[Week],Table1[[#This Row],[Week]])</f>
        <v>0</v>
      </c>
      <c r="I949" s="59">
        <f>SUMIFS(Table2[Stat],Table2[Stat Category],"receiving",Table2[Stat Type],"YDS",Table2[Athlete],Table1[[#This Row],[Pick]],Table2[Week],Table1[[#This Row],[Week]])</f>
        <v>0</v>
      </c>
      <c r="J949" s="6">
        <f>IF(AND($C949="Rushing", $H949&lt;=0), 0, IF(AND($C949="Passing", $G$3&lt;=0), 0,IF(AND($C949="Receiving",$I949&lt;=0), 0,SUMIFS(Table2[Stat],Table2[Week],Table1[[#This Row],[Week]],Table2[Athlete],Table1[[#This Row],[Pick]],Table2[Stat Category],"passing",Table2[Stat Type],"TD"))))</f>
        <v>0</v>
      </c>
      <c r="K949" s="6">
        <f>IF(AND($C949="Rushing", $H949&lt;=0), 0, IF(AND($C949="Passing", $G$3&lt;=0), 0,IF(AND($C949="Receiving",$I949&lt;=0),0,SUMIFS(Table2[Stat],Table2[Week],Table1[[#This Row],[Week]],Table2[Athlete],Table1[[#This Row],[Pick]],Table2[Stat Category],"rushing",Table2[Stat Type],"TD"))))</f>
        <v>0</v>
      </c>
      <c r="L949" s="6">
        <f>IF(AND($C949="Rushing", $H949&lt;=0), 0, IF(AND($C949="Passing", $G$3&lt;=0), 0,IF(AND($C949="Receiving",$I949&lt;=0),0,SUMIFS(Table2[Stat],Table2[Week],Table1[[#This Row],[Week]],Table2[Athlete],Table1[[#This Row],[Pick]],Table2[Stat Category],"receiving",Table2[Stat Type],"TD"))))</f>
        <v>0</v>
      </c>
      <c r="M9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9" s="61">
        <f>SUMIFS(Data!$J:$J,Data!$A:$A,Info!$B949,Data!$G:$G,Info!$C949,Data!$I:$I,Info!$D949,Data!$H:$H,"TOT")</f>
        <v>0</v>
      </c>
      <c r="O949" s="61">
        <f>IF(C949="Defensive",SUMIFS(Data!$J:$J,Data!$A:$A,Info!$B949,Data!$I:$I,Info!$D949,Data!$H:$H,"INT"),0)</f>
        <v>0</v>
      </c>
      <c r="P949" s="61">
        <f>IF(Table1[[#This Row],[Role]]="Defensive",SUMIFS(Data!$J:$J,Data!$A:$A,Info!$B949,Data!$I:$I,Info!$D949,Data!$H:$H,$P$1),0)</f>
        <v>0</v>
      </c>
      <c r="Q949" s="65" t="str">
        <f>IF(Table1[[#This Row],[Pick]]="","",IF(S949&gt;1,400,IF(G949="","",IF(C949="Passing",(400-Table1[[#This Row],[Passing Yards]]-(30*Table1[[#This Row],[Passing TDs]])-(50*SUM(Table1[[#This Row],[Rushing TDs]:[Other TD''s]]))),IF(C949="Rushing",2*(200-Table1[[#This Row],[Rushing Yards]]-(30*Table1[[#This Row],[Passing TDs]])-50*(Table1[[#This Row],[Rushing TDs]]+Table1[[#This Row],[Receiving TDs]]+Table1[[#This Row],[Other TD''s]])),IF(C949="Receiving",2*(200-Table1[[#This Row],[Receiving Yards]]-(30*Table1[[#This Row],[Passing TDs]])-50*(Table1[[#This Row],[Rushing TDs]]+Table1[[#This Row],[Receiving TDs]]+Table1[[#This Row],[Other TD''s]])),IF(C949="Defensive",(25*(16-Table1[[#This Row],[Tackles]]-(8*(Table1[[#This Row],[Other TD''s]]+Table1[[#This Row],[Interceptions]]+Table1[[#This Row],[Fumbles Recovered]])))))))))))</f>
        <v/>
      </c>
      <c r="R949" s="3" t="str">
        <f t="shared" si="30"/>
        <v/>
      </c>
      <c r="S949" s="4">
        <f t="shared" si="29"/>
        <v>1048507</v>
      </c>
      <c r="T9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0" spans="1:20" hidden="1" x14ac:dyDescent="0.25">
      <c r="A950" t="s">
        <v>19</v>
      </c>
      <c r="B950" s="28" t="s">
        <v>57</v>
      </c>
      <c r="C950" t="s">
        <v>20</v>
      </c>
      <c r="D950" t="str">
        <f>_xlfn.XLOOKUP(Table1[[#This Row],[Player]]&amp;Table1[[#This Row],[Week]]&amp;Table1[[#This Row],[Role]],'Google Form Transform'!$A:$A,'Google Form Transform'!E:E,"")</f>
        <v/>
      </c>
      <c r="E950" t="str">
        <f>_xlfn.XLOOKUP(Table1[[#This Row],[Player]]&amp;Table1[[#This Row],[Week]]&amp;Table1[[#This Row],[Role]],'Google Form Transform'!$A:$A,'Google Form Transform'!F:F,"")</f>
        <v/>
      </c>
      <c r="F950" t="str">
        <f>_xlfn.XLOOKUP(Table1[[#This Row],[Player]]&amp;Table1[[#This Row],[Week]]&amp;Table1[[#This Row],[Role]],'Google Form Transform'!$A:$A,'Google Form Transform'!G:G,"")</f>
        <v/>
      </c>
      <c r="G950" s="59">
        <f>SUMIFS(Table2[Stat],Table2[Stat Category],"passing",Table2[Stat Type],"YDS",Table2[Athlete],Table1[[#This Row],[Pick]],Table2[Week],Table1[[#This Row],[Week]])</f>
        <v>0</v>
      </c>
      <c r="H950" s="59">
        <f>SUMIFS(Table2[Stat],Table2[Stat Category],"rushing",Table2[Stat Type],"YDS",Table2[Athlete],Table1[[#This Row],[Pick]],Table2[Week],Table1[[#This Row],[Week]])</f>
        <v>0</v>
      </c>
      <c r="I950" s="59">
        <f>SUMIFS(Table2[Stat],Table2[Stat Category],"receiving",Table2[Stat Type],"YDS",Table2[Athlete],Table1[[#This Row],[Pick]],Table2[Week],Table1[[#This Row],[Week]])</f>
        <v>0</v>
      </c>
      <c r="J950" s="6">
        <f>IF(AND($C950="Rushing", $H950&lt;=0), 0, IF(AND($C950="Passing", $G$3&lt;=0), 0,IF(AND($C950="Receiving",$I950&lt;=0), 0,SUMIFS(Table2[Stat],Table2[Week],Table1[[#This Row],[Week]],Table2[Athlete],Table1[[#This Row],[Pick]],Table2[Stat Category],"passing",Table2[Stat Type],"TD"))))</f>
        <v>0</v>
      </c>
      <c r="K950" s="6">
        <f>IF(AND($C950="Rushing", $H950&lt;=0), 0, IF(AND($C950="Passing", $G$3&lt;=0), 0,IF(AND($C950="Receiving",$I950&lt;=0),0,SUMIFS(Table2[Stat],Table2[Week],Table1[[#This Row],[Week]],Table2[Athlete],Table1[[#This Row],[Pick]],Table2[Stat Category],"rushing",Table2[Stat Type],"TD"))))</f>
        <v>0</v>
      </c>
      <c r="L950" s="6">
        <f>IF(AND($C950="Rushing", $H950&lt;=0), 0, IF(AND($C950="Passing", $G$3&lt;=0), 0,IF(AND($C950="Receiving",$I950&lt;=0),0,SUMIFS(Table2[Stat],Table2[Week],Table1[[#This Row],[Week]],Table2[Athlete],Table1[[#This Row],[Pick]],Table2[Stat Category],"receiving",Table2[Stat Type],"TD"))))</f>
        <v>0</v>
      </c>
      <c r="M9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0" s="61">
        <f>SUMIFS(Data!$J:$J,Data!$A:$A,Info!$B950,Data!$G:$G,Info!$C950,Data!$I:$I,Info!$D950,Data!$H:$H,"TOT")</f>
        <v>0</v>
      </c>
      <c r="O950" s="61">
        <f>IF(C950="Defensive",SUMIFS(Data!$J:$J,Data!$A:$A,Info!$B950,Data!$I:$I,Info!$D950,Data!$H:$H,"INT"),0)</f>
        <v>0</v>
      </c>
      <c r="P950" s="61">
        <f>IF(Table1[[#This Row],[Role]]="Defensive",SUMIFS(Data!$J:$J,Data!$A:$A,Info!$B950,Data!$I:$I,Info!$D950,Data!$H:$H,$P$1),0)</f>
        <v>0</v>
      </c>
      <c r="Q950" s="65" t="str">
        <f>IF(Table1[[#This Row],[Pick]]="","",IF(S950&gt;1,400,IF(G950="","",IF(C950="Passing",(400-Table1[[#This Row],[Passing Yards]]-(30*Table1[[#This Row],[Passing TDs]])-(50*SUM(Table1[[#This Row],[Rushing TDs]:[Other TD''s]]))),IF(C950="Rushing",2*(200-Table1[[#This Row],[Rushing Yards]]-(30*Table1[[#This Row],[Passing TDs]])-50*(Table1[[#This Row],[Rushing TDs]]+Table1[[#This Row],[Receiving TDs]]+Table1[[#This Row],[Other TD''s]])),IF(C950="Receiving",2*(200-Table1[[#This Row],[Receiving Yards]]-(30*Table1[[#This Row],[Passing TDs]])-50*(Table1[[#This Row],[Rushing TDs]]+Table1[[#This Row],[Receiving TDs]]+Table1[[#This Row],[Other TD''s]])),IF(C950="Defensive",(25*(16-Table1[[#This Row],[Tackles]]-(8*(Table1[[#This Row],[Other TD''s]]+Table1[[#This Row],[Interceptions]]+Table1[[#This Row],[Fumbles Recovered]])))))))))))</f>
        <v/>
      </c>
      <c r="R950" s="3" t="str">
        <f t="shared" si="30"/>
        <v/>
      </c>
      <c r="S950" s="4">
        <f t="shared" si="29"/>
        <v>1048507</v>
      </c>
      <c r="T9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1" spans="1:20" hidden="1" x14ac:dyDescent="0.25">
      <c r="A951" t="s">
        <v>26</v>
      </c>
      <c r="B951" s="28" t="s">
        <v>57</v>
      </c>
      <c r="C951" t="s">
        <v>16</v>
      </c>
      <c r="D951" t="str">
        <f>_xlfn.XLOOKUP(Table1[[#This Row],[Player]]&amp;Table1[[#This Row],[Week]]&amp;Table1[[#This Row],[Role]],'Google Form Transform'!$A:$A,'Google Form Transform'!E:E,"")</f>
        <v/>
      </c>
      <c r="E951" t="str">
        <f>_xlfn.XLOOKUP(Table1[[#This Row],[Player]]&amp;Table1[[#This Row],[Week]]&amp;Table1[[#This Row],[Role]],'Google Form Transform'!$A:$A,'Google Form Transform'!F:F,"")</f>
        <v/>
      </c>
      <c r="F951" t="str">
        <f>_xlfn.XLOOKUP(Table1[[#This Row],[Player]]&amp;Table1[[#This Row],[Week]]&amp;Table1[[#This Row],[Role]],'Google Form Transform'!$A:$A,'Google Form Transform'!G:G,"")</f>
        <v/>
      </c>
      <c r="G951" s="59">
        <f>SUMIFS(Table2[Stat],Table2[Stat Category],"passing",Table2[Stat Type],"YDS",Table2[Athlete],Table1[[#This Row],[Pick]],Table2[Week],Table1[[#This Row],[Week]])</f>
        <v>0</v>
      </c>
      <c r="H951" s="59">
        <f>SUMIFS(Table2[Stat],Table2[Stat Category],"rushing",Table2[Stat Type],"YDS",Table2[Athlete],Table1[[#This Row],[Pick]],Table2[Week],Table1[[#This Row],[Week]])</f>
        <v>0</v>
      </c>
      <c r="I951" s="59">
        <f>SUMIFS(Table2[Stat],Table2[Stat Category],"receiving",Table2[Stat Type],"YDS",Table2[Athlete],Table1[[#This Row],[Pick]],Table2[Week],Table1[[#This Row],[Week]])</f>
        <v>0</v>
      </c>
      <c r="J951" s="6">
        <f>IF(AND($C951="Rushing", $H951&lt;=0), 0, IF(AND($C951="Passing", $G$3&lt;=0), 0,IF(AND($C951="Receiving",$I951&lt;=0), 0,SUMIFS(Table2[Stat],Table2[Week],Table1[[#This Row],[Week]],Table2[Athlete],Table1[[#This Row],[Pick]],Table2[Stat Category],"passing",Table2[Stat Type],"TD"))))</f>
        <v>0</v>
      </c>
      <c r="K951" s="6">
        <f>IF(AND($C951="Rushing", $H951&lt;=0), 0, IF(AND($C951="Passing", $G$3&lt;=0), 0,IF(AND($C951="Receiving",$I951&lt;=0),0,SUMIFS(Table2[Stat],Table2[Week],Table1[[#This Row],[Week]],Table2[Athlete],Table1[[#This Row],[Pick]],Table2[Stat Category],"rushing",Table2[Stat Type],"TD"))))</f>
        <v>0</v>
      </c>
      <c r="L951" s="6">
        <f>IF(AND($C951="Rushing", $H951&lt;=0), 0, IF(AND($C951="Passing", $G$3&lt;=0), 0,IF(AND($C951="Receiving",$I951&lt;=0),0,SUMIFS(Table2[Stat],Table2[Week],Table1[[#This Row],[Week]],Table2[Athlete],Table1[[#This Row],[Pick]],Table2[Stat Category],"receiving",Table2[Stat Type],"TD"))))</f>
        <v>0</v>
      </c>
      <c r="M9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1" s="61">
        <f>SUMIFS(Data!$J:$J,Data!$A:$A,Info!$B951,Data!$G:$G,Info!$C951,Data!$I:$I,Info!$D951,Data!$H:$H,"TOT")</f>
        <v>0</v>
      </c>
      <c r="O951" s="61">
        <f>IF(C951="Defensive",SUMIFS(Data!$J:$J,Data!$A:$A,Info!$B951,Data!$I:$I,Info!$D951,Data!$H:$H,"INT"),0)</f>
        <v>0</v>
      </c>
      <c r="P951" s="61">
        <f>IF(Table1[[#This Row],[Role]]="Defensive",SUMIFS(Data!$J:$J,Data!$A:$A,Info!$B951,Data!$I:$I,Info!$D951,Data!$H:$H,$P$1),0)</f>
        <v>0</v>
      </c>
      <c r="Q951" s="65" t="str">
        <f>IF(Table1[[#This Row],[Pick]]="","",IF(S951&gt;1,400,IF(G951="","",IF(C951="Passing",(400-Table1[[#This Row],[Passing Yards]]-(30*Table1[[#This Row],[Passing TDs]])-(50*SUM(Table1[[#This Row],[Rushing TDs]:[Other TD''s]]))),IF(C951="Rushing",2*(200-Table1[[#This Row],[Rushing Yards]]-(30*Table1[[#This Row],[Passing TDs]])-50*(Table1[[#This Row],[Rushing TDs]]+Table1[[#This Row],[Receiving TDs]]+Table1[[#This Row],[Other TD''s]])),IF(C951="Receiving",2*(200-Table1[[#This Row],[Receiving Yards]]-(30*Table1[[#This Row],[Passing TDs]])-50*(Table1[[#This Row],[Rushing TDs]]+Table1[[#This Row],[Receiving TDs]]+Table1[[#This Row],[Other TD''s]])),IF(C951="Defensive",(25*(16-Table1[[#This Row],[Tackles]]-(8*(Table1[[#This Row],[Other TD''s]]+Table1[[#This Row],[Interceptions]]+Table1[[#This Row],[Fumbles Recovered]])))))))))))</f>
        <v/>
      </c>
      <c r="R951" s="3" t="str">
        <f t="shared" si="30"/>
        <v/>
      </c>
      <c r="S951" s="4">
        <f t="shared" si="29"/>
        <v>1048507</v>
      </c>
      <c r="T9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2" spans="1:20" hidden="1" x14ac:dyDescent="0.25">
      <c r="A952" t="s">
        <v>26</v>
      </c>
      <c r="B952" s="28" t="s">
        <v>57</v>
      </c>
      <c r="C952" t="s">
        <v>6</v>
      </c>
      <c r="D952" t="str">
        <f>_xlfn.XLOOKUP(Table1[[#This Row],[Player]]&amp;Table1[[#This Row],[Week]]&amp;Table1[[#This Row],[Role]],'Google Form Transform'!$A:$A,'Google Form Transform'!E:E,"")</f>
        <v/>
      </c>
      <c r="E952" t="str">
        <f>_xlfn.XLOOKUP(Table1[[#This Row],[Player]]&amp;Table1[[#This Row],[Week]]&amp;Table1[[#This Row],[Role]],'Google Form Transform'!$A:$A,'Google Form Transform'!F:F,"")</f>
        <v/>
      </c>
      <c r="F952" t="str">
        <f>_xlfn.XLOOKUP(Table1[[#This Row],[Player]]&amp;Table1[[#This Row],[Week]]&amp;Table1[[#This Row],[Role]],'Google Form Transform'!$A:$A,'Google Form Transform'!G:G,"")</f>
        <v/>
      </c>
      <c r="G952" s="59">
        <f>SUMIFS(Table2[Stat],Table2[Stat Category],"passing",Table2[Stat Type],"YDS",Table2[Athlete],Table1[[#This Row],[Pick]],Table2[Week],Table1[[#This Row],[Week]])</f>
        <v>0</v>
      </c>
      <c r="H952" s="59">
        <f>SUMIFS(Table2[Stat],Table2[Stat Category],"rushing",Table2[Stat Type],"YDS",Table2[Athlete],Table1[[#This Row],[Pick]],Table2[Week],Table1[[#This Row],[Week]])</f>
        <v>0</v>
      </c>
      <c r="I952" s="59">
        <f>SUMIFS(Table2[Stat],Table2[Stat Category],"receiving",Table2[Stat Type],"YDS",Table2[Athlete],Table1[[#This Row],[Pick]],Table2[Week],Table1[[#This Row],[Week]])</f>
        <v>0</v>
      </c>
      <c r="J952" s="6">
        <f>IF(AND($C952="Rushing", $H952&lt;=0), 0, IF(AND($C952="Passing", $G$3&lt;=0), 0,IF(AND($C952="Receiving",$I952&lt;=0), 0,SUMIFS(Table2[Stat],Table2[Week],Table1[[#This Row],[Week]],Table2[Athlete],Table1[[#This Row],[Pick]],Table2[Stat Category],"passing",Table2[Stat Type],"TD"))))</f>
        <v>0</v>
      </c>
      <c r="K952" s="6">
        <f>IF(AND($C952="Rushing", $H952&lt;=0), 0, IF(AND($C952="Passing", $G$3&lt;=0), 0,IF(AND($C952="Receiving",$I952&lt;=0),0,SUMIFS(Table2[Stat],Table2[Week],Table1[[#This Row],[Week]],Table2[Athlete],Table1[[#This Row],[Pick]],Table2[Stat Category],"rushing",Table2[Stat Type],"TD"))))</f>
        <v>0</v>
      </c>
      <c r="L952" s="6">
        <f>IF(AND($C952="Rushing", $H952&lt;=0), 0, IF(AND($C952="Passing", $G$3&lt;=0), 0,IF(AND($C952="Receiving",$I952&lt;=0),0,SUMIFS(Table2[Stat],Table2[Week],Table1[[#This Row],[Week]],Table2[Athlete],Table1[[#This Row],[Pick]],Table2[Stat Category],"receiving",Table2[Stat Type],"TD"))))</f>
        <v>0</v>
      </c>
      <c r="M9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2" s="61">
        <f>SUMIFS(Data!$J:$J,Data!$A:$A,Info!$B952,Data!$G:$G,Info!$C952,Data!$I:$I,Info!$D952,Data!$H:$H,"TOT")</f>
        <v>0</v>
      </c>
      <c r="O952" s="61">
        <f>IF(C952="Defensive",SUMIFS(Data!$J:$J,Data!$A:$A,Info!$B952,Data!$I:$I,Info!$D952,Data!$H:$H,"INT"),0)</f>
        <v>0</v>
      </c>
      <c r="P952" s="61">
        <f>IF(Table1[[#This Row],[Role]]="Defensive",SUMIFS(Data!$J:$J,Data!$A:$A,Info!$B952,Data!$I:$I,Info!$D952,Data!$H:$H,$P$1),0)</f>
        <v>0</v>
      </c>
      <c r="Q952" s="65" t="str">
        <f>IF(Table1[[#This Row],[Pick]]="","",IF(S952&gt;1,400,IF(G952="","",IF(C952="Passing",(400-Table1[[#This Row],[Passing Yards]]-(30*Table1[[#This Row],[Passing TDs]])-(50*SUM(Table1[[#This Row],[Rushing TDs]:[Other TD''s]]))),IF(C952="Rushing",2*(200-Table1[[#This Row],[Rushing Yards]]-(30*Table1[[#This Row],[Passing TDs]])-50*(Table1[[#This Row],[Rushing TDs]]+Table1[[#This Row],[Receiving TDs]]+Table1[[#This Row],[Other TD''s]])),IF(C952="Receiving",2*(200-Table1[[#This Row],[Receiving Yards]]-(30*Table1[[#This Row],[Passing TDs]])-50*(Table1[[#This Row],[Rushing TDs]]+Table1[[#This Row],[Receiving TDs]]+Table1[[#This Row],[Other TD''s]])),IF(C952="Defensive",(25*(16-Table1[[#This Row],[Tackles]]-(8*(Table1[[#This Row],[Other TD''s]]+Table1[[#This Row],[Interceptions]]+Table1[[#This Row],[Fumbles Recovered]])))))))))))</f>
        <v/>
      </c>
      <c r="R952" s="3" t="str">
        <f t="shared" si="30"/>
        <v/>
      </c>
      <c r="S952" s="4">
        <f t="shared" si="29"/>
        <v>1048507</v>
      </c>
      <c r="T9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3" spans="1:20" hidden="1" x14ac:dyDescent="0.25">
      <c r="A953" t="s">
        <v>26</v>
      </c>
      <c r="B953" s="28" t="s">
        <v>57</v>
      </c>
      <c r="C953" t="s">
        <v>17</v>
      </c>
      <c r="D953" t="str">
        <f>_xlfn.XLOOKUP(Table1[[#This Row],[Player]]&amp;Table1[[#This Row],[Week]]&amp;Table1[[#This Row],[Role]],'Google Form Transform'!$A:$A,'Google Form Transform'!E:E,"")</f>
        <v/>
      </c>
      <c r="E953" t="str">
        <f>_xlfn.XLOOKUP(Table1[[#This Row],[Player]]&amp;Table1[[#This Row],[Week]]&amp;Table1[[#This Row],[Role]],'Google Form Transform'!$A:$A,'Google Form Transform'!F:F,"")</f>
        <v/>
      </c>
      <c r="F953" t="str">
        <f>_xlfn.XLOOKUP(Table1[[#This Row],[Player]]&amp;Table1[[#This Row],[Week]]&amp;Table1[[#This Row],[Role]],'Google Form Transform'!$A:$A,'Google Form Transform'!G:G,"")</f>
        <v/>
      </c>
      <c r="G953" s="59">
        <f>SUMIFS(Table2[Stat],Table2[Stat Category],"passing",Table2[Stat Type],"YDS",Table2[Athlete],Table1[[#This Row],[Pick]],Table2[Week],Table1[[#This Row],[Week]])</f>
        <v>0</v>
      </c>
      <c r="H953" s="59">
        <f>SUMIFS(Table2[Stat],Table2[Stat Category],"rushing",Table2[Stat Type],"YDS",Table2[Athlete],Table1[[#This Row],[Pick]],Table2[Week],Table1[[#This Row],[Week]])</f>
        <v>0</v>
      </c>
      <c r="I953" s="59">
        <f>SUMIFS(Table2[Stat],Table2[Stat Category],"receiving",Table2[Stat Type],"YDS",Table2[Athlete],Table1[[#This Row],[Pick]],Table2[Week],Table1[[#This Row],[Week]])</f>
        <v>0</v>
      </c>
      <c r="J953" s="6">
        <f>IF(AND($C953="Rushing", $H953&lt;=0), 0, IF(AND($C953="Passing", $G$3&lt;=0), 0,IF(AND($C953="Receiving",$I953&lt;=0), 0,SUMIFS(Table2[Stat],Table2[Week],Table1[[#This Row],[Week]],Table2[Athlete],Table1[[#This Row],[Pick]],Table2[Stat Category],"passing",Table2[Stat Type],"TD"))))</f>
        <v>0</v>
      </c>
      <c r="K953" s="6">
        <f>IF(AND($C953="Rushing", $H953&lt;=0), 0, IF(AND($C953="Passing", $G$3&lt;=0), 0,IF(AND($C953="Receiving",$I953&lt;=0),0,SUMIFS(Table2[Stat],Table2[Week],Table1[[#This Row],[Week]],Table2[Athlete],Table1[[#This Row],[Pick]],Table2[Stat Category],"rushing",Table2[Stat Type],"TD"))))</f>
        <v>0</v>
      </c>
      <c r="L953" s="6">
        <f>IF(AND($C953="Rushing", $H953&lt;=0), 0, IF(AND($C953="Passing", $G$3&lt;=0), 0,IF(AND($C953="Receiving",$I953&lt;=0),0,SUMIFS(Table2[Stat],Table2[Week],Table1[[#This Row],[Week]],Table2[Athlete],Table1[[#This Row],[Pick]],Table2[Stat Category],"receiving",Table2[Stat Type],"TD"))))</f>
        <v>0</v>
      </c>
      <c r="M9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3" s="61">
        <f>SUMIFS(Data!$J:$J,Data!$A:$A,Info!$B953,Data!$G:$G,Info!$C953,Data!$I:$I,Info!$D953,Data!$H:$H,"TOT")</f>
        <v>0</v>
      </c>
      <c r="O953" s="61">
        <f>IF(C953="Defensive",SUMIFS(Data!$J:$J,Data!$A:$A,Info!$B953,Data!$I:$I,Info!$D953,Data!$H:$H,"INT"),0)</f>
        <v>0</v>
      </c>
      <c r="P953" s="61">
        <f>IF(Table1[[#This Row],[Role]]="Defensive",SUMIFS(Data!$J:$J,Data!$A:$A,Info!$B953,Data!$I:$I,Info!$D953,Data!$H:$H,$P$1),0)</f>
        <v>0</v>
      </c>
      <c r="Q953" s="65" t="str">
        <f>IF(Table1[[#This Row],[Pick]]="","",IF(S953&gt;1,400,IF(G953="","",IF(C953="Passing",(400-Table1[[#This Row],[Passing Yards]]-(30*Table1[[#This Row],[Passing TDs]])-(50*SUM(Table1[[#This Row],[Rushing TDs]:[Other TD''s]]))),IF(C953="Rushing",2*(200-Table1[[#This Row],[Rushing Yards]]-(30*Table1[[#This Row],[Passing TDs]])-50*(Table1[[#This Row],[Rushing TDs]]+Table1[[#This Row],[Receiving TDs]]+Table1[[#This Row],[Other TD''s]])),IF(C953="Receiving",2*(200-Table1[[#This Row],[Receiving Yards]]-(30*Table1[[#This Row],[Passing TDs]])-50*(Table1[[#This Row],[Rushing TDs]]+Table1[[#This Row],[Receiving TDs]]+Table1[[#This Row],[Other TD''s]])),IF(C953="Defensive",(25*(16-Table1[[#This Row],[Tackles]]-(8*(Table1[[#This Row],[Other TD''s]]+Table1[[#This Row],[Interceptions]]+Table1[[#This Row],[Fumbles Recovered]])))))))))))</f>
        <v/>
      </c>
      <c r="R953" s="3" t="str">
        <f t="shared" si="30"/>
        <v/>
      </c>
      <c r="S953" s="4">
        <f t="shared" si="29"/>
        <v>1048507</v>
      </c>
      <c r="T9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4" spans="1:20" hidden="1" x14ac:dyDescent="0.25">
      <c r="A954" t="s">
        <v>26</v>
      </c>
      <c r="B954" s="28" t="s">
        <v>57</v>
      </c>
      <c r="C954" t="s">
        <v>20</v>
      </c>
      <c r="D954" t="str">
        <f>_xlfn.XLOOKUP(Table1[[#This Row],[Player]]&amp;Table1[[#This Row],[Week]]&amp;Table1[[#This Row],[Role]],'Google Form Transform'!$A:$A,'Google Form Transform'!E:E,"")</f>
        <v/>
      </c>
      <c r="E954" t="str">
        <f>_xlfn.XLOOKUP(Table1[[#This Row],[Player]]&amp;Table1[[#This Row],[Week]]&amp;Table1[[#This Row],[Role]],'Google Form Transform'!$A:$A,'Google Form Transform'!F:F,"")</f>
        <v/>
      </c>
      <c r="F954" t="str">
        <f>_xlfn.XLOOKUP(Table1[[#This Row],[Player]]&amp;Table1[[#This Row],[Week]]&amp;Table1[[#This Row],[Role]],'Google Form Transform'!$A:$A,'Google Form Transform'!G:G,"")</f>
        <v/>
      </c>
      <c r="G954" s="59">
        <f>SUMIFS(Table2[Stat],Table2[Stat Category],"passing",Table2[Stat Type],"YDS",Table2[Athlete],Table1[[#This Row],[Pick]],Table2[Week],Table1[[#This Row],[Week]])</f>
        <v>0</v>
      </c>
      <c r="H954" s="59">
        <f>SUMIFS(Table2[Stat],Table2[Stat Category],"rushing",Table2[Stat Type],"YDS",Table2[Athlete],Table1[[#This Row],[Pick]],Table2[Week],Table1[[#This Row],[Week]])</f>
        <v>0</v>
      </c>
      <c r="I954" s="59">
        <f>SUMIFS(Table2[Stat],Table2[Stat Category],"receiving",Table2[Stat Type],"YDS",Table2[Athlete],Table1[[#This Row],[Pick]],Table2[Week],Table1[[#This Row],[Week]])</f>
        <v>0</v>
      </c>
      <c r="J954" s="6">
        <f>IF(AND($C954="Rushing", $H954&lt;=0), 0, IF(AND($C954="Passing", $G$3&lt;=0), 0,IF(AND($C954="Receiving",$I954&lt;=0), 0,SUMIFS(Table2[Stat],Table2[Week],Table1[[#This Row],[Week]],Table2[Athlete],Table1[[#This Row],[Pick]],Table2[Stat Category],"passing",Table2[Stat Type],"TD"))))</f>
        <v>0</v>
      </c>
      <c r="K954" s="6">
        <f>IF(AND($C954="Rushing", $H954&lt;=0), 0, IF(AND($C954="Passing", $G$3&lt;=0), 0,IF(AND($C954="Receiving",$I954&lt;=0),0,SUMIFS(Table2[Stat],Table2[Week],Table1[[#This Row],[Week]],Table2[Athlete],Table1[[#This Row],[Pick]],Table2[Stat Category],"rushing",Table2[Stat Type],"TD"))))</f>
        <v>0</v>
      </c>
      <c r="L954" s="6">
        <f>IF(AND($C954="Rushing", $H954&lt;=0), 0, IF(AND($C954="Passing", $G$3&lt;=0), 0,IF(AND($C954="Receiving",$I954&lt;=0),0,SUMIFS(Table2[Stat],Table2[Week],Table1[[#This Row],[Week]],Table2[Athlete],Table1[[#This Row],[Pick]],Table2[Stat Category],"receiving",Table2[Stat Type],"TD"))))</f>
        <v>0</v>
      </c>
      <c r="M9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4" s="61">
        <f>SUMIFS(Data!$J:$J,Data!$A:$A,Info!$B954,Data!$G:$G,Info!$C954,Data!$I:$I,Info!$D954,Data!$H:$H,"TOT")</f>
        <v>0</v>
      </c>
      <c r="O954" s="61">
        <f>IF(C954="Defensive",SUMIFS(Data!$J:$J,Data!$A:$A,Info!$B954,Data!$I:$I,Info!$D954,Data!$H:$H,"INT"),0)</f>
        <v>0</v>
      </c>
      <c r="P954" s="61">
        <f>IF(Table1[[#This Row],[Role]]="Defensive",SUMIFS(Data!$J:$J,Data!$A:$A,Info!$B954,Data!$I:$I,Info!$D954,Data!$H:$H,$P$1),0)</f>
        <v>0</v>
      </c>
      <c r="Q954" s="65" t="str">
        <f>IF(Table1[[#This Row],[Pick]]="","",IF(S954&gt;1,400,IF(G954="","",IF(C954="Passing",(400-Table1[[#This Row],[Passing Yards]]-(30*Table1[[#This Row],[Passing TDs]])-(50*SUM(Table1[[#This Row],[Rushing TDs]:[Other TD''s]]))),IF(C954="Rushing",2*(200-Table1[[#This Row],[Rushing Yards]]-(30*Table1[[#This Row],[Passing TDs]])-50*(Table1[[#This Row],[Rushing TDs]]+Table1[[#This Row],[Receiving TDs]]+Table1[[#This Row],[Other TD''s]])),IF(C954="Receiving",2*(200-Table1[[#This Row],[Receiving Yards]]-(30*Table1[[#This Row],[Passing TDs]])-50*(Table1[[#This Row],[Rushing TDs]]+Table1[[#This Row],[Receiving TDs]]+Table1[[#This Row],[Other TD''s]])),IF(C954="Defensive",(25*(16-Table1[[#This Row],[Tackles]]-(8*(Table1[[#This Row],[Other TD''s]]+Table1[[#This Row],[Interceptions]]+Table1[[#This Row],[Fumbles Recovered]])))))))))))</f>
        <v/>
      </c>
      <c r="R954" s="3" t="str">
        <f t="shared" si="30"/>
        <v/>
      </c>
      <c r="S954" s="4">
        <f t="shared" si="29"/>
        <v>1048507</v>
      </c>
      <c r="T9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5" spans="1:20" hidden="1" x14ac:dyDescent="0.25">
      <c r="A955" t="s">
        <v>43</v>
      </c>
      <c r="B955" s="28" t="s">
        <v>57</v>
      </c>
      <c r="C955" t="s">
        <v>16</v>
      </c>
      <c r="D955" t="str">
        <f>_xlfn.XLOOKUP(Table1[[#This Row],[Player]]&amp;Table1[[#This Row],[Week]]&amp;Table1[[#This Row],[Role]],'Google Form Transform'!$A:$A,'Google Form Transform'!E:E,"")</f>
        <v/>
      </c>
      <c r="E955" t="str">
        <f>_xlfn.XLOOKUP(Table1[[#This Row],[Player]]&amp;Table1[[#This Row],[Week]]&amp;Table1[[#This Row],[Role]],'Google Form Transform'!$A:$A,'Google Form Transform'!F:F,"")</f>
        <v/>
      </c>
      <c r="F955" t="str">
        <f>_xlfn.XLOOKUP(Table1[[#This Row],[Player]]&amp;Table1[[#This Row],[Week]]&amp;Table1[[#This Row],[Role]],'Google Form Transform'!$A:$A,'Google Form Transform'!G:G,"")</f>
        <v/>
      </c>
      <c r="G955" s="59">
        <f>SUMIFS(Table2[Stat],Table2[Stat Category],"passing",Table2[Stat Type],"YDS",Table2[Athlete],Table1[[#This Row],[Pick]],Table2[Week],Table1[[#This Row],[Week]])</f>
        <v>0</v>
      </c>
      <c r="H955" s="59">
        <f>SUMIFS(Table2[Stat],Table2[Stat Category],"rushing",Table2[Stat Type],"YDS",Table2[Athlete],Table1[[#This Row],[Pick]],Table2[Week],Table1[[#This Row],[Week]])</f>
        <v>0</v>
      </c>
      <c r="I955" s="59">
        <f>SUMIFS(Table2[Stat],Table2[Stat Category],"receiving",Table2[Stat Type],"YDS",Table2[Athlete],Table1[[#This Row],[Pick]],Table2[Week],Table1[[#This Row],[Week]])</f>
        <v>0</v>
      </c>
      <c r="J955" s="6">
        <f>IF(AND($C955="Rushing", $H955&lt;=0), 0, IF(AND($C955="Passing", $G$3&lt;=0), 0,IF(AND($C955="Receiving",$I955&lt;=0), 0,SUMIFS(Table2[Stat],Table2[Week],Table1[[#This Row],[Week]],Table2[Athlete],Table1[[#This Row],[Pick]],Table2[Stat Category],"passing",Table2[Stat Type],"TD"))))</f>
        <v>0</v>
      </c>
      <c r="K955" s="6">
        <f>IF(AND($C955="Rushing", $H955&lt;=0), 0, IF(AND($C955="Passing", $G$3&lt;=0), 0,IF(AND($C955="Receiving",$I955&lt;=0),0,SUMIFS(Table2[Stat],Table2[Week],Table1[[#This Row],[Week]],Table2[Athlete],Table1[[#This Row],[Pick]],Table2[Stat Category],"rushing",Table2[Stat Type],"TD"))))</f>
        <v>0</v>
      </c>
      <c r="L955" s="6">
        <f>IF(AND($C955="Rushing", $H955&lt;=0), 0, IF(AND($C955="Passing", $G$3&lt;=0), 0,IF(AND($C955="Receiving",$I955&lt;=0),0,SUMIFS(Table2[Stat],Table2[Week],Table1[[#This Row],[Week]],Table2[Athlete],Table1[[#This Row],[Pick]],Table2[Stat Category],"receiving",Table2[Stat Type],"TD"))))</f>
        <v>0</v>
      </c>
      <c r="M9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5" s="61">
        <f>SUMIFS(Data!$J:$J,Data!$A:$A,Info!$B955,Data!$G:$G,Info!$C955,Data!$I:$I,Info!$D955,Data!$H:$H,"TOT")</f>
        <v>0</v>
      </c>
      <c r="O955" s="61">
        <f>IF(C955="Defensive",SUMIFS(Data!$J:$J,Data!$A:$A,Info!$B955,Data!$I:$I,Info!$D955,Data!$H:$H,"INT"),0)</f>
        <v>0</v>
      </c>
      <c r="P955" s="61">
        <f>IF(Table1[[#This Row],[Role]]="Defensive",SUMIFS(Data!$J:$J,Data!$A:$A,Info!$B955,Data!$I:$I,Info!$D955,Data!$H:$H,$P$1),0)</f>
        <v>0</v>
      </c>
      <c r="Q955" s="65" t="str">
        <f>IF(Table1[[#This Row],[Pick]]="","",IF(S955&gt;1,400,IF(G955="","",IF(C955="Passing",(400-Table1[[#This Row],[Passing Yards]]-(30*Table1[[#This Row],[Passing TDs]])-(50*SUM(Table1[[#This Row],[Rushing TDs]:[Other TD''s]]))),IF(C955="Rushing",2*(200-Table1[[#This Row],[Rushing Yards]]-(30*Table1[[#This Row],[Passing TDs]])-50*(Table1[[#This Row],[Rushing TDs]]+Table1[[#This Row],[Receiving TDs]]+Table1[[#This Row],[Other TD''s]])),IF(C955="Receiving",2*(200-Table1[[#This Row],[Receiving Yards]]-(30*Table1[[#This Row],[Passing TDs]])-50*(Table1[[#This Row],[Rushing TDs]]+Table1[[#This Row],[Receiving TDs]]+Table1[[#This Row],[Other TD''s]])),IF(C955="Defensive",(25*(16-Table1[[#This Row],[Tackles]]-(8*(Table1[[#This Row],[Other TD''s]]+Table1[[#This Row],[Interceptions]]+Table1[[#This Row],[Fumbles Recovered]])))))))))))</f>
        <v/>
      </c>
      <c r="R955" s="3" t="str">
        <f t="shared" si="30"/>
        <v/>
      </c>
      <c r="S955" s="4">
        <f t="shared" si="29"/>
        <v>1048507</v>
      </c>
      <c r="T9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6" spans="1:20" hidden="1" x14ac:dyDescent="0.25">
      <c r="A956" t="s">
        <v>43</v>
      </c>
      <c r="B956" s="28" t="s">
        <v>57</v>
      </c>
      <c r="C956" t="s">
        <v>6</v>
      </c>
      <c r="D956" t="str">
        <f>_xlfn.XLOOKUP(Table1[[#This Row],[Player]]&amp;Table1[[#This Row],[Week]]&amp;Table1[[#This Row],[Role]],'Google Form Transform'!$A:$A,'Google Form Transform'!E:E,"")</f>
        <v/>
      </c>
      <c r="E956" t="str">
        <f>_xlfn.XLOOKUP(Table1[[#This Row],[Player]]&amp;Table1[[#This Row],[Week]]&amp;Table1[[#This Row],[Role]],'Google Form Transform'!$A:$A,'Google Form Transform'!F:F,"")</f>
        <v/>
      </c>
      <c r="F956" t="str">
        <f>_xlfn.XLOOKUP(Table1[[#This Row],[Player]]&amp;Table1[[#This Row],[Week]]&amp;Table1[[#This Row],[Role]],'Google Form Transform'!$A:$A,'Google Form Transform'!G:G,"")</f>
        <v/>
      </c>
      <c r="G956" s="59">
        <f>SUMIFS(Table2[Stat],Table2[Stat Category],"passing",Table2[Stat Type],"YDS",Table2[Athlete],Table1[[#This Row],[Pick]],Table2[Week],Table1[[#This Row],[Week]])</f>
        <v>0</v>
      </c>
      <c r="H956" s="59">
        <f>SUMIFS(Table2[Stat],Table2[Stat Category],"rushing",Table2[Stat Type],"YDS",Table2[Athlete],Table1[[#This Row],[Pick]],Table2[Week],Table1[[#This Row],[Week]])</f>
        <v>0</v>
      </c>
      <c r="I956" s="59">
        <f>SUMIFS(Table2[Stat],Table2[Stat Category],"receiving",Table2[Stat Type],"YDS",Table2[Athlete],Table1[[#This Row],[Pick]],Table2[Week],Table1[[#This Row],[Week]])</f>
        <v>0</v>
      </c>
      <c r="J956" s="6">
        <f>IF(AND($C956="Rushing", $H956&lt;=0), 0, IF(AND($C956="Passing", $G$3&lt;=0), 0,IF(AND($C956="Receiving",$I956&lt;=0), 0,SUMIFS(Table2[Stat],Table2[Week],Table1[[#This Row],[Week]],Table2[Athlete],Table1[[#This Row],[Pick]],Table2[Stat Category],"passing",Table2[Stat Type],"TD"))))</f>
        <v>0</v>
      </c>
      <c r="K956" s="6">
        <f>IF(AND($C956="Rushing", $H956&lt;=0), 0, IF(AND($C956="Passing", $G$3&lt;=0), 0,IF(AND($C956="Receiving",$I956&lt;=0),0,SUMIFS(Table2[Stat],Table2[Week],Table1[[#This Row],[Week]],Table2[Athlete],Table1[[#This Row],[Pick]],Table2[Stat Category],"rushing",Table2[Stat Type],"TD"))))</f>
        <v>0</v>
      </c>
      <c r="L956" s="6">
        <f>IF(AND($C956="Rushing", $H956&lt;=0), 0, IF(AND($C956="Passing", $G$3&lt;=0), 0,IF(AND($C956="Receiving",$I956&lt;=0),0,SUMIFS(Table2[Stat],Table2[Week],Table1[[#This Row],[Week]],Table2[Athlete],Table1[[#This Row],[Pick]],Table2[Stat Category],"receiving",Table2[Stat Type],"TD"))))</f>
        <v>0</v>
      </c>
      <c r="M9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6" s="61">
        <f>SUMIFS(Data!$J:$J,Data!$A:$A,Info!$B956,Data!$G:$G,Info!$C956,Data!$I:$I,Info!$D956,Data!$H:$H,"TOT")</f>
        <v>0</v>
      </c>
      <c r="O956" s="61">
        <f>IF(C956="Defensive",SUMIFS(Data!$J:$J,Data!$A:$A,Info!$B956,Data!$I:$I,Info!$D956,Data!$H:$H,"INT"),0)</f>
        <v>0</v>
      </c>
      <c r="P956" s="61">
        <f>IF(Table1[[#This Row],[Role]]="Defensive",SUMIFS(Data!$J:$J,Data!$A:$A,Info!$B956,Data!$I:$I,Info!$D956,Data!$H:$H,$P$1),0)</f>
        <v>0</v>
      </c>
      <c r="Q956" s="65" t="str">
        <f>IF(Table1[[#This Row],[Pick]]="","",IF(S956&gt;1,400,IF(G956="","",IF(C956="Passing",(400-Table1[[#This Row],[Passing Yards]]-(30*Table1[[#This Row],[Passing TDs]])-(50*SUM(Table1[[#This Row],[Rushing TDs]:[Other TD''s]]))),IF(C956="Rushing",2*(200-Table1[[#This Row],[Rushing Yards]]-(30*Table1[[#This Row],[Passing TDs]])-50*(Table1[[#This Row],[Rushing TDs]]+Table1[[#This Row],[Receiving TDs]]+Table1[[#This Row],[Other TD''s]])),IF(C956="Receiving",2*(200-Table1[[#This Row],[Receiving Yards]]-(30*Table1[[#This Row],[Passing TDs]])-50*(Table1[[#This Row],[Rushing TDs]]+Table1[[#This Row],[Receiving TDs]]+Table1[[#This Row],[Other TD''s]])),IF(C956="Defensive",(25*(16-Table1[[#This Row],[Tackles]]-(8*(Table1[[#This Row],[Other TD''s]]+Table1[[#This Row],[Interceptions]]+Table1[[#This Row],[Fumbles Recovered]])))))))))))</f>
        <v/>
      </c>
      <c r="R956" s="3" t="str">
        <f t="shared" si="30"/>
        <v/>
      </c>
      <c r="S956" s="4">
        <f t="shared" si="29"/>
        <v>1048507</v>
      </c>
      <c r="T9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7" spans="1:20" hidden="1" x14ac:dyDescent="0.25">
      <c r="A957" t="s">
        <v>43</v>
      </c>
      <c r="B957" s="28" t="s">
        <v>57</v>
      </c>
      <c r="C957" t="s">
        <v>17</v>
      </c>
      <c r="D957" t="str">
        <f>_xlfn.XLOOKUP(Table1[[#This Row],[Player]]&amp;Table1[[#This Row],[Week]]&amp;Table1[[#This Row],[Role]],'Google Form Transform'!$A:$A,'Google Form Transform'!E:E,"")</f>
        <v/>
      </c>
      <c r="E957" t="str">
        <f>_xlfn.XLOOKUP(Table1[[#This Row],[Player]]&amp;Table1[[#This Row],[Week]]&amp;Table1[[#This Row],[Role]],'Google Form Transform'!$A:$A,'Google Form Transform'!F:F,"")</f>
        <v/>
      </c>
      <c r="F957" t="str">
        <f>_xlfn.XLOOKUP(Table1[[#This Row],[Player]]&amp;Table1[[#This Row],[Week]]&amp;Table1[[#This Row],[Role]],'Google Form Transform'!$A:$A,'Google Form Transform'!G:G,"")</f>
        <v/>
      </c>
      <c r="G957" s="59">
        <f>SUMIFS(Table2[Stat],Table2[Stat Category],"passing",Table2[Stat Type],"YDS",Table2[Athlete],Table1[[#This Row],[Pick]],Table2[Week],Table1[[#This Row],[Week]])</f>
        <v>0</v>
      </c>
      <c r="H957" s="59">
        <f>SUMIFS(Table2[Stat],Table2[Stat Category],"rushing",Table2[Stat Type],"YDS",Table2[Athlete],Table1[[#This Row],[Pick]],Table2[Week],Table1[[#This Row],[Week]])</f>
        <v>0</v>
      </c>
      <c r="I957" s="59">
        <f>SUMIFS(Table2[Stat],Table2[Stat Category],"receiving",Table2[Stat Type],"YDS",Table2[Athlete],Table1[[#This Row],[Pick]],Table2[Week],Table1[[#This Row],[Week]])</f>
        <v>0</v>
      </c>
      <c r="J957" s="6">
        <f>IF(AND($C957="Rushing", $H957&lt;=0), 0, IF(AND($C957="Passing", $G$3&lt;=0), 0,IF(AND($C957="Receiving",$I957&lt;=0), 0,SUMIFS(Table2[Stat],Table2[Week],Table1[[#This Row],[Week]],Table2[Athlete],Table1[[#This Row],[Pick]],Table2[Stat Category],"passing",Table2[Stat Type],"TD"))))</f>
        <v>0</v>
      </c>
      <c r="K957" s="6">
        <f>IF(AND($C957="Rushing", $H957&lt;=0), 0, IF(AND($C957="Passing", $G$3&lt;=0), 0,IF(AND($C957="Receiving",$I957&lt;=0),0,SUMIFS(Table2[Stat],Table2[Week],Table1[[#This Row],[Week]],Table2[Athlete],Table1[[#This Row],[Pick]],Table2[Stat Category],"rushing",Table2[Stat Type],"TD"))))</f>
        <v>0</v>
      </c>
      <c r="L957" s="6">
        <f>IF(AND($C957="Rushing", $H957&lt;=0), 0, IF(AND($C957="Passing", $G$3&lt;=0), 0,IF(AND($C957="Receiving",$I957&lt;=0),0,SUMIFS(Table2[Stat],Table2[Week],Table1[[#This Row],[Week]],Table2[Athlete],Table1[[#This Row],[Pick]],Table2[Stat Category],"receiving",Table2[Stat Type],"TD"))))</f>
        <v>0</v>
      </c>
      <c r="M9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7" s="61">
        <f>SUMIFS(Data!$J:$J,Data!$A:$A,Info!$B957,Data!$G:$G,Info!$C957,Data!$I:$I,Info!$D957,Data!$H:$H,"TOT")</f>
        <v>0</v>
      </c>
      <c r="O957" s="61">
        <f>IF(C957="Defensive",SUMIFS(Data!$J:$J,Data!$A:$A,Info!$B957,Data!$I:$I,Info!$D957,Data!$H:$H,"INT"),0)</f>
        <v>0</v>
      </c>
      <c r="P957" s="61">
        <f>IF(Table1[[#This Row],[Role]]="Defensive",SUMIFS(Data!$J:$J,Data!$A:$A,Info!$B957,Data!$I:$I,Info!$D957,Data!$H:$H,$P$1),0)</f>
        <v>0</v>
      </c>
      <c r="Q957" s="65" t="str">
        <f>IF(Table1[[#This Row],[Pick]]="","",IF(S957&gt;1,400,IF(G957="","",IF(C957="Passing",(400-Table1[[#This Row],[Passing Yards]]-(30*Table1[[#This Row],[Passing TDs]])-(50*SUM(Table1[[#This Row],[Rushing TDs]:[Other TD''s]]))),IF(C957="Rushing",2*(200-Table1[[#This Row],[Rushing Yards]]-(30*Table1[[#This Row],[Passing TDs]])-50*(Table1[[#This Row],[Rushing TDs]]+Table1[[#This Row],[Receiving TDs]]+Table1[[#This Row],[Other TD''s]])),IF(C957="Receiving",2*(200-Table1[[#This Row],[Receiving Yards]]-(30*Table1[[#This Row],[Passing TDs]])-50*(Table1[[#This Row],[Rushing TDs]]+Table1[[#This Row],[Receiving TDs]]+Table1[[#This Row],[Other TD''s]])),IF(C957="Defensive",(25*(16-Table1[[#This Row],[Tackles]]-(8*(Table1[[#This Row],[Other TD''s]]+Table1[[#This Row],[Interceptions]]+Table1[[#This Row],[Fumbles Recovered]])))))))))))</f>
        <v/>
      </c>
      <c r="R957" s="3" t="str">
        <f t="shared" si="30"/>
        <v/>
      </c>
      <c r="S957" s="4">
        <f t="shared" si="29"/>
        <v>1048507</v>
      </c>
      <c r="T9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8" spans="1:20" hidden="1" x14ac:dyDescent="0.25">
      <c r="A958" t="s">
        <v>43</v>
      </c>
      <c r="B958" s="28" t="s">
        <v>57</v>
      </c>
      <c r="C958" t="s">
        <v>20</v>
      </c>
      <c r="D958" t="str">
        <f>_xlfn.XLOOKUP(Table1[[#This Row],[Player]]&amp;Table1[[#This Row],[Week]]&amp;Table1[[#This Row],[Role]],'Google Form Transform'!$A:$A,'Google Form Transform'!E:E,"")</f>
        <v/>
      </c>
      <c r="E958" t="str">
        <f>_xlfn.XLOOKUP(Table1[[#This Row],[Player]]&amp;Table1[[#This Row],[Week]]&amp;Table1[[#This Row],[Role]],'Google Form Transform'!$A:$A,'Google Form Transform'!F:F,"")</f>
        <v/>
      </c>
      <c r="F958" t="str">
        <f>_xlfn.XLOOKUP(Table1[[#This Row],[Player]]&amp;Table1[[#This Row],[Week]]&amp;Table1[[#This Row],[Role]],'Google Form Transform'!$A:$A,'Google Form Transform'!G:G,"")</f>
        <v/>
      </c>
      <c r="G958" s="59">
        <f>SUMIFS(Table2[Stat],Table2[Stat Category],"passing",Table2[Stat Type],"YDS",Table2[Athlete],Table1[[#This Row],[Pick]],Table2[Week],Table1[[#This Row],[Week]])</f>
        <v>0</v>
      </c>
      <c r="H958" s="59">
        <f>SUMIFS(Table2[Stat],Table2[Stat Category],"rushing",Table2[Stat Type],"YDS",Table2[Athlete],Table1[[#This Row],[Pick]],Table2[Week],Table1[[#This Row],[Week]])</f>
        <v>0</v>
      </c>
      <c r="I958" s="59">
        <f>SUMIFS(Table2[Stat],Table2[Stat Category],"receiving",Table2[Stat Type],"YDS",Table2[Athlete],Table1[[#This Row],[Pick]],Table2[Week],Table1[[#This Row],[Week]])</f>
        <v>0</v>
      </c>
      <c r="J958" s="6">
        <f>IF(AND($C958="Rushing", $H958&lt;=0), 0, IF(AND($C958="Passing", $G$3&lt;=0), 0,IF(AND($C958="Receiving",$I958&lt;=0), 0,SUMIFS(Table2[Stat],Table2[Week],Table1[[#This Row],[Week]],Table2[Athlete],Table1[[#This Row],[Pick]],Table2[Stat Category],"passing",Table2[Stat Type],"TD"))))</f>
        <v>0</v>
      </c>
      <c r="K958" s="6">
        <f>IF(AND($C958="Rushing", $H958&lt;=0), 0, IF(AND($C958="Passing", $G$3&lt;=0), 0,IF(AND($C958="Receiving",$I958&lt;=0),0,SUMIFS(Table2[Stat],Table2[Week],Table1[[#This Row],[Week]],Table2[Athlete],Table1[[#This Row],[Pick]],Table2[Stat Category],"rushing",Table2[Stat Type],"TD"))))</f>
        <v>0</v>
      </c>
      <c r="L958" s="6">
        <f>IF(AND($C958="Rushing", $H958&lt;=0), 0, IF(AND($C958="Passing", $G$3&lt;=0), 0,IF(AND($C958="Receiving",$I958&lt;=0),0,SUMIFS(Table2[Stat],Table2[Week],Table1[[#This Row],[Week]],Table2[Athlete],Table1[[#This Row],[Pick]],Table2[Stat Category],"receiving",Table2[Stat Type],"TD"))))</f>
        <v>0</v>
      </c>
      <c r="M9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8" s="61">
        <f>SUMIFS(Data!$J:$J,Data!$A:$A,Info!$B958,Data!$G:$G,Info!$C958,Data!$I:$I,Info!$D958,Data!$H:$H,"TOT")</f>
        <v>0</v>
      </c>
      <c r="O958" s="61">
        <f>IF(C958="Defensive",SUMIFS(Data!$J:$J,Data!$A:$A,Info!$B958,Data!$I:$I,Info!$D958,Data!$H:$H,"INT"),0)</f>
        <v>0</v>
      </c>
      <c r="P958" s="61">
        <f>IF(Table1[[#This Row],[Role]]="Defensive",SUMIFS(Data!$J:$J,Data!$A:$A,Info!$B958,Data!$I:$I,Info!$D958,Data!$H:$H,$P$1),0)</f>
        <v>0</v>
      </c>
      <c r="Q958" s="65" t="str">
        <f>IF(Table1[[#This Row],[Pick]]="","",IF(S958&gt;1,400,IF(G958="","",IF(C958="Passing",(400-Table1[[#This Row],[Passing Yards]]-(30*Table1[[#This Row],[Passing TDs]])-(50*SUM(Table1[[#This Row],[Rushing TDs]:[Other TD''s]]))),IF(C958="Rushing",2*(200-Table1[[#This Row],[Rushing Yards]]-(30*Table1[[#This Row],[Passing TDs]])-50*(Table1[[#This Row],[Rushing TDs]]+Table1[[#This Row],[Receiving TDs]]+Table1[[#This Row],[Other TD''s]])),IF(C958="Receiving",2*(200-Table1[[#This Row],[Receiving Yards]]-(30*Table1[[#This Row],[Passing TDs]])-50*(Table1[[#This Row],[Rushing TDs]]+Table1[[#This Row],[Receiving TDs]]+Table1[[#This Row],[Other TD''s]])),IF(C958="Defensive",(25*(16-Table1[[#This Row],[Tackles]]-(8*(Table1[[#This Row],[Other TD''s]]+Table1[[#This Row],[Interceptions]]+Table1[[#This Row],[Fumbles Recovered]])))))))))))</f>
        <v/>
      </c>
      <c r="R958" s="3" t="str">
        <f t="shared" si="30"/>
        <v/>
      </c>
      <c r="S958" s="4">
        <f t="shared" si="29"/>
        <v>1048507</v>
      </c>
      <c r="T9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9" spans="1:20" hidden="1" x14ac:dyDescent="0.25">
      <c r="A959" t="s">
        <v>7</v>
      </c>
      <c r="B959" s="28" t="s">
        <v>57</v>
      </c>
      <c r="C959" t="s">
        <v>16</v>
      </c>
      <c r="D959" t="str">
        <f>_xlfn.XLOOKUP(Table1[[#This Row],[Player]]&amp;Table1[[#This Row],[Week]]&amp;Table1[[#This Row],[Role]],'Google Form Transform'!$A:$A,'Google Form Transform'!E:E,"")</f>
        <v/>
      </c>
      <c r="E959" t="str">
        <f>_xlfn.XLOOKUP(Table1[[#This Row],[Player]]&amp;Table1[[#This Row],[Week]]&amp;Table1[[#This Row],[Role]],'Google Form Transform'!$A:$A,'Google Form Transform'!F:F,"")</f>
        <v/>
      </c>
      <c r="F959" t="str">
        <f>_xlfn.XLOOKUP(Table1[[#This Row],[Player]]&amp;Table1[[#This Row],[Week]]&amp;Table1[[#This Row],[Role]],'Google Form Transform'!$A:$A,'Google Form Transform'!G:G,"")</f>
        <v/>
      </c>
      <c r="G959" s="59">
        <f>SUMIFS(Table2[Stat],Table2[Stat Category],"passing",Table2[Stat Type],"YDS",Table2[Athlete],Table1[[#This Row],[Pick]],Table2[Week],Table1[[#This Row],[Week]])</f>
        <v>0</v>
      </c>
      <c r="H959" s="59">
        <f>SUMIFS(Table2[Stat],Table2[Stat Category],"rushing",Table2[Stat Type],"YDS",Table2[Athlete],Table1[[#This Row],[Pick]],Table2[Week],Table1[[#This Row],[Week]])</f>
        <v>0</v>
      </c>
      <c r="I959" s="59">
        <f>SUMIFS(Table2[Stat],Table2[Stat Category],"receiving",Table2[Stat Type],"YDS",Table2[Athlete],Table1[[#This Row],[Pick]],Table2[Week],Table1[[#This Row],[Week]])</f>
        <v>0</v>
      </c>
      <c r="J959" s="6">
        <f>IF(AND($C959="Rushing", $H959&lt;=0), 0, IF(AND($C959="Passing", $G$3&lt;=0), 0,IF(AND($C959="Receiving",$I959&lt;=0), 0,SUMIFS(Table2[Stat],Table2[Week],Table1[[#This Row],[Week]],Table2[Athlete],Table1[[#This Row],[Pick]],Table2[Stat Category],"passing",Table2[Stat Type],"TD"))))</f>
        <v>0</v>
      </c>
      <c r="K959" s="6">
        <f>IF(AND($C959="Rushing", $H959&lt;=0), 0, IF(AND($C959="Passing", $G$3&lt;=0), 0,IF(AND($C959="Receiving",$I959&lt;=0),0,SUMIFS(Table2[Stat],Table2[Week],Table1[[#This Row],[Week]],Table2[Athlete],Table1[[#This Row],[Pick]],Table2[Stat Category],"rushing",Table2[Stat Type],"TD"))))</f>
        <v>0</v>
      </c>
      <c r="L959" s="6">
        <f>IF(AND($C959="Rushing", $H959&lt;=0), 0, IF(AND($C959="Passing", $G$3&lt;=0), 0,IF(AND($C959="Receiving",$I959&lt;=0),0,SUMIFS(Table2[Stat],Table2[Week],Table1[[#This Row],[Week]],Table2[Athlete],Table1[[#This Row],[Pick]],Table2[Stat Category],"receiving",Table2[Stat Type],"TD"))))</f>
        <v>0</v>
      </c>
      <c r="M9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9" s="61">
        <f>SUMIFS(Data!$J:$J,Data!$A:$A,Info!$B959,Data!$G:$G,Info!$C959,Data!$I:$I,Info!$D959,Data!$H:$H,"TOT")</f>
        <v>0</v>
      </c>
      <c r="O959" s="61">
        <f>IF(C959="Defensive",SUMIFS(Data!$J:$J,Data!$A:$A,Info!$B959,Data!$I:$I,Info!$D959,Data!$H:$H,"INT"),0)</f>
        <v>0</v>
      </c>
      <c r="P959" s="61">
        <f>IF(Table1[[#This Row],[Role]]="Defensive",SUMIFS(Data!$J:$J,Data!$A:$A,Info!$B959,Data!$I:$I,Info!$D959,Data!$H:$H,$P$1),0)</f>
        <v>0</v>
      </c>
      <c r="Q959" s="65" t="str">
        <f>IF(Table1[[#This Row],[Pick]]="","",IF(S959&gt;1,400,IF(G959="","",IF(C959="Passing",(400-Table1[[#This Row],[Passing Yards]]-(30*Table1[[#This Row],[Passing TDs]])-(50*SUM(Table1[[#This Row],[Rushing TDs]:[Other TD''s]]))),IF(C959="Rushing",2*(200-Table1[[#This Row],[Rushing Yards]]-(30*Table1[[#This Row],[Passing TDs]])-50*(Table1[[#This Row],[Rushing TDs]]+Table1[[#This Row],[Receiving TDs]]+Table1[[#This Row],[Other TD''s]])),IF(C959="Receiving",2*(200-Table1[[#This Row],[Receiving Yards]]-(30*Table1[[#This Row],[Passing TDs]])-50*(Table1[[#This Row],[Rushing TDs]]+Table1[[#This Row],[Receiving TDs]]+Table1[[#This Row],[Other TD''s]])),IF(C959="Defensive",(25*(16-Table1[[#This Row],[Tackles]]-(8*(Table1[[#This Row],[Other TD''s]]+Table1[[#This Row],[Interceptions]]+Table1[[#This Row],[Fumbles Recovered]])))))))))))</f>
        <v/>
      </c>
      <c r="R959" s="3" t="str">
        <f t="shared" si="30"/>
        <v/>
      </c>
      <c r="S959" s="4">
        <f t="shared" si="29"/>
        <v>1048507</v>
      </c>
      <c r="T9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0" spans="1:20" hidden="1" x14ac:dyDescent="0.25">
      <c r="A960" t="s">
        <v>7</v>
      </c>
      <c r="B960" s="28" t="s">
        <v>57</v>
      </c>
      <c r="C960" t="s">
        <v>6</v>
      </c>
      <c r="D960" t="str">
        <f>_xlfn.XLOOKUP(Table1[[#This Row],[Player]]&amp;Table1[[#This Row],[Week]]&amp;Table1[[#This Row],[Role]],'Google Form Transform'!$A:$A,'Google Form Transform'!E:E,"")</f>
        <v/>
      </c>
      <c r="E960" t="str">
        <f>_xlfn.XLOOKUP(Table1[[#This Row],[Player]]&amp;Table1[[#This Row],[Week]]&amp;Table1[[#This Row],[Role]],'Google Form Transform'!$A:$A,'Google Form Transform'!F:F,"")</f>
        <v/>
      </c>
      <c r="F960" t="str">
        <f>_xlfn.XLOOKUP(Table1[[#This Row],[Player]]&amp;Table1[[#This Row],[Week]]&amp;Table1[[#This Row],[Role]],'Google Form Transform'!$A:$A,'Google Form Transform'!G:G,"")</f>
        <v/>
      </c>
      <c r="G960" s="59">
        <f>SUMIFS(Table2[Stat],Table2[Stat Category],"passing",Table2[Stat Type],"YDS",Table2[Athlete],Table1[[#This Row],[Pick]],Table2[Week],Table1[[#This Row],[Week]])</f>
        <v>0</v>
      </c>
      <c r="H960" s="59">
        <f>SUMIFS(Table2[Stat],Table2[Stat Category],"rushing",Table2[Stat Type],"YDS",Table2[Athlete],Table1[[#This Row],[Pick]],Table2[Week],Table1[[#This Row],[Week]])</f>
        <v>0</v>
      </c>
      <c r="I960" s="59">
        <f>SUMIFS(Table2[Stat],Table2[Stat Category],"receiving",Table2[Stat Type],"YDS",Table2[Athlete],Table1[[#This Row],[Pick]],Table2[Week],Table1[[#This Row],[Week]])</f>
        <v>0</v>
      </c>
      <c r="J960" s="6">
        <f>IF(AND($C960="Rushing", $H960&lt;=0), 0, IF(AND($C960="Passing", $G$3&lt;=0), 0,IF(AND($C960="Receiving",$I960&lt;=0), 0,SUMIFS(Table2[Stat],Table2[Week],Table1[[#This Row],[Week]],Table2[Athlete],Table1[[#This Row],[Pick]],Table2[Stat Category],"passing",Table2[Stat Type],"TD"))))</f>
        <v>0</v>
      </c>
      <c r="K960" s="6">
        <f>IF(AND($C960="Rushing", $H960&lt;=0), 0, IF(AND($C960="Passing", $G$3&lt;=0), 0,IF(AND($C960="Receiving",$I960&lt;=0),0,SUMIFS(Table2[Stat],Table2[Week],Table1[[#This Row],[Week]],Table2[Athlete],Table1[[#This Row],[Pick]],Table2[Stat Category],"rushing",Table2[Stat Type],"TD"))))</f>
        <v>0</v>
      </c>
      <c r="L960" s="6">
        <f>IF(AND($C960="Rushing", $H960&lt;=0), 0, IF(AND($C960="Passing", $G$3&lt;=0), 0,IF(AND($C960="Receiving",$I960&lt;=0),0,SUMIFS(Table2[Stat],Table2[Week],Table1[[#This Row],[Week]],Table2[Athlete],Table1[[#This Row],[Pick]],Table2[Stat Category],"receiving",Table2[Stat Type],"TD"))))</f>
        <v>0</v>
      </c>
      <c r="M9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0" s="61">
        <f>SUMIFS(Data!$J:$J,Data!$A:$A,Info!$B960,Data!$G:$G,Info!$C960,Data!$I:$I,Info!$D960,Data!$H:$H,"TOT")</f>
        <v>0</v>
      </c>
      <c r="O960" s="61">
        <f>IF(C960="Defensive",SUMIFS(Data!$J:$J,Data!$A:$A,Info!$B960,Data!$I:$I,Info!$D960,Data!$H:$H,"INT"),0)</f>
        <v>0</v>
      </c>
      <c r="P960" s="61">
        <f>IF(Table1[[#This Row],[Role]]="Defensive",SUMIFS(Data!$J:$J,Data!$A:$A,Info!$B960,Data!$I:$I,Info!$D960,Data!$H:$H,$P$1),0)</f>
        <v>0</v>
      </c>
      <c r="Q960" s="65" t="str">
        <f>IF(Table1[[#This Row],[Pick]]="","",IF(S960&gt;1,400,IF(G960="","",IF(C960="Passing",(400-Table1[[#This Row],[Passing Yards]]-(30*Table1[[#This Row],[Passing TDs]])-(50*SUM(Table1[[#This Row],[Rushing TDs]:[Other TD''s]]))),IF(C960="Rushing",2*(200-Table1[[#This Row],[Rushing Yards]]-(30*Table1[[#This Row],[Passing TDs]])-50*(Table1[[#This Row],[Rushing TDs]]+Table1[[#This Row],[Receiving TDs]]+Table1[[#This Row],[Other TD''s]])),IF(C960="Receiving",2*(200-Table1[[#This Row],[Receiving Yards]]-(30*Table1[[#This Row],[Passing TDs]])-50*(Table1[[#This Row],[Rushing TDs]]+Table1[[#This Row],[Receiving TDs]]+Table1[[#This Row],[Other TD''s]])),IF(C960="Defensive",(25*(16-Table1[[#This Row],[Tackles]]-(8*(Table1[[#This Row],[Other TD''s]]+Table1[[#This Row],[Interceptions]]+Table1[[#This Row],[Fumbles Recovered]])))))))))))</f>
        <v/>
      </c>
      <c r="R960" s="3" t="str">
        <f t="shared" si="30"/>
        <v/>
      </c>
      <c r="S960" s="4">
        <f t="shared" si="29"/>
        <v>1048507</v>
      </c>
      <c r="T9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1" spans="1:20" hidden="1" x14ac:dyDescent="0.25">
      <c r="A961" t="s">
        <v>7</v>
      </c>
      <c r="B961" s="28" t="s">
        <v>57</v>
      </c>
      <c r="C961" t="s">
        <v>17</v>
      </c>
      <c r="D961" t="str">
        <f>_xlfn.XLOOKUP(Table1[[#This Row],[Player]]&amp;Table1[[#This Row],[Week]]&amp;Table1[[#This Row],[Role]],'Google Form Transform'!$A:$A,'Google Form Transform'!E:E,"")</f>
        <v/>
      </c>
      <c r="E961" t="str">
        <f>_xlfn.XLOOKUP(Table1[[#This Row],[Player]]&amp;Table1[[#This Row],[Week]]&amp;Table1[[#This Row],[Role]],'Google Form Transform'!$A:$A,'Google Form Transform'!F:F,"")</f>
        <v/>
      </c>
      <c r="F961" t="str">
        <f>_xlfn.XLOOKUP(Table1[[#This Row],[Player]]&amp;Table1[[#This Row],[Week]]&amp;Table1[[#This Row],[Role]],'Google Form Transform'!$A:$A,'Google Form Transform'!G:G,"")</f>
        <v/>
      </c>
      <c r="G961" s="59">
        <f>SUMIFS(Table2[Stat],Table2[Stat Category],"passing",Table2[Stat Type],"YDS",Table2[Athlete],Table1[[#This Row],[Pick]],Table2[Week],Table1[[#This Row],[Week]])</f>
        <v>0</v>
      </c>
      <c r="H961" s="59">
        <f>SUMIFS(Table2[Stat],Table2[Stat Category],"rushing",Table2[Stat Type],"YDS",Table2[Athlete],Table1[[#This Row],[Pick]],Table2[Week],Table1[[#This Row],[Week]])</f>
        <v>0</v>
      </c>
      <c r="I961" s="59">
        <f>SUMIFS(Table2[Stat],Table2[Stat Category],"receiving",Table2[Stat Type],"YDS",Table2[Athlete],Table1[[#This Row],[Pick]],Table2[Week],Table1[[#This Row],[Week]])</f>
        <v>0</v>
      </c>
      <c r="J961" s="6">
        <f>IF(AND($C961="Rushing", $H961&lt;=0), 0, IF(AND($C961="Passing", $G$3&lt;=0), 0,IF(AND($C961="Receiving",$I961&lt;=0), 0,SUMIFS(Table2[Stat],Table2[Week],Table1[[#This Row],[Week]],Table2[Athlete],Table1[[#This Row],[Pick]],Table2[Stat Category],"passing",Table2[Stat Type],"TD"))))</f>
        <v>0</v>
      </c>
      <c r="K961" s="6">
        <f>IF(AND($C961="Rushing", $H961&lt;=0), 0, IF(AND($C961="Passing", $G$3&lt;=0), 0,IF(AND($C961="Receiving",$I961&lt;=0),0,SUMIFS(Table2[Stat],Table2[Week],Table1[[#This Row],[Week]],Table2[Athlete],Table1[[#This Row],[Pick]],Table2[Stat Category],"rushing",Table2[Stat Type],"TD"))))</f>
        <v>0</v>
      </c>
      <c r="L961" s="6">
        <f>IF(AND($C961="Rushing", $H961&lt;=0), 0, IF(AND($C961="Passing", $G$3&lt;=0), 0,IF(AND($C961="Receiving",$I961&lt;=0),0,SUMIFS(Table2[Stat],Table2[Week],Table1[[#This Row],[Week]],Table2[Athlete],Table1[[#This Row],[Pick]],Table2[Stat Category],"receiving",Table2[Stat Type],"TD"))))</f>
        <v>0</v>
      </c>
      <c r="M9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1" s="61">
        <f>SUMIFS(Data!$J:$J,Data!$A:$A,Info!$B961,Data!$G:$G,Info!$C961,Data!$I:$I,Info!$D961,Data!$H:$H,"TOT")</f>
        <v>0</v>
      </c>
      <c r="O961" s="61">
        <f>IF(C961="Defensive",SUMIFS(Data!$J:$J,Data!$A:$A,Info!$B961,Data!$I:$I,Info!$D961,Data!$H:$H,"INT"),0)</f>
        <v>0</v>
      </c>
      <c r="P961" s="61">
        <f>IF(Table1[[#This Row],[Role]]="Defensive",SUMIFS(Data!$J:$J,Data!$A:$A,Info!$B961,Data!$I:$I,Info!$D961,Data!$H:$H,$P$1),0)</f>
        <v>0</v>
      </c>
      <c r="Q961" s="65" t="str">
        <f>IF(Table1[[#This Row],[Pick]]="","",IF(S961&gt;1,400,IF(G961="","",IF(C961="Passing",(400-Table1[[#This Row],[Passing Yards]]-(30*Table1[[#This Row],[Passing TDs]])-(50*SUM(Table1[[#This Row],[Rushing TDs]:[Other TD''s]]))),IF(C961="Rushing",2*(200-Table1[[#This Row],[Rushing Yards]]-(30*Table1[[#This Row],[Passing TDs]])-50*(Table1[[#This Row],[Rushing TDs]]+Table1[[#This Row],[Receiving TDs]]+Table1[[#This Row],[Other TD''s]])),IF(C961="Receiving",2*(200-Table1[[#This Row],[Receiving Yards]]-(30*Table1[[#This Row],[Passing TDs]])-50*(Table1[[#This Row],[Rushing TDs]]+Table1[[#This Row],[Receiving TDs]]+Table1[[#This Row],[Other TD''s]])),IF(C961="Defensive",(25*(16-Table1[[#This Row],[Tackles]]-(8*(Table1[[#This Row],[Other TD''s]]+Table1[[#This Row],[Interceptions]]+Table1[[#This Row],[Fumbles Recovered]])))))))))))</f>
        <v/>
      </c>
      <c r="R961" s="3" t="str">
        <f t="shared" si="30"/>
        <v/>
      </c>
      <c r="S961" s="4">
        <f t="shared" si="29"/>
        <v>1048507</v>
      </c>
      <c r="T9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2" spans="1:20" hidden="1" x14ac:dyDescent="0.25">
      <c r="A962" t="s">
        <v>7</v>
      </c>
      <c r="B962" s="28" t="s">
        <v>57</v>
      </c>
      <c r="C962" t="s">
        <v>20</v>
      </c>
      <c r="D962" t="str">
        <f>_xlfn.XLOOKUP(Table1[[#This Row],[Player]]&amp;Table1[[#This Row],[Week]]&amp;Table1[[#This Row],[Role]],'Google Form Transform'!$A:$A,'Google Form Transform'!E:E,"")</f>
        <v/>
      </c>
      <c r="E962" t="str">
        <f>_xlfn.XLOOKUP(Table1[[#This Row],[Player]]&amp;Table1[[#This Row],[Week]]&amp;Table1[[#This Row],[Role]],'Google Form Transform'!$A:$A,'Google Form Transform'!F:F,"")</f>
        <v/>
      </c>
      <c r="F962" t="str">
        <f>_xlfn.XLOOKUP(Table1[[#This Row],[Player]]&amp;Table1[[#This Row],[Week]]&amp;Table1[[#This Row],[Role]],'Google Form Transform'!$A:$A,'Google Form Transform'!G:G,"")</f>
        <v/>
      </c>
      <c r="G962" s="59">
        <f>SUMIFS(Table2[Stat],Table2[Stat Category],"passing",Table2[Stat Type],"YDS",Table2[Athlete],Table1[[#This Row],[Pick]],Table2[Week],Table1[[#This Row],[Week]])</f>
        <v>0</v>
      </c>
      <c r="H962" s="59">
        <f>SUMIFS(Table2[Stat],Table2[Stat Category],"rushing",Table2[Stat Type],"YDS",Table2[Athlete],Table1[[#This Row],[Pick]],Table2[Week],Table1[[#This Row],[Week]])</f>
        <v>0</v>
      </c>
      <c r="I962" s="59">
        <f>SUMIFS(Table2[Stat],Table2[Stat Category],"receiving",Table2[Stat Type],"YDS",Table2[Athlete],Table1[[#This Row],[Pick]],Table2[Week],Table1[[#This Row],[Week]])</f>
        <v>0</v>
      </c>
      <c r="J962" s="6">
        <f>IF(AND($C962="Rushing", $H962&lt;=0), 0, IF(AND($C962="Passing", $G$3&lt;=0), 0,IF(AND($C962="Receiving",$I962&lt;=0), 0,SUMIFS(Table2[Stat],Table2[Week],Table1[[#This Row],[Week]],Table2[Athlete],Table1[[#This Row],[Pick]],Table2[Stat Category],"passing",Table2[Stat Type],"TD"))))</f>
        <v>0</v>
      </c>
      <c r="K962" s="6">
        <f>IF(AND($C962="Rushing", $H962&lt;=0), 0, IF(AND($C962="Passing", $G$3&lt;=0), 0,IF(AND($C962="Receiving",$I962&lt;=0),0,SUMIFS(Table2[Stat],Table2[Week],Table1[[#This Row],[Week]],Table2[Athlete],Table1[[#This Row],[Pick]],Table2[Stat Category],"rushing",Table2[Stat Type],"TD"))))</f>
        <v>0</v>
      </c>
      <c r="L962" s="6">
        <f>IF(AND($C962="Rushing", $H962&lt;=0), 0, IF(AND($C962="Passing", $G$3&lt;=0), 0,IF(AND($C962="Receiving",$I962&lt;=0),0,SUMIFS(Table2[Stat],Table2[Week],Table1[[#This Row],[Week]],Table2[Athlete],Table1[[#This Row],[Pick]],Table2[Stat Category],"receiving",Table2[Stat Type],"TD"))))</f>
        <v>0</v>
      </c>
      <c r="M9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2" s="61">
        <f>SUMIFS(Data!$J:$J,Data!$A:$A,Info!$B962,Data!$G:$G,Info!$C962,Data!$I:$I,Info!$D962,Data!$H:$H,"TOT")</f>
        <v>0</v>
      </c>
      <c r="O962" s="61">
        <f>IF(C962="Defensive",SUMIFS(Data!$J:$J,Data!$A:$A,Info!$B962,Data!$I:$I,Info!$D962,Data!$H:$H,"INT"),0)</f>
        <v>0</v>
      </c>
      <c r="P962" s="61">
        <f>IF(Table1[[#This Row],[Role]]="Defensive",SUMIFS(Data!$J:$J,Data!$A:$A,Info!$B962,Data!$I:$I,Info!$D962,Data!$H:$H,$P$1),0)</f>
        <v>0</v>
      </c>
      <c r="Q962" s="65" t="str">
        <f>IF(Table1[[#This Row],[Pick]]="","",IF(S962&gt;1,400,IF(G962="","",IF(C962="Passing",(400-Table1[[#This Row],[Passing Yards]]-(30*Table1[[#This Row],[Passing TDs]])-(50*SUM(Table1[[#This Row],[Rushing TDs]:[Other TD''s]]))),IF(C962="Rushing",2*(200-Table1[[#This Row],[Rushing Yards]]-(30*Table1[[#This Row],[Passing TDs]])-50*(Table1[[#This Row],[Rushing TDs]]+Table1[[#This Row],[Receiving TDs]]+Table1[[#This Row],[Other TD''s]])),IF(C962="Receiving",2*(200-Table1[[#This Row],[Receiving Yards]]-(30*Table1[[#This Row],[Passing TDs]])-50*(Table1[[#This Row],[Rushing TDs]]+Table1[[#This Row],[Receiving TDs]]+Table1[[#This Row],[Other TD''s]])),IF(C962="Defensive",(25*(16-Table1[[#This Row],[Tackles]]-(8*(Table1[[#This Row],[Other TD''s]]+Table1[[#This Row],[Interceptions]]+Table1[[#This Row],[Fumbles Recovered]])))))))))))</f>
        <v/>
      </c>
      <c r="R962" s="3" t="str">
        <f t="shared" si="30"/>
        <v/>
      </c>
      <c r="S962" s="4">
        <f t="shared" si="29"/>
        <v>1048507</v>
      </c>
      <c r="T9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3" spans="1:20" hidden="1" x14ac:dyDescent="0.25">
      <c r="A963" t="s">
        <v>2</v>
      </c>
      <c r="B963" s="28" t="s">
        <v>93</v>
      </c>
      <c r="C963" t="s">
        <v>16</v>
      </c>
      <c r="D963" t="str">
        <f>_xlfn.XLOOKUP(Table1[[#This Row],[Player]]&amp;Table1[[#This Row],[Week]]&amp;Table1[[#This Row],[Role]],'Google Form Transform'!$A:$A,'Google Form Transform'!E:E,"")</f>
        <v/>
      </c>
      <c r="E963" t="str">
        <f>_xlfn.XLOOKUP(Table1[[#This Row],[Player]]&amp;Table1[[#This Row],[Week]]&amp;Table1[[#This Row],[Role]],'Google Form Transform'!$A:$A,'Google Form Transform'!F:F,"")</f>
        <v/>
      </c>
      <c r="F963" t="str">
        <f>_xlfn.XLOOKUP(Table1[[#This Row],[Player]]&amp;Table1[[#This Row],[Week]]&amp;Table1[[#This Row],[Role]],'Google Form Transform'!$A:$A,'Google Form Transform'!G:G,"")</f>
        <v/>
      </c>
      <c r="G963" s="59">
        <f>SUMIFS(Table2[Stat],Table2[Stat Category],"passing",Table2[Stat Type],"YDS",Table2[Athlete],Table1[[#This Row],[Pick]],Table2[Week],Table1[[#This Row],[Week]])</f>
        <v>0</v>
      </c>
      <c r="H963" s="59">
        <f>SUMIFS(Table2[Stat],Table2[Stat Category],"rushing",Table2[Stat Type],"YDS",Table2[Athlete],Table1[[#This Row],[Pick]],Table2[Week],Table1[[#This Row],[Week]])</f>
        <v>0</v>
      </c>
      <c r="I963" s="59">
        <f>SUMIFS(Table2[Stat],Table2[Stat Category],"receiving",Table2[Stat Type],"YDS",Table2[Athlete],Table1[[#This Row],[Pick]],Table2[Week],Table1[[#This Row],[Week]])</f>
        <v>0</v>
      </c>
      <c r="J963" s="6">
        <f>IF(AND($C963="Rushing", $H963&lt;=0), 0, IF(AND($C963="Passing", $G$3&lt;=0), 0,IF(AND($C963="Receiving",$I963&lt;=0), 0,SUMIFS(Table2[Stat],Table2[Week],Table1[[#This Row],[Week]],Table2[Athlete],Table1[[#This Row],[Pick]],Table2[Stat Category],"passing",Table2[Stat Type],"TD"))))</f>
        <v>0</v>
      </c>
      <c r="K963" s="6">
        <f>IF(AND($C963="Rushing", $H963&lt;=0), 0, IF(AND($C963="Passing", $G$3&lt;=0), 0,IF(AND($C963="Receiving",$I963&lt;=0),0,SUMIFS(Table2[Stat],Table2[Week],Table1[[#This Row],[Week]],Table2[Athlete],Table1[[#This Row],[Pick]],Table2[Stat Category],"rushing",Table2[Stat Type],"TD"))))</f>
        <v>0</v>
      </c>
      <c r="L963" s="6">
        <f>IF(AND($C963="Rushing", $H963&lt;=0), 0, IF(AND($C963="Passing", $G$3&lt;=0), 0,IF(AND($C963="Receiving",$I963&lt;=0),0,SUMIFS(Table2[Stat],Table2[Week],Table1[[#This Row],[Week]],Table2[Athlete],Table1[[#This Row],[Pick]],Table2[Stat Category],"receiving",Table2[Stat Type],"TD"))))</f>
        <v>0</v>
      </c>
      <c r="M9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3" s="61">
        <f>SUMIFS(Data!$J:$J,Data!$A:$A,Info!$B963,Data!$G:$G,Info!$C963,Data!$I:$I,Info!$D963,Data!$H:$H,"TOT")</f>
        <v>0</v>
      </c>
      <c r="O963" s="61">
        <f>IF(C963="Defensive",SUMIFS(Data!$J:$J,Data!$A:$A,Info!$B963,Data!$I:$I,Info!$D963,Data!$H:$H,"INT"),0)</f>
        <v>0</v>
      </c>
      <c r="P963" s="61">
        <f>IF(Table1[[#This Row],[Role]]="Defensive",SUMIFS(Data!$J:$J,Data!$A:$A,Info!$B963,Data!$I:$I,Info!$D963,Data!$H:$H,$P$1),0)</f>
        <v>0</v>
      </c>
      <c r="Q963" s="65" t="str">
        <f>IF(Table1[[#This Row],[Pick]]="","",IF(S963&gt;1,400,IF(G963="","",IF(C963="Passing",(400-Table1[[#This Row],[Passing Yards]]-(30*Table1[[#This Row],[Passing TDs]])-(50*SUM(Table1[[#This Row],[Rushing TDs]:[Other TD''s]]))),IF(C963="Rushing",2*(200-Table1[[#This Row],[Rushing Yards]]-(30*Table1[[#This Row],[Passing TDs]])-50*(Table1[[#This Row],[Rushing TDs]]+Table1[[#This Row],[Receiving TDs]]+Table1[[#This Row],[Other TD''s]])),IF(C963="Receiving",2*(200-Table1[[#This Row],[Receiving Yards]]-(30*Table1[[#This Row],[Passing TDs]])-50*(Table1[[#This Row],[Rushing TDs]]+Table1[[#This Row],[Receiving TDs]]+Table1[[#This Row],[Other TD''s]])),IF(C963="Defensive",(25*(16-Table1[[#This Row],[Tackles]]-(8*(Table1[[#This Row],[Other TD''s]]+Table1[[#This Row],[Interceptions]]+Table1[[#This Row],[Fumbles Recovered]])))))))))))</f>
        <v/>
      </c>
      <c r="R963" s="3" t="str">
        <f t="shared" si="30"/>
        <v/>
      </c>
      <c r="S963" s="4">
        <f t="shared" ref="S963:S1026" si="31">COUNTIF(R:R,R963)</f>
        <v>1048507</v>
      </c>
      <c r="T9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4" spans="1:20" hidden="1" x14ac:dyDescent="0.25">
      <c r="A964" t="s">
        <v>2</v>
      </c>
      <c r="B964" s="28" t="s">
        <v>93</v>
      </c>
      <c r="C964" t="s">
        <v>6</v>
      </c>
      <c r="D964" t="str">
        <f>_xlfn.XLOOKUP(Table1[[#This Row],[Player]]&amp;Table1[[#This Row],[Week]]&amp;Table1[[#This Row],[Role]],'Google Form Transform'!$A:$A,'Google Form Transform'!E:E,"")</f>
        <v/>
      </c>
      <c r="E964" t="str">
        <f>_xlfn.XLOOKUP(Table1[[#This Row],[Player]]&amp;Table1[[#This Row],[Week]]&amp;Table1[[#This Row],[Role]],'Google Form Transform'!$A:$A,'Google Form Transform'!F:F,"")</f>
        <v/>
      </c>
      <c r="F964" t="str">
        <f>_xlfn.XLOOKUP(Table1[[#This Row],[Player]]&amp;Table1[[#This Row],[Week]]&amp;Table1[[#This Row],[Role]],'Google Form Transform'!$A:$A,'Google Form Transform'!G:G,"")</f>
        <v/>
      </c>
      <c r="G964" s="59">
        <f>SUMIFS(Table2[Stat],Table2[Stat Category],"passing",Table2[Stat Type],"YDS",Table2[Athlete],Table1[[#This Row],[Pick]],Table2[Week],Table1[[#This Row],[Week]])</f>
        <v>0</v>
      </c>
      <c r="H964" s="59">
        <f>SUMIFS(Table2[Stat],Table2[Stat Category],"rushing",Table2[Stat Type],"YDS",Table2[Athlete],Table1[[#This Row],[Pick]],Table2[Week],Table1[[#This Row],[Week]])</f>
        <v>0</v>
      </c>
      <c r="I964" s="59">
        <f>SUMIFS(Table2[Stat],Table2[Stat Category],"receiving",Table2[Stat Type],"YDS",Table2[Athlete],Table1[[#This Row],[Pick]],Table2[Week],Table1[[#This Row],[Week]])</f>
        <v>0</v>
      </c>
      <c r="J964" s="6">
        <f>IF(AND($C964="Rushing", $H964&lt;=0), 0, IF(AND($C964="Passing", $G$3&lt;=0), 0,IF(AND($C964="Receiving",$I964&lt;=0), 0,SUMIFS(Table2[Stat],Table2[Week],Table1[[#This Row],[Week]],Table2[Athlete],Table1[[#This Row],[Pick]],Table2[Stat Category],"passing",Table2[Stat Type],"TD"))))</f>
        <v>0</v>
      </c>
      <c r="K964" s="6">
        <f>IF(AND($C964="Rushing", $H964&lt;=0), 0, IF(AND($C964="Passing", $G$3&lt;=0), 0,IF(AND($C964="Receiving",$I964&lt;=0),0,SUMIFS(Table2[Stat],Table2[Week],Table1[[#This Row],[Week]],Table2[Athlete],Table1[[#This Row],[Pick]],Table2[Stat Category],"rushing",Table2[Stat Type],"TD"))))</f>
        <v>0</v>
      </c>
      <c r="L964" s="6">
        <f>IF(AND($C964="Rushing", $H964&lt;=0), 0, IF(AND($C964="Passing", $G$3&lt;=0), 0,IF(AND($C964="Receiving",$I964&lt;=0),0,SUMIFS(Table2[Stat],Table2[Week],Table1[[#This Row],[Week]],Table2[Athlete],Table1[[#This Row],[Pick]],Table2[Stat Category],"receiving",Table2[Stat Type],"TD"))))</f>
        <v>0</v>
      </c>
      <c r="M9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4" s="61">
        <f>SUMIFS(Data!$J:$J,Data!$A:$A,Info!$B964,Data!$G:$G,Info!$C964,Data!$I:$I,Info!$D964,Data!$H:$H,"TOT")</f>
        <v>0</v>
      </c>
      <c r="O964" s="61">
        <f>IF(C964="Defensive",SUMIFS(Data!$J:$J,Data!$A:$A,Info!$B964,Data!$I:$I,Info!$D964,Data!$H:$H,"INT"),0)</f>
        <v>0</v>
      </c>
      <c r="P964" s="61">
        <f>IF(Table1[[#This Row],[Role]]="Defensive",SUMIFS(Data!$J:$J,Data!$A:$A,Info!$B964,Data!$I:$I,Info!$D964,Data!$H:$H,$P$1),0)</f>
        <v>0</v>
      </c>
      <c r="Q964" s="65" t="str">
        <f>IF(Table1[[#This Row],[Pick]]="","",IF(S964&gt;1,400,IF(G964="","",IF(C964="Passing",(400-Table1[[#This Row],[Passing Yards]]-(30*Table1[[#This Row],[Passing TDs]])-(50*SUM(Table1[[#This Row],[Rushing TDs]:[Other TD''s]]))),IF(C964="Rushing",2*(200-Table1[[#This Row],[Rushing Yards]]-(30*Table1[[#This Row],[Passing TDs]])-50*(Table1[[#This Row],[Rushing TDs]]+Table1[[#This Row],[Receiving TDs]]+Table1[[#This Row],[Other TD''s]])),IF(C964="Receiving",2*(200-Table1[[#This Row],[Receiving Yards]]-(30*Table1[[#This Row],[Passing TDs]])-50*(Table1[[#This Row],[Rushing TDs]]+Table1[[#This Row],[Receiving TDs]]+Table1[[#This Row],[Other TD''s]])),IF(C964="Defensive",(25*(16-Table1[[#This Row],[Tackles]]-(8*(Table1[[#This Row],[Other TD''s]]+Table1[[#This Row],[Interceptions]]+Table1[[#This Row],[Fumbles Recovered]])))))))))))</f>
        <v/>
      </c>
      <c r="R964" s="3" t="str">
        <f t="shared" ref="R964:R1022" si="32">IF(D964="","",A964&amp;C964&amp;D964)</f>
        <v/>
      </c>
      <c r="S964" s="4">
        <f t="shared" si="31"/>
        <v>1048507</v>
      </c>
      <c r="T9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5" spans="1:20" hidden="1" x14ac:dyDescent="0.25">
      <c r="A965" t="s">
        <v>2</v>
      </c>
      <c r="B965" s="28" t="s">
        <v>93</v>
      </c>
      <c r="C965" t="s">
        <v>17</v>
      </c>
      <c r="D965" t="str">
        <f>_xlfn.XLOOKUP(Table1[[#This Row],[Player]]&amp;Table1[[#This Row],[Week]]&amp;Table1[[#This Row],[Role]],'Google Form Transform'!$A:$A,'Google Form Transform'!E:E,"")</f>
        <v/>
      </c>
      <c r="E965" t="str">
        <f>_xlfn.XLOOKUP(Table1[[#This Row],[Player]]&amp;Table1[[#This Row],[Week]]&amp;Table1[[#This Row],[Role]],'Google Form Transform'!$A:$A,'Google Form Transform'!F:F,"")</f>
        <v/>
      </c>
      <c r="F965" t="str">
        <f>_xlfn.XLOOKUP(Table1[[#This Row],[Player]]&amp;Table1[[#This Row],[Week]]&amp;Table1[[#This Row],[Role]],'Google Form Transform'!$A:$A,'Google Form Transform'!G:G,"")</f>
        <v/>
      </c>
      <c r="G965" s="59">
        <f>SUMIFS(Table2[Stat],Table2[Stat Category],"passing",Table2[Stat Type],"YDS",Table2[Athlete],Table1[[#This Row],[Pick]],Table2[Week],Table1[[#This Row],[Week]])</f>
        <v>0</v>
      </c>
      <c r="H965" s="59">
        <f>SUMIFS(Table2[Stat],Table2[Stat Category],"rushing",Table2[Stat Type],"YDS",Table2[Athlete],Table1[[#This Row],[Pick]],Table2[Week],Table1[[#This Row],[Week]])</f>
        <v>0</v>
      </c>
      <c r="I965" s="59">
        <f>SUMIFS(Table2[Stat],Table2[Stat Category],"receiving",Table2[Stat Type],"YDS",Table2[Athlete],Table1[[#This Row],[Pick]],Table2[Week],Table1[[#This Row],[Week]])</f>
        <v>0</v>
      </c>
      <c r="J965" s="6">
        <f>IF(AND($C965="Rushing", $H965&lt;=0), 0, IF(AND($C965="Passing", $G$3&lt;=0), 0,IF(AND($C965="Receiving",$I965&lt;=0), 0,SUMIFS(Table2[Stat],Table2[Week],Table1[[#This Row],[Week]],Table2[Athlete],Table1[[#This Row],[Pick]],Table2[Stat Category],"passing",Table2[Stat Type],"TD"))))</f>
        <v>0</v>
      </c>
      <c r="K965" s="6">
        <f>IF(AND($C965="Rushing", $H965&lt;=0), 0, IF(AND($C965="Passing", $G$3&lt;=0), 0,IF(AND($C965="Receiving",$I965&lt;=0),0,SUMIFS(Table2[Stat],Table2[Week],Table1[[#This Row],[Week]],Table2[Athlete],Table1[[#This Row],[Pick]],Table2[Stat Category],"rushing",Table2[Stat Type],"TD"))))</f>
        <v>0</v>
      </c>
      <c r="L965" s="6">
        <f>IF(AND($C965="Rushing", $H965&lt;=0), 0, IF(AND($C965="Passing", $G$3&lt;=0), 0,IF(AND($C965="Receiving",$I965&lt;=0),0,SUMIFS(Table2[Stat],Table2[Week],Table1[[#This Row],[Week]],Table2[Athlete],Table1[[#This Row],[Pick]],Table2[Stat Category],"receiving",Table2[Stat Type],"TD"))))</f>
        <v>0</v>
      </c>
      <c r="M9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5" s="61">
        <f>SUMIFS(Data!$J:$J,Data!$A:$A,Info!$B965,Data!$G:$G,Info!$C965,Data!$I:$I,Info!$D965,Data!$H:$H,"TOT")</f>
        <v>0</v>
      </c>
      <c r="O965" s="61">
        <f>IF(C965="Defensive",SUMIFS(Data!$J:$J,Data!$A:$A,Info!$B965,Data!$I:$I,Info!$D965,Data!$H:$H,"INT"),0)</f>
        <v>0</v>
      </c>
      <c r="P965" s="61">
        <f>IF(Table1[[#This Row],[Role]]="Defensive",SUMIFS(Data!$J:$J,Data!$A:$A,Info!$B965,Data!$I:$I,Info!$D965,Data!$H:$H,$P$1),0)</f>
        <v>0</v>
      </c>
      <c r="Q965" s="65" t="str">
        <f>IF(Table1[[#This Row],[Pick]]="","",IF(S965&gt;1,400,IF(G965="","",IF(C965="Passing",(400-Table1[[#This Row],[Passing Yards]]-(30*Table1[[#This Row],[Passing TDs]])-(50*SUM(Table1[[#This Row],[Rushing TDs]:[Other TD''s]]))),IF(C965="Rushing",2*(200-Table1[[#This Row],[Rushing Yards]]-(30*Table1[[#This Row],[Passing TDs]])-50*(Table1[[#This Row],[Rushing TDs]]+Table1[[#This Row],[Receiving TDs]]+Table1[[#This Row],[Other TD''s]])),IF(C965="Receiving",2*(200-Table1[[#This Row],[Receiving Yards]]-(30*Table1[[#This Row],[Passing TDs]])-50*(Table1[[#This Row],[Rushing TDs]]+Table1[[#This Row],[Receiving TDs]]+Table1[[#This Row],[Other TD''s]])),IF(C965="Defensive",(25*(16-Table1[[#This Row],[Tackles]]-(8*(Table1[[#This Row],[Other TD''s]]+Table1[[#This Row],[Interceptions]]+Table1[[#This Row],[Fumbles Recovered]])))))))))))</f>
        <v/>
      </c>
      <c r="R965" s="3" t="str">
        <f t="shared" si="32"/>
        <v/>
      </c>
      <c r="S965" s="4">
        <f t="shared" si="31"/>
        <v>1048507</v>
      </c>
      <c r="T9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6" spans="1:20" hidden="1" x14ac:dyDescent="0.25">
      <c r="A966" t="s">
        <v>2</v>
      </c>
      <c r="B966" s="28" t="s">
        <v>93</v>
      </c>
      <c r="C966" t="s">
        <v>20</v>
      </c>
      <c r="D966" t="str">
        <f>_xlfn.XLOOKUP(Table1[[#This Row],[Player]]&amp;Table1[[#This Row],[Week]]&amp;Table1[[#This Row],[Role]],'Google Form Transform'!$A:$A,'Google Form Transform'!E:E,"")</f>
        <v/>
      </c>
      <c r="E966" t="str">
        <f>_xlfn.XLOOKUP(Table1[[#This Row],[Player]]&amp;Table1[[#This Row],[Week]]&amp;Table1[[#This Row],[Role]],'Google Form Transform'!$A:$A,'Google Form Transform'!F:F,"")</f>
        <v/>
      </c>
      <c r="F966" t="str">
        <f>_xlfn.XLOOKUP(Table1[[#This Row],[Player]]&amp;Table1[[#This Row],[Week]]&amp;Table1[[#This Row],[Role]],'Google Form Transform'!$A:$A,'Google Form Transform'!G:G,"")</f>
        <v/>
      </c>
      <c r="G966" s="59">
        <f>SUMIFS(Table2[Stat],Table2[Stat Category],"passing",Table2[Stat Type],"YDS",Table2[Athlete],Table1[[#This Row],[Pick]],Table2[Week],Table1[[#This Row],[Week]])</f>
        <v>0</v>
      </c>
      <c r="H966" s="59">
        <f>SUMIFS(Table2[Stat],Table2[Stat Category],"rushing",Table2[Stat Type],"YDS",Table2[Athlete],Table1[[#This Row],[Pick]],Table2[Week],Table1[[#This Row],[Week]])</f>
        <v>0</v>
      </c>
      <c r="I966" s="59">
        <f>SUMIFS(Table2[Stat],Table2[Stat Category],"receiving",Table2[Stat Type],"YDS",Table2[Athlete],Table1[[#This Row],[Pick]],Table2[Week],Table1[[#This Row],[Week]])</f>
        <v>0</v>
      </c>
      <c r="J966" s="6">
        <f>IF(AND($C966="Rushing", $H966&lt;=0), 0, IF(AND($C966="Passing", $G$3&lt;=0), 0,IF(AND($C966="Receiving",$I966&lt;=0), 0,SUMIFS(Table2[Stat],Table2[Week],Table1[[#This Row],[Week]],Table2[Athlete],Table1[[#This Row],[Pick]],Table2[Stat Category],"passing",Table2[Stat Type],"TD"))))</f>
        <v>0</v>
      </c>
      <c r="K966" s="6">
        <f>IF(AND($C966="Rushing", $H966&lt;=0), 0, IF(AND($C966="Passing", $G$3&lt;=0), 0,IF(AND($C966="Receiving",$I966&lt;=0),0,SUMIFS(Table2[Stat],Table2[Week],Table1[[#This Row],[Week]],Table2[Athlete],Table1[[#This Row],[Pick]],Table2[Stat Category],"rushing",Table2[Stat Type],"TD"))))</f>
        <v>0</v>
      </c>
      <c r="L966" s="6">
        <f>IF(AND($C966="Rushing", $H966&lt;=0), 0, IF(AND($C966="Passing", $G$3&lt;=0), 0,IF(AND($C966="Receiving",$I966&lt;=0),0,SUMIFS(Table2[Stat],Table2[Week],Table1[[#This Row],[Week]],Table2[Athlete],Table1[[#This Row],[Pick]],Table2[Stat Category],"receiving",Table2[Stat Type],"TD"))))</f>
        <v>0</v>
      </c>
      <c r="M9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6" s="61">
        <f>SUMIFS(Data!$J:$J,Data!$A:$A,Info!$B966,Data!$G:$G,Info!$C966,Data!$I:$I,Info!$D966,Data!$H:$H,"TOT")</f>
        <v>0</v>
      </c>
      <c r="O966" s="61">
        <f>IF(C966="Defensive",SUMIFS(Data!$J:$J,Data!$A:$A,Info!$B966,Data!$I:$I,Info!$D966,Data!$H:$H,"INT"),0)</f>
        <v>0</v>
      </c>
      <c r="P966" s="61">
        <f>IF(Table1[[#This Row],[Role]]="Defensive",SUMIFS(Data!$J:$J,Data!$A:$A,Info!$B966,Data!$I:$I,Info!$D966,Data!$H:$H,$P$1),0)</f>
        <v>0</v>
      </c>
      <c r="Q966" s="65" t="str">
        <f>IF(Table1[[#This Row],[Pick]]="","",IF(S966&gt;1,400,IF(G966="","",IF(C966="Passing",(400-Table1[[#This Row],[Passing Yards]]-(30*Table1[[#This Row],[Passing TDs]])-(50*SUM(Table1[[#This Row],[Rushing TDs]:[Other TD''s]]))),IF(C966="Rushing",2*(200-Table1[[#This Row],[Rushing Yards]]-(30*Table1[[#This Row],[Passing TDs]])-50*(Table1[[#This Row],[Rushing TDs]]+Table1[[#This Row],[Receiving TDs]]+Table1[[#This Row],[Other TD''s]])),IF(C966="Receiving",2*(200-Table1[[#This Row],[Receiving Yards]]-(30*Table1[[#This Row],[Passing TDs]])-50*(Table1[[#This Row],[Rushing TDs]]+Table1[[#This Row],[Receiving TDs]]+Table1[[#This Row],[Other TD''s]])),IF(C966="Defensive",(25*(16-Table1[[#This Row],[Tackles]]-(8*(Table1[[#This Row],[Other TD''s]]+Table1[[#This Row],[Interceptions]]+Table1[[#This Row],[Fumbles Recovered]])))))))))))</f>
        <v/>
      </c>
      <c r="R966" s="3" t="str">
        <f t="shared" si="32"/>
        <v/>
      </c>
      <c r="S966" s="4">
        <f t="shared" si="31"/>
        <v>1048507</v>
      </c>
      <c r="T9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7" spans="1:20" hidden="1" x14ac:dyDescent="0.25">
      <c r="A967" t="s">
        <v>4</v>
      </c>
      <c r="B967" s="28" t="s">
        <v>93</v>
      </c>
      <c r="C967" t="s">
        <v>16</v>
      </c>
      <c r="D967" t="str">
        <f>_xlfn.XLOOKUP(Table1[[#This Row],[Player]]&amp;Table1[[#This Row],[Week]]&amp;Table1[[#This Row],[Role]],'Google Form Transform'!$A:$A,'Google Form Transform'!E:E,"")</f>
        <v/>
      </c>
      <c r="E967" t="str">
        <f>_xlfn.XLOOKUP(Table1[[#This Row],[Player]]&amp;Table1[[#This Row],[Week]]&amp;Table1[[#This Row],[Role]],'Google Form Transform'!$A:$A,'Google Form Transform'!F:F,"")</f>
        <v/>
      </c>
      <c r="F967" t="str">
        <f>_xlfn.XLOOKUP(Table1[[#This Row],[Player]]&amp;Table1[[#This Row],[Week]]&amp;Table1[[#This Row],[Role]],'Google Form Transform'!$A:$A,'Google Form Transform'!G:G,"")</f>
        <v/>
      </c>
      <c r="G967" s="59">
        <f>SUMIFS(Table2[Stat],Table2[Stat Category],"passing",Table2[Stat Type],"YDS",Table2[Athlete],Table1[[#This Row],[Pick]],Table2[Week],Table1[[#This Row],[Week]])</f>
        <v>0</v>
      </c>
      <c r="H967" s="59">
        <f>SUMIFS(Table2[Stat],Table2[Stat Category],"rushing",Table2[Stat Type],"YDS",Table2[Athlete],Table1[[#This Row],[Pick]],Table2[Week],Table1[[#This Row],[Week]])</f>
        <v>0</v>
      </c>
      <c r="I967" s="59">
        <f>SUMIFS(Table2[Stat],Table2[Stat Category],"receiving",Table2[Stat Type],"YDS",Table2[Athlete],Table1[[#This Row],[Pick]],Table2[Week],Table1[[#This Row],[Week]])</f>
        <v>0</v>
      </c>
      <c r="J967" s="6">
        <f>IF(AND($C967="Rushing", $H967&lt;=0), 0, IF(AND($C967="Passing", $G$3&lt;=0), 0,IF(AND($C967="Receiving",$I967&lt;=0), 0,SUMIFS(Table2[Stat],Table2[Week],Table1[[#This Row],[Week]],Table2[Athlete],Table1[[#This Row],[Pick]],Table2[Stat Category],"passing",Table2[Stat Type],"TD"))))</f>
        <v>0</v>
      </c>
      <c r="K967" s="6">
        <f>IF(AND($C967="Rushing", $H967&lt;=0), 0, IF(AND($C967="Passing", $G$3&lt;=0), 0,IF(AND($C967="Receiving",$I967&lt;=0),0,SUMIFS(Table2[Stat],Table2[Week],Table1[[#This Row],[Week]],Table2[Athlete],Table1[[#This Row],[Pick]],Table2[Stat Category],"rushing",Table2[Stat Type],"TD"))))</f>
        <v>0</v>
      </c>
      <c r="L967" s="6">
        <f>IF(AND($C967="Rushing", $H967&lt;=0), 0, IF(AND($C967="Passing", $G$3&lt;=0), 0,IF(AND($C967="Receiving",$I967&lt;=0),0,SUMIFS(Table2[Stat],Table2[Week],Table1[[#This Row],[Week]],Table2[Athlete],Table1[[#This Row],[Pick]],Table2[Stat Category],"receiving",Table2[Stat Type],"TD"))))</f>
        <v>0</v>
      </c>
      <c r="M9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7" s="61">
        <f>SUMIFS(Data!$J:$J,Data!$A:$A,Info!$B967,Data!$G:$G,Info!$C967,Data!$I:$I,Info!$D967,Data!$H:$H,"TOT")</f>
        <v>0</v>
      </c>
      <c r="O967" s="61">
        <f>IF(C967="Defensive",SUMIFS(Data!$J:$J,Data!$A:$A,Info!$B967,Data!$I:$I,Info!$D967,Data!$H:$H,"INT"),0)</f>
        <v>0</v>
      </c>
      <c r="P967" s="61">
        <f>IF(Table1[[#This Row],[Role]]="Defensive",SUMIFS(Data!$J:$J,Data!$A:$A,Info!$B967,Data!$I:$I,Info!$D967,Data!$H:$H,$P$1),0)</f>
        <v>0</v>
      </c>
      <c r="Q967" s="65" t="str">
        <f>IF(Table1[[#This Row],[Pick]]="","",IF(S967&gt;1,400,IF(G967="","",IF(C967="Passing",(400-Table1[[#This Row],[Passing Yards]]-(30*Table1[[#This Row],[Passing TDs]])-(50*SUM(Table1[[#This Row],[Rushing TDs]:[Other TD''s]]))),IF(C967="Rushing",2*(200-Table1[[#This Row],[Rushing Yards]]-(30*Table1[[#This Row],[Passing TDs]])-50*(Table1[[#This Row],[Rushing TDs]]+Table1[[#This Row],[Receiving TDs]]+Table1[[#This Row],[Other TD''s]])),IF(C967="Receiving",2*(200-Table1[[#This Row],[Receiving Yards]]-(30*Table1[[#This Row],[Passing TDs]])-50*(Table1[[#This Row],[Rushing TDs]]+Table1[[#This Row],[Receiving TDs]]+Table1[[#This Row],[Other TD''s]])),IF(C967="Defensive",(25*(16-Table1[[#This Row],[Tackles]]-(8*(Table1[[#This Row],[Other TD''s]]+Table1[[#This Row],[Interceptions]]+Table1[[#This Row],[Fumbles Recovered]])))))))))))</f>
        <v/>
      </c>
      <c r="R967" s="3" t="str">
        <f t="shared" si="32"/>
        <v/>
      </c>
      <c r="S967" s="4">
        <f t="shared" si="31"/>
        <v>1048507</v>
      </c>
      <c r="T9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8" spans="1:20" hidden="1" x14ac:dyDescent="0.25">
      <c r="A968" t="s">
        <v>4</v>
      </c>
      <c r="B968" s="28" t="s">
        <v>93</v>
      </c>
      <c r="C968" t="s">
        <v>6</v>
      </c>
      <c r="D968" t="str">
        <f>_xlfn.XLOOKUP(Table1[[#This Row],[Player]]&amp;Table1[[#This Row],[Week]]&amp;Table1[[#This Row],[Role]],'Google Form Transform'!$A:$A,'Google Form Transform'!E:E,"")</f>
        <v/>
      </c>
      <c r="E968" t="str">
        <f>_xlfn.XLOOKUP(Table1[[#This Row],[Player]]&amp;Table1[[#This Row],[Week]]&amp;Table1[[#This Row],[Role]],'Google Form Transform'!$A:$A,'Google Form Transform'!F:F,"")</f>
        <v/>
      </c>
      <c r="F968" t="str">
        <f>_xlfn.XLOOKUP(Table1[[#This Row],[Player]]&amp;Table1[[#This Row],[Week]]&amp;Table1[[#This Row],[Role]],'Google Form Transform'!$A:$A,'Google Form Transform'!G:G,"")</f>
        <v/>
      </c>
      <c r="G968" s="59">
        <f>SUMIFS(Table2[Stat],Table2[Stat Category],"passing",Table2[Stat Type],"YDS",Table2[Athlete],Table1[[#This Row],[Pick]],Table2[Week],Table1[[#This Row],[Week]])</f>
        <v>0</v>
      </c>
      <c r="H968" s="59">
        <f>SUMIFS(Table2[Stat],Table2[Stat Category],"rushing",Table2[Stat Type],"YDS",Table2[Athlete],Table1[[#This Row],[Pick]],Table2[Week],Table1[[#This Row],[Week]])</f>
        <v>0</v>
      </c>
      <c r="I968" s="59">
        <f>SUMIFS(Table2[Stat],Table2[Stat Category],"receiving",Table2[Stat Type],"YDS",Table2[Athlete],Table1[[#This Row],[Pick]],Table2[Week],Table1[[#This Row],[Week]])</f>
        <v>0</v>
      </c>
      <c r="J968" s="6">
        <f>IF(AND($C968="Rushing", $H968&lt;=0), 0, IF(AND($C968="Passing", $G$3&lt;=0), 0,IF(AND($C968="Receiving",$I968&lt;=0), 0,SUMIFS(Table2[Stat],Table2[Week],Table1[[#This Row],[Week]],Table2[Athlete],Table1[[#This Row],[Pick]],Table2[Stat Category],"passing",Table2[Stat Type],"TD"))))</f>
        <v>0</v>
      </c>
      <c r="K968" s="6">
        <f>IF(AND($C968="Rushing", $H968&lt;=0), 0, IF(AND($C968="Passing", $G$3&lt;=0), 0,IF(AND($C968="Receiving",$I968&lt;=0),0,SUMIFS(Table2[Stat],Table2[Week],Table1[[#This Row],[Week]],Table2[Athlete],Table1[[#This Row],[Pick]],Table2[Stat Category],"rushing",Table2[Stat Type],"TD"))))</f>
        <v>0</v>
      </c>
      <c r="L968" s="6">
        <f>IF(AND($C968="Rushing", $H968&lt;=0), 0, IF(AND($C968="Passing", $G$3&lt;=0), 0,IF(AND($C968="Receiving",$I968&lt;=0),0,SUMIFS(Table2[Stat],Table2[Week],Table1[[#This Row],[Week]],Table2[Athlete],Table1[[#This Row],[Pick]],Table2[Stat Category],"receiving",Table2[Stat Type],"TD"))))</f>
        <v>0</v>
      </c>
      <c r="M9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8" s="61">
        <f>SUMIFS(Data!$J:$J,Data!$A:$A,Info!$B968,Data!$G:$G,Info!$C968,Data!$I:$I,Info!$D968,Data!$H:$H,"TOT")</f>
        <v>0</v>
      </c>
      <c r="O968" s="61">
        <f>IF(C968="Defensive",SUMIFS(Data!$J:$J,Data!$A:$A,Info!$B968,Data!$I:$I,Info!$D968,Data!$H:$H,"INT"),0)</f>
        <v>0</v>
      </c>
      <c r="P968" s="61">
        <f>IF(Table1[[#This Row],[Role]]="Defensive",SUMIFS(Data!$J:$J,Data!$A:$A,Info!$B968,Data!$I:$I,Info!$D968,Data!$H:$H,$P$1),0)</f>
        <v>0</v>
      </c>
      <c r="Q968" s="65" t="str">
        <f>IF(Table1[[#This Row],[Pick]]="","",IF(S968&gt;1,400,IF(G968="","",IF(C968="Passing",(400-Table1[[#This Row],[Passing Yards]]-(30*Table1[[#This Row],[Passing TDs]])-(50*SUM(Table1[[#This Row],[Rushing TDs]:[Other TD''s]]))),IF(C968="Rushing",2*(200-Table1[[#This Row],[Rushing Yards]]-(30*Table1[[#This Row],[Passing TDs]])-50*(Table1[[#This Row],[Rushing TDs]]+Table1[[#This Row],[Receiving TDs]]+Table1[[#This Row],[Other TD''s]])),IF(C968="Receiving",2*(200-Table1[[#This Row],[Receiving Yards]]-(30*Table1[[#This Row],[Passing TDs]])-50*(Table1[[#This Row],[Rushing TDs]]+Table1[[#This Row],[Receiving TDs]]+Table1[[#This Row],[Other TD''s]])),IF(C968="Defensive",(25*(16-Table1[[#This Row],[Tackles]]-(8*(Table1[[#This Row],[Other TD''s]]+Table1[[#This Row],[Interceptions]]+Table1[[#This Row],[Fumbles Recovered]])))))))))))</f>
        <v/>
      </c>
      <c r="R968" s="3" t="str">
        <f t="shared" si="32"/>
        <v/>
      </c>
      <c r="S968" s="4">
        <f t="shared" si="31"/>
        <v>1048507</v>
      </c>
      <c r="T9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9" spans="1:20" hidden="1" x14ac:dyDescent="0.25">
      <c r="A969" t="s">
        <v>4</v>
      </c>
      <c r="B969" s="28" t="s">
        <v>93</v>
      </c>
      <c r="C969" t="s">
        <v>17</v>
      </c>
      <c r="D969" t="str">
        <f>_xlfn.XLOOKUP(Table1[[#This Row],[Player]]&amp;Table1[[#This Row],[Week]]&amp;Table1[[#This Row],[Role]],'Google Form Transform'!$A:$A,'Google Form Transform'!E:E,"")</f>
        <v/>
      </c>
      <c r="E969" t="str">
        <f>_xlfn.XLOOKUP(Table1[[#This Row],[Player]]&amp;Table1[[#This Row],[Week]]&amp;Table1[[#This Row],[Role]],'Google Form Transform'!$A:$A,'Google Form Transform'!F:F,"")</f>
        <v/>
      </c>
      <c r="F969" t="str">
        <f>_xlfn.XLOOKUP(Table1[[#This Row],[Player]]&amp;Table1[[#This Row],[Week]]&amp;Table1[[#This Row],[Role]],'Google Form Transform'!$A:$A,'Google Form Transform'!G:G,"")</f>
        <v/>
      </c>
      <c r="G969" s="59">
        <f>SUMIFS(Table2[Stat],Table2[Stat Category],"passing",Table2[Stat Type],"YDS",Table2[Athlete],Table1[[#This Row],[Pick]],Table2[Week],Table1[[#This Row],[Week]])</f>
        <v>0</v>
      </c>
      <c r="H969" s="59">
        <f>SUMIFS(Table2[Stat],Table2[Stat Category],"rushing",Table2[Stat Type],"YDS",Table2[Athlete],Table1[[#This Row],[Pick]],Table2[Week],Table1[[#This Row],[Week]])</f>
        <v>0</v>
      </c>
      <c r="I969" s="59">
        <f>SUMIFS(Table2[Stat],Table2[Stat Category],"receiving",Table2[Stat Type],"YDS",Table2[Athlete],Table1[[#This Row],[Pick]],Table2[Week],Table1[[#This Row],[Week]])</f>
        <v>0</v>
      </c>
      <c r="J969" s="6">
        <f>IF(AND($C969="Rushing", $H969&lt;=0), 0, IF(AND($C969="Passing", $G$3&lt;=0), 0,IF(AND($C969="Receiving",$I969&lt;=0), 0,SUMIFS(Table2[Stat],Table2[Week],Table1[[#This Row],[Week]],Table2[Athlete],Table1[[#This Row],[Pick]],Table2[Stat Category],"passing",Table2[Stat Type],"TD"))))</f>
        <v>0</v>
      </c>
      <c r="K969" s="6">
        <f>IF(AND($C969="Rushing", $H969&lt;=0), 0, IF(AND($C969="Passing", $G$3&lt;=0), 0,IF(AND($C969="Receiving",$I969&lt;=0),0,SUMIFS(Table2[Stat],Table2[Week],Table1[[#This Row],[Week]],Table2[Athlete],Table1[[#This Row],[Pick]],Table2[Stat Category],"rushing",Table2[Stat Type],"TD"))))</f>
        <v>0</v>
      </c>
      <c r="L969" s="6">
        <f>IF(AND($C969="Rushing", $H969&lt;=0), 0, IF(AND($C969="Passing", $G$3&lt;=0), 0,IF(AND($C969="Receiving",$I969&lt;=0),0,SUMIFS(Table2[Stat],Table2[Week],Table1[[#This Row],[Week]],Table2[Athlete],Table1[[#This Row],[Pick]],Table2[Stat Category],"receiving",Table2[Stat Type],"TD"))))</f>
        <v>0</v>
      </c>
      <c r="M9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9" s="61">
        <f>SUMIFS(Data!$J:$J,Data!$A:$A,Info!$B969,Data!$G:$G,Info!$C969,Data!$I:$I,Info!$D969,Data!$H:$H,"TOT")</f>
        <v>0</v>
      </c>
      <c r="O969" s="61">
        <f>IF(C969="Defensive",SUMIFS(Data!$J:$J,Data!$A:$A,Info!$B969,Data!$I:$I,Info!$D969,Data!$H:$H,"INT"),0)</f>
        <v>0</v>
      </c>
      <c r="P969" s="61">
        <f>IF(Table1[[#This Row],[Role]]="Defensive",SUMIFS(Data!$J:$J,Data!$A:$A,Info!$B969,Data!$I:$I,Info!$D969,Data!$H:$H,$P$1),0)</f>
        <v>0</v>
      </c>
      <c r="Q969" s="65" t="str">
        <f>IF(Table1[[#This Row],[Pick]]="","",IF(S969&gt;1,400,IF(G969="","",IF(C969="Passing",(400-Table1[[#This Row],[Passing Yards]]-(30*Table1[[#This Row],[Passing TDs]])-(50*SUM(Table1[[#This Row],[Rushing TDs]:[Other TD''s]]))),IF(C969="Rushing",2*(200-Table1[[#This Row],[Rushing Yards]]-(30*Table1[[#This Row],[Passing TDs]])-50*(Table1[[#This Row],[Rushing TDs]]+Table1[[#This Row],[Receiving TDs]]+Table1[[#This Row],[Other TD''s]])),IF(C969="Receiving",2*(200-Table1[[#This Row],[Receiving Yards]]-(30*Table1[[#This Row],[Passing TDs]])-50*(Table1[[#This Row],[Rushing TDs]]+Table1[[#This Row],[Receiving TDs]]+Table1[[#This Row],[Other TD''s]])),IF(C969="Defensive",(25*(16-Table1[[#This Row],[Tackles]]-(8*(Table1[[#This Row],[Other TD''s]]+Table1[[#This Row],[Interceptions]]+Table1[[#This Row],[Fumbles Recovered]])))))))))))</f>
        <v/>
      </c>
      <c r="R969" s="3" t="str">
        <f t="shared" si="32"/>
        <v/>
      </c>
      <c r="S969" s="4">
        <f t="shared" si="31"/>
        <v>1048507</v>
      </c>
      <c r="T9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0" spans="1:20" hidden="1" x14ac:dyDescent="0.25">
      <c r="A970" t="s">
        <v>4</v>
      </c>
      <c r="B970" s="28" t="s">
        <v>93</v>
      </c>
      <c r="C970" t="s">
        <v>20</v>
      </c>
      <c r="D970" t="str">
        <f>_xlfn.XLOOKUP(Table1[[#This Row],[Player]]&amp;Table1[[#This Row],[Week]]&amp;Table1[[#This Row],[Role]],'Google Form Transform'!$A:$A,'Google Form Transform'!E:E,"")</f>
        <v/>
      </c>
      <c r="E970" t="str">
        <f>_xlfn.XLOOKUP(Table1[[#This Row],[Player]]&amp;Table1[[#This Row],[Week]]&amp;Table1[[#This Row],[Role]],'Google Form Transform'!$A:$A,'Google Form Transform'!F:F,"")</f>
        <v/>
      </c>
      <c r="F970" t="str">
        <f>_xlfn.XLOOKUP(Table1[[#This Row],[Player]]&amp;Table1[[#This Row],[Week]]&amp;Table1[[#This Row],[Role]],'Google Form Transform'!$A:$A,'Google Form Transform'!G:G,"")</f>
        <v/>
      </c>
      <c r="G970" s="59">
        <f>SUMIFS(Table2[Stat],Table2[Stat Category],"passing",Table2[Stat Type],"YDS",Table2[Athlete],Table1[[#This Row],[Pick]],Table2[Week],Table1[[#This Row],[Week]])</f>
        <v>0</v>
      </c>
      <c r="H970" s="59">
        <f>SUMIFS(Table2[Stat],Table2[Stat Category],"rushing",Table2[Stat Type],"YDS",Table2[Athlete],Table1[[#This Row],[Pick]],Table2[Week],Table1[[#This Row],[Week]])</f>
        <v>0</v>
      </c>
      <c r="I970" s="59">
        <f>SUMIFS(Table2[Stat],Table2[Stat Category],"receiving",Table2[Stat Type],"YDS",Table2[Athlete],Table1[[#This Row],[Pick]],Table2[Week],Table1[[#This Row],[Week]])</f>
        <v>0</v>
      </c>
      <c r="J970" s="6">
        <f>IF(AND($C970="Rushing", $H970&lt;=0), 0, IF(AND($C970="Passing", $G$3&lt;=0), 0,IF(AND($C970="Receiving",$I970&lt;=0), 0,SUMIFS(Table2[Stat],Table2[Week],Table1[[#This Row],[Week]],Table2[Athlete],Table1[[#This Row],[Pick]],Table2[Stat Category],"passing",Table2[Stat Type],"TD"))))</f>
        <v>0</v>
      </c>
      <c r="K970" s="6">
        <f>IF(AND($C970="Rushing", $H970&lt;=0), 0, IF(AND($C970="Passing", $G$3&lt;=0), 0,IF(AND($C970="Receiving",$I970&lt;=0),0,SUMIFS(Table2[Stat],Table2[Week],Table1[[#This Row],[Week]],Table2[Athlete],Table1[[#This Row],[Pick]],Table2[Stat Category],"rushing",Table2[Stat Type],"TD"))))</f>
        <v>0</v>
      </c>
      <c r="L970" s="6">
        <f>IF(AND($C970="Rushing", $H970&lt;=0), 0, IF(AND($C970="Passing", $G$3&lt;=0), 0,IF(AND($C970="Receiving",$I970&lt;=0),0,SUMIFS(Table2[Stat],Table2[Week],Table1[[#This Row],[Week]],Table2[Athlete],Table1[[#This Row],[Pick]],Table2[Stat Category],"receiving",Table2[Stat Type],"TD"))))</f>
        <v>0</v>
      </c>
      <c r="M9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0" s="61">
        <f>SUMIFS(Data!$J:$J,Data!$A:$A,Info!$B970,Data!$G:$G,Info!$C970,Data!$I:$I,Info!$D970,Data!$H:$H,"TOT")</f>
        <v>0</v>
      </c>
      <c r="O970" s="61">
        <f>IF(C970="Defensive",SUMIFS(Data!$J:$J,Data!$A:$A,Info!$B970,Data!$I:$I,Info!$D970,Data!$H:$H,"INT"),0)</f>
        <v>0</v>
      </c>
      <c r="P970" s="61">
        <f>IF(Table1[[#This Row],[Role]]="Defensive",SUMIFS(Data!$J:$J,Data!$A:$A,Info!$B970,Data!$I:$I,Info!$D970,Data!$H:$H,$P$1),0)</f>
        <v>0</v>
      </c>
      <c r="Q970" s="65" t="str">
        <f>IF(Table1[[#This Row],[Pick]]="","",IF(S970&gt;1,400,IF(G970="","",IF(C970="Passing",(400-Table1[[#This Row],[Passing Yards]]-(30*Table1[[#This Row],[Passing TDs]])-(50*SUM(Table1[[#This Row],[Rushing TDs]:[Other TD''s]]))),IF(C970="Rushing",2*(200-Table1[[#This Row],[Rushing Yards]]-(30*Table1[[#This Row],[Passing TDs]])-50*(Table1[[#This Row],[Rushing TDs]]+Table1[[#This Row],[Receiving TDs]]+Table1[[#This Row],[Other TD''s]])),IF(C970="Receiving",2*(200-Table1[[#This Row],[Receiving Yards]]-(30*Table1[[#This Row],[Passing TDs]])-50*(Table1[[#This Row],[Rushing TDs]]+Table1[[#This Row],[Receiving TDs]]+Table1[[#This Row],[Other TD''s]])),IF(C970="Defensive",(25*(16-Table1[[#This Row],[Tackles]]-(8*(Table1[[#This Row],[Other TD''s]]+Table1[[#This Row],[Interceptions]]+Table1[[#This Row],[Fumbles Recovered]])))))))))))</f>
        <v/>
      </c>
      <c r="R970" s="3" t="str">
        <f t="shared" si="32"/>
        <v/>
      </c>
      <c r="S970" s="4">
        <f t="shared" si="31"/>
        <v>1048507</v>
      </c>
      <c r="T9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1" spans="1:20" hidden="1" x14ac:dyDescent="0.25">
      <c r="A971" t="s">
        <v>79</v>
      </c>
      <c r="B971" s="28" t="s">
        <v>93</v>
      </c>
      <c r="C971" t="s">
        <v>16</v>
      </c>
      <c r="D971" t="str">
        <f>_xlfn.XLOOKUP(Table1[[#This Row],[Player]]&amp;Table1[[#This Row],[Week]]&amp;Table1[[#This Row],[Role]],'Google Form Transform'!$A:$A,'Google Form Transform'!E:E,"")</f>
        <v/>
      </c>
      <c r="E971" t="str">
        <f>_xlfn.XLOOKUP(Table1[[#This Row],[Player]]&amp;Table1[[#This Row],[Week]]&amp;Table1[[#This Row],[Role]],'Google Form Transform'!$A:$A,'Google Form Transform'!F:F,"")</f>
        <v/>
      </c>
      <c r="F971" t="str">
        <f>_xlfn.XLOOKUP(Table1[[#This Row],[Player]]&amp;Table1[[#This Row],[Week]]&amp;Table1[[#This Row],[Role]],'Google Form Transform'!$A:$A,'Google Form Transform'!G:G,"")</f>
        <v/>
      </c>
      <c r="G971" s="59">
        <f>SUMIFS(Table2[Stat],Table2[Stat Category],"passing",Table2[Stat Type],"YDS",Table2[Athlete],Table1[[#This Row],[Pick]],Table2[Week],Table1[[#This Row],[Week]])</f>
        <v>0</v>
      </c>
      <c r="H971" s="59">
        <f>SUMIFS(Table2[Stat],Table2[Stat Category],"rushing",Table2[Stat Type],"YDS",Table2[Athlete],Table1[[#This Row],[Pick]],Table2[Week],Table1[[#This Row],[Week]])</f>
        <v>0</v>
      </c>
      <c r="I971" s="59">
        <f>SUMIFS(Table2[Stat],Table2[Stat Category],"receiving",Table2[Stat Type],"YDS",Table2[Athlete],Table1[[#This Row],[Pick]],Table2[Week],Table1[[#This Row],[Week]])</f>
        <v>0</v>
      </c>
      <c r="J971" s="6">
        <f>IF(AND($C971="Rushing", $H971&lt;=0), 0, IF(AND($C971="Passing", $G$3&lt;=0), 0,IF(AND($C971="Receiving",$I971&lt;=0), 0,SUMIFS(Table2[Stat],Table2[Week],Table1[[#This Row],[Week]],Table2[Athlete],Table1[[#This Row],[Pick]],Table2[Stat Category],"passing",Table2[Stat Type],"TD"))))</f>
        <v>0</v>
      </c>
      <c r="K971" s="6">
        <f>IF(AND($C971="Rushing", $H971&lt;=0), 0, IF(AND($C971="Passing", $G$3&lt;=0), 0,IF(AND($C971="Receiving",$I971&lt;=0),0,SUMIFS(Table2[Stat],Table2[Week],Table1[[#This Row],[Week]],Table2[Athlete],Table1[[#This Row],[Pick]],Table2[Stat Category],"rushing",Table2[Stat Type],"TD"))))</f>
        <v>0</v>
      </c>
      <c r="L971" s="6">
        <f>IF(AND($C971="Rushing", $H971&lt;=0), 0, IF(AND($C971="Passing", $G$3&lt;=0), 0,IF(AND($C971="Receiving",$I971&lt;=0),0,SUMIFS(Table2[Stat],Table2[Week],Table1[[#This Row],[Week]],Table2[Athlete],Table1[[#This Row],[Pick]],Table2[Stat Category],"receiving",Table2[Stat Type],"TD"))))</f>
        <v>0</v>
      </c>
      <c r="M9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1" s="61">
        <f>SUMIFS(Data!$J:$J,Data!$A:$A,Info!$B971,Data!$G:$G,Info!$C971,Data!$I:$I,Info!$D971,Data!$H:$H,"TOT")</f>
        <v>0</v>
      </c>
      <c r="O971" s="61">
        <f>IF(C971="Defensive",SUMIFS(Data!$J:$J,Data!$A:$A,Info!$B971,Data!$I:$I,Info!$D971,Data!$H:$H,"INT"),0)</f>
        <v>0</v>
      </c>
      <c r="P971" s="61">
        <f>IF(Table1[[#This Row],[Role]]="Defensive",SUMIFS(Data!$J:$J,Data!$A:$A,Info!$B971,Data!$I:$I,Info!$D971,Data!$H:$H,$P$1),0)</f>
        <v>0</v>
      </c>
      <c r="Q971" s="65" t="str">
        <f>IF(Table1[[#This Row],[Pick]]="","",IF(S971&gt;1,400,IF(G971="","",IF(C971="Passing",(400-Table1[[#This Row],[Passing Yards]]-(30*Table1[[#This Row],[Passing TDs]])-(50*SUM(Table1[[#This Row],[Rushing TDs]:[Other TD''s]]))),IF(C971="Rushing",2*(200-Table1[[#This Row],[Rushing Yards]]-(30*Table1[[#This Row],[Passing TDs]])-50*(Table1[[#This Row],[Rushing TDs]]+Table1[[#This Row],[Receiving TDs]]+Table1[[#This Row],[Other TD''s]])),IF(C971="Receiving",2*(200-Table1[[#This Row],[Receiving Yards]]-(30*Table1[[#This Row],[Passing TDs]])-50*(Table1[[#This Row],[Rushing TDs]]+Table1[[#This Row],[Receiving TDs]]+Table1[[#This Row],[Other TD''s]])),IF(C971="Defensive",(25*(16-Table1[[#This Row],[Tackles]]-(8*(Table1[[#This Row],[Other TD''s]]+Table1[[#This Row],[Interceptions]]+Table1[[#This Row],[Fumbles Recovered]])))))))))))</f>
        <v/>
      </c>
      <c r="R971" s="3" t="str">
        <f t="shared" si="32"/>
        <v/>
      </c>
      <c r="S971" s="4">
        <f t="shared" si="31"/>
        <v>1048507</v>
      </c>
      <c r="T9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2" spans="1:20" hidden="1" x14ac:dyDescent="0.25">
      <c r="A972" t="s">
        <v>79</v>
      </c>
      <c r="B972" s="28" t="s">
        <v>93</v>
      </c>
      <c r="C972" t="s">
        <v>6</v>
      </c>
      <c r="D972" t="str">
        <f>_xlfn.XLOOKUP(Table1[[#This Row],[Player]]&amp;Table1[[#This Row],[Week]]&amp;Table1[[#This Row],[Role]],'Google Form Transform'!$A:$A,'Google Form Transform'!E:E,"")</f>
        <v/>
      </c>
      <c r="E972" t="str">
        <f>_xlfn.XLOOKUP(Table1[[#This Row],[Player]]&amp;Table1[[#This Row],[Week]]&amp;Table1[[#This Row],[Role]],'Google Form Transform'!$A:$A,'Google Form Transform'!F:F,"")</f>
        <v/>
      </c>
      <c r="F972" t="str">
        <f>_xlfn.XLOOKUP(Table1[[#This Row],[Player]]&amp;Table1[[#This Row],[Week]]&amp;Table1[[#This Row],[Role]],'Google Form Transform'!$A:$A,'Google Form Transform'!G:G,"")</f>
        <v/>
      </c>
      <c r="G972" s="59">
        <f>SUMIFS(Table2[Stat],Table2[Stat Category],"passing",Table2[Stat Type],"YDS",Table2[Athlete],Table1[[#This Row],[Pick]],Table2[Week],Table1[[#This Row],[Week]])</f>
        <v>0</v>
      </c>
      <c r="H972" s="59">
        <f>SUMIFS(Table2[Stat],Table2[Stat Category],"rushing",Table2[Stat Type],"YDS",Table2[Athlete],Table1[[#This Row],[Pick]],Table2[Week],Table1[[#This Row],[Week]])</f>
        <v>0</v>
      </c>
      <c r="I972" s="59">
        <f>SUMIFS(Table2[Stat],Table2[Stat Category],"receiving",Table2[Stat Type],"YDS",Table2[Athlete],Table1[[#This Row],[Pick]],Table2[Week],Table1[[#This Row],[Week]])</f>
        <v>0</v>
      </c>
      <c r="J972" s="6">
        <f>IF(AND($C972="Rushing", $H972&lt;=0), 0, IF(AND($C972="Passing", $G$3&lt;=0), 0,IF(AND($C972="Receiving",$I972&lt;=0), 0,SUMIFS(Table2[Stat],Table2[Week],Table1[[#This Row],[Week]],Table2[Athlete],Table1[[#This Row],[Pick]],Table2[Stat Category],"passing",Table2[Stat Type],"TD"))))</f>
        <v>0</v>
      </c>
      <c r="K972" s="6">
        <f>IF(AND($C972="Rushing", $H972&lt;=0), 0, IF(AND($C972="Passing", $G$3&lt;=0), 0,IF(AND($C972="Receiving",$I972&lt;=0),0,SUMIFS(Table2[Stat],Table2[Week],Table1[[#This Row],[Week]],Table2[Athlete],Table1[[#This Row],[Pick]],Table2[Stat Category],"rushing",Table2[Stat Type],"TD"))))</f>
        <v>0</v>
      </c>
      <c r="L972" s="6">
        <f>IF(AND($C972="Rushing", $H972&lt;=0), 0, IF(AND($C972="Passing", $G$3&lt;=0), 0,IF(AND($C972="Receiving",$I972&lt;=0),0,SUMIFS(Table2[Stat],Table2[Week],Table1[[#This Row],[Week]],Table2[Athlete],Table1[[#This Row],[Pick]],Table2[Stat Category],"receiving",Table2[Stat Type],"TD"))))</f>
        <v>0</v>
      </c>
      <c r="M9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2" s="61">
        <f>SUMIFS(Data!$J:$J,Data!$A:$A,Info!$B972,Data!$G:$G,Info!$C972,Data!$I:$I,Info!$D972,Data!$H:$H,"TOT")</f>
        <v>0</v>
      </c>
      <c r="O972" s="61">
        <f>IF(C972="Defensive",SUMIFS(Data!$J:$J,Data!$A:$A,Info!$B972,Data!$I:$I,Info!$D972,Data!$H:$H,"INT"),0)</f>
        <v>0</v>
      </c>
      <c r="P972" s="61">
        <f>IF(Table1[[#This Row],[Role]]="Defensive",SUMIFS(Data!$J:$J,Data!$A:$A,Info!$B972,Data!$I:$I,Info!$D972,Data!$H:$H,$P$1),0)</f>
        <v>0</v>
      </c>
      <c r="Q972" s="65" t="str">
        <f>IF(Table1[[#This Row],[Pick]]="","",IF(S972&gt;1,400,IF(G972="","",IF(C972="Passing",(400-Table1[[#This Row],[Passing Yards]]-(30*Table1[[#This Row],[Passing TDs]])-(50*SUM(Table1[[#This Row],[Rushing TDs]:[Other TD''s]]))),IF(C972="Rushing",2*(200-Table1[[#This Row],[Rushing Yards]]-(30*Table1[[#This Row],[Passing TDs]])-50*(Table1[[#This Row],[Rushing TDs]]+Table1[[#This Row],[Receiving TDs]]+Table1[[#This Row],[Other TD''s]])),IF(C972="Receiving",2*(200-Table1[[#This Row],[Receiving Yards]]-(30*Table1[[#This Row],[Passing TDs]])-50*(Table1[[#This Row],[Rushing TDs]]+Table1[[#This Row],[Receiving TDs]]+Table1[[#This Row],[Other TD''s]])),IF(C972="Defensive",(25*(16-Table1[[#This Row],[Tackles]]-(8*(Table1[[#This Row],[Other TD''s]]+Table1[[#This Row],[Interceptions]]+Table1[[#This Row],[Fumbles Recovered]])))))))))))</f>
        <v/>
      </c>
      <c r="R972" s="3" t="str">
        <f t="shared" si="32"/>
        <v/>
      </c>
      <c r="S972" s="4">
        <f t="shared" si="31"/>
        <v>1048507</v>
      </c>
      <c r="T9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3" spans="1:20" hidden="1" x14ac:dyDescent="0.25">
      <c r="A973" t="s">
        <v>79</v>
      </c>
      <c r="B973" s="28" t="s">
        <v>93</v>
      </c>
      <c r="C973" t="s">
        <v>17</v>
      </c>
      <c r="D973" t="str">
        <f>_xlfn.XLOOKUP(Table1[[#This Row],[Player]]&amp;Table1[[#This Row],[Week]]&amp;Table1[[#This Row],[Role]],'Google Form Transform'!$A:$A,'Google Form Transform'!E:E,"")</f>
        <v/>
      </c>
      <c r="E973" t="str">
        <f>_xlfn.XLOOKUP(Table1[[#This Row],[Player]]&amp;Table1[[#This Row],[Week]]&amp;Table1[[#This Row],[Role]],'Google Form Transform'!$A:$A,'Google Form Transform'!F:F,"")</f>
        <v/>
      </c>
      <c r="F973" t="str">
        <f>_xlfn.XLOOKUP(Table1[[#This Row],[Player]]&amp;Table1[[#This Row],[Week]]&amp;Table1[[#This Row],[Role]],'Google Form Transform'!$A:$A,'Google Form Transform'!G:G,"")</f>
        <v/>
      </c>
      <c r="G973" s="59">
        <f>SUMIFS(Table2[Stat],Table2[Stat Category],"passing",Table2[Stat Type],"YDS",Table2[Athlete],Table1[[#This Row],[Pick]],Table2[Week],Table1[[#This Row],[Week]])</f>
        <v>0</v>
      </c>
      <c r="H973" s="59">
        <f>SUMIFS(Table2[Stat],Table2[Stat Category],"rushing",Table2[Stat Type],"YDS",Table2[Athlete],Table1[[#This Row],[Pick]],Table2[Week],Table1[[#This Row],[Week]])</f>
        <v>0</v>
      </c>
      <c r="I973" s="59">
        <f>SUMIFS(Table2[Stat],Table2[Stat Category],"receiving",Table2[Stat Type],"YDS",Table2[Athlete],Table1[[#This Row],[Pick]],Table2[Week],Table1[[#This Row],[Week]])</f>
        <v>0</v>
      </c>
      <c r="J973" s="6">
        <f>IF(AND($C973="Rushing", $H973&lt;=0), 0, IF(AND($C973="Passing", $G$3&lt;=0), 0,IF(AND($C973="Receiving",$I973&lt;=0), 0,SUMIFS(Table2[Stat],Table2[Week],Table1[[#This Row],[Week]],Table2[Athlete],Table1[[#This Row],[Pick]],Table2[Stat Category],"passing",Table2[Stat Type],"TD"))))</f>
        <v>0</v>
      </c>
      <c r="K973" s="6">
        <f>IF(AND($C973="Rushing", $H973&lt;=0), 0, IF(AND($C973="Passing", $G$3&lt;=0), 0,IF(AND($C973="Receiving",$I973&lt;=0),0,SUMIFS(Table2[Stat],Table2[Week],Table1[[#This Row],[Week]],Table2[Athlete],Table1[[#This Row],[Pick]],Table2[Stat Category],"rushing",Table2[Stat Type],"TD"))))</f>
        <v>0</v>
      </c>
      <c r="L973" s="6">
        <f>IF(AND($C973="Rushing", $H973&lt;=0), 0, IF(AND($C973="Passing", $G$3&lt;=0), 0,IF(AND($C973="Receiving",$I973&lt;=0),0,SUMIFS(Table2[Stat],Table2[Week],Table1[[#This Row],[Week]],Table2[Athlete],Table1[[#This Row],[Pick]],Table2[Stat Category],"receiving",Table2[Stat Type],"TD"))))</f>
        <v>0</v>
      </c>
      <c r="M9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3" s="61">
        <f>SUMIFS(Data!$J:$J,Data!$A:$A,Info!$B973,Data!$G:$G,Info!$C973,Data!$I:$I,Info!$D973,Data!$H:$H,"TOT")</f>
        <v>0</v>
      </c>
      <c r="O973" s="61">
        <f>IF(C973="Defensive",SUMIFS(Data!$J:$J,Data!$A:$A,Info!$B973,Data!$I:$I,Info!$D973,Data!$H:$H,"INT"),0)</f>
        <v>0</v>
      </c>
      <c r="P973" s="61">
        <f>IF(Table1[[#This Row],[Role]]="Defensive",SUMIFS(Data!$J:$J,Data!$A:$A,Info!$B973,Data!$I:$I,Info!$D973,Data!$H:$H,$P$1),0)</f>
        <v>0</v>
      </c>
      <c r="Q973" s="65" t="str">
        <f>IF(Table1[[#This Row],[Pick]]="","",IF(S973&gt;1,400,IF(G973="","",IF(C973="Passing",(400-Table1[[#This Row],[Passing Yards]]-(30*Table1[[#This Row],[Passing TDs]])-(50*SUM(Table1[[#This Row],[Rushing TDs]:[Other TD''s]]))),IF(C973="Rushing",2*(200-Table1[[#This Row],[Rushing Yards]]-(30*Table1[[#This Row],[Passing TDs]])-50*(Table1[[#This Row],[Rushing TDs]]+Table1[[#This Row],[Receiving TDs]]+Table1[[#This Row],[Other TD''s]])),IF(C973="Receiving",2*(200-Table1[[#This Row],[Receiving Yards]]-(30*Table1[[#This Row],[Passing TDs]])-50*(Table1[[#This Row],[Rushing TDs]]+Table1[[#This Row],[Receiving TDs]]+Table1[[#This Row],[Other TD''s]])),IF(C973="Defensive",(25*(16-Table1[[#This Row],[Tackles]]-(8*(Table1[[#This Row],[Other TD''s]]+Table1[[#This Row],[Interceptions]]+Table1[[#This Row],[Fumbles Recovered]])))))))))))</f>
        <v/>
      </c>
      <c r="R973" s="3" t="str">
        <f t="shared" si="32"/>
        <v/>
      </c>
      <c r="S973" s="4">
        <f t="shared" si="31"/>
        <v>1048507</v>
      </c>
      <c r="T9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4" spans="1:20" hidden="1" x14ac:dyDescent="0.25">
      <c r="A974" t="s">
        <v>79</v>
      </c>
      <c r="B974" s="28" t="s">
        <v>93</v>
      </c>
      <c r="C974" t="s">
        <v>20</v>
      </c>
      <c r="D974" t="str">
        <f>_xlfn.XLOOKUP(Table1[[#This Row],[Player]]&amp;Table1[[#This Row],[Week]]&amp;Table1[[#This Row],[Role]],'Google Form Transform'!$A:$A,'Google Form Transform'!E:E,"")</f>
        <v/>
      </c>
      <c r="E974" t="str">
        <f>_xlfn.XLOOKUP(Table1[[#This Row],[Player]]&amp;Table1[[#This Row],[Week]]&amp;Table1[[#This Row],[Role]],'Google Form Transform'!$A:$A,'Google Form Transform'!F:F,"")</f>
        <v/>
      </c>
      <c r="F974" t="str">
        <f>_xlfn.XLOOKUP(Table1[[#This Row],[Player]]&amp;Table1[[#This Row],[Week]]&amp;Table1[[#This Row],[Role]],'Google Form Transform'!$A:$A,'Google Form Transform'!G:G,"")</f>
        <v/>
      </c>
      <c r="G974" s="59">
        <f>SUMIFS(Table2[Stat],Table2[Stat Category],"passing",Table2[Stat Type],"YDS",Table2[Athlete],Table1[[#This Row],[Pick]],Table2[Week],Table1[[#This Row],[Week]])</f>
        <v>0</v>
      </c>
      <c r="H974" s="59">
        <f>SUMIFS(Table2[Stat],Table2[Stat Category],"rushing",Table2[Stat Type],"YDS",Table2[Athlete],Table1[[#This Row],[Pick]],Table2[Week],Table1[[#This Row],[Week]])</f>
        <v>0</v>
      </c>
      <c r="I974" s="59">
        <f>SUMIFS(Table2[Stat],Table2[Stat Category],"receiving",Table2[Stat Type],"YDS",Table2[Athlete],Table1[[#This Row],[Pick]],Table2[Week],Table1[[#This Row],[Week]])</f>
        <v>0</v>
      </c>
      <c r="J974" s="6">
        <f>IF(AND($C974="Rushing", $H974&lt;=0), 0, IF(AND($C974="Passing", $G$3&lt;=0), 0,IF(AND($C974="Receiving",$I974&lt;=0), 0,SUMIFS(Table2[Stat],Table2[Week],Table1[[#This Row],[Week]],Table2[Athlete],Table1[[#This Row],[Pick]],Table2[Stat Category],"passing",Table2[Stat Type],"TD"))))</f>
        <v>0</v>
      </c>
      <c r="K974" s="6">
        <f>IF(AND($C974="Rushing", $H974&lt;=0), 0, IF(AND($C974="Passing", $G$3&lt;=0), 0,IF(AND($C974="Receiving",$I974&lt;=0),0,SUMIFS(Table2[Stat],Table2[Week],Table1[[#This Row],[Week]],Table2[Athlete],Table1[[#This Row],[Pick]],Table2[Stat Category],"rushing",Table2[Stat Type],"TD"))))</f>
        <v>0</v>
      </c>
      <c r="L974" s="6">
        <f>IF(AND($C974="Rushing", $H974&lt;=0), 0, IF(AND($C974="Passing", $G$3&lt;=0), 0,IF(AND($C974="Receiving",$I974&lt;=0),0,SUMIFS(Table2[Stat],Table2[Week],Table1[[#This Row],[Week]],Table2[Athlete],Table1[[#This Row],[Pick]],Table2[Stat Category],"receiving",Table2[Stat Type],"TD"))))</f>
        <v>0</v>
      </c>
      <c r="M9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4" s="61">
        <f>SUMIFS(Data!$J:$J,Data!$A:$A,Info!$B974,Data!$G:$G,Info!$C974,Data!$I:$I,Info!$D974,Data!$H:$H,"TOT")</f>
        <v>0</v>
      </c>
      <c r="O974" s="61">
        <f>IF(C974="Defensive",SUMIFS(Data!$J:$J,Data!$A:$A,Info!$B974,Data!$I:$I,Info!$D974,Data!$H:$H,"INT"),0)</f>
        <v>0</v>
      </c>
      <c r="P974" s="61">
        <f>IF(Table1[[#This Row],[Role]]="Defensive",SUMIFS(Data!$J:$J,Data!$A:$A,Info!$B974,Data!$I:$I,Info!$D974,Data!$H:$H,$P$1),0)</f>
        <v>0</v>
      </c>
      <c r="Q974" s="65" t="str">
        <f>IF(Table1[[#This Row],[Pick]]="","",IF(S974&gt;1,400,IF(G974="","",IF(C974="Passing",(400-Table1[[#This Row],[Passing Yards]]-(30*Table1[[#This Row],[Passing TDs]])-(50*SUM(Table1[[#This Row],[Rushing TDs]:[Other TD''s]]))),IF(C974="Rushing",2*(200-Table1[[#This Row],[Rushing Yards]]-(30*Table1[[#This Row],[Passing TDs]])-50*(Table1[[#This Row],[Rushing TDs]]+Table1[[#This Row],[Receiving TDs]]+Table1[[#This Row],[Other TD''s]])),IF(C974="Receiving",2*(200-Table1[[#This Row],[Receiving Yards]]-(30*Table1[[#This Row],[Passing TDs]])-50*(Table1[[#This Row],[Rushing TDs]]+Table1[[#This Row],[Receiving TDs]]+Table1[[#This Row],[Other TD''s]])),IF(C974="Defensive",(25*(16-Table1[[#This Row],[Tackles]]-(8*(Table1[[#This Row],[Other TD''s]]+Table1[[#This Row],[Interceptions]]+Table1[[#This Row],[Fumbles Recovered]])))))))))))</f>
        <v/>
      </c>
      <c r="R974" s="3" t="str">
        <f t="shared" si="32"/>
        <v/>
      </c>
      <c r="S974" s="4">
        <f t="shared" si="31"/>
        <v>1048507</v>
      </c>
      <c r="T9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5" spans="1:20" hidden="1" x14ac:dyDescent="0.25">
      <c r="A975" t="s">
        <v>58</v>
      </c>
      <c r="B975" s="28" t="s">
        <v>93</v>
      </c>
      <c r="C975" t="s">
        <v>16</v>
      </c>
      <c r="D975" t="str">
        <f>_xlfn.XLOOKUP(Table1[[#This Row],[Player]]&amp;Table1[[#This Row],[Week]]&amp;Table1[[#This Row],[Role]],'Google Form Transform'!$A:$A,'Google Form Transform'!E:E,"")</f>
        <v/>
      </c>
      <c r="E975" t="str">
        <f>_xlfn.XLOOKUP(Table1[[#This Row],[Player]]&amp;Table1[[#This Row],[Week]]&amp;Table1[[#This Row],[Role]],'Google Form Transform'!$A:$A,'Google Form Transform'!F:F,"")</f>
        <v/>
      </c>
      <c r="F975" t="str">
        <f>_xlfn.XLOOKUP(Table1[[#This Row],[Player]]&amp;Table1[[#This Row],[Week]]&amp;Table1[[#This Row],[Role]],'Google Form Transform'!$A:$A,'Google Form Transform'!G:G,"")</f>
        <v/>
      </c>
      <c r="G975" s="59">
        <f>SUMIFS(Table2[Stat],Table2[Stat Category],"passing",Table2[Stat Type],"YDS",Table2[Athlete],Table1[[#This Row],[Pick]],Table2[Week],Table1[[#This Row],[Week]])</f>
        <v>0</v>
      </c>
      <c r="H975" s="59">
        <f>SUMIFS(Table2[Stat],Table2[Stat Category],"rushing",Table2[Stat Type],"YDS",Table2[Athlete],Table1[[#This Row],[Pick]],Table2[Week],Table1[[#This Row],[Week]])</f>
        <v>0</v>
      </c>
      <c r="I975" s="59">
        <f>SUMIFS(Table2[Stat],Table2[Stat Category],"receiving",Table2[Stat Type],"YDS",Table2[Athlete],Table1[[#This Row],[Pick]],Table2[Week],Table1[[#This Row],[Week]])</f>
        <v>0</v>
      </c>
      <c r="J975" s="6">
        <f>IF(AND($C975="Rushing", $H975&lt;=0), 0, IF(AND($C975="Passing", $G$3&lt;=0), 0,IF(AND($C975="Receiving",$I975&lt;=0), 0,SUMIFS(Table2[Stat],Table2[Week],Table1[[#This Row],[Week]],Table2[Athlete],Table1[[#This Row],[Pick]],Table2[Stat Category],"passing",Table2[Stat Type],"TD"))))</f>
        <v>0</v>
      </c>
      <c r="K975" s="6">
        <f>IF(AND($C975="Rushing", $H975&lt;=0), 0, IF(AND($C975="Passing", $G$3&lt;=0), 0,IF(AND($C975="Receiving",$I975&lt;=0),0,SUMIFS(Table2[Stat],Table2[Week],Table1[[#This Row],[Week]],Table2[Athlete],Table1[[#This Row],[Pick]],Table2[Stat Category],"rushing",Table2[Stat Type],"TD"))))</f>
        <v>0</v>
      </c>
      <c r="L975" s="6">
        <f>IF(AND($C975="Rushing", $H975&lt;=0), 0, IF(AND($C975="Passing", $G$3&lt;=0), 0,IF(AND($C975="Receiving",$I975&lt;=0),0,SUMIFS(Table2[Stat],Table2[Week],Table1[[#This Row],[Week]],Table2[Athlete],Table1[[#This Row],[Pick]],Table2[Stat Category],"receiving",Table2[Stat Type],"TD"))))</f>
        <v>0</v>
      </c>
      <c r="M9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5" s="61">
        <f>SUMIFS(Data!$J:$J,Data!$A:$A,Info!$B975,Data!$G:$G,Info!$C975,Data!$I:$I,Info!$D975,Data!$H:$H,"TOT")</f>
        <v>0</v>
      </c>
      <c r="O975" s="61">
        <f>IF(C975="Defensive",SUMIFS(Data!$J:$J,Data!$A:$A,Info!$B975,Data!$I:$I,Info!$D975,Data!$H:$H,"INT"),0)</f>
        <v>0</v>
      </c>
      <c r="P975" s="61">
        <f>IF(Table1[[#This Row],[Role]]="Defensive",SUMIFS(Data!$J:$J,Data!$A:$A,Info!$B975,Data!$I:$I,Info!$D975,Data!$H:$H,$P$1),0)</f>
        <v>0</v>
      </c>
      <c r="Q975" s="65" t="str">
        <f>IF(Table1[[#This Row],[Pick]]="","",IF(S975&gt;1,400,IF(G975="","",IF(C975="Passing",(400-Table1[[#This Row],[Passing Yards]]-(30*Table1[[#This Row],[Passing TDs]])-(50*SUM(Table1[[#This Row],[Rushing TDs]:[Other TD''s]]))),IF(C975="Rushing",2*(200-Table1[[#This Row],[Rushing Yards]]-(30*Table1[[#This Row],[Passing TDs]])-50*(Table1[[#This Row],[Rushing TDs]]+Table1[[#This Row],[Receiving TDs]]+Table1[[#This Row],[Other TD''s]])),IF(C975="Receiving",2*(200-Table1[[#This Row],[Receiving Yards]]-(30*Table1[[#This Row],[Passing TDs]])-50*(Table1[[#This Row],[Rushing TDs]]+Table1[[#This Row],[Receiving TDs]]+Table1[[#This Row],[Other TD''s]])),IF(C975="Defensive",(25*(16-Table1[[#This Row],[Tackles]]-(8*(Table1[[#This Row],[Other TD''s]]+Table1[[#This Row],[Interceptions]]+Table1[[#This Row],[Fumbles Recovered]])))))))))))</f>
        <v/>
      </c>
      <c r="R975" s="3" t="str">
        <f t="shared" si="32"/>
        <v/>
      </c>
      <c r="S975" s="4">
        <f t="shared" si="31"/>
        <v>1048507</v>
      </c>
      <c r="T9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6" spans="1:20" hidden="1" x14ac:dyDescent="0.25">
      <c r="A976" t="s">
        <v>58</v>
      </c>
      <c r="B976" s="28" t="s">
        <v>93</v>
      </c>
      <c r="C976" t="s">
        <v>6</v>
      </c>
      <c r="D976" t="str">
        <f>_xlfn.XLOOKUP(Table1[[#This Row],[Player]]&amp;Table1[[#This Row],[Week]]&amp;Table1[[#This Row],[Role]],'Google Form Transform'!$A:$A,'Google Form Transform'!E:E,"")</f>
        <v/>
      </c>
      <c r="E976" t="str">
        <f>_xlfn.XLOOKUP(Table1[[#This Row],[Player]]&amp;Table1[[#This Row],[Week]]&amp;Table1[[#This Row],[Role]],'Google Form Transform'!$A:$A,'Google Form Transform'!F:F,"")</f>
        <v/>
      </c>
      <c r="F976" t="str">
        <f>_xlfn.XLOOKUP(Table1[[#This Row],[Player]]&amp;Table1[[#This Row],[Week]]&amp;Table1[[#This Row],[Role]],'Google Form Transform'!$A:$A,'Google Form Transform'!G:G,"")</f>
        <v/>
      </c>
      <c r="G976" s="59">
        <f>SUMIFS(Table2[Stat],Table2[Stat Category],"passing",Table2[Stat Type],"YDS",Table2[Athlete],Table1[[#This Row],[Pick]],Table2[Week],Table1[[#This Row],[Week]])</f>
        <v>0</v>
      </c>
      <c r="H976" s="59">
        <f>SUMIFS(Table2[Stat],Table2[Stat Category],"rushing",Table2[Stat Type],"YDS",Table2[Athlete],Table1[[#This Row],[Pick]],Table2[Week],Table1[[#This Row],[Week]])</f>
        <v>0</v>
      </c>
      <c r="I976" s="59">
        <f>SUMIFS(Table2[Stat],Table2[Stat Category],"receiving",Table2[Stat Type],"YDS",Table2[Athlete],Table1[[#This Row],[Pick]],Table2[Week],Table1[[#This Row],[Week]])</f>
        <v>0</v>
      </c>
      <c r="J976" s="6">
        <f>IF(AND($C976="Rushing", $H976&lt;=0), 0, IF(AND($C976="Passing", $G$3&lt;=0), 0,IF(AND($C976="Receiving",$I976&lt;=0), 0,SUMIFS(Table2[Stat],Table2[Week],Table1[[#This Row],[Week]],Table2[Athlete],Table1[[#This Row],[Pick]],Table2[Stat Category],"passing",Table2[Stat Type],"TD"))))</f>
        <v>0</v>
      </c>
      <c r="K976" s="6">
        <f>IF(AND($C976="Rushing", $H976&lt;=0), 0, IF(AND($C976="Passing", $G$3&lt;=0), 0,IF(AND($C976="Receiving",$I976&lt;=0),0,SUMIFS(Table2[Stat],Table2[Week],Table1[[#This Row],[Week]],Table2[Athlete],Table1[[#This Row],[Pick]],Table2[Stat Category],"rushing",Table2[Stat Type],"TD"))))</f>
        <v>0</v>
      </c>
      <c r="L976" s="6">
        <f>IF(AND($C976="Rushing", $H976&lt;=0), 0, IF(AND($C976="Passing", $G$3&lt;=0), 0,IF(AND($C976="Receiving",$I976&lt;=0),0,SUMIFS(Table2[Stat],Table2[Week],Table1[[#This Row],[Week]],Table2[Athlete],Table1[[#This Row],[Pick]],Table2[Stat Category],"receiving",Table2[Stat Type],"TD"))))</f>
        <v>0</v>
      </c>
      <c r="M9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6" s="61">
        <f>SUMIFS(Data!$J:$J,Data!$A:$A,Info!$B976,Data!$G:$G,Info!$C976,Data!$I:$I,Info!$D976,Data!$H:$H,"TOT")</f>
        <v>0</v>
      </c>
      <c r="O976" s="61">
        <f>IF(C976="Defensive",SUMIFS(Data!$J:$J,Data!$A:$A,Info!$B976,Data!$I:$I,Info!$D976,Data!$H:$H,"INT"),0)</f>
        <v>0</v>
      </c>
      <c r="P976" s="61">
        <f>IF(Table1[[#This Row],[Role]]="Defensive",SUMIFS(Data!$J:$J,Data!$A:$A,Info!$B976,Data!$I:$I,Info!$D976,Data!$H:$H,$P$1),0)</f>
        <v>0</v>
      </c>
      <c r="Q976" s="65" t="str">
        <f>IF(Table1[[#This Row],[Pick]]="","",IF(S976&gt;1,400,IF(G976="","",IF(C976="Passing",(400-Table1[[#This Row],[Passing Yards]]-(30*Table1[[#This Row],[Passing TDs]])-(50*SUM(Table1[[#This Row],[Rushing TDs]:[Other TD''s]]))),IF(C976="Rushing",2*(200-Table1[[#This Row],[Rushing Yards]]-(30*Table1[[#This Row],[Passing TDs]])-50*(Table1[[#This Row],[Rushing TDs]]+Table1[[#This Row],[Receiving TDs]]+Table1[[#This Row],[Other TD''s]])),IF(C976="Receiving",2*(200-Table1[[#This Row],[Receiving Yards]]-(30*Table1[[#This Row],[Passing TDs]])-50*(Table1[[#This Row],[Rushing TDs]]+Table1[[#This Row],[Receiving TDs]]+Table1[[#This Row],[Other TD''s]])),IF(C976="Defensive",(25*(16-Table1[[#This Row],[Tackles]]-(8*(Table1[[#This Row],[Other TD''s]]+Table1[[#This Row],[Interceptions]]+Table1[[#This Row],[Fumbles Recovered]])))))))))))</f>
        <v/>
      </c>
      <c r="R976" s="3" t="str">
        <f t="shared" si="32"/>
        <v/>
      </c>
      <c r="S976" s="4">
        <f t="shared" si="31"/>
        <v>1048507</v>
      </c>
      <c r="T9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7" spans="1:20" hidden="1" x14ac:dyDescent="0.25">
      <c r="A977" t="s">
        <v>58</v>
      </c>
      <c r="B977" s="28" t="s">
        <v>93</v>
      </c>
      <c r="C977" t="s">
        <v>17</v>
      </c>
      <c r="D977" t="str">
        <f>_xlfn.XLOOKUP(Table1[[#This Row],[Player]]&amp;Table1[[#This Row],[Week]]&amp;Table1[[#This Row],[Role]],'Google Form Transform'!$A:$A,'Google Form Transform'!E:E,"")</f>
        <v/>
      </c>
      <c r="E977" t="str">
        <f>_xlfn.XLOOKUP(Table1[[#This Row],[Player]]&amp;Table1[[#This Row],[Week]]&amp;Table1[[#This Row],[Role]],'Google Form Transform'!$A:$A,'Google Form Transform'!F:F,"")</f>
        <v/>
      </c>
      <c r="F977" t="str">
        <f>_xlfn.XLOOKUP(Table1[[#This Row],[Player]]&amp;Table1[[#This Row],[Week]]&amp;Table1[[#This Row],[Role]],'Google Form Transform'!$A:$A,'Google Form Transform'!G:G,"")</f>
        <v/>
      </c>
      <c r="G977" s="59">
        <f>SUMIFS(Table2[Stat],Table2[Stat Category],"passing",Table2[Stat Type],"YDS",Table2[Athlete],Table1[[#This Row],[Pick]],Table2[Week],Table1[[#This Row],[Week]])</f>
        <v>0</v>
      </c>
      <c r="H977" s="59">
        <f>SUMIFS(Table2[Stat],Table2[Stat Category],"rushing",Table2[Stat Type],"YDS",Table2[Athlete],Table1[[#This Row],[Pick]],Table2[Week],Table1[[#This Row],[Week]])</f>
        <v>0</v>
      </c>
      <c r="I977" s="59">
        <f>SUMIFS(Table2[Stat],Table2[Stat Category],"receiving",Table2[Stat Type],"YDS",Table2[Athlete],Table1[[#This Row],[Pick]],Table2[Week],Table1[[#This Row],[Week]])</f>
        <v>0</v>
      </c>
      <c r="J977" s="6">
        <f>IF(AND($C977="Rushing", $H977&lt;=0), 0, IF(AND($C977="Passing", $G$3&lt;=0), 0,IF(AND($C977="Receiving",$I977&lt;=0), 0,SUMIFS(Table2[Stat],Table2[Week],Table1[[#This Row],[Week]],Table2[Athlete],Table1[[#This Row],[Pick]],Table2[Stat Category],"passing",Table2[Stat Type],"TD"))))</f>
        <v>0</v>
      </c>
      <c r="K977" s="6">
        <f>IF(AND($C977="Rushing", $H977&lt;=0), 0, IF(AND($C977="Passing", $G$3&lt;=0), 0,IF(AND($C977="Receiving",$I977&lt;=0),0,SUMIFS(Table2[Stat],Table2[Week],Table1[[#This Row],[Week]],Table2[Athlete],Table1[[#This Row],[Pick]],Table2[Stat Category],"rushing",Table2[Stat Type],"TD"))))</f>
        <v>0</v>
      </c>
      <c r="L977" s="6">
        <f>IF(AND($C977="Rushing", $H977&lt;=0), 0, IF(AND($C977="Passing", $G$3&lt;=0), 0,IF(AND($C977="Receiving",$I977&lt;=0),0,SUMIFS(Table2[Stat],Table2[Week],Table1[[#This Row],[Week]],Table2[Athlete],Table1[[#This Row],[Pick]],Table2[Stat Category],"receiving",Table2[Stat Type],"TD"))))</f>
        <v>0</v>
      </c>
      <c r="M9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7" s="61">
        <f>SUMIFS(Data!$J:$J,Data!$A:$A,Info!$B977,Data!$G:$G,Info!$C977,Data!$I:$I,Info!$D977,Data!$H:$H,"TOT")</f>
        <v>0</v>
      </c>
      <c r="O977" s="61">
        <f>IF(C977="Defensive",SUMIFS(Data!$J:$J,Data!$A:$A,Info!$B977,Data!$I:$I,Info!$D977,Data!$H:$H,"INT"),0)</f>
        <v>0</v>
      </c>
      <c r="P977" s="61">
        <f>IF(Table1[[#This Row],[Role]]="Defensive",SUMIFS(Data!$J:$J,Data!$A:$A,Info!$B977,Data!$I:$I,Info!$D977,Data!$H:$H,$P$1),0)</f>
        <v>0</v>
      </c>
      <c r="Q977" s="65" t="str">
        <f>IF(Table1[[#This Row],[Pick]]="","",IF(S977&gt;1,400,IF(G977="","",IF(C977="Passing",(400-Table1[[#This Row],[Passing Yards]]-(30*Table1[[#This Row],[Passing TDs]])-(50*SUM(Table1[[#This Row],[Rushing TDs]:[Other TD''s]]))),IF(C977="Rushing",2*(200-Table1[[#This Row],[Rushing Yards]]-(30*Table1[[#This Row],[Passing TDs]])-50*(Table1[[#This Row],[Rushing TDs]]+Table1[[#This Row],[Receiving TDs]]+Table1[[#This Row],[Other TD''s]])),IF(C977="Receiving",2*(200-Table1[[#This Row],[Receiving Yards]]-(30*Table1[[#This Row],[Passing TDs]])-50*(Table1[[#This Row],[Rushing TDs]]+Table1[[#This Row],[Receiving TDs]]+Table1[[#This Row],[Other TD''s]])),IF(C977="Defensive",(25*(16-Table1[[#This Row],[Tackles]]-(8*(Table1[[#This Row],[Other TD''s]]+Table1[[#This Row],[Interceptions]]+Table1[[#This Row],[Fumbles Recovered]])))))))))))</f>
        <v/>
      </c>
      <c r="R977" s="3" t="str">
        <f t="shared" si="32"/>
        <v/>
      </c>
      <c r="S977" s="4">
        <f t="shared" si="31"/>
        <v>1048507</v>
      </c>
      <c r="T9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8" spans="1:20" hidden="1" x14ac:dyDescent="0.25">
      <c r="A978" t="s">
        <v>58</v>
      </c>
      <c r="B978" s="28" t="s">
        <v>93</v>
      </c>
      <c r="C978" t="s">
        <v>20</v>
      </c>
      <c r="D978" t="str">
        <f>_xlfn.XLOOKUP(Table1[[#This Row],[Player]]&amp;Table1[[#This Row],[Week]]&amp;Table1[[#This Row],[Role]],'Google Form Transform'!$A:$A,'Google Form Transform'!E:E,"")</f>
        <v/>
      </c>
      <c r="E978" t="str">
        <f>_xlfn.XLOOKUP(Table1[[#This Row],[Player]]&amp;Table1[[#This Row],[Week]]&amp;Table1[[#This Row],[Role]],'Google Form Transform'!$A:$A,'Google Form Transform'!F:F,"")</f>
        <v/>
      </c>
      <c r="F978" t="str">
        <f>_xlfn.XLOOKUP(Table1[[#This Row],[Player]]&amp;Table1[[#This Row],[Week]]&amp;Table1[[#This Row],[Role]],'Google Form Transform'!$A:$A,'Google Form Transform'!G:G,"")</f>
        <v/>
      </c>
      <c r="G978" s="59">
        <f>SUMIFS(Table2[Stat],Table2[Stat Category],"passing",Table2[Stat Type],"YDS",Table2[Athlete],Table1[[#This Row],[Pick]],Table2[Week],Table1[[#This Row],[Week]])</f>
        <v>0</v>
      </c>
      <c r="H978" s="59">
        <f>SUMIFS(Table2[Stat],Table2[Stat Category],"rushing",Table2[Stat Type],"YDS",Table2[Athlete],Table1[[#This Row],[Pick]],Table2[Week],Table1[[#This Row],[Week]])</f>
        <v>0</v>
      </c>
      <c r="I978" s="59">
        <f>SUMIFS(Table2[Stat],Table2[Stat Category],"receiving",Table2[Stat Type],"YDS",Table2[Athlete],Table1[[#This Row],[Pick]],Table2[Week],Table1[[#This Row],[Week]])</f>
        <v>0</v>
      </c>
      <c r="J978" s="6">
        <f>IF(AND($C978="Rushing", $H978&lt;=0), 0, IF(AND($C978="Passing", $G$3&lt;=0), 0,IF(AND($C978="Receiving",$I978&lt;=0), 0,SUMIFS(Table2[Stat],Table2[Week],Table1[[#This Row],[Week]],Table2[Athlete],Table1[[#This Row],[Pick]],Table2[Stat Category],"passing",Table2[Stat Type],"TD"))))</f>
        <v>0</v>
      </c>
      <c r="K978" s="6">
        <f>IF(AND($C978="Rushing", $H978&lt;=0), 0, IF(AND($C978="Passing", $G$3&lt;=0), 0,IF(AND($C978="Receiving",$I978&lt;=0),0,SUMIFS(Table2[Stat],Table2[Week],Table1[[#This Row],[Week]],Table2[Athlete],Table1[[#This Row],[Pick]],Table2[Stat Category],"rushing",Table2[Stat Type],"TD"))))</f>
        <v>0</v>
      </c>
      <c r="L978" s="6">
        <f>IF(AND($C978="Rushing", $H978&lt;=0), 0, IF(AND($C978="Passing", $G$3&lt;=0), 0,IF(AND($C978="Receiving",$I978&lt;=0),0,SUMIFS(Table2[Stat],Table2[Week],Table1[[#This Row],[Week]],Table2[Athlete],Table1[[#This Row],[Pick]],Table2[Stat Category],"receiving",Table2[Stat Type],"TD"))))</f>
        <v>0</v>
      </c>
      <c r="M9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8" s="61">
        <f>SUMIFS(Data!$J:$J,Data!$A:$A,Info!$B978,Data!$G:$G,Info!$C978,Data!$I:$I,Info!$D978,Data!$H:$H,"TOT")</f>
        <v>0</v>
      </c>
      <c r="O978" s="61">
        <f>IF(C978="Defensive",SUMIFS(Data!$J:$J,Data!$A:$A,Info!$B978,Data!$I:$I,Info!$D978,Data!$H:$H,"INT"),0)</f>
        <v>0</v>
      </c>
      <c r="P978" s="61">
        <f>IF(Table1[[#This Row],[Role]]="Defensive",SUMIFS(Data!$J:$J,Data!$A:$A,Info!$B978,Data!$I:$I,Info!$D978,Data!$H:$H,$P$1),0)</f>
        <v>0</v>
      </c>
      <c r="Q978" s="65" t="str">
        <f>IF(Table1[[#This Row],[Pick]]="","",IF(S978&gt;1,400,IF(G978="","",IF(C978="Passing",(400-Table1[[#This Row],[Passing Yards]]-(30*Table1[[#This Row],[Passing TDs]])-(50*SUM(Table1[[#This Row],[Rushing TDs]:[Other TD''s]]))),IF(C978="Rushing",2*(200-Table1[[#This Row],[Rushing Yards]]-(30*Table1[[#This Row],[Passing TDs]])-50*(Table1[[#This Row],[Rushing TDs]]+Table1[[#This Row],[Receiving TDs]]+Table1[[#This Row],[Other TD''s]])),IF(C978="Receiving",2*(200-Table1[[#This Row],[Receiving Yards]]-(30*Table1[[#This Row],[Passing TDs]])-50*(Table1[[#This Row],[Rushing TDs]]+Table1[[#This Row],[Receiving TDs]]+Table1[[#This Row],[Other TD''s]])),IF(C978="Defensive",(25*(16-Table1[[#This Row],[Tackles]]-(8*(Table1[[#This Row],[Other TD''s]]+Table1[[#This Row],[Interceptions]]+Table1[[#This Row],[Fumbles Recovered]])))))))))))</f>
        <v/>
      </c>
      <c r="R978" s="3" t="str">
        <f t="shared" si="32"/>
        <v/>
      </c>
      <c r="S978" s="4">
        <f t="shared" si="31"/>
        <v>1048507</v>
      </c>
      <c r="T9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9" spans="1:20" hidden="1" x14ac:dyDescent="0.25">
      <c r="A979" t="s">
        <v>61</v>
      </c>
      <c r="B979" s="28" t="s">
        <v>93</v>
      </c>
      <c r="C979" t="s">
        <v>16</v>
      </c>
      <c r="D979" t="str">
        <f>_xlfn.XLOOKUP(Table1[[#This Row],[Player]]&amp;Table1[[#This Row],[Week]]&amp;Table1[[#This Row],[Role]],'Google Form Transform'!$A:$A,'Google Form Transform'!E:E,"")</f>
        <v/>
      </c>
      <c r="E979" t="str">
        <f>_xlfn.XLOOKUP(Table1[[#This Row],[Player]]&amp;Table1[[#This Row],[Week]]&amp;Table1[[#This Row],[Role]],'Google Form Transform'!$A:$A,'Google Form Transform'!F:F,"")</f>
        <v/>
      </c>
      <c r="F979" t="str">
        <f>_xlfn.XLOOKUP(Table1[[#This Row],[Player]]&amp;Table1[[#This Row],[Week]]&amp;Table1[[#This Row],[Role]],'Google Form Transform'!$A:$A,'Google Form Transform'!G:G,"")</f>
        <v/>
      </c>
      <c r="G979" s="59">
        <f>SUMIFS(Table2[Stat],Table2[Stat Category],"passing",Table2[Stat Type],"YDS",Table2[Athlete],Table1[[#This Row],[Pick]],Table2[Week],Table1[[#This Row],[Week]])</f>
        <v>0</v>
      </c>
      <c r="H979" s="59">
        <f>SUMIFS(Table2[Stat],Table2[Stat Category],"rushing",Table2[Stat Type],"YDS",Table2[Athlete],Table1[[#This Row],[Pick]],Table2[Week],Table1[[#This Row],[Week]])</f>
        <v>0</v>
      </c>
      <c r="I979" s="59">
        <f>SUMIFS(Table2[Stat],Table2[Stat Category],"receiving",Table2[Stat Type],"YDS",Table2[Athlete],Table1[[#This Row],[Pick]],Table2[Week],Table1[[#This Row],[Week]])</f>
        <v>0</v>
      </c>
      <c r="J979" s="6">
        <f>IF(AND($C979="Rushing", $H979&lt;=0), 0, IF(AND($C979="Passing", $G$3&lt;=0), 0,IF(AND($C979="Receiving",$I979&lt;=0), 0,SUMIFS(Table2[Stat],Table2[Week],Table1[[#This Row],[Week]],Table2[Athlete],Table1[[#This Row],[Pick]],Table2[Stat Category],"passing",Table2[Stat Type],"TD"))))</f>
        <v>0</v>
      </c>
      <c r="K979" s="6">
        <f>IF(AND($C979="Rushing", $H979&lt;=0), 0, IF(AND($C979="Passing", $G$3&lt;=0), 0,IF(AND($C979="Receiving",$I979&lt;=0),0,SUMIFS(Table2[Stat],Table2[Week],Table1[[#This Row],[Week]],Table2[Athlete],Table1[[#This Row],[Pick]],Table2[Stat Category],"rushing",Table2[Stat Type],"TD"))))</f>
        <v>0</v>
      </c>
      <c r="L979" s="6">
        <f>IF(AND($C979="Rushing", $H979&lt;=0), 0, IF(AND($C979="Passing", $G$3&lt;=0), 0,IF(AND($C979="Receiving",$I979&lt;=0),0,SUMIFS(Table2[Stat],Table2[Week],Table1[[#This Row],[Week]],Table2[Athlete],Table1[[#This Row],[Pick]],Table2[Stat Category],"receiving",Table2[Stat Type],"TD"))))</f>
        <v>0</v>
      </c>
      <c r="M9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9" s="61">
        <f>SUMIFS(Data!$J:$J,Data!$A:$A,Info!$B979,Data!$G:$G,Info!$C979,Data!$I:$I,Info!$D979,Data!$H:$H,"TOT")</f>
        <v>0</v>
      </c>
      <c r="O979" s="61">
        <f>IF(C979="Defensive",SUMIFS(Data!$J:$J,Data!$A:$A,Info!$B979,Data!$I:$I,Info!$D979,Data!$H:$H,"INT"),0)</f>
        <v>0</v>
      </c>
      <c r="P979" s="61">
        <f>IF(Table1[[#This Row],[Role]]="Defensive",SUMIFS(Data!$J:$J,Data!$A:$A,Info!$B979,Data!$I:$I,Info!$D979,Data!$H:$H,$P$1),0)</f>
        <v>0</v>
      </c>
      <c r="Q979" s="65" t="str">
        <f>IF(Table1[[#This Row],[Pick]]="","",IF(S979&gt;1,400,IF(G979="","",IF(C979="Passing",(400-Table1[[#This Row],[Passing Yards]]-(30*Table1[[#This Row],[Passing TDs]])-(50*SUM(Table1[[#This Row],[Rushing TDs]:[Other TD''s]]))),IF(C979="Rushing",2*(200-Table1[[#This Row],[Rushing Yards]]-(30*Table1[[#This Row],[Passing TDs]])-50*(Table1[[#This Row],[Rushing TDs]]+Table1[[#This Row],[Receiving TDs]]+Table1[[#This Row],[Other TD''s]])),IF(C979="Receiving",2*(200-Table1[[#This Row],[Receiving Yards]]-(30*Table1[[#This Row],[Passing TDs]])-50*(Table1[[#This Row],[Rushing TDs]]+Table1[[#This Row],[Receiving TDs]]+Table1[[#This Row],[Other TD''s]])),IF(C979="Defensive",(25*(16-Table1[[#This Row],[Tackles]]-(8*(Table1[[#This Row],[Other TD''s]]+Table1[[#This Row],[Interceptions]]+Table1[[#This Row],[Fumbles Recovered]])))))))))))</f>
        <v/>
      </c>
      <c r="R979" s="3" t="str">
        <f t="shared" si="32"/>
        <v/>
      </c>
      <c r="S979" s="4">
        <f t="shared" si="31"/>
        <v>1048507</v>
      </c>
      <c r="T9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0" spans="1:20" hidden="1" x14ac:dyDescent="0.25">
      <c r="A980" t="s">
        <v>61</v>
      </c>
      <c r="B980" s="28" t="s">
        <v>93</v>
      </c>
      <c r="C980" t="s">
        <v>6</v>
      </c>
      <c r="D980" t="str">
        <f>_xlfn.XLOOKUP(Table1[[#This Row],[Player]]&amp;Table1[[#This Row],[Week]]&amp;Table1[[#This Row],[Role]],'Google Form Transform'!$A:$A,'Google Form Transform'!E:E,"")</f>
        <v/>
      </c>
      <c r="E980" t="str">
        <f>_xlfn.XLOOKUP(Table1[[#This Row],[Player]]&amp;Table1[[#This Row],[Week]]&amp;Table1[[#This Row],[Role]],'Google Form Transform'!$A:$A,'Google Form Transform'!F:F,"")</f>
        <v/>
      </c>
      <c r="F980" t="str">
        <f>_xlfn.XLOOKUP(Table1[[#This Row],[Player]]&amp;Table1[[#This Row],[Week]]&amp;Table1[[#This Row],[Role]],'Google Form Transform'!$A:$A,'Google Form Transform'!G:G,"")</f>
        <v/>
      </c>
      <c r="G980" s="59">
        <f>SUMIFS(Table2[Stat],Table2[Stat Category],"passing",Table2[Stat Type],"YDS",Table2[Athlete],Table1[[#This Row],[Pick]],Table2[Week],Table1[[#This Row],[Week]])</f>
        <v>0</v>
      </c>
      <c r="H980" s="59">
        <f>SUMIFS(Table2[Stat],Table2[Stat Category],"rushing",Table2[Stat Type],"YDS",Table2[Athlete],Table1[[#This Row],[Pick]],Table2[Week],Table1[[#This Row],[Week]])</f>
        <v>0</v>
      </c>
      <c r="I980" s="59">
        <f>SUMIFS(Table2[Stat],Table2[Stat Category],"receiving",Table2[Stat Type],"YDS",Table2[Athlete],Table1[[#This Row],[Pick]],Table2[Week],Table1[[#This Row],[Week]])</f>
        <v>0</v>
      </c>
      <c r="J980" s="6">
        <f>IF(AND($C980="Rushing", $H980&lt;=0), 0, IF(AND($C980="Passing", $G$3&lt;=0), 0,IF(AND($C980="Receiving",$I980&lt;=0), 0,SUMIFS(Table2[Stat],Table2[Week],Table1[[#This Row],[Week]],Table2[Athlete],Table1[[#This Row],[Pick]],Table2[Stat Category],"passing",Table2[Stat Type],"TD"))))</f>
        <v>0</v>
      </c>
      <c r="K980" s="6">
        <f>IF(AND($C980="Rushing", $H980&lt;=0), 0, IF(AND($C980="Passing", $G$3&lt;=0), 0,IF(AND($C980="Receiving",$I980&lt;=0),0,SUMIFS(Table2[Stat],Table2[Week],Table1[[#This Row],[Week]],Table2[Athlete],Table1[[#This Row],[Pick]],Table2[Stat Category],"rushing",Table2[Stat Type],"TD"))))</f>
        <v>0</v>
      </c>
      <c r="L980" s="6">
        <f>IF(AND($C980="Rushing", $H980&lt;=0), 0, IF(AND($C980="Passing", $G$3&lt;=0), 0,IF(AND($C980="Receiving",$I980&lt;=0),0,SUMIFS(Table2[Stat],Table2[Week],Table1[[#This Row],[Week]],Table2[Athlete],Table1[[#This Row],[Pick]],Table2[Stat Category],"receiving",Table2[Stat Type],"TD"))))</f>
        <v>0</v>
      </c>
      <c r="M9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0" s="61">
        <f>SUMIFS(Data!$J:$J,Data!$A:$A,Info!$B980,Data!$G:$G,Info!$C980,Data!$I:$I,Info!$D980,Data!$H:$H,"TOT")</f>
        <v>0</v>
      </c>
      <c r="O980" s="61">
        <f>IF(C980="Defensive",SUMIFS(Data!$J:$J,Data!$A:$A,Info!$B980,Data!$I:$I,Info!$D980,Data!$H:$H,"INT"),0)</f>
        <v>0</v>
      </c>
      <c r="P980" s="61">
        <f>IF(Table1[[#This Row],[Role]]="Defensive",SUMIFS(Data!$J:$J,Data!$A:$A,Info!$B980,Data!$I:$I,Info!$D980,Data!$H:$H,$P$1),0)</f>
        <v>0</v>
      </c>
      <c r="Q980" s="65" t="str">
        <f>IF(Table1[[#This Row],[Pick]]="","",IF(S980&gt;1,400,IF(G980="","",IF(C980="Passing",(400-Table1[[#This Row],[Passing Yards]]-(30*Table1[[#This Row],[Passing TDs]])-(50*SUM(Table1[[#This Row],[Rushing TDs]:[Other TD''s]]))),IF(C980="Rushing",2*(200-Table1[[#This Row],[Rushing Yards]]-(30*Table1[[#This Row],[Passing TDs]])-50*(Table1[[#This Row],[Rushing TDs]]+Table1[[#This Row],[Receiving TDs]]+Table1[[#This Row],[Other TD''s]])),IF(C980="Receiving",2*(200-Table1[[#This Row],[Receiving Yards]]-(30*Table1[[#This Row],[Passing TDs]])-50*(Table1[[#This Row],[Rushing TDs]]+Table1[[#This Row],[Receiving TDs]]+Table1[[#This Row],[Other TD''s]])),IF(C980="Defensive",(25*(16-Table1[[#This Row],[Tackles]]-(8*(Table1[[#This Row],[Other TD''s]]+Table1[[#This Row],[Interceptions]]+Table1[[#This Row],[Fumbles Recovered]])))))))))))</f>
        <v/>
      </c>
      <c r="R980" s="3" t="str">
        <f t="shared" si="32"/>
        <v/>
      </c>
      <c r="S980" s="4">
        <f t="shared" si="31"/>
        <v>1048507</v>
      </c>
      <c r="T9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1" spans="1:20" hidden="1" x14ac:dyDescent="0.25">
      <c r="A981" t="s">
        <v>61</v>
      </c>
      <c r="B981" s="28" t="s">
        <v>93</v>
      </c>
      <c r="C981" t="s">
        <v>17</v>
      </c>
      <c r="D981" t="str">
        <f>_xlfn.XLOOKUP(Table1[[#This Row],[Player]]&amp;Table1[[#This Row],[Week]]&amp;Table1[[#This Row],[Role]],'Google Form Transform'!$A:$A,'Google Form Transform'!E:E,"")</f>
        <v/>
      </c>
      <c r="E981" t="str">
        <f>_xlfn.XLOOKUP(Table1[[#This Row],[Player]]&amp;Table1[[#This Row],[Week]]&amp;Table1[[#This Row],[Role]],'Google Form Transform'!$A:$A,'Google Form Transform'!F:F,"")</f>
        <v/>
      </c>
      <c r="F981" t="str">
        <f>_xlfn.XLOOKUP(Table1[[#This Row],[Player]]&amp;Table1[[#This Row],[Week]]&amp;Table1[[#This Row],[Role]],'Google Form Transform'!$A:$A,'Google Form Transform'!G:G,"")</f>
        <v/>
      </c>
      <c r="G981" s="59">
        <f>SUMIFS(Table2[Stat],Table2[Stat Category],"passing",Table2[Stat Type],"YDS",Table2[Athlete],Table1[[#This Row],[Pick]],Table2[Week],Table1[[#This Row],[Week]])</f>
        <v>0</v>
      </c>
      <c r="H981" s="59">
        <f>SUMIFS(Table2[Stat],Table2[Stat Category],"rushing",Table2[Stat Type],"YDS",Table2[Athlete],Table1[[#This Row],[Pick]],Table2[Week],Table1[[#This Row],[Week]])</f>
        <v>0</v>
      </c>
      <c r="I981" s="59">
        <f>SUMIFS(Table2[Stat],Table2[Stat Category],"receiving",Table2[Stat Type],"YDS",Table2[Athlete],Table1[[#This Row],[Pick]],Table2[Week],Table1[[#This Row],[Week]])</f>
        <v>0</v>
      </c>
      <c r="J981" s="6">
        <f>IF(AND($C981="Rushing", $H981&lt;=0), 0, IF(AND($C981="Passing", $G$3&lt;=0), 0,IF(AND($C981="Receiving",$I981&lt;=0), 0,SUMIFS(Table2[Stat],Table2[Week],Table1[[#This Row],[Week]],Table2[Athlete],Table1[[#This Row],[Pick]],Table2[Stat Category],"passing",Table2[Stat Type],"TD"))))</f>
        <v>0</v>
      </c>
      <c r="K981" s="6">
        <f>IF(AND($C981="Rushing", $H981&lt;=0), 0, IF(AND($C981="Passing", $G$3&lt;=0), 0,IF(AND($C981="Receiving",$I981&lt;=0),0,SUMIFS(Table2[Stat],Table2[Week],Table1[[#This Row],[Week]],Table2[Athlete],Table1[[#This Row],[Pick]],Table2[Stat Category],"rushing",Table2[Stat Type],"TD"))))</f>
        <v>0</v>
      </c>
      <c r="L981" s="6">
        <f>IF(AND($C981="Rushing", $H981&lt;=0), 0, IF(AND($C981="Passing", $G$3&lt;=0), 0,IF(AND($C981="Receiving",$I981&lt;=0),0,SUMIFS(Table2[Stat],Table2[Week],Table1[[#This Row],[Week]],Table2[Athlete],Table1[[#This Row],[Pick]],Table2[Stat Category],"receiving",Table2[Stat Type],"TD"))))</f>
        <v>0</v>
      </c>
      <c r="M9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1" s="61">
        <f>SUMIFS(Data!$J:$J,Data!$A:$A,Info!$B981,Data!$G:$G,Info!$C981,Data!$I:$I,Info!$D981,Data!$H:$H,"TOT")</f>
        <v>0</v>
      </c>
      <c r="O981" s="61">
        <f>IF(C981="Defensive",SUMIFS(Data!$J:$J,Data!$A:$A,Info!$B981,Data!$I:$I,Info!$D981,Data!$H:$H,"INT"),0)</f>
        <v>0</v>
      </c>
      <c r="P981" s="61">
        <f>IF(Table1[[#This Row],[Role]]="Defensive",SUMIFS(Data!$J:$J,Data!$A:$A,Info!$B981,Data!$I:$I,Info!$D981,Data!$H:$H,$P$1),0)</f>
        <v>0</v>
      </c>
      <c r="Q981" s="65" t="str">
        <f>IF(Table1[[#This Row],[Pick]]="","",IF(S981&gt;1,400,IF(G981="","",IF(C981="Passing",(400-Table1[[#This Row],[Passing Yards]]-(30*Table1[[#This Row],[Passing TDs]])-(50*SUM(Table1[[#This Row],[Rushing TDs]:[Other TD''s]]))),IF(C981="Rushing",2*(200-Table1[[#This Row],[Rushing Yards]]-(30*Table1[[#This Row],[Passing TDs]])-50*(Table1[[#This Row],[Rushing TDs]]+Table1[[#This Row],[Receiving TDs]]+Table1[[#This Row],[Other TD''s]])),IF(C981="Receiving",2*(200-Table1[[#This Row],[Receiving Yards]]-(30*Table1[[#This Row],[Passing TDs]])-50*(Table1[[#This Row],[Rushing TDs]]+Table1[[#This Row],[Receiving TDs]]+Table1[[#This Row],[Other TD''s]])),IF(C981="Defensive",(25*(16-Table1[[#This Row],[Tackles]]-(8*(Table1[[#This Row],[Other TD''s]]+Table1[[#This Row],[Interceptions]]+Table1[[#This Row],[Fumbles Recovered]])))))))))))</f>
        <v/>
      </c>
      <c r="R981" s="3" t="str">
        <f t="shared" si="32"/>
        <v/>
      </c>
      <c r="S981" s="4">
        <f t="shared" si="31"/>
        <v>1048507</v>
      </c>
      <c r="T9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2" spans="1:20" hidden="1" x14ac:dyDescent="0.25">
      <c r="A982" t="s">
        <v>61</v>
      </c>
      <c r="B982" s="28" t="s">
        <v>93</v>
      </c>
      <c r="C982" t="s">
        <v>20</v>
      </c>
      <c r="D982" t="str">
        <f>_xlfn.XLOOKUP(Table1[[#This Row],[Player]]&amp;Table1[[#This Row],[Week]]&amp;Table1[[#This Row],[Role]],'Google Form Transform'!$A:$A,'Google Form Transform'!E:E,"")</f>
        <v/>
      </c>
      <c r="E982" t="str">
        <f>_xlfn.XLOOKUP(Table1[[#This Row],[Player]]&amp;Table1[[#This Row],[Week]]&amp;Table1[[#This Row],[Role]],'Google Form Transform'!$A:$A,'Google Form Transform'!F:F,"")</f>
        <v/>
      </c>
      <c r="F982" t="str">
        <f>_xlfn.XLOOKUP(Table1[[#This Row],[Player]]&amp;Table1[[#This Row],[Week]]&amp;Table1[[#This Row],[Role]],'Google Form Transform'!$A:$A,'Google Form Transform'!G:G,"")</f>
        <v/>
      </c>
      <c r="G982" s="59">
        <f>SUMIFS(Table2[Stat],Table2[Stat Category],"passing",Table2[Stat Type],"YDS",Table2[Athlete],Table1[[#This Row],[Pick]],Table2[Week],Table1[[#This Row],[Week]])</f>
        <v>0</v>
      </c>
      <c r="H982" s="59">
        <f>SUMIFS(Table2[Stat],Table2[Stat Category],"rushing",Table2[Stat Type],"YDS",Table2[Athlete],Table1[[#This Row],[Pick]],Table2[Week],Table1[[#This Row],[Week]])</f>
        <v>0</v>
      </c>
      <c r="I982" s="59">
        <f>SUMIFS(Table2[Stat],Table2[Stat Category],"receiving",Table2[Stat Type],"YDS",Table2[Athlete],Table1[[#This Row],[Pick]],Table2[Week],Table1[[#This Row],[Week]])</f>
        <v>0</v>
      </c>
      <c r="J982" s="6">
        <f>IF(AND($C982="Rushing", $H982&lt;=0), 0, IF(AND($C982="Passing", $G$3&lt;=0), 0,IF(AND($C982="Receiving",$I982&lt;=0), 0,SUMIFS(Table2[Stat],Table2[Week],Table1[[#This Row],[Week]],Table2[Athlete],Table1[[#This Row],[Pick]],Table2[Stat Category],"passing",Table2[Stat Type],"TD"))))</f>
        <v>0</v>
      </c>
      <c r="K982" s="6">
        <f>IF(AND($C982="Rushing", $H982&lt;=0), 0, IF(AND($C982="Passing", $G$3&lt;=0), 0,IF(AND($C982="Receiving",$I982&lt;=0),0,SUMIFS(Table2[Stat],Table2[Week],Table1[[#This Row],[Week]],Table2[Athlete],Table1[[#This Row],[Pick]],Table2[Stat Category],"rushing",Table2[Stat Type],"TD"))))</f>
        <v>0</v>
      </c>
      <c r="L982" s="6">
        <f>IF(AND($C982="Rushing", $H982&lt;=0), 0, IF(AND($C982="Passing", $G$3&lt;=0), 0,IF(AND($C982="Receiving",$I982&lt;=0),0,SUMIFS(Table2[Stat],Table2[Week],Table1[[#This Row],[Week]],Table2[Athlete],Table1[[#This Row],[Pick]],Table2[Stat Category],"receiving",Table2[Stat Type],"TD"))))</f>
        <v>0</v>
      </c>
      <c r="M9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2" s="61">
        <f>SUMIFS(Data!$J:$J,Data!$A:$A,Info!$B982,Data!$G:$G,Info!$C982,Data!$I:$I,Info!$D982,Data!$H:$H,"TOT")</f>
        <v>0</v>
      </c>
      <c r="O982" s="61">
        <f>IF(C982="Defensive",SUMIFS(Data!$J:$J,Data!$A:$A,Info!$B982,Data!$I:$I,Info!$D982,Data!$H:$H,"INT"),0)</f>
        <v>0</v>
      </c>
      <c r="P982" s="61">
        <f>IF(Table1[[#This Row],[Role]]="Defensive",SUMIFS(Data!$J:$J,Data!$A:$A,Info!$B982,Data!$I:$I,Info!$D982,Data!$H:$H,$P$1),0)</f>
        <v>0</v>
      </c>
      <c r="Q982" s="65" t="str">
        <f>IF(Table1[[#This Row],[Pick]]="","",IF(S982&gt;1,400,IF(G982="","",IF(C982="Passing",(400-Table1[[#This Row],[Passing Yards]]-(30*Table1[[#This Row],[Passing TDs]])-(50*SUM(Table1[[#This Row],[Rushing TDs]:[Other TD''s]]))),IF(C982="Rushing",2*(200-Table1[[#This Row],[Rushing Yards]]-(30*Table1[[#This Row],[Passing TDs]])-50*(Table1[[#This Row],[Rushing TDs]]+Table1[[#This Row],[Receiving TDs]]+Table1[[#This Row],[Other TD''s]])),IF(C982="Receiving",2*(200-Table1[[#This Row],[Receiving Yards]]-(30*Table1[[#This Row],[Passing TDs]])-50*(Table1[[#This Row],[Rushing TDs]]+Table1[[#This Row],[Receiving TDs]]+Table1[[#This Row],[Other TD''s]])),IF(C982="Defensive",(25*(16-Table1[[#This Row],[Tackles]]-(8*(Table1[[#This Row],[Other TD''s]]+Table1[[#This Row],[Interceptions]]+Table1[[#This Row],[Fumbles Recovered]])))))))))))</f>
        <v/>
      </c>
      <c r="R982" s="3" t="str">
        <f t="shared" si="32"/>
        <v/>
      </c>
      <c r="S982" s="4">
        <f t="shared" si="31"/>
        <v>1048507</v>
      </c>
      <c r="T9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3" spans="1:20" hidden="1" x14ac:dyDescent="0.25">
      <c r="A983" t="s">
        <v>60</v>
      </c>
      <c r="B983" s="28" t="s">
        <v>93</v>
      </c>
      <c r="C983" t="s">
        <v>16</v>
      </c>
      <c r="D983" t="str">
        <f>_xlfn.XLOOKUP(Table1[[#This Row],[Player]]&amp;Table1[[#This Row],[Week]]&amp;Table1[[#This Row],[Role]],'Google Form Transform'!$A:$A,'Google Form Transform'!E:E,"")</f>
        <v/>
      </c>
      <c r="E983" t="str">
        <f>_xlfn.XLOOKUP(Table1[[#This Row],[Player]]&amp;Table1[[#This Row],[Week]]&amp;Table1[[#This Row],[Role]],'Google Form Transform'!$A:$A,'Google Form Transform'!F:F,"")</f>
        <v/>
      </c>
      <c r="F983" t="str">
        <f>_xlfn.XLOOKUP(Table1[[#This Row],[Player]]&amp;Table1[[#This Row],[Week]]&amp;Table1[[#This Row],[Role]],'Google Form Transform'!$A:$A,'Google Form Transform'!G:G,"")</f>
        <v/>
      </c>
      <c r="G983" s="59">
        <f>SUMIFS(Table2[Stat],Table2[Stat Category],"passing",Table2[Stat Type],"YDS",Table2[Athlete],Table1[[#This Row],[Pick]],Table2[Week],Table1[[#This Row],[Week]])</f>
        <v>0</v>
      </c>
      <c r="H983" s="59">
        <f>SUMIFS(Table2[Stat],Table2[Stat Category],"rushing",Table2[Stat Type],"YDS",Table2[Athlete],Table1[[#This Row],[Pick]],Table2[Week],Table1[[#This Row],[Week]])</f>
        <v>0</v>
      </c>
      <c r="I983" s="59">
        <f>SUMIFS(Table2[Stat],Table2[Stat Category],"receiving",Table2[Stat Type],"YDS",Table2[Athlete],Table1[[#This Row],[Pick]],Table2[Week],Table1[[#This Row],[Week]])</f>
        <v>0</v>
      </c>
      <c r="J983" s="6">
        <f>IF(AND($C983="Rushing", $H983&lt;=0), 0, IF(AND($C983="Passing", $G$3&lt;=0), 0,IF(AND($C983="Receiving",$I983&lt;=0), 0,SUMIFS(Table2[Stat],Table2[Week],Table1[[#This Row],[Week]],Table2[Athlete],Table1[[#This Row],[Pick]],Table2[Stat Category],"passing",Table2[Stat Type],"TD"))))</f>
        <v>0</v>
      </c>
      <c r="K983" s="6">
        <f>IF(AND($C983="Rushing", $H983&lt;=0), 0, IF(AND($C983="Passing", $G$3&lt;=0), 0,IF(AND($C983="Receiving",$I983&lt;=0),0,SUMIFS(Table2[Stat],Table2[Week],Table1[[#This Row],[Week]],Table2[Athlete],Table1[[#This Row],[Pick]],Table2[Stat Category],"rushing",Table2[Stat Type],"TD"))))</f>
        <v>0</v>
      </c>
      <c r="L983" s="6">
        <f>IF(AND($C983="Rushing", $H983&lt;=0), 0, IF(AND($C983="Passing", $G$3&lt;=0), 0,IF(AND($C983="Receiving",$I983&lt;=0),0,SUMIFS(Table2[Stat],Table2[Week],Table1[[#This Row],[Week]],Table2[Athlete],Table1[[#This Row],[Pick]],Table2[Stat Category],"receiving",Table2[Stat Type],"TD"))))</f>
        <v>0</v>
      </c>
      <c r="M9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3" s="61">
        <f>SUMIFS(Data!$J:$J,Data!$A:$A,Info!$B983,Data!$G:$G,Info!$C983,Data!$I:$I,Info!$D983,Data!$H:$H,"TOT")</f>
        <v>0</v>
      </c>
      <c r="O983" s="61">
        <f>IF(C983="Defensive",SUMIFS(Data!$J:$J,Data!$A:$A,Info!$B983,Data!$I:$I,Info!$D983,Data!$H:$H,"INT"),0)</f>
        <v>0</v>
      </c>
      <c r="P983" s="61">
        <f>IF(Table1[[#This Row],[Role]]="Defensive",SUMIFS(Data!$J:$J,Data!$A:$A,Info!$B983,Data!$I:$I,Info!$D983,Data!$H:$H,$P$1),0)</f>
        <v>0</v>
      </c>
      <c r="Q983" s="65" t="str">
        <f>IF(Table1[[#This Row],[Pick]]="","",IF(S983&gt;1,400,IF(G983="","",IF(C983="Passing",(400-Table1[[#This Row],[Passing Yards]]-(30*Table1[[#This Row],[Passing TDs]])-(50*SUM(Table1[[#This Row],[Rushing TDs]:[Other TD''s]]))),IF(C983="Rushing",2*(200-Table1[[#This Row],[Rushing Yards]]-(30*Table1[[#This Row],[Passing TDs]])-50*(Table1[[#This Row],[Rushing TDs]]+Table1[[#This Row],[Receiving TDs]]+Table1[[#This Row],[Other TD''s]])),IF(C983="Receiving",2*(200-Table1[[#This Row],[Receiving Yards]]-(30*Table1[[#This Row],[Passing TDs]])-50*(Table1[[#This Row],[Rushing TDs]]+Table1[[#This Row],[Receiving TDs]]+Table1[[#This Row],[Other TD''s]])),IF(C983="Defensive",(25*(16-Table1[[#This Row],[Tackles]]-(8*(Table1[[#This Row],[Other TD''s]]+Table1[[#This Row],[Interceptions]]+Table1[[#This Row],[Fumbles Recovered]])))))))))))</f>
        <v/>
      </c>
      <c r="R983" s="3" t="str">
        <f t="shared" si="32"/>
        <v/>
      </c>
      <c r="S983" s="4">
        <f t="shared" si="31"/>
        <v>1048507</v>
      </c>
      <c r="T9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4" spans="1:20" hidden="1" x14ac:dyDescent="0.25">
      <c r="A984" t="s">
        <v>60</v>
      </c>
      <c r="B984" s="28" t="s">
        <v>93</v>
      </c>
      <c r="C984" t="s">
        <v>6</v>
      </c>
      <c r="D984" t="str">
        <f>_xlfn.XLOOKUP(Table1[[#This Row],[Player]]&amp;Table1[[#This Row],[Week]]&amp;Table1[[#This Row],[Role]],'Google Form Transform'!$A:$A,'Google Form Transform'!E:E,"")</f>
        <v/>
      </c>
      <c r="E984" t="str">
        <f>_xlfn.XLOOKUP(Table1[[#This Row],[Player]]&amp;Table1[[#This Row],[Week]]&amp;Table1[[#This Row],[Role]],'Google Form Transform'!$A:$A,'Google Form Transform'!F:F,"")</f>
        <v/>
      </c>
      <c r="F984" t="str">
        <f>_xlfn.XLOOKUP(Table1[[#This Row],[Player]]&amp;Table1[[#This Row],[Week]]&amp;Table1[[#This Row],[Role]],'Google Form Transform'!$A:$A,'Google Form Transform'!G:G,"")</f>
        <v/>
      </c>
      <c r="G984" s="59">
        <f>SUMIFS(Table2[Stat],Table2[Stat Category],"passing",Table2[Stat Type],"YDS",Table2[Athlete],Table1[[#This Row],[Pick]],Table2[Week],Table1[[#This Row],[Week]])</f>
        <v>0</v>
      </c>
      <c r="H984" s="59">
        <f>SUMIFS(Table2[Stat],Table2[Stat Category],"rushing",Table2[Stat Type],"YDS",Table2[Athlete],Table1[[#This Row],[Pick]],Table2[Week],Table1[[#This Row],[Week]])</f>
        <v>0</v>
      </c>
      <c r="I984" s="59">
        <f>SUMIFS(Table2[Stat],Table2[Stat Category],"receiving",Table2[Stat Type],"YDS",Table2[Athlete],Table1[[#This Row],[Pick]],Table2[Week],Table1[[#This Row],[Week]])</f>
        <v>0</v>
      </c>
      <c r="J984" s="6">
        <f>IF(AND($C984="Rushing", $H984&lt;=0), 0, IF(AND($C984="Passing", $G$3&lt;=0), 0,IF(AND($C984="Receiving",$I984&lt;=0), 0,SUMIFS(Table2[Stat],Table2[Week],Table1[[#This Row],[Week]],Table2[Athlete],Table1[[#This Row],[Pick]],Table2[Stat Category],"passing",Table2[Stat Type],"TD"))))</f>
        <v>0</v>
      </c>
      <c r="K984" s="6">
        <f>IF(AND($C984="Rushing", $H984&lt;=0), 0, IF(AND($C984="Passing", $G$3&lt;=0), 0,IF(AND($C984="Receiving",$I984&lt;=0),0,SUMIFS(Table2[Stat],Table2[Week],Table1[[#This Row],[Week]],Table2[Athlete],Table1[[#This Row],[Pick]],Table2[Stat Category],"rushing",Table2[Stat Type],"TD"))))</f>
        <v>0</v>
      </c>
      <c r="L984" s="6">
        <f>IF(AND($C984="Rushing", $H984&lt;=0), 0, IF(AND($C984="Passing", $G$3&lt;=0), 0,IF(AND($C984="Receiving",$I984&lt;=0),0,SUMIFS(Table2[Stat],Table2[Week],Table1[[#This Row],[Week]],Table2[Athlete],Table1[[#This Row],[Pick]],Table2[Stat Category],"receiving",Table2[Stat Type],"TD"))))</f>
        <v>0</v>
      </c>
      <c r="M9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4" s="61">
        <f>SUMIFS(Data!$J:$J,Data!$A:$A,Info!$B984,Data!$G:$G,Info!$C984,Data!$I:$I,Info!$D984,Data!$H:$H,"TOT")</f>
        <v>0</v>
      </c>
      <c r="O984" s="61">
        <f>IF(C984="Defensive",SUMIFS(Data!$J:$J,Data!$A:$A,Info!$B984,Data!$I:$I,Info!$D984,Data!$H:$H,"INT"),0)</f>
        <v>0</v>
      </c>
      <c r="P984" s="61">
        <f>IF(Table1[[#This Row],[Role]]="Defensive",SUMIFS(Data!$J:$J,Data!$A:$A,Info!$B984,Data!$I:$I,Info!$D984,Data!$H:$H,$P$1),0)</f>
        <v>0</v>
      </c>
      <c r="Q984" s="65" t="str">
        <f>IF(Table1[[#This Row],[Pick]]="","",IF(S984&gt;1,400,IF(G984="","",IF(C984="Passing",(400-Table1[[#This Row],[Passing Yards]]-(30*Table1[[#This Row],[Passing TDs]])-(50*SUM(Table1[[#This Row],[Rushing TDs]:[Other TD''s]]))),IF(C984="Rushing",2*(200-Table1[[#This Row],[Rushing Yards]]-(30*Table1[[#This Row],[Passing TDs]])-50*(Table1[[#This Row],[Rushing TDs]]+Table1[[#This Row],[Receiving TDs]]+Table1[[#This Row],[Other TD''s]])),IF(C984="Receiving",2*(200-Table1[[#This Row],[Receiving Yards]]-(30*Table1[[#This Row],[Passing TDs]])-50*(Table1[[#This Row],[Rushing TDs]]+Table1[[#This Row],[Receiving TDs]]+Table1[[#This Row],[Other TD''s]])),IF(C984="Defensive",(25*(16-Table1[[#This Row],[Tackles]]-(8*(Table1[[#This Row],[Other TD''s]]+Table1[[#This Row],[Interceptions]]+Table1[[#This Row],[Fumbles Recovered]])))))))))))</f>
        <v/>
      </c>
      <c r="R984" s="3" t="str">
        <f t="shared" si="32"/>
        <v/>
      </c>
      <c r="S984" s="4">
        <f t="shared" si="31"/>
        <v>1048507</v>
      </c>
      <c r="T9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5" spans="1:20" hidden="1" x14ac:dyDescent="0.25">
      <c r="A985" t="s">
        <v>60</v>
      </c>
      <c r="B985" s="28" t="s">
        <v>93</v>
      </c>
      <c r="C985" t="s">
        <v>17</v>
      </c>
      <c r="D985" t="str">
        <f>_xlfn.XLOOKUP(Table1[[#This Row],[Player]]&amp;Table1[[#This Row],[Week]]&amp;Table1[[#This Row],[Role]],'Google Form Transform'!$A:$A,'Google Form Transform'!E:E,"")</f>
        <v/>
      </c>
      <c r="E985" t="str">
        <f>_xlfn.XLOOKUP(Table1[[#This Row],[Player]]&amp;Table1[[#This Row],[Week]]&amp;Table1[[#This Row],[Role]],'Google Form Transform'!$A:$A,'Google Form Transform'!F:F,"")</f>
        <v/>
      </c>
      <c r="F985" t="str">
        <f>_xlfn.XLOOKUP(Table1[[#This Row],[Player]]&amp;Table1[[#This Row],[Week]]&amp;Table1[[#This Row],[Role]],'Google Form Transform'!$A:$A,'Google Form Transform'!G:G,"")</f>
        <v/>
      </c>
      <c r="G985" s="59">
        <f>SUMIFS(Table2[Stat],Table2[Stat Category],"passing",Table2[Stat Type],"YDS",Table2[Athlete],Table1[[#This Row],[Pick]],Table2[Week],Table1[[#This Row],[Week]])</f>
        <v>0</v>
      </c>
      <c r="H985" s="59">
        <f>SUMIFS(Table2[Stat],Table2[Stat Category],"rushing",Table2[Stat Type],"YDS",Table2[Athlete],Table1[[#This Row],[Pick]],Table2[Week],Table1[[#This Row],[Week]])</f>
        <v>0</v>
      </c>
      <c r="I985" s="59">
        <f>SUMIFS(Table2[Stat],Table2[Stat Category],"receiving",Table2[Stat Type],"YDS",Table2[Athlete],Table1[[#This Row],[Pick]],Table2[Week],Table1[[#This Row],[Week]])</f>
        <v>0</v>
      </c>
      <c r="J985" s="6">
        <f>IF(AND($C985="Rushing", $H985&lt;=0), 0, IF(AND($C985="Passing", $G$3&lt;=0), 0,IF(AND($C985="Receiving",$I985&lt;=0), 0,SUMIFS(Table2[Stat],Table2[Week],Table1[[#This Row],[Week]],Table2[Athlete],Table1[[#This Row],[Pick]],Table2[Stat Category],"passing",Table2[Stat Type],"TD"))))</f>
        <v>0</v>
      </c>
      <c r="K985" s="6">
        <f>IF(AND($C985="Rushing", $H985&lt;=0), 0, IF(AND($C985="Passing", $G$3&lt;=0), 0,IF(AND($C985="Receiving",$I985&lt;=0),0,SUMIFS(Table2[Stat],Table2[Week],Table1[[#This Row],[Week]],Table2[Athlete],Table1[[#This Row],[Pick]],Table2[Stat Category],"rushing",Table2[Stat Type],"TD"))))</f>
        <v>0</v>
      </c>
      <c r="L985" s="6">
        <f>IF(AND($C985="Rushing", $H985&lt;=0), 0, IF(AND($C985="Passing", $G$3&lt;=0), 0,IF(AND($C985="Receiving",$I985&lt;=0),0,SUMIFS(Table2[Stat],Table2[Week],Table1[[#This Row],[Week]],Table2[Athlete],Table1[[#This Row],[Pick]],Table2[Stat Category],"receiving",Table2[Stat Type],"TD"))))</f>
        <v>0</v>
      </c>
      <c r="M9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5" s="61">
        <f>SUMIFS(Data!$J:$J,Data!$A:$A,Info!$B985,Data!$G:$G,Info!$C985,Data!$I:$I,Info!$D985,Data!$H:$H,"TOT")</f>
        <v>0</v>
      </c>
      <c r="O985" s="61">
        <f>IF(C985="Defensive",SUMIFS(Data!$J:$J,Data!$A:$A,Info!$B985,Data!$I:$I,Info!$D985,Data!$H:$H,"INT"),0)</f>
        <v>0</v>
      </c>
      <c r="P985" s="61">
        <f>IF(Table1[[#This Row],[Role]]="Defensive",SUMIFS(Data!$J:$J,Data!$A:$A,Info!$B985,Data!$I:$I,Info!$D985,Data!$H:$H,$P$1),0)</f>
        <v>0</v>
      </c>
      <c r="Q985" s="65" t="str">
        <f>IF(Table1[[#This Row],[Pick]]="","",IF(S985&gt;1,400,IF(G985="","",IF(C985="Passing",(400-Table1[[#This Row],[Passing Yards]]-(30*Table1[[#This Row],[Passing TDs]])-(50*SUM(Table1[[#This Row],[Rushing TDs]:[Other TD''s]]))),IF(C985="Rushing",2*(200-Table1[[#This Row],[Rushing Yards]]-(30*Table1[[#This Row],[Passing TDs]])-50*(Table1[[#This Row],[Rushing TDs]]+Table1[[#This Row],[Receiving TDs]]+Table1[[#This Row],[Other TD''s]])),IF(C985="Receiving",2*(200-Table1[[#This Row],[Receiving Yards]]-(30*Table1[[#This Row],[Passing TDs]])-50*(Table1[[#This Row],[Rushing TDs]]+Table1[[#This Row],[Receiving TDs]]+Table1[[#This Row],[Other TD''s]])),IF(C985="Defensive",(25*(16-Table1[[#This Row],[Tackles]]-(8*(Table1[[#This Row],[Other TD''s]]+Table1[[#This Row],[Interceptions]]+Table1[[#This Row],[Fumbles Recovered]])))))))))))</f>
        <v/>
      </c>
      <c r="R985" s="3" t="str">
        <f t="shared" si="32"/>
        <v/>
      </c>
      <c r="S985" s="4">
        <f t="shared" si="31"/>
        <v>1048507</v>
      </c>
      <c r="T9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6" spans="1:20" hidden="1" x14ac:dyDescent="0.25">
      <c r="A986" t="s">
        <v>60</v>
      </c>
      <c r="B986" s="28" t="s">
        <v>93</v>
      </c>
      <c r="C986" t="s">
        <v>20</v>
      </c>
      <c r="D986" t="str">
        <f>_xlfn.XLOOKUP(Table1[[#This Row],[Player]]&amp;Table1[[#This Row],[Week]]&amp;Table1[[#This Row],[Role]],'Google Form Transform'!$A:$A,'Google Form Transform'!E:E,"")</f>
        <v/>
      </c>
      <c r="E986" t="str">
        <f>_xlfn.XLOOKUP(Table1[[#This Row],[Player]]&amp;Table1[[#This Row],[Week]]&amp;Table1[[#This Row],[Role]],'Google Form Transform'!$A:$A,'Google Form Transform'!F:F,"")</f>
        <v/>
      </c>
      <c r="F986" t="str">
        <f>_xlfn.XLOOKUP(Table1[[#This Row],[Player]]&amp;Table1[[#This Row],[Week]]&amp;Table1[[#This Row],[Role]],'Google Form Transform'!$A:$A,'Google Form Transform'!G:G,"")</f>
        <v/>
      </c>
      <c r="G986" s="59">
        <f>SUMIFS(Table2[Stat],Table2[Stat Category],"passing",Table2[Stat Type],"YDS",Table2[Athlete],Table1[[#This Row],[Pick]],Table2[Week],Table1[[#This Row],[Week]])</f>
        <v>0</v>
      </c>
      <c r="H986" s="59">
        <f>SUMIFS(Table2[Stat],Table2[Stat Category],"rushing",Table2[Stat Type],"YDS",Table2[Athlete],Table1[[#This Row],[Pick]],Table2[Week],Table1[[#This Row],[Week]])</f>
        <v>0</v>
      </c>
      <c r="I986" s="59">
        <f>SUMIFS(Table2[Stat],Table2[Stat Category],"receiving",Table2[Stat Type],"YDS",Table2[Athlete],Table1[[#This Row],[Pick]],Table2[Week],Table1[[#This Row],[Week]])</f>
        <v>0</v>
      </c>
      <c r="J986" s="6">
        <f>IF(AND($C986="Rushing", $H986&lt;=0), 0, IF(AND($C986="Passing", $G$3&lt;=0), 0,IF(AND($C986="Receiving",$I986&lt;=0), 0,SUMIFS(Table2[Stat],Table2[Week],Table1[[#This Row],[Week]],Table2[Athlete],Table1[[#This Row],[Pick]],Table2[Stat Category],"passing",Table2[Stat Type],"TD"))))</f>
        <v>0</v>
      </c>
      <c r="K986" s="6">
        <f>IF(AND($C986="Rushing", $H986&lt;=0), 0, IF(AND($C986="Passing", $G$3&lt;=0), 0,IF(AND($C986="Receiving",$I986&lt;=0),0,SUMIFS(Table2[Stat],Table2[Week],Table1[[#This Row],[Week]],Table2[Athlete],Table1[[#This Row],[Pick]],Table2[Stat Category],"rushing",Table2[Stat Type],"TD"))))</f>
        <v>0</v>
      </c>
      <c r="L986" s="6">
        <f>IF(AND($C986="Rushing", $H986&lt;=0), 0, IF(AND($C986="Passing", $G$3&lt;=0), 0,IF(AND($C986="Receiving",$I986&lt;=0),0,SUMIFS(Table2[Stat],Table2[Week],Table1[[#This Row],[Week]],Table2[Athlete],Table1[[#This Row],[Pick]],Table2[Stat Category],"receiving",Table2[Stat Type],"TD"))))</f>
        <v>0</v>
      </c>
      <c r="M9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6" s="61">
        <f>SUMIFS(Data!$J:$J,Data!$A:$A,Info!$B986,Data!$G:$G,Info!$C986,Data!$I:$I,Info!$D986,Data!$H:$H,"TOT")</f>
        <v>0</v>
      </c>
      <c r="O986" s="61">
        <f>IF(C986="Defensive",SUMIFS(Data!$J:$J,Data!$A:$A,Info!$B986,Data!$I:$I,Info!$D986,Data!$H:$H,"INT"),0)</f>
        <v>0</v>
      </c>
      <c r="P986" s="61">
        <f>IF(Table1[[#This Row],[Role]]="Defensive",SUMIFS(Data!$J:$J,Data!$A:$A,Info!$B986,Data!$I:$I,Info!$D986,Data!$H:$H,$P$1),0)</f>
        <v>0</v>
      </c>
      <c r="Q986" s="65" t="str">
        <f>IF(Table1[[#This Row],[Pick]]="","",IF(S986&gt;1,400,IF(G986="","",IF(C986="Passing",(400-Table1[[#This Row],[Passing Yards]]-(30*Table1[[#This Row],[Passing TDs]])-(50*SUM(Table1[[#This Row],[Rushing TDs]:[Other TD''s]]))),IF(C986="Rushing",2*(200-Table1[[#This Row],[Rushing Yards]]-(30*Table1[[#This Row],[Passing TDs]])-50*(Table1[[#This Row],[Rushing TDs]]+Table1[[#This Row],[Receiving TDs]]+Table1[[#This Row],[Other TD''s]])),IF(C986="Receiving",2*(200-Table1[[#This Row],[Receiving Yards]]-(30*Table1[[#This Row],[Passing TDs]])-50*(Table1[[#This Row],[Rushing TDs]]+Table1[[#This Row],[Receiving TDs]]+Table1[[#This Row],[Other TD''s]])),IF(C986="Defensive",(25*(16-Table1[[#This Row],[Tackles]]-(8*(Table1[[#This Row],[Other TD''s]]+Table1[[#This Row],[Interceptions]]+Table1[[#This Row],[Fumbles Recovered]])))))))))))</f>
        <v/>
      </c>
      <c r="R986" s="3" t="str">
        <f t="shared" si="32"/>
        <v/>
      </c>
      <c r="S986" s="4">
        <f t="shared" si="31"/>
        <v>1048507</v>
      </c>
      <c r="T9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7" spans="1:20" hidden="1" x14ac:dyDescent="0.25">
      <c r="A987" t="s">
        <v>62</v>
      </c>
      <c r="B987" s="28" t="s">
        <v>93</v>
      </c>
      <c r="C987" t="s">
        <v>16</v>
      </c>
      <c r="D987" t="str">
        <f>_xlfn.XLOOKUP(Table1[[#This Row],[Player]]&amp;Table1[[#This Row],[Week]]&amp;Table1[[#This Row],[Role]],'Google Form Transform'!$A:$A,'Google Form Transform'!E:E,"")</f>
        <v/>
      </c>
      <c r="E987" t="str">
        <f>_xlfn.XLOOKUP(Table1[[#This Row],[Player]]&amp;Table1[[#This Row],[Week]]&amp;Table1[[#This Row],[Role]],'Google Form Transform'!$A:$A,'Google Form Transform'!F:F,"")</f>
        <v/>
      </c>
      <c r="F987" t="str">
        <f>_xlfn.XLOOKUP(Table1[[#This Row],[Player]]&amp;Table1[[#This Row],[Week]]&amp;Table1[[#This Row],[Role]],'Google Form Transform'!$A:$A,'Google Form Transform'!G:G,"")</f>
        <v/>
      </c>
      <c r="G987" s="59">
        <f>SUMIFS(Table2[Stat],Table2[Stat Category],"passing",Table2[Stat Type],"YDS",Table2[Athlete],Table1[[#This Row],[Pick]],Table2[Week],Table1[[#This Row],[Week]])</f>
        <v>0</v>
      </c>
      <c r="H987" s="59">
        <f>SUMIFS(Table2[Stat],Table2[Stat Category],"rushing",Table2[Stat Type],"YDS",Table2[Athlete],Table1[[#This Row],[Pick]],Table2[Week],Table1[[#This Row],[Week]])</f>
        <v>0</v>
      </c>
      <c r="I987" s="59">
        <f>SUMIFS(Table2[Stat],Table2[Stat Category],"receiving",Table2[Stat Type],"YDS",Table2[Athlete],Table1[[#This Row],[Pick]],Table2[Week],Table1[[#This Row],[Week]])</f>
        <v>0</v>
      </c>
      <c r="J987" s="6">
        <f>IF(AND($C987="Rushing", $H987&lt;=0), 0, IF(AND($C987="Passing", $G$3&lt;=0), 0,IF(AND($C987="Receiving",$I987&lt;=0), 0,SUMIFS(Table2[Stat],Table2[Week],Table1[[#This Row],[Week]],Table2[Athlete],Table1[[#This Row],[Pick]],Table2[Stat Category],"passing",Table2[Stat Type],"TD"))))</f>
        <v>0</v>
      </c>
      <c r="K987" s="6">
        <f>IF(AND($C987="Rushing", $H987&lt;=0), 0, IF(AND($C987="Passing", $G$3&lt;=0), 0,IF(AND($C987="Receiving",$I987&lt;=0),0,SUMIFS(Table2[Stat],Table2[Week],Table1[[#This Row],[Week]],Table2[Athlete],Table1[[#This Row],[Pick]],Table2[Stat Category],"rushing",Table2[Stat Type],"TD"))))</f>
        <v>0</v>
      </c>
      <c r="L987" s="6">
        <f>IF(AND($C987="Rushing", $H987&lt;=0), 0, IF(AND($C987="Passing", $G$3&lt;=0), 0,IF(AND($C987="Receiving",$I987&lt;=0),0,SUMIFS(Table2[Stat],Table2[Week],Table1[[#This Row],[Week]],Table2[Athlete],Table1[[#This Row],[Pick]],Table2[Stat Category],"receiving",Table2[Stat Type],"TD"))))</f>
        <v>0</v>
      </c>
      <c r="M9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7" s="61">
        <f>SUMIFS(Data!$J:$J,Data!$A:$A,Info!$B987,Data!$G:$G,Info!$C987,Data!$I:$I,Info!$D987,Data!$H:$H,"TOT")</f>
        <v>0</v>
      </c>
      <c r="O987" s="61">
        <f>IF(C987="Defensive",SUMIFS(Data!$J:$J,Data!$A:$A,Info!$B987,Data!$I:$I,Info!$D987,Data!$H:$H,"INT"),0)</f>
        <v>0</v>
      </c>
      <c r="P987" s="61">
        <f>IF(Table1[[#This Row],[Role]]="Defensive",SUMIFS(Data!$J:$J,Data!$A:$A,Info!$B987,Data!$I:$I,Info!$D987,Data!$H:$H,$P$1),0)</f>
        <v>0</v>
      </c>
      <c r="Q987" s="65" t="str">
        <f>IF(Table1[[#This Row],[Pick]]="","",IF(S987&gt;1,400,IF(G987="","",IF(C987="Passing",(400-Table1[[#This Row],[Passing Yards]]-(30*Table1[[#This Row],[Passing TDs]])-(50*SUM(Table1[[#This Row],[Rushing TDs]:[Other TD''s]]))),IF(C987="Rushing",2*(200-Table1[[#This Row],[Rushing Yards]]-(30*Table1[[#This Row],[Passing TDs]])-50*(Table1[[#This Row],[Rushing TDs]]+Table1[[#This Row],[Receiving TDs]]+Table1[[#This Row],[Other TD''s]])),IF(C987="Receiving",2*(200-Table1[[#This Row],[Receiving Yards]]-(30*Table1[[#This Row],[Passing TDs]])-50*(Table1[[#This Row],[Rushing TDs]]+Table1[[#This Row],[Receiving TDs]]+Table1[[#This Row],[Other TD''s]])),IF(C987="Defensive",(25*(16-Table1[[#This Row],[Tackles]]-(8*(Table1[[#This Row],[Other TD''s]]+Table1[[#This Row],[Interceptions]]+Table1[[#This Row],[Fumbles Recovered]])))))))))))</f>
        <v/>
      </c>
      <c r="R987" s="3" t="str">
        <f t="shared" si="32"/>
        <v/>
      </c>
      <c r="S987" s="4">
        <f t="shared" si="31"/>
        <v>1048507</v>
      </c>
      <c r="T9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8" spans="1:20" hidden="1" x14ac:dyDescent="0.25">
      <c r="A988" t="s">
        <v>62</v>
      </c>
      <c r="B988" s="28" t="s">
        <v>93</v>
      </c>
      <c r="C988" t="s">
        <v>6</v>
      </c>
      <c r="D988" t="str">
        <f>_xlfn.XLOOKUP(Table1[[#This Row],[Player]]&amp;Table1[[#This Row],[Week]]&amp;Table1[[#This Row],[Role]],'Google Form Transform'!$A:$A,'Google Form Transform'!E:E,"")</f>
        <v/>
      </c>
      <c r="E988" t="str">
        <f>_xlfn.XLOOKUP(Table1[[#This Row],[Player]]&amp;Table1[[#This Row],[Week]]&amp;Table1[[#This Row],[Role]],'Google Form Transform'!$A:$A,'Google Form Transform'!F:F,"")</f>
        <v/>
      </c>
      <c r="F988" t="str">
        <f>_xlfn.XLOOKUP(Table1[[#This Row],[Player]]&amp;Table1[[#This Row],[Week]]&amp;Table1[[#This Row],[Role]],'Google Form Transform'!$A:$A,'Google Form Transform'!G:G,"")</f>
        <v/>
      </c>
      <c r="G988" s="59">
        <f>SUMIFS(Table2[Stat],Table2[Stat Category],"passing",Table2[Stat Type],"YDS",Table2[Athlete],Table1[[#This Row],[Pick]],Table2[Week],Table1[[#This Row],[Week]])</f>
        <v>0</v>
      </c>
      <c r="H988" s="59">
        <f>SUMIFS(Table2[Stat],Table2[Stat Category],"rushing",Table2[Stat Type],"YDS",Table2[Athlete],Table1[[#This Row],[Pick]],Table2[Week],Table1[[#This Row],[Week]])</f>
        <v>0</v>
      </c>
      <c r="I988" s="59">
        <f>SUMIFS(Table2[Stat],Table2[Stat Category],"receiving",Table2[Stat Type],"YDS",Table2[Athlete],Table1[[#This Row],[Pick]],Table2[Week],Table1[[#This Row],[Week]])</f>
        <v>0</v>
      </c>
      <c r="J988" s="6">
        <f>IF(AND($C988="Rushing", $H988&lt;=0), 0, IF(AND($C988="Passing", $G$3&lt;=0), 0,IF(AND($C988="Receiving",$I988&lt;=0), 0,SUMIFS(Table2[Stat],Table2[Week],Table1[[#This Row],[Week]],Table2[Athlete],Table1[[#This Row],[Pick]],Table2[Stat Category],"passing",Table2[Stat Type],"TD"))))</f>
        <v>0</v>
      </c>
      <c r="K988" s="6">
        <f>IF(AND($C988="Rushing", $H988&lt;=0), 0, IF(AND($C988="Passing", $G$3&lt;=0), 0,IF(AND($C988="Receiving",$I988&lt;=0),0,SUMIFS(Table2[Stat],Table2[Week],Table1[[#This Row],[Week]],Table2[Athlete],Table1[[#This Row],[Pick]],Table2[Stat Category],"rushing",Table2[Stat Type],"TD"))))</f>
        <v>0</v>
      </c>
      <c r="L988" s="6">
        <f>IF(AND($C988="Rushing", $H988&lt;=0), 0, IF(AND($C988="Passing", $G$3&lt;=0), 0,IF(AND($C988="Receiving",$I988&lt;=0),0,SUMIFS(Table2[Stat],Table2[Week],Table1[[#This Row],[Week]],Table2[Athlete],Table1[[#This Row],[Pick]],Table2[Stat Category],"receiving",Table2[Stat Type],"TD"))))</f>
        <v>0</v>
      </c>
      <c r="M9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8" s="61">
        <f>SUMIFS(Data!$J:$J,Data!$A:$A,Info!$B988,Data!$G:$G,Info!$C988,Data!$I:$I,Info!$D988,Data!$H:$H,"TOT")</f>
        <v>0</v>
      </c>
      <c r="O988" s="61">
        <f>IF(C988="Defensive",SUMIFS(Data!$J:$J,Data!$A:$A,Info!$B988,Data!$I:$I,Info!$D988,Data!$H:$H,"INT"),0)</f>
        <v>0</v>
      </c>
      <c r="P988" s="61">
        <f>IF(Table1[[#This Row],[Role]]="Defensive",SUMIFS(Data!$J:$J,Data!$A:$A,Info!$B988,Data!$I:$I,Info!$D988,Data!$H:$H,$P$1),0)</f>
        <v>0</v>
      </c>
      <c r="Q988" s="65" t="str">
        <f>IF(Table1[[#This Row],[Pick]]="","",IF(S988&gt;1,400,IF(G988="","",IF(C988="Passing",(400-Table1[[#This Row],[Passing Yards]]-(30*Table1[[#This Row],[Passing TDs]])-(50*SUM(Table1[[#This Row],[Rushing TDs]:[Other TD''s]]))),IF(C988="Rushing",2*(200-Table1[[#This Row],[Rushing Yards]]-(30*Table1[[#This Row],[Passing TDs]])-50*(Table1[[#This Row],[Rushing TDs]]+Table1[[#This Row],[Receiving TDs]]+Table1[[#This Row],[Other TD''s]])),IF(C988="Receiving",2*(200-Table1[[#This Row],[Receiving Yards]]-(30*Table1[[#This Row],[Passing TDs]])-50*(Table1[[#This Row],[Rushing TDs]]+Table1[[#This Row],[Receiving TDs]]+Table1[[#This Row],[Other TD''s]])),IF(C988="Defensive",(25*(16-Table1[[#This Row],[Tackles]]-(8*(Table1[[#This Row],[Other TD''s]]+Table1[[#This Row],[Interceptions]]+Table1[[#This Row],[Fumbles Recovered]])))))))))))</f>
        <v/>
      </c>
      <c r="R988" s="3" t="str">
        <f t="shared" si="32"/>
        <v/>
      </c>
      <c r="S988" s="4">
        <f t="shared" si="31"/>
        <v>1048507</v>
      </c>
      <c r="T9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9" spans="1:20" hidden="1" x14ac:dyDescent="0.25">
      <c r="A989" t="s">
        <v>62</v>
      </c>
      <c r="B989" s="28" t="s">
        <v>93</v>
      </c>
      <c r="C989" t="s">
        <v>17</v>
      </c>
      <c r="D989" t="str">
        <f>_xlfn.XLOOKUP(Table1[[#This Row],[Player]]&amp;Table1[[#This Row],[Week]]&amp;Table1[[#This Row],[Role]],'Google Form Transform'!$A:$A,'Google Form Transform'!E:E,"")</f>
        <v/>
      </c>
      <c r="E989" t="str">
        <f>_xlfn.XLOOKUP(Table1[[#This Row],[Player]]&amp;Table1[[#This Row],[Week]]&amp;Table1[[#This Row],[Role]],'Google Form Transform'!$A:$A,'Google Form Transform'!F:F,"")</f>
        <v/>
      </c>
      <c r="F989" t="str">
        <f>_xlfn.XLOOKUP(Table1[[#This Row],[Player]]&amp;Table1[[#This Row],[Week]]&amp;Table1[[#This Row],[Role]],'Google Form Transform'!$A:$A,'Google Form Transform'!G:G,"")</f>
        <v/>
      </c>
      <c r="G989" s="59">
        <f>SUMIFS(Table2[Stat],Table2[Stat Category],"passing",Table2[Stat Type],"YDS",Table2[Athlete],Table1[[#This Row],[Pick]],Table2[Week],Table1[[#This Row],[Week]])</f>
        <v>0</v>
      </c>
      <c r="H989" s="59">
        <f>SUMIFS(Table2[Stat],Table2[Stat Category],"rushing",Table2[Stat Type],"YDS",Table2[Athlete],Table1[[#This Row],[Pick]],Table2[Week],Table1[[#This Row],[Week]])</f>
        <v>0</v>
      </c>
      <c r="I989" s="59">
        <f>SUMIFS(Table2[Stat],Table2[Stat Category],"receiving",Table2[Stat Type],"YDS",Table2[Athlete],Table1[[#This Row],[Pick]],Table2[Week],Table1[[#This Row],[Week]])</f>
        <v>0</v>
      </c>
      <c r="J989" s="6">
        <f>IF(AND($C989="Rushing", $H989&lt;=0), 0, IF(AND($C989="Passing", $G$3&lt;=0), 0,IF(AND($C989="Receiving",$I989&lt;=0), 0,SUMIFS(Table2[Stat],Table2[Week],Table1[[#This Row],[Week]],Table2[Athlete],Table1[[#This Row],[Pick]],Table2[Stat Category],"passing",Table2[Stat Type],"TD"))))</f>
        <v>0</v>
      </c>
      <c r="K989" s="6">
        <f>IF(AND($C989="Rushing", $H989&lt;=0), 0, IF(AND($C989="Passing", $G$3&lt;=0), 0,IF(AND($C989="Receiving",$I989&lt;=0),0,SUMIFS(Table2[Stat],Table2[Week],Table1[[#This Row],[Week]],Table2[Athlete],Table1[[#This Row],[Pick]],Table2[Stat Category],"rushing",Table2[Stat Type],"TD"))))</f>
        <v>0</v>
      </c>
      <c r="L989" s="6">
        <f>IF(AND($C989="Rushing", $H989&lt;=0), 0, IF(AND($C989="Passing", $G$3&lt;=0), 0,IF(AND($C989="Receiving",$I989&lt;=0),0,SUMIFS(Table2[Stat],Table2[Week],Table1[[#This Row],[Week]],Table2[Athlete],Table1[[#This Row],[Pick]],Table2[Stat Category],"receiving",Table2[Stat Type],"TD"))))</f>
        <v>0</v>
      </c>
      <c r="M9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9" s="61">
        <f>SUMIFS(Data!$J:$J,Data!$A:$A,Info!$B989,Data!$G:$G,Info!$C989,Data!$I:$I,Info!$D989,Data!$H:$H,"TOT")</f>
        <v>0</v>
      </c>
      <c r="O989" s="61">
        <f>IF(C989="Defensive",SUMIFS(Data!$J:$J,Data!$A:$A,Info!$B989,Data!$I:$I,Info!$D989,Data!$H:$H,"INT"),0)</f>
        <v>0</v>
      </c>
      <c r="P989" s="61">
        <f>IF(Table1[[#This Row],[Role]]="Defensive",SUMIFS(Data!$J:$J,Data!$A:$A,Info!$B989,Data!$I:$I,Info!$D989,Data!$H:$H,$P$1),0)</f>
        <v>0</v>
      </c>
      <c r="Q989" s="65" t="str">
        <f>IF(Table1[[#This Row],[Pick]]="","",IF(S989&gt;1,400,IF(G989="","",IF(C989="Passing",(400-Table1[[#This Row],[Passing Yards]]-(30*Table1[[#This Row],[Passing TDs]])-(50*SUM(Table1[[#This Row],[Rushing TDs]:[Other TD''s]]))),IF(C989="Rushing",2*(200-Table1[[#This Row],[Rushing Yards]]-(30*Table1[[#This Row],[Passing TDs]])-50*(Table1[[#This Row],[Rushing TDs]]+Table1[[#This Row],[Receiving TDs]]+Table1[[#This Row],[Other TD''s]])),IF(C989="Receiving",2*(200-Table1[[#This Row],[Receiving Yards]]-(30*Table1[[#This Row],[Passing TDs]])-50*(Table1[[#This Row],[Rushing TDs]]+Table1[[#This Row],[Receiving TDs]]+Table1[[#This Row],[Other TD''s]])),IF(C989="Defensive",(25*(16-Table1[[#This Row],[Tackles]]-(8*(Table1[[#This Row],[Other TD''s]]+Table1[[#This Row],[Interceptions]]+Table1[[#This Row],[Fumbles Recovered]])))))))))))</f>
        <v/>
      </c>
      <c r="R989" s="3" t="str">
        <f t="shared" si="32"/>
        <v/>
      </c>
      <c r="S989" s="4">
        <f t="shared" si="31"/>
        <v>1048507</v>
      </c>
      <c r="T9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0" spans="1:20" hidden="1" x14ac:dyDescent="0.25">
      <c r="A990" t="s">
        <v>62</v>
      </c>
      <c r="B990" s="28" t="s">
        <v>93</v>
      </c>
      <c r="C990" t="s">
        <v>20</v>
      </c>
      <c r="D990" t="str">
        <f>_xlfn.XLOOKUP(Table1[[#This Row],[Player]]&amp;Table1[[#This Row],[Week]]&amp;Table1[[#This Row],[Role]],'Google Form Transform'!$A:$A,'Google Form Transform'!E:E,"")</f>
        <v/>
      </c>
      <c r="E990" t="str">
        <f>_xlfn.XLOOKUP(Table1[[#This Row],[Player]]&amp;Table1[[#This Row],[Week]]&amp;Table1[[#This Row],[Role]],'Google Form Transform'!$A:$A,'Google Form Transform'!F:F,"")</f>
        <v/>
      </c>
      <c r="F990" t="str">
        <f>_xlfn.XLOOKUP(Table1[[#This Row],[Player]]&amp;Table1[[#This Row],[Week]]&amp;Table1[[#This Row],[Role]],'Google Form Transform'!$A:$A,'Google Form Transform'!G:G,"")</f>
        <v/>
      </c>
      <c r="G990" s="59">
        <f>SUMIFS(Table2[Stat],Table2[Stat Category],"passing",Table2[Stat Type],"YDS",Table2[Athlete],Table1[[#This Row],[Pick]],Table2[Week],Table1[[#This Row],[Week]])</f>
        <v>0</v>
      </c>
      <c r="H990" s="59">
        <f>SUMIFS(Table2[Stat],Table2[Stat Category],"rushing",Table2[Stat Type],"YDS",Table2[Athlete],Table1[[#This Row],[Pick]],Table2[Week],Table1[[#This Row],[Week]])</f>
        <v>0</v>
      </c>
      <c r="I990" s="59">
        <f>SUMIFS(Table2[Stat],Table2[Stat Category],"receiving",Table2[Stat Type],"YDS",Table2[Athlete],Table1[[#This Row],[Pick]],Table2[Week],Table1[[#This Row],[Week]])</f>
        <v>0</v>
      </c>
      <c r="J990" s="6">
        <f>IF(AND($C990="Rushing", $H990&lt;=0), 0, IF(AND($C990="Passing", $G$3&lt;=0), 0,IF(AND($C990="Receiving",$I990&lt;=0), 0,SUMIFS(Table2[Stat],Table2[Week],Table1[[#This Row],[Week]],Table2[Athlete],Table1[[#This Row],[Pick]],Table2[Stat Category],"passing",Table2[Stat Type],"TD"))))</f>
        <v>0</v>
      </c>
      <c r="K990" s="6">
        <f>IF(AND($C990="Rushing", $H990&lt;=0), 0, IF(AND($C990="Passing", $G$3&lt;=0), 0,IF(AND($C990="Receiving",$I990&lt;=0),0,SUMIFS(Table2[Stat],Table2[Week],Table1[[#This Row],[Week]],Table2[Athlete],Table1[[#This Row],[Pick]],Table2[Stat Category],"rushing",Table2[Stat Type],"TD"))))</f>
        <v>0</v>
      </c>
      <c r="L990" s="6">
        <f>IF(AND($C990="Rushing", $H990&lt;=0), 0, IF(AND($C990="Passing", $G$3&lt;=0), 0,IF(AND($C990="Receiving",$I990&lt;=0),0,SUMIFS(Table2[Stat],Table2[Week],Table1[[#This Row],[Week]],Table2[Athlete],Table1[[#This Row],[Pick]],Table2[Stat Category],"receiving",Table2[Stat Type],"TD"))))</f>
        <v>0</v>
      </c>
      <c r="M9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0" s="61">
        <f>SUMIFS(Data!$J:$J,Data!$A:$A,Info!$B990,Data!$G:$G,Info!$C990,Data!$I:$I,Info!$D990,Data!$H:$H,"TOT")</f>
        <v>0</v>
      </c>
      <c r="O990" s="61">
        <f>IF(C990="Defensive",SUMIFS(Data!$J:$J,Data!$A:$A,Info!$B990,Data!$I:$I,Info!$D990,Data!$H:$H,"INT"),0)</f>
        <v>0</v>
      </c>
      <c r="P990" s="61">
        <f>IF(Table1[[#This Row],[Role]]="Defensive",SUMIFS(Data!$J:$J,Data!$A:$A,Info!$B990,Data!$I:$I,Info!$D990,Data!$H:$H,$P$1),0)</f>
        <v>0</v>
      </c>
      <c r="Q990" s="65" t="str">
        <f>IF(Table1[[#This Row],[Pick]]="","",IF(S990&gt;1,400,IF(G990="","",IF(C990="Passing",(400-Table1[[#This Row],[Passing Yards]]-(30*Table1[[#This Row],[Passing TDs]])-(50*SUM(Table1[[#This Row],[Rushing TDs]:[Other TD''s]]))),IF(C990="Rushing",2*(200-Table1[[#This Row],[Rushing Yards]]-(30*Table1[[#This Row],[Passing TDs]])-50*(Table1[[#This Row],[Rushing TDs]]+Table1[[#This Row],[Receiving TDs]]+Table1[[#This Row],[Other TD''s]])),IF(C990="Receiving",2*(200-Table1[[#This Row],[Receiving Yards]]-(30*Table1[[#This Row],[Passing TDs]])-50*(Table1[[#This Row],[Rushing TDs]]+Table1[[#This Row],[Receiving TDs]]+Table1[[#This Row],[Other TD''s]])),IF(C990="Defensive",(25*(16-Table1[[#This Row],[Tackles]]-(8*(Table1[[#This Row],[Other TD''s]]+Table1[[#This Row],[Interceptions]]+Table1[[#This Row],[Fumbles Recovered]])))))))))))</f>
        <v/>
      </c>
      <c r="R990" s="3" t="str">
        <f t="shared" si="32"/>
        <v/>
      </c>
      <c r="S990" s="4">
        <f t="shared" si="31"/>
        <v>1048507</v>
      </c>
      <c r="T9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1" spans="1:20" hidden="1" x14ac:dyDescent="0.25">
      <c r="A991" t="s">
        <v>59</v>
      </c>
      <c r="B991" s="28" t="s">
        <v>93</v>
      </c>
      <c r="C991" t="s">
        <v>16</v>
      </c>
      <c r="D991" t="str">
        <f>_xlfn.XLOOKUP(Table1[[#This Row],[Player]]&amp;Table1[[#This Row],[Week]]&amp;Table1[[#This Row],[Role]],'Google Form Transform'!$A:$A,'Google Form Transform'!E:E,"")</f>
        <v/>
      </c>
      <c r="E991" t="str">
        <f>_xlfn.XLOOKUP(Table1[[#This Row],[Player]]&amp;Table1[[#This Row],[Week]]&amp;Table1[[#This Row],[Role]],'Google Form Transform'!$A:$A,'Google Form Transform'!F:F,"")</f>
        <v/>
      </c>
      <c r="F991" t="str">
        <f>_xlfn.XLOOKUP(Table1[[#This Row],[Player]]&amp;Table1[[#This Row],[Week]]&amp;Table1[[#This Row],[Role]],'Google Form Transform'!$A:$A,'Google Form Transform'!G:G,"")</f>
        <v/>
      </c>
      <c r="G991" s="59">
        <f>SUMIFS(Table2[Stat],Table2[Stat Category],"passing",Table2[Stat Type],"YDS",Table2[Athlete],Table1[[#This Row],[Pick]],Table2[Week],Table1[[#This Row],[Week]])</f>
        <v>0</v>
      </c>
      <c r="H991" s="59">
        <f>SUMIFS(Table2[Stat],Table2[Stat Category],"rushing",Table2[Stat Type],"YDS",Table2[Athlete],Table1[[#This Row],[Pick]],Table2[Week],Table1[[#This Row],[Week]])</f>
        <v>0</v>
      </c>
      <c r="I991" s="59">
        <f>SUMIFS(Table2[Stat],Table2[Stat Category],"receiving",Table2[Stat Type],"YDS",Table2[Athlete],Table1[[#This Row],[Pick]],Table2[Week],Table1[[#This Row],[Week]])</f>
        <v>0</v>
      </c>
      <c r="J991" s="6">
        <f>IF(AND($C991="Rushing", $H991&lt;=0), 0, IF(AND($C991="Passing", $G$3&lt;=0), 0,IF(AND($C991="Receiving",$I991&lt;=0), 0,SUMIFS(Table2[Stat],Table2[Week],Table1[[#This Row],[Week]],Table2[Athlete],Table1[[#This Row],[Pick]],Table2[Stat Category],"passing",Table2[Stat Type],"TD"))))</f>
        <v>0</v>
      </c>
      <c r="K991" s="6">
        <f>IF(AND($C991="Rushing", $H991&lt;=0), 0, IF(AND($C991="Passing", $G$3&lt;=0), 0,IF(AND($C991="Receiving",$I991&lt;=0),0,SUMIFS(Table2[Stat],Table2[Week],Table1[[#This Row],[Week]],Table2[Athlete],Table1[[#This Row],[Pick]],Table2[Stat Category],"rushing",Table2[Stat Type],"TD"))))</f>
        <v>0</v>
      </c>
      <c r="L991" s="6">
        <f>IF(AND($C991="Rushing", $H991&lt;=0), 0, IF(AND($C991="Passing", $G$3&lt;=0), 0,IF(AND($C991="Receiving",$I991&lt;=0),0,SUMIFS(Table2[Stat],Table2[Week],Table1[[#This Row],[Week]],Table2[Athlete],Table1[[#This Row],[Pick]],Table2[Stat Category],"receiving",Table2[Stat Type],"TD"))))</f>
        <v>0</v>
      </c>
      <c r="M9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1" s="61">
        <f>SUMIFS(Data!$J:$J,Data!$A:$A,Info!$B991,Data!$G:$G,Info!$C991,Data!$I:$I,Info!$D991,Data!$H:$H,"TOT")</f>
        <v>0</v>
      </c>
      <c r="O991" s="61">
        <f>IF(C991="Defensive",SUMIFS(Data!$J:$J,Data!$A:$A,Info!$B991,Data!$I:$I,Info!$D991,Data!$H:$H,"INT"),0)</f>
        <v>0</v>
      </c>
      <c r="P991" s="61">
        <f>IF(Table1[[#This Row],[Role]]="Defensive",SUMIFS(Data!$J:$J,Data!$A:$A,Info!$B991,Data!$I:$I,Info!$D991,Data!$H:$H,$P$1),0)</f>
        <v>0</v>
      </c>
      <c r="Q991" s="65" t="str">
        <f>IF(Table1[[#This Row],[Pick]]="","",IF(S991&gt;1,400,IF(G991="","",IF(C991="Passing",(400-Table1[[#This Row],[Passing Yards]]-(30*Table1[[#This Row],[Passing TDs]])-(50*SUM(Table1[[#This Row],[Rushing TDs]:[Other TD''s]]))),IF(C991="Rushing",2*(200-Table1[[#This Row],[Rushing Yards]]-(30*Table1[[#This Row],[Passing TDs]])-50*(Table1[[#This Row],[Rushing TDs]]+Table1[[#This Row],[Receiving TDs]]+Table1[[#This Row],[Other TD''s]])),IF(C991="Receiving",2*(200-Table1[[#This Row],[Receiving Yards]]-(30*Table1[[#This Row],[Passing TDs]])-50*(Table1[[#This Row],[Rushing TDs]]+Table1[[#This Row],[Receiving TDs]]+Table1[[#This Row],[Other TD''s]])),IF(C991="Defensive",(25*(16-Table1[[#This Row],[Tackles]]-(8*(Table1[[#This Row],[Other TD''s]]+Table1[[#This Row],[Interceptions]]+Table1[[#This Row],[Fumbles Recovered]])))))))))))</f>
        <v/>
      </c>
      <c r="R991" s="3" t="str">
        <f t="shared" si="32"/>
        <v/>
      </c>
      <c r="S991" s="4">
        <f t="shared" si="31"/>
        <v>1048507</v>
      </c>
      <c r="T9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2" spans="1:20" hidden="1" x14ac:dyDescent="0.25">
      <c r="A992" t="s">
        <v>59</v>
      </c>
      <c r="B992" s="28" t="s">
        <v>93</v>
      </c>
      <c r="C992" t="s">
        <v>6</v>
      </c>
      <c r="D992" t="str">
        <f>_xlfn.XLOOKUP(Table1[[#This Row],[Player]]&amp;Table1[[#This Row],[Week]]&amp;Table1[[#This Row],[Role]],'Google Form Transform'!$A:$A,'Google Form Transform'!E:E,"")</f>
        <v/>
      </c>
      <c r="E992" t="str">
        <f>_xlfn.XLOOKUP(Table1[[#This Row],[Player]]&amp;Table1[[#This Row],[Week]]&amp;Table1[[#This Row],[Role]],'Google Form Transform'!$A:$A,'Google Form Transform'!F:F,"")</f>
        <v/>
      </c>
      <c r="F992" t="str">
        <f>_xlfn.XLOOKUP(Table1[[#This Row],[Player]]&amp;Table1[[#This Row],[Week]]&amp;Table1[[#This Row],[Role]],'Google Form Transform'!$A:$A,'Google Form Transform'!G:G,"")</f>
        <v/>
      </c>
      <c r="G992" s="59">
        <f>SUMIFS(Table2[Stat],Table2[Stat Category],"passing",Table2[Stat Type],"YDS",Table2[Athlete],Table1[[#This Row],[Pick]],Table2[Week],Table1[[#This Row],[Week]])</f>
        <v>0</v>
      </c>
      <c r="H992" s="59">
        <f>SUMIFS(Table2[Stat],Table2[Stat Category],"rushing",Table2[Stat Type],"YDS",Table2[Athlete],Table1[[#This Row],[Pick]],Table2[Week],Table1[[#This Row],[Week]])</f>
        <v>0</v>
      </c>
      <c r="I992" s="59">
        <f>SUMIFS(Table2[Stat],Table2[Stat Category],"receiving",Table2[Stat Type],"YDS",Table2[Athlete],Table1[[#This Row],[Pick]],Table2[Week],Table1[[#This Row],[Week]])</f>
        <v>0</v>
      </c>
      <c r="J992" s="6">
        <f>IF(AND($C992="Rushing", $H992&lt;=0), 0, IF(AND($C992="Passing", $G$3&lt;=0), 0,IF(AND($C992="Receiving",$I992&lt;=0), 0,SUMIFS(Table2[Stat],Table2[Week],Table1[[#This Row],[Week]],Table2[Athlete],Table1[[#This Row],[Pick]],Table2[Stat Category],"passing",Table2[Stat Type],"TD"))))</f>
        <v>0</v>
      </c>
      <c r="K992" s="6">
        <f>IF(AND($C992="Rushing", $H992&lt;=0), 0, IF(AND($C992="Passing", $G$3&lt;=0), 0,IF(AND($C992="Receiving",$I992&lt;=0),0,SUMIFS(Table2[Stat],Table2[Week],Table1[[#This Row],[Week]],Table2[Athlete],Table1[[#This Row],[Pick]],Table2[Stat Category],"rushing",Table2[Stat Type],"TD"))))</f>
        <v>0</v>
      </c>
      <c r="L992" s="6">
        <f>IF(AND($C992="Rushing", $H992&lt;=0), 0, IF(AND($C992="Passing", $G$3&lt;=0), 0,IF(AND($C992="Receiving",$I992&lt;=0),0,SUMIFS(Table2[Stat],Table2[Week],Table1[[#This Row],[Week]],Table2[Athlete],Table1[[#This Row],[Pick]],Table2[Stat Category],"receiving",Table2[Stat Type],"TD"))))</f>
        <v>0</v>
      </c>
      <c r="M9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2" s="61">
        <f>SUMIFS(Data!$J:$J,Data!$A:$A,Info!$B992,Data!$G:$G,Info!$C992,Data!$I:$I,Info!$D992,Data!$H:$H,"TOT")</f>
        <v>0</v>
      </c>
      <c r="O992" s="61">
        <f>IF(C992="Defensive",SUMIFS(Data!$J:$J,Data!$A:$A,Info!$B992,Data!$I:$I,Info!$D992,Data!$H:$H,"INT"),0)</f>
        <v>0</v>
      </c>
      <c r="P992" s="61">
        <f>IF(Table1[[#This Row],[Role]]="Defensive",SUMIFS(Data!$J:$J,Data!$A:$A,Info!$B992,Data!$I:$I,Info!$D992,Data!$H:$H,$P$1),0)</f>
        <v>0</v>
      </c>
      <c r="Q992" s="65" t="str">
        <f>IF(Table1[[#This Row],[Pick]]="","",IF(S992&gt;1,400,IF(G992="","",IF(C992="Passing",(400-Table1[[#This Row],[Passing Yards]]-(30*Table1[[#This Row],[Passing TDs]])-(50*SUM(Table1[[#This Row],[Rushing TDs]:[Other TD''s]]))),IF(C992="Rushing",2*(200-Table1[[#This Row],[Rushing Yards]]-(30*Table1[[#This Row],[Passing TDs]])-50*(Table1[[#This Row],[Rushing TDs]]+Table1[[#This Row],[Receiving TDs]]+Table1[[#This Row],[Other TD''s]])),IF(C992="Receiving",2*(200-Table1[[#This Row],[Receiving Yards]]-(30*Table1[[#This Row],[Passing TDs]])-50*(Table1[[#This Row],[Rushing TDs]]+Table1[[#This Row],[Receiving TDs]]+Table1[[#This Row],[Other TD''s]])),IF(C992="Defensive",(25*(16-Table1[[#This Row],[Tackles]]-(8*(Table1[[#This Row],[Other TD''s]]+Table1[[#This Row],[Interceptions]]+Table1[[#This Row],[Fumbles Recovered]])))))))))))</f>
        <v/>
      </c>
      <c r="R992" s="3" t="str">
        <f t="shared" si="32"/>
        <v/>
      </c>
      <c r="S992" s="4">
        <f t="shared" si="31"/>
        <v>1048507</v>
      </c>
      <c r="T9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3" spans="1:20" hidden="1" x14ac:dyDescent="0.25">
      <c r="A993" t="s">
        <v>59</v>
      </c>
      <c r="B993" s="28" t="s">
        <v>93</v>
      </c>
      <c r="C993" t="s">
        <v>17</v>
      </c>
      <c r="D993" t="str">
        <f>_xlfn.XLOOKUP(Table1[[#This Row],[Player]]&amp;Table1[[#This Row],[Week]]&amp;Table1[[#This Row],[Role]],'Google Form Transform'!$A:$A,'Google Form Transform'!E:E,"")</f>
        <v/>
      </c>
      <c r="E993" t="str">
        <f>_xlfn.XLOOKUP(Table1[[#This Row],[Player]]&amp;Table1[[#This Row],[Week]]&amp;Table1[[#This Row],[Role]],'Google Form Transform'!$A:$A,'Google Form Transform'!F:F,"")</f>
        <v/>
      </c>
      <c r="F993" t="str">
        <f>_xlfn.XLOOKUP(Table1[[#This Row],[Player]]&amp;Table1[[#This Row],[Week]]&amp;Table1[[#This Row],[Role]],'Google Form Transform'!$A:$A,'Google Form Transform'!G:G,"")</f>
        <v/>
      </c>
      <c r="G993" s="59">
        <f>SUMIFS(Table2[Stat],Table2[Stat Category],"passing",Table2[Stat Type],"YDS",Table2[Athlete],Table1[[#This Row],[Pick]],Table2[Week],Table1[[#This Row],[Week]])</f>
        <v>0</v>
      </c>
      <c r="H993" s="59">
        <f>SUMIFS(Table2[Stat],Table2[Stat Category],"rushing",Table2[Stat Type],"YDS",Table2[Athlete],Table1[[#This Row],[Pick]],Table2[Week],Table1[[#This Row],[Week]])</f>
        <v>0</v>
      </c>
      <c r="I993" s="59">
        <f>SUMIFS(Table2[Stat],Table2[Stat Category],"receiving",Table2[Stat Type],"YDS",Table2[Athlete],Table1[[#This Row],[Pick]],Table2[Week],Table1[[#This Row],[Week]])</f>
        <v>0</v>
      </c>
      <c r="J993" s="6">
        <f>IF(AND($C993="Rushing", $H993&lt;=0), 0, IF(AND($C993="Passing", $G$3&lt;=0), 0,IF(AND($C993="Receiving",$I993&lt;=0), 0,SUMIFS(Table2[Stat],Table2[Week],Table1[[#This Row],[Week]],Table2[Athlete],Table1[[#This Row],[Pick]],Table2[Stat Category],"passing",Table2[Stat Type],"TD"))))</f>
        <v>0</v>
      </c>
      <c r="K993" s="6">
        <f>IF(AND($C993="Rushing", $H993&lt;=0), 0, IF(AND($C993="Passing", $G$3&lt;=0), 0,IF(AND($C993="Receiving",$I993&lt;=0),0,SUMIFS(Table2[Stat],Table2[Week],Table1[[#This Row],[Week]],Table2[Athlete],Table1[[#This Row],[Pick]],Table2[Stat Category],"rushing",Table2[Stat Type],"TD"))))</f>
        <v>0</v>
      </c>
      <c r="L993" s="6">
        <f>IF(AND($C993="Rushing", $H993&lt;=0), 0, IF(AND($C993="Passing", $G$3&lt;=0), 0,IF(AND($C993="Receiving",$I993&lt;=0),0,SUMIFS(Table2[Stat],Table2[Week],Table1[[#This Row],[Week]],Table2[Athlete],Table1[[#This Row],[Pick]],Table2[Stat Category],"receiving",Table2[Stat Type],"TD"))))</f>
        <v>0</v>
      </c>
      <c r="M9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3" s="61">
        <f>SUMIFS(Data!$J:$J,Data!$A:$A,Info!$B993,Data!$G:$G,Info!$C993,Data!$I:$I,Info!$D993,Data!$H:$H,"TOT")</f>
        <v>0</v>
      </c>
      <c r="O993" s="61">
        <f>IF(C993="Defensive",SUMIFS(Data!$J:$J,Data!$A:$A,Info!$B993,Data!$I:$I,Info!$D993,Data!$H:$H,"INT"),0)</f>
        <v>0</v>
      </c>
      <c r="P993" s="61">
        <f>IF(Table1[[#This Row],[Role]]="Defensive",SUMIFS(Data!$J:$J,Data!$A:$A,Info!$B993,Data!$I:$I,Info!$D993,Data!$H:$H,$P$1),0)</f>
        <v>0</v>
      </c>
      <c r="Q993" s="65" t="str">
        <f>IF(Table1[[#This Row],[Pick]]="","",IF(S993&gt;1,400,IF(G993="","",IF(C993="Passing",(400-Table1[[#This Row],[Passing Yards]]-(30*Table1[[#This Row],[Passing TDs]])-(50*SUM(Table1[[#This Row],[Rushing TDs]:[Other TD''s]]))),IF(C993="Rushing",2*(200-Table1[[#This Row],[Rushing Yards]]-(30*Table1[[#This Row],[Passing TDs]])-50*(Table1[[#This Row],[Rushing TDs]]+Table1[[#This Row],[Receiving TDs]]+Table1[[#This Row],[Other TD''s]])),IF(C993="Receiving",2*(200-Table1[[#This Row],[Receiving Yards]]-(30*Table1[[#This Row],[Passing TDs]])-50*(Table1[[#This Row],[Rushing TDs]]+Table1[[#This Row],[Receiving TDs]]+Table1[[#This Row],[Other TD''s]])),IF(C993="Defensive",(25*(16-Table1[[#This Row],[Tackles]]-(8*(Table1[[#This Row],[Other TD''s]]+Table1[[#This Row],[Interceptions]]+Table1[[#This Row],[Fumbles Recovered]])))))))))))</f>
        <v/>
      </c>
      <c r="R993" s="3" t="str">
        <f t="shared" si="32"/>
        <v/>
      </c>
      <c r="S993" s="4">
        <f t="shared" si="31"/>
        <v>1048507</v>
      </c>
      <c r="T9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4" spans="1:20" hidden="1" x14ac:dyDescent="0.25">
      <c r="A994" t="s">
        <v>59</v>
      </c>
      <c r="B994" s="28" t="s">
        <v>93</v>
      </c>
      <c r="C994" t="s">
        <v>20</v>
      </c>
      <c r="D994" t="str">
        <f>_xlfn.XLOOKUP(Table1[[#This Row],[Player]]&amp;Table1[[#This Row],[Week]]&amp;Table1[[#This Row],[Role]],'Google Form Transform'!$A:$A,'Google Form Transform'!E:E,"")</f>
        <v/>
      </c>
      <c r="E994" t="str">
        <f>_xlfn.XLOOKUP(Table1[[#This Row],[Player]]&amp;Table1[[#This Row],[Week]]&amp;Table1[[#This Row],[Role]],'Google Form Transform'!$A:$A,'Google Form Transform'!F:F,"")</f>
        <v/>
      </c>
      <c r="F994" t="str">
        <f>_xlfn.XLOOKUP(Table1[[#This Row],[Player]]&amp;Table1[[#This Row],[Week]]&amp;Table1[[#This Row],[Role]],'Google Form Transform'!$A:$A,'Google Form Transform'!G:G,"")</f>
        <v/>
      </c>
      <c r="G994" s="59">
        <f>SUMIFS(Table2[Stat],Table2[Stat Category],"passing",Table2[Stat Type],"YDS",Table2[Athlete],Table1[[#This Row],[Pick]],Table2[Week],Table1[[#This Row],[Week]])</f>
        <v>0</v>
      </c>
      <c r="H994" s="59">
        <f>SUMIFS(Table2[Stat],Table2[Stat Category],"rushing",Table2[Stat Type],"YDS",Table2[Athlete],Table1[[#This Row],[Pick]],Table2[Week],Table1[[#This Row],[Week]])</f>
        <v>0</v>
      </c>
      <c r="I994" s="59">
        <f>SUMIFS(Table2[Stat],Table2[Stat Category],"receiving",Table2[Stat Type],"YDS",Table2[Athlete],Table1[[#This Row],[Pick]],Table2[Week],Table1[[#This Row],[Week]])</f>
        <v>0</v>
      </c>
      <c r="J994" s="6">
        <f>IF(AND($C994="Rushing", $H994&lt;=0), 0, IF(AND($C994="Passing", $G$3&lt;=0), 0,IF(AND($C994="Receiving",$I994&lt;=0), 0,SUMIFS(Table2[Stat],Table2[Week],Table1[[#This Row],[Week]],Table2[Athlete],Table1[[#This Row],[Pick]],Table2[Stat Category],"passing",Table2[Stat Type],"TD"))))</f>
        <v>0</v>
      </c>
      <c r="K994" s="6">
        <f>IF(AND($C994="Rushing", $H994&lt;=0), 0, IF(AND($C994="Passing", $G$3&lt;=0), 0,IF(AND($C994="Receiving",$I994&lt;=0),0,SUMIFS(Table2[Stat],Table2[Week],Table1[[#This Row],[Week]],Table2[Athlete],Table1[[#This Row],[Pick]],Table2[Stat Category],"rushing",Table2[Stat Type],"TD"))))</f>
        <v>0</v>
      </c>
      <c r="L994" s="6">
        <f>IF(AND($C994="Rushing", $H994&lt;=0), 0, IF(AND($C994="Passing", $G$3&lt;=0), 0,IF(AND($C994="Receiving",$I994&lt;=0),0,SUMIFS(Table2[Stat],Table2[Week],Table1[[#This Row],[Week]],Table2[Athlete],Table1[[#This Row],[Pick]],Table2[Stat Category],"receiving",Table2[Stat Type],"TD"))))</f>
        <v>0</v>
      </c>
      <c r="M9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4" s="61">
        <f>SUMIFS(Data!$J:$J,Data!$A:$A,Info!$B994,Data!$G:$G,Info!$C994,Data!$I:$I,Info!$D994,Data!$H:$H,"TOT")</f>
        <v>0</v>
      </c>
      <c r="O994" s="61">
        <f>IF(C994="Defensive",SUMIFS(Data!$J:$J,Data!$A:$A,Info!$B994,Data!$I:$I,Info!$D994,Data!$H:$H,"INT"),0)</f>
        <v>0</v>
      </c>
      <c r="P994" s="61">
        <f>IF(Table1[[#This Row],[Role]]="Defensive",SUMIFS(Data!$J:$J,Data!$A:$A,Info!$B994,Data!$I:$I,Info!$D994,Data!$H:$H,$P$1),0)</f>
        <v>0</v>
      </c>
      <c r="Q994" s="65" t="str">
        <f>IF(Table1[[#This Row],[Pick]]="","",IF(S994&gt;1,400,IF(G994="","",IF(C994="Passing",(400-Table1[[#This Row],[Passing Yards]]-(30*Table1[[#This Row],[Passing TDs]])-(50*SUM(Table1[[#This Row],[Rushing TDs]:[Other TD''s]]))),IF(C994="Rushing",2*(200-Table1[[#This Row],[Rushing Yards]]-(30*Table1[[#This Row],[Passing TDs]])-50*(Table1[[#This Row],[Rushing TDs]]+Table1[[#This Row],[Receiving TDs]]+Table1[[#This Row],[Other TD''s]])),IF(C994="Receiving",2*(200-Table1[[#This Row],[Receiving Yards]]-(30*Table1[[#This Row],[Passing TDs]])-50*(Table1[[#This Row],[Rushing TDs]]+Table1[[#This Row],[Receiving TDs]]+Table1[[#This Row],[Other TD''s]])),IF(C994="Defensive",(25*(16-Table1[[#This Row],[Tackles]]-(8*(Table1[[#This Row],[Other TD''s]]+Table1[[#This Row],[Interceptions]]+Table1[[#This Row],[Fumbles Recovered]])))))))))))</f>
        <v/>
      </c>
      <c r="R994" s="3" t="str">
        <f t="shared" si="32"/>
        <v/>
      </c>
      <c r="S994" s="4">
        <f t="shared" si="31"/>
        <v>1048507</v>
      </c>
      <c r="T9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5" spans="1:20" hidden="1" x14ac:dyDescent="0.25">
      <c r="A995" t="s">
        <v>68</v>
      </c>
      <c r="B995" s="28" t="s">
        <v>93</v>
      </c>
      <c r="C995" t="s">
        <v>16</v>
      </c>
      <c r="D995" t="str">
        <f>_xlfn.XLOOKUP(Table1[[#This Row],[Player]]&amp;Table1[[#This Row],[Week]]&amp;Table1[[#This Row],[Role]],'Google Form Transform'!$A:$A,'Google Form Transform'!E:E,"")</f>
        <v/>
      </c>
      <c r="E995" t="str">
        <f>_xlfn.XLOOKUP(Table1[[#This Row],[Player]]&amp;Table1[[#This Row],[Week]]&amp;Table1[[#This Row],[Role]],'Google Form Transform'!$A:$A,'Google Form Transform'!F:F,"")</f>
        <v/>
      </c>
      <c r="F995" t="str">
        <f>_xlfn.XLOOKUP(Table1[[#This Row],[Player]]&amp;Table1[[#This Row],[Week]]&amp;Table1[[#This Row],[Role]],'Google Form Transform'!$A:$A,'Google Form Transform'!G:G,"")</f>
        <v/>
      </c>
      <c r="G995" s="59">
        <f>SUMIFS(Table2[Stat],Table2[Stat Category],"passing",Table2[Stat Type],"YDS",Table2[Athlete],Table1[[#This Row],[Pick]],Table2[Week],Table1[[#This Row],[Week]])</f>
        <v>0</v>
      </c>
      <c r="H995" s="59">
        <f>SUMIFS(Table2[Stat],Table2[Stat Category],"rushing",Table2[Stat Type],"YDS",Table2[Athlete],Table1[[#This Row],[Pick]],Table2[Week],Table1[[#This Row],[Week]])</f>
        <v>0</v>
      </c>
      <c r="I995" s="59">
        <f>SUMIFS(Table2[Stat],Table2[Stat Category],"receiving",Table2[Stat Type],"YDS",Table2[Athlete],Table1[[#This Row],[Pick]],Table2[Week],Table1[[#This Row],[Week]])</f>
        <v>0</v>
      </c>
      <c r="J995" s="6">
        <f>IF(AND($C995="Rushing", $H995&lt;=0), 0, IF(AND($C995="Passing", $G$3&lt;=0), 0,IF(AND($C995="Receiving",$I995&lt;=0), 0,SUMIFS(Table2[Stat],Table2[Week],Table1[[#This Row],[Week]],Table2[Athlete],Table1[[#This Row],[Pick]],Table2[Stat Category],"passing",Table2[Stat Type],"TD"))))</f>
        <v>0</v>
      </c>
      <c r="K995" s="6">
        <f>IF(AND($C995="Rushing", $H995&lt;=0), 0, IF(AND($C995="Passing", $G$3&lt;=0), 0,IF(AND($C995="Receiving",$I995&lt;=0),0,SUMIFS(Table2[Stat],Table2[Week],Table1[[#This Row],[Week]],Table2[Athlete],Table1[[#This Row],[Pick]],Table2[Stat Category],"rushing",Table2[Stat Type],"TD"))))</f>
        <v>0</v>
      </c>
      <c r="L995" s="6">
        <f>IF(AND($C995="Rushing", $H995&lt;=0), 0, IF(AND($C995="Passing", $G$3&lt;=0), 0,IF(AND($C995="Receiving",$I995&lt;=0),0,SUMIFS(Table2[Stat],Table2[Week],Table1[[#This Row],[Week]],Table2[Athlete],Table1[[#This Row],[Pick]],Table2[Stat Category],"receiving",Table2[Stat Type],"TD"))))</f>
        <v>0</v>
      </c>
      <c r="M9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5" s="61">
        <f>SUMIFS(Data!$J:$J,Data!$A:$A,Info!$B995,Data!$G:$G,Info!$C995,Data!$I:$I,Info!$D995,Data!$H:$H,"TOT")</f>
        <v>0</v>
      </c>
      <c r="O995" s="61">
        <f>IF(C995="Defensive",SUMIFS(Data!$J:$J,Data!$A:$A,Info!$B995,Data!$I:$I,Info!$D995,Data!$H:$H,"INT"),0)</f>
        <v>0</v>
      </c>
      <c r="P995" s="61">
        <f>IF(Table1[[#This Row],[Role]]="Defensive",SUMIFS(Data!$J:$J,Data!$A:$A,Info!$B995,Data!$I:$I,Info!$D995,Data!$H:$H,$P$1),0)</f>
        <v>0</v>
      </c>
      <c r="Q995" s="65" t="str">
        <f>IF(Table1[[#This Row],[Pick]]="","",IF(S995&gt;1,400,IF(G995="","",IF(C995="Passing",(400-Table1[[#This Row],[Passing Yards]]-(30*Table1[[#This Row],[Passing TDs]])-(50*SUM(Table1[[#This Row],[Rushing TDs]:[Other TD''s]]))),IF(C995="Rushing",2*(200-Table1[[#This Row],[Rushing Yards]]-(30*Table1[[#This Row],[Passing TDs]])-50*(Table1[[#This Row],[Rushing TDs]]+Table1[[#This Row],[Receiving TDs]]+Table1[[#This Row],[Other TD''s]])),IF(C995="Receiving",2*(200-Table1[[#This Row],[Receiving Yards]]-(30*Table1[[#This Row],[Passing TDs]])-50*(Table1[[#This Row],[Rushing TDs]]+Table1[[#This Row],[Receiving TDs]]+Table1[[#This Row],[Other TD''s]])),IF(C995="Defensive",(25*(16-Table1[[#This Row],[Tackles]]-(8*(Table1[[#This Row],[Other TD''s]]+Table1[[#This Row],[Interceptions]]+Table1[[#This Row],[Fumbles Recovered]])))))))))))</f>
        <v/>
      </c>
      <c r="R995" s="3" t="str">
        <f t="shared" si="32"/>
        <v/>
      </c>
      <c r="S995" s="4">
        <f t="shared" si="31"/>
        <v>1048507</v>
      </c>
      <c r="T9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6" spans="1:20" hidden="1" x14ac:dyDescent="0.25">
      <c r="A996" t="s">
        <v>68</v>
      </c>
      <c r="B996" s="28" t="s">
        <v>93</v>
      </c>
      <c r="C996" t="s">
        <v>6</v>
      </c>
      <c r="D996" t="str">
        <f>_xlfn.XLOOKUP(Table1[[#This Row],[Player]]&amp;Table1[[#This Row],[Week]]&amp;Table1[[#This Row],[Role]],'Google Form Transform'!$A:$A,'Google Form Transform'!E:E,"")</f>
        <v/>
      </c>
      <c r="E996" t="str">
        <f>_xlfn.XLOOKUP(Table1[[#This Row],[Player]]&amp;Table1[[#This Row],[Week]]&amp;Table1[[#This Row],[Role]],'Google Form Transform'!$A:$A,'Google Form Transform'!F:F,"")</f>
        <v/>
      </c>
      <c r="F996" t="str">
        <f>_xlfn.XLOOKUP(Table1[[#This Row],[Player]]&amp;Table1[[#This Row],[Week]]&amp;Table1[[#This Row],[Role]],'Google Form Transform'!$A:$A,'Google Form Transform'!G:G,"")</f>
        <v/>
      </c>
      <c r="G996" s="59">
        <f>SUMIFS(Table2[Stat],Table2[Stat Category],"passing",Table2[Stat Type],"YDS",Table2[Athlete],Table1[[#This Row],[Pick]],Table2[Week],Table1[[#This Row],[Week]])</f>
        <v>0</v>
      </c>
      <c r="H996" s="59">
        <f>SUMIFS(Table2[Stat],Table2[Stat Category],"rushing",Table2[Stat Type],"YDS",Table2[Athlete],Table1[[#This Row],[Pick]],Table2[Week],Table1[[#This Row],[Week]])</f>
        <v>0</v>
      </c>
      <c r="I996" s="59">
        <f>SUMIFS(Table2[Stat],Table2[Stat Category],"receiving",Table2[Stat Type],"YDS",Table2[Athlete],Table1[[#This Row],[Pick]],Table2[Week],Table1[[#This Row],[Week]])</f>
        <v>0</v>
      </c>
      <c r="J996" s="6">
        <f>IF(AND($C996="Rushing", $H996&lt;=0), 0, IF(AND($C996="Passing", $G$3&lt;=0), 0,IF(AND($C996="Receiving",$I996&lt;=0), 0,SUMIFS(Table2[Stat],Table2[Week],Table1[[#This Row],[Week]],Table2[Athlete],Table1[[#This Row],[Pick]],Table2[Stat Category],"passing",Table2[Stat Type],"TD"))))</f>
        <v>0</v>
      </c>
      <c r="K996" s="6">
        <f>IF(AND($C996="Rushing", $H996&lt;=0), 0, IF(AND($C996="Passing", $G$3&lt;=0), 0,IF(AND($C996="Receiving",$I996&lt;=0),0,SUMIFS(Table2[Stat],Table2[Week],Table1[[#This Row],[Week]],Table2[Athlete],Table1[[#This Row],[Pick]],Table2[Stat Category],"rushing",Table2[Stat Type],"TD"))))</f>
        <v>0</v>
      </c>
      <c r="L996" s="6">
        <f>IF(AND($C996="Rushing", $H996&lt;=0), 0, IF(AND($C996="Passing", $G$3&lt;=0), 0,IF(AND($C996="Receiving",$I996&lt;=0),0,SUMIFS(Table2[Stat],Table2[Week],Table1[[#This Row],[Week]],Table2[Athlete],Table1[[#This Row],[Pick]],Table2[Stat Category],"receiving",Table2[Stat Type],"TD"))))</f>
        <v>0</v>
      </c>
      <c r="M9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6" s="61">
        <f>SUMIFS(Data!$J:$J,Data!$A:$A,Info!$B996,Data!$G:$G,Info!$C996,Data!$I:$I,Info!$D996,Data!$H:$H,"TOT")</f>
        <v>0</v>
      </c>
      <c r="O996" s="61">
        <f>IF(C996="Defensive",SUMIFS(Data!$J:$J,Data!$A:$A,Info!$B996,Data!$I:$I,Info!$D996,Data!$H:$H,"INT"),0)</f>
        <v>0</v>
      </c>
      <c r="P996" s="61">
        <f>IF(Table1[[#This Row],[Role]]="Defensive",SUMIFS(Data!$J:$J,Data!$A:$A,Info!$B996,Data!$I:$I,Info!$D996,Data!$H:$H,$P$1),0)</f>
        <v>0</v>
      </c>
      <c r="Q996" s="65" t="str">
        <f>IF(Table1[[#This Row],[Pick]]="","",IF(S996&gt;1,400,IF(G996="","",IF(C996="Passing",(400-Table1[[#This Row],[Passing Yards]]-(30*Table1[[#This Row],[Passing TDs]])-(50*SUM(Table1[[#This Row],[Rushing TDs]:[Other TD''s]]))),IF(C996="Rushing",2*(200-Table1[[#This Row],[Rushing Yards]]-(30*Table1[[#This Row],[Passing TDs]])-50*(Table1[[#This Row],[Rushing TDs]]+Table1[[#This Row],[Receiving TDs]]+Table1[[#This Row],[Other TD''s]])),IF(C996="Receiving",2*(200-Table1[[#This Row],[Receiving Yards]]-(30*Table1[[#This Row],[Passing TDs]])-50*(Table1[[#This Row],[Rushing TDs]]+Table1[[#This Row],[Receiving TDs]]+Table1[[#This Row],[Other TD''s]])),IF(C996="Defensive",(25*(16-Table1[[#This Row],[Tackles]]-(8*(Table1[[#This Row],[Other TD''s]]+Table1[[#This Row],[Interceptions]]+Table1[[#This Row],[Fumbles Recovered]])))))))))))</f>
        <v/>
      </c>
      <c r="R996" s="3" t="str">
        <f t="shared" si="32"/>
        <v/>
      </c>
      <c r="S996" s="4">
        <f t="shared" si="31"/>
        <v>1048507</v>
      </c>
      <c r="T9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7" spans="1:20" hidden="1" x14ac:dyDescent="0.25">
      <c r="A997" t="s">
        <v>68</v>
      </c>
      <c r="B997" s="28" t="s">
        <v>93</v>
      </c>
      <c r="C997" t="s">
        <v>17</v>
      </c>
      <c r="D997" t="str">
        <f>_xlfn.XLOOKUP(Table1[[#This Row],[Player]]&amp;Table1[[#This Row],[Week]]&amp;Table1[[#This Row],[Role]],'Google Form Transform'!$A:$A,'Google Form Transform'!E:E,"")</f>
        <v/>
      </c>
      <c r="E997" t="str">
        <f>_xlfn.XLOOKUP(Table1[[#This Row],[Player]]&amp;Table1[[#This Row],[Week]]&amp;Table1[[#This Row],[Role]],'Google Form Transform'!$A:$A,'Google Form Transform'!F:F,"")</f>
        <v/>
      </c>
      <c r="F997" t="str">
        <f>_xlfn.XLOOKUP(Table1[[#This Row],[Player]]&amp;Table1[[#This Row],[Week]]&amp;Table1[[#This Row],[Role]],'Google Form Transform'!$A:$A,'Google Form Transform'!G:G,"")</f>
        <v/>
      </c>
      <c r="G997" s="59">
        <f>SUMIFS(Table2[Stat],Table2[Stat Category],"passing",Table2[Stat Type],"YDS",Table2[Athlete],Table1[[#This Row],[Pick]],Table2[Week],Table1[[#This Row],[Week]])</f>
        <v>0</v>
      </c>
      <c r="H997" s="59">
        <f>SUMIFS(Table2[Stat],Table2[Stat Category],"rushing",Table2[Stat Type],"YDS",Table2[Athlete],Table1[[#This Row],[Pick]],Table2[Week],Table1[[#This Row],[Week]])</f>
        <v>0</v>
      </c>
      <c r="I997" s="59">
        <f>SUMIFS(Table2[Stat],Table2[Stat Category],"receiving",Table2[Stat Type],"YDS",Table2[Athlete],Table1[[#This Row],[Pick]],Table2[Week],Table1[[#This Row],[Week]])</f>
        <v>0</v>
      </c>
      <c r="J997" s="6">
        <f>IF(AND($C997="Rushing", $H997&lt;=0), 0, IF(AND($C997="Passing", $G$3&lt;=0), 0,IF(AND($C997="Receiving",$I997&lt;=0), 0,SUMIFS(Table2[Stat],Table2[Week],Table1[[#This Row],[Week]],Table2[Athlete],Table1[[#This Row],[Pick]],Table2[Stat Category],"passing",Table2[Stat Type],"TD"))))</f>
        <v>0</v>
      </c>
      <c r="K997" s="6">
        <f>IF(AND($C997="Rushing", $H997&lt;=0), 0, IF(AND($C997="Passing", $G$3&lt;=0), 0,IF(AND($C997="Receiving",$I997&lt;=0),0,SUMIFS(Table2[Stat],Table2[Week],Table1[[#This Row],[Week]],Table2[Athlete],Table1[[#This Row],[Pick]],Table2[Stat Category],"rushing",Table2[Stat Type],"TD"))))</f>
        <v>0</v>
      </c>
      <c r="L997" s="6">
        <f>IF(AND($C997="Rushing", $H997&lt;=0), 0, IF(AND($C997="Passing", $G$3&lt;=0), 0,IF(AND($C997="Receiving",$I997&lt;=0),0,SUMIFS(Table2[Stat],Table2[Week],Table1[[#This Row],[Week]],Table2[Athlete],Table1[[#This Row],[Pick]],Table2[Stat Category],"receiving",Table2[Stat Type],"TD"))))</f>
        <v>0</v>
      </c>
      <c r="M9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7" s="61">
        <f>SUMIFS(Data!$J:$J,Data!$A:$A,Info!$B997,Data!$G:$G,Info!$C997,Data!$I:$I,Info!$D997,Data!$H:$H,"TOT")</f>
        <v>0</v>
      </c>
      <c r="O997" s="61">
        <f>IF(C997="Defensive",SUMIFS(Data!$J:$J,Data!$A:$A,Info!$B997,Data!$I:$I,Info!$D997,Data!$H:$H,"INT"),0)</f>
        <v>0</v>
      </c>
      <c r="P997" s="61">
        <f>IF(Table1[[#This Row],[Role]]="Defensive",SUMIFS(Data!$J:$J,Data!$A:$A,Info!$B997,Data!$I:$I,Info!$D997,Data!$H:$H,$P$1),0)</f>
        <v>0</v>
      </c>
      <c r="Q997" s="65" t="str">
        <f>IF(Table1[[#This Row],[Pick]]="","",IF(S997&gt;1,400,IF(G997="","",IF(C997="Passing",(400-Table1[[#This Row],[Passing Yards]]-(30*Table1[[#This Row],[Passing TDs]])-(50*SUM(Table1[[#This Row],[Rushing TDs]:[Other TD''s]]))),IF(C997="Rushing",2*(200-Table1[[#This Row],[Rushing Yards]]-(30*Table1[[#This Row],[Passing TDs]])-50*(Table1[[#This Row],[Rushing TDs]]+Table1[[#This Row],[Receiving TDs]]+Table1[[#This Row],[Other TD''s]])),IF(C997="Receiving",2*(200-Table1[[#This Row],[Receiving Yards]]-(30*Table1[[#This Row],[Passing TDs]])-50*(Table1[[#This Row],[Rushing TDs]]+Table1[[#This Row],[Receiving TDs]]+Table1[[#This Row],[Other TD''s]])),IF(C997="Defensive",(25*(16-Table1[[#This Row],[Tackles]]-(8*(Table1[[#This Row],[Other TD''s]]+Table1[[#This Row],[Interceptions]]+Table1[[#This Row],[Fumbles Recovered]])))))))))))</f>
        <v/>
      </c>
      <c r="R997" s="3" t="str">
        <f t="shared" si="32"/>
        <v/>
      </c>
      <c r="S997" s="4">
        <f t="shared" si="31"/>
        <v>1048507</v>
      </c>
      <c r="T9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8" spans="1:20" hidden="1" x14ac:dyDescent="0.25">
      <c r="A998" t="s">
        <v>68</v>
      </c>
      <c r="B998" s="28" t="s">
        <v>93</v>
      </c>
      <c r="C998" t="s">
        <v>20</v>
      </c>
      <c r="D998" t="str">
        <f>_xlfn.XLOOKUP(Table1[[#This Row],[Player]]&amp;Table1[[#This Row],[Week]]&amp;Table1[[#This Row],[Role]],'Google Form Transform'!$A:$A,'Google Form Transform'!E:E,"")</f>
        <v/>
      </c>
      <c r="E998" t="str">
        <f>_xlfn.XLOOKUP(Table1[[#This Row],[Player]]&amp;Table1[[#This Row],[Week]]&amp;Table1[[#This Row],[Role]],'Google Form Transform'!$A:$A,'Google Form Transform'!F:F,"")</f>
        <v/>
      </c>
      <c r="F998" t="str">
        <f>_xlfn.XLOOKUP(Table1[[#This Row],[Player]]&amp;Table1[[#This Row],[Week]]&amp;Table1[[#This Row],[Role]],'Google Form Transform'!$A:$A,'Google Form Transform'!G:G,"")</f>
        <v/>
      </c>
      <c r="G998" s="59">
        <f>SUMIFS(Table2[Stat],Table2[Stat Category],"passing",Table2[Stat Type],"YDS",Table2[Athlete],Table1[[#This Row],[Pick]],Table2[Week],Table1[[#This Row],[Week]])</f>
        <v>0</v>
      </c>
      <c r="H998" s="59">
        <f>SUMIFS(Table2[Stat],Table2[Stat Category],"rushing",Table2[Stat Type],"YDS",Table2[Athlete],Table1[[#This Row],[Pick]],Table2[Week],Table1[[#This Row],[Week]])</f>
        <v>0</v>
      </c>
      <c r="I998" s="59">
        <f>SUMIFS(Table2[Stat],Table2[Stat Category],"receiving",Table2[Stat Type],"YDS",Table2[Athlete],Table1[[#This Row],[Pick]],Table2[Week],Table1[[#This Row],[Week]])</f>
        <v>0</v>
      </c>
      <c r="J998" s="6">
        <f>IF(AND($C998="Rushing", $H998&lt;=0), 0, IF(AND($C998="Passing", $G$3&lt;=0), 0,IF(AND($C998="Receiving",$I998&lt;=0), 0,SUMIFS(Table2[Stat],Table2[Week],Table1[[#This Row],[Week]],Table2[Athlete],Table1[[#This Row],[Pick]],Table2[Stat Category],"passing",Table2[Stat Type],"TD"))))</f>
        <v>0</v>
      </c>
      <c r="K998" s="6">
        <f>IF(AND($C998="Rushing", $H998&lt;=0), 0, IF(AND($C998="Passing", $G$3&lt;=0), 0,IF(AND($C998="Receiving",$I998&lt;=0),0,SUMIFS(Table2[Stat],Table2[Week],Table1[[#This Row],[Week]],Table2[Athlete],Table1[[#This Row],[Pick]],Table2[Stat Category],"rushing",Table2[Stat Type],"TD"))))</f>
        <v>0</v>
      </c>
      <c r="L998" s="6">
        <f>IF(AND($C998="Rushing", $H998&lt;=0), 0, IF(AND($C998="Passing", $G$3&lt;=0), 0,IF(AND($C998="Receiving",$I998&lt;=0),0,SUMIFS(Table2[Stat],Table2[Week],Table1[[#This Row],[Week]],Table2[Athlete],Table1[[#This Row],[Pick]],Table2[Stat Category],"receiving",Table2[Stat Type],"TD"))))</f>
        <v>0</v>
      </c>
      <c r="M9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8" s="61">
        <f>SUMIFS(Data!$J:$J,Data!$A:$A,Info!$B998,Data!$G:$G,Info!$C998,Data!$I:$I,Info!$D998,Data!$H:$H,"TOT")</f>
        <v>0</v>
      </c>
      <c r="O998" s="61">
        <f>IF(C998="Defensive",SUMIFS(Data!$J:$J,Data!$A:$A,Info!$B998,Data!$I:$I,Info!$D998,Data!$H:$H,"INT"),0)</f>
        <v>0</v>
      </c>
      <c r="P998" s="61">
        <f>IF(Table1[[#This Row],[Role]]="Defensive",SUMIFS(Data!$J:$J,Data!$A:$A,Info!$B998,Data!$I:$I,Info!$D998,Data!$H:$H,$P$1),0)</f>
        <v>0</v>
      </c>
      <c r="Q998" s="65" t="str">
        <f>IF(Table1[[#This Row],[Pick]]="","",IF(S998&gt;1,400,IF(G998="","",IF(C998="Passing",(400-Table1[[#This Row],[Passing Yards]]-(30*Table1[[#This Row],[Passing TDs]])-(50*SUM(Table1[[#This Row],[Rushing TDs]:[Other TD''s]]))),IF(C998="Rushing",2*(200-Table1[[#This Row],[Rushing Yards]]-(30*Table1[[#This Row],[Passing TDs]])-50*(Table1[[#This Row],[Rushing TDs]]+Table1[[#This Row],[Receiving TDs]]+Table1[[#This Row],[Other TD''s]])),IF(C998="Receiving",2*(200-Table1[[#This Row],[Receiving Yards]]-(30*Table1[[#This Row],[Passing TDs]])-50*(Table1[[#This Row],[Rushing TDs]]+Table1[[#This Row],[Receiving TDs]]+Table1[[#This Row],[Other TD''s]])),IF(C998="Defensive",(25*(16-Table1[[#This Row],[Tackles]]-(8*(Table1[[#This Row],[Other TD''s]]+Table1[[#This Row],[Interceptions]]+Table1[[#This Row],[Fumbles Recovered]])))))))))))</f>
        <v/>
      </c>
      <c r="R998" s="3" t="str">
        <f t="shared" si="32"/>
        <v/>
      </c>
      <c r="S998" s="4">
        <f t="shared" si="31"/>
        <v>1048507</v>
      </c>
      <c r="T9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9" spans="1:20" hidden="1" x14ac:dyDescent="0.25">
      <c r="A999" t="s">
        <v>5</v>
      </c>
      <c r="B999" s="28" t="s">
        <v>93</v>
      </c>
      <c r="C999" t="s">
        <v>16</v>
      </c>
      <c r="D999" t="str">
        <f>_xlfn.XLOOKUP(Table1[[#This Row],[Player]]&amp;Table1[[#This Row],[Week]]&amp;Table1[[#This Row],[Role]],'Google Form Transform'!$A:$A,'Google Form Transform'!E:E,"")</f>
        <v/>
      </c>
      <c r="E999" t="str">
        <f>_xlfn.XLOOKUP(Table1[[#This Row],[Player]]&amp;Table1[[#This Row],[Week]]&amp;Table1[[#This Row],[Role]],'Google Form Transform'!$A:$A,'Google Form Transform'!F:F,"")</f>
        <v/>
      </c>
      <c r="F999" t="str">
        <f>_xlfn.XLOOKUP(Table1[[#This Row],[Player]]&amp;Table1[[#This Row],[Week]]&amp;Table1[[#This Row],[Role]],'Google Form Transform'!$A:$A,'Google Form Transform'!G:G,"")</f>
        <v/>
      </c>
      <c r="G999" s="59">
        <f>SUMIFS(Table2[Stat],Table2[Stat Category],"passing",Table2[Stat Type],"YDS",Table2[Athlete],Table1[[#This Row],[Pick]],Table2[Week],Table1[[#This Row],[Week]])</f>
        <v>0</v>
      </c>
      <c r="H999" s="59">
        <f>SUMIFS(Table2[Stat],Table2[Stat Category],"rushing",Table2[Stat Type],"YDS",Table2[Athlete],Table1[[#This Row],[Pick]],Table2[Week],Table1[[#This Row],[Week]])</f>
        <v>0</v>
      </c>
      <c r="I999" s="59">
        <f>SUMIFS(Table2[Stat],Table2[Stat Category],"receiving",Table2[Stat Type],"YDS",Table2[Athlete],Table1[[#This Row],[Pick]],Table2[Week],Table1[[#This Row],[Week]])</f>
        <v>0</v>
      </c>
      <c r="J999" s="6">
        <f>IF(AND($C999="Rushing", $H999&lt;=0), 0, IF(AND($C999="Passing", $G$3&lt;=0), 0,IF(AND($C999="Receiving",$I999&lt;=0), 0,SUMIFS(Table2[Stat],Table2[Week],Table1[[#This Row],[Week]],Table2[Athlete],Table1[[#This Row],[Pick]],Table2[Stat Category],"passing",Table2[Stat Type],"TD"))))</f>
        <v>0</v>
      </c>
      <c r="K999" s="6">
        <f>IF(AND($C999="Rushing", $H999&lt;=0), 0, IF(AND($C999="Passing", $G$3&lt;=0), 0,IF(AND($C999="Receiving",$I999&lt;=0),0,SUMIFS(Table2[Stat],Table2[Week],Table1[[#This Row],[Week]],Table2[Athlete],Table1[[#This Row],[Pick]],Table2[Stat Category],"rushing",Table2[Stat Type],"TD"))))</f>
        <v>0</v>
      </c>
      <c r="L999" s="6">
        <f>IF(AND($C999="Rushing", $H999&lt;=0), 0, IF(AND($C999="Passing", $G$3&lt;=0), 0,IF(AND($C999="Receiving",$I999&lt;=0),0,SUMIFS(Table2[Stat],Table2[Week],Table1[[#This Row],[Week]],Table2[Athlete],Table1[[#This Row],[Pick]],Table2[Stat Category],"receiving",Table2[Stat Type],"TD"))))</f>
        <v>0</v>
      </c>
      <c r="M9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9" s="61">
        <f>SUMIFS(Data!$J:$J,Data!$A:$A,Info!$B999,Data!$G:$G,Info!$C999,Data!$I:$I,Info!$D999,Data!$H:$H,"TOT")</f>
        <v>0</v>
      </c>
      <c r="O999" s="61">
        <f>IF(C999="Defensive",SUMIFS(Data!$J:$J,Data!$A:$A,Info!$B999,Data!$I:$I,Info!$D999,Data!$H:$H,"INT"),0)</f>
        <v>0</v>
      </c>
      <c r="P999" s="61">
        <f>IF(Table1[[#This Row],[Role]]="Defensive",SUMIFS(Data!$J:$J,Data!$A:$A,Info!$B999,Data!$I:$I,Info!$D999,Data!$H:$H,$P$1),0)</f>
        <v>0</v>
      </c>
      <c r="Q999" s="65" t="str">
        <f>IF(Table1[[#This Row],[Pick]]="","",IF(S999&gt;1,400,IF(G999="","",IF(C999="Passing",(400-Table1[[#This Row],[Passing Yards]]-(30*Table1[[#This Row],[Passing TDs]])-(50*SUM(Table1[[#This Row],[Rushing TDs]:[Other TD''s]]))),IF(C999="Rushing",2*(200-Table1[[#This Row],[Rushing Yards]]-(30*Table1[[#This Row],[Passing TDs]])-50*(Table1[[#This Row],[Rushing TDs]]+Table1[[#This Row],[Receiving TDs]]+Table1[[#This Row],[Other TD''s]])),IF(C999="Receiving",2*(200-Table1[[#This Row],[Receiving Yards]]-(30*Table1[[#This Row],[Passing TDs]])-50*(Table1[[#This Row],[Rushing TDs]]+Table1[[#This Row],[Receiving TDs]]+Table1[[#This Row],[Other TD''s]])),IF(C999="Defensive",(25*(16-Table1[[#This Row],[Tackles]]-(8*(Table1[[#This Row],[Other TD''s]]+Table1[[#This Row],[Interceptions]]+Table1[[#This Row],[Fumbles Recovered]])))))))))))</f>
        <v/>
      </c>
      <c r="R999" s="3" t="str">
        <f t="shared" si="32"/>
        <v/>
      </c>
      <c r="S999" s="4">
        <f t="shared" si="31"/>
        <v>1048507</v>
      </c>
      <c r="T9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0" spans="1:20" hidden="1" x14ac:dyDescent="0.25">
      <c r="A1000" t="s">
        <v>5</v>
      </c>
      <c r="B1000" s="28" t="s">
        <v>93</v>
      </c>
      <c r="C1000" t="s">
        <v>6</v>
      </c>
      <c r="D1000" t="str">
        <f>_xlfn.XLOOKUP(Table1[[#This Row],[Player]]&amp;Table1[[#This Row],[Week]]&amp;Table1[[#This Row],[Role]],'Google Form Transform'!$A:$A,'Google Form Transform'!E:E,"")</f>
        <v/>
      </c>
      <c r="E1000" t="str">
        <f>_xlfn.XLOOKUP(Table1[[#This Row],[Player]]&amp;Table1[[#This Row],[Week]]&amp;Table1[[#This Row],[Role]],'Google Form Transform'!$A:$A,'Google Form Transform'!F:F,"")</f>
        <v/>
      </c>
      <c r="F1000" t="str">
        <f>_xlfn.XLOOKUP(Table1[[#This Row],[Player]]&amp;Table1[[#This Row],[Week]]&amp;Table1[[#This Row],[Role]],'Google Form Transform'!$A:$A,'Google Form Transform'!G:G,"")</f>
        <v/>
      </c>
      <c r="G1000" s="59">
        <f>SUMIFS(Table2[Stat],Table2[Stat Category],"passing",Table2[Stat Type],"YDS",Table2[Athlete],Table1[[#This Row],[Pick]],Table2[Week],Table1[[#This Row],[Week]])</f>
        <v>0</v>
      </c>
      <c r="H1000" s="59">
        <f>SUMIFS(Table2[Stat],Table2[Stat Category],"rushing",Table2[Stat Type],"YDS",Table2[Athlete],Table1[[#This Row],[Pick]],Table2[Week],Table1[[#This Row],[Week]])</f>
        <v>0</v>
      </c>
      <c r="I1000" s="59">
        <f>SUMIFS(Table2[Stat],Table2[Stat Category],"receiving",Table2[Stat Type],"YDS",Table2[Athlete],Table1[[#This Row],[Pick]],Table2[Week],Table1[[#This Row],[Week]])</f>
        <v>0</v>
      </c>
      <c r="J1000" s="6">
        <f>IF(AND($C1000="Rushing", $H1000&lt;=0), 0, IF(AND($C1000="Passing", $G$3&lt;=0), 0,IF(AND($C1000="Receiving",$I1000&lt;=0), 0,SUMIFS(Table2[Stat],Table2[Week],Table1[[#This Row],[Week]],Table2[Athlete],Table1[[#This Row],[Pick]],Table2[Stat Category],"passing",Table2[Stat Type],"TD"))))</f>
        <v>0</v>
      </c>
      <c r="K1000" s="6">
        <f>IF(AND($C1000="Rushing", $H1000&lt;=0), 0, IF(AND($C1000="Passing", $G$3&lt;=0), 0,IF(AND($C1000="Receiving",$I1000&lt;=0),0,SUMIFS(Table2[Stat],Table2[Week],Table1[[#This Row],[Week]],Table2[Athlete],Table1[[#This Row],[Pick]],Table2[Stat Category],"rushing",Table2[Stat Type],"TD"))))</f>
        <v>0</v>
      </c>
      <c r="L1000" s="6">
        <f>IF(AND($C1000="Rushing", $H1000&lt;=0), 0, IF(AND($C1000="Passing", $G$3&lt;=0), 0,IF(AND($C1000="Receiving",$I1000&lt;=0),0,SUMIFS(Table2[Stat],Table2[Week],Table1[[#This Row],[Week]],Table2[Athlete],Table1[[#This Row],[Pick]],Table2[Stat Category],"receiving",Table2[Stat Type],"TD"))))</f>
        <v>0</v>
      </c>
      <c r="M10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0" s="61">
        <f>SUMIFS(Data!$J:$J,Data!$A:$A,Info!$B1000,Data!$G:$G,Info!$C1000,Data!$I:$I,Info!$D1000,Data!$H:$H,"TOT")</f>
        <v>0</v>
      </c>
      <c r="O1000" s="61">
        <f>IF(C1000="Defensive",SUMIFS(Data!$J:$J,Data!$A:$A,Info!$B1000,Data!$I:$I,Info!$D1000,Data!$H:$H,"INT"),0)</f>
        <v>0</v>
      </c>
      <c r="P1000" s="61">
        <f>IF(Table1[[#This Row],[Role]]="Defensive",SUMIFS(Data!$J:$J,Data!$A:$A,Info!$B1000,Data!$I:$I,Info!$D1000,Data!$H:$H,$P$1),0)</f>
        <v>0</v>
      </c>
      <c r="Q1000" s="65" t="str">
        <f>IF(Table1[[#This Row],[Pick]]="","",IF(S1000&gt;1,400,IF(G1000="","",IF(C1000="Passing",(400-Table1[[#This Row],[Passing Yards]]-(30*Table1[[#This Row],[Passing TDs]])-(50*SUM(Table1[[#This Row],[Rushing TDs]:[Other TD''s]]))),IF(C1000="Rushing",2*(200-Table1[[#This Row],[Rushing Yards]]-(30*Table1[[#This Row],[Passing TDs]])-50*(Table1[[#This Row],[Rushing TDs]]+Table1[[#This Row],[Receiving TDs]]+Table1[[#This Row],[Other TD''s]])),IF(C1000="Receiving",2*(200-Table1[[#This Row],[Receiving Yards]]-(30*Table1[[#This Row],[Passing TDs]])-50*(Table1[[#This Row],[Rushing TDs]]+Table1[[#This Row],[Receiving TDs]]+Table1[[#This Row],[Other TD''s]])),IF(C1000="Defensive",(25*(16-Table1[[#This Row],[Tackles]]-(8*(Table1[[#This Row],[Other TD''s]]+Table1[[#This Row],[Interceptions]]+Table1[[#This Row],[Fumbles Recovered]])))))))))))</f>
        <v/>
      </c>
      <c r="R1000" s="3" t="str">
        <f t="shared" si="32"/>
        <v/>
      </c>
      <c r="S1000" s="4">
        <f t="shared" si="31"/>
        <v>1048507</v>
      </c>
      <c r="T10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1" spans="1:20" hidden="1" x14ac:dyDescent="0.25">
      <c r="A1001" t="s">
        <v>5</v>
      </c>
      <c r="B1001" s="28" t="s">
        <v>93</v>
      </c>
      <c r="C1001" t="s">
        <v>17</v>
      </c>
      <c r="D1001" t="str">
        <f>_xlfn.XLOOKUP(Table1[[#This Row],[Player]]&amp;Table1[[#This Row],[Week]]&amp;Table1[[#This Row],[Role]],'Google Form Transform'!$A:$A,'Google Form Transform'!E:E,"")</f>
        <v/>
      </c>
      <c r="E1001" t="str">
        <f>_xlfn.XLOOKUP(Table1[[#This Row],[Player]]&amp;Table1[[#This Row],[Week]]&amp;Table1[[#This Row],[Role]],'Google Form Transform'!$A:$A,'Google Form Transform'!F:F,"")</f>
        <v/>
      </c>
      <c r="F1001" t="str">
        <f>_xlfn.XLOOKUP(Table1[[#This Row],[Player]]&amp;Table1[[#This Row],[Week]]&amp;Table1[[#This Row],[Role]],'Google Form Transform'!$A:$A,'Google Form Transform'!G:G,"")</f>
        <v/>
      </c>
      <c r="G1001" s="59">
        <f>SUMIFS(Table2[Stat],Table2[Stat Category],"passing",Table2[Stat Type],"YDS",Table2[Athlete],Table1[[#This Row],[Pick]],Table2[Week],Table1[[#This Row],[Week]])</f>
        <v>0</v>
      </c>
      <c r="H1001" s="59">
        <f>SUMIFS(Table2[Stat],Table2[Stat Category],"rushing",Table2[Stat Type],"YDS",Table2[Athlete],Table1[[#This Row],[Pick]],Table2[Week],Table1[[#This Row],[Week]])</f>
        <v>0</v>
      </c>
      <c r="I1001" s="59">
        <f>SUMIFS(Table2[Stat],Table2[Stat Category],"receiving",Table2[Stat Type],"YDS",Table2[Athlete],Table1[[#This Row],[Pick]],Table2[Week],Table1[[#This Row],[Week]])</f>
        <v>0</v>
      </c>
      <c r="J1001" s="6">
        <f>IF(AND($C1001="Rushing", $H1001&lt;=0), 0, IF(AND($C1001="Passing", $G$3&lt;=0), 0,IF(AND($C1001="Receiving",$I1001&lt;=0), 0,SUMIFS(Table2[Stat],Table2[Week],Table1[[#This Row],[Week]],Table2[Athlete],Table1[[#This Row],[Pick]],Table2[Stat Category],"passing",Table2[Stat Type],"TD"))))</f>
        <v>0</v>
      </c>
      <c r="K1001" s="6">
        <f>IF(AND($C1001="Rushing", $H1001&lt;=0), 0, IF(AND($C1001="Passing", $G$3&lt;=0), 0,IF(AND($C1001="Receiving",$I1001&lt;=0),0,SUMIFS(Table2[Stat],Table2[Week],Table1[[#This Row],[Week]],Table2[Athlete],Table1[[#This Row],[Pick]],Table2[Stat Category],"rushing",Table2[Stat Type],"TD"))))</f>
        <v>0</v>
      </c>
      <c r="L1001" s="6">
        <f>IF(AND($C1001="Rushing", $H1001&lt;=0), 0, IF(AND($C1001="Passing", $G$3&lt;=0), 0,IF(AND($C1001="Receiving",$I1001&lt;=0),0,SUMIFS(Table2[Stat],Table2[Week],Table1[[#This Row],[Week]],Table2[Athlete],Table1[[#This Row],[Pick]],Table2[Stat Category],"receiving",Table2[Stat Type],"TD"))))</f>
        <v>0</v>
      </c>
      <c r="M10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1" s="61">
        <f>SUMIFS(Data!$J:$J,Data!$A:$A,Info!$B1001,Data!$G:$G,Info!$C1001,Data!$I:$I,Info!$D1001,Data!$H:$H,"TOT")</f>
        <v>0</v>
      </c>
      <c r="O1001" s="61">
        <f>IF(C1001="Defensive",SUMIFS(Data!$J:$J,Data!$A:$A,Info!$B1001,Data!$I:$I,Info!$D1001,Data!$H:$H,"INT"),0)</f>
        <v>0</v>
      </c>
      <c r="P1001" s="61">
        <f>IF(Table1[[#This Row],[Role]]="Defensive",SUMIFS(Data!$J:$J,Data!$A:$A,Info!$B1001,Data!$I:$I,Info!$D1001,Data!$H:$H,$P$1),0)</f>
        <v>0</v>
      </c>
      <c r="Q1001" s="65" t="str">
        <f>IF(Table1[[#This Row],[Pick]]="","",IF(S1001&gt;1,400,IF(G1001="","",IF(C1001="Passing",(400-Table1[[#This Row],[Passing Yards]]-(30*Table1[[#This Row],[Passing TDs]])-(50*SUM(Table1[[#This Row],[Rushing TDs]:[Other TD''s]]))),IF(C1001="Rushing",2*(200-Table1[[#This Row],[Rushing Yards]]-(30*Table1[[#This Row],[Passing TDs]])-50*(Table1[[#This Row],[Rushing TDs]]+Table1[[#This Row],[Receiving TDs]]+Table1[[#This Row],[Other TD''s]])),IF(C1001="Receiving",2*(200-Table1[[#This Row],[Receiving Yards]]-(30*Table1[[#This Row],[Passing TDs]])-50*(Table1[[#This Row],[Rushing TDs]]+Table1[[#This Row],[Receiving TDs]]+Table1[[#This Row],[Other TD''s]])),IF(C1001="Defensive",(25*(16-Table1[[#This Row],[Tackles]]-(8*(Table1[[#This Row],[Other TD''s]]+Table1[[#This Row],[Interceptions]]+Table1[[#This Row],[Fumbles Recovered]])))))))))))</f>
        <v/>
      </c>
      <c r="R1001" s="3" t="str">
        <f t="shared" si="32"/>
        <v/>
      </c>
      <c r="S1001" s="4">
        <f t="shared" si="31"/>
        <v>1048507</v>
      </c>
      <c r="T10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2" spans="1:20" hidden="1" x14ac:dyDescent="0.25">
      <c r="A1002" t="s">
        <v>5</v>
      </c>
      <c r="B1002" s="28" t="s">
        <v>93</v>
      </c>
      <c r="C1002" t="s">
        <v>20</v>
      </c>
      <c r="D1002" t="str">
        <f>_xlfn.XLOOKUP(Table1[[#This Row],[Player]]&amp;Table1[[#This Row],[Week]]&amp;Table1[[#This Row],[Role]],'Google Form Transform'!$A:$A,'Google Form Transform'!E:E,"")</f>
        <v/>
      </c>
      <c r="E1002" t="str">
        <f>_xlfn.XLOOKUP(Table1[[#This Row],[Player]]&amp;Table1[[#This Row],[Week]]&amp;Table1[[#This Row],[Role]],'Google Form Transform'!$A:$A,'Google Form Transform'!F:F,"")</f>
        <v/>
      </c>
      <c r="F1002" t="str">
        <f>_xlfn.XLOOKUP(Table1[[#This Row],[Player]]&amp;Table1[[#This Row],[Week]]&amp;Table1[[#This Row],[Role]],'Google Form Transform'!$A:$A,'Google Form Transform'!G:G,"")</f>
        <v/>
      </c>
      <c r="G1002" s="59">
        <f>SUMIFS(Table2[Stat],Table2[Stat Category],"passing",Table2[Stat Type],"YDS",Table2[Athlete],Table1[[#This Row],[Pick]],Table2[Week],Table1[[#This Row],[Week]])</f>
        <v>0</v>
      </c>
      <c r="H1002" s="59">
        <f>SUMIFS(Table2[Stat],Table2[Stat Category],"rushing",Table2[Stat Type],"YDS",Table2[Athlete],Table1[[#This Row],[Pick]],Table2[Week],Table1[[#This Row],[Week]])</f>
        <v>0</v>
      </c>
      <c r="I1002" s="59">
        <f>SUMIFS(Table2[Stat],Table2[Stat Category],"receiving",Table2[Stat Type],"YDS",Table2[Athlete],Table1[[#This Row],[Pick]],Table2[Week],Table1[[#This Row],[Week]])</f>
        <v>0</v>
      </c>
      <c r="J1002" s="6">
        <f>IF(AND($C1002="Rushing", $H1002&lt;=0), 0, IF(AND($C1002="Passing", $G$3&lt;=0), 0,IF(AND($C1002="Receiving",$I1002&lt;=0), 0,SUMIFS(Table2[Stat],Table2[Week],Table1[[#This Row],[Week]],Table2[Athlete],Table1[[#This Row],[Pick]],Table2[Stat Category],"passing",Table2[Stat Type],"TD"))))</f>
        <v>0</v>
      </c>
      <c r="K1002" s="6">
        <f>IF(AND($C1002="Rushing", $H1002&lt;=0), 0, IF(AND($C1002="Passing", $G$3&lt;=0), 0,IF(AND($C1002="Receiving",$I1002&lt;=0),0,SUMIFS(Table2[Stat],Table2[Week],Table1[[#This Row],[Week]],Table2[Athlete],Table1[[#This Row],[Pick]],Table2[Stat Category],"rushing",Table2[Stat Type],"TD"))))</f>
        <v>0</v>
      </c>
      <c r="L1002" s="6">
        <f>IF(AND($C1002="Rushing", $H1002&lt;=0), 0, IF(AND($C1002="Passing", $G$3&lt;=0), 0,IF(AND($C1002="Receiving",$I1002&lt;=0),0,SUMIFS(Table2[Stat],Table2[Week],Table1[[#This Row],[Week]],Table2[Athlete],Table1[[#This Row],[Pick]],Table2[Stat Category],"receiving",Table2[Stat Type],"TD"))))</f>
        <v>0</v>
      </c>
      <c r="M10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2" s="61">
        <f>SUMIFS(Data!$J:$J,Data!$A:$A,Info!$B1002,Data!$G:$G,Info!$C1002,Data!$I:$I,Info!$D1002,Data!$H:$H,"TOT")</f>
        <v>0</v>
      </c>
      <c r="O1002" s="61">
        <f>IF(C1002="Defensive",SUMIFS(Data!$J:$J,Data!$A:$A,Info!$B1002,Data!$I:$I,Info!$D1002,Data!$H:$H,"INT"),0)</f>
        <v>0</v>
      </c>
      <c r="P1002" s="61">
        <f>IF(Table1[[#This Row],[Role]]="Defensive",SUMIFS(Data!$J:$J,Data!$A:$A,Info!$B1002,Data!$I:$I,Info!$D1002,Data!$H:$H,$P$1),0)</f>
        <v>0</v>
      </c>
      <c r="Q1002" s="65" t="str">
        <f>IF(Table1[[#This Row],[Pick]]="","",IF(S1002&gt;1,400,IF(G1002="","",IF(C1002="Passing",(400-Table1[[#This Row],[Passing Yards]]-(30*Table1[[#This Row],[Passing TDs]])-(50*SUM(Table1[[#This Row],[Rushing TDs]:[Other TD''s]]))),IF(C1002="Rushing",2*(200-Table1[[#This Row],[Rushing Yards]]-(30*Table1[[#This Row],[Passing TDs]])-50*(Table1[[#This Row],[Rushing TDs]]+Table1[[#This Row],[Receiving TDs]]+Table1[[#This Row],[Other TD''s]])),IF(C1002="Receiving",2*(200-Table1[[#This Row],[Receiving Yards]]-(30*Table1[[#This Row],[Passing TDs]])-50*(Table1[[#This Row],[Rushing TDs]]+Table1[[#This Row],[Receiving TDs]]+Table1[[#This Row],[Other TD''s]])),IF(C1002="Defensive",(25*(16-Table1[[#This Row],[Tackles]]-(8*(Table1[[#This Row],[Other TD''s]]+Table1[[#This Row],[Interceptions]]+Table1[[#This Row],[Fumbles Recovered]])))))))))))</f>
        <v/>
      </c>
      <c r="R1002" s="3" t="str">
        <f t="shared" si="32"/>
        <v/>
      </c>
      <c r="S1002" s="4">
        <f t="shared" si="31"/>
        <v>1048507</v>
      </c>
      <c r="T10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3" spans="1:20" hidden="1" x14ac:dyDescent="0.25">
      <c r="A1003" t="s">
        <v>18</v>
      </c>
      <c r="B1003" s="28" t="s">
        <v>93</v>
      </c>
      <c r="C1003" t="s">
        <v>16</v>
      </c>
      <c r="D1003" t="str">
        <f>_xlfn.XLOOKUP(Table1[[#This Row],[Player]]&amp;Table1[[#This Row],[Week]]&amp;Table1[[#This Row],[Role]],'Google Form Transform'!$A:$A,'Google Form Transform'!E:E,"")</f>
        <v/>
      </c>
      <c r="E1003" t="str">
        <f>_xlfn.XLOOKUP(Table1[[#This Row],[Player]]&amp;Table1[[#This Row],[Week]]&amp;Table1[[#This Row],[Role]],'Google Form Transform'!$A:$A,'Google Form Transform'!F:F,"")</f>
        <v/>
      </c>
      <c r="F1003" t="str">
        <f>_xlfn.XLOOKUP(Table1[[#This Row],[Player]]&amp;Table1[[#This Row],[Week]]&amp;Table1[[#This Row],[Role]],'Google Form Transform'!$A:$A,'Google Form Transform'!G:G,"")</f>
        <v/>
      </c>
      <c r="G1003" s="59">
        <f>SUMIFS(Table2[Stat],Table2[Stat Category],"passing",Table2[Stat Type],"YDS",Table2[Athlete],Table1[[#This Row],[Pick]],Table2[Week],Table1[[#This Row],[Week]])</f>
        <v>0</v>
      </c>
      <c r="H1003" s="59">
        <f>SUMIFS(Table2[Stat],Table2[Stat Category],"rushing",Table2[Stat Type],"YDS",Table2[Athlete],Table1[[#This Row],[Pick]],Table2[Week],Table1[[#This Row],[Week]])</f>
        <v>0</v>
      </c>
      <c r="I1003" s="59">
        <f>SUMIFS(Table2[Stat],Table2[Stat Category],"receiving",Table2[Stat Type],"YDS",Table2[Athlete],Table1[[#This Row],[Pick]],Table2[Week],Table1[[#This Row],[Week]])</f>
        <v>0</v>
      </c>
      <c r="J1003" s="6">
        <f>IF(AND($C1003="Rushing", $H1003&lt;=0), 0, IF(AND($C1003="Passing", $G$3&lt;=0), 0,IF(AND($C1003="Receiving",$I1003&lt;=0), 0,SUMIFS(Table2[Stat],Table2[Week],Table1[[#This Row],[Week]],Table2[Athlete],Table1[[#This Row],[Pick]],Table2[Stat Category],"passing",Table2[Stat Type],"TD"))))</f>
        <v>0</v>
      </c>
      <c r="K1003" s="6">
        <f>IF(AND($C1003="Rushing", $H1003&lt;=0), 0, IF(AND($C1003="Passing", $G$3&lt;=0), 0,IF(AND($C1003="Receiving",$I1003&lt;=0),0,SUMIFS(Table2[Stat],Table2[Week],Table1[[#This Row],[Week]],Table2[Athlete],Table1[[#This Row],[Pick]],Table2[Stat Category],"rushing",Table2[Stat Type],"TD"))))</f>
        <v>0</v>
      </c>
      <c r="L1003" s="6">
        <f>IF(AND($C1003="Rushing", $H1003&lt;=0), 0, IF(AND($C1003="Passing", $G$3&lt;=0), 0,IF(AND($C1003="Receiving",$I1003&lt;=0),0,SUMIFS(Table2[Stat],Table2[Week],Table1[[#This Row],[Week]],Table2[Athlete],Table1[[#This Row],[Pick]],Table2[Stat Category],"receiving",Table2[Stat Type],"TD"))))</f>
        <v>0</v>
      </c>
      <c r="M10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3" s="61">
        <f>SUMIFS(Data!$J:$J,Data!$A:$A,Info!$B1003,Data!$G:$G,Info!$C1003,Data!$I:$I,Info!$D1003,Data!$H:$H,"TOT")</f>
        <v>0</v>
      </c>
      <c r="O1003" s="61">
        <f>IF(C1003="Defensive",SUMIFS(Data!$J:$J,Data!$A:$A,Info!$B1003,Data!$I:$I,Info!$D1003,Data!$H:$H,"INT"),0)</f>
        <v>0</v>
      </c>
      <c r="P1003" s="61">
        <f>IF(Table1[[#This Row],[Role]]="Defensive",SUMIFS(Data!$J:$J,Data!$A:$A,Info!$B1003,Data!$I:$I,Info!$D1003,Data!$H:$H,$P$1),0)</f>
        <v>0</v>
      </c>
      <c r="Q1003" s="65" t="str">
        <f>IF(Table1[[#This Row],[Pick]]="","",IF(S1003&gt;1,400,IF(G1003="","",IF(C1003="Passing",(400-Table1[[#This Row],[Passing Yards]]-(30*Table1[[#This Row],[Passing TDs]])-(50*SUM(Table1[[#This Row],[Rushing TDs]:[Other TD''s]]))),IF(C1003="Rushing",2*(200-Table1[[#This Row],[Rushing Yards]]-(30*Table1[[#This Row],[Passing TDs]])-50*(Table1[[#This Row],[Rushing TDs]]+Table1[[#This Row],[Receiving TDs]]+Table1[[#This Row],[Other TD''s]])),IF(C1003="Receiving",2*(200-Table1[[#This Row],[Receiving Yards]]-(30*Table1[[#This Row],[Passing TDs]])-50*(Table1[[#This Row],[Rushing TDs]]+Table1[[#This Row],[Receiving TDs]]+Table1[[#This Row],[Other TD''s]])),IF(C1003="Defensive",(25*(16-Table1[[#This Row],[Tackles]]-(8*(Table1[[#This Row],[Other TD''s]]+Table1[[#This Row],[Interceptions]]+Table1[[#This Row],[Fumbles Recovered]])))))))))))</f>
        <v/>
      </c>
      <c r="R1003" s="3" t="str">
        <f t="shared" si="32"/>
        <v/>
      </c>
      <c r="S1003" s="4">
        <f t="shared" si="31"/>
        <v>1048507</v>
      </c>
      <c r="T10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4" spans="1:20" hidden="1" x14ac:dyDescent="0.25">
      <c r="A1004" t="s">
        <v>18</v>
      </c>
      <c r="B1004" s="28" t="s">
        <v>93</v>
      </c>
      <c r="C1004" t="s">
        <v>6</v>
      </c>
      <c r="D1004" t="str">
        <f>_xlfn.XLOOKUP(Table1[[#This Row],[Player]]&amp;Table1[[#This Row],[Week]]&amp;Table1[[#This Row],[Role]],'Google Form Transform'!$A:$A,'Google Form Transform'!E:E,"")</f>
        <v/>
      </c>
      <c r="E1004" t="str">
        <f>_xlfn.XLOOKUP(Table1[[#This Row],[Player]]&amp;Table1[[#This Row],[Week]]&amp;Table1[[#This Row],[Role]],'Google Form Transform'!$A:$A,'Google Form Transform'!F:F,"")</f>
        <v/>
      </c>
      <c r="F1004" t="str">
        <f>_xlfn.XLOOKUP(Table1[[#This Row],[Player]]&amp;Table1[[#This Row],[Week]]&amp;Table1[[#This Row],[Role]],'Google Form Transform'!$A:$A,'Google Form Transform'!G:G,"")</f>
        <v/>
      </c>
      <c r="G1004" s="59">
        <f>SUMIFS(Table2[Stat],Table2[Stat Category],"passing",Table2[Stat Type],"YDS",Table2[Athlete],Table1[[#This Row],[Pick]],Table2[Week],Table1[[#This Row],[Week]])</f>
        <v>0</v>
      </c>
      <c r="H1004" s="59">
        <f>SUMIFS(Table2[Stat],Table2[Stat Category],"rushing",Table2[Stat Type],"YDS",Table2[Athlete],Table1[[#This Row],[Pick]],Table2[Week],Table1[[#This Row],[Week]])</f>
        <v>0</v>
      </c>
      <c r="I1004" s="59">
        <f>SUMIFS(Table2[Stat],Table2[Stat Category],"receiving",Table2[Stat Type],"YDS",Table2[Athlete],Table1[[#This Row],[Pick]],Table2[Week],Table1[[#This Row],[Week]])</f>
        <v>0</v>
      </c>
      <c r="J1004" s="6">
        <f>IF(AND($C1004="Rushing", $H1004&lt;=0), 0, IF(AND($C1004="Passing", $G$3&lt;=0), 0,IF(AND($C1004="Receiving",$I1004&lt;=0), 0,SUMIFS(Table2[Stat],Table2[Week],Table1[[#This Row],[Week]],Table2[Athlete],Table1[[#This Row],[Pick]],Table2[Stat Category],"passing",Table2[Stat Type],"TD"))))</f>
        <v>0</v>
      </c>
      <c r="K1004" s="6">
        <f>IF(AND($C1004="Rushing", $H1004&lt;=0), 0, IF(AND($C1004="Passing", $G$3&lt;=0), 0,IF(AND($C1004="Receiving",$I1004&lt;=0),0,SUMIFS(Table2[Stat],Table2[Week],Table1[[#This Row],[Week]],Table2[Athlete],Table1[[#This Row],[Pick]],Table2[Stat Category],"rushing",Table2[Stat Type],"TD"))))</f>
        <v>0</v>
      </c>
      <c r="L1004" s="6">
        <f>IF(AND($C1004="Rushing", $H1004&lt;=0), 0, IF(AND($C1004="Passing", $G$3&lt;=0), 0,IF(AND($C1004="Receiving",$I1004&lt;=0),0,SUMIFS(Table2[Stat],Table2[Week],Table1[[#This Row],[Week]],Table2[Athlete],Table1[[#This Row],[Pick]],Table2[Stat Category],"receiving",Table2[Stat Type],"TD"))))</f>
        <v>0</v>
      </c>
      <c r="M10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4" s="61">
        <f>SUMIFS(Data!$J:$J,Data!$A:$A,Info!$B1004,Data!$G:$G,Info!$C1004,Data!$I:$I,Info!$D1004,Data!$H:$H,"TOT")</f>
        <v>0</v>
      </c>
      <c r="O1004" s="61">
        <f>IF(C1004="Defensive",SUMIFS(Data!$J:$J,Data!$A:$A,Info!$B1004,Data!$I:$I,Info!$D1004,Data!$H:$H,"INT"),0)</f>
        <v>0</v>
      </c>
      <c r="P1004" s="61">
        <f>IF(Table1[[#This Row],[Role]]="Defensive",SUMIFS(Data!$J:$J,Data!$A:$A,Info!$B1004,Data!$I:$I,Info!$D1004,Data!$H:$H,$P$1),0)</f>
        <v>0</v>
      </c>
      <c r="Q1004" s="65" t="str">
        <f>IF(Table1[[#This Row],[Pick]]="","",IF(S1004&gt;1,400,IF(G1004="","",IF(C1004="Passing",(400-Table1[[#This Row],[Passing Yards]]-(30*Table1[[#This Row],[Passing TDs]])-(50*SUM(Table1[[#This Row],[Rushing TDs]:[Other TD''s]]))),IF(C1004="Rushing",2*(200-Table1[[#This Row],[Rushing Yards]]-(30*Table1[[#This Row],[Passing TDs]])-50*(Table1[[#This Row],[Rushing TDs]]+Table1[[#This Row],[Receiving TDs]]+Table1[[#This Row],[Other TD''s]])),IF(C1004="Receiving",2*(200-Table1[[#This Row],[Receiving Yards]]-(30*Table1[[#This Row],[Passing TDs]])-50*(Table1[[#This Row],[Rushing TDs]]+Table1[[#This Row],[Receiving TDs]]+Table1[[#This Row],[Other TD''s]])),IF(C1004="Defensive",(25*(16-Table1[[#This Row],[Tackles]]-(8*(Table1[[#This Row],[Other TD''s]]+Table1[[#This Row],[Interceptions]]+Table1[[#This Row],[Fumbles Recovered]])))))))))))</f>
        <v/>
      </c>
      <c r="R1004" s="3" t="str">
        <f t="shared" si="32"/>
        <v/>
      </c>
      <c r="S1004" s="4">
        <f t="shared" si="31"/>
        <v>1048507</v>
      </c>
      <c r="T10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5" spans="1:20" hidden="1" x14ac:dyDescent="0.25">
      <c r="A1005" t="s">
        <v>18</v>
      </c>
      <c r="B1005" s="28" t="s">
        <v>93</v>
      </c>
      <c r="C1005" t="s">
        <v>17</v>
      </c>
      <c r="D1005" t="str">
        <f>_xlfn.XLOOKUP(Table1[[#This Row],[Player]]&amp;Table1[[#This Row],[Week]]&amp;Table1[[#This Row],[Role]],'Google Form Transform'!$A:$A,'Google Form Transform'!E:E,"")</f>
        <v/>
      </c>
      <c r="E1005" t="str">
        <f>_xlfn.XLOOKUP(Table1[[#This Row],[Player]]&amp;Table1[[#This Row],[Week]]&amp;Table1[[#This Row],[Role]],'Google Form Transform'!$A:$A,'Google Form Transform'!F:F,"")</f>
        <v/>
      </c>
      <c r="F1005" t="str">
        <f>_xlfn.XLOOKUP(Table1[[#This Row],[Player]]&amp;Table1[[#This Row],[Week]]&amp;Table1[[#This Row],[Role]],'Google Form Transform'!$A:$A,'Google Form Transform'!G:G,"")</f>
        <v/>
      </c>
      <c r="G1005" s="59">
        <f>SUMIFS(Table2[Stat],Table2[Stat Category],"passing",Table2[Stat Type],"YDS",Table2[Athlete],Table1[[#This Row],[Pick]],Table2[Week],Table1[[#This Row],[Week]])</f>
        <v>0</v>
      </c>
      <c r="H1005" s="59">
        <f>SUMIFS(Table2[Stat],Table2[Stat Category],"rushing",Table2[Stat Type],"YDS",Table2[Athlete],Table1[[#This Row],[Pick]],Table2[Week],Table1[[#This Row],[Week]])</f>
        <v>0</v>
      </c>
      <c r="I1005" s="59">
        <f>SUMIFS(Table2[Stat],Table2[Stat Category],"receiving",Table2[Stat Type],"YDS",Table2[Athlete],Table1[[#This Row],[Pick]],Table2[Week],Table1[[#This Row],[Week]])</f>
        <v>0</v>
      </c>
      <c r="J1005" s="6">
        <f>IF(AND($C1005="Rushing", $H1005&lt;=0), 0, IF(AND($C1005="Passing", $G$3&lt;=0), 0,IF(AND($C1005="Receiving",$I1005&lt;=0), 0,SUMIFS(Table2[Stat],Table2[Week],Table1[[#This Row],[Week]],Table2[Athlete],Table1[[#This Row],[Pick]],Table2[Stat Category],"passing",Table2[Stat Type],"TD"))))</f>
        <v>0</v>
      </c>
      <c r="K1005" s="6">
        <f>IF(AND($C1005="Rushing", $H1005&lt;=0), 0, IF(AND($C1005="Passing", $G$3&lt;=0), 0,IF(AND($C1005="Receiving",$I1005&lt;=0),0,SUMIFS(Table2[Stat],Table2[Week],Table1[[#This Row],[Week]],Table2[Athlete],Table1[[#This Row],[Pick]],Table2[Stat Category],"rushing",Table2[Stat Type],"TD"))))</f>
        <v>0</v>
      </c>
      <c r="L1005" s="6">
        <f>IF(AND($C1005="Rushing", $H1005&lt;=0), 0, IF(AND($C1005="Passing", $G$3&lt;=0), 0,IF(AND($C1005="Receiving",$I1005&lt;=0),0,SUMIFS(Table2[Stat],Table2[Week],Table1[[#This Row],[Week]],Table2[Athlete],Table1[[#This Row],[Pick]],Table2[Stat Category],"receiving",Table2[Stat Type],"TD"))))</f>
        <v>0</v>
      </c>
      <c r="M10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5" s="61">
        <f>SUMIFS(Data!$J:$J,Data!$A:$A,Info!$B1005,Data!$G:$G,Info!$C1005,Data!$I:$I,Info!$D1005,Data!$H:$H,"TOT")</f>
        <v>0</v>
      </c>
      <c r="O1005" s="61">
        <f>IF(C1005="Defensive",SUMIFS(Data!$J:$J,Data!$A:$A,Info!$B1005,Data!$I:$I,Info!$D1005,Data!$H:$H,"INT"),0)</f>
        <v>0</v>
      </c>
      <c r="P1005" s="61">
        <f>IF(Table1[[#This Row],[Role]]="Defensive",SUMIFS(Data!$J:$J,Data!$A:$A,Info!$B1005,Data!$I:$I,Info!$D1005,Data!$H:$H,$P$1),0)</f>
        <v>0</v>
      </c>
      <c r="Q1005" s="65" t="str">
        <f>IF(Table1[[#This Row],[Pick]]="","",IF(S1005&gt;1,400,IF(G1005="","",IF(C1005="Passing",(400-Table1[[#This Row],[Passing Yards]]-(30*Table1[[#This Row],[Passing TDs]])-(50*SUM(Table1[[#This Row],[Rushing TDs]:[Other TD''s]]))),IF(C1005="Rushing",2*(200-Table1[[#This Row],[Rushing Yards]]-(30*Table1[[#This Row],[Passing TDs]])-50*(Table1[[#This Row],[Rushing TDs]]+Table1[[#This Row],[Receiving TDs]]+Table1[[#This Row],[Other TD''s]])),IF(C1005="Receiving",2*(200-Table1[[#This Row],[Receiving Yards]]-(30*Table1[[#This Row],[Passing TDs]])-50*(Table1[[#This Row],[Rushing TDs]]+Table1[[#This Row],[Receiving TDs]]+Table1[[#This Row],[Other TD''s]])),IF(C1005="Defensive",(25*(16-Table1[[#This Row],[Tackles]]-(8*(Table1[[#This Row],[Other TD''s]]+Table1[[#This Row],[Interceptions]]+Table1[[#This Row],[Fumbles Recovered]])))))))))))</f>
        <v/>
      </c>
      <c r="R1005" s="3" t="str">
        <f t="shared" si="32"/>
        <v/>
      </c>
      <c r="S1005" s="4">
        <f t="shared" si="31"/>
        <v>1048507</v>
      </c>
      <c r="T10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6" spans="1:20" hidden="1" x14ac:dyDescent="0.25">
      <c r="A1006" t="s">
        <v>18</v>
      </c>
      <c r="B1006" s="28" t="s">
        <v>93</v>
      </c>
      <c r="C1006" t="s">
        <v>20</v>
      </c>
      <c r="D1006" t="str">
        <f>_xlfn.XLOOKUP(Table1[[#This Row],[Player]]&amp;Table1[[#This Row],[Week]]&amp;Table1[[#This Row],[Role]],'Google Form Transform'!$A:$A,'Google Form Transform'!E:E,"")</f>
        <v/>
      </c>
      <c r="E1006" t="str">
        <f>_xlfn.XLOOKUP(Table1[[#This Row],[Player]]&amp;Table1[[#This Row],[Week]]&amp;Table1[[#This Row],[Role]],'Google Form Transform'!$A:$A,'Google Form Transform'!F:F,"")</f>
        <v/>
      </c>
      <c r="F1006" t="str">
        <f>_xlfn.XLOOKUP(Table1[[#This Row],[Player]]&amp;Table1[[#This Row],[Week]]&amp;Table1[[#This Row],[Role]],'Google Form Transform'!$A:$A,'Google Form Transform'!G:G,"")</f>
        <v/>
      </c>
      <c r="G1006" s="59">
        <f>SUMIFS(Table2[Stat],Table2[Stat Category],"passing",Table2[Stat Type],"YDS",Table2[Athlete],Table1[[#This Row],[Pick]],Table2[Week],Table1[[#This Row],[Week]])</f>
        <v>0</v>
      </c>
      <c r="H1006" s="59">
        <f>SUMIFS(Table2[Stat],Table2[Stat Category],"rushing",Table2[Stat Type],"YDS",Table2[Athlete],Table1[[#This Row],[Pick]],Table2[Week],Table1[[#This Row],[Week]])</f>
        <v>0</v>
      </c>
      <c r="I1006" s="59">
        <f>SUMIFS(Table2[Stat],Table2[Stat Category],"receiving",Table2[Stat Type],"YDS",Table2[Athlete],Table1[[#This Row],[Pick]],Table2[Week],Table1[[#This Row],[Week]])</f>
        <v>0</v>
      </c>
      <c r="J1006" s="6">
        <f>IF(AND($C1006="Rushing", $H1006&lt;=0), 0, IF(AND($C1006="Passing", $G$3&lt;=0), 0,IF(AND($C1006="Receiving",$I1006&lt;=0), 0,SUMIFS(Table2[Stat],Table2[Week],Table1[[#This Row],[Week]],Table2[Athlete],Table1[[#This Row],[Pick]],Table2[Stat Category],"passing",Table2[Stat Type],"TD"))))</f>
        <v>0</v>
      </c>
      <c r="K1006" s="6">
        <f>IF(AND($C1006="Rushing", $H1006&lt;=0), 0, IF(AND($C1006="Passing", $G$3&lt;=0), 0,IF(AND($C1006="Receiving",$I1006&lt;=0),0,SUMIFS(Table2[Stat],Table2[Week],Table1[[#This Row],[Week]],Table2[Athlete],Table1[[#This Row],[Pick]],Table2[Stat Category],"rushing",Table2[Stat Type],"TD"))))</f>
        <v>0</v>
      </c>
      <c r="L1006" s="6">
        <f>IF(AND($C1006="Rushing", $H1006&lt;=0), 0, IF(AND($C1006="Passing", $G$3&lt;=0), 0,IF(AND($C1006="Receiving",$I1006&lt;=0),0,SUMIFS(Table2[Stat],Table2[Week],Table1[[#This Row],[Week]],Table2[Athlete],Table1[[#This Row],[Pick]],Table2[Stat Category],"receiving",Table2[Stat Type],"TD"))))</f>
        <v>0</v>
      </c>
      <c r="M10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6" s="61">
        <f>SUMIFS(Data!$J:$J,Data!$A:$A,Info!$B1006,Data!$G:$G,Info!$C1006,Data!$I:$I,Info!$D1006,Data!$H:$H,"TOT")</f>
        <v>0</v>
      </c>
      <c r="O1006" s="61">
        <f>IF(C1006="Defensive",SUMIFS(Data!$J:$J,Data!$A:$A,Info!$B1006,Data!$I:$I,Info!$D1006,Data!$H:$H,"INT"),0)</f>
        <v>0</v>
      </c>
      <c r="P1006" s="61">
        <f>IF(Table1[[#This Row],[Role]]="Defensive",SUMIFS(Data!$J:$J,Data!$A:$A,Info!$B1006,Data!$I:$I,Info!$D1006,Data!$H:$H,$P$1),0)</f>
        <v>0</v>
      </c>
      <c r="Q1006" s="65" t="str">
        <f>IF(Table1[[#This Row],[Pick]]="","",IF(S1006&gt;1,400,IF(G1006="","",IF(C1006="Passing",(400-Table1[[#This Row],[Passing Yards]]-(30*Table1[[#This Row],[Passing TDs]])-(50*SUM(Table1[[#This Row],[Rushing TDs]:[Other TD''s]]))),IF(C1006="Rushing",2*(200-Table1[[#This Row],[Rushing Yards]]-(30*Table1[[#This Row],[Passing TDs]])-50*(Table1[[#This Row],[Rushing TDs]]+Table1[[#This Row],[Receiving TDs]]+Table1[[#This Row],[Other TD''s]])),IF(C1006="Receiving",2*(200-Table1[[#This Row],[Receiving Yards]]-(30*Table1[[#This Row],[Passing TDs]])-50*(Table1[[#This Row],[Rushing TDs]]+Table1[[#This Row],[Receiving TDs]]+Table1[[#This Row],[Other TD''s]])),IF(C1006="Defensive",(25*(16-Table1[[#This Row],[Tackles]]-(8*(Table1[[#This Row],[Other TD''s]]+Table1[[#This Row],[Interceptions]]+Table1[[#This Row],[Fumbles Recovered]])))))))))))</f>
        <v/>
      </c>
      <c r="R1006" s="3" t="str">
        <f t="shared" si="32"/>
        <v/>
      </c>
      <c r="S1006" s="4">
        <f t="shared" si="31"/>
        <v>1048507</v>
      </c>
      <c r="T10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7" spans="1:20" hidden="1" x14ac:dyDescent="0.25">
      <c r="A1007" t="s">
        <v>19</v>
      </c>
      <c r="B1007" s="28" t="s">
        <v>93</v>
      </c>
      <c r="C1007" t="s">
        <v>16</v>
      </c>
      <c r="D1007" t="str">
        <f>_xlfn.XLOOKUP(Table1[[#This Row],[Player]]&amp;Table1[[#This Row],[Week]]&amp;Table1[[#This Row],[Role]],'Google Form Transform'!$A:$A,'Google Form Transform'!E:E,"")</f>
        <v/>
      </c>
      <c r="E1007" t="str">
        <f>_xlfn.XLOOKUP(Table1[[#This Row],[Player]]&amp;Table1[[#This Row],[Week]]&amp;Table1[[#This Row],[Role]],'Google Form Transform'!$A:$A,'Google Form Transform'!F:F,"")</f>
        <v/>
      </c>
      <c r="F1007" t="str">
        <f>_xlfn.XLOOKUP(Table1[[#This Row],[Player]]&amp;Table1[[#This Row],[Week]]&amp;Table1[[#This Row],[Role]],'Google Form Transform'!$A:$A,'Google Form Transform'!G:G,"")</f>
        <v/>
      </c>
      <c r="G1007" s="59">
        <f>SUMIFS(Table2[Stat],Table2[Stat Category],"passing",Table2[Stat Type],"YDS",Table2[Athlete],Table1[[#This Row],[Pick]],Table2[Week],Table1[[#This Row],[Week]])</f>
        <v>0</v>
      </c>
      <c r="H1007" s="59">
        <f>SUMIFS(Table2[Stat],Table2[Stat Category],"rushing",Table2[Stat Type],"YDS",Table2[Athlete],Table1[[#This Row],[Pick]],Table2[Week],Table1[[#This Row],[Week]])</f>
        <v>0</v>
      </c>
      <c r="I1007" s="59">
        <f>SUMIFS(Table2[Stat],Table2[Stat Category],"receiving",Table2[Stat Type],"YDS",Table2[Athlete],Table1[[#This Row],[Pick]],Table2[Week],Table1[[#This Row],[Week]])</f>
        <v>0</v>
      </c>
      <c r="J1007" s="6">
        <f>IF(AND($C1007="Rushing", $H1007&lt;=0), 0, IF(AND($C1007="Passing", $G$3&lt;=0), 0,IF(AND($C1007="Receiving",$I1007&lt;=0), 0,SUMIFS(Table2[Stat],Table2[Week],Table1[[#This Row],[Week]],Table2[Athlete],Table1[[#This Row],[Pick]],Table2[Stat Category],"passing",Table2[Stat Type],"TD"))))</f>
        <v>0</v>
      </c>
      <c r="K1007" s="6">
        <f>IF(AND($C1007="Rushing", $H1007&lt;=0), 0, IF(AND($C1007="Passing", $G$3&lt;=0), 0,IF(AND($C1007="Receiving",$I1007&lt;=0),0,SUMIFS(Table2[Stat],Table2[Week],Table1[[#This Row],[Week]],Table2[Athlete],Table1[[#This Row],[Pick]],Table2[Stat Category],"rushing",Table2[Stat Type],"TD"))))</f>
        <v>0</v>
      </c>
      <c r="L1007" s="6">
        <f>IF(AND($C1007="Rushing", $H1007&lt;=0), 0, IF(AND($C1007="Passing", $G$3&lt;=0), 0,IF(AND($C1007="Receiving",$I1007&lt;=0),0,SUMIFS(Table2[Stat],Table2[Week],Table1[[#This Row],[Week]],Table2[Athlete],Table1[[#This Row],[Pick]],Table2[Stat Category],"receiving",Table2[Stat Type],"TD"))))</f>
        <v>0</v>
      </c>
      <c r="M10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7" s="61">
        <f>SUMIFS(Data!$J:$J,Data!$A:$A,Info!$B1007,Data!$G:$G,Info!$C1007,Data!$I:$I,Info!$D1007,Data!$H:$H,"TOT")</f>
        <v>0</v>
      </c>
      <c r="O1007" s="61">
        <f>IF(C1007="Defensive",SUMIFS(Data!$J:$J,Data!$A:$A,Info!$B1007,Data!$I:$I,Info!$D1007,Data!$H:$H,"INT"),0)</f>
        <v>0</v>
      </c>
      <c r="P1007" s="61">
        <f>IF(Table1[[#This Row],[Role]]="Defensive",SUMIFS(Data!$J:$J,Data!$A:$A,Info!$B1007,Data!$I:$I,Info!$D1007,Data!$H:$H,$P$1),0)</f>
        <v>0</v>
      </c>
      <c r="Q1007" s="65" t="str">
        <f>IF(Table1[[#This Row],[Pick]]="","",IF(S1007&gt;1,400,IF(G1007="","",IF(C1007="Passing",(400-Table1[[#This Row],[Passing Yards]]-(30*Table1[[#This Row],[Passing TDs]])-(50*SUM(Table1[[#This Row],[Rushing TDs]:[Other TD''s]]))),IF(C1007="Rushing",2*(200-Table1[[#This Row],[Rushing Yards]]-(30*Table1[[#This Row],[Passing TDs]])-50*(Table1[[#This Row],[Rushing TDs]]+Table1[[#This Row],[Receiving TDs]]+Table1[[#This Row],[Other TD''s]])),IF(C1007="Receiving",2*(200-Table1[[#This Row],[Receiving Yards]]-(30*Table1[[#This Row],[Passing TDs]])-50*(Table1[[#This Row],[Rushing TDs]]+Table1[[#This Row],[Receiving TDs]]+Table1[[#This Row],[Other TD''s]])),IF(C1007="Defensive",(25*(16-Table1[[#This Row],[Tackles]]-(8*(Table1[[#This Row],[Other TD''s]]+Table1[[#This Row],[Interceptions]]+Table1[[#This Row],[Fumbles Recovered]])))))))))))</f>
        <v/>
      </c>
      <c r="R1007" s="3" t="str">
        <f t="shared" si="32"/>
        <v/>
      </c>
      <c r="S1007" s="4">
        <f t="shared" si="31"/>
        <v>1048507</v>
      </c>
      <c r="T10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8" spans="1:20" hidden="1" x14ac:dyDescent="0.25">
      <c r="A1008" t="s">
        <v>19</v>
      </c>
      <c r="B1008" s="28" t="s">
        <v>93</v>
      </c>
      <c r="C1008" t="s">
        <v>6</v>
      </c>
      <c r="D1008" t="str">
        <f>_xlfn.XLOOKUP(Table1[[#This Row],[Player]]&amp;Table1[[#This Row],[Week]]&amp;Table1[[#This Row],[Role]],'Google Form Transform'!$A:$A,'Google Form Transform'!E:E,"")</f>
        <v/>
      </c>
      <c r="E1008" t="str">
        <f>_xlfn.XLOOKUP(Table1[[#This Row],[Player]]&amp;Table1[[#This Row],[Week]]&amp;Table1[[#This Row],[Role]],'Google Form Transform'!$A:$A,'Google Form Transform'!F:F,"")</f>
        <v/>
      </c>
      <c r="F1008" t="str">
        <f>_xlfn.XLOOKUP(Table1[[#This Row],[Player]]&amp;Table1[[#This Row],[Week]]&amp;Table1[[#This Row],[Role]],'Google Form Transform'!$A:$A,'Google Form Transform'!G:G,"")</f>
        <v/>
      </c>
      <c r="G1008" s="59">
        <f>SUMIFS(Table2[Stat],Table2[Stat Category],"passing",Table2[Stat Type],"YDS",Table2[Athlete],Table1[[#This Row],[Pick]],Table2[Week],Table1[[#This Row],[Week]])</f>
        <v>0</v>
      </c>
      <c r="H1008" s="59">
        <f>SUMIFS(Table2[Stat],Table2[Stat Category],"rushing",Table2[Stat Type],"YDS",Table2[Athlete],Table1[[#This Row],[Pick]],Table2[Week],Table1[[#This Row],[Week]])</f>
        <v>0</v>
      </c>
      <c r="I1008" s="59">
        <f>SUMIFS(Table2[Stat],Table2[Stat Category],"receiving",Table2[Stat Type],"YDS",Table2[Athlete],Table1[[#This Row],[Pick]],Table2[Week],Table1[[#This Row],[Week]])</f>
        <v>0</v>
      </c>
      <c r="J1008" s="6">
        <f>IF(AND($C1008="Rushing", $H1008&lt;=0), 0, IF(AND($C1008="Passing", $G$3&lt;=0), 0,IF(AND($C1008="Receiving",$I1008&lt;=0), 0,SUMIFS(Table2[Stat],Table2[Week],Table1[[#This Row],[Week]],Table2[Athlete],Table1[[#This Row],[Pick]],Table2[Stat Category],"passing",Table2[Stat Type],"TD"))))</f>
        <v>0</v>
      </c>
      <c r="K1008" s="6">
        <f>IF(AND($C1008="Rushing", $H1008&lt;=0), 0, IF(AND($C1008="Passing", $G$3&lt;=0), 0,IF(AND($C1008="Receiving",$I1008&lt;=0),0,SUMIFS(Table2[Stat],Table2[Week],Table1[[#This Row],[Week]],Table2[Athlete],Table1[[#This Row],[Pick]],Table2[Stat Category],"rushing",Table2[Stat Type],"TD"))))</f>
        <v>0</v>
      </c>
      <c r="L1008" s="6">
        <f>IF(AND($C1008="Rushing", $H1008&lt;=0), 0, IF(AND($C1008="Passing", $G$3&lt;=0), 0,IF(AND($C1008="Receiving",$I1008&lt;=0),0,SUMIFS(Table2[Stat],Table2[Week],Table1[[#This Row],[Week]],Table2[Athlete],Table1[[#This Row],[Pick]],Table2[Stat Category],"receiving",Table2[Stat Type],"TD"))))</f>
        <v>0</v>
      </c>
      <c r="M10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8" s="61">
        <f>SUMIFS(Data!$J:$J,Data!$A:$A,Info!$B1008,Data!$G:$G,Info!$C1008,Data!$I:$I,Info!$D1008,Data!$H:$H,"TOT")</f>
        <v>0</v>
      </c>
      <c r="O1008" s="61">
        <f>IF(C1008="Defensive",SUMIFS(Data!$J:$J,Data!$A:$A,Info!$B1008,Data!$I:$I,Info!$D1008,Data!$H:$H,"INT"),0)</f>
        <v>0</v>
      </c>
      <c r="P1008" s="61">
        <f>IF(Table1[[#This Row],[Role]]="Defensive",SUMIFS(Data!$J:$J,Data!$A:$A,Info!$B1008,Data!$I:$I,Info!$D1008,Data!$H:$H,$P$1),0)</f>
        <v>0</v>
      </c>
      <c r="Q1008" s="65" t="str">
        <f>IF(Table1[[#This Row],[Pick]]="","",IF(S1008&gt;1,400,IF(G1008="","",IF(C1008="Passing",(400-Table1[[#This Row],[Passing Yards]]-(30*Table1[[#This Row],[Passing TDs]])-(50*SUM(Table1[[#This Row],[Rushing TDs]:[Other TD''s]]))),IF(C1008="Rushing",2*(200-Table1[[#This Row],[Rushing Yards]]-(30*Table1[[#This Row],[Passing TDs]])-50*(Table1[[#This Row],[Rushing TDs]]+Table1[[#This Row],[Receiving TDs]]+Table1[[#This Row],[Other TD''s]])),IF(C1008="Receiving",2*(200-Table1[[#This Row],[Receiving Yards]]-(30*Table1[[#This Row],[Passing TDs]])-50*(Table1[[#This Row],[Rushing TDs]]+Table1[[#This Row],[Receiving TDs]]+Table1[[#This Row],[Other TD''s]])),IF(C1008="Defensive",(25*(16-Table1[[#This Row],[Tackles]]-(8*(Table1[[#This Row],[Other TD''s]]+Table1[[#This Row],[Interceptions]]+Table1[[#This Row],[Fumbles Recovered]])))))))))))</f>
        <v/>
      </c>
      <c r="R1008" s="3" t="str">
        <f t="shared" si="32"/>
        <v/>
      </c>
      <c r="S1008" s="4">
        <f t="shared" si="31"/>
        <v>1048507</v>
      </c>
      <c r="T10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9" spans="1:20" hidden="1" x14ac:dyDescent="0.25">
      <c r="A1009" t="s">
        <v>19</v>
      </c>
      <c r="B1009" s="28" t="s">
        <v>93</v>
      </c>
      <c r="C1009" t="s">
        <v>17</v>
      </c>
      <c r="D1009" t="str">
        <f>_xlfn.XLOOKUP(Table1[[#This Row],[Player]]&amp;Table1[[#This Row],[Week]]&amp;Table1[[#This Row],[Role]],'Google Form Transform'!$A:$A,'Google Form Transform'!E:E,"")</f>
        <v/>
      </c>
      <c r="E1009" t="str">
        <f>_xlfn.XLOOKUP(Table1[[#This Row],[Player]]&amp;Table1[[#This Row],[Week]]&amp;Table1[[#This Row],[Role]],'Google Form Transform'!$A:$A,'Google Form Transform'!F:F,"")</f>
        <v/>
      </c>
      <c r="F1009" t="str">
        <f>_xlfn.XLOOKUP(Table1[[#This Row],[Player]]&amp;Table1[[#This Row],[Week]]&amp;Table1[[#This Row],[Role]],'Google Form Transform'!$A:$A,'Google Form Transform'!G:G,"")</f>
        <v/>
      </c>
      <c r="G1009" s="59">
        <f>SUMIFS(Table2[Stat],Table2[Stat Category],"passing",Table2[Stat Type],"YDS",Table2[Athlete],Table1[[#This Row],[Pick]],Table2[Week],Table1[[#This Row],[Week]])</f>
        <v>0</v>
      </c>
      <c r="H1009" s="59">
        <f>SUMIFS(Table2[Stat],Table2[Stat Category],"rushing",Table2[Stat Type],"YDS",Table2[Athlete],Table1[[#This Row],[Pick]],Table2[Week],Table1[[#This Row],[Week]])</f>
        <v>0</v>
      </c>
      <c r="I1009" s="59">
        <f>SUMIFS(Table2[Stat],Table2[Stat Category],"receiving",Table2[Stat Type],"YDS",Table2[Athlete],Table1[[#This Row],[Pick]],Table2[Week],Table1[[#This Row],[Week]])</f>
        <v>0</v>
      </c>
      <c r="J1009" s="6">
        <f>IF(AND($C1009="Rushing", $H1009&lt;=0), 0, IF(AND($C1009="Passing", $G$3&lt;=0), 0,IF(AND($C1009="Receiving",$I1009&lt;=0), 0,SUMIFS(Table2[Stat],Table2[Week],Table1[[#This Row],[Week]],Table2[Athlete],Table1[[#This Row],[Pick]],Table2[Stat Category],"passing",Table2[Stat Type],"TD"))))</f>
        <v>0</v>
      </c>
      <c r="K1009" s="6">
        <f>IF(AND($C1009="Rushing", $H1009&lt;=0), 0, IF(AND($C1009="Passing", $G$3&lt;=0), 0,IF(AND($C1009="Receiving",$I1009&lt;=0),0,SUMIFS(Table2[Stat],Table2[Week],Table1[[#This Row],[Week]],Table2[Athlete],Table1[[#This Row],[Pick]],Table2[Stat Category],"rushing",Table2[Stat Type],"TD"))))</f>
        <v>0</v>
      </c>
      <c r="L1009" s="6">
        <f>IF(AND($C1009="Rushing", $H1009&lt;=0), 0, IF(AND($C1009="Passing", $G$3&lt;=0), 0,IF(AND($C1009="Receiving",$I1009&lt;=0),0,SUMIFS(Table2[Stat],Table2[Week],Table1[[#This Row],[Week]],Table2[Athlete],Table1[[#This Row],[Pick]],Table2[Stat Category],"receiving",Table2[Stat Type],"TD"))))</f>
        <v>0</v>
      </c>
      <c r="M10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9" s="61">
        <f>SUMIFS(Data!$J:$J,Data!$A:$A,Info!$B1009,Data!$G:$G,Info!$C1009,Data!$I:$I,Info!$D1009,Data!$H:$H,"TOT")</f>
        <v>0</v>
      </c>
      <c r="O1009" s="61">
        <f>IF(C1009="Defensive",SUMIFS(Data!$J:$J,Data!$A:$A,Info!$B1009,Data!$I:$I,Info!$D1009,Data!$H:$H,"INT"),0)</f>
        <v>0</v>
      </c>
      <c r="P1009" s="61">
        <f>IF(Table1[[#This Row],[Role]]="Defensive",SUMIFS(Data!$J:$J,Data!$A:$A,Info!$B1009,Data!$I:$I,Info!$D1009,Data!$H:$H,$P$1),0)</f>
        <v>0</v>
      </c>
      <c r="Q1009" s="65" t="str">
        <f>IF(Table1[[#This Row],[Pick]]="","",IF(S1009&gt;1,400,IF(G1009="","",IF(C1009="Passing",(400-Table1[[#This Row],[Passing Yards]]-(30*Table1[[#This Row],[Passing TDs]])-(50*SUM(Table1[[#This Row],[Rushing TDs]:[Other TD''s]]))),IF(C1009="Rushing",2*(200-Table1[[#This Row],[Rushing Yards]]-(30*Table1[[#This Row],[Passing TDs]])-50*(Table1[[#This Row],[Rushing TDs]]+Table1[[#This Row],[Receiving TDs]]+Table1[[#This Row],[Other TD''s]])),IF(C1009="Receiving",2*(200-Table1[[#This Row],[Receiving Yards]]-(30*Table1[[#This Row],[Passing TDs]])-50*(Table1[[#This Row],[Rushing TDs]]+Table1[[#This Row],[Receiving TDs]]+Table1[[#This Row],[Other TD''s]])),IF(C1009="Defensive",(25*(16-Table1[[#This Row],[Tackles]]-(8*(Table1[[#This Row],[Other TD''s]]+Table1[[#This Row],[Interceptions]]+Table1[[#This Row],[Fumbles Recovered]])))))))))))</f>
        <v/>
      </c>
      <c r="R1009" s="3" t="str">
        <f t="shared" si="32"/>
        <v/>
      </c>
      <c r="S1009" s="4">
        <f t="shared" si="31"/>
        <v>1048507</v>
      </c>
      <c r="T10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0" spans="1:20" hidden="1" x14ac:dyDescent="0.25">
      <c r="A1010" t="s">
        <v>19</v>
      </c>
      <c r="B1010" s="28" t="s">
        <v>93</v>
      </c>
      <c r="C1010" t="s">
        <v>20</v>
      </c>
      <c r="D1010" t="str">
        <f>_xlfn.XLOOKUP(Table1[[#This Row],[Player]]&amp;Table1[[#This Row],[Week]]&amp;Table1[[#This Row],[Role]],'Google Form Transform'!$A:$A,'Google Form Transform'!E:E,"")</f>
        <v/>
      </c>
      <c r="E1010" t="str">
        <f>_xlfn.XLOOKUP(Table1[[#This Row],[Player]]&amp;Table1[[#This Row],[Week]]&amp;Table1[[#This Row],[Role]],'Google Form Transform'!$A:$A,'Google Form Transform'!F:F,"")</f>
        <v/>
      </c>
      <c r="F1010" t="str">
        <f>_xlfn.XLOOKUP(Table1[[#This Row],[Player]]&amp;Table1[[#This Row],[Week]]&amp;Table1[[#This Row],[Role]],'Google Form Transform'!$A:$A,'Google Form Transform'!G:G,"")</f>
        <v/>
      </c>
      <c r="G1010" s="59">
        <f>SUMIFS(Table2[Stat],Table2[Stat Category],"passing",Table2[Stat Type],"YDS",Table2[Athlete],Table1[[#This Row],[Pick]],Table2[Week],Table1[[#This Row],[Week]])</f>
        <v>0</v>
      </c>
      <c r="H1010" s="59">
        <f>SUMIFS(Table2[Stat],Table2[Stat Category],"rushing",Table2[Stat Type],"YDS",Table2[Athlete],Table1[[#This Row],[Pick]],Table2[Week],Table1[[#This Row],[Week]])</f>
        <v>0</v>
      </c>
      <c r="I1010" s="59">
        <f>SUMIFS(Table2[Stat],Table2[Stat Category],"receiving",Table2[Stat Type],"YDS",Table2[Athlete],Table1[[#This Row],[Pick]],Table2[Week],Table1[[#This Row],[Week]])</f>
        <v>0</v>
      </c>
      <c r="J1010" s="6">
        <f>IF(AND($C1010="Rushing", $H1010&lt;=0), 0, IF(AND($C1010="Passing", $G$3&lt;=0), 0,IF(AND($C1010="Receiving",$I1010&lt;=0), 0,SUMIFS(Table2[Stat],Table2[Week],Table1[[#This Row],[Week]],Table2[Athlete],Table1[[#This Row],[Pick]],Table2[Stat Category],"passing",Table2[Stat Type],"TD"))))</f>
        <v>0</v>
      </c>
      <c r="K1010" s="6">
        <f>IF(AND($C1010="Rushing", $H1010&lt;=0), 0, IF(AND($C1010="Passing", $G$3&lt;=0), 0,IF(AND($C1010="Receiving",$I1010&lt;=0),0,SUMIFS(Table2[Stat],Table2[Week],Table1[[#This Row],[Week]],Table2[Athlete],Table1[[#This Row],[Pick]],Table2[Stat Category],"rushing",Table2[Stat Type],"TD"))))</f>
        <v>0</v>
      </c>
      <c r="L1010" s="6">
        <f>IF(AND($C1010="Rushing", $H1010&lt;=0), 0, IF(AND($C1010="Passing", $G$3&lt;=0), 0,IF(AND($C1010="Receiving",$I1010&lt;=0),0,SUMIFS(Table2[Stat],Table2[Week],Table1[[#This Row],[Week]],Table2[Athlete],Table1[[#This Row],[Pick]],Table2[Stat Category],"receiving",Table2[Stat Type],"TD"))))</f>
        <v>0</v>
      </c>
      <c r="M10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0" s="61">
        <f>SUMIFS(Data!$J:$J,Data!$A:$A,Info!$B1010,Data!$G:$G,Info!$C1010,Data!$I:$I,Info!$D1010,Data!$H:$H,"TOT")</f>
        <v>0</v>
      </c>
      <c r="O1010" s="61">
        <f>IF(C1010="Defensive",SUMIFS(Data!$J:$J,Data!$A:$A,Info!$B1010,Data!$I:$I,Info!$D1010,Data!$H:$H,"INT"),0)</f>
        <v>0</v>
      </c>
      <c r="P1010" s="61">
        <f>IF(Table1[[#This Row],[Role]]="Defensive",SUMIFS(Data!$J:$J,Data!$A:$A,Info!$B1010,Data!$I:$I,Info!$D1010,Data!$H:$H,$P$1),0)</f>
        <v>0</v>
      </c>
      <c r="Q1010" s="65" t="str">
        <f>IF(Table1[[#This Row],[Pick]]="","",IF(S1010&gt;1,400,IF(G1010="","",IF(C1010="Passing",(400-Table1[[#This Row],[Passing Yards]]-(30*Table1[[#This Row],[Passing TDs]])-(50*SUM(Table1[[#This Row],[Rushing TDs]:[Other TD''s]]))),IF(C1010="Rushing",2*(200-Table1[[#This Row],[Rushing Yards]]-(30*Table1[[#This Row],[Passing TDs]])-50*(Table1[[#This Row],[Rushing TDs]]+Table1[[#This Row],[Receiving TDs]]+Table1[[#This Row],[Other TD''s]])),IF(C1010="Receiving",2*(200-Table1[[#This Row],[Receiving Yards]]-(30*Table1[[#This Row],[Passing TDs]])-50*(Table1[[#This Row],[Rushing TDs]]+Table1[[#This Row],[Receiving TDs]]+Table1[[#This Row],[Other TD''s]])),IF(C1010="Defensive",(25*(16-Table1[[#This Row],[Tackles]]-(8*(Table1[[#This Row],[Other TD''s]]+Table1[[#This Row],[Interceptions]]+Table1[[#This Row],[Fumbles Recovered]])))))))))))</f>
        <v/>
      </c>
      <c r="R1010" s="3" t="str">
        <f t="shared" si="32"/>
        <v/>
      </c>
      <c r="S1010" s="4">
        <f t="shared" si="31"/>
        <v>1048507</v>
      </c>
      <c r="T10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1" spans="1:20" hidden="1" x14ac:dyDescent="0.25">
      <c r="A1011" t="s">
        <v>26</v>
      </c>
      <c r="B1011" s="28" t="s">
        <v>93</v>
      </c>
      <c r="C1011" t="s">
        <v>16</v>
      </c>
      <c r="D1011" t="str">
        <f>_xlfn.XLOOKUP(Table1[[#This Row],[Player]]&amp;Table1[[#This Row],[Week]]&amp;Table1[[#This Row],[Role]],'Google Form Transform'!$A:$A,'Google Form Transform'!E:E,"")</f>
        <v/>
      </c>
      <c r="E1011" t="str">
        <f>_xlfn.XLOOKUP(Table1[[#This Row],[Player]]&amp;Table1[[#This Row],[Week]]&amp;Table1[[#This Row],[Role]],'Google Form Transform'!$A:$A,'Google Form Transform'!F:F,"")</f>
        <v/>
      </c>
      <c r="F1011" t="str">
        <f>_xlfn.XLOOKUP(Table1[[#This Row],[Player]]&amp;Table1[[#This Row],[Week]]&amp;Table1[[#This Row],[Role]],'Google Form Transform'!$A:$A,'Google Form Transform'!G:G,"")</f>
        <v/>
      </c>
      <c r="G1011" s="59">
        <f>SUMIFS(Table2[Stat],Table2[Stat Category],"passing",Table2[Stat Type],"YDS",Table2[Athlete],Table1[[#This Row],[Pick]],Table2[Week],Table1[[#This Row],[Week]])</f>
        <v>0</v>
      </c>
      <c r="H1011" s="59">
        <f>SUMIFS(Table2[Stat],Table2[Stat Category],"rushing",Table2[Stat Type],"YDS",Table2[Athlete],Table1[[#This Row],[Pick]],Table2[Week],Table1[[#This Row],[Week]])</f>
        <v>0</v>
      </c>
      <c r="I1011" s="59">
        <f>SUMIFS(Table2[Stat],Table2[Stat Category],"receiving",Table2[Stat Type],"YDS",Table2[Athlete],Table1[[#This Row],[Pick]],Table2[Week],Table1[[#This Row],[Week]])</f>
        <v>0</v>
      </c>
      <c r="J1011" s="6">
        <f>IF(AND($C1011="Rushing", $H1011&lt;=0), 0, IF(AND($C1011="Passing", $G$3&lt;=0), 0,IF(AND($C1011="Receiving",$I1011&lt;=0), 0,SUMIFS(Table2[Stat],Table2[Week],Table1[[#This Row],[Week]],Table2[Athlete],Table1[[#This Row],[Pick]],Table2[Stat Category],"passing",Table2[Stat Type],"TD"))))</f>
        <v>0</v>
      </c>
      <c r="K1011" s="6">
        <f>IF(AND($C1011="Rushing", $H1011&lt;=0), 0, IF(AND($C1011="Passing", $G$3&lt;=0), 0,IF(AND($C1011="Receiving",$I1011&lt;=0),0,SUMIFS(Table2[Stat],Table2[Week],Table1[[#This Row],[Week]],Table2[Athlete],Table1[[#This Row],[Pick]],Table2[Stat Category],"rushing",Table2[Stat Type],"TD"))))</f>
        <v>0</v>
      </c>
      <c r="L1011" s="6">
        <f>IF(AND($C1011="Rushing", $H1011&lt;=0), 0, IF(AND($C1011="Passing", $G$3&lt;=0), 0,IF(AND($C1011="Receiving",$I1011&lt;=0),0,SUMIFS(Table2[Stat],Table2[Week],Table1[[#This Row],[Week]],Table2[Athlete],Table1[[#This Row],[Pick]],Table2[Stat Category],"receiving",Table2[Stat Type],"TD"))))</f>
        <v>0</v>
      </c>
      <c r="M10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1" s="61">
        <f>SUMIFS(Data!$J:$J,Data!$A:$A,Info!$B1011,Data!$G:$G,Info!$C1011,Data!$I:$I,Info!$D1011,Data!$H:$H,"TOT")</f>
        <v>0</v>
      </c>
      <c r="O1011" s="61">
        <f>IF(C1011="Defensive",SUMIFS(Data!$J:$J,Data!$A:$A,Info!$B1011,Data!$I:$I,Info!$D1011,Data!$H:$H,"INT"),0)</f>
        <v>0</v>
      </c>
      <c r="P1011" s="61">
        <f>IF(Table1[[#This Row],[Role]]="Defensive",SUMIFS(Data!$J:$J,Data!$A:$A,Info!$B1011,Data!$I:$I,Info!$D1011,Data!$H:$H,$P$1),0)</f>
        <v>0</v>
      </c>
      <c r="Q1011" s="65" t="str">
        <f>IF(Table1[[#This Row],[Pick]]="","",IF(S1011&gt;1,400,IF(G1011="","",IF(C1011="Passing",(400-Table1[[#This Row],[Passing Yards]]-(30*Table1[[#This Row],[Passing TDs]])-(50*SUM(Table1[[#This Row],[Rushing TDs]:[Other TD''s]]))),IF(C1011="Rushing",2*(200-Table1[[#This Row],[Rushing Yards]]-(30*Table1[[#This Row],[Passing TDs]])-50*(Table1[[#This Row],[Rushing TDs]]+Table1[[#This Row],[Receiving TDs]]+Table1[[#This Row],[Other TD''s]])),IF(C1011="Receiving",2*(200-Table1[[#This Row],[Receiving Yards]]-(30*Table1[[#This Row],[Passing TDs]])-50*(Table1[[#This Row],[Rushing TDs]]+Table1[[#This Row],[Receiving TDs]]+Table1[[#This Row],[Other TD''s]])),IF(C1011="Defensive",(25*(16-Table1[[#This Row],[Tackles]]-(8*(Table1[[#This Row],[Other TD''s]]+Table1[[#This Row],[Interceptions]]+Table1[[#This Row],[Fumbles Recovered]])))))))))))</f>
        <v/>
      </c>
      <c r="R1011" s="3" t="str">
        <f t="shared" si="32"/>
        <v/>
      </c>
      <c r="S1011" s="4">
        <f t="shared" si="31"/>
        <v>1048507</v>
      </c>
      <c r="T10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2" spans="1:20" hidden="1" x14ac:dyDescent="0.25">
      <c r="A1012" t="s">
        <v>26</v>
      </c>
      <c r="B1012" s="28" t="s">
        <v>93</v>
      </c>
      <c r="C1012" t="s">
        <v>6</v>
      </c>
      <c r="D1012" t="str">
        <f>_xlfn.XLOOKUP(Table1[[#This Row],[Player]]&amp;Table1[[#This Row],[Week]]&amp;Table1[[#This Row],[Role]],'Google Form Transform'!$A:$A,'Google Form Transform'!E:E,"")</f>
        <v/>
      </c>
      <c r="E1012" t="str">
        <f>_xlfn.XLOOKUP(Table1[[#This Row],[Player]]&amp;Table1[[#This Row],[Week]]&amp;Table1[[#This Row],[Role]],'Google Form Transform'!$A:$A,'Google Form Transform'!F:F,"")</f>
        <v/>
      </c>
      <c r="F1012" t="str">
        <f>_xlfn.XLOOKUP(Table1[[#This Row],[Player]]&amp;Table1[[#This Row],[Week]]&amp;Table1[[#This Row],[Role]],'Google Form Transform'!$A:$A,'Google Form Transform'!G:G,"")</f>
        <v/>
      </c>
      <c r="G1012" s="59">
        <f>SUMIFS(Table2[Stat],Table2[Stat Category],"passing",Table2[Stat Type],"YDS",Table2[Athlete],Table1[[#This Row],[Pick]],Table2[Week],Table1[[#This Row],[Week]])</f>
        <v>0</v>
      </c>
      <c r="H1012" s="59">
        <f>SUMIFS(Table2[Stat],Table2[Stat Category],"rushing",Table2[Stat Type],"YDS",Table2[Athlete],Table1[[#This Row],[Pick]],Table2[Week],Table1[[#This Row],[Week]])</f>
        <v>0</v>
      </c>
      <c r="I1012" s="59">
        <f>SUMIFS(Table2[Stat],Table2[Stat Category],"receiving",Table2[Stat Type],"YDS",Table2[Athlete],Table1[[#This Row],[Pick]],Table2[Week],Table1[[#This Row],[Week]])</f>
        <v>0</v>
      </c>
      <c r="J1012" s="6">
        <f>IF(AND($C1012="Rushing", $H1012&lt;=0), 0, IF(AND($C1012="Passing", $G$3&lt;=0), 0,IF(AND($C1012="Receiving",$I1012&lt;=0), 0,SUMIFS(Table2[Stat],Table2[Week],Table1[[#This Row],[Week]],Table2[Athlete],Table1[[#This Row],[Pick]],Table2[Stat Category],"passing",Table2[Stat Type],"TD"))))</f>
        <v>0</v>
      </c>
      <c r="K1012" s="6">
        <f>IF(AND($C1012="Rushing", $H1012&lt;=0), 0, IF(AND($C1012="Passing", $G$3&lt;=0), 0,IF(AND($C1012="Receiving",$I1012&lt;=0),0,SUMIFS(Table2[Stat],Table2[Week],Table1[[#This Row],[Week]],Table2[Athlete],Table1[[#This Row],[Pick]],Table2[Stat Category],"rushing",Table2[Stat Type],"TD"))))</f>
        <v>0</v>
      </c>
      <c r="L1012" s="6">
        <f>IF(AND($C1012="Rushing", $H1012&lt;=0), 0, IF(AND($C1012="Passing", $G$3&lt;=0), 0,IF(AND($C1012="Receiving",$I1012&lt;=0),0,SUMIFS(Table2[Stat],Table2[Week],Table1[[#This Row],[Week]],Table2[Athlete],Table1[[#This Row],[Pick]],Table2[Stat Category],"receiving",Table2[Stat Type],"TD"))))</f>
        <v>0</v>
      </c>
      <c r="M10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2" s="61">
        <f>SUMIFS(Data!$J:$J,Data!$A:$A,Info!$B1012,Data!$G:$G,Info!$C1012,Data!$I:$I,Info!$D1012,Data!$H:$H,"TOT")</f>
        <v>0</v>
      </c>
      <c r="O1012" s="61">
        <f>IF(C1012="Defensive",SUMIFS(Data!$J:$J,Data!$A:$A,Info!$B1012,Data!$I:$I,Info!$D1012,Data!$H:$H,"INT"),0)</f>
        <v>0</v>
      </c>
      <c r="P1012" s="61">
        <f>IF(Table1[[#This Row],[Role]]="Defensive",SUMIFS(Data!$J:$J,Data!$A:$A,Info!$B1012,Data!$I:$I,Info!$D1012,Data!$H:$H,$P$1),0)</f>
        <v>0</v>
      </c>
      <c r="Q1012" s="65" t="str">
        <f>IF(Table1[[#This Row],[Pick]]="","",IF(S1012&gt;1,400,IF(G1012="","",IF(C1012="Passing",(400-Table1[[#This Row],[Passing Yards]]-(30*Table1[[#This Row],[Passing TDs]])-(50*SUM(Table1[[#This Row],[Rushing TDs]:[Other TD''s]]))),IF(C1012="Rushing",2*(200-Table1[[#This Row],[Rushing Yards]]-(30*Table1[[#This Row],[Passing TDs]])-50*(Table1[[#This Row],[Rushing TDs]]+Table1[[#This Row],[Receiving TDs]]+Table1[[#This Row],[Other TD''s]])),IF(C1012="Receiving",2*(200-Table1[[#This Row],[Receiving Yards]]-(30*Table1[[#This Row],[Passing TDs]])-50*(Table1[[#This Row],[Rushing TDs]]+Table1[[#This Row],[Receiving TDs]]+Table1[[#This Row],[Other TD''s]])),IF(C1012="Defensive",(25*(16-Table1[[#This Row],[Tackles]]-(8*(Table1[[#This Row],[Other TD''s]]+Table1[[#This Row],[Interceptions]]+Table1[[#This Row],[Fumbles Recovered]])))))))))))</f>
        <v/>
      </c>
      <c r="R1012" s="3" t="str">
        <f t="shared" si="32"/>
        <v/>
      </c>
      <c r="S1012" s="4">
        <f t="shared" si="31"/>
        <v>1048507</v>
      </c>
      <c r="T10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3" spans="1:20" hidden="1" x14ac:dyDescent="0.25">
      <c r="A1013" t="s">
        <v>26</v>
      </c>
      <c r="B1013" s="28" t="s">
        <v>93</v>
      </c>
      <c r="C1013" t="s">
        <v>17</v>
      </c>
      <c r="D1013" t="str">
        <f>_xlfn.XLOOKUP(Table1[[#This Row],[Player]]&amp;Table1[[#This Row],[Week]]&amp;Table1[[#This Row],[Role]],'Google Form Transform'!$A:$A,'Google Form Transform'!E:E,"")</f>
        <v/>
      </c>
      <c r="E1013" t="str">
        <f>_xlfn.XLOOKUP(Table1[[#This Row],[Player]]&amp;Table1[[#This Row],[Week]]&amp;Table1[[#This Row],[Role]],'Google Form Transform'!$A:$A,'Google Form Transform'!F:F,"")</f>
        <v/>
      </c>
      <c r="F1013" t="str">
        <f>_xlfn.XLOOKUP(Table1[[#This Row],[Player]]&amp;Table1[[#This Row],[Week]]&amp;Table1[[#This Row],[Role]],'Google Form Transform'!$A:$A,'Google Form Transform'!G:G,"")</f>
        <v/>
      </c>
      <c r="G1013" s="59">
        <f>SUMIFS(Table2[Stat],Table2[Stat Category],"passing",Table2[Stat Type],"YDS",Table2[Athlete],Table1[[#This Row],[Pick]],Table2[Week],Table1[[#This Row],[Week]])</f>
        <v>0</v>
      </c>
      <c r="H1013" s="59">
        <f>SUMIFS(Table2[Stat],Table2[Stat Category],"rushing",Table2[Stat Type],"YDS",Table2[Athlete],Table1[[#This Row],[Pick]],Table2[Week],Table1[[#This Row],[Week]])</f>
        <v>0</v>
      </c>
      <c r="I1013" s="59">
        <f>SUMIFS(Table2[Stat],Table2[Stat Category],"receiving",Table2[Stat Type],"YDS",Table2[Athlete],Table1[[#This Row],[Pick]],Table2[Week],Table1[[#This Row],[Week]])</f>
        <v>0</v>
      </c>
      <c r="J1013" s="6">
        <f>IF(AND($C1013="Rushing", $H1013&lt;=0), 0, IF(AND($C1013="Passing", $G$3&lt;=0), 0,IF(AND($C1013="Receiving",$I1013&lt;=0), 0,SUMIFS(Table2[Stat],Table2[Week],Table1[[#This Row],[Week]],Table2[Athlete],Table1[[#This Row],[Pick]],Table2[Stat Category],"passing",Table2[Stat Type],"TD"))))</f>
        <v>0</v>
      </c>
      <c r="K1013" s="6">
        <f>IF(AND($C1013="Rushing", $H1013&lt;=0), 0, IF(AND($C1013="Passing", $G$3&lt;=0), 0,IF(AND($C1013="Receiving",$I1013&lt;=0),0,SUMIFS(Table2[Stat],Table2[Week],Table1[[#This Row],[Week]],Table2[Athlete],Table1[[#This Row],[Pick]],Table2[Stat Category],"rushing",Table2[Stat Type],"TD"))))</f>
        <v>0</v>
      </c>
      <c r="L1013" s="6">
        <f>IF(AND($C1013="Rushing", $H1013&lt;=0), 0, IF(AND($C1013="Passing", $G$3&lt;=0), 0,IF(AND($C1013="Receiving",$I1013&lt;=0),0,SUMIFS(Table2[Stat],Table2[Week],Table1[[#This Row],[Week]],Table2[Athlete],Table1[[#This Row],[Pick]],Table2[Stat Category],"receiving",Table2[Stat Type],"TD"))))</f>
        <v>0</v>
      </c>
      <c r="M10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3" s="61">
        <f>SUMIFS(Data!$J:$J,Data!$A:$A,Info!$B1013,Data!$G:$G,Info!$C1013,Data!$I:$I,Info!$D1013,Data!$H:$H,"TOT")</f>
        <v>0</v>
      </c>
      <c r="O1013" s="61">
        <f>IF(C1013="Defensive",SUMIFS(Data!$J:$J,Data!$A:$A,Info!$B1013,Data!$I:$I,Info!$D1013,Data!$H:$H,"INT"),0)</f>
        <v>0</v>
      </c>
      <c r="P1013" s="61">
        <f>IF(Table1[[#This Row],[Role]]="Defensive",SUMIFS(Data!$J:$J,Data!$A:$A,Info!$B1013,Data!$I:$I,Info!$D1013,Data!$H:$H,$P$1),0)</f>
        <v>0</v>
      </c>
      <c r="Q1013" s="65" t="str">
        <f>IF(Table1[[#This Row],[Pick]]="","",IF(S1013&gt;1,400,IF(G1013="","",IF(C1013="Passing",(400-Table1[[#This Row],[Passing Yards]]-(30*Table1[[#This Row],[Passing TDs]])-(50*SUM(Table1[[#This Row],[Rushing TDs]:[Other TD''s]]))),IF(C1013="Rushing",2*(200-Table1[[#This Row],[Rushing Yards]]-(30*Table1[[#This Row],[Passing TDs]])-50*(Table1[[#This Row],[Rushing TDs]]+Table1[[#This Row],[Receiving TDs]]+Table1[[#This Row],[Other TD''s]])),IF(C1013="Receiving",2*(200-Table1[[#This Row],[Receiving Yards]]-(30*Table1[[#This Row],[Passing TDs]])-50*(Table1[[#This Row],[Rushing TDs]]+Table1[[#This Row],[Receiving TDs]]+Table1[[#This Row],[Other TD''s]])),IF(C1013="Defensive",(25*(16-Table1[[#This Row],[Tackles]]-(8*(Table1[[#This Row],[Other TD''s]]+Table1[[#This Row],[Interceptions]]+Table1[[#This Row],[Fumbles Recovered]])))))))))))</f>
        <v/>
      </c>
      <c r="R1013" s="3" t="str">
        <f t="shared" si="32"/>
        <v/>
      </c>
      <c r="S1013" s="4">
        <f t="shared" si="31"/>
        <v>1048507</v>
      </c>
      <c r="T10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4" spans="1:20" hidden="1" x14ac:dyDescent="0.25">
      <c r="A1014" t="s">
        <v>26</v>
      </c>
      <c r="B1014" s="28" t="s">
        <v>93</v>
      </c>
      <c r="C1014" t="s">
        <v>20</v>
      </c>
      <c r="D1014" t="str">
        <f>_xlfn.XLOOKUP(Table1[[#This Row],[Player]]&amp;Table1[[#This Row],[Week]]&amp;Table1[[#This Row],[Role]],'Google Form Transform'!$A:$A,'Google Form Transform'!E:E,"")</f>
        <v/>
      </c>
      <c r="E1014" t="str">
        <f>_xlfn.XLOOKUP(Table1[[#This Row],[Player]]&amp;Table1[[#This Row],[Week]]&amp;Table1[[#This Row],[Role]],'Google Form Transform'!$A:$A,'Google Form Transform'!F:F,"")</f>
        <v/>
      </c>
      <c r="F1014" t="str">
        <f>_xlfn.XLOOKUP(Table1[[#This Row],[Player]]&amp;Table1[[#This Row],[Week]]&amp;Table1[[#This Row],[Role]],'Google Form Transform'!$A:$A,'Google Form Transform'!G:G,"")</f>
        <v/>
      </c>
      <c r="G1014" s="59">
        <f>SUMIFS(Table2[Stat],Table2[Stat Category],"passing",Table2[Stat Type],"YDS",Table2[Athlete],Table1[[#This Row],[Pick]],Table2[Week],Table1[[#This Row],[Week]])</f>
        <v>0</v>
      </c>
      <c r="H1014" s="59">
        <f>SUMIFS(Table2[Stat],Table2[Stat Category],"rushing",Table2[Stat Type],"YDS",Table2[Athlete],Table1[[#This Row],[Pick]],Table2[Week],Table1[[#This Row],[Week]])</f>
        <v>0</v>
      </c>
      <c r="I1014" s="59">
        <f>SUMIFS(Table2[Stat],Table2[Stat Category],"receiving",Table2[Stat Type],"YDS",Table2[Athlete],Table1[[#This Row],[Pick]],Table2[Week],Table1[[#This Row],[Week]])</f>
        <v>0</v>
      </c>
      <c r="J1014" s="6">
        <f>IF(AND($C1014="Rushing", $H1014&lt;=0), 0, IF(AND($C1014="Passing", $G$3&lt;=0), 0,IF(AND($C1014="Receiving",$I1014&lt;=0), 0,SUMIFS(Table2[Stat],Table2[Week],Table1[[#This Row],[Week]],Table2[Athlete],Table1[[#This Row],[Pick]],Table2[Stat Category],"passing",Table2[Stat Type],"TD"))))</f>
        <v>0</v>
      </c>
      <c r="K1014" s="6">
        <f>IF(AND($C1014="Rushing", $H1014&lt;=0), 0, IF(AND($C1014="Passing", $G$3&lt;=0), 0,IF(AND($C1014="Receiving",$I1014&lt;=0),0,SUMIFS(Table2[Stat],Table2[Week],Table1[[#This Row],[Week]],Table2[Athlete],Table1[[#This Row],[Pick]],Table2[Stat Category],"rushing",Table2[Stat Type],"TD"))))</f>
        <v>0</v>
      </c>
      <c r="L1014" s="6">
        <f>IF(AND($C1014="Rushing", $H1014&lt;=0), 0, IF(AND($C1014="Passing", $G$3&lt;=0), 0,IF(AND($C1014="Receiving",$I1014&lt;=0),0,SUMIFS(Table2[Stat],Table2[Week],Table1[[#This Row],[Week]],Table2[Athlete],Table1[[#This Row],[Pick]],Table2[Stat Category],"receiving",Table2[Stat Type],"TD"))))</f>
        <v>0</v>
      </c>
      <c r="M10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4" s="61">
        <f>SUMIFS(Data!$J:$J,Data!$A:$A,Info!$B1014,Data!$G:$G,Info!$C1014,Data!$I:$I,Info!$D1014,Data!$H:$H,"TOT")</f>
        <v>0</v>
      </c>
      <c r="O1014" s="61">
        <f>IF(C1014="Defensive",SUMIFS(Data!$J:$J,Data!$A:$A,Info!$B1014,Data!$I:$I,Info!$D1014,Data!$H:$H,"INT"),0)</f>
        <v>0</v>
      </c>
      <c r="P1014" s="61">
        <f>IF(Table1[[#This Row],[Role]]="Defensive",SUMIFS(Data!$J:$J,Data!$A:$A,Info!$B1014,Data!$I:$I,Info!$D1014,Data!$H:$H,$P$1),0)</f>
        <v>0</v>
      </c>
      <c r="Q1014" s="65" t="str">
        <f>IF(Table1[[#This Row],[Pick]]="","",IF(S1014&gt;1,400,IF(G1014="","",IF(C1014="Passing",(400-Table1[[#This Row],[Passing Yards]]-(30*Table1[[#This Row],[Passing TDs]])-(50*SUM(Table1[[#This Row],[Rushing TDs]:[Other TD''s]]))),IF(C1014="Rushing",2*(200-Table1[[#This Row],[Rushing Yards]]-(30*Table1[[#This Row],[Passing TDs]])-50*(Table1[[#This Row],[Rushing TDs]]+Table1[[#This Row],[Receiving TDs]]+Table1[[#This Row],[Other TD''s]])),IF(C1014="Receiving",2*(200-Table1[[#This Row],[Receiving Yards]]-(30*Table1[[#This Row],[Passing TDs]])-50*(Table1[[#This Row],[Rushing TDs]]+Table1[[#This Row],[Receiving TDs]]+Table1[[#This Row],[Other TD''s]])),IF(C1014="Defensive",(25*(16-Table1[[#This Row],[Tackles]]-(8*(Table1[[#This Row],[Other TD''s]]+Table1[[#This Row],[Interceptions]]+Table1[[#This Row],[Fumbles Recovered]])))))))))))</f>
        <v/>
      </c>
      <c r="R1014" s="3" t="str">
        <f t="shared" si="32"/>
        <v/>
      </c>
      <c r="S1014" s="4">
        <f t="shared" si="31"/>
        <v>1048507</v>
      </c>
      <c r="T10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5" spans="1:20" hidden="1" x14ac:dyDescent="0.25">
      <c r="A1015" t="s">
        <v>43</v>
      </c>
      <c r="B1015" s="28" t="s">
        <v>93</v>
      </c>
      <c r="C1015" t="s">
        <v>16</v>
      </c>
      <c r="D1015" t="str">
        <f>_xlfn.XLOOKUP(Table1[[#This Row],[Player]]&amp;Table1[[#This Row],[Week]]&amp;Table1[[#This Row],[Role]],'Google Form Transform'!$A:$A,'Google Form Transform'!E:E,"")</f>
        <v/>
      </c>
      <c r="E1015" t="str">
        <f>_xlfn.XLOOKUP(Table1[[#This Row],[Player]]&amp;Table1[[#This Row],[Week]]&amp;Table1[[#This Row],[Role]],'Google Form Transform'!$A:$A,'Google Form Transform'!F:F,"")</f>
        <v/>
      </c>
      <c r="F1015" t="str">
        <f>_xlfn.XLOOKUP(Table1[[#This Row],[Player]]&amp;Table1[[#This Row],[Week]]&amp;Table1[[#This Row],[Role]],'Google Form Transform'!$A:$A,'Google Form Transform'!G:G,"")</f>
        <v/>
      </c>
      <c r="G1015" s="59">
        <f>SUMIFS(Table2[Stat],Table2[Stat Category],"passing",Table2[Stat Type],"YDS",Table2[Athlete],Table1[[#This Row],[Pick]],Table2[Week],Table1[[#This Row],[Week]])</f>
        <v>0</v>
      </c>
      <c r="H1015" s="59">
        <f>SUMIFS(Table2[Stat],Table2[Stat Category],"rushing",Table2[Stat Type],"YDS",Table2[Athlete],Table1[[#This Row],[Pick]],Table2[Week],Table1[[#This Row],[Week]])</f>
        <v>0</v>
      </c>
      <c r="I1015" s="59">
        <f>SUMIFS(Table2[Stat],Table2[Stat Category],"receiving",Table2[Stat Type],"YDS",Table2[Athlete],Table1[[#This Row],[Pick]],Table2[Week],Table1[[#This Row],[Week]])</f>
        <v>0</v>
      </c>
      <c r="J1015" s="6">
        <f>IF(AND($C1015="Rushing", $H1015&lt;=0), 0, IF(AND($C1015="Passing", $G$3&lt;=0), 0,IF(AND($C1015="Receiving",$I1015&lt;=0), 0,SUMIFS(Table2[Stat],Table2[Week],Table1[[#This Row],[Week]],Table2[Athlete],Table1[[#This Row],[Pick]],Table2[Stat Category],"passing",Table2[Stat Type],"TD"))))</f>
        <v>0</v>
      </c>
      <c r="K1015" s="6">
        <f>IF(AND($C1015="Rushing", $H1015&lt;=0), 0, IF(AND($C1015="Passing", $G$3&lt;=0), 0,IF(AND($C1015="Receiving",$I1015&lt;=0),0,SUMIFS(Table2[Stat],Table2[Week],Table1[[#This Row],[Week]],Table2[Athlete],Table1[[#This Row],[Pick]],Table2[Stat Category],"rushing",Table2[Stat Type],"TD"))))</f>
        <v>0</v>
      </c>
      <c r="L1015" s="6">
        <f>IF(AND($C1015="Rushing", $H1015&lt;=0), 0, IF(AND($C1015="Passing", $G$3&lt;=0), 0,IF(AND($C1015="Receiving",$I1015&lt;=0),0,SUMIFS(Table2[Stat],Table2[Week],Table1[[#This Row],[Week]],Table2[Athlete],Table1[[#This Row],[Pick]],Table2[Stat Category],"receiving",Table2[Stat Type],"TD"))))</f>
        <v>0</v>
      </c>
      <c r="M10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5" s="61">
        <f>SUMIFS(Data!$J:$J,Data!$A:$A,Info!$B1015,Data!$G:$G,Info!$C1015,Data!$I:$I,Info!$D1015,Data!$H:$H,"TOT")</f>
        <v>0</v>
      </c>
      <c r="O1015" s="61">
        <f>IF(C1015="Defensive",SUMIFS(Data!$J:$J,Data!$A:$A,Info!$B1015,Data!$I:$I,Info!$D1015,Data!$H:$H,"INT"),0)</f>
        <v>0</v>
      </c>
      <c r="P1015" s="61">
        <f>IF(Table1[[#This Row],[Role]]="Defensive",SUMIFS(Data!$J:$J,Data!$A:$A,Info!$B1015,Data!$I:$I,Info!$D1015,Data!$H:$H,$P$1),0)</f>
        <v>0</v>
      </c>
      <c r="Q1015" s="65" t="str">
        <f>IF(Table1[[#This Row],[Pick]]="","",IF(S1015&gt;1,400,IF(G1015="","",IF(C1015="Passing",(400-Table1[[#This Row],[Passing Yards]]-(30*Table1[[#This Row],[Passing TDs]])-(50*SUM(Table1[[#This Row],[Rushing TDs]:[Other TD''s]]))),IF(C1015="Rushing",2*(200-Table1[[#This Row],[Rushing Yards]]-(30*Table1[[#This Row],[Passing TDs]])-50*(Table1[[#This Row],[Rushing TDs]]+Table1[[#This Row],[Receiving TDs]]+Table1[[#This Row],[Other TD''s]])),IF(C1015="Receiving",2*(200-Table1[[#This Row],[Receiving Yards]]-(30*Table1[[#This Row],[Passing TDs]])-50*(Table1[[#This Row],[Rushing TDs]]+Table1[[#This Row],[Receiving TDs]]+Table1[[#This Row],[Other TD''s]])),IF(C1015="Defensive",(25*(16-Table1[[#This Row],[Tackles]]-(8*(Table1[[#This Row],[Other TD''s]]+Table1[[#This Row],[Interceptions]]+Table1[[#This Row],[Fumbles Recovered]])))))))))))</f>
        <v/>
      </c>
      <c r="R1015" s="3" t="str">
        <f t="shared" si="32"/>
        <v/>
      </c>
      <c r="S1015" s="4">
        <f t="shared" si="31"/>
        <v>1048507</v>
      </c>
      <c r="T10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6" spans="1:20" hidden="1" x14ac:dyDescent="0.25">
      <c r="A1016" t="s">
        <v>43</v>
      </c>
      <c r="B1016" s="28" t="s">
        <v>93</v>
      </c>
      <c r="C1016" t="s">
        <v>6</v>
      </c>
      <c r="D1016" t="str">
        <f>_xlfn.XLOOKUP(Table1[[#This Row],[Player]]&amp;Table1[[#This Row],[Week]]&amp;Table1[[#This Row],[Role]],'Google Form Transform'!$A:$A,'Google Form Transform'!E:E,"")</f>
        <v/>
      </c>
      <c r="E1016" t="str">
        <f>_xlfn.XLOOKUP(Table1[[#This Row],[Player]]&amp;Table1[[#This Row],[Week]]&amp;Table1[[#This Row],[Role]],'Google Form Transform'!$A:$A,'Google Form Transform'!F:F,"")</f>
        <v/>
      </c>
      <c r="F1016" t="str">
        <f>_xlfn.XLOOKUP(Table1[[#This Row],[Player]]&amp;Table1[[#This Row],[Week]]&amp;Table1[[#This Row],[Role]],'Google Form Transform'!$A:$A,'Google Form Transform'!G:G,"")</f>
        <v/>
      </c>
      <c r="G1016" s="59">
        <f>SUMIFS(Table2[Stat],Table2[Stat Category],"passing",Table2[Stat Type],"YDS",Table2[Athlete],Table1[[#This Row],[Pick]],Table2[Week],Table1[[#This Row],[Week]])</f>
        <v>0</v>
      </c>
      <c r="H1016" s="59">
        <f>SUMIFS(Table2[Stat],Table2[Stat Category],"rushing",Table2[Stat Type],"YDS",Table2[Athlete],Table1[[#This Row],[Pick]],Table2[Week],Table1[[#This Row],[Week]])</f>
        <v>0</v>
      </c>
      <c r="I1016" s="59">
        <f>SUMIFS(Table2[Stat],Table2[Stat Category],"receiving",Table2[Stat Type],"YDS",Table2[Athlete],Table1[[#This Row],[Pick]],Table2[Week],Table1[[#This Row],[Week]])</f>
        <v>0</v>
      </c>
      <c r="J1016" s="6">
        <f>IF(AND($C1016="Rushing", $H1016&lt;=0), 0, IF(AND($C1016="Passing", $G$3&lt;=0), 0,IF(AND($C1016="Receiving",$I1016&lt;=0), 0,SUMIFS(Table2[Stat],Table2[Week],Table1[[#This Row],[Week]],Table2[Athlete],Table1[[#This Row],[Pick]],Table2[Stat Category],"passing",Table2[Stat Type],"TD"))))</f>
        <v>0</v>
      </c>
      <c r="K1016" s="6">
        <f>IF(AND($C1016="Rushing", $H1016&lt;=0), 0, IF(AND($C1016="Passing", $G$3&lt;=0), 0,IF(AND($C1016="Receiving",$I1016&lt;=0),0,SUMIFS(Table2[Stat],Table2[Week],Table1[[#This Row],[Week]],Table2[Athlete],Table1[[#This Row],[Pick]],Table2[Stat Category],"rushing",Table2[Stat Type],"TD"))))</f>
        <v>0</v>
      </c>
      <c r="L1016" s="6">
        <f>IF(AND($C1016="Rushing", $H1016&lt;=0), 0, IF(AND($C1016="Passing", $G$3&lt;=0), 0,IF(AND($C1016="Receiving",$I1016&lt;=0),0,SUMIFS(Table2[Stat],Table2[Week],Table1[[#This Row],[Week]],Table2[Athlete],Table1[[#This Row],[Pick]],Table2[Stat Category],"receiving",Table2[Stat Type],"TD"))))</f>
        <v>0</v>
      </c>
      <c r="M10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6" s="61">
        <f>SUMIFS(Data!$J:$J,Data!$A:$A,Info!$B1016,Data!$G:$G,Info!$C1016,Data!$I:$I,Info!$D1016,Data!$H:$H,"TOT")</f>
        <v>0</v>
      </c>
      <c r="O1016" s="61">
        <f>IF(C1016="Defensive",SUMIFS(Data!$J:$J,Data!$A:$A,Info!$B1016,Data!$I:$I,Info!$D1016,Data!$H:$H,"INT"),0)</f>
        <v>0</v>
      </c>
      <c r="P1016" s="61">
        <f>IF(Table1[[#This Row],[Role]]="Defensive",SUMIFS(Data!$J:$J,Data!$A:$A,Info!$B1016,Data!$I:$I,Info!$D1016,Data!$H:$H,$P$1),0)</f>
        <v>0</v>
      </c>
      <c r="Q1016" s="65" t="str">
        <f>IF(Table1[[#This Row],[Pick]]="","",IF(S1016&gt;1,400,IF(G1016="","",IF(C1016="Passing",(400-Table1[[#This Row],[Passing Yards]]-(30*Table1[[#This Row],[Passing TDs]])-(50*SUM(Table1[[#This Row],[Rushing TDs]:[Other TD''s]]))),IF(C1016="Rushing",2*(200-Table1[[#This Row],[Rushing Yards]]-(30*Table1[[#This Row],[Passing TDs]])-50*(Table1[[#This Row],[Rushing TDs]]+Table1[[#This Row],[Receiving TDs]]+Table1[[#This Row],[Other TD''s]])),IF(C1016="Receiving",2*(200-Table1[[#This Row],[Receiving Yards]]-(30*Table1[[#This Row],[Passing TDs]])-50*(Table1[[#This Row],[Rushing TDs]]+Table1[[#This Row],[Receiving TDs]]+Table1[[#This Row],[Other TD''s]])),IF(C1016="Defensive",(25*(16-Table1[[#This Row],[Tackles]]-(8*(Table1[[#This Row],[Other TD''s]]+Table1[[#This Row],[Interceptions]]+Table1[[#This Row],[Fumbles Recovered]])))))))))))</f>
        <v/>
      </c>
      <c r="R1016" s="3" t="str">
        <f t="shared" si="32"/>
        <v/>
      </c>
      <c r="S1016" s="4">
        <f t="shared" si="31"/>
        <v>1048507</v>
      </c>
      <c r="T10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7" spans="1:20" hidden="1" x14ac:dyDescent="0.25">
      <c r="A1017" t="s">
        <v>43</v>
      </c>
      <c r="B1017" s="28" t="s">
        <v>93</v>
      </c>
      <c r="C1017" t="s">
        <v>17</v>
      </c>
      <c r="D1017" t="str">
        <f>_xlfn.XLOOKUP(Table1[[#This Row],[Player]]&amp;Table1[[#This Row],[Week]]&amp;Table1[[#This Row],[Role]],'Google Form Transform'!$A:$A,'Google Form Transform'!E:E,"")</f>
        <v/>
      </c>
      <c r="E1017" t="str">
        <f>_xlfn.XLOOKUP(Table1[[#This Row],[Player]]&amp;Table1[[#This Row],[Week]]&amp;Table1[[#This Row],[Role]],'Google Form Transform'!$A:$A,'Google Form Transform'!F:F,"")</f>
        <v/>
      </c>
      <c r="F1017" t="str">
        <f>_xlfn.XLOOKUP(Table1[[#This Row],[Player]]&amp;Table1[[#This Row],[Week]]&amp;Table1[[#This Row],[Role]],'Google Form Transform'!$A:$A,'Google Form Transform'!G:G,"")</f>
        <v/>
      </c>
      <c r="G1017" s="59">
        <f>SUMIFS(Table2[Stat],Table2[Stat Category],"passing",Table2[Stat Type],"YDS",Table2[Athlete],Table1[[#This Row],[Pick]],Table2[Week],Table1[[#This Row],[Week]])</f>
        <v>0</v>
      </c>
      <c r="H1017" s="59">
        <f>SUMIFS(Table2[Stat],Table2[Stat Category],"rushing",Table2[Stat Type],"YDS",Table2[Athlete],Table1[[#This Row],[Pick]],Table2[Week],Table1[[#This Row],[Week]])</f>
        <v>0</v>
      </c>
      <c r="I1017" s="59">
        <f>SUMIFS(Table2[Stat],Table2[Stat Category],"receiving",Table2[Stat Type],"YDS",Table2[Athlete],Table1[[#This Row],[Pick]],Table2[Week],Table1[[#This Row],[Week]])</f>
        <v>0</v>
      </c>
      <c r="J1017" s="6">
        <f>IF(AND($C1017="Rushing", $H1017&lt;=0), 0, IF(AND($C1017="Passing", $G$3&lt;=0), 0,IF(AND($C1017="Receiving",$I1017&lt;=0), 0,SUMIFS(Table2[Stat],Table2[Week],Table1[[#This Row],[Week]],Table2[Athlete],Table1[[#This Row],[Pick]],Table2[Stat Category],"passing",Table2[Stat Type],"TD"))))</f>
        <v>0</v>
      </c>
      <c r="K1017" s="6">
        <f>IF(AND($C1017="Rushing", $H1017&lt;=0), 0, IF(AND($C1017="Passing", $G$3&lt;=0), 0,IF(AND($C1017="Receiving",$I1017&lt;=0),0,SUMIFS(Table2[Stat],Table2[Week],Table1[[#This Row],[Week]],Table2[Athlete],Table1[[#This Row],[Pick]],Table2[Stat Category],"rushing",Table2[Stat Type],"TD"))))</f>
        <v>0</v>
      </c>
      <c r="L1017" s="6">
        <f>IF(AND($C1017="Rushing", $H1017&lt;=0), 0, IF(AND($C1017="Passing", $G$3&lt;=0), 0,IF(AND($C1017="Receiving",$I1017&lt;=0),0,SUMIFS(Table2[Stat],Table2[Week],Table1[[#This Row],[Week]],Table2[Athlete],Table1[[#This Row],[Pick]],Table2[Stat Category],"receiving",Table2[Stat Type],"TD"))))</f>
        <v>0</v>
      </c>
      <c r="M10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7" s="61">
        <f>SUMIFS(Data!$J:$J,Data!$A:$A,Info!$B1017,Data!$G:$G,Info!$C1017,Data!$I:$I,Info!$D1017,Data!$H:$H,"TOT")</f>
        <v>0</v>
      </c>
      <c r="O1017" s="61">
        <f>IF(C1017="Defensive",SUMIFS(Data!$J:$J,Data!$A:$A,Info!$B1017,Data!$I:$I,Info!$D1017,Data!$H:$H,"INT"),0)</f>
        <v>0</v>
      </c>
      <c r="P1017" s="61">
        <f>IF(Table1[[#This Row],[Role]]="Defensive",SUMIFS(Data!$J:$J,Data!$A:$A,Info!$B1017,Data!$I:$I,Info!$D1017,Data!$H:$H,$P$1),0)</f>
        <v>0</v>
      </c>
      <c r="Q1017" s="65" t="str">
        <f>IF(Table1[[#This Row],[Pick]]="","",IF(S1017&gt;1,400,IF(G1017="","",IF(C1017="Passing",(400-Table1[[#This Row],[Passing Yards]]-(30*Table1[[#This Row],[Passing TDs]])-(50*SUM(Table1[[#This Row],[Rushing TDs]:[Other TD''s]]))),IF(C1017="Rushing",2*(200-Table1[[#This Row],[Rushing Yards]]-(30*Table1[[#This Row],[Passing TDs]])-50*(Table1[[#This Row],[Rushing TDs]]+Table1[[#This Row],[Receiving TDs]]+Table1[[#This Row],[Other TD''s]])),IF(C1017="Receiving",2*(200-Table1[[#This Row],[Receiving Yards]]-(30*Table1[[#This Row],[Passing TDs]])-50*(Table1[[#This Row],[Rushing TDs]]+Table1[[#This Row],[Receiving TDs]]+Table1[[#This Row],[Other TD''s]])),IF(C1017="Defensive",(25*(16-Table1[[#This Row],[Tackles]]-(8*(Table1[[#This Row],[Other TD''s]]+Table1[[#This Row],[Interceptions]]+Table1[[#This Row],[Fumbles Recovered]])))))))))))</f>
        <v/>
      </c>
      <c r="R1017" s="3" t="str">
        <f t="shared" si="32"/>
        <v/>
      </c>
      <c r="S1017" s="4">
        <f t="shared" si="31"/>
        <v>1048507</v>
      </c>
      <c r="T10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8" spans="1:20" hidden="1" x14ac:dyDescent="0.25">
      <c r="A1018" t="s">
        <v>43</v>
      </c>
      <c r="B1018" s="28" t="s">
        <v>93</v>
      </c>
      <c r="C1018" t="s">
        <v>20</v>
      </c>
      <c r="D1018" t="str">
        <f>_xlfn.XLOOKUP(Table1[[#This Row],[Player]]&amp;Table1[[#This Row],[Week]]&amp;Table1[[#This Row],[Role]],'Google Form Transform'!$A:$A,'Google Form Transform'!E:E,"")</f>
        <v/>
      </c>
      <c r="E1018" t="str">
        <f>_xlfn.XLOOKUP(Table1[[#This Row],[Player]]&amp;Table1[[#This Row],[Week]]&amp;Table1[[#This Row],[Role]],'Google Form Transform'!$A:$A,'Google Form Transform'!F:F,"")</f>
        <v/>
      </c>
      <c r="F1018" t="str">
        <f>_xlfn.XLOOKUP(Table1[[#This Row],[Player]]&amp;Table1[[#This Row],[Week]]&amp;Table1[[#This Row],[Role]],'Google Form Transform'!$A:$A,'Google Form Transform'!G:G,"")</f>
        <v/>
      </c>
      <c r="G1018" s="59">
        <f>SUMIFS(Table2[Stat],Table2[Stat Category],"passing",Table2[Stat Type],"YDS",Table2[Athlete],Table1[[#This Row],[Pick]],Table2[Week],Table1[[#This Row],[Week]])</f>
        <v>0</v>
      </c>
      <c r="H1018" s="59">
        <f>SUMIFS(Table2[Stat],Table2[Stat Category],"rushing",Table2[Stat Type],"YDS",Table2[Athlete],Table1[[#This Row],[Pick]],Table2[Week],Table1[[#This Row],[Week]])</f>
        <v>0</v>
      </c>
      <c r="I1018" s="59">
        <f>SUMIFS(Table2[Stat],Table2[Stat Category],"receiving",Table2[Stat Type],"YDS",Table2[Athlete],Table1[[#This Row],[Pick]],Table2[Week],Table1[[#This Row],[Week]])</f>
        <v>0</v>
      </c>
      <c r="J1018" s="6">
        <f>IF(AND($C1018="Rushing", $H1018&lt;=0), 0, IF(AND($C1018="Passing", $G$3&lt;=0), 0,IF(AND($C1018="Receiving",$I1018&lt;=0), 0,SUMIFS(Table2[Stat],Table2[Week],Table1[[#This Row],[Week]],Table2[Athlete],Table1[[#This Row],[Pick]],Table2[Stat Category],"passing",Table2[Stat Type],"TD"))))</f>
        <v>0</v>
      </c>
      <c r="K1018" s="6">
        <f>IF(AND($C1018="Rushing", $H1018&lt;=0), 0, IF(AND($C1018="Passing", $G$3&lt;=0), 0,IF(AND($C1018="Receiving",$I1018&lt;=0),0,SUMIFS(Table2[Stat],Table2[Week],Table1[[#This Row],[Week]],Table2[Athlete],Table1[[#This Row],[Pick]],Table2[Stat Category],"rushing",Table2[Stat Type],"TD"))))</f>
        <v>0</v>
      </c>
      <c r="L1018" s="6">
        <f>IF(AND($C1018="Rushing", $H1018&lt;=0), 0, IF(AND($C1018="Passing", $G$3&lt;=0), 0,IF(AND($C1018="Receiving",$I1018&lt;=0),0,SUMIFS(Table2[Stat],Table2[Week],Table1[[#This Row],[Week]],Table2[Athlete],Table1[[#This Row],[Pick]],Table2[Stat Category],"receiving",Table2[Stat Type],"TD"))))</f>
        <v>0</v>
      </c>
      <c r="M10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8" s="61">
        <f>SUMIFS(Data!$J:$J,Data!$A:$A,Info!$B1018,Data!$G:$G,Info!$C1018,Data!$I:$I,Info!$D1018,Data!$H:$H,"TOT")</f>
        <v>0</v>
      </c>
      <c r="O1018" s="61">
        <f>IF(C1018="Defensive",SUMIFS(Data!$J:$J,Data!$A:$A,Info!$B1018,Data!$I:$I,Info!$D1018,Data!$H:$H,"INT"),0)</f>
        <v>0</v>
      </c>
      <c r="P1018" s="61">
        <f>IF(Table1[[#This Row],[Role]]="Defensive",SUMIFS(Data!$J:$J,Data!$A:$A,Info!$B1018,Data!$I:$I,Info!$D1018,Data!$H:$H,$P$1),0)</f>
        <v>0</v>
      </c>
      <c r="Q1018" s="65" t="str">
        <f>IF(Table1[[#This Row],[Pick]]="","",IF(S1018&gt;1,400,IF(G1018="","",IF(C1018="Passing",(400-Table1[[#This Row],[Passing Yards]]-(30*Table1[[#This Row],[Passing TDs]])-(50*SUM(Table1[[#This Row],[Rushing TDs]:[Other TD''s]]))),IF(C1018="Rushing",2*(200-Table1[[#This Row],[Rushing Yards]]-(30*Table1[[#This Row],[Passing TDs]])-50*(Table1[[#This Row],[Rushing TDs]]+Table1[[#This Row],[Receiving TDs]]+Table1[[#This Row],[Other TD''s]])),IF(C1018="Receiving",2*(200-Table1[[#This Row],[Receiving Yards]]-(30*Table1[[#This Row],[Passing TDs]])-50*(Table1[[#This Row],[Rushing TDs]]+Table1[[#This Row],[Receiving TDs]]+Table1[[#This Row],[Other TD''s]])),IF(C1018="Defensive",(25*(16-Table1[[#This Row],[Tackles]]-(8*(Table1[[#This Row],[Other TD''s]]+Table1[[#This Row],[Interceptions]]+Table1[[#This Row],[Fumbles Recovered]])))))))))))</f>
        <v/>
      </c>
      <c r="R1018" s="3" t="str">
        <f t="shared" si="32"/>
        <v/>
      </c>
      <c r="S1018" s="4">
        <f t="shared" si="31"/>
        <v>1048507</v>
      </c>
      <c r="T10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9" spans="1:20" hidden="1" x14ac:dyDescent="0.25">
      <c r="A1019" t="s">
        <v>7</v>
      </c>
      <c r="B1019" s="28" t="s">
        <v>93</v>
      </c>
      <c r="C1019" t="s">
        <v>16</v>
      </c>
      <c r="D1019" t="str">
        <f>_xlfn.XLOOKUP(Table1[[#This Row],[Player]]&amp;Table1[[#This Row],[Week]]&amp;Table1[[#This Row],[Role]],'Google Form Transform'!$A:$A,'Google Form Transform'!E:E,"")</f>
        <v/>
      </c>
      <c r="E1019" t="str">
        <f>_xlfn.XLOOKUP(Table1[[#This Row],[Player]]&amp;Table1[[#This Row],[Week]]&amp;Table1[[#This Row],[Role]],'Google Form Transform'!$A:$A,'Google Form Transform'!F:F,"")</f>
        <v/>
      </c>
      <c r="F1019" t="str">
        <f>_xlfn.XLOOKUP(Table1[[#This Row],[Player]]&amp;Table1[[#This Row],[Week]]&amp;Table1[[#This Row],[Role]],'Google Form Transform'!$A:$A,'Google Form Transform'!G:G,"")</f>
        <v/>
      </c>
      <c r="G1019" s="59">
        <f>SUMIFS(Table2[Stat],Table2[Stat Category],"passing",Table2[Stat Type],"YDS",Table2[Athlete],Table1[[#This Row],[Pick]],Table2[Week],Table1[[#This Row],[Week]])</f>
        <v>0</v>
      </c>
      <c r="H1019" s="59">
        <f>SUMIFS(Table2[Stat],Table2[Stat Category],"rushing",Table2[Stat Type],"YDS",Table2[Athlete],Table1[[#This Row],[Pick]],Table2[Week],Table1[[#This Row],[Week]])</f>
        <v>0</v>
      </c>
      <c r="I1019" s="59">
        <f>SUMIFS(Table2[Stat],Table2[Stat Category],"receiving",Table2[Stat Type],"YDS",Table2[Athlete],Table1[[#This Row],[Pick]],Table2[Week],Table1[[#This Row],[Week]])</f>
        <v>0</v>
      </c>
      <c r="J1019" s="6">
        <f>IF(AND($C1019="Rushing", $H1019&lt;=0), 0, IF(AND($C1019="Passing", $G$3&lt;=0), 0,IF(AND($C1019="Receiving",$I1019&lt;=0), 0,SUMIFS(Table2[Stat],Table2[Week],Table1[[#This Row],[Week]],Table2[Athlete],Table1[[#This Row],[Pick]],Table2[Stat Category],"passing",Table2[Stat Type],"TD"))))</f>
        <v>0</v>
      </c>
      <c r="K1019" s="6">
        <f>IF(AND($C1019="Rushing", $H1019&lt;=0), 0, IF(AND($C1019="Passing", $G$3&lt;=0), 0,IF(AND($C1019="Receiving",$I1019&lt;=0),0,SUMIFS(Table2[Stat],Table2[Week],Table1[[#This Row],[Week]],Table2[Athlete],Table1[[#This Row],[Pick]],Table2[Stat Category],"rushing",Table2[Stat Type],"TD"))))</f>
        <v>0</v>
      </c>
      <c r="L1019" s="6">
        <f>IF(AND($C1019="Rushing", $H1019&lt;=0), 0, IF(AND($C1019="Passing", $G$3&lt;=0), 0,IF(AND($C1019="Receiving",$I1019&lt;=0),0,SUMIFS(Table2[Stat],Table2[Week],Table1[[#This Row],[Week]],Table2[Athlete],Table1[[#This Row],[Pick]],Table2[Stat Category],"receiving",Table2[Stat Type],"TD"))))</f>
        <v>0</v>
      </c>
      <c r="M10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9" s="61">
        <f>SUMIFS(Data!$J:$J,Data!$A:$A,Info!$B1019,Data!$G:$G,Info!$C1019,Data!$I:$I,Info!$D1019,Data!$H:$H,"TOT")</f>
        <v>0</v>
      </c>
      <c r="O1019" s="61">
        <f>IF(C1019="Defensive",SUMIFS(Data!$J:$J,Data!$A:$A,Info!$B1019,Data!$I:$I,Info!$D1019,Data!$H:$H,"INT"),0)</f>
        <v>0</v>
      </c>
      <c r="P1019" s="61">
        <f>IF(Table1[[#This Row],[Role]]="Defensive",SUMIFS(Data!$J:$J,Data!$A:$A,Info!$B1019,Data!$I:$I,Info!$D1019,Data!$H:$H,$P$1),0)</f>
        <v>0</v>
      </c>
      <c r="Q1019" s="65" t="str">
        <f>IF(Table1[[#This Row],[Pick]]="","",IF(S1019&gt;1,400,IF(G1019="","",IF(C1019="Passing",(400-Table1[[#This Row],[Passing Yards]]-(30*Table1[[#This Row],[Passing TDs]])-(50*SUM(Table1[[#This Row],[Rushing TDs]:[Other TD''s]]))),IF(C1019="Rushing",2*(200-Table1[[#This Row],[Rushing Yards]]-(30*Table1[[#This Row],[Passing TDs]])-50*(Table1[[#This Row],[Rushing TDs]]+Table1[[#This Row],[Receiving TDs]]+Table1[[#This Row],[Other TD''s]])),IF(C1019="Receiving",2*(200-Table1[[#This Row],[Receiving Yards]]-(30*Table1[[#This Row],[Passing TDs]])-50*(Table1[[#This Row],[Rushing TDs]]+Table1[[#This Row],[Receiving TDs]]+Table1[[#This Row],[Other TD''s]])),IF(C1019="Defensive",(25*(16-Table1[[#This Row],[Tackles]]-(8*(Table1[[#This Row],[Other TD''s]]+Table1[[#This Row],[Interceptions]]+Table1[[#This Row],[Fumbles Recovered]])))))))))))</f>
        <v/>
      </c>
      <c r="R1019" s="3" t="str">
        <f t="shared" si="32"/>
        <v/>
      </c>
      <c r="S1019" s="4">
        <f t="shared" si="31"/>
        <v>1048507</v>
      </c>
      <c r="T10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20" spans="1:20" hidden="1" x14ac:dyDescent="0.25">
      <c r="A1020" t="s">
        <v>7</v>
      </c>
      <c r="B1020" s="28" t="s">
        <v>93</v>
      </c>
      <c r="C1020" t="s">
        <v>6</v>
      </c>
      <c r="D1020" t="str">
        <f>_xlfn.XLOOKUP(Table1[[#This Row],[Player]]&amp;Table1[[#This Row],[Week]]&amp;Table1[[#This Row],[Role]],'Google Form Transform'!$A:$A,'Google Form Transform'!E:E,"")</f>
        <v/>
      </c>
      <c r="E1020" t="str">
        <f>_xlfn.XLOOKUP(Table1[[#This Row],[Player]]&amp;Table1[[#This Row],[Week]]&amp;Table1[[#This Row],[Role]],'Google Form Transform'!$A:$A,'Google Form Transform'!F:F,"")</f>
        <v/>
      </c>
      <c r="F1020" t="str">
        <f>_xlfn.XLOOKUP(Table1[[#This Row],[Player]]&amp;Table1[[#This Row],[Week]]&amp;Table1[[#This Row],[Role]],'Google Form Transform'!$A:$A,'Google Form Transform'!G:G,"")</f>
        <v/>
      </c>
      <c r="G1020" s="59">
        <f>SUMIFS(Table2[Stat],Table2[Stat Category],"passing",Table2[Stat Type],"YDS",Table2[Athlete],Table1[[#This Row],[Pick]],Table2[Week],Table1[[#This Row],[Week]])</f>
        <v>0</v>
      </c>
      <c r="H1020" s="59">
        <f>SUMIFS(Table2[Stat],Table2[Stat Category],"rushing",Table2[Stat Type],"YDS",Table2[Athlete],Table1[[#This Row],[Pick]],Table2[Week],Table1[[#This Row],[Week]])</f>
        <v>0</v>
      </c>
      <c r="I1020" s="59">
        <f>SUMIFS(Table2[Stat],Table2[Stat Category],"receiving",Table2[Stat Type],"YDS",Table2[Athlete],Table1[[#This Row],[Pick]],Table2[Week],Table1[[#This Row],[Week]])</f>
        <v>0</v>
      </c>
      <c r="J1020" s="6">
        <f>IF(AND($C1020="Rushing", $H1020&lt;=0), 0, IF(AND($C1020="Passing", $G$3&lt;=0), 0,IF(AND($C1020="Receiving",$I1020&lt;=0), 0,SUMIFS(Table2[Stat],Table2[Week],Table1[[#This Row],[Week]],Table2[Athlete],Table1[[#This Row],[Pick]],Table2[Stat Category],"passing",Table2[Stat Type],"TD"))))</f>
        <v>0</v>
      </c>
      <c r="K1020" s="6">
        <f>IF(AND($C1020="Rushing", $H1020&lt;=0), 0, IF(AND($C1020="Passing", $G$3&lt;=0), 0,IF(AND($C1020="Receiving",$I1020&lt;=0),0,SUMIFS(Table2[Stat],Table2[Week],Table1[[#This Row],[Week]],Table2[Athlete],Table1[[#This Row],[Pick]],Table2[Stat Category],"rushing",Table2[Stat Type],"TD"))))</f>
        <v>0</v>
      </c>
      <c r="L1020" s="6">
        <f>IF(AND($C1020="Rushing", $H1020&lt;=0), 0, IF(AND($C1020="Passing", $G$3&lt;=0), 0,IF(AND($C1020="Receiving",$I1020&lt;=0),0,SUMIFS(Table2[Stat],Table2[Week],Table1[[#This Row],[Week]],Table2[Athlete],Table1[[#This Row],[Pick]],Table2[Stat Category],"receiving",Table2[Stat Type],"TD"))))</f>
        <v>0</v>
      </c>
      <c r="M10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0" s="61">
        <f>SUMIFS(Data!$J:$J,Data!$A:$A,Info!$B1020,Data!$G:$G,Info!$C1020,Data!$I:$I,Info!$D1020,Data!$H:$H,"TOT")</f>
        <v>0</v>
      </c>
      <c r="O1020" s="61">
        <f>IF(C1020="Defensive",SUMIFS(Data!$J:$J,Data!$A:$A,Info!$B1020,Data!$I:$I,Info!$D1020,Data!$H:$H,"INT"),0)</f>
        <v>0</v>
      </c>
      <c r="P1020" s="61">
        <f>IF(Table1[[#This Row],[Role]]="Defensive",SUMIFS(Data!$J:$J,Data!$A:$A,Info!$B1020,Data!$I:$I,Info!$D1020,Data!$H:$H,$P$1),0)</f>
        <v>0</v>
      </c>
      <c r="Q1020" s="65" t="str">
        <f>IF(Table1[[#This Row],[Pick]]="","",IF(S1020&gt;1,400,IF(G1020="","",IF(C1020="Passing",(400-Table1[[#This Row],[Passing Yards]]-(30*Table1[[#This Row],[Passing TDs]])-(50*SUM(Table1[[#This Row],[Rushing TDs]:[Other TD''s]]))),IF(C1020="Rushing",2*(200-Table1[[#This Row],[Rushing Yards]]-(30*Table1[[#This Row],[Passing TDs]])-50*(Table1[[#This Row],[Rushing TDs]]+Table1[[#This Row],[Receiving TDs]]+Table1[[#This Row],[Other TD''s]])),IF(C1020="Receiving",2*(200-Table1[[#This Row],[Receiving Yards]]-(30*Table1[[#This Row],[Passing TDs]])-50*(Table1[[#This Row],[Rushing TDs]]+Table1[[#This Row],[Receiving TDs]]+Table1[[#This Row],[Other TD''s]])),IF(C1020="Defensive",(25*(16-Table1[[#This Row],[Tackles]]-(8*(Table1[[#This Row],[Other TD''s]]+Table1[[#This Row],[Interceptions]]+Table1[[#This Row],[Fumbles Recovered]])))))))))))</f>
        <v/>
      </c>
      <c r="R1020" s="3" t="str">
        <f t="shared" si="32"/>
        <v/>
      </c>
      <c r="S1020" s="4">
        <f t="shared" si="31"/>
        <v>1048507</v>
      </c>
      <c r="T10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21" spans="1:20" hidden="1" x14ac:dyDescent="0.25">
      <c r="A1021" t="s">
        <v>7</v>
      </c>
      <c r="B1021" s="28" t="s">
        <v>93</v>
      </c>
      <c r="C1021" t="s">
        <v>17</v>
      </c>
      <c r="D1021" t="str">
        <f>_xlfn.XLOOKUP(Table1[[#This Row],[Player]]&amp;Table1[[#This Row],[Week]]&amp;Table1[[#This Row],[Role]],'Google Form Transform'!$A:$A,'Google Form Transform'!E:E,"")</f>
        <v/>
      </c>
      <c r="E1021" t="str">
        <f>_xlfn.XLOOKUP(Table1[[#This Row],[Player]]&amp;Table1[[#This Row],[Week]]&amp;Table1[[#This Row],[Role]],'Google Form Transform'!$A:$A,'Google Form Transform'!F:F,"")</f>
        <v/>
      </c>
      <c r="F1021" t="str">
        <f>_xlfn.XLOOKUP(Table1[[#This Row],[Player]]&amp;Table1[[#This Row],[Week]]&amp;Table1[[#This Row],[Role]],'Google Form Transform'!$A:$A,'Google Form Transform'!G:G,"")</f>
        <v/>
      </c>
      <c r="G1021" s="59">
        <f>SUMIFS(Table2[Stat],Table2[Stat Category],"passing",Table2[Stat Type],"YDS",Table2[Athlete],Table1[[#This Row],[Pick]],Table2[Week],Table1[[#This Row],[Week]])</f>
        <v>0</v>
      </c>
      <c r="H1021" s="59">
        <f>SUMIFS(Table2[Stat],Table2[Stat Category],"rushing",Table2[Stat Type],"YDS",Table2[Athlete],Table1[[#This Row],[Pick]],Table2[Week],Table1[[#This Row],[Week]])</f>
        <v>0</v>
      </c>
      <c r="I1021" s="59">
        <f>SUMIFS(Table2[Stat],Table2[Stat Category],"receiving",Table2[Stat Type],"YDS",Table2[Athlete],Table1[[#This Row],[Pick]],Table2[Week],Table1[[#This Row],[Week]])</f>
        <v>0</v>
      </c>
      <c r="J1021" s="6">
        <f>IF(AND($C1021="Rushing", $H1021&lt;=0), 0, IF(AND($C1021="Passing", $G$3&lt;=0), 0,IF(AND($C1021="Receiving",$I1021&lt;=0), 0,SUMIFS(Table2[Stat],Table2[Week],Table1[[#This Row],[Week]],Table2[Athlete],Table1[[#This Row],[Pick]],Table2[Stat Category],"passing",Table2[Stat Type],"TD"))))</f>
        <v>0</v>
      </c>
      <c r="K1021" s="6">
        <f>IF(AND($C1021="Rushing", $H1021&lt;=0), 0, IF(AND($C1021="Passing", $G$3&lt;=0), 0,IF(AND($C1021="Receiving",$I1021&lt;=0),0,SUMIFS(Table2[Stat],Table2[Week],Table1[[#This Row],[Week]],Table2[Athlete],Table1[[#This Row],[Pick]],Table2[Stat Category],"rushing",Table2[Stat Type],"TD"))))</f>
        <v>0</v>
      </c>
      <c r="L1021" s="6">
        <f>IF(AND($C1021="Rushing", $H1021&lt;=0), 0, IF(AND($C1021="Passing", $G$3&lt;=0), 0,IF(AND($C1021="Receiving",$I1021&lt;=0),0,SUMIFS(Table2[Stat],Table2[Week],Table1[[#This Row],[Week]],Table2[Athlete],Table1[[#This Row],[Pick]],Table2[Stat Category],"receiving",Table2[Stat Type],"TD"))))</f>
        <v>0</v>
      </c>
      <c r="M10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1" s="61">
        <f>SUMIFS(Data!$J:$J,Data!$A:$A,Info!$B1021,Data!$G:$G,Info!$C1021,Data!$I:$I,Info!$D1021,Data!$H:$H,"TOT")</f>
        <v>0</v>
      </c>
      <c r="O1021" s="61">
        <f>IF(C1021="Defensive",SUMIFS(Data!$J:$J,Data!$A:$A,Info!$B1021,Data!$I:$I,Info!$D1021,Data!$H:$H,"INT"),0)</f>
        <v>0</v>
      </c>
      <c r="P1021" s="61">
        <f>IF(Table1[[#This Row],[Role]]="Defensive",SUMIFS(Data!$J:$J,Data!$A:$A,Info!$B1021,Data!$I:$I,Info!$D1021,Data!$H:$H,$P$1),0)</f>
        <v>0</v>
      </c>
      <c r="Q1021" s="65" t="str">
        <f>IF(Table1[[#This Row],[Pick]]="","",IF(S1021&gt;1,400,IF(G1021="","",IF(C1021="Passing",(400-Table1[[#This Row],[Passing Yards]]-(30*Table1[[#This Row],[Passing TDs]])-(50*SUM(Table1[[#This Row],[Rushing TDs]:[Other TD''s]]))),IF(C1021="Rushing",2*(200-Table1[[#This Row],[Rushing Yards]]-(30*Table1[[#This Row],[Passing TDs]])-50*(Table1[[#This Row],[Rushing TDs]]+Table1[[#This Row],[Receiving TDs]]+Table1[[#This Row],[Other TD''s]])),IF(C1021="Receiving",2*(200-Table1[[#This Row],[Receiving Yards]]-(30*Table1[[#This Row],[Passing TDs]])-50*(Table1[[#This Row],[Rushing TDs]]+Table1[[#This Row],[Receiving TDs]]+Table1[[#This Row],[Other TD''s]])),IF(C1021="Defensive",(25*(16-Table1[[#This Row],[Tackles]]-(8*(Table1[[#This Row],[Other TD''s]]+Table1[[#This Row],[Interceptions]]+Table1[[#This Row],[Fumbles Recovered]])))))))))))</f>
        <v/>
      </c>
      <c r="R1021" s="3" t="str">
        <f t="shared" si="32"/>
        <v/>
      </c>
      <c r="S1021" s="4">
        <f t="shared" si="31"/>
        <v>1048507</v>
      </c>
      <c r="T10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22" spans="1:20" hidden="1" x14ac:dyDescent="0.25">
      <c r="A1022" t="s">
        <v>7</v>
      </c>
      <c r="B1022" s="28" t="s">
        <v>93</v>
      </c>
      <c r="C1022" t="s">
        <v>20</v>
      </c>
      <c r="D1022" t="str">
        <f>_xlfn.XLOOKUP(Table1[[#This Row],[Player]]&amp;Table1[[#This Row],[Week]]&amp;Table1[[#This Row],[Role]],'Google Form Transform'!$A:$A,'Google Form Transform'!E:E,"")</f>
        <v/>
      </c>
      <c r="E1022" t="str">
        <f>_xlfn.XLOOKUP(Table1[[#This Row],[Player]]&amp;Table1[[#This Row],[Week]]&amp;Table1[[#This Row],[Role]],'Google Form Transform'!$A:$A,'Google Form Transform'!F:F,"")</f>
        <v/>
      </c>
      <c r="F1022" t="str">
        <f>_xlfn.XLOOKUP(Table1[[#This Row],[Player]]&amp;Table1[[#This Row],[Week]]&amp;Table1[[#This Row],[Role]],'Google Form Transform'!$A:$A,'Google Form Transform'!G:G,"")</f>
        <v/>
      </c>
      <c r="G1022" s="59">
        <f>SUMIFS(Table2[Stat],Table2[Stat Category],"passing",Table2[Stat Type],"YDS",Table2[Athlete],Table1[[#This Row],[Pick]],Table2[Week],Table1[[#This Row],[Week]])</f>
        <v>0</v>
      </c>
      <c r="H1022" s="59">
        <f>SUMIFS(Table2[Stat],Table2[Stat Category],"rushing",Table2[Stat Type],"YDS",Table2[Athlete],Table1[[#This Row],[Pick]],Table2[Week],Table1[[#This Row],[Week]])</f>
        <v>0</v>
      </c>
      <c r="I1022" s="59">
        <f>SUMIFS(Table2[Stat],Table2[Stat Category],"receiving",Table2[Stat Type],"YDS",Table2[Athlete],Table1[[#This Row],[Pick]],Table2[Week],Table1[[#This Row],[Week]])</f>
        <v>0</v>
      </c>
      <c r="J1022" s="6">
        <f>IF(AND($C1022="Rushing", $H1022&lt;=0), 0, IF(AND($C1022="Passing", $G$3&lt;=0), 0,IF(AND($C1022="Receiving",$I1022&lt;=0), 0,SUMIFS(Table2[Stat],Table2[Week],Table1[[#This Row],[Week]],Table2[Athlete],Table1[[#This Row],[Pick]],Table2[Stat Category],"passing",Table2[Stat Type],"TD"))))</f>
        <v>0</v>
      </c>
      <c r="K1022" s="6">
        <f>IF(AND($C1022="Rushing", $H1022&lt;=0), 0, IF(AND($C1022="Passing", $G$3&lt;=0), 0,IF(AND($C1022="Receiving",$I1022&lt;=0),0,SUMIFS(Table2[Stat],Table2[Week],Table1[[#This Row],[Week]],Table2[Athlete],Table1[[#This Row],[Pick]],Table2[Stat Category],"rushing",Table2[Stat Type],"TD"))))</f>
        <v>0</v>
      </c>
      <c r="L1022" s="6">
        <f>IF(AND($C1022="Rushing", $H1022&lt;=0), 0, IF(AND($C1022="Passing", $G$3&lt;=0), 0,IF(AND($C1022="Receiving",$I1022&lt;=0),0,SUMIFS(Table2[Stat],Table2[Week],Table1[[#This Row],[Week]],Table2[Athlete],Table1[[#This Row],[Pick]],Table2[Stat Category],"receiving",Table2[Stat Type],"TD"))))</f>
        <v>0</v>
      </c>
      <c r="M10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2" s="61">
        <f>SUMIFS(Data!$J:$J,Data!$A:$A,Info!$B1022,Data!$G:$G,Info!$C1022,Data!$I:$I,Info!$D1022,Data!$H:$H,"TOT")</f>
        <v>0</v>
      </c>
      <c r="O1022" s="61">
        <f>IF(C1022="Defensive",SUMIFS(Data!$J:$J,Data!$A:$A,Info!$B1022,Data!$I:$I,Info!$D1022,Data!$H:$H,"INT"),0)</f>
        <v>0</v>
      </c>
      <c r="P1022" s="61">
        <f>IF(Table1[[#This Row],[Role]]="Defensive",SUMIFS(Data!$J:$J,Data!$A:$A,Info!$B1022,Data!$I:$I,Info!$D1022,Data!$H:$H,$P$1),0)</f>
        <v>0</v>
      </c>
      <c r="Q1022" s="65" t="str">
        <f>IF(Table1[[#This Row],[Pick]]="","",IF(S1022&gt;1,400,IF(G1022="","",IF(C1022="Passing",(400-Table1[[#This Row],[Passing Yards]]-(30*Table1[[#This Row],[Passing TDs]])-(50*SUM(Table1[[#This Row],[Rushing TDs]:[Other TD''s]]))),IF(C1022="Rushing",2*(200-Table1[[#This Row],[Rushing Yards]]-(30*Table1[[#This Row],[Passing TDs]])-50*(Table1[[#This Row],[Rushing TDs]]+Table1[[#This Row],[Receiving TDs]]+Table1[[#This Row],[Other TD''s]])),IF(C1022="Receiving",2*(200-Table1[[#This Row],[Receiving Yards]]-(30*Table1[[#This Row],[Passing TDs]])-50*(Table1[[#This Row],[Rushing TDs]]+Table1[[#This Row],[Receiving TDs]]+Table1[[#This Row],[Other TD''s]])),IF(C1022="Defensive",(25*(16-Table1[[#This Row],[Tackles]]-(8*(Table1[[#This Row],[Other TD''s]]+Table1[[#This Row],[Interceptions]]+Table1[[#This Row],[Fumbles Recovered]])))))))))))</f>
        <v/>
      </c>
      <c r="R1022" s="3" t="str">
        <f t="shared" si="32"/>
        <v/>
      </c>
      <c r="S1022" s="4">
        <f t="shared" si="31"/>
        <v>1048507</v>
      </c>
      <c r="T10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23" spans="1:20" x14ac:dyDescent="0.25">
      <c r="A1023" t="s">
        <v>106</v>
      </c>
      <c r="B1023" s="28" t="s">
        <v>27</v>
      </c>
      <c r="C1023" t="s">
        <v>16</v>
      </c>
      <c r="D1023" s="71" t="str">
        <f>_xlfn.XLOOKUP(Table1[[#This Row],[Player]]&amp;Table1[[#This Row],[Week]]&amp;Table1[[#This Row],[Role]],'Google Form Transform'!$A:$A,'Google Form Transform'!E:E,"")</f>
        <v>Drew Allar</v>
      </c>
      <c r="E1023" t="str">
        <f>_xlfn.XLOOKUP(Table1[[#This Row],[Player]]&amp;Table1[[#This Row],[Week]]&amp;Table1[[#This Row],[Role]],'Google Form Transform'!$A:$A,'Google Form Transform'!F:F,"")</f>
        <v>Penn State</v>
      </c>
      <c r="F1023" t="str">
        <f>_xlfn.XLOOKUP(Table1[[#This Row],[Player]]&amp;Table1[[#This Row],[Week]]&amp;Table1[[#This Row],[Role]],'Google Form Transform'!$A:$A,'Google Form Transform'!G:G,"")</f>
        <v>Nevada</v>
      </c>
      <c r="G1023" s="59">
        <f>SUMIFS(Table2[Stat],Table2[Stat Category],"passing",Table2[Stat Type],"YDS",Table2[Athlete],Table1[[#This Row],[Pick]],Table2[Week],Table1[[#This Row],[Week]])</f>
        <v>217</v>
      </c>
      <c r="H1023" s="59">
        <f>SUMIFS(Table2[Stat],Table2[Stat Category],"rushing",Table2[Stat Type],"YDS",Table2[Athlete],Table1[[#This Row],[Pick]],Table2[Week],Table1[[#This Row],[Week]])</f>
        <v>20</v>
      </c>
      <c r="I1023" s="59">
        <f>SUMIFS(Table2[Stat],Table2[Stat Category],"receiving",Table2[Stat Type],"YDS",Table2[Athlete],Table1[[#This Row],[Pick]],Table2[Week],Table1[[#This Row],[Week]])</f>
        <v>0</v>
      </c>
      <c r="J1023" s="6">
        <f>IF(AND($C1023="Rushing", $H1023&lt;=0), 0, IF(AND($C1023="Passing", $G$3&lt;=0), 0,IF(AND($C1023="Receiving",$I1023&lt;=0), 0,SUMIFS(Table2[Stat],Table2[Week],Table1[[#This Row],[Week]],Table2[Athlete],Table1[[#This Row],[Pick]],Table2[Stat Category],"passing",Table2[Stat Type],"TD"))))</f>
        <v>1</v>
      </c>
      <c r="K1023" s="6">
        <f>IF(AND($C1023="Rushing", $H1023&lt;=0), 0, IF(AND($C1023="Passing", $G$3&lt;=0), 0,IF(AND($C1023="Receiving",$I1023&lt;=0),0,SUMIFS(Table2[Stat],Table2[Week],Table1[[#This Row],[Week]],Table2[Athlete],Table1[[#This Row],[Pick]],Table2[Stat Category],"rushing",Table2[Stat Type],"TD"))))</f>
        <v>0</v>
      </c>
      <c r="L1023" s="6">
        <f>IF(AND($C1023="Rushing", $H1023&lt;=0), 0, IF(AND($C1023="Passing", $G$3&lt;=0), 0,IF(AND($C1023="Receiving",$I1023&lt;=0),0,SUMIFS(Table2[Stat],Table2[Week],Table1[[#This Row],[Week]],Table2[Athlete],Table1[[#This Row],[Pick]],Table2[Stat Category],"receiving",Table2[Stat Type],"TD"))))</f>
        <v>0</v>
      </c>
      <c r="M10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3" s="61">
        <f>SUMIFS(Data!$J:$J,Data!$A:$A,Info!$B1023,Data!$G:$G,Info!$C1023,Data!$I:$I,Info!$D1023,Data!$H:$H,"TOT")</f>
        <v>0</v>
      </c>
      <c r="O1023" s="61">
        <f>IF(C1023="Defensive",SUMIFS(Data!$J:$J,Data!$A:$A,Info!$B1023,Data!$I:$I,Info!$D1023,Data!$H:$H,"INT"),0)</f>
        <v>0</v>
      </c>
      <c r="P1023" s="61">
        <f>IF(Table1[[#This Row],[Role]]="Defensive",SUMIFS(Data!$J:$J,Data!$A:$A,Info!$B1023,Data!$I:$I,Info!$D1023,Data!$H:$H,$P$1),0)</f>
        <v>0</v>
      </c>
      <c r="Q1023" s="72">
        <f>IF(Table1[[#This Row],[Pick]]="","",IF(S1023&gt;1,400,IF(G1023="","",IF(C1023="Passing",(400-Table1[[#This Row],[Passing Yards]]-(30*Table1[[#This Row],[Passing TDs]])-(50*SUM(Table1[[#This Row],[Rushing TDs]:[Other TD''s]]))),IF(C1023="Rushing",2*(200-Table1[[#This Row],[Rushing Yards]]-(30*Table1[[#This Row],[Passing TDs]])-50*(Table1[[#This Row],[Rushing TDs]]+Table1[[#This Row],[Receiving TDs]]+Table1[[#This Row],[Other TD''s]])),IF(C1023="Receiving",2*(200-Table1[[#This Row],[Receiving Yards]]-(30*Table1[[#This Row],[Passing TDs]])-50*(Table1[[#This Row],[Rushing TDs]]+Table1[[#This Row],[Receiving TDs]]+Table1[[#This Row],[Other TD''s]])),IF(C1023="Defensive",(25*(16-Table1[[#This Row],[Tackles]]-(8*(Table1[[#This Row],[Other TD''s]]+Table1[[#This Row],[Interceptions]]+Table1[[#This Row],[Fumbles Recovered]])))))))))))</f>
        <v>153</v>
      </c>
      <c r="R1023" s="3" t="str">
        <f>IF(D1023="","",A1023&amp;C1023&amp;D1023)</f>
        <v>ChrisPassingDrew Allar</v>
      </c>
      <c r="S1023" s="4">
        <f t="shared" si="31"/>
        <v>1</v>
      </c>
      <c r="T10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217</v>
      </c>
    </row>
    <row r="1024" spans="1:20" x14ac:dyDescent="0.25">
      <c r="A1024" t="s">
        <v>106</v>
      </c>
      <c r="B1024" s="28" t="s">
        <v>27</v>
      </c>
      <c r="C1024" t="s">
        <v>6</v>
      </c>
      <c r="D1024" s="71" t="str">
        <f>_xlfn.XLOOKUP(Table1[[#This Row],[Player]]&amp;Table1[[#This Row],[Week]]&amp;Table1[[#This Row],[Role]],'Google Form Transform'!$A:$A,'Google Form Transform'!E:E,"")</f>
        <v>Le'Veon Moss</v>
      </c>
      <c r="E1024" t="str">
        <f>_xlfn.XLOOKUP(Table1[[#This Row],[Player]]&amp;Table1[[#This Row],[Week]]&amp;Table1[[#This Row],[Role]],'Google Form Transform'!$A:$A,'Google Form Transform'!F:F,"")</f>
        <v>Texas A&amp;M</v>
      </c>
      <c r="F1024" t="str">
        <f>_xlfn.XLOOKUP(Table1[[#This Row],[Player]]&amp;Table1[[#This Row],[Week]]&amp;Table1[[#This Row],[Role]],'Google Form Transform'!$A:$A,'Google Form Transform'!G:G,"")</f>
        <v>UTSA</v>
      </c>
      <c r="G1024" s="59">
        <f>SUMIFS(Table2[Stat],Table2[Stat Category],"passing",Table2[Stat Type],"YDS",Table2[Athlete],Table1[[#This Row],[Pick]],Table2[Week],Table1[[#This Row],[Week]])</f>
        <v>0</v>
      </c>
      <c r="H1024" s="59">
        <f>SUMIFS(Table2[Stat],Table2[Stat Category],"rushing",Table2[Stat Type],"YDS",Table2[Athlete],Table1[[#This Row],[Pick]],Table2[Week],Table1[[#This Row],[Week]])</f>
        <v>19</v>
      </c>
      <c r="I1024" s="59">
        <f>SUMIFS(Table2[Stat],Table2[Stat Category],"receiving",Table2[Stat Type],"YDS",Table2[Athlete],Table1[[#This Row],[Pick]],Table2[Week],Table1[[#This Row],[Week]])</f>
        <v>-2</v>
      </c>
      <c r="J1024" s="6">
        <f>IF(AND($C1024="Rushing", $H1024&lt;=0), 0, IF(AND($C1024="Passing", $G$3&lt;=0), 0,IF(AND($C1024="Receiving",$I1024&lt;=0), 0,SUMIFS(Table2[Stat],Table2[Week],Table1[[#This Row],[Week]],Table2[Athlete],Table1[[#This Row],[Pick]],Table2[Stat Category],"passing",Table2[Stat Type],"TD"))))</f>
        <v>0</v>
      </c>
      <c r="K1024" s="6">
        <f>IF(AND($C1024="Rushing", $H1024&lt;=0), 0, IF(AND($C1024="Passing", $G$3&lt;=0), 0,IF(AND($C1024="Receiving",$I1024&lt;=0),0,SUMIFS(Table2[Stat],Table2[Week],Table1[[#This Row],[Week]],Table2[Athlete],Table1[[#This Row],[Pick]],Table2[Stat Category],"rushing",Table2[Stat Type],"TD"))))</f>
        <v>0</v>
      </c>
      <c r="L1024" s="6">
        <f>IF(AND($C1024="Rushing", $H1024&lt;=0), 0, IF(AND($C1024="Passing", $G$3&lt;=0), 0,IF(AND($C1024="Receiving",$I1024&lt;=0),0,SUMIFS(Table2[Stat],Table2[Week],Table1[[#This Row],[Week]],Table2[Athlete],Table1[[#This Row],[Pick]],Table2[Stat Category],"receiving",Table2[Stat Type],"TD"))))</f>
        <v>0</v>
      </c>
      <c r="M10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4" s="61">
        <f>SUMIFS(Data!$J:$J,Data!$A:$A,Info!$B1024,Data!$G:$G,Info!$C1024,Data!$I:$I,Info!$D1024,Data!$H:$H,"TOT")</f>
        <v>0</v>
      </c>
      <c r="O1024" s="61">
        <f>IF(C1024="Defensive",SUMIFS(Data!$J:$J,Data!$A:$A,Info!$B1024,Data!$I:$I,Info!$D1024,Data!$H:$H,"INT"),0)</f>
        <v>0</v>
      </c>
      <c r="P1024" s="61">
        <f>IF(Table1[[#This Row],[Role]]="Defensive",SUMIFS(Data!$J:$J,Data!$A:$A,Info!$B1024,Data!$I:$I,Info!$D1024,Data!$H:$H,$P$1),0)</f>
        <v>0</v>
      </c>
      <c r="Q1024" s="72">
        <f>IF(Table1[[#This Row],[Pick]]="","",IF(S1024&gt;1,400,IF(G1024="","",IF(C1024="Passing",(400-Table1[[#This Row],[Passing Yards]]-(30*Table1[[#This Row],[Passing TDs]])-(50*SUM(Table1[[#This Row],[Rushing TDs]:[Other TD''s]]))),IF(C1024="Rushing",2*(200-Table1[[#This Row],[Rushing Yards]]-(30*Table1[[#This Row],[Passing TDs]])-50*(Table1[[#This Row],[Rushing TDs]]+Table1[[#This Row],[Receiving TDs]]+Table1[[#This Row],[Other TD''s]])),IF(C1024="Receiving",2*(200-Table1[[#This Row],[Receiving Yards]]-(30*Table1[[#This Row],[Passing TDs]])-50*(Table1[[#This Row],[Rushing TDs]]+Table1[[#This Row],[Receiving TDs]]+Table1[[#This Row],[Other TD''s]])),IF(C1024="Defensive",(25*(16-Table1[[#This Row],[Tackles]]-(8*(Table1[[#This Row],[Other TD''s]]+Table1[[#This Row],[Interceptions]]+Table1[[#This Row],[Fumbles Recovered]])))))))))))</f>
        <v>362</v>
      </c>
      <c r="R1024" s="3" t="str">
        <f t="shared" ref="R1024:R1026" si="33">IF(D1024="","",A1024&amp;C1024&amp;D1024)</f>
        <v>ChrisRushingLe'Veon Moss</v>
      </c>
      <c r="S1024" s="4">
        <f t="shared" si="31"/>
        <v>1</v>
      </c>
      <c r="T10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19</v>
      </c>
    </row>
    <row r="1025" spans="1:20" x14ac:dyDescent="0.25">
      <c r="A1025" t="s">
        <v>106</v>
      </c>
      <c r="B1025" s="28" t="s">
        <v>27</v>
      </c>
      <c r="C1025" t="s">
        <v>17</v>
      </c>
      <c r="D1025" s="71" t="str">
        <f>_xlfn.XLOOKUP(Table1[[#This Row],[Player]]&amp;Table1[[#This Row],[Week]]&amp;Table1[[#This Row],[Role]],'Google Form Transform'!$A:$A,'Google Form Transform'!E:E,"")</f>
        <v>Donaven McCulley</v>
      </c>
      <c r="E1025" t="str">
        <f>_xlfn.XLOOKUP(Table1[[#This Row],[Player]]&amp;Table1[[#This Row],[Week]]&amp;Table1[[#This Row],[Role]],'Google Form Transform'!$A:$A,'Google Form Transform'!F:F,"")</f>
        <v>Michigan</v>
      </c>
      <c r="F1025" t="str">
        <f>_xlfn.XLOOKUP(Table1[[#This Row],[Player]]&amp;Table1[[#This Row],[Week]]&amp;Table1[[#This Row],[Role]],'Google Form Transform'!$A:$A,'Google Form Transform'!G:G,"")</f>
        <v>New Mexico</v>
      </c>
      <c r="G1025" s="59">
        <f>SUMIFS(Table2[Stat],Table2[Stat Category],"passing",Table2[Stat Type],"YDS",Table2[Athlete],Table1[[#This Row],[Pick]],Table2[Week],Table1[[#This Row],[Week]])</f>
        <v>0</v>
      </c>
      <c r="H1025" s="59">
        <f>SUMIFS(Table2[Stat],Table2[Stat Category],"rushing",Table2[Stat Type],"YDS",Table2[Athlete],Table1[[#This Row],[Pick]],Table2[Week],Table1[[#This Row],[Week]])</f>
        <v>0</v>
      </c>
      <c r="I1025" s="59">
        <f>SUMIFS(Table2[Stat],Table2[Stat Category],"receiving",Table2[Stat Type],"YDS",Table2[Athlete],Table1[[#This Row],[Pick]],Table2[Week],Table1[[#This Row],[Week]])</f>
        <v>31</v>
      </c>
      <c r="J1025" s="6">
        <f>IF(AND($C1025="Rushing", $H1025&lt;=0), 0, IF(AND($C1025="Passing", $G$3&lt;=0), 0,IF(AND($C1025="Receiving",$I1025&lt;=0), 0,SUMIFS(Table2[Stat],Table2[Week],Table1[[#This Row],[Week]],Table2[Athlete],Table1[[#This Row],[Pick]],Table2[Stat Category],"passing",Table2[Stat Type],"TD"))))</f>
        <v>0</v>
      </c>
      <c r="K1025" s="6">
        <f>IF(AND($C1025="Rushing", $H1025&lt;=0), 0, IF(AND($C1025="Passing", $G$3&lt;=0), 0,IF(AND($C1025="Receiving",$I1025&lt;=0),0,SUMIFS(Table2[Stat],Table2[Week],Table1[[#This Row],[Week]],Table2[Athlete],Table1[[#This Row],[Pick]],Table2[Stat Category],"rushing",Table2[Stat Type],"TD"))))</f>
        <v>0</v>
      </c>
      <c r="L1025" s="6">
        <f>IF(AND($C1025="Rushing", $H1025&lt;=0), 0, IF(AND($C1025="Passing", $G$3&lt;=0), 0,IF(AND($C1025="Receiving",$I1025&lt;=0),0,SUMIFS(Table2[Stat],Table2[Week],Table1[[#This Row],[Week]],Table2[Athlete],Table1[[#This Row],[Pick]],Table2[Stat Category],"receiving",Table2[Stat Type],"TD"))))</f>
        <v>0</v>
      </c>
      <c r="M10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5" s="61">
        <f>SUMIFS(Data!$J:$J,Data!$A:$A,Info!$B1025,Data!$G:$G,Info!$C1025,Data!$I:$I,Info!$D1025,Data!$H:$H,"TOT")</f>
        <v>0</v>
      </c>
      <c r="O1025" s="61">
        <f>IF(C1025="Defensive",SUMIFS(Data!$J:$J,Data!$A:$A,Info!$B1025,Data!$I:$I,Info!$D1025,Data!$H:$H,"INT"),0)</f>
        <v>0</v>
      </c>
      <c r="P1025" s="61">
        <f>IF(Table1[[#This Row],[Role]]="Defensive",SUMIFS(Data!$J:$J,Data!$A:$A,Info!$B1025,Data!$I:$I,Info!$D1025,Data!$H:$H,$P$1),0)</f>
        <v>0</v>
      </c>
      <c r="Q1025" s="72">
        <f>IF(Table1[[#This Row],[Pick]]="","",IF(S1025&gt;1,400,IF(G1025="","",IF(C1025="Passing",(400-Table1[[#This Row],[Passing Yards]]-(30*Table1[[#This Row],[Passing TDs]])-(50*SUM(Table1[[#This Row],[Rushing TDs]:[Other TD''s]]))),IF(C1025="Rushing",2*(200-Table1[[#This Row],[Rushing Yards]]-(30*Table1[[#This Row],[Passing TDs]])-50*(Table1[[#This Row],[Rushing TDs]]+Table1[[#This Row],[Receiving TDs]]+Table1[[#This Row],[Other TD''s]])),IF(C1025="Receiving",2*(200-Table1[[#This Row],[Receiving Yards]]-(30*Table1[[#This Row],[Passing TDs]])-50*(Table1[[#This Row],[Rushing TDs]]+Table1[[#This Row],[Receiving TDs]]+Table1[[#This Row],[Other TD''s]])),IF(C1025="Defensive",(25*(16-Table1[[#This Row],[Tackles]]-(8*(Table1[[#This Row],[Other TD''s]]+Table1[[#This Row],[Interceptions]]+Table1[[#This Row],[Fumbles Recovered]])))))))))))</f>
        <v>338</v>
      </c>
      <c r="R1025" s="3" t="str">
        <f t="shared" si="33"/>
        <v>ChrisReceivingDonaven McCulley</v>
      </c>
      <c r="S1025" s="4">
        <f t="shared" si="31"/>
        <v>1</v>
      </c>
      <c r="T10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31</v>
      </c>
    </row>
    <row r="1026" spans="1:20" x14ac:dyDescent="0.25">
      <c r="A1026" t="s">
        <v>106</v>
      </c>
      <c r="B1026" s="28" t="s">
        <v>27</v>
      </c>
      <c r="C1026" t="s">
        <v>20</v>
      </c>
      <c r="D1026" s="71" t="str">
        <f>_xlfn.XLOOKUP(Table1[[#This Row],[Player]]&amp;Table1[[#This Row],[Week]]&amp;Table1[[#This Row],[Role]],'Google Form Transform'!$A:$A,'Google Form Transform'!E:E,"")</f>
        <v>Deontae Lawson</v>
      </c>
      <c r="E1026" t="str">
        <f>_xlfn.XLOOKUP(Table1[[#This Row],[Player]]&amp;Table1[[#This Row],[Week]]&amp;Table1[[#This Row],[Role]],'Google Form Transform'!$A:$A,'Google Form Transform'!F:F,"")</f>
        <v>Alabama</v>
      </c>
      <c r="F1026" t="str">
        <f>_xlfn.XLOOKUP(Table1[[#This Row],[Player]]&amp;Table1[[#This Row],[Week]]&amp;Table1[[#This Row],[Role]],'Google Form Transform'!$A:$A,'Google Form Transform'!G:G,"")</f>
        <v>Florida State</v>
      </c>
      <c r="G1026" s="59">
        <f>SUMIFS(Table2[Stat],Table2[Stat Category],"passing",Table2[Stat Type],"YDS",Table2[Athlete],Table1[[#This Row],[Pick]],Table2[Week],Table1[[#This Row],[Week]])</f>
        <v>0</v>
      </c>
      <c r="H1026" s="59">
        <f>SUMIFS(Table2[Stat],Table2[Stat Category],"rushing",Table2[Stat Type],"YDS",Table2[Athlete],Table1[[#This Row],[Pick]],Table2[Week],Table1[[#This Row],[Week]])</f>
        <v>0</v>
      </c>
      <c r="I1026" s="59">
        <f>SUMIFS(Table2[Stat],Table2[Stat Category],"receiving",Table2[Stat Type],"YDS",Table2[Athlete],Table1[[#This Row],[Pick]],Table2[Week],Table1[[#This Row],[Week]])</f>
        <v>0</v>
      </c>
      <c r="J1026" s="6">
        <f>IF(AND($C1026="Rushing", $H1026&lt;=0), 0, IF(AND($C1026="Passing", $G$3&lt;=0), 0,IF(AND($C1026="Receiving",$I1026&lt;=0), 0,SUMIFS(Table2[Stat],Table2[Week],Table1[[#This Row],[Week]],Table2[Athlete],Table1[[#This Row],[Pick]],Table2[Stat Category],"passing",Table2[Stat Type],"TD"))))</f>
        <v>0</v>
      </c>
      <c r="K1026" s="6">
        <f>IF(AND($C1026="Rushing", $H1026&lt;=0), 0, IF(AND($C1026="Passing", $G$3&lt;=0), 0,IF(AND($C1026="Receiving",$I1026&lt;=0),0,SUMIFS(Table2[Stat],Table2[Week],Table1[[#This Row],[Week]],Table2[Athlete],Table1[[#This Row],[Pick]],Table2[Stat Category],"rushing",Table2[Stat Type],"TD"))))</f>
        <v>0</v>
      </c>
      <c r="L1026" s="6">
        <f>IF(AND($C1026="Rushing", $H1026&lt;=0), 0, IF(AND($C1026="Passing", $G$3&lt;=0), 0,IF(AND($C1026="Receiving",$I1026&lt;=0),0,SUMIFS(Table2[Stat],Table2[Week],Table1[[#This Row],[Week]],Table2[Athlete],Table1[[#This Row],[Pick]],Table2[Stat Category],"receiving",Table2[Stat Type],"TD"))))</f>
        <v>0</v>
      </c>
      <c r="M10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6" s="61">
        <f>SUMIFS(Data!$J:$J,Data!$A:$A,Info!$B1026,Data!$G:$G,Info!$C1026,Data!$I:$I,Info!$D1026,Data!$H:$H,"TOT")</f>
        <v>6</v>
      </c>
      <c r="O1026" s="61">
        <f>IF(C1026="Defensive",SUMIFS(Data!$J:$J,Data!$A:$A,Info!$B1026,Data!$I:$I,Info!$D1026,Data!$H:$H,"INT"),0)</f>
        <v>0</v>
      </c>
      <c r="P1026" s="61">
        <f>IF(Table1[[#This Row],[Role]]="Defensive",SUMIFS(Data!$J:$J,Data!$A:$A,Info!$B1026,Data!$I:$I,Info!$D1026,Data!$H:$H,$P$1),0)</f>
        <v>0</v>
      </c>
      <c r="Q1026" s="72">
        <f>IF(Table1[[#This Row],[Pick]]="","",IF(S1026&gt;1,400,IF(G1026="","",IF(C1026="Passing",(400-Table1[[#This Row],[Passing Yards]]-(30*Table1[[#This Row],[Passing TDs]])-(50*SUM(Table1[[#This Row],[Rushing TDs]:[Other TD''s]]))),IF(C1026="Rushing",2*(200-Table1[[#This Row],[Rushing Yards]]-(30*Table1[[#This Row],[Passing TDs]])-50*(Table1[[#This Row],[Rushing TDs]]+Table1[[#This Row],[Receiving TDs]]+Table1[[#This Row],[Other TD''s]])),IF(C1026="Receiving",2*(200-Table1[[#This Row],[Receiving Yards]]-(30*Table1[[#This Row],[Passing TDs]])-50*(Table1[[#This Row],[Rushing TDs]]+Table1[[#This Row],[Receiving TDs]]+Table1[[#This Row],[Other TD''s]])),IF(C1026="Defensive",(25*(16-Table1[[#This Row],[Tackles]]-(8*(Table1[[#This Row],[Other TD''s]]+Table1[[#This Row],[Interceptions]]+Table1[[#This Row],[Fumbles Recovered]])))))))))))</f>
        <v>250</v>
      </c>
      <c r="R1026" s="3" t="str">
        <f t="shared" si="33"/>
        <v>ChrisDefensiveDeontae Lawson</v>
      </c>
      <c r="S1026" s="4">
        <f t="shared" si="31"/>
        <v>1</v>
      </c>
      <c r="T10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6</v>
      </c>
    </row>
    <row r="1027" spans="1:20" hidden="1" x14ac:dyDescent="0.25">
      <c r="A1027" t="s">
        <v>106</v>
      </c>
      <c r="B1027" s="28" t="s">
        <v>44</v>
      </c>
      <c r="C1027" t="s">
        <v>16</v>
      </c>
      <c r="D1027" s="71" t="str">
        <f>_xlfn.XLOOKUP(Table1[[#This Row],[Player]]&amp;Table1[[#This Row],[Week]]&amp;Table1[[#This Row],[Role]],'Google Form Transform'!$A:$A,'Google Form Transform'!E:E,"")</f>
        <v/>
      </c>
      <c r="E1027" t="str">
        <f>_xlfn.XLOOKUP(Table1[[#This Row],[Player]]&amp;Table1[[#This Row],[Week]]&amp;Table1[[#This Row],[Role]],'Google Form Transform'!$A:$A,'Google Form Transform'!F:F,"")</f>
        <v/>
      </c>
      <c r="F1027" t="str">
        <f>_xlfn.XLOOKUP(Table1[[#This Row],[Player]]&amp;Table1[[#This Row],[Week]]&amp;Table1[[#This Row],[Role]],'Google Form Transform'!$A:$A,'Google Form Transform'!G:G,"")</f>
        <v/>
      </c>
      <c r="G1027" s="59">
        <f>SUMIFS(Table2[Stat],Table2[Stat Category],"passing",Table2[Stat Type],"YDS",Table2[Athlete],Table1[[#This Row],[Pick]],Table2[Week],Table1[[#This Row],[Week]])</f>
        <v>0</v>
      </c>
      <c r="H1027" s="59">
        <f>SUMIFS(Table2[Stat],Table2[Stat Category],"rushing",Table2[Stat Type],"YDS",Table2[Athlete],Table1[[#This Row],[Pick]],Table2[Week],Table1[[#This Row],[Week]])</f>
        <v>0</v>
      </c>
      <c r="I1027" s="59">
        <f>SUMIFS(Table2[Stat],Table2[Stat Category],"receiving",Table2[Stat Type],"YDS",Table2[Athlete],Table1[[#This Row],[Pick]],Table2[Week],Table1[[#This Row],[Week]])</f>
        <v>0</v>
      </c>
      <c r="J1027" s="6">
        <f>IF(AND($C1027="Rushing", $H1027&lt;=0), 0, IF(AND($C1027="Passing", $G$3&lt;=0), 0,IF(AND($C1027="Receiving",$I1027&lt;=0), 0,SUMIFS(Table2[Stat],Table2[Week],Table1[[#This Row],[Week]],Table2[Athlete],Table1[[#This Row],[Pick]],Table2[Stat Category],"passing",Table2[Stat Type],"TD"))))</f>
        <v>0</v>
      </c>
      <c r="K1027" s="6">
        <f>IF(AND($C1027="Rushing", $H1027&lt;=0), 0, IF(AND($C1027="Passing", $G$3&lt;=0), 0,IF(AND($C1027="Receiving",$I1027&lt;=0),0,SUMIFS(Table2[Stat],Table2[Week],Table1[[#This Row],[Week]],Table2[Athlete],Table1[[#This Row],[Pick]],Table2[Stat Category],"rushing",Table2[Stat Type],"TD"))))</f>
        <v>0</v>
      </c>
      <c r="L1027" s="6">
        <f>IF(AND($C1027="Rushing", $H1027&lt;=0), 0, IF(AND($C1027="Passing", $G$3&lt;=0), 0,IF(AND($C1027="Receiving",$I1027&lt;=0),0,SUMIFS(Table2[Stat],Table2[Week],Table1[[#This Row],[Week]],Table2[Athlete],Table1[[#This Row],[Pick]],Table2[Stat Category],"receiving",Table2[Stat Type],"TD"))))</f>
        <v>0</v>
      </c>
      <c r="M10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7" s="61">
        <f>SUMIFS(Data!$J:$J,Data!$A:$A,Info!$B1027,Data!$G:$G,Info!$C1027,Data!$I:$I,Info!$D1027,Data!$H:$H,"TOT")</f>
        <v>0</v>
      </c>
      <c r="O1027" s="61">
        <f>IF(C1027="Defensive",SUMIFS(Data!$J:$J,Data!$A:$A,Info!$B1027,Data!$I:$I,Info!$D1027,Data!$H:$H,"INT"),0)</f>
        <v>0</v>
      </c>
      <c r="P1027" s="61">
        <f>IF(Table1[[#This Row],[Role]]="Defensive",SUMIFS(Data!$J:$J,Data!$A:$A,Info!$B1027,Data!$I:$I,Info!$D1027,Data!$H:$H,$P$1),0)</f>
        <v>0</v>
      </c>
      <c r="Q1027" s="72" t="str">
        <f>IF(Table1[[#This Row],[Pick]]="","",IF(S1027&gt;1,400,IF(G1027="","",IF(C1027="Passing",(400-Table1[[#This Row],[Passing Yards]]-(30*Table1[[#This Row],[Passing TDs]])-(50*SUM(Table1[[#This Row],[Rushing TDs]:[Other TD''s]]))),IF(C1027="Rushing",2*(200-Table1[[#This Row],[Rushing Yards]]-(30*Table1[[#This Row],[Passing TDs]])-50*(Table1[[#This Row],[Rushing TDs]]+Table1[[#This Row],[Receiving TDs]]+Table1[[#This Row],[Other TD''s]])),IF(C1027="Receiving",2*(200-Table1[[#This Row],[Receiving Yards]]-(30*Table1[[#This Row],[Passing TDs]])-50*(Table1[[#This Row],[Rushing TDs]]+Table1[[#This Row],[Receiving TDs]]+Table1[[#This Row],[Other TD''s]])),IF(C1027="Defensive",(25*(16-Table1[[#This Row],[Tackles]]-(8*(Table1[[#This Row],[Other TD''s]]+Table1[[#This Row],[Interceptions]]+Table1[[#This Row],[Fumbles Recovered]])))))))))))</f>
        <v/>
      </c>
      <c r="R1027" s="3" t="str">
        <f t="shared" ref="R1027:R1030" si="34">IF(D1027="","",A1027&amp;C1027&amp;D1027)</f>
        <v/>
      </c>
      <c r="S1027" s="4">
        <f t="shared" ref="S1027:S1086" si="35">COUNTIF(R:R,R1027)</f>
        <v>1048507</v>
      </c>
      <c r="T10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28" spans="1:20" hidden="1" x14ac:dyDescent="0.25">
      <c r="A1028" t="s">
        <v>106</v>
      </c>
      <c r="B1028" s="28" t="s">
        <v>44</v>
      </c>
      <c r="C1028" t="s">
        <v>6</v>
      </c>
      <c r="D1028" s="71" t="str">
        <f>_xlfn.XLOOKUP(Table1[[#This Row],[Player]]&amp;Table1[[#This Row],[Week]]&amp;Table1[[#This Row],[Role]],'Google Form Transform'!$A:$A,'Google Form Transform'!E:E,"")</f>
        <v/>
      </c>
      <c r="E1028" t="str">
        <f>_xlfn.XLOOKUP(Table1[[#This Row],[Player]]&amp;Table1[[#This Row],[Week]]&amp;Table1[[#This Row],[Role]],'Google Form Transform'!$A:$A,'Google Form Transform'!F:F,"")</f>
        <v/>
      </c>
      <c r="F1028" t="str">
        <f>_xlfn.XLOOKUP(Table1[[#This Row],[Player]]&amp;Table1[[#This Row],[Week]]&amp;Table1[[#This Row],[Role]],'Google Form Transform'!$A:$A,'Google Form Transform'!G:G,"")</f>
        <v/>
      </c>
      <c r="G1028" s="59">
        <f>SUMIFS(Table2[Stat],Table2[Stat Category],"passing",Table2[Stat Type],"YDS",Table2[Athlete],Table1[[#This Row],[Pick]],Table2[Week],Table1[[#This Row],[Week]])</f>
        <v>0</v>
      </c>
      <c r="H1028" s="59">
        <f>SUMIFS(Table2[Stat],Table2[Stat Category],"rushing",Table2[Stat Type],"YDS",Table2[Athlete],Table1[[#This Row],[Pick]],Table2[Week],Table1[[#This Row],[Week]])</f>
        <v>0</v>
      </c>
      <c r="I1028" s="59">
        <f>SUMIFS(Table2[Stat],Table2[Stat Category],"receiving",Table2[Stat Type],"YDS",Table2[Athlete],Table1[[#This Row],[Pick]],Table2[Week],Table1[[#This Row],[Week]])</f>
        <v>0</v>
      </c>
      <c r="J1028" s="6">
        <f>IF(AND($C1028="Rushing", $H1028&lt;=0), 0, IF(AND($C1028="Passing", $G$3&lt;=0), 0,IF(AND($C1028="Receiving",$I1028&lt;=0), 0,SUMIFS(Table2[Stat],Table2[Week],Table1[[#This Row],[Week]],Table2[Athlete],Table1[[#This Row],[Pick]],Table2[Stat Category],"passing",Table2[Stat Type],"TD"))))</f>
        <v>0</v>
      </c>
      <c r="K1028" s="6">
        <f>IF(AND($C1028="Rushing", $H1028&lt;=0), 0, IF(AND($C1028="Passing", $G$3&lt;=0), 0,IF(AND($C1028="Receiving",$I1028&lt;=0),0,SUMIFS(Table2[Stat],Table2[Week],Table1[[#This Row],[Week]],Table2[Athlete],Table1[[#This Row],[Pick]],Table2[Stat Category],"rushing",Table2[Stat Type],"TD"))))</f>
        <v>0</v>
      </c>
      <c r="L1028" s="6">
        <f>IF(AND($C1028="Rushing", $H1028&lt;=0), 0, IF(AND($C1028="Passing", $G$3&lt;=0), 0,IF(AND($C1028="Receiving",$I1028&lt;=0),0,SUMIFS(Table2[Stat],Table2[Week],Table1[[#This Row],[Week]],Table2[Athlete],Table1[[#This Row],[Pick]],Table2[Stat Category],"receiving",Table2[Stat Type],"TD"))))</f>
        <v>0</v>
      </c>
      <c r="M10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8" s="61">
        <f>SUMIFS(Data!$J:$J,Data!$A:$A,Info!$B1028,Data!$G:$G,Info!$C1028,Data!$I:$I,Info!$D1028,Data!$H:$H,"TOT")</f>
        <v>0</v>
      </c>
      <c r="O1028" s="61">
        <f>IF(C1028="Defensive",SUMIFS(Data!$J:$J,Data!$A:$A,Info!$B1028,Data!$I:$I,Info!$D1028,Data!$H:$H,"INT"),0)</f>
        <v>0</v>
      </c>
      <c r="P1028" s="61">
        <f>IF(Table1[[#This Row],[Role]]="Defensive",SUMIFS(Data!$J:$J,Data!$A:$A,Info!$B1028,Data!$I:$I,Info!$D1028,Data!$H:$H,$P$1),0)</f>
        <v>0</v>
      </c>
      <c r="Q1028" s="72" t="str">
        <f>IF(Table1[[#This Row],[Pick]]="","",IF(S1028&gt;1,400,IF(G1028="","",IF(C1028="Passing",(400-Table1[[#This Row],[Passing Yards]]-(30*Table1[[#This Row],[Passing TDs]])-(50*SUM(Table1[[#This Row],[Rushing TDs]:[Other TD''s]]))),IF(C1028="Rushing",2*(200-Table1[[#This Row],[Rushing Yards]]-(30*Table1[[#This Row],[Passing TDs]])-50*(Table1[[#This Row],[Rushing TDs]]+Table1[[#This Row],[Receiving TDs]]+Table1[[#This Row],[Other TD''s]])),IF(C1028="Receiving",2*(200-Table1[[#This Row],[Receiving Yards]]-(30*Table1[[#This Row],[Passing TDs]])-50*(Table1[[#This Row],[Rushing TDs]]+Table1[[#This Row],[Receiving TDs]]+Table1[[#This Row],[Other TD''s]])),IF(C1028="Defensive",(25*(16-Table1[[#This Row],[Tackles]]-(8*(Table1[[#This Row],[Other TD''s]]+Table1[[#This Row],[Interceptions]]+Table1[[#This Row],[Fumbles Recovered]])))))))))))</f>
        <v/>
      </c>
      <c r="R1028" s="3" t="str">
        <f t="shared" si="34"/>
        <v/>
      </c>
      <c r="S1028" s="4">
        <f t="shared" si="35"/>
        <v>1048507</v>
      </c>
      <c r="T10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29" spans="1:20" hidden="1" x14ac:dyDescent="0.25">
      <c r="A1029" t="s">
        <v>106</v>
      </c>
      <c r="B1029" s="28" t="s">
        <v>44</v>
      </c>
      <c r="C1029" t="s">
        <v>17</v>
      </c>
      <c r="D1029" s="71" t="str">
        <f>_xlfn.XLOOKUP(Table1[[#This Row],[Player]]&amp;Table1[[#This Row],[Week]]&amp;Table1[[#This Row],[Role]],'Google Form Transform'!$A:$A,'Google Form Transform'!E:E,"")</f>
        <v/>
      </c>
      <c r="E1029" t="str">
        <f>_xlfn.XLOOKUP(Table1[[#This Row],[Player]]&amp;Table1[[#This Row],[Week]]&amp;Table1[[#This Row],[Role]],'Google Form Transform'!$A:$A,'Google Form Transform'!F:F,"")</f>
        <v/>
      </c>
      <c r="F1029" t="str">
        <f>_xlfn.XLOOKUP(Table1[[#This Row],[Player]]&amp;Table1[[#This Row],[Week]]&amp;Table1[[#This Row],[Role]],'Google Form Transform'!$A:$A,'Google Form Transform'!G:G,"")</f>
        <v/>
      </c>
      <c r="G1029" s="59">
        <f>SUMIFS(Table2[Stat],Table2[Stat Category],"passing",Table2[Stat Type],"YDS",Table2[Athlete],Table1[[#This Row],[Pick]],Table2[Week],Table1[[#This Row],[Week]])</f>
        <v>0</v>
      </c>
      <c r="H1029" s="59">
        <f>SUMIFS(Table2[Stat],Table2[Stat Category],"rushing",Table2[Stat Type],"YDS",Table2[Athlete],Table1[[#This Row],[Pick]],Table2[Week],Table1[[#This Row],[Week]])</f>
        <v>0</v>
      </c>
      <c r="I1029" s="59">
        <f>SUMIFS(Table2[Stat],Table2[Stat Category],"receiving",Table2[Stat Type],"YDS",Table2[Athlete],Table1[[#This Row],[Pick]],Table2[Week],Table1[[#This Row],[Week]])</f>
        <v>0</v>
      </c>
      <c r="J1029" s="6">
        <f>IF(AND($C1029="Rushing", $H1029&lt;=0), 0, IF(AND($C1029="Passing", $G$3&lt;=0), 0,IF(AND($C1029="Receiving",$I1029&lt;=0), 0,SUMIFS(Table2[Stat],Table2[Week],Table1[[#This Row],[Week]],Table2[Athlete],Table1[[#This Row],[Pick]],Table2[Stat Category],"passing",Table2[Stat Type],"TD"))))</f>
        <v>0</v>
      </c>
      <c r="K1029" s="6">
        <f>IF(AND($C1029="Rushing", $H1029&lt;=0), 0, IF(AND($C1029="Passing", $G$3&lt;=0), 0,IF(AND($C1029="Receiving",$I1029&lt;=0),0,SUMIFS(Table2[Stat],Table2[Week],Table1[[#This Row],[Week]],Table2[Athlete],Table1[[#This Row],[Pick]],Table2[Stat Category],"rushing",Table2[Stat Type],"TD"))))</f>
        <v>0</v>
      </c>
      <c r="L1029" s="6">
        <f>IF(AND($C1029="Rushing", $H1029&lt;=0), 0, IF(AND($C1029="Passing", $G$3&lt;=0), 0,IF(AND($C1029="Receiving",$I1029&lt;=0),0,SUMIFS(Table2[Stat],Table2[Week],Table1[[#This Row],[Week]],Table2[Athlete],Table1[[#This Row],[Pick]],Table2[Stat Category],"receiving",Table2[Stat Type],"TD"))))</f>
        <v>0</v>
      </c>
      <c r="M10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9" s="61">
        <f>SUMIFS(Data!$J:$J,Data!$A:$A,Info!$B1029,Data!$G:$G,Info!$C1029,Data!$I:$I,Info!$D1029,Data!$H:$H,"TOT")</f>
        <v>0</v>
      </c>
      <c r="O1029" s="61">
        <f>IF(C1029="Defensive",SUMIFS(Data!$J:$J,Data!$A:$A,Info!$B1029,Data!$I:$I,Info!$D1029,Data!$H:$H,"INT"),0)</f>
        <v>0</v>
      </c>
      <c r="P1029" s="61">
        <f>IF(Table1[[#This Row],[Role]]="Defensive",SUMIFS(Data!$J:$J,Data!$A:$A,Info!$B1029,Data!$I:$I,Info!$D1029,Data!$H:$H,$P$1),0)</f>
        <v>0</v>
      </c>
      <c r="Q1029" s="72" t="str">
        <f>IF(Table1[[#This Row],[Pick]]="","",IF(S1029&gt;1,400,IF(G1029="","",IF(C1029="Passing",(400-Table1[[#This Row],[Passing Yards]]-(30*Table1[[#This Row],[Passing TDs]])-(50*SUM(Table1[[#This Row],[Rushing TDs]:[Other TD''s]]))),IF(C1029="Rushing",2*(200-Table1[[#This Row],[Rushing Yards]]-(30*Table1[[#This Row],[Passing TDs]])-50*(Table1[[#This Row],[Rushing TDs]]+Table1[[#This Row],[Receiving TDs]]+Table1[[#This Row],[Other TD''s]])),IF(C1029="Receiving",2*(200-Table1[[#This Row],[Receiving Yards]]-(30*Table1[[#This Row],[Passing TDs]])-50*(Table1[[#This Row],[Rushing TDs]]+Table1[[#This Row],[Receiving TDs]]+Table1[[#This Row],[Other TD''s]])),IF(C1029="Defensive",(25*(16-Table1[[#This Row],[Tackles]]-(8*(Table1[[#This Row],[Other TD''s]]+Table1[[#This Row],[Interceptions]]+Table1[[#This Row],[Fumbles Recovered]])))))))))))</f>
        <v/>
      </c>
      <c r="R1029" s="3" t="str">
        <f t="shared" si="34"/>
        <v/>
      </c>
      <c r="S1029" s="4">
        <f t="shared" si="35"/>
        <v>1048507</v>
      </c>
      <c r="T10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0" spans="1:20" hidden="1" x14ac:dyDescent="0.25">
      <c r="A1030" t="s">
        <v>106</v>
      </c>
      <c r="B1030" s="28" t="s">
        <v>44</v>
      </c>
      <c r="C1030" t="s">
        <v>20</v>
      </c>
      <c r="D1030" s="71" t="str">
        <f>_xlfn.XLOOKUP(Table1[[#This Row],[Player]]&amp;Table1[[#This Row],[Week]]&amp;Table1[[#This Row],[Role]],'Google Form Transform'!$A:$A,'Google Form Transform'!E:E,"")</f>
        <v/>
      </c>
      <c r="E1030" t="str">
        <f>_xlfn.XLOOKUP(Table1[[#This Row],[Player]]&amp;Table1[[#This Row],[Week]]&amp;Table1[[#This Row],[Role]],'Google Form Transform'!$A:$A,'Google Form Transform'!F:F,"")</f>
        <v/>
      </c>
      <c r="F1030" t="str">
        <f>_xlfn.XLOOKUP(Table1[[#This Row],[Player]]&amp;Table1[[#This Row],[Week]]&amp;Table1[[#This Row],[Role]],'Google Form Transform'!$A:$A,'Google Form Transform'!G:G,"")</f>
        <v/>
      </c>
      <c r="G1030" s="59">
        <f>SUMIFS(Table2[Stat],Table2[Stat Category],"passing",Table2[Stat Type],"YDS",Table2[Athlete],Table1[[#This Row],[Pick]],Table2[Week],Table1[[#This Row],[Week]])</f>
        <v>0</v>
      </c>
      <c r="H1030" s="59">
        <f>SUMIFS(Table2[Stat],Table2[Stat Category],"rushing",Table2[Stat Type],"YDS",Table2[Athlete],Table1[[#This Row],[Pick]],Table2[Week],Table1[[#This Row],[Week]])</f>
        <v>0</v>
      </c>
      <c r="I1030" s="59">
        <f>SUMIFS(Table2[Stat],Table2[Stat Category],"receiving",Table2[Stat Type],"YDS",Table2[Athlete],Table1[[#This Row],[Pick]],Table2[Week],Table1[[#This Row],[Week]])</f>
        <v>0</v>
      </c>
      <c r="J1030" s="6">
        <f>IF(AND($C1030="Rushing", $H1030&lt;=0), 0, IF(AND($C1030="Passing", $G$3&lt;=0), 0,IF(AND($C1030="Receiving",$I1030&lt;=0), 0,SUMIFS(Table2[Stat],Table2[Week],Table1[[#This Row],[Week]],Table2[Athlete],Table1[[#This Row],[Pick]],Table2[Stat Category],"passing",Table2[Stat Type],"TD"))))</f>
        <v>0</v>
      </c>
      <c r="K1030" s="6">
        <f>IF(AND($C1030="Rushing", $H1030&lt;=0), 0, IF(AND($C1030="Passing", $G$3&lt;=0), 0,IF(AND($C1030="Receiving",$I1030&lt;=0),0,SUMIFS(Table2[Stat],Table2[Week],Table1[[#This Row],[Week]],Table2[Athlete],Table1[[#This Row],[Pick]],Table2[Stat Category],"rushing",Table2[Stat Type],"TD"))))</f>
        <v>0</v>
      </c>
      <c r="L1030" s="6">
        <f>IF(AND($C1030="Rushing", $H1030&lt;=0), 0, IF(AND($C1030="Passing", $G$3&lt;=0), 0,IF(AND($C1030="Receiving",$I1030&lt;=0),0,SUMIFS(Table2[Stat],Table2[Week],Table1[[#This Row],[Week]],Table2[Athlete],Table1[[#This Row],[Pick]],Table2[Stat Category],"receiving",Table2[Stat Type],"TD"))))</f>
        <v>0</v>
      </c>
      <c r="M10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0" s="61">
        <f>SUMIFS(Data!$J:$J,Data!$A:$A,Info!$B1030,Data!$G:$G,Info!$C1030,Data!$I:$I,Info!$D1030,Data!$H:$H,"TOT")</f>
        <v>0</v>
      </c>
      <c r="O1030" s="61">
        <f>IF(C1030="Defensive",SUMIFS(Data!$J:$J,Data!$A:$A,Info!$B1030,Data!$I:$I,Info!$D1030,Data!$H:$H,"INT"),0)</f>
        <v>0</v>
      </c>
      <c r="P1030" s="61">
        <f>IF(Table1[[#This Row],[Role]]="Defensive",SUMIFS(Data!$J:$J,Data!$A:$A,Info!$B1030,Data!$I:$I,Info!$D1030,Data!$H:$H,$P$1),0)</f>
        <v>0</v>
      </c>
      <c r="Q1030" s="72" t="str">
        <f>IF(Table1[[#This Row],[Pick]]="","",IF(S1030&gt;1,400,IF(G1030="","",IF(C1030="Passing",(400-Table1[[#This Row],[Passing Yards]]-(30*Table1[[#This Row],[Passing TDs]])-(50*SUM(Table1[[#This Row],[Rushing TDs]:[Other TD''s]]))),IF(C1030="Rushing",2*(200-Table1[[#This Row],[Rushing Yards]]-(30*Table1[[#This Row],[Passing TDs]])-50*(Table1[[#This Row],[Rushing TDs]]+Table1[[#This Row],[Receiving TDs]]+Table1[[#This Row],[Other TD''s]])),IF(C1030="Receiving",2*(200-Table1[[#This Row],[Receiving Yards]]-(30*Table1[[#This Row],[Passing TDs]])-50*(Table1[[#This Row],[Rushing TDs]]+Table1[[#This Row],[Receiving TDs]]+Table1[[#This Row],[Other TD''s]])),IF(C1030="Defensive",(25*(16-Table1[[#This Row],[Tackles]]-(8*(Table1[[#This Row],[Other TD''s]]+Table1[[#This Row],[Interceptions]]+Table1[[#This Row],[Fumbles Recovered]])))))))))))</f>
        <v/>
      </c>
      <c r="R1030" s="3" t="str">
        <f t="shared" si="34"/>
        <v/>
      </c>
      <c r="S1030" s="4">
        <f t="shared" si="35"/>
        <v>1048507</v>
      </c>
      <c r="T10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1" spans="1:20" hidden="1" x14ac:dyDescent="0.25">
      <c r="A1031" t="s">
        <v>106</v>
      </c>
      <c r="B1031" s="28" t="s">
        <v>45</v>
      </c>
      <c r="C1031" t="s">
        <v>16</v>
      </c>
      <c r="D1031" s="71" t="str">
        <f>_xlfn.XLOOKUP(Table1[[#This Row],[Player]]&amp;Table1[[#This Row],[Week]]&amp;Table1[[#This Row],[Role]],'Google Form Transform'!$A:$A,'Google Form Transform'!E:E,"")</f>
        <v/>
      </c>
      <c r="E1031" t="str">
        <f>_xlfn.XLOOKUP(Table1[[#This Row],[Player]]&amp;Table1[[#This Row],[Week]]&amp;Table1[[#This Row],[Role]],'Google Form Transform'!$A:$A,'Google Form Transform'!F:F,"")</f>
        <v/>
      </c>
      <c r="F1031" t="str">
        <f>_xlfn.XLOOKUP(Table1[[#This Row],[Player]]&amp;Table1[[#This Row],[Week]]&amp;Table1[[#This Row],[Role]],'Google Form Transform'!$A:$A,'Google Form Transform'!G:G,"")</f>
        <v/>
      </c>
      <c r="G1031" s="59">
        <f>SUMIFS(Table2[Stat],Table2[Stat Category],"passing",Table2[Stat Type],"YDS",Table2[Athlete],Table1[[#This Row],[Pick]],Table2[Week],Table1[[#This Row],[Week]])</f>
        <v>0</v>
      </c>
      <c r="H1031" s="59">
        <f>SUMIFS(Table2[Stat],Table2[Stat Category],"rushing",Table2[Stat Type],"YDS",Table2[Athlete],Table1[[#This Row],[Pick]],Table2[Week],Table1[[#This Row],[Week]])</f>
        <v>0</v>
      </c>
      <c r="I1031" s="59">
        <f>SUMIFS(Table2[Stat],Table2[Stat Category],"receiving",Table2[Stat Type],"YDS",Table2[Athlete],Table1[[#This Row],[Pick]],Table2[Week],Table1[[#This Row],[Week]])</f>
        <v>0</v>
      </c>
      <c r="J1031" s="6">
        <f>IF(AND($C1031="Rushing", $H1031&lt;=0), 0, IF(AND($C1031="Passing", $G$3&lt;=0), 0,IF(AND($C1031="Receiving",$I1031&lt;=0), 0,SUMIFS(Table2[Stat],Table2[Week],Table1[[#This Row],[Week]],Table2[Athlete],Table1[[#This Row],[Pick]],Table2[Stat Category],"passing",Table2[Stat Type],"TD"))))</f>
        <v>0</v>
      </c>
      <c r="K1031" s="6">
        <f>IF(AND($C1031="Rushing", $H1031&lt;=0), 0, IF(AND($C1031="Passing", $G$3&lt;=0), 0,IF(AND($C1031="Receiving",$I1031&lt;=0),0,SUMIFS(Table2[Stat],Table2[Week],Table1[[#This Row],[Week]],Table2[Athlete],Table1[[#This Row],[Pick]],Table2[Stat Category],"rushing",Table2[Stat Type],"TD"))))</f>
        <v>0</v>
      </c>
      <c r="L1031" s="6">
        <f>IF(AND($C1031="Rushing", $H1031&lt;=0), 0, IF(AND($C1031="Passing", $G$3&lt;=0), 0,IF(AND($C1031="Receiving",$I1031&lt;=0),0,SUMIFS(Table2[Stat],Table2[Week],Table1[[#This Row],[Week]],Table2[Athlete],Table1[[#This Row],[Pick]],Table2[Stat Category],"receiving",Table2[Stat Type],"TD"))))</f>
        <v>0</v>
      </c>
      <c r="M10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1" s="61">
        <f>SUMIFS(Data!$J:$J,Data!$A:$A,Info!$B1031,Data!$G:$G,Info!$C1031,Data!$I:$I,Info!$D1031,Data!$H:$H,"TOT")</f>
        <v>0</v>
      </c>
      <c r="O1031" s="61">
        <f>IF(C1031="Defensive",SUMIFS(Data!$J:$J,Data!$A:$A,Info!$B1031,Data!$I:$I,Info!$D1031,Data!$H:$H,"INT"),0)</f>
        <v>0</v>
      </c>
      <c r="P1031" s="61">
        <f>IF(Table1[[#This Row],[Role]]="Defensive",SUMIFS(Data!$J:$J,Data!$A:$A,Info!$B1031,Data!$I:$I,Info!$D1031,Data!$H:$H,$P$1),0)</f>
        <v>0</v>
      </c>
      <c r="Q1031" s="72" t="str">
        <f>IF(Table1[[#This Row],[Pick]]="","",IF(S1031&gt;1,400,IF(G1031="","",IF(C1031="Passing",(400-Table1[[#This Row],[Passing Yards]]-(30*Table1[[#This Row],[Passing TDs]])-(50*SUM(Table1[[#This Row],[Rushing TDs]:[Other TD''s]]))),IF(C1031="Rushing",2*(200-Table1[[#This Row],[Rushing Yards]]-(30*Table1[[#This Row],[Passing TDs]])-50*(Table1[[#This Row],[Rushing TDs]]+Table1[[#This Row],[Receiving TDs]]+Table1[[#This Row],[Other TD''s]])),IF(C1031="Receiving",2*(200-Table1[[#This Row],[Receiving Yards]]-(30*Table1[[#This Row],[Passing TDs]])-50*(Table1[[#This Row],[Rushing TDs]]+Table1[[#This Row],[Receiving TDs]]+Table1[[#This Row],[Other TD''s]])),IF(C1031="Defensive",(25*(16-Table1[[#This Row],[Tackles]]-(8*(Table1[[#This Row],[Other TD''s]]+Table1[[#This Row],[Interceptions]]+Table1[[#This Row],[Fumbles Recovered]])))))))))))</f>
        <v/>
      </c>
      <c r="R1031" s="3" t="str">
        <f t="shared" ref="R1031:R1034" si="36">IF(D1031="","",A1031&amp;C1031&amp;D1031)</f>
        <v/>
      </c>
      <c r="S1031" s="4">
        <f t="shared" si="35"/>
        <v>1048507</v>
      </c>
      <c r="T10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2" spans="1:20" hidden="1" x14ac:dyDescent="0.25">
      <c r="A1032" t="s">
        <v>106</v>
      </c>
      <c r="B1032" s="28" t="s">
        <v>45</v>
      </c>
      <c r="C1032" t="s">
        <v>6</v>
      </c>
      <c r="D1032" s="71" t="str">
        <f>_xlfn.XLOOKUP(Table1[[#This Row],[Player]]&amp;Table1[[#This Row],[Week]]&amp;Table1[[#This Row],[Role]],'Google Form Transform'!$A:$A,'Google Form Transform'!E:E,"")</f>
        <v/>
      </c>
      <c r="E1032" t="str">
        <f>_xlfn.XLOOKUP(Table1[[#This Row],[Player]]&amp;Table1[[#This Row],[Week]]&amp;Table1[[#This Row],[Role]],'Google Form Transform'!$A:$A,'Google Form Transform'!F:F,"")</f>
        <v/>
      </c>
      <c r="F1032" t="str">
        <f>_xlfn.XLOOKUP(Table1[[#This Row],[Player]]&amp;Table1[[#This Row],[Week]]&amp;Table1[[#This Row],[Role]],'Google Form Transform'!$A:$A,'Google Form Transform'!G:G,"")</f>
        <v/>
      </c>
      <c r="G1032" s="59">
        <f>SUMIFS(Table2[Stat],Table2[Stat Category],"passing",Table2[Stat Type],"YDS",Table2[Athlete],Table1[[#This Row],[Pick]],Table2[Week],Table1[[#This Row],[Week]])</f>
        <v>0</v>
      </c>
      <c r="H1032" s="59">
        <f>SUMIFS(Table2[Stat],Table2[Stat Category],"rushing",Table2[Stat Type],"YDS",Table2[Athlete],Table1[[#This Row],[Pick]],Table2[Week],Table1[[#This Row],[Week]])</f>
        <v>0</v>
      </c>
      <c r="I1032" s="59">
        <f>SUMIFS(Table2[Stat],Table2[Stat Category],"receiving",Table2[Stat Type],"YDS",Table2[Athlete],Table1[[#This Row],[Pick]],Table2[Week],Table1[[#This Row],[Week]])</f>
        <v>0</v>
      </c>
      <c r="J1032" s="6">
        <f>IF(AND($C1032="Rushing", $H1032&lt;=0), 0, IF(AND($C1032="Passing", $G$3&lt;=0), 0,IF(AND($C1032="Receiving",$I1032&lt;=0), 0,SUMIFS(Table2[Stat],Table2[Week],Table1[[#This Row],[Week]],Table2[Athlete],Table1[[#This Row],[Pick]],Table2[Stat Category],"passing",Table2[Stat Type],"TD"))))</f>
        <v>0</v>
      </c>
      <c r="K1032" s="6">
        <f>IF(AND($C1032="Rushing", $H1032&lt;=0), 0, IF(AND($C1032="Passing", $G$3&lt;=0), 0,IF(AND($C1032="Receiving",$I1032&lt;=0),0,SUMIFS(Table2[Stat],Table2[Week],Table1[[#This Row],[Week]],Table2[Athlete],Table1[[#This Row],[Pick]],Table2[Stat Category],"rushing",Table2[Stat Type],"TD"))))</f>
        <v>0</v>
      </c>
      <c r="L1032" s="6">
        <f>IF(AND($C1032="Rushing", $H1032&lt;=0), 0, IF(AND($C1032="Passing", $G$3&lt;=0), 0,IF(AND($C1032="Receiving",$I1032&lt;=0),0,SUMIFS(Table2[Stat],Table2[Week],Table1[[#This Row],[Week]],Table2[Athlete],Table1[[#This Row],[Pick]],Table2[Stat Category],"receiving",Table2[Stat Type],"TD"))))</f>
        <v>0</v>
      </c>
      <c r="M10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2" s="61">
        <f>SUMIFS(Data!$J:$J,Data!$A:$A,Info!$B1032,Data!$G:$G,Info!$C1032,Data!$I:$I,Info!$D1032,Data!$H:$H,"TOT")</f>
        <v>0</v>
      </c>
      <c r="O1032" s="61">
        <f>IF(C1032="Defensive",SUMIFS(Data!$J:$J,Data!$A:$A,Info!$B1032,Data!$I:$I,Info!$D1032,Data!$H:$H,"INT"),0)</f>
        <v>0</v>
      </c>
      <c r="P1032" s="61">
        <f>IF(Table1[[#This Row],[Role]]="Defensive",SUMIFS(Data!$J:$J,Data!$A:$A,Info!$B1032,Data!$I:$I,Info!$D1032,Data!$H:$H,$P$1),0)</f>
        <v>0</v>
      </c>
      <c r="Q1032" s="72" t="str">
        <f>IF(Table1[[#This Row],[Pick]]="","",IF(S1032&gt;1,400,IF(G1032="","",IF(C1032="Passing",(400-Table1[[#This Row],[Passing Yards]]-(30*Table1[[#This Row],[Passing TDs]])-(50*SUM(Table1[[#This Row],[Rushing TDs]:[Other TD''s]]))),IF(C1032="Rushing",2*(200-Table1[[#This Row],[Rushing Yards]]-(30*Table1[[#This Row],[Passing TDs]])-50*(Table1[[#This Row],[Rushing TDs]]+Table1[[#This Row],[Receiving TDs]]+Table1[[#This Row],[Other TD''s]])),IF(C1032="Receiving",2*(200-Table1[[#This Row],[Receiving Yards]]-(30*Table1[[#This Row],[Passing TDs]])-50*(Table1[[#This Row],[Rushing TDs]]+Table1[[#This Row],[Receiving TDs]]+Table1[[#This Row],[Other TD''s]])),IF(C1032="Defensive",(25*(16-Table1[[#This Row],[Tackles]]-(8*(Table1[[#This Row],[Other TD''s]]+Table1[[#This Row],[Interceptions]]+Table1[[#This Row],[Fumbles Recovered]])))))))))))</f>
        <v/>
      </c>
      <c r="R1032" s="3" t="str">
        <f t="shared" si="36"/>
        <v/>
      </c>
      <c r="S1032" s="4">
        <f t="shared" si="35"/>
        <v>1048507</v>
      </c>
      <c r="T10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3" spans="1:20" hidden="1" x14ac:dyDescent="0.25">
      <c r="A1033" t="s">
        <v>106</v>
      </c>
      <c r="B1033" s="28" t="s">
        <v>45</v>
      </c>
      <c r="C1033" t="s">
        <v>17</v>
      </c>
      <c r="D1033" s="71" t="str">
        <f>_xlfn.XLOOKUP(Table1[[#This Row],[Player]]&amp;Table1[[#This Row],[Week]]&amp;Table1[[#This Row],[Role]],'Google Form Transform'!$A:$A,'Google Form Transform'!E:E,"")</f>
        <v/>
      </c>
      <c r="E1033" t="str">
        <f>_xlfn.XLOOKUP(Table1[[#This Row],[Player]]&amp;Table1[[#This Row],[Week]]&amp;Table1[[#This Row],[Role]],'Google Form Transform'!$A:$A,'Google Form Transform'!F:F,"")</f>
        <v/>
      </c>
      <c r="F1033" t="str">
        <f>_xlfn.XLOOKUP(Table1[[#This Row],[Player]]&amp;Table1[[#This Row],[Week]]&amp;Table1[[#This Row],[Role]],'Google Form Transform'!$A:$A,'Google Form Transform'!G:G,"")</f>
        <v/>
      </c>
      <c r="G1033" s="59">
        <f>SUMIFS(Table2[Stat],Table2[Stat Category],"passing",Table2[Stat Type],"YDS",Table2[Athlete],Table1[[#This Row],[Pick]],Table2[Week],Table1[[#This Row],[Week]])</f>
        <v>0</v>
      </c>
      <c r="H1033" s="59">
        <f>SUMIFS(Table2[Stat],Table2[Stat Category],"rushing",Table2[Stat Type],"YDS",Table2[Athlete],Table1[[#This Row],[Pick]],Table2[Week],Table1[[#This Row],[Week]])</f>
        <v>0</v>
      </c>
      <c r="I1033" s="59">
        <f>SUMIFS(Table2[Stat],Table2[Stat Category],"receiving",Table2[Stat Type],"YDS",Table2[Athlete],Table1[[#This Row],[Pick]],Table2[Week],Table1[[#This Row],[Week]])</f>
        <v>0</v>
      </c>
      <c r="J1033" s="6">
        <f>IF(AND($C1033="Rushing", $H1033&lt;=0), 0, IF(AND($C1033="Passing", $G$3&lt;=0), 0,IF(AND($C1033="Receiving",$I1033&lt;=0), 0,SUMIFS(Table2[Stat],Table2[Week],Table1[[#This Row],[Week]],Table2[Athlete],Table1[[#This Row],[Pick]],Table2[Stat Category],"passing",Table2[Stat Type],"TD"))))</f>
        <v>0</v>
      </c>
      <c r="K1033" s="6">
        <f>IF(AND($C1033="Rushing", $H1033&lt;=0), 0, IF(AND($C1033="Passing", $G$3&lt;=0), 0,IF(AND($C1033="Receiving",$I1033&lt;=0),0,SUMIFS(Table2[Stat],Table2[Week],Table1[[#This Row],[Week]],Table2[Athlete],Table1[[#This Row],[Pick]],Table2[Stat Category],"rushing",Table2[Stat Type],"TD"))))</f>
        <v>0</v>
      </c>
      <c r="L1033" s="6">
        <f>IF(AND($C1033="Rushing", $H1033&lt;=0), 0, IF(AND($C1033="Passing", $G$3&lt;=0), 0,IF(AND($C1033="Receiving",$I1033&lt;=0),0,SUMIFS(Table2[Stat],Table2[Week],Table1[[#This Row],[Week]],Table2[Athlete],Table1[[#This Row],[Pick]],Table2[Stat Category],"receiving",Table2[Stat Type],"TD"))))</f>
        <v>0</v>
      </c>
      <c r="M10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3" s="61">
        <f>SUMIFS(Data!$J:$J,Data!$A:$A,Info!$B1033,Data!$G:$G,Info!$C1033,Data!$I:$I,Info!$D1033,Data!$H:$H,"TOT")</f>
        <v>0</v>
      </c>
      <c r="O1033" s="61">
        <f>IF(C1033="Defensive",SUMIFS(Data!$J:$J,Data!$A:$A,Info!$B1033,Data!$I:$I,Info!$D1033,Data!$H:$H,"INT"),0)</f>
        <v>0</v>
      </c>
      <c r="P1033" s="61">
        <f>IF(Table1[[#This Row],[Role]]="Defensive",SUMIFS(Data!$J:$J,Data!$A:$A,Info!$B1033,Data!$I:$I,Info!$D1033,Data!$H:$H,$P$1),0)</f>
        <v>0</v>
      </c>
      <c r="Q1033" s="72" t="str">
        <f>IF(Table1[[#This Row],[Pick]]="","",IF(S1033&gt;1,400,IF(G1033="","",IF(C1033="Passing",(400-Table1[[#This Row],[Passing Yards]]-(30*Table1[[#This Row],[Passing TDs]])-(50*SUM(Table1[[#This Row],[Rushing TDs]:[Other TD''s]]))),IF(C1033="Rushing",2*(200-Table1[[#This Row],[Rushing Yards]]-(30*Table1[[#This Row],[Passing TDs]])-50*(Table1[[#This Row],[Rushing TDs]]+Table1[[#This Row],[Receiving TDs]]+Table1[[#This Row],[Other TD''s]])),IF(C1033="Receiving",2*(200-Table1[[#This Row],[Receiving Yards]]-(30*Table1[[#This Row],[Passing TDs]])-50*(Table1[[#This Row],[Rushing TDs]]+Table1[[#This Row],[Receiving TDs]]+Table1[[#This Row],[Other TD''s]])),IF(C1033="Defensive",(25*(16-Table1[[#This Row],[Tackles]]-(8*(Table1[[#This Row],[Other TD''s]]+Table1[[#This Row],[Interceptions]]+Table1[[#This Row],[Fumbles Recovered]])))))))))))</f>
        <v/>
      </c>
      <c r="R1033" s="3" t="str">
        <f t="shared" si="36"/>
        <v/>
      </c>
      <c r="S1033" s="4">
        <f t="shared" si="35"/>
        <v>1048507</v>
      </c>
      <c r="T10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4" spans="1:20" hidden="1" x14ac:dyDescent="0.25">
      <c r="A1034" t="s">
        <v>106</v>
      </c>
      <c r="B1034" s="28" t="s">
        <v>45</v>
      </c>
      <c r="C1034" t="s">
        <v>20</v>
      </c>
      <c r="D1034" s="71" t="str">
        <f>_xlfn.XLOOKUP(Table1[[#This Row],[Player]]&amp;Table1[[#This Row],[Week]]&amp;Table1[[#This Row],[Role]],'Google Form Transform'!$A:$A,'Google Form Transform'!E:E,"")</f>
        <v/>
      </c>
      <c r="E1034" t="str">
        <f>_xlfn.XLOOKUP(Table1[[#This Row],[Player]]&amp;Table1[[#This Row],[Week]]&amp;Table1[[#This Row],[Role]],'Google Form Transform'!$A:$A,'Google Form Transform'!F:F,"")</f>
        <v/>
      </c>
      <c r="F1034" t="str">
        <f>_xlfn.XLOOKUP(Table1[[#This Row],[Player]]&amp;Table1[[#This Row],[Week]]&amp;Table1[[#This Row],[Role]],'Google Form Transform'!$A:$A,'Google Form Transform'!G:G,"")</f>
        <v/>
      </c>
      <c r="G1034" s="59">
        <f>SUMIFS(Table2[Stat],Table2[Stat Category],"passing",Table2[Stat Type],"YDS",Table2[Athlete],Table1[[#This Row],[Pick]],Table2[Week],Table1[[#This Row],[Week]])</f>
        <v>0</v>
      </c>
      <c r="H1034" s="59">
        <f>SUMIFS(Table2[Stat],Table2[Stat Category],"rushing",Table2[Stat Type],"YDS",Table2[Athlete],Table1[[#This Row],[Pick]],Table2[Week],Table1[[#This Row],[Week]])</f>
        <v>0</v>
      </c>
      <c r="I1034" s="59">
        <f>SUMIFS(Table2[Stat],Table2[Stat Category],"receiving",Table2[Stat Type],"YDS",Table2[Athlete],Table1[[#This Row],[Pick]],Table2[Week],Table1[[#This Row],[Week]])</f>
        <v>0</v>
      </c>
      <c r="J1034" s="6">
        <f>IF(AND($C1034="Rushing", $H1034&lt;=0), 0, IF(AND($C1034="Passing", $G$3&lt;=0), 0,IF(AND($C1034="Receiving",$I1034&lt;=0), 0,SUMIFS(Table2[Stat],Table2[Week],Table1[[#This Row],[Week]],Table2[Athlete],Table1[[#This Row],[Pick]],Table2[Stat Category],"passing",Table2[Stat Type],"TD"))))</f>
        <v>0</v>
      </c>
      <c r="K1034" s="6">
        <f>IF(AND($C1034="Rushing", $H1034&lt;=0), 0, IF(AND($C1034="Passing", $G$3&lt;=0), 0,IF(AND($C1034="Receiving",$I1034&lt;=0),0,SUMIFS(Table2[Stat],Table2[Week],Table1[[#This Row],[Week]],Table2[Athlete],Table1[[#This Row],[Pick]],Table2[Stat Category],"rushing",Table2[Stat Type],"TD"))))</f>
        <v>0</v>
      </c>
      <c r="L1034" s="6">
        <f>IF(AND($C1034="Rushing", $H1034&lt;=0), 0, IF(AND($C1034="Passing", $G$3&lt;=0), 0,IF(AND($C1034="Receiving",$I1034&lt;=0),0,SUMIFS(Table2[Stat],Table2[Week],Table1[[#This Row],[Week]],Table2[Athlete],Table1[[#This Row],[Pick]],Table2[Stat Category],"receiving",Table2[Stat Type],"TD"))))</f>
        <v>0</v>
      </c>
      <c r="M10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4" s="61">
        <f>SUMIFS(Data!$J:$J,Data!$A:$A,Info!$B1034,Data!$G:$G,Info!$C1034,Data!$I:$I,Info!$D1034,Data!$H:$H,"TOT")</f>
        <v>0</v>
      </c>
      <c r="O1034" s="61">
        <f>IF(C1034="Defensive",SUMIFS(Data!$J:$J,Data!$A:$A,Info!$B1034,Data!$I:$I,Info!$D1034,Data!$H:$H,"INT"),0)</f>
        <v>0</v>
      </c>
      <c r="P1034" s="61">
        <f>IF(Table1[[#This Row],[Role]]="Defensive",SUMIFS(Data!$J:$J,Data!$A:$A,Info!$B1034,Data!$I:$I,Info!$D1034,Data!$H:$H,$P$1),0)</f>
        <v>0</v>
      </c>
      <c r="Q1034" s="72" t="str">
        <f>IF(Table1[[#This Row],[Pick]]="","",IF(S1034&gt;1,400,IF(G1034="","",IF(C1034="Passing",(400-Table1[[#This Row],[Passing Yards]]-(30*Table1[[#This Row],[Passing TDs]])-(50*SUM(Table1[[#This Row],[Rushing TDs]:[Other TD''s]]))),IF(C1034="Rushing",2*(200-Table1[[#This Row],[Rushing Yards]]-(30*Table1[[#This Row],[Passing TDs]])-50*(Table1[[#This Row],[Rushing TDs]]+Table1[[#This Row],[Receiving TDs]]+Table1[[#This Row],[Other TD''s]])),IF(C1034="Receiving",2*(200-Table1[[#This Row],[Receiving Yards]]-(30*Table1[[#This Row],[Passing TDs]])-50*(Table1[[#This Row],[Rushing TDs]]+Table1[[#This Row],[Receiving TDs]]+Table1[[#This Row],[Other TD''s]])),IF(C1034="Defensive",(25*(16-Table1[[#This Row],[Tackles]]-(8*(Table1[[#This Row],[Other TD''s]]+Table1[[#This Row],[Interceptions]]+Table1[[#This Row],[Fumbles Recovered]])))))))))))</f>
        <v/>
      </c>
      <c r="R1034" s="3" t="str">
        <f t="shared" si="36"/>
        <v/>
      </c>
      <c r="S1034" s="4">
        <f t="shared" si="35"/>
        <v>1048507</v>
      </c>
      <c r="T10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5" spans="1:20" hidden="1" x14ac:dyDescent="0.25">
      <c r="A1035" t="s">
        <v>106</v>
      </c>
      <c r="B1035" s="28" t="s">
        <v>46</v>
      </c>
      <c r="C1035" t="s">
        <v>16</v>
      </c>
      <c r="D1035" s="71" t="str">
        <f>_xlfn.XLOOKUP(Table1[[#This Row],[Player]]&amp;Table1[[#This Row],[Week]]&amp;Table1[[#This Row],[Role]],'Google Form Transform'!$A:$A,'Google Form Transform'!E:E,"")</f>
        <v/>
      </c>
      <c r="E1035" t="str">
        <f>_xlfn.XLOOKUP(Table1[[#This Row],[Player]]&amp;Table1[[#This Row],[Week]]&amp;Table1[[#This Row],[Role]],'Google Form Transform'!$A:$A,'Google Form Transform'!F:F,"")</f>
        <v/>
      </c>
      <c r="F1035" t="str">
        <f>_xlfn.XLOOKUP(Table1[[#This Row],[Player]]&amp;Table1[[#This Row],[Week]]&amp;Table1[[#This Row],[Role]],'Google Form Transform'!$A:$A,'Google Form Transform'!G:G,"")</f>
        <v/>
      </c>
      <c r="G1035" s="59">
        <f>SUMIFS(Table2[Stat],Table2[Stat Category],"passing",Table2[Stat Type],"YDS",Table2[Athlete],Table1[[#This Row],[Pick]],Table2[Week],Table1[[#This Row],[Week]])</f>
        <v>0</v>
      </c>
      <c r="H1035" s="59">
        <f>SUMIFS(Table2[Stat],Table2[Stat Category],"rushing",Table2[Stat Type],"YDS",Table2[Athlete],Table1[[#This Row],[Pick]],Table2[Week],Table1[[#This Row],[Week]])</f>
        <v>0</v>
      </c>
      <c r="I1035" s="59">
        <f>SUMIFS(Table2[Stat],Table2[Stat Category],"receiving",Table2[Stat Type],"YDS",Table2[Athlete],Table1[[#This Row],[Pick]],Table2[Week],Table1[[#This Row],[Week]])</f>
        <v>0</v>
      </c>
      <c r="J1035" s="6">
        <f>IF(AND($C1035="Rushing", $H1035&lt;=0), 0, IF(AND($C1035="Passing", $G$3&lt;=0), 0,IF(AND($C1035="Receiving",$I1035&lt;=0), 0,SUMIFS(Table2[Stat],Table2[Week],Table1[[#This Row],[Week]],Table2[Athlete],Table1[[#This Row],[Pick]],Table2[Stat Category],"passing",Table2[Stat Type],"TD"))))</f>
        <v>0</v>
      </c>
      <c r="K1035" s="6">
        <f>IF(AND($C1035="Rushing", $H1035&lt;=0), 0, IF(AND($C1035="Passing", $G$3&lt;=0), 0,IF(AND($C1035="Receiving",$I1035&lt;=0),0,SUMIFS(Table2[Stat],Table2[Week],Table1[[#This Row],[Week]],Table2[Athlete],Table1[[#This Row],[Pick]],Table2[Stat Category],"rushing",Table2[Stat Type],"TD"))))</f>
        <v>0</v>
      </c>
      <c r="L1035" s="6">
        <f>IF(AND($C1035="Rushing", $H1035&lt;=0), 0, IF(AND($C1035="Passing", $G$3&lt;=0), 0,IF(AND($C1035="Receiving",$I1035&lt;=0),0,SUMIFS(Table2[Stat],Table2[Week],Table1[[#This Row],[Week]],Table2[Athlete],Table1[[#This Row],[Pick]],Table2[Stat Category],"receiving",Table2[Stat Type],"TD"))))</f>
        <v>0</v>
      </c>
      <c r="M10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5" s="61">
        <f>SUMIFS(Data!$J:$J,Data!$A:$A,Info!$B1035,Data!$G:$G,Info!$C1035,Data!$I:$I,Info!$D1035,Data!$H:$H,"TOT")</f>
        <v>0</v>
      </c>
      <c r="O1035" s="61">
        <f>IF(C1035="Defensive",SUMIFS(Data!$J:$J,Data!$A:$A,Info!$B1035,Data!$I:$I,Info!$D1035,Data!$H:$H,"INT"),0)</f>
        <v>0</v>
      </c>
      <c r="P1035" s="61">
        <f>IF(Table1[[#This Row],[Role]]="Defensive",SUMIFS(Data!$J:$J,Data!$A:$A,Info!$B1035,Data!$I:$I,Info!$D1035,Data!$H:$H,$P$1),0)</f>
        <v>0</v>
      </c>
      <c r="Q1035" s="72" t="str">
        <f>IF(Table1[[#This Row],[Pick]]="","",IF(S1035&gt;1,400,IF(G1035="","",IF(C1035="Passing",(400-Table1[[#This Row],[Passing Yards]]-(30*Table1[[#This Row],[Passing TDs]])-(50*SUM(Table1[[#This Row],[Rushing TDs]:[Other TD''s]]))),IF(C1035="Rushing",2*(200-Table1[[#This Row],[Rushing Yards]]-(30*Table1[[#This Row],[Passing TDs]])-50*(Table1[[#This Row],[Rushing TDs]]+Table1[[#This Row],[Receiving TDs]]+Table1[[#This Row],[Other TD''s]])),IF(C1035="Receiving",2*(200-Table1[[#This Row],[Receiving Yards]]-(30*Table1[[#This Row],[Passing TDs]])-50*(Table1[[#This Row],[Rushing TDs]]+Table1[[#This Row],[Receiving TDs]]+Table1[[#This Row],[Other TD''s]])),IF(C1035="Defensive",(25*(16-Table1[[#This Row],[Tackles]]-(8*(Table1[[#This Row],[Other TD''s]]+Table1[[#This Row],[Interceptions]]+Table1[[#This Row],[Fumbles Recovered]])))))))))))</f>
        <v/>
      </c>
      <c r="R1035" s="3" t="str">
        <f t="shared" ref="R1035:R1038" si="37">IF(D1035="","",A1035&amp;C1035&amp;D1035)</f>
        <v/>
      </c>
      <c r="S1035" s="4">
        <f t="shared" si="35"/>
        <v>1048507</v>
      </c>
      <c r="T10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6" spans="1:20" hidden="1" x14ac:dyDescent="0.25">
      <c r="A1036" t="s">
        <v>106</v>
      </c>
      <c r="B1036" s="28" t="s">
        <v>46</v>
      </c>
      <c r="C1036" t="s">
        <v>6</v>
      </c>
      <c r="D1036" s="71" t="str">
        <f>_xlfn.XLOOKUP(Table1[[#This Row],[Player]]&amp;Table1[[#This Row],[Week]]&amp;Table1[[#This Row],[Role]],'Google Form Transform'!$A:$A,'Google Form Transform'!E:E,"")</f>
        <v/>
      </c>
      <c r="E1036" t="str">
        <f>_xlfn.XLOOKUP(Table1[[#This Row],[Player]]&amp;Table1[[#This Row],[Week]]&amp;Table1[[#This Row],[Role]],'Google Form Transform'!$A:$A,'Google Form Transform'!F:F,"")</f>
        <v/>
      </c>
      <c r="F1036" t="str">
        <f>_xlfn.XLOOKUP(Table1[[#This Row],[Player]]&amp;Table1[[#This Row],[Week]]&amp;Table1[[#This Row],[Role]],'Google Form Transform'!$A:$A,'Google Form Transform'!G:G,"")</f>
        <v/>
      </c>
      <c r="G1036" s="59">
        <f>SUMIFS(Table2[Stat],Table2[Stat Category],"passing",Table2[Stat Type],"YDS",Table2[Athlete],Table1[[#This Row],[Pick]],Table2[Week],Table1[[#This Row],[Week]])</f>
        <v>0</v>
      </c>
      <c r="H1036" s="59">
        <f>SUMIFS(Table2[Stat],Table2[Stat Category],"rushing",Table2[Stat Type],"YDS",Table2[Athlete],Table1[[#This Row],[Pick]],Table2[Week],Table1[[#This Row],[Week]])</f>
        <v>0</v>
      </c>
      <c r="I1036" s="59">
        <f>SUMIFS(Table2[Stat],Table2[Stat Category],"receiving",Table2[Stat Type],"YDS",Table2[Athlete],Table1[[#This Row],[Pick]],Table2[Week],Table1[[#This Row],[Week]])</f>
        <v>0</v>
      </c>
      <c r="J1036" s="6">
        <f>IF(AND($C1036="Rushing", $H1036&lt;=0), 0, IF(AND($C1036="Passing", $G$3&lt;=0), 0,IF(AND($C1036="Receiving",$I1036&lt;=0), 0,SUMIFS(Table2[Stat],Table2[Week],Table1[[#This Row],[Week]],Table2[Athlete],Table1[[#This Row],[Pick]],Table2[Stat Category],"passing",Table2[Stat Type],"TD"))))</f>
        <v>0</v>
      </c>
      <c r="K1036" s="6">
        <f>IF(AND($C1036="Rushing", $H1036&lt;=0), 0, IF(AND($C1036="Passing", $G$3&lt;=0), 0,IF(AND($C1036="Receiving",$I1036&lt;=0),0,SUMIFS(Table2[Stat],Table2[Week],Table1[[#This Row],[Week]],Table2[Athlete],Table1[[#This Row],[Pick]],Table2[Stat Category],"rushing",Table2[Stat Type],"TD"))))</f>
        <v>0</v>
      </c>
      <c r="L1036" s="6">
        <f>IF(AND($C1036="Rushing", $H1036&lt;=0), 0, IF(AND($C1036="Passing", $G$3&lt;=0), 0,IF(AND($C1036="Receiving",$I1036&lt;=0),0,SUMIFS(Table2[Stat],Table2[Week],Table1[[#This Row],[Week]],Table2[Athlete],Table1[[#This Row],[Pick]],Table2[Stat Category],"receiving",Table2[Stat Type],"TD"))))</f>
        <v>0</v>
      </c>
      <c r="M10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6" s="61">
        <f>SUMIFS(Data!$J:$J,Data!$A:$A,Info!$B1036,Data!$G:$G,Info!$C1036,Data!$I:$I,Info!$D1036,Data!$H:$H,"TOT")</f>
        <v>0</v>
      </c>
      <c r="O1036" s="61">
        <f>IF(C1036="Defensive",SUMIFS(Data!$J:$J,Data!$A:$A,Info!$B1036,Data!$I:$I,Info!$D1036,Data!$H:$H,"INT"),0)</f>
        <v>0</v>
      </c>
      <c r="P1036" s="61">
        <f>IF(Table1[[#This Row],[Role]]="Defensive",SUMIFS(Data!$J:$J,Data!$A:$A,Info!$B1036,Data!$I:$I,Info!$D1036,Data!$H:$H,$P$1),0)</f>
        <v>0</v>
      </c>
      <c r="Q1036" s="72" t="str">
        <f>IF(Table1[[#This Row],[Pick]]="","",IF(S1036&gt;1,400,IF(G1036="","",IF(C1036="Passing",(400-Table1[[#This Row],[Passing Yards]]-(30*Table1[[#This Row],[Passing TDs]])-(50*SUM(Table1[[#This Row],[Rushing TDs]:[Other TD''s]]))),IF(C1036="Rushing",2*(200-Table1[[#This Row],[Rushing Yards]]-(30*Table1[[#This Row],[Passing TDs]])-50*(Table1[[#This Row],[Rushing TDs]]+Table1[[#This Row],[Receiving TDs]]+Table1[[#This Row],[Other TD''s]])),IF(C1036="Receiving",2*(200-Table1[[#This Row],[Receiving Yards]]-(30*Table1[[#This Row],[Passing TDs]])-50*(Table1[[#This Row],[Rushing TDs]]+Table1[[#This Row],[Receiving TDs]]+Table1[[#This Row],[Other TD''s]])),IF(C1036="Defensive",(25*(16-Table1[[#This Row],[Tackles]]-(8*(Table1[[#This Row],[Other TD''s]]+Table1[[#This Row],[Interceptions]]+Table1[[#This Row],[Fumbles Recovered]])))))))))))</f>
        <v/>
      </c>
      <c r="R1036" s="3" t="str">
        <f t="shared" si="37"/>
        <v/>
      </c>
      <c r="S1036" s="4">
        <f t="shared" si="35"/>
        <v>1048507</v>
      </c>
      <c r="T10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7" spans="1:20" hidden="1" x14ac:dyDescent="0.25">
      <c r="A1037" t="s">
        <v>106</v>
      </c>
      <c r="B1037" s="28" t="s">
        <v>46</v>
      </c>
      <c r="C1037" t="s">
        <v>17</v>
      </c>
      <c r="D1037" s="71" t="str">
        <f>_xlfn.XLOOKUP(Table1[[#This Row],[Player]]&amp;Table1[[#This Row],[Week]]&amp;Table1[[#This Row],[Role]],'Google Form Transform'!$A:$A,'Google Form Transform'!E:E,"")</f>
        <v/>
      </c>
      <c r="E1037" t="str">
        <f>_xlfn.XLOOKUP(Table1[[#This Row],[Player]]&amp;Table1[[#This Row],[Week]]&amp;Table1[[#This Row],[Role]],'Google Form Transform'!$A:$A,'Google Form Transform'!F:F,"")</f>
        <v/>
      </c>
      <c r="F1037" t="str">
        <f>_xlfn.XLOOKUP(Table1[[#This Row],[Player]]&amp;Table1[[#This Row],[Week]]&amp;Table1[[#This Row],[Role]],'Google Form Transform'!$A:$A,'Google Form Transform'!G:G,"")</f>
        <v/>
      </c>
      <c r="G1037" s="59">
        <f>SUMIFS(Table2[Stat],Table2[Stat Category],"passing",Table2[Stat Type],"YDS",Table2[Athlete],Table1[[#This Row],[Pick]],Table2[Week],Table1[[#This Row],[Week]])</f>
        <v>0</v>
      </c>
      <c r="H1037" s="59">
        <f>SUMIFS(Table2[Stat],Table2[Stat Category],"rushing",Table2[Stat Type],"YDS",Table2[Athlete],Table1[[#This Row],[Pick]],Table2[Week],Table1[[#This Row],[Week]])</f>
        <v>0</v>
      </c>
      <c r="I1037" s="59">
        <f>SUMIFS(Table2[Stat],Table2[Stat Category],"receiving",Table2[Stat Type],"YDS",Table2[Athlete],Table1[[#This Row],[Pick]],Table2[Week],Table1[[#This Row],[Week]])</f>
        <v>0</v>
      </c>
      <c r="J1037" s="6">
        <f>IF(AND($C1037="Rushing", $H1037&lt;=0), 0, IF(AND($C1037="Passing", $G$3&lt;=0), 0,IF(AND($C1037="Receiving",$I1037&lt;=0), 0,SUMIFS(Table2[Stat],Table2[Week],Table1[[#This Row],[Week]],Table2[Athlete],Table1[[#This Row],[Pick]],Table2[Stat Category],"passing",Table2[Stat Type],"TD"))))</f>
        <v>0</v>
      </c>
      <c r="K1037" s="6">
        <f>IF(AND($C1037="Rushing", $H1037&lt;=0), 0, IF(AND($C1037="Passing", $G$3&lt;=0), 0,IF(AND($C1037="Receiving",$I1037&lt;=0),0,SUMIFS(Table2[Stat],Table2[Week],Table1[[#This Row],[Week]],Table2[Athlete],Table1[[#This Row],[Pick]],Table2[Stat Category],"rushing",Table2[Stat Type],"TD"))))</f>
        <v>0</v>
      </c>
      <c r="L1037" s="6">
        <f>IF(AND($C1037="Rushing", $H1037&lt;=0), 0, IF(AND($C1037="Passing", $G$3&lt;=0), 0,IF(AND($C1037="Receiving",$I1037&lt;=0),0,SUMIFS(Table2[Stat],Table2[Week],Table1[[#This Row],[Week]],Table2[Athlete],Table1[[#This Row],[Pick]],Table2[Stat Category],"receiving",Table2[Stat Type],"TD"))))</f>
        <v>0</v>
      </c>
      <c r="M10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7" s="61">
        <f>SUMIFS(Data!$J:$J,Data!$A:$A,Info!$B1037,Data!$G:$G,Info!$C1037,Data!$I:$I,Info!$D1037,Data!$H:$H,"TOT")</f>
        <v>0</v>
      </c>
      <c r="O1037" s="61">
        <f>IF(C1037="Defensive",SUMIFS(Data!$J:$J,Data!$A:$A,Info!$B1037,Data!$I:$I,Info!$D1037,Data!$H:$H,"INT"),0)</f>
        <v>0</v>
      </c>
      <c r="P1037" s="61">
        <f>IF(Table1[[#This Row],[Role]]="Defensive",SUMIFS(Data!$J:$J,Data!$A:$A,Info!$B1037,Data!$I:$I,Info!$D1037,Data!$H:$H,$P$1),0)</f>
        <v>0</v>
      </c>
      <c r="Q1037" s="72" t="str">
        <f>IF(Table1[[#This Row],[Pick]]="","",IF(S1037&gt;1,400,IF(G1037="","",IF(C1037="Passing",(400-Table1[[#This Row],[Passing Yards]]-(30*Table1[[#This Row],[Passing TDs]])-(50*SUM(Table1[[#This Row],[Rushing TDs]:[Other TD''s]]))),IF(C1037="Rushing",2*(200-Table1[[#This Row],[Rushing Yards]]-(30*Table1[[#This Row],[Passing TDs]])-50*(Table1[[#This Row],[Rushing TDs]]+Table1[[#This Row],[Receiving TDs]]+Table1[[#This Row],[Other TD''s]])),IF(C1037="Receiving",2*(200-Table1[[#This Row],[Receiving Yards]]-(30*Table1[[#This Row],[Passing TDs]])-50*(Table1[[#This Row],[Rushing TDs]]+Table1[[#This Row],[Receiving TDs]]+Table1[[#This Row],[Other TD''s]])),IF(C1037="Defensive",(25*(16-Table1[[#This Row],[Tackles]]-(8*(Table1[[#This Row],[Other TD''s]]+Table1[[#This Row],[Interceptions]]+Table1[[#This Row],[Fumbles Recovered]])))))))))))</f>
        <v/>
      </c>
      <c r="R1037" s="3" t="str">
        <f t="shared" si="37"/>
        <v/>
      </c>
      <c r="S1037" s="4">
        <f t="shared" si="35"/>
        <v>1048507</v>
      </c>
      <c r="T10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8" spans="1:20" hidden="1" x14ac:dyDescent="0.25">
      <c r="A1038" t="s">
        <v>106</v>
      </c>
      <c r="B1038" s="28" t="s">
        <v>46</v>
      </c>
      <c r="C1038" t="s">
        <v>20</v>
      </c>
      <c r="D1038" s="71" t="str">
        <f>_xlfn.XLOOKUP(Table1[[#This Row],[Player]]&amp;Table1[[#This Row],[Week]]&amp;Table1[[#This Row],[Role]],'Google Form Transform'!$A:$A,'Google Form Transform'!E:E,"")</f>
        <v/>
      </c>
      <c r="E1038" t="str">
        <f>_xlfn.XLOOKUP(Table1[[#This Row],[Player]]&amp;Table1[[#This Row],[Week]]&amp;Table1[[#This Row],[Role]],'Google Form Transform'!$A:$A,'Google Form Transform'!F:F,"")</f>
        <v/>
      </c>
      <c r="F1038" t="str">
        <f>_xlfn.XLOOKUP(Table1[[#This Row],[Player]]&amp;Table1[[#This Row],[Week]]&amp;Table1[[#This Row],[Role]],'Google Form Transform'!$A:$A,'Google Form Transform'!G:G,"")</f>
        <v/>
      </c>
      <c r="G1038" s="59">
        <f>SUMIFS(Table2[Stat],Table2[Stat Category],"passing",Table2[Stat Type],"YDS",Table2[Athlete],Table1[[#This Row],[Pick]],Table2[Week],Table1[[#This Row],[Week]])</f>
        <v>0</v>
      </c>
      <c r="H1038" s="59">
        <f>SUMIFS(Table2[Stat],Table2[Stat Category],"rushing",Table2[Stat Type],"YDS",Table2[Athlete],Table1[[#This Row],[Pick]],Table2[Week],Table1[[#This Row],[Week]])</f>
        <v>0</v>
      </c>
      <c r="I1038" s="59">
        <f>SUMIFS(Table2[Stat],Table2[Stat Category],"receiving",Table2[Stat Type],"YDS",Table2[Athlete],Table1[[#This Row],[Pick]],Table2[Week],Table1[[#This Row],[Week]])</f>
        <v>0</v>
      </c>
      <c r="J1038" s="6">
        <f>IF(AND($C1038="Rushing", $H1038&lt;=0), 0, IF(AND($C1038="Passing", $G$3&lt;=0), 0,IF(AND($C1038="Receiving",$I1038&lt;=0), 0,SUMIFS(Table2[Stat],Table2[Week],Table1[[#This Row],[Week]],Table2[Athlete],Table1[[#This Row],[Pick]],Table2[Stat Category],"passing",Table2[Stat Type],"TD"))))</f>
        <v>0</v>
      </c>
      <c r="K1038" s="6">
        <f>IF(AND($C1038="Rushing", $H1038&lt;=0), 0, IF(AND($C1038="Passing", $G$3&lt;=0), 0,IF(AND($C1038="Receiving",$I1038&lt;=0),0,SUMIFS(Table2[Stat],Table2[Week],Table1[[#This Row],[Week]],Table2[Athlete],Table1[[#This Row],[Pick]],Table2[Stat Category],"rushing",Table2[Stat Type],"TD"))))</f>
        <v>0</v>
      </c>
      <c r="L1038" s="6">
        <f>IF(AND($C1038="Rushing", $H1038&lt;=0), 0, IF(AND($C1038="Passing", $G$3&lt;=0), 0,IF(AND($C1038="Receiving",$I1038&lt;=0),0,SUMIFS(Table2[Stat],Table2[Week],Table1[[#This Row],[Week]],Table2[Athlete],Table1[[#This Row],[Pick]],Table2[Stat Category],"receiving",Table2[Stat Type],"TD"))))</f>
        <v>0</v>
      </c>
      <c r="M10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8" s="61">
        <f>SUMIFS(Data!$J:$J,Data!$A:$A,Info!$B1038,Data!$G:$G,Info!$C1038,Data!$I:$I,Info!$D1038,Data!$H:$H,"TOT")</f>
        <v>0</v>
      </c>
      <c r="O1038" s="61">
        <f>IF(C1038="Defensive",SUMIFS(Data!$J:$J,Data!$A:$A,Info!$B1038,Data!$I:$I,Info!$D1038,Data!$H:$H,"INT"),0)</f>
        <v>0</v>
      </c>
      <c r="P1038" s="61">
        <f>IF(Table1[[#This Row],[Role]]="Defensive",SUMIFS(Data!$J:$J,Data!$A:$A,Info!$B1038,Data!$I:$I,Info!$D1038,Data!$H:$H,$P$1),0)</f>
        <v>0</v>
      </c>
      <c r="Q1038" s="72" t="str">
        <f>IF(Table1[[#This Row],[Pick]]="","",IF(S1038&gt;1,400,IF(G1038="","",IF(C1038="Passing",(400-Table1[[#This Row],[Passing Yards]]-(30*Table1[[#This Row],[Passing TDs]])-(50*SUM(Table1[[#This Row],[Rushing TDs]:[Other TD''s]]))),IF(C1038="Rushing",2*(200-Table1[[#This Row],[Rushing Yards]]-(30*Table1[[#This Row],[Passing TDs]])-50*(Table1[[#This Row],[Rushing TDs]]+Table1[[#This Row],[Receiving TDs]]+Table1[[#This Row],[Other TD''s]])),IF(C1038="Receiving",2*(200-Table1[[#This Row],[Receiving Yards]]-(30*Table1[[#This Row],[Passing TDs]])-50*(Table1[[#This Row],[Rushing TDs]]+Table1[[#This Row],[Receiving TDs]]+Table1[[#This Row],[Other TD''s]])),IF(C1038="Defensive",(25*(16-Table1[[#This Row],[Tackles]]-(8*(Table1[[#This Row],[Other TD''s]]+Table1[[#This Row],[Interceptions]]+Table1[[#This Row],[Fumbles Recovered]])))))))))))</f>
        <v/>
      </c>
      <c r="R1038" s="3" t="str">
        <f t="shared" si="37"/>
        <v/>
      </c>
      <c r="S1038" s="4">
        <f t="shared" si="35"/>
        <v>1048507</v>
      </c>
      <c r="T10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9" spans="1:20" hidden="1" x14ac:dyDescent="0.25">
      <c r="A1039" t="s">
        <v>106</v>
      </c>
      <c r="B1039" s="28" t="s">
        <v>47</v>
      </c>
      <c r="C1039" t="s">
        <v>16</v>
      </c>
      <c r="D1039" s="71" t="str">
        <f>_xlfn.XLOOKUP(Table1[[#This Row],[Player]]&amp;Table1[[#This Row],[Week]]&amp;Table1[[#This Row],[Role]],'Google Form Transform'!$A:$A,'Google Form Transform'!E:E,"")</f>
        <v/>
      </c>
      <c r="E1039" t="str">
        <f>_xlfn.XLOOKUP(Table1[[#This Row],[Player]]&amp;Table1[[#This Row],[Week]]&amp;Table1[[#This Row],[Role]],'Google Form Transform'!$A:$A,'Google Form Transform'!F:F,"")</f>
        <v/>
      </c>
      <c r="F1039" t="str">
        <f>_xlfn.XLOOKUP(Table1[[#This Row],[Player]]&amp;Table1[[#This Row],[Week]]&amp;Table1[[#This Row],[Role]],'Google Form Transform'!$A:$A,'Google Form Transform'!G:G,"")</f>
        <v/>
      </c>
      <c r="G1039" s="59">
        <f>SUMIFS(Table2[Stat],Table2[Stat Category],"passing",Table2[Stat Type],"YDS",Table2[Athlete],Table1[[#This Row],[Pick]],Table2[Week],Table1[[#This Row],[Week]])</f>
        <v>0</v>
      </c>
      <c r="H1039" s="59">
        <f>SUMIFS(Table2[Stat],Table2[Stat Category],"rushing",Table2[Stat Type],"YDS",Table2[Athlete],Table1[[#This Row],[Pick]],Table2[Week],Table1[[#This Row],[Week]])</f>
        <v>0</v>
      </c>
      <c r="I1039" s="59">
        <f>SUMIFS(Table2[Stat],Table2[Stat Category],"receiving",Table2[Stat Type],"YDS",Table2[Athlete],Table1[[#This Row],[Pick]],Table2[Week],Table1[[#This Row],[Week]])</f>
        <v>0</v>
      </c>
      <c r="J1039" s="6">
        <f>IF(AND($C1039="Rushing", $H1039&lt;=0), 0, IF(AND($C1039="Passing", $G$3&lt;=0), 0,IF(AND($C1039="Receiving",$I1039&lt;=0), 0,SUMIFS(Table2[Stat],Table2[Week],Table1[[#This Row],[Week]],Table2[Athlete],Table1[[#This Row],[Pick]],Table2[Stat Category],"passing",Table2[Stat Type],"TD"))))</f>
        <v>0</v>
      </c>
      <c r="K1039" s="6">
        <f>IF(AND($C1039="Rushing", $H1039&lt;=0), 0, IF(AND($C1039="Passing", $G$3&lt;=0), 0,IF(AND($C1039="Receiving",$I1039&lt;=0),0,SUMIFS(Table2[Stat],Table2[Week],Table1[[#This Row],[Week]],Table2[Athlete],Table1[[#This Row],[Pick]],Table2[Stat Category],"rushing",Table2[Stat Type],"TD"))))</f>
        <v>0</v>
      </c>
      <c r="L1039" s="6">
        <f>IF(AND($C1039="Rushing", $H1039&lt;=0), 0, IF(AND($C1039="Passing", $G$3&lt;=0), 0,IF(AND($C1039="Receiving",$I1039&lt;=0),0,SUMIFS(Table2[Stat],Table2[Week],Table1[[#This Row],[Week]],Table2[Athlete],Table1[[#This Row],[Pick]],Table2[Stat Category],"receiving",Table2[Stat Type],"TD"))))</f>
        <v>0</v>
      </c>
      <c r="M10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9" s="61">
        <f>SUMIFS(Data!$J:$J,Data!$A:$A,Info!$B1039,Data!$G:$G,Info!$C1039,Data!$I:$I,Info!$D1039,Data!$H:$H,"TOT")</f>
        <v>0</v>
      </c>
      <c r="O1039" s="61">
        <f>IF(C1039="Defensive",SUMIFS(Data!$J:$J,Data!$A:$A,Info!$B1039,Data!$I:$I,Info!$D1039,Data!$H:$H,"INT"),0)</f>
        <v>0</v>
      </c>
      <c r="P1039" s="61">
        <f>IF(Table1[[#This Row],[Role]]="Defensive",SUMIFS(Data!$J:$J,Data!$A:$A,Info!$B1039,Data!$I:$I,Info!$D1039,Data!$H:$H,$P$1),0)</f>
        <v>0</v>
      </c>
      <c r="Q1039" s="72" t="str">
        <f>IF(Table1[[#This Row],[Pick]]="","",IF(S1039&gt;1,400,IF(G1039="","",IF(C1039="Passing",(400-Table1[[#This Row],[Passing Yards]]-(30*Table1[[#This Row],[Passing TDs]])-(50*SUM(Table1[[#This Row],[Rushing TDs]:[Other TD''s]]))),IF(C1039="Rushing",2*(200-Table1[[#This Row],[Rushing Yards]]-(30*Table1[[#This Row],[Passing TDs]])-50*(Table1[[#This Row],[Rushing TDs]]+Table1[[#This Row],[Receiving TDs]]+Table1[[#This Row],[Other TD''s]])),IF(C1039="Receiving",2*(200-Table1[[#This Row],[Receiving Yards]]-(30*Table1[[#This Row],[Passing TDs]])-50*(Table1[[#This Row],[Rushing TDs]]+Table1[[#This Row],[Receiving TDs]]+Table1[[#This Row],[Other TD''s]])),IF(C1039="Defensive",(25*(16-Table1[[#This Row],[Tackles]]-(8*(Table1[[#This Row],[Other TD''s]]+Table1[[#This Row],[Interceptions]]+Table1[[#This Row],[Fumbles Recovered]])))))))))))</f>
        <v/>
      </c>
      <c r="R1039" s="3" t="str">
        <f t="shared" ref="R1039:R1042" si="38">IF(D1039="","",A1039&amp;C1039&amp;D1039)</f>
        <v/>
      </c>
      <c r="S1039" s="4">
        <f t="shared" si="35"/>
        <v>1048507</v>
      </c>
      <c r="T10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0" spans="1:20" hidden="1" x14ac:dyDescent="0.25">
      <c r="A1040" t="s">
        <v>106</v>
      </c>
      <c r="B1040" s="28" t="s">
        <v>47</v>
      </c>
      <c r="C1040" t="s">
        <v>6</v>
      </c>
      <c r="D1040" s="71" t="str">
        <f>_xlfn.XLOOKUP(Table1[[#This Row],[Player]]&amp;Table1[[#This Row],[Week]]&amp;Table1[[#This Row],[Role]],'Google Form Transform'!$A:$A,'Google Form Transform'!E:E,"")</f>
        <v/>
      </c>
      <c r="E1040" t="str">
        <f>_xlfn.XLOOKUP(Table1[[#This Row],[Player]]&amp;Table1[[#This Row],[Week]]&amp;Table1[[#This Row],[Role]],'Google Form Transform'!$A:$A,'Google Form Transform'!F:F,"")</f>
        <v/>
      </c>
      <c r="F1040" t="str">
        <f>_xlfn.XLOOKUP(Table1[[#This Row],[Player]]&amp;Table1[[#This Row],[Week]]&amp;Table1[[#This Row],[Role]],'Google Form Transform'!$A:$A,'Google Form Transform'!G:G,"")</f>
        <v/>
      </c>
      <c r="G1040" s="59">
        <f>SUMIFS(Table2[Stat],Table2[Stat Category],"passing",Table2[Stat Type],"YDS",Table2[Athlete],Table1[[#This Row],[Pick]],Table2[Week],Table1[[#This Row],[Week]])</f>
        <v>0</v>
      </c>
      <c r="H1040" s="59">
        <f>SUMIFS(Table2[Stat],Table2[Stat Category],"rushing",Table2[Stat Type],"YDS",Table2[Athlete],Table1[[#This Row],[Pick]],Table2[Week],Table1[[#This Row],[Week]])</f>
        <v>0</v>
      </c>
      <c r="I1040" s="59">
        <f>SUMIFS(Table2[Stat],Table2[Stat Category],"receiving",Table2[Stat Type],"YDS",Table2[Athlete],Table1[[#This Row],[Pick]],Table2[Week],Table1[[#This Row],[Week]])</f>
        <v>0</v>
      </c>
      <c r="J1040" s="6">
        <f>IF(AND($C1040="Rushing", $H1040&lt;=0), 0, IF(AND($C1040="Passing", $G$3&lt;=0), 0,IF(AND($C1040="Receiving",$I1040&lt;=0), 0,SUMIFS(Table2[Stat],Table2[Week],Table1[[#This Row],[Week]],Table2[Athlete],Table1[[#This Row],[Pick]],Table2[Stat Category],"passing",Table2[Stat Type],"TD"))))</f>
        <v>0</v>
      </c>
      <c r="K1040" s="6">
        <f>IF(AND($C1040="Rushing", $H1040&lt;=0), 0, IF(AND($C1040="Passing", $G$3&lt;=0), 0,IF(AND($C1040="Receiving",$I1040&lt;=0),0,SUMIFS(Table2[Stat],Table2[Week],Table1[[#This Row],[Week]],Table2[Athlete],Table1[[#This Row],[Pick]],Table2[Stat Category],"rushing",Table2[Stat Type],"TD"))))</f>
        <v>0</v>
      </c>
      <c r="L1040" s="6">
        <f>IF(AND($C1040="Rushing", $H1040&lt;=0), 0, IF(AND($C1040="Passing", $G$3&lt;=0), 0,IF(AND($C1040="Receiving",$I1040&lt;=0),0,SUMIFS(Table2[Stat],Table2[Week],Table1[[#This Row],[Week]],Table2[Athlete],Table1[[#This Row],[Pick]],Table2[Stat Category],"receiving",Table2[Stat Type],"TD"))))</f>
        <v>0</v>
      </c>
      <c r="M10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0" s="61">
        <f>SUMIFS(Data!$J:$J,Data!$A:$A,Info!$B1040,Data!$G:$G,Info!$C1040,Data!$I:$I,Info!$D1040,Data!$H:$H,"TOT")</f>
        <v>0</v>
      </c>
      <c r="O1040" s="61">
        <f>IF(C1040="Defensive",SUMIFS(Data!$J:$J,Data!$A:$A,Info!$B1040,Data!$I:$I,Info!$D1040,Data!$H:$H,"INT"),0)</f>
        <v>0</v>
      </c>
      <c r="P1040" s="61">
        <f>IF(Table1[[#This Row],[Role]]="Defensive",SUMIFS(Data!$J:$J,Data!$A:$A,Info!$B1040,Data!$I:$I,Info!$D1040,Data!$H:$H,$P$1),0)</f>
        <v>0</v>
      </c>
      <c r="Q1040" s="72" t="str">
        <f>IF(Table1[[#This Row],[Pick]]="","",IF(S1040&gt;1,400,IF(G1040="","",IF(C1040="Passing",(400-Table1[[#This Row],[Passing Yards]]-(30*Table1[[#This Row],[Passing TDs]])-(50*SUM(Table1[[#This Row],[Rushing TDs]:[Other TD''s]]))),IF(C1040="Rushing",2*(200-Table1[[#This Row],[Rushing Yards]]-(30*Table1[[#This Row],[Passing TDs]])-50*(Table1[[#This Row],[Rushing TDs]]+Table1[[#This Row],[Receiving TDs]]+Table1[[#This Row],[Other TD''s]])),IF(C1040="Receiving",2*(200-Table1[[#This Row],[Receiving Yards]]-(30*Table1[[#This Row],[Passing TDs]])-50*(Table1[[#This Row],[Rushing TDs]]+Table1[[#This Row],[Receiving TDs]]+Table1[[#This Row],[Other TD''s]])),IF(C1040="Defensive",(25*(16-Table1[[#This Row],[Tackles]]-(8*(Table1[[#This Row],[Other TD''s]]+Table1[[#This Row],[Interceptions]]+Table1[[#This Row],[Fumbles Recovered]])))))))))))</f>
        <v/>
      </c>
      <c r="R1040" s="3" t="str">
        <f t="shared" si="38"/>
        <v/>
      </c>
      <c r="S1040" s="4">
        <f t="shared" si="35"/>
        <v>1048507</v>
      </c>
      <c r="T10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1" spans="1:20" hidden="1" x14ac:dyDescent="0.25">
      <c r="A1041" t="s">
        <v>106</v>
      </c>
      <c r="B1041" s="28" t="s">
        <v>47</v>
      </c>
      <c r="C1041" t="s">
        <v>17</v>
      </c>
      <c r="D1041" s="71" t="str">
        <f>_xlfn.XLOOKUP(Table1[[#This Row],[Player]]&amp;Table1[[#This Row],[Week]]&amp;Table1[[#This Row],[Role]],'Google Form Transform'!$A:$A,'Google Form Transform'!E:E,"")</f>
        <v/>
      </c>
      <c r="E1041" t="str">
        <f>_xlfn.XLOOKUP(Table1[[#This Row],[Player]]&amp;Table1[[#This Row],[Week]]&amp;Table1[[#This Row],[Role]],'Google Form Transform'!$A:$A,'Google Form Transform'!F:F,"")</f>
        <v/>
      </c>
      <c r="F1041" t="str">
        <f>_xlfn.XLOOKUP(Table1[[#This Row],[Player]]&amp;Table1[[#This Row],[Week]]&amp;Table1[[#This Row],[Role]],'Google Form Transform'!$A:$A,'Google Form Transform'!G:G,"")</f>
        <v/>
      </c>
      <c r="G1041" s="59">
        <f>SUMIFS(Table2[Stat],Table2[Stat Category],"passing",Table2[Stat Type],"YDS",Table2[Athlete],Table1[[#This Row],[Pick]],Table2[Week],Table1[[#This Row],[Week]])</f>
        <v>0</v>
      </c>
      <c r="H1041" s="59">
        <f>SUMIFS(Table2[Stat],Table2[Stat Category],"rushing",Table2[Stat Type],"YDS",Table2[Athlete],Table1[[#This Row],[Pick]],Table2[Week],Table1[[#This Row],[Week]])</f>
        <v>0</v>
      </c>
      <c r="I1041" s="59">
        <f>SUMIFS(Table2[Stat],Table2[Stat Category],"receiving",Table2[Stat Type],"YDS",Table2[Athlete],Table1[[#This Row],[Pick]],Table2[Week],Table1[[#This Row],[Week]])</f>
        <v>0</v>
      </c>
      <c r="J1041" s="6">
        <f>IF(AND($C1041="Rushing", $H1041&lt;=0), 0, IF(AND($C1041="Passing", $G$3&lt;=0), 0,IF(AND($C1041="Receiving",$I1041&lt;=0), 0,SUMIFS(Table2[Stat],Table2[Week],Table1[[#This Row],[Week]],Table2[Athlete],Table1[[#This Row],[Pick]],Table2[Stat Category],"passing",Table2[Stat Type],"TD"))))</f>
        <v>0</v>
      </c>
      <c r="K1041" s="6">
        <f>IF(AND($C1041="Rushing", $H1041&lt;=0), 0, IF(AND($C1041="Passing", $G$3&lt;=0), 0,IF(AND($C1041="Receiving",$I1041&lt;=0),0,SUMIFS(Table2[Stat],Table2[Week],Table1[[#This Row],[Week]],Table2[Athlete],Table1[[#This Row],[Pick]],Table2[Stat Category],"rushing",Table2[Stat Type],"TD"))))</f>
        <v>0</v>
      </c>
      <c r="L1041" s="6">
        <f>IF(AND($C1041="Rushing", $H1041&lt;=0), 0, IF(AND($C1041="Passing", $G$3&lt;=0), 0,IF(AND($C1041="Receiving",$I1041&lt;=0),0,SUMIFS(Table2[Stat],Table2[Week],Table1[[#This Row],[Week]],Table2[Athlete],Table1[[#This Row],[Pick]],Table2[Stat Category],"receiving",Table2[Stat Type],"TD"))))</f>
        <v>0</v>
      </c>
      <c r="M10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1" s="61">
        <f>SUMIFS(Data!$J:$J,Data!$A:$A,Info!$B1041,Data!$G:$G,Info!$C1041,Data!$I:$I,Info!$D1041,Data!$H:$H,"TOT")</f>
        <v>0</v>
      </c>
      <c r="O1041" s="61">
        <f>IF(C1041="Defensive",SUMIFS(Data!$J:$J,Data!$A:$A,Info!$B1041,Data!$I:$I,Info!$D1041,Data!$H:$H,"INT"),0)</f>
        <v>0</v>
      </c>
      <c r="P1041" s="61">
        <f>IF(Table1[[#This Row],[Role]]="Defensive",SUMIFS(Data!$J:$J,Data!$A:$A,Info!$B1041,Data!$I:$I,Info!$D1041,Data!$H:$H,$P$1),0)</f>
        <v>0</v>
      </c>
      <c r="Q1041" s="72" t="str">
        <f>IF(Table1[[#This Row],[Pick]]="","",IF(S1041&gt;1,400,IF(G1041="","",IF(C1041="Passing",(400-Table1[[#This Row],[Passing Yards]]-(30*Table1[[#This Row],[Passing TDs]])-(50*SUM(Table1[[#This Row],[Rushing TDs]:[Other TD''s]]))),IF(C1041="Rushing",2*(200-Table1[[#This Row],[Rushing Yards]]-(30*Table1[[#This Row],[Passing TDs]])-50*(Table1[[#This Row],[Rushing TDs]]+Table1[[#This Row],[Receiving TDs]]+Table1[[#This Row],[Other TD''s]])),IF(C1041="Receiving",2*(200-Table1[[#This Row],[Receiving Yards]]-(30*Table1[[#This Row],[Passing TDs]])-50*(Table1[[#This Row],[Rushing TDs]]+Table1[[#This Row],[Receiving TDs]]+Table1[[#This Row],[Other TD''s]])),IF(C1041="Defensive",(25*(16-Table1[[#This Row],[Tackles]]-(8*(Table1[[#This Row],[Other TD''s]]+Table1[[#This Row],[Interceptions]]+Table1[[#This Row],[Fumbles Recovered]])))))))))))</f>
        <v/>
      </c>
      <c r="R1041" s="3" t="str">
        <f t="shared" si="38"/>
        <v/>
      </c>
      <c r="S1041" s="4">
        <f t="shared" si="35"/>
        <v>1048507</v>
      </c>
      <c r="T10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2" spans="1:20" hidden="1" x14ac:dyDescent="0.25">
      <c r="A1042" t="s">
        <v>106</v>
      </c>
      <c r="B1042" s="28" t="s">
        <v>47</v>
      </c>
      <c r="C1042" t="s">
        <v>20</v>
      </c>
      <c r="D1042" s="71" t="str">
        <f>_xlfn.XLOOKUP(Table1[[#This Row],[Player]]&amp;Table1[[#This Row],[Week]]&amp;Table1[[#This Row],[Role]],'Google Form Transform'!$A:$A,'Google Form Transform'!E:E,"")</f>
        <v/>
      </c>
      <c r="E1042" t="str">
        <f>_xlfn.XLOOKUP(Table1[[#This Row],[Player]]&amp;Table1[[#This Row],[Week]]&amp;Table1[[#This Row],[Role]],'Google Form Transform'!$A:$A,'Google Form Transform'!F:F,"")</f>
        <v/>
      </c>
      <c r="F1042" t="str">
        <f>_xlfn.XLOOKUP(Table1[[#This Row],[Player]]&amp;Table1[[#This Row],[Week]]&amp;Table1[[#This Row],[Role]],'Google Form Transform'!$A:$A,'Google Form Transform'!G:G,"")</f>
        <v/>
      </c>
      <c r="G1042" s="59">
        <f>SUMIFS(Table2[Stat],Table2[Stat Category],"passing",Table2[Stat Type],"YDS",Table2[Athlete],Table1[[#This Row],[Pick]],Table2[Week],Table1[[#This Row],[Week]])</f>
        <v>0</v>
      </c>
      <c r="H1042" s="59">
        <f>SUMIFS(Table2[Stat],Table2[Stat Category],"rushing",Table2[Stat Type],"YDS",Table2[Athlete],Table1[[#This Row],[Pick]],Table2[Week],Table1[[#This Row],[Week]])</f>
        <v>0</v>
      </c>
      <c r="I1042" s="59">
        <f>SUMIFS(Table2[Stat],Table2[Stat Category],"receiving",Table2[Stat Type],"YDS",Table2[Athlete],Table1[[#This Row],[Pick]],Table2[Week],Table1[[#This Row],[Week]])</f>
        <v>0</v>
      </c>
      <c r="J1042" s="6">
        <f>IF(AND($C1042="Rushing", $H1042&lt;=0), 0, IF(AND($C1042="Passing", $G$3&lt;=0), 0,IF(AND($C1042="Receiving",$I1042&lt;=0), 0,SUMIFS(Table2[Stat],Table2[Week],Table1[[#This Row],[Week]],Table2[Athlete],Table1[[#This Row],[Pick]],Table2[Stat Category],"passing",Table2[Stat Type],"TD"))))</f>
        <v>0</v>
      </c>
      <c r="K1042" s="6">
        <f>IF(AND($C1042="Rushing", $H1042&lt;=0), 0, IF(AND($C1042="Passing", $G$3&lt;=0), 0,IF(AND($C1042="Receiving",$I1042&lt;=0),0,SUMIFS(Table2[Stat],Table2[Week],Table1[[#This Row],[Week]],Table2[Athlete],Table1[[#This Row],[Pick]],Table2[Stat Category],"rushing",Table2[Stat Type],"TD"))))</f>
        <v>0</v>
      </c>
      <c r="L1042" s="6">
        <f>IF(AND($C1042="Rushing", $H1042&lt;=0), 0, IF(AND($C1042="Passing", $G$3&lt;=0), 0,IF(AND($C1042="Receiving",$I1042&lt;=0),0,SUMIFS(Table2[Stat],Table2[Week],Table1[[#This Row],[Week]],Table2[Athlete],Table1[[#This Row],[Pick]],Table2[Stat Category],"receiving",Table2[Stat Type],"TD"))))</f>
        <v>0</v>
      </c>
      <c r="M10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2" s="61">
        <f>SUMIFS(Data!$J:$J,Data!$A:$A,Info!$B1042,Data!$G:$G,Info!$C1042,Data!$I:$I,Info!$D1042,Data!$H:$H,"TOT")</f>
        <v>0</v>
      </c>
      <c r="O1042" s="61">
        <f>IF(C1042="Defensive",SUMIFS(Data!$J:$J,Data!$A:$A,Info!$B1042,Data!$I:$I,Info!$D1042,Data!$H:$H,"INT"),0)</f>
        <v>0</v>
      </c>
      <c r="P1042" s="61">
        <f>IF(Table1[[#This Row],[Role]]="Defensive",SUMIFS(Data!$J:$J,Data!$A:$A,Info!$B1042,Data!$I:$I,Info!$D1042,Data!$H:$H,$P$1),0)</f>
        <v>0</v>
      </c>
      <c r="Q1042" s="72" t="str">
        <f>IF(Table1[[#This Row],[Pick]]="","",IF(S1042&gt;1,400,IF(G1042="","",IF(C1042="Passing",(400-Table1[[#This Row],[Passing Yards]]-(30*Table1[[#This Row],[Passing TDs]])-(50*SUM(Table1[[#This Row],[Rushing TDs]:[Other TD''s]]))),IF(C1042="Rushing",2*(200-Table1[[#This Row],[Rushing Yards]]-(30*Table1[[#This Row],[Passing TDs]])-50*(Table1[[#This Row],[Rushing TDs]]+Table1[[#This Row],[Receiving TDs]]+Table1[[#This Row],[Other TD''s]])),IF(C1042="Receiving",2*(200-Table1[[#This Row],[Receiving Yards]]-(30*Table1[[#This Row],[Passing TDs]])-50*(Table1[[#This Row],[Rushing TDs]]+Table1[[#This Row],[Receiving TDs]]+Table1[[#This Row],[Other TD''s]])),IF(C1042="Defensive",(25*(16-Table1[[#This Row],[Tackles]]-(8*(Table1[[#This Row],[Other TD''s]]+Table1[[#This Row],[Interceptions]]+Table1[[#This Row],[Fumbles Recovered]])))))))))))</f>
        <v/>
      </c>
      <c r="R1042" s="3" t="str">
        <f t="shared" si="38"/>
        <v/>
      </c>
      <c r="S1042" s="4">
        <f t="shared" si="35"/>
        <v>1048507</v>
      </c>
      <c r="T10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3" spans="1:20" hidden="1" x14ac:dyDescent="0.25">
      <c r="A1043" t="s">
        <v>106</v>
      </c>
      <c r="B1043" s="28" t="s">
        <v>48</v>
      </c>
      <c r="C1043" t="s">
        <v>16</v>
      </c>
      <c r="D1043" s="71" t="str">
        <f>_xlfn.XLOOKUP(Table1[[#This Row],[Player]]&amp;Table1[[#This Row],[Week]]&amp;Table1[[#This Row],[Role]],'Google Form Transform'!$A:$A,'Google Form Transform'!E:E,"")</f>
        <v/>
      </c>
      <c r="E1043" t="str">
        <f>_xlfn.XLOOKUP(Table1[[#This Row],[Player]]&amp;Table1[[#This Row],[Week]]&amp;Table1[[#This Row],[Role]],'Google Form Transform'!$A:$A,'Google Form Transform'!F:F,"")</f>
        <v/>
      </c>
      <c r="F1043" t="str">
        <f>_xlfn.XLOOKUP(Table1[[#This Row],[Player]]&amp;Table1[[#This Row],[Week]]&amp;Table1[[#This Row],[Role]],'Google Form Transform'!$A:$A,'Google Form Transform'!G:G,"")</f>
        <v/>
      </c>
      <c r="G1043" s="59">
        <f>SUMIFS(Table2[Stat],Table2[Stat Category],"passing",Table2[Stat Type],"YDS",Table2[Athlete],Table1[[#This Row],[Pick]],Table2[Week],Table1[[#This Row],[Week]])</f>
        <v>0</v>
      </c>
      <c r="H1043" s="59">
        <f>SUMIFS(Table2[Stat],Table2[Stat Category],"rushing",Table2[Stat Type],"YDS",Table2[Athlete],Table1[[#This Row],[Pick]],Table2[Week],Table1[[#This Row],[Week]])</f>
        <v>0</v>
      </c>
      <c r="I1043" s="59">
        <f>SUMIFS(Table2[Stat],Table2[Stat Category],"receiving",Table2[Stat Type],"YDS",Table2[Athlete],Table1[[#This Row],[Pick]],Table2[Week],Table1[[#This Row],[Week]])</f>
        <v>0</v>
      </c>
      <c r="J1043" s="6">
        <f>IF(AND($C1043="Rushing", $H1043&lt;=0), 0, IF(AND($C1043="Passing", $G$3&lt;=0), 0,IF(AND($C1043="Receiving",$I1043&lt;=0), 0,SUMIFS(Table2[Stat],Table2[Week],Table1[[#This Row],[Week]],Table2[Athlete],Table1[[#This Row],[Pick]],Table2[Stat Category],"passing",Table2[Stat Type],"TD"))))</f>
        <v>0</v>
      </c>
      <c r="K1043" s="6">
        <f>IF(AND($C1043="Rushing", $H1043&lt;=0), 0, IF(AND($C1043="Passing", $G$3&lt;=0), 0,IF(AND($C1043="Receiving",$I1043&lt;=0),0,SUMIFS(Table2[Stat],Table2[Week],Table1[[#This Row],[Week]],Table2[Athlete],Table1[[#This Row],[Pick]],Table2[Stat Category],"rushing",Table2[Stat Type],"TD"))))</f>
        <v>0</v>
      </c>
      <c r="L1043" s="6">
        <f>IF(AND($C1043="Rushing", $H1043&lt;=0), 0, IF(AND($C1043="Passing", $G$3&lt;=0), 0,IF(AND($C1043="Receiving",$I1043&lt;=0),0,SUMIFS(Table2[Stat],Table2[Week],Table1[[#This Row],[Week]],Table2[Athlete],Table1[[#This Row],[Pick]],Table2[Stat Category],"receiving",Table2[Stat Type],"TD"))))</f>
        <v>0</v>
      </c>
      <c r="M10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3" s="61">
        <f>SUMIFS(Data!$J:$J,Data!$A:$A,Info!$B1043,Data!$G:$G,Info!$C1043,Data!$I:$I,Info!$D1043,Data!$H:$H,"TOT")</f>
        <v>0</v>
      </c>
      <c r="O1043" s="61">
        <f>IF(C1043="Defensive",SUMIFS(Data!$J:$J,Data!$A:$A,Info!$B1043,Data!$I:$I,Info!$D1043,Data!$H:$H,"INT"),0)</f>
        <v>0</v>
      </c>
      <c r="P1043" s="61">
        <f>IF(Table1[[#This Row],[Role]]="Defensive",SUMIFS(Data!$J:$J,Data!$A:$A,Info!$B1043,Data!$I:$I,Info!$D1043,Data!$H:$H,$P$1),0)</f>
        <v>0</v>
      </c>
      <c r="Q1043" s="72" t="str">
        <f>IF(Table1[[#This Row],[Pick]]="","",IF(S1043&gt;1,400,IF(G1043="","",IF(C1043="Passing",(400-Table1[[#This Row],[Passing Yards]]-(30*Table1[[#This Row],[Passing TDs]])-(50*SUM(Table1[[#This Row],[Rushing TDs]:[Other TD''s]]))),IF(C1043="Rushing",2*(200-Table1[[#This Row],[Rushing Yards]]-(30*Table1[[#This Row],[Passing TDs]])-50*(Table1[[#This Row],[Rushing TDs]]+Table1[[#This Row],[Receiving TDs]]+Table1[[#This Row],[Other TD''s]])),IF(C1043="Receiving",2*(200-Table1[[#This Row],[Receiving Yards]]-(30*Table1[[#This Row],[Passing TDs]])-50*(Table1[[#This Row],[Rushing TDs]]+Table1[[#This Row],[Receiving TDs]]+Table1[[#This Row],[Other TD''s]])),IF(C1043="Defensive",(25*(16-Table1[[#This Row],[Tackles]]-(8*(Table1[[#This Row],[Other TD''s]]+Table1[[#This Row],[Interceptions]]+Table1[[#This Row],[Fumbles Recovered]])))))))))))</f>
        <v/>
      </c>
      <c r="R1043" s="3" t="str">
        <f t="shared" ref="R1043:R1046" si="39">IF(D1043="","",A1043&amp;C1043&amp;D1043)</f>
        <v/>
      </c>
      <c r="S1043" s="4">
        <f t="shared" si="35"/>
        <v>1048507</v>
      </c>
      <c r="T10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4" spans="1:20" hidden="1" x14ac:dyDescent="0.25">
      <c r="A1044" t="s">
        <v>106</v>
      </c>
      <c r="B1044" s="28" t="s">
        <v>48</v>
      </c>
      <c r="C1044" t="s">
        <v>6</v>
      </c>
      <c r="D1044" s="71" t="str">
        <f>_xlfn.XLOOKUP(Table1[[#This Row],[Player]]&amp;Table1[[#This Row],[Week]]&amp;Table1[[#This Row],[Role]],'Google Form Transform'!$A:$A,'Google Form Transform'!E:E,"")</f>
        <v/>
      </c>
      <c r="E1044" t="str">
        <f>_xlfn.XLOOKUP(Table1[[#This Row],[Player]]&amp;Table1[[#This Row],[Week]]&amp;Table1[[#This Row],[Role]],'Google Form Transform'!$A:$A,'Google Form Transform'!F:F,"")</f>
        <v/>
      </c>
      <c r="F1044" t="str">
        <f>_xlfn.XLOOKUP(Table1[[#This Row],[Player]]&amp;Table1[[#This Row],[Week]]&amp;Table1[[#This Row],[Role]],'Google Form Transform'!$A:$A,'Google Form Transform'!G:G,"")</f>
        <v/>
      </c>
      <c r="G1044" s="59">
        <f>SUMIFS(Table2[Stat],Table2[Stat Category],"passing",Table2[Stat Type],"YDS",Table2[Athlete],Table1[[#This Row],[Pick]],Table2[Week],Table1[[#This Row],[Week]])</f>
        <v>0</v>
      </c>
      <c r="H1044" s="59">
        <f>SUMIFS(Table2[Stat],Table2[Stat Category],"rushing",Table2[Stat Type],"YDS",Table2[Athlete],Table1[[#This Row],[Pick]],Table2[Week],Table1[[#This Row],[Week]])</f>
        <v>0</v>
      </c>
      <c r="I1044" s="59">
        <f>SUMIFS(Table2[Stat],Table2[Stat Category],"receiving",Table2[Stat Type],"YDS",Table2[Athlete],Table1[[#This Row],[Pick]],Table2[Week],Table1[[#This Row],[Week]])</f>
        <v>0</v>
      </c>
      <c r="J1044" s="6">
        <f>IF(AND($C1044="Rushing", $H1044&lt;=0), 0, IF(AND($C1044="Passing", $G$3&lt;=0), 0,IF(AND($C1044="Receiving",$I1044&lt;=0), 0,SUMIFS(Table2[Stat],Table2[Week],Table1[[#This Row],[Week]],Table2[Athlete],Table1[[#This Row],[Pick]],Table2[Stat Category],"passing",Table2[Stat Type],"TD"))))</f>
        <v>0</v>
      </c>
      <c r="K1044" s="6">
        <f>IF(AND($C1044="Rushing", $H1044&lt;=0), 0, IF(AND($C1044="Passing", $G$3&lt;=0), 0,IF(AND($C1044="Receiving",$I1044&lt;=0),0,SUMIFS(Table2[Stat],Table2[Week],Table1[[#This Row],[Week]],Table2[Athlete],Table1[[#This Row],[Pick]],Table2[Stat Category],"rushing",Table2[Stat Type],"TD"))))</f>
        <v>0</v>
      </c>
      <c r="L1044" s="6">
        <f>IF(AND($C1044="Rushing", $H1044&lt;=0), 0, IF(AND($C1044="Passing", $G$3&lt;=0), 0,IF(AND($C1044="Receiving",$I1044&lt;=0),0,SUMIFS(Table2[Stat],Table2[Week],Table1[[#This Row],[Week]],Table2[Athlete],Table1[[#This Row],[Pick]],Table2[Stat Category],"receiving",Table2[Stat Type],"TD"))))</f>
        <v>0</v>
      </c>
      <c r="M10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4" s="61">
        <f>SUMIFS(Data!$J:$J,Data!$A:$A,Info!$B1044,Data!$G:$G,Info!$C1044,Data!$I:$I,Info!$D1044,Data!$H:$H,"TOT")</f>
        <v>0</v>
      </c>
      <c r="O1044" s="61">
        <f>IF(C1044="Defensive",SUMIFS(Data!$J:$J,Data!$A:$A,Info!$B1044,Data!$I:$I,Info!$D1044,Data!$H:$H,"INT"),0)</f>
        <v>0</v>
      </c>
      <c r="P1044" s="61">
        <f>IF(Table1[[#This Row],[Role]]="Defensive",SUMIFS(Data!$J:$J,Data!$A:$A,Info!$B1044,Data!$I:$I,Info!$D1044,Data!$H:$H,$P$1),0)</f>
        <v>0</v>
      </c>
      <c r="Q1044" s="72" t="str">
        <f>IF(Table1[[#This Row],[Pick]]="","",IF(S1044&gt;1,400,IF(G1044="","",IF(C1044="Passing",(400-Table1[[#This Row],[Passing Yards]]-(30*Table1[[#This Row],[Passing TDs]])-(50*SUM(Table1[[#This Row],[Rushing TDs]:[Other TD''s]]))),IF(C1044="Rushing",2*(200-Table1[[#This Row],[Rushing Yards]]-(30*Table1[[#This Row],[Passing TDs]])-50*(Table1[[#This Row],[Rushing TDs]]+Table1[[#This Row],[Receiving TDs]]+Table1[[#This Row],[Other TD''s]])),IF(C1044="Receiving",2*(200-Table1[[#This Row],[Receiving Yards]]-(30*Table1[[#This Row],[Passing TDs]])-50*(Table1[[#This Row],[Rushing TDs]]+Table1[[#This Row],[Receiving TDs]]+Table1[[#This Row],[Other TD''s]])),IF(C1044="Defensive",(25*(16-Table1[[#This Row],[Tackles]]-(8*(Table1[[#This Row],[Other TD''s]]+Table1[[#This Row],[Interceptions]]+Table1[[#This Row],[Fumbles Recovered]])))))))))))</f>
        <v/>
      </c>
      <c r="R1044" s="3" t="str">
        <f t="shared" si="39"/>
        <v/>
      </c>
      <c r="S1044" s="4">
        <f t="shared" si="35"/>
        <v>1048507</v>
      </c>
      <c r="T10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5" spans="1:20" hidden="1" x14ac:dyDescent="0.25">
      <c r="A1045" t="s">
        <v>106</v>
      </c>
      <c r="B1045" s="28" t="s">
        <v>48</v>
      </c>
      <c r="C1045" t="s">
        <v>17</v>
      </c>
      <c r="D1045" s="71" t="str">
        <f>_xlfn.XLOOKUP(Table1[[#This Row],[Player]]&amp;Table1[[#This Row],[Week]]&amp;Table1[[#This Row],[Role]],'Google Form Transform'!$A:$A,'Google Form Transform'!E:E,"")</f>
        <v/>
      </c>
      <c r="E1045" t="str">
        <f>_xlfn.XLOOKUP(Table1[[#This Row],[Player]]&amp;Table1[[#This Row],[Week]]&amp;Table1[[#This Row],[Role]],'Google Form Transform'!$A:$A,'Google Form Transform'!F:F,"")</f>
        <v/>
      </c>
      <c r="F1045" t="str">
        <f>_xlfn.XLOOKUP(Table1[[#This Row],[Player]]&amp;Table1[[#This Row],[Week]]&amp;Table1[[#This Row],[Role]],'Google Form Transform'!$A:$A,'Google Form Transform'!G:G,"")</f>
        <v/>
      </c>
      <c r="G1045" s="59">
        <f>SUMIFS(Table2[Stat],Table2[Stat Category],"passing",Table2[Stat Type],"YDS",Table2[Athlete],Table1[[#This Row],[Pick]],Table2[Week],Table1[[#This Row],[Week]])</f>
        <v>0</v>
      </c>
      <c r="H1045" s="59">
        <f>SUMIFS(Table2[Stat],Table2[Stat Category],"rushing",Table2[Stat Type],"YDS",Table2[Athlete],Table1[[#This Row],[Pick]],Table2[Week],Table1[[#This Row],[Week]])</f>
        <v>0</v>
      </c>
      <c r="I1045" s="59">
        <f>SUMIFS(Table2[Stat],Table2[Stat Category],"receiving",Table2[Stat Type],"YDS",Table2[Athlete],Table1[[#This Row],[Pick]],Table2[Week],Table1[[#This Row],[Week]])</f>
        <v>0</v>
      </c>
      <c r="J1045" s="6">
        <f>IF(AND($C1045="Rushing", $H1045&lt;=0), 0, IF(AND($C1045="Passing", $G$3&lt;=0), 0,IF(AND($C1045="Receiving",$I1045&lt;=0), 0,SUMIFS(Table2[Stat],Table2[Week],Table1[[#This Row],[Week]],Table2[Athlete],Table1[[#This Row],[Pick]],Table2[Stat Category],"passing",Table2[Stat Type],"TD"))))</f>
        <v>0</v>
      </c>
      <c r="K1045" s="6">
        <f>IF(AND($C1045="Rushing", $H1045&lt;=0), 0, IF(AND($C1045="Passing", $G$3&lt;=0), 0,IF(AND($C1045="Receiving",$I1045&lt;=0),0,SUMIFS(Table2[Stat],Table2[Week],Table1[[#This Row],[Week]],Table2[Athlete],Table1[[#This Row],[Pick]],Table2[Stat Category],"rushing",Table2[Stat Type],"TD"))))</f>
        <v>0</v>
      </c>
      <c r="L1045" s="6">
        <f>IF(AND($C1045="Rushing", $H1045&lt;=0), 0, IF(AND($C1045="Passing", $G$3&lt;=0), 0,IF(AND($C1045="Receiving",$I1045&lt;=0),0,SUMIFS(Table2[Stat],Table2[Week],Table1[[#This Row],[Week]],Table2[Athlete],Table1[[#This Row],[Pick]],Table2[Stat Category],"receiving",Table2[Stat Type],"TD"))))</f>
        <v>0</v>
      </c>
      <c r="M10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5" s="61">
        <f>SUMIFS(Data!$J:$J,Data!$A:$A,Info!$B1045,Data!$G:$G,Info!$C1045,Data!$I:$I,Info!$D1045,Data!$H:$H,"TOT")</f>
        <v>0</v>
      </c>
      <c r="O1045" s="61">
        <f>IF(C1045="Defensive",SUMIFS(Data!$J:$J,Data!$A:$A,Info!$B1045,Data!$I:$I,Info!$D1045,Data!$H:$H,"INT"),0)</f>
        <v>0</v>
      </c>
      <c r="P1045" s="61">
        <f>IF(Table1[[#This Row],[Role]]="Defensive",SUMIFS(Data!$J:$J,Data!$A:$A,Info!$B1045,Data!$I:$I,Info!$D1045,Data!$H:$H,$P$1),0)</f>
        <v>0</v>
      </c>
      <c r="Q1045" s="72" t="str">
        <f>IF(Table1[[#This Row],[Pick]]="","",IF(S1045&gt;1,400,IF(G1045="","",IF(C1045="Passing",(400-Table1[[#This Row],[Passing Yards]]-(30*Table1[[#This Row],[Passing TDs]])-(50*SUM(Table1[[#This Row],[Rushing TDs]:[Other TD''s]]))),IF(C1045="Rushing",2*(200-Table1[[#This Row],[Rushing Yards]]-(30*Table1[[#This Row],[Passing TDs]])-50*(Table1[[#This Row],[Rushing TDs]]+Table1[[#This Row],[Receiving TDs]]+Table1[[#This Row],[Other TD''s]])),IF(C1045="Receiving",2*(200-Table1[[#This Row],[Receiving Yards]]-(30*Table1[[#This Row],[Passing TDs]])-50*(Table1[[#This Row],[Rushing TDs]]+Table1[[#This Row],[Receiving TDs]]+Table1[[#This Row],[Other TD''s]])),IF(C1045="Defensive",(25*(16-Table1[[#This Row],[Tackles]]-(8*(Table1[[#This Row],[Other TD''s]]+Table1[[#This Row],[Interceptions]]+Table1[[#This Row],[Fumbles Recovered]])))))))))))</f>
        <v/>
      </c>
      <c r="R1045" s="3" t="str">
        <f t="shared" si="39"/>
        <v/>
      </c>
      <c r="S1045" s="4">
        <f t="shared" si="35"/>
        <v>1048507</v>
      </c>
      <c r="T10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6" spans="1:20" hidden="1" x14ac:dyDescent="0.25">
      <c r="A1046" t="s">
        <v>106</v>
      </c>
      <c r="B1046" s="28" t="s">
        <v>48</v>
      </c>
      <c r="C1046" t="s">
        <v>20</v>
      </c>
      <c r="D1046" s="71" t="str">
        <f>_xlfn.XLOOKUP(Table1[[#This Row],[Player]]&amp;Table1[[#This Row],[Week]]&amp;Table1[[#This Row],[Role]],'Google Form Transform'!$A:$A,'Google Form Transform'!E:E,"")</f>
        <v/>
      </c>
      <c r="E1046" t="str">
        <f>_xlfn.XLOOKUP(Table1[[#This Row],[Player]]&amp;Table1[[#This Row],[Week]]&amp;Table1[[#This Row],[Role]],'Google Form Transform'!$A:$A,'Google Form Transform'!F:F,"")</f>
        <v/>
      </c>
      <c r="F1046" t="str">
        <f>_xlfn.XLOOKUP(Table1[[#This Row],[Player]]&amp;Table1[[#This Row],[Week]]&amp;Table1[[#This Row],[Role]],'Google Form Transform'!$A:$A,'Google Form Transform'!G:G,"")</f>
        <v/>
      </c>
      <c r="G1046" s="59">
        <f>SUMIFS(Table2[Stat],Table2[Stat Category],"passing",Table2[Stat Type],"YDS",Table2[Athlete],Table1[[#This Row],[Pick]],Table2[Week],Table1[[#This Row],[Week]])</f>
        <v>0</v>
      </c>
      <c r="H1046" s="59">
        <f>SUMIFS(Table2[Stat],Table2[Stat Category],"rushing",Table2[Stat Type],"YDS",Table2[Athlete],Table1[[#This Row],[Pick]],Table2[Week],Table1[[#This Row],[Week]])</f>
        <v>0</v>
      </c>
      <c r="I1046" s="59">
        <f>SUMIFS(Table2[Stat],Table2[Stat Category],"receiving",Table2[Stat Type],"YDS",Table2[Athlete],Table1[[#This Row],[Pick]],Table2[Week],Table1[[#This Row],[Week]])</f>
        <v>0</v>
      </c>
      <c r="J1046" s="6">
        <f>IF(AND($C1046="Rushing", $H1046&lt;=0), 0, IF(AND($C1046="Passing", $G$3&lt;=0), 0,IF(AND($C1046="Receiving",$I1046&lt;=0), 0,SUMIFS(Table2[Stat],Table2[Week],Table1[[#This Row],[Week]],Table2[Athlete],Table1[[#This Row],[Pick]],Table2[Stat Category],"passing",Table2[Stat Type],"TD"))))</f>
        <v>0</v>
      </c>
      <c r="K1046" s="6">
        <f>IF(AND($C1046="Rushing", $H1046&lt;=0), 0, IF(AND($C1046="Passing", $G$3&lt;=0), 0,IF(AND($C1046="Receiving",$I1046&lt;=0),0,SUMIFS(Table2[Stat],Table2[Week],Table1[[#This Row],[Week]],Table2[Athlete],Table1[[#This Row],[Pick]],Table2[Stat Category],"rushing",Table2[Stat Type],"TD"))))</f>
        <v>0</v>
      </c>
      <c r="L1046" s="6">
        <f>IF(AND($C1046="Rushing", $H1046&lt;=0), 0, IF(AND($C1046="Passing", $G$3&lt;=0), 0,IF(AND($C1046="Receiving",$I1046&lt;=0),0,SUMIFS(Table2[Stat],Table2[Week],Table1[[#This Row],[Week]],Table2[Athlete],Table1[[#This Row],[Pick]],Table2[Stat Category],"receiving",Table2[Stat Type],"TD"))))</f>
        <v>0</v>
      </c>
      <c r="M10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6" s="61">
        <f>SUMIFS(Data!$J:$J,Data!$A:$A,Info!$B1046,Data!$G:$G,Info!$C1046,Data!$I:$I,Info!$D1046,Data!$H:$H,"TOT")</f>
        <v>0</v>
      </c>
      <c r="O1046" s="61">
        <f>IF(C1046="Defensive",SUMIFS(Data!$J:$J,Data!$A:$A,Info!$B1046,Data!$I:$I,Info!$D1046,Data!$H:$H,"INT"),0)</f>
        <v>0</v>
      </c>
      <c r="P1046" s="61">
        <f>IF(Table1[[#This Row],[Role]]="Defensive",SUMIFS(Data!$J:$J,Data!$A:$A,Info!$B1046,Data!$I:$I,Info!$D1046,Data!$H:$H,$P$1),0)</f>
        <v>0</v>
      </c>
      <c r="Q1046" s="72" t="str">
        <f>IF(Table1[[#This Row],[Pick]]="","",IF(S1046&gt;1,400,IF(G1046="","",IF(C1046="Passing",(400-Table1[[#This Row],[Passing Yards]]-(30*Table1[[#This Row],[Passing TDs]])-(50*SUM(Table1[[#This Row],[Rushing TDs]:[Other TD''s]]))),IF(C1046="Rushing",2*(200-Table1[[#This Row],[Rushing Yards]]-(30*Table1[[#This Row],[Passing TDs]])-50*(Table1[[#This Row],[Rushing TDs]]+Table1[[#This Row],[Receiving TDs]]+Table1[[#This Row],[Other TD''s]])),IF(C1046="Receiving",2*(200-Table1[[#This Row],[Receiving Yards]]-(30*Table1[[#This Row],[Passing TDs]])-50*(Table1[[#This Row],[Rushing TDs]]+Table1[[#This Row],[Receiving TDs]]+Table1[[#This Row],[Other TD''s]])),IF(C1046="Defensive",(25*(16-Table1[[#This Row],[Tackles]]-(8*(Table1[[#This Row],[Other TD''s]]+Table1[[#This Row],[Interceptions]]+Table1[[#This Row],[Fumbles Recovered]])))))))))))</f>
        <v/>
      </c>
      <c r="R1046" s="3" t="str">
        <f t="shared" si="39"/>
        <v/>
      </c>
      <c r="S1046" s="4">
        <f t="shared" si="35"/>
        <v>1048507</v>
      </c>
      <c r="T10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7" spans="1:20" hidden="1" x14ac:dyDescent="0.25">
      <c r="A1047" t="s">
        <v>106</v>
      </c>
      <c r="B1047" s="28" t="s">
        <v>49</v>
      </c>
      <c r="C1047" t="s">
        <v>16</v>
      </c>
      <c r="D1047" s="71" t="str">
        <f>_xlfn.XLOOKUP(Table1[[#This Row],[Player]]&amp;Table1[[#This Row],[Week]]&amp;Table1[[#This Row],[Role]],'Google Form Transform'!$A:$A,'Google Form Transform'!E:E,"")</f>
        <v/>
      </c>
      <c r="E1047" t="str">
        <f>_xlfn.XLOOKUP(Table1[[#This Row],[Player]]&amp;Table1[[#This Row],[Week]]&amp;Table1[[#This Row],[Role]],'Google Form Transform'!$A:$A,'Google Form Transform'!F:F,"")</f>
        <v/>
      </c>
      <c r="F1047" t="str">
        <f>_xlfn.XLOOKUP(Table1[[#This Row],[Player]]&amp;Table1[[#This Row],[Week]]&amp;Table1[[#This Row],[Role]],'Google Form Transform'!$A:$A,'Google Form Transform'!G:G,"")</f>
        <v/>
      </c>
      <c r="G1047" s="59">
        <f>SUMIFS(Table2[Stat],Table2[Stat Category],"passing",Table2[Stat Type],"YDS",Table2[Athlete],Table1[[#This Row],[Pick]],Table2[Week],Table1[[#This Row],[Week]])</f>
        <v>0</v>
      </c>
      <c r="H1047" s="59">
        <f>SUMIFS(Table2[Stat],Table2[Stat Category],"rushing",Table2[Stat Type],"YDS",Table2[Athlete],Table1[[#This Row],[Pick]],Table2[Week],Table1[[#This Row],[Week]])</f>
        <v>0</v>
      </c>
      <c r="I1047" s="59">
        <f>SUMIFS(Table2[Stat],Table2[Stat Category],"receiving",Table2[Stat Type],"YDS",Table2[Athlete],Table1[[#This Row],[Pick]],Table2[Week],Table1[[#This Row],[Week]])</f>
        <v>0</v>
      </c>
      <c r="J1047" s="6">
        <f>IF(AND($C1047="Rushing", $H1047&lt;=0), 0, IF(AND($C1047="Passing", $G$3&lt;=0), 0,IF(AND($C1047="Receiving",$I1047&lt;=0), 0,SUMIFS(Table2[Stat],Table2[Week],Table1[[#This Row],[Week]],Table2[Athlete],Table1[[#This Row],[Pick]],Table2[Stat Category],"passing",Table2[Stat Type],"TD"))))</f>
        <v>0</v>
      </c>
      <c r="K1047" s="6">
        <f>IF(AND($C1047="Rushing", $H1047&lt;=0), 0, IF(AND($C1047="Passing", $G$3&lt;=0), 0,IF(AND($C1047="Receiving",$I1047&lt;=0),0,SUMIFS(Table2[Stat],Table2[Week],Table1[[#This Row],[Week]],Table2[Athlete],Table1[[#This Row],[Pick]],Table2[Stat Category],"rushing",Table2[Stat Type],"TD"))))</f>
        <v>0</v>
      </c>
      <c r="L1047" s="6">
        <f>IF(AND($C1047="Rushing", $H1047&lt;=0), 0, IF(AND($C1047="Passing", $G$3&lt;=0), 0,IF(AND($C1047="Receiving",$I1047&lt;=0),0,SUMIFS(Table2[Stat],Table2[Week],Table1[[#This Row],[Week]],Table2[Athlete],Table1[[#This Row],[Pick]],Table2[Stat Category],"receiving",Table2[Stat Type],"TD"))))</f>
        <v>0</v>
      </c>
      <c r="M10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7" s="61">
        <f>SUMIFS(Data!$J:$J,Data!$A:$A,Info!$B1047,Data!$G:$G,Info!$C1047,Data!$I:$I,Info!$D1047,Data!$H:$H,"TOT")</f>
        <v>0</v>
      </c>
      <c r="O1047" s="61">
        <f>IF(C1047="Defensive",SUMIFS(Data!$J:$J,Data!$A:$A,Info!$B1047,Data!$I:$I,Info!$D1047,Data!$H:$H,"INT"),0)</f>
        <v>0</v>
      </c>
      <c r="P1047" s="61">
        <f>IF(Table1[[#This Row],[Role]]="Defensive",SUMIFS(Data!$J:$J,Data!$A:$A,Info!$B1047,Data!$I:$I,Info!$D1047,Data!$H:$H,$P$1),0)</f>
        <v>0</v>
      </c>
      <c r="Q1047" s="72" t="str">
        <f>IF(Table1[[#This Row],[Pick]]="","",IF(S1047&gt;1,400,IF(G1047="","",IF(C1047="Passing",(400-Table1[[#This Row],[Passing Yards]]-(30*Table1[[#This Row],[Passing TDs]])-(50*SUM(Table1[[#This Row],[Rushing TDs]:[Other TD''s]]))),IF(C1047="Rushing",2*(200-Table1[[#This Row],[Rushing Yards]]-(30*Table1[[#This Row],[Passing TDs]])-50*(Table1[[#This Row],[Rushing TDs]]+Table1[[#This Row],[Receiving TDs]]+Table1[[#This Row],[Other TD''s]])),IF(C1047="Receiving",2*(200-Table1[[#This Row],[Receiving Yards]]-(30*Table1[[#This Row],[Passing TDs]])-50*(Table1[[#This Row],[Rushing TDs]]+Table1[[#This Row],[Receiving TDs]]+Table1[[#This Row],[Other TD''s]])),IF(C1047="Defensive",(25*(16-Table1[[#This Row],[Tackles]]-(8*(Table1[[#This Row],[Other TD''s]]+Table1[[#This Row],[Interceptions]]+Table1[[#This Row],[Fumbles Recovered]])))))))))))</f>
        <v/>
      </c>
      <c r="R1047" s="3" t="str">
        <f t="shared" ref="R1047:R1050" si="40">IF(D1047="","",A1047&amp;C1047&amp;D1047)</f>
        <v/>
      </c>
      <c r="S1047" s="4">
        <f t="shared" si="35"/>
        <v>1048507</v>
      </c>
      <c r="T10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8" spans="1:20" hidden="1" x14ac:dyDescent="0.25">
      <c r="A1048" t="s">
        <v>106</v>
      </c>
      <c r="B1048" s="28" t="s">
        <v>49</v>
      </c>
      <c r="C1048" t="s">
        <v>6</v>
      </c>
      <c r="D1048" s="71" t="str">
        <f>_xlfn.XLOOKUP(Table1[[#This Row],[Player]]&amp;Table1[[#This Row],[Week]]&amp;Table1[[#This Row],[Role]],'Google Form Transform'!$A:$A,'Google Form Transform'!E:E,"")</f>
        <v/>
      </c>
      <c r="E1048" t="str">
        <f>_xlfn.XLOOKUP(Table1[[#This Row],[Player]]&amp;Table1[[#This Row],[Week]]&amp;Table1[[#This Row],[Role]],'Google Form Transform'!$A:$A,'Google Form Transform'!F:F,"")</f>
        <v/>
      </c>
      <c r="F1048" t="str">
        <f>_xlfn.XLOOKUP(Table1[[#This Row],[Player]]&amp;Table1[[#This Row],[Week]]&amp;Table1[[#This Row],[Role]],'Google Form Transform'!$A:$A,'Google Form Transform'!G:G,"")</f>
        <v/>
      </c>
      <c r="G1048" s="59">
        <f>SUMIFS(Table2[Stat],Table2[Stat Category],"passing",Table2[Stat Type],"YDS",Table2[Athlete],Table1[[#This Row],[Pick]],Table2[Week],Table1[[#This Row],[Week]])</f>
        <v>0</v>
      </c>
      <c r="H1048" s="59">
        <f>SUMIFS(Table2[Stat],Table2[Stat Category],"rushing",Table2[Stat Type],"YDS",Table2[Athlete],Table1[[#This Row],[Pick]],Table2[Week],Table1[[#This Row],[Week]])</f>
        <v>0</v>
      </c>
      <c r="I1048" s="59">
        <f>SUMIFS(Table2[Stat],Table2[Stat Category],"receiving",Table2[Stat Type],"YDS",Table2[Athlete],Table1[[#This Row],[Pick]],Table2[Week],Table1[[#This Row],[Week]])</f>
        <v>0</v>
      </c>
      <c r="J1048" s="6">
        <f>IF(AND($C1048="Rushing", $H1048&lt;=0), 0, IF(AND($C1048="Passing", $G$3&lt;=0), 0,IF(AND($C1048="Receiving",$I1048&lt;=0), 0,SUMIFS(Table2[Stat],Table2[Week],Table1[[#This Row],[Week]],Table2[Athlete],Table1[[#This Row],[Pick]],Table2[Stat Category],"passing",Table2[Stat Type],"TD"))))</f>
        <v>0</v>
      </c>
      <c r="K1048" s="6">
        <f>IF(AND($C1048="Rushing", $H1048&lt;=0), 0, IF(AND($C1048="Passing", $G$3&lt;=0), 0,IF(AND($C1048="Receiving",$I1048&lt;=0),0,SUMIFS(Table2[Stat],Table2[Week],Table1[[#This Row],[Week]],Table2[Athlete],Table1[[#This Row],[Pick]],Table2[Stat Category],"rushing",Table2[Stat Type],"TD"))))</f>
        <v>0</v>
      </c>
      <c r="L1048" s="6">
        <f>IF(AND($C1048="Rushing", $H1048&lt;=0), 0, IF(AND($C1048="Passing", $G$3&lt;=0), 0,IF(AND($C1048="Receiving",$I1048&lt;=0),0,SUMIFS(Table2[Stat],Table2[Week],Table1[[#This Row],[Week]],Table2[Athlete],Table1[[#This Row],[Pick]],Table2[Stat Category],"receiving",Table2[Stat Type],"TD"))))</f>
        <v>0</v>
      </c>
      <c r="M10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8" s="61">
        <f>SUMIFS(Data!$J:$J,Data!$A:$A,Info!$B1048,Data!$G:$G,Info!$C1048,Data!$I:$I,Info!$D1048,Data!$H:$H,"TOT")</f>
        <v>0</v>
      </c>
      <c r="O1048" s="61">
        <f>IF(C1048="Defensive",SUMIFS(Data!$J:$J,Data!$A:$A,Info!$B1048,Data!$I:$I,Info!$D1048,Data!$H:$H,"INT"),0)</f>
        <v>0</v>
      </c>
      <c r="P1048" s="61">
        <f>IF(Table1[[#This Row],[Role]]="Defensive",SUMIFS(Data!$J:$J,Data!$A:$A,Info!$B1048,Data!$I:$I,Info!$D1048,Data!$H:$H,$P$1),0)</f>
        <v>0</v>
      </c>
      <c r="Q1048" s="72" t="str">
        <f>IF(Table1[[#This Row],[Pick]]="","",IF(S1048&gt;1,400,IF(G1048="","",IF(C1048="Passing",(400-Table1[[#This Row],[Passing Yards]]-(30*Table1[[#This Row],[Passing TDs]])-(50*SUM(Table1[[#This Row],[Rushing TDs]:[Other TD''s]]))),IF(C1048="Rushing",2*(200-Table1[[#This Row],[Rushing Yards]]-(30*Table1[[#This Row],[Passing TDs]])-50*(Table1[[#This Row],[Rushing TDs]]+Table1[[#This Row],[Receiving TDs]]+Table1[[#This Row],[Other TD''s]])),IF(C1048="Receiving",2*(200-Table1[[#This Row],[Receiving Yards]]-(30*Table1[[#This Row],[Passing TDs]])-50*(Table1[[#This Row],[Rushing TDs]]+Table1[[#This Row],[Receiving TDs]]+Table1[[#This Row],[Other TD''s]])),IF(C1048="Defensive",(25*(16-Table1[[#This Row],[Tackles]]-(8*(Table1[[#This Row],[Other TD''s]]+Table1[[#This Row],[Interceptions]]+Table1[[#This Row],[Fumbles Recovered]])))))))))))</f>
        <v/>
      </c>
      <c r="R1048" s="3" t="str">
        <f t="shared" si="40"/>
        <v/>
      </c>
      <c r="S1048" s="4">
        <f t="shared" si="35"/>
        <v>1048507</v>
      </c>
      <c r="T10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9" spans="1:20" hidden="1" x14ac:dyDescent="0.25">
      <c r="A1049" t="s">
        <v>106</v>
      </c>
      <c r="B1049" s="28" t="s">
        <v>49</v>
      </c>
      <c r="C1049" t="s">
        <v>17</v>
      </c>
      <c r="D1049" s="71" t="str">
        <f>_xlfn.XLOOKUP(Table1[[#This Row],[Player]]&amp;Table1[[#This Row],[Week]]&amp;Table1[[#This Row],[Role]],'Google Form Transform'!$A:$A,'Google Form Transform'!E:E,"")</f>
        <v/>
      </c>
      <c r="E1049" t="str">
        <f>_xlfn.XLOOKUP(Table1[[#This Row],[Player]]&amp;Table1[[#This Row],[Week]]&amp;Table1[[#This Row],[Role]],'Google Form Transform'!$A:$A,'Google Form Transform'!F:F,"")</f>
        <v/>
      </c>
      <c r="F1049" t="str">
        <f>_xlfn.XLOOKUP(Table1[[#This Row],[Player]]&amp;Table1[[#This Row],[Week]]&amp;Table1[[#This Row],[Role]],'Google Form Transform'!$A:$A,'Google Form Transform'!G:G,"")</f>
        <v/>
      </c>
      <c r="G1049" s="59">
        <f>SUMIFS(Table2[Stat],Table2[Stat Category],"passing",Table2[Stat Type],"YDS",Table2[Athlete],Table1[[#This Row],[Pick]],Table2[Week],Table1[[#This Row],[Week]])</f>
        <v>0</v>
      </c>
      <c r="H1049" s="59">
        <f>SUMIFS(Table2[Stat],Table2[Stat Category],"rushing",Table2[Stat Type],"YDS",Table2[Athlete],Table1[[#This Row],[Pick]],Table2[Week],Table1[[#This Row],[Week]])</f>
        <v>0</v>
      </c>
      <c r="I1049" s="59">
        <f>SUMIFS(Table2[Stat],Table2[Stat Category],"receiving",Table2[Stat Type],"YDS",Table2[Athlete],Table1[[#This Row],[Pick]],Table2[Week],Table1[[#This Row],[Week]])</f>
        <v>0</v>
      </c>
      <c r="J1049" s="6">
        <f>IF(AND($C1049="Rushing", $H1049&lt;=0), 0, IF(AND($C1049="Passing", $G$3&lt;=0), 0,IF(AND($C1049="Receiving",$I1049&lt;=0), 0,SUMIFS(Table2[Stat],Table2[Week],Table1[[#This Row],[Week]],Table2[Athlete],Table1[[#This Row],[Pick]],Table2[Stat Category],"passing",Table2[Stat Type],"TD"))))</f>
        <v>0</v>
      </c>
      <c r="K1049" s="6">
        <f>IF(AND($C1049="Rushing", $H1049&lt;=0), 0, IF(AND($C1049="Passing", $G$3&lt;=0), 0,IF(AND($C1049="Receiving",$I1049&lt;=0),0,SUMIFS(Table2[Stat],Table2[Week],Table1[[#This Row],[Week]],Table2[Athlete],Table1[[#This Row],[Pick]],Table2[Stat Category],"rushing",Table2[Stat Type],"TD"))))</f>
        <v>0</v>
      </c>
      <c r="L1049" s="6">
        <f>IF(AND($C1049="Rushing", $H1049&lt;=0), 0, IF(AND($C1049="Passing", $G$3&lt;=0), 0,IF(AND($C1049="Receiving",$I1049&lt;=0),0,SUMIFS(Table2[Stat],Table2[Week],Table1[[#This Row],[Week]],Table2[Athlete],Table1[[#This Row],[Pick]],Table2[Stat Category],"receiving",Table2[Stat Type],"TD"))))</f>
        <v>0</v>
      </c>
      <c r="M10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9" s="61">
        <f>SUMIFS(Data!$J:$J,Data!$A:$A,Info!$B1049,Data!$G:$G,Info!$C1049,Data!$I:$I,Info!$D1049,Data!$H:$H,"TOT")</f>
        <v>0</v>
      </c>
      <c r="O1049" s="61">
        <f>IF(C1049="Defensive",SUMIFS(Data!$J:$J,Data!$A:$A,Info!$B1049,Data!$I:$I,Info!$D1049,Data!$H:$H,"INT"),0)</f>
        <v>0</v>
      </c>
      <c r="P1049" s="61">
        <f>IF(Table1[[#This Row],[Role]]="Defensive",SUMIFS(Data!$J:$J,Data!$A:$A,Info!$B1049,Data!$I:$I,Info!$D1049,Data!$H:$H,$P$1),0)</f>
        <v>0</v>
      </c>
      <c r="Q1049" s="72" t="str">
        <f>IF(Table1[[#This Row],[Pick]]="","",IF(S1049&gt;1,400,IF(G1049="","",IF(C1049="Passing",(400-Table1[[#This Row],[Passing Yards]]-(30*Table1[[#This Row],[Passing TDs]])-(50*SUM(Table1[[#This Row],[Rushing TDs]:[Other TD''s]]))),IF(C1049="Rushing",2*(200-Table1[[#This Row],[Rushing Yards]]-(30*Table1[[#This Row],[Passing TDs]])-50*(Table1[[#This Row],[Rushing TDs]]+Table1[[#This Row],[Receiving TDs]]+Table1[[#This Row],[Other TD''s]])),IF(C1049="Receiving",2*(200-Table1[[#This Row],[Receiving Yards]]-(30*Table1[[#This Row],[Passing TDs]])-50*(Table1[[#This Row],[Rushing TDs]]+Table1[[#This Row],[Receiving TDs]]+Table1[[#This Row],[Other TD''s]])),IF(C1049="Defensive",(25*(16-Table1[[#This Row],[Tackles]]-(8*(Table1[[#This Row],[Other TD''s]]+Table1[[#This Row],[Interceptions]]+Table1[[#This Row],[Fumbles Recovered]])))))))))))</f>
        <v/>
      </c>
      <c r="R1049" s="3" t="str">
        <f t="shared" si="40"/>
        <v/>
      </c>
      <c r="S1049" s="4">
        <f t="shared" si="35"/>
        <v>1048507</v>
      </c>
      <c r="T10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0" spans="1:20" hidden="1" x14ac:dyDescent="0.25">
      <c r="A1050" t="s">
        <v>106</v>
      </c>
      <c r="B1050" s="28" t="s">
        <v>49</v>
      </c>
      <c r="C1050" t="s">
        <v>20</v>
      </c>
      <c r="D1050" s="71" t="str">
        <f>_xlfn.XLOOKUP(Table1[[#This Row],[Player]]&amp;Table1[[#This Row],[Week]]&amp;Table1[[#This Row],[Role]],'Google Form Transform'!$A:$A,'Google Form Transform'!E:E,"")</f>
        <v/>
      </c>
      <c r="E1050" t="str">
        <f>_xlfn.XLOOKUP(Table1[[#This Row],[Player]]&amp;Table1[[#This Row],[Week]]&amp;Table1[[#This Row],[Role]],'Google Form Transform'!$A:$A,'Google Form Transform'!F:F,"")</f>
        <v/>
      </c>
      <c r="F1050" t="str">
        <f>_xlfn.XLOOKUP(Table1[[#This Row],[Player]]&amp;Table1[[#This Row],[Week]]&amp;Table1[[#This Row],[Role]],'Google Form Transform'!$A:$A,'Google Form Transform'!G:G,"")</f>
        <v/>
      </c>
      <c r="G1050" s="59">
        <f>SUMIFS(Table2[Stat],Table2[Stat Category],"passing",Table2[Stat Type],"YDS",Table2[Athlete],Table1[[#This Row],[Pick]],Table2[Week],Table1[[#This Row],[Week]])</f>
        <v>0</v>
      </c>
      <c r="H1050" s="59">
        <f>SUMIFS(Table2[Stat],Table2[Stat Category],"rushing",Table2[Stat Type],"YDS",Table2[Athlete],Table1[[#This Row],[Pick]],Table2[Week],Table1[[#This Row],[Week]])</f>
        <v>0</v>
      </c>
      <c r="I1050" s="59">
        <f>SUMIFS(Table2[Stat],Table2[Stat Category],"receiving",Table2[Stat Type],"YDS",Table2[Athlete],Table1[[#This Row],[Pick]],Table2[Week],Table1[[#This Row],[Week]])</f>
        <v>0</v>
      </c>
      <c r="J1050" s="6">
        <f>IF(AND($C1050="Rushing", $H1050&lt;=0), 0, IF(AND($C1050="Passing", $G$3&lt;=0), 0,IF(AND($C1050="Receiving",$I1050&lt;=0), 0,SUMIFS(Table2[Stat],Table2[Week],Table1[[#This Row],[Week]],Table2[Athlete],Table1[[#This Row],[Pick]],Table2[Stat Category],"passing",Table2[Stat Type],"TD"))))</f>
        <v>0</v>
      </c>
      <c r="K1050" s="6">
        <f>IF(AND($C1050="Rushing", $H1050&lt;=0), 0, IF(AND($C1050="Passing", $G$3&lt;=0), 0,IF(AND($C1050="Receiving",$I1050&lt;=0),0,SUMIFS(Table2[Stat],Table2[Week],Table1[[#This Row],[Week]],Table2[Athlete],Table1[[#This Row],[Pick]],Table2[Stat Category],"rushing",Table2[Stat Type],"TD"))))</f>
        <v>0</v>
      </c>
      <c r="L1050" s="6">
        <f>IF(AND($C1050="Rushing", $H1050&lt;=0), 0, IF(AND($C1050="Passing", $G$3&lt;=0), 0,IF(AND($C1050="Receiving",$I1050&lt;=0),0,SUMIFS(Table2[Stat],Table2[Week],Table1[[#This Row],[Week]],Table2[Athlete],Table1[[#This Row],[Pick]],Table2[Stat Category],"receiving",Table2[Stat Type],"TD"))))</f>
        <v>0</v>
      </c>
      <c r="M10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0" s="61">
        <f>SUMIFS(Data!$J:$J,Data!$A:$A,Info!$B1050,Data!$G:$G,Info!$C1050,Data!$I:$I,Info!$D1050,Data!$H:$H,"TOT")</f>
        <v>0</v>
      </c>
      <c r="O1050" s="61">
        <f>IF(C1050="Defensive",SUMIFS(Data!$J:$J,Data!$A:$A,Info!$B1050,Data!$I:$I,Info!$D1050,Data!$H:$H,"INT"),0)</f>
        <v>0</v>
      </c>
      <c r="P1050" s="61">
        <f>IF(Table1[[#This Row],[Role]]="Defensive",SUMIFS(Data!$J:$J,Data!$A:$A,Info!$B1050,Data!$I:$I,Info!$D1050,Data!$H:$H,$P$1),0)</f>
        <v>0</v>
      </c>
      <c r="Q1050" s="72" t="str">
        <f>IF(Table1[[#This Row],[Pick]]="","",IF(S1050&gt;1,400,IF(G1050="","",IF(C1050="Passing",(400-Table1[[#This Row],[Passing Yards]]-(30*Table1[[#This Row],[Passing TDs]])-(50*SUM(Table1[[#This Row],[Rushing TDs]:[Other TD''s]]))),IF(C1050="Rushing",2*(200-Table1[[#This Row],[Rushing Yards]]-(30*Table1[[#This Row],[Passing TDs]])-50*(Table1[[#This Row],[Rushing TDs]]+Table1[[#This Row],[Receiving TDs]]+Table1[[#This Row],[Other TD''s]])),IF(C1050="Receiving",2*(200-Table1[[#This Row],[Receiving Yards]]-(30*Table1[[#This Row],[Passing TDs]])-50*(Table1[[#This Row],[Rushing TDs]]+Table1[[#This Row],[Receiving TDs]]+Table1[[#This Row],[Other TD''s]])),IF(C1050="Defensive",(25*(16-Table1[[#This Row],[Tackles]]-(8*(Table1[[#This Row],[Other TD''s]]+Table1[[#This Row],[Interceptions]]+Table1[[#This Row],[Fumbles Recovered]])))))))))))</f>
        <v/>
      </c>
      <c r="R1050" s="3" t="str">
        <f t="shared" si="40"/>
        <v/>
      </c>
      <c r="S1050" s="4">
        <f t="shared" si="35"/>
        <v>1048507</v>
      </c>
      <c r="T10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1" spans="1:20" hidden="1" x14ac:dyDescent="0.25">
      <c r="A1051" t="s">
        <v>106</v>
      </c>
      <c r="B1051" s="28" t="s">
        <v>50</v>
      </c>
      <c r="C1051" t="s">
        <v>16</v>
      </c>
      <c r="D1051" s="71" t="str">
        <f>_xlfn.XLOOKUP(Table1[[#This Row],[Player]]&amp;Table1[[#This Row],[Week]]&amp;Table1[[#This Row],[Role]],'Google Form Transform'!$A:$A,'Google Form Transform'!E:E,"")</f>
        <v/>
      </c>
      <c r="E1051" t="str">
        <f>_xlfn.XLOOKUP(Table1[[#This Row],[Player]]&amp;Table1[[#This Row],[Week]]&amp;Table1[[#This Row],[Role]],'Google Form Transform'!$A:$A,'Google Form Transform'!F:F,"")</f>
        <v/>
      </c>
      <c r="F1051" t="str">
        <f>_xlfn.XLOOKUP(Table1[[#This Row],[Player]]&amp;Table1[[#This Row],[Week]]&amp;Table1[[#This Row],[Role]],'Google Form Transform'!$A:$A,'Google Form Transform'!G:G,"")</f>
        <v/>
      </c>
      <c r="G1051" s="59">
        <f>SUMIFS(Table2[Stat],Table2[Stat Category],"passing",Table2[Stat Type],"YDS",Table2[Athlete],Table1[[#This Row],[Pick]],Table2[Week],Table1[[#This Row],[Week]])</f>
        <v>0</v>
      </c>
      <c r="H1051" s="59">
        <f>SUMIFS(Table2[Stat],Table2[Stat Category],"rushing",Table2[Stat Type],"YDS",Table2[Athlete],Table1[[#This Row],[Pick]],Table2[Week],Table1[[#This Row],[Week]])</f>
        <v>0</v>
      </c>
      <c r="I1051" s="59">
        <f>SUMIFS(Table2[Stat],Table2[Stat Category],"receiving",Table2[Stat Type],"YDS",Table2[Athlete],Table1[[#This Row],[Pick]],Table2[Week],Table1[[#This Row],[Week]])</f>
        <v>0</v>
      </c>
      <c r="J1051" s="6">
        <f>IF(AND($C1051="Rushing", $H1051&lt;=0), 0, IF(AND($C1051="Passing", $G$3&lt;=0), 0,IF(AND($C1051="Receiving",$I1051&lt;=0), 0,SUMIFS(Table2[Stat],Table2[Week],Table1[[#This Row],[Week]],Table2[Athlete],Table1[[#This Row],[Pick]],Table2[Stat Category],"passing",Table2[Stat Type],"TD"))))</f>
        <v>0</v>
      </c>
      <c r="K1051" s="6">
        <f>IF(AND($C1051="Rushing", $H1051&lt;=0), 0, IF(AND($C1051="Passing", $G$3&lt;=0), 0,IF(AND($C1051="Receiving",$I1051&lt;=0),0,SUMIFS(Table2[Stat],Table2[Week],Table1[[#This Row],[Week]],Table2[Athlete],Table1[[#This Row],[Pick]],Table2[Stat Category],"rushing",Table2[Stat Type],"TD"))))</f>
        <v>0</v>
      </c>
      <c r="L1051" s="6">
        <f>IF(AND($C1051="Rushing", $H1051&lt;=0), 0, IF(AND($C1051="Passing", $G$3&lt;=0), 0,IF(AND($C1051="Receiving",$I1051&lt;=0),0,SUMIFS(Table2[Stat],Table2[Week],Table1[[#This Row],[Week]],Table2[Athlete],Table1[[#This Row],[Pick]],Table2[Stat Category],"receiving",Table2[Stat Type],"TD"))))</f>
        <v>0</v>
      </c>
      <c r="M10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1" s="61">
        <f>SUMIFS(Data!$J:$J,Data!$A:$A,Info!$B1051,Data!$G:$G,Info!$C1051,Data!$I:$I,Info!$D1051,Data!$H:$H,"TOT")</f>
        <v>0</v>
      </c>
      <c r="O1051" s="61">
        <f>IF(C1051="Defensive",SUMIFS(Data!$J:$J,Data!$A:$A,Info!$B1051,Data!$I:$I,Info!$D1051,Data!$H:$H,"INT"),0)</f>
        <v>0</v>
      </c>
      <c r="P1051" s="61">
        <f>IF(Table1[[#This Row],[Role]]="Defensive",SUMIFS(Data!$J:$J,Data!$A:$A,Info!$B1051,Data!$I:$I,Info!$D1051,Data!$H:$H,$P$1),0)</f>
        <v>0</v>
      </c>
      <c r="Q1051" s="72" t="str">
        <f>IF(Table1[[#This Row],[Pick]]="","",IF(S1051&gt;1,400,IF(G1051="","",IF(C1051="Passing",(400-Table1[[#This Row],[Passing Yards]]-(30*Table1[[#This Row],[Passing TDs]])-(50*SUM(Table1[[#This Row],[Rushing TDs]:[Other TD''s]]))),IF(C1051="Rushing",2*(200-Table1[[#This Row],[Rushing Yards]]-(30*Table1[[#This Row],[Passing TDs]])-50*(Table1[[#This Row],[Rushing TDs]]+Table1[[#This Row],[Receiving TDs]]+Table1[[#This Row],[Other TD''s]])),IF(C1051="Receiving",2*(200-Table1[[#This Row],[Receiving Yards]]-(30*Table1[[#This Row],[Passing TDs]])-50*(Table1[[#This Row],[Rushing TDs]]+Table1[[#This Row],[Receiving TDs]]+Table1[[#This Row],[Other TD''s]])),IF(C1051="Defensive",(25*(16-Table1[[#This Row],[Tackles]]-(8*(Table1[[#This Row],[Other TD''s]]+Table1[[#This Row],[Interceptions]]+Table1[[#This Row],[Fumbles Recovered]])))))))))))</f>
        <v/>
      </c>
      <c r="R1051" s="3" t="str">
        <f t="shared" ref="R1051:R1054" si="41">IF(D1051="","",A1051&amp;C1051&amp;D1051)</f>
        <v/>
      </c>
      <c r="S1051" s="4">
        <f t="shared" si="35"/>
        <v>1048507</v>
      </c>
      <c r="T10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2" spans="1:20" hidden="1" x14ac:dyDescent="0.25">
      <c r="A1052" t="s">
        <v>106</v>
      </c>
      <c r="B1052" s="28" t="s">
        <v>50</v>
      </c>
      <c r="C1052" t="s">
        <v>6</v>
      </c>
      <c r="D1052" s="71" t="str">
        <f>_xlfn.XLOOKUP(Table1[[#This Row],[Player]]&amp;Table1[[#This Row],[Week]]&amp;Table1[[#This Row],[Role]],'Google Form Transform'!$A:$A,'Google Form Transform'!E:E,"")</f>
        <v/>
      </c>
      <c r="E1052" t="str">
        <f>_xlfn.XLOOKUP(Table1[[#This Row],[Player]]&amp;Table1[[#This Row],[Week]]&amp;Table1[[#This Row],[Role]],'Google Form Transform'!$A:$A,'Google Form Transform'!F:F,"")</f>
        <v/>
      </c>
      <c r="F1052" t="str">
        <f>_xlfn.XLOOKUP(Table1[[#This Row],[Player]]&amp;Table1[[#This Row],[Week]]&amp;Table1[[#This Row],[Role]],'Google Form Transform'!$A:$A,'Google Form Transform'!G:G,"")</f>
        <v/>
      </c>
      <c r="G1052" s="59">
        <f>SUMIFS(Table2[Stat],Table2[Stat Category],"passing",Table2[Stat Type],"YDS",Table2[Athlete],Table1[[#This Row],[Pick]],Table2[Week],Table1[[#This Row],[Week]])</f>
        <v>0</v>
      </c>
      <c r="H1052" s="59">
        <f>SUMIFS(Table2[Stat],Table2[Stat Category],"rushing",Table2[Stat Type],"YDS",Table2[Athlete],Table1[[#This Row],[Pick]],Table2[Week],Table1[[#This Row],[Week]])</f>
        <v>0</v>
      </c>
      <c r="I1052" s="59">
        <f>SUMIFS(Table2[Stat],Table2[Stat Category],"receiving",Table2[Stat Type],"YDS",Table2[Athlete],Table1[[#This Row],[Pick]],Table2[Week],Table1[[#This Row],[Week]])</f>
        <v>0</v>
      </c>
      <c r="J1052" s="6">
        <f>IF(AND($C1052="Rushing", $H1052&lt;=0), 0, IF(AND($C1052="Passing", $G$3&lt;=0), 0,IF(AND($C1052="Receiving",$I1052&lt;=0), 0,SUMIFS(Table2[Stat],Table2[Week],Table1[[#This Row],[Week]],Table2[Athlete],Table1[[#This Row],[Pick]],Table2[Stat Category],"passing",Table2[Stat Type],"TD"))))</f>
        <v>0</v>
      </c>
      <c r="K1052" s="6">
        <f>IF(AND($C1052="Rushing", $H1052&lt;=0), 0, IF(AND($C1052="Passing", $G$3&lt;=0), 0,IF(AND($C1052="Receiving",$I1052&lt;=0),0,SUMIFS(Table2[Stat],Table2[Week],Table1[[#This Row],[Week]],Table2[Athlete],Table1[[#This Row],[Pick]],Table2[Stat Category],"rushing",Table2[Stat Type],"TD"))))</f>
        <v>0</v>
      </c>
      <c r="L1052" s="6">
        <f>IF(AND($C1052="Rushing", $H1052&lt;=0), 0, IF(AND($C1052="Passing", $G$3&lt;=0), 0,IF(AND($C1052="Receiving",$I1052&lt;=0),0,SUMIFS(Table2[Stat],Table2[Week],Table1[[#This Row],[Week]],Table2[Athlete],Table1[[#This Row],[Pick]],Table2[Stat Category],"receiving",Table2[Stat Type],"TD"))))</f>
        <v>0</v>
      </c>
      <c r="M10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2" s="61">
        <f>SUMIFS(Data!$J:$J,Data!$A:$A,Info!$B1052,Data!$G:$G,Info!$C1052,Data!$I:$I,Info!$D1052,Data!$H:$H,"TOT")</f>
        <v>0</v>
      </c>
      <c r="O1052" s="61">
        <f>IF(C1052="Defensive",SUMIFS(Data!$J:$J,Data!$A:$A,Info!$B1052,Data!$I:$I,Info!$D1052,Data!$H:$H,"INT"),0)</f>
        <v>0</v>
      </c>
      <c r="P1052" s="61">
        <f>IF(Table1[[#This Row],[Role]]="Defensive",SUMIFS(Data!$J:$J,Data!$A:$A,Info!$B1052,Data!$I:$I,Info!$D1052,Data!$H:$H,$P$1),0)</f>
        <v>0</v>
      </c>
      <c r="Q1052" s="72" t="str">
        <f>IF(Table1[[#This Row],[Pick]]="","",IF(S1052&gt;1,400,IF(G1052="","",IF(C1052="Passing",(400-Table1[[#This Row],[Passing Yards]]-(30*Table1[[#This Row],[Passing TDs]])-(50*SUM(Table1[[#This Row],[Rushing TDs]:[Other TD''s]]))),IF(C1052="Rushing",2*(200-Table1[[#This Row],[Rushing Yards]]-(30*Table1[[#This Row],[Passing TDs]])-50*(Table1[[#This Row],[Rushing TDs]]+Table1[[#This Row],[Receiving TDs]]+Table1[[#This Row],[Other TD''s]])),IF(C1052="Receiving",2*(200-Table1[[#This Row],[Receiving Yards]]-(30*Table1[[#This Row],[Passing TDs]])-50*(Table1[[#This Row],[Rushing TDs]]+Table1[[#This Row],[Receiving TDs]]+Table1[[#This Row],[Other TD''s]])),IF(C1052="Defensive",(25*(16-Table1[[#This Row],[Tackles]]-(8*(Table1[[#This Row],[Other TD''s]]+Table1[[#This Row],[Interceptions]]+Table1[[#This Row],[Fumbles Recovered]])))))))))))</f>
        <v/>
      </c>
      <c r="R1052" s="3" t="str">
        <f t="shared" si="41"/>
        <v/>
      </c>
      <c r="S1052" s="4">
        <f t="shared" si="35"/>
        <v>1048507</v>
      </c>
      <c r="T10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3" spans="1:20" hidden="1" x14ac:dyDescent="0.25">
      <c r="A1053" t="s">
        <v>106</v>
      </c>
      <c r="B1053" s="28" t="s">
        <v>50</v>
      </c>
      <c r="C1053" t="s">
        <v>17</v>
      </c>
      <c r="D1053" s="71" t="str">
        <f>_xlfn.XLOOKUP(Table1[[#This Row],[Player]]&amp;Table1[[#This Row],[Week]]&amp;Table1[[#This Row],[Role]],'Google Form Transform'!$A:$A,'Google Form Transform'!E:E,"")</f>
        <v/>
      </c>
      <c r="E1053" t="str">
        <f>_xlfn.XLOOKUP(Table1[[#This Row],[Player]]&amp;Table1[[#This Row],[Week]]&amp;Table1[[#This Row],[Role]],'Google Form Transform'!$A:$A,'Google Form Transform'!F:F,"")</f>
        <v/>
      </c>
      <c r="F1053" t="str">
        <f>_xlfn.XLOOKUP(Table1[[#This Row],[Player]]&amp;Table1[[#This Row],[Week]]&amp;Table1[[#This Row],[Role]],'Google Form Transform'!$A:$A,'Google Form Transform'!G:G,"")</f>
        <v/>
      </c>
      <c r="G1053" s="59">
        <f>SUMIFS(Table2[Stat],Table2[Stat Category],"passing",Table2[Stat Type],"YDS",Table2[Athlete],Table1[[#This Row],[Pick]],Table2[Week],Table1[[#This Row],[Week]])</f>
        <v>0</v>
      </c>
      <c r="H1053" s="59">
        <f>SUMIFS(Table2[Stat],Table2[Stat Category],"rushing",Table2[Stat Type],"YDS",Table2[Athlete],Table1[[#This Row],[Pick]],Table2[Week],Table1[[#This Row],[Week]])</f>
        <v>0</v>
      </c>
      <c r="I1053" s="59">
        <f>SUMIFS(Table2[Stat],Table2[Stat Category],"receiving",Table2[Stat Type],"YDS",Table2[Athlete],Table1[[#This Row],[Pick]],Table2[Week],Table1[[#This Row],[Week]])</f>
        <v>0</v>
      </c>
      <c r="J1053" s="6">
        <f>IF(AND($C1053="Rushing", $H1053&lt;=0), 0, IF(AND($C1053="Passing", $G$3&lt;=0), 0,IF(AND($C1053="Receiving",$I1053&lt;=0), 0,SUMIFS(Table2[Stat],Table2[Week],Table1[[#This Row],[Week]],Table2[Athlete],Table1[[#This Row],[Pick]],Table2[Stat Category],"passing",Table2[Stat Type],"TD"))))</f>
        <v>0</v>
      </c>
      <c r="K1053" s="6">
        <f>IF(AND($C1053="Rushing", $H1053&lt;=0), 0, IF(AND($C1053="Passing", $G$3&lt;=0), 0,IF(AND($C1053="Receiving",$I1053&lt;=0),0,SUMIFS(Table2[Stat],Table2[Week],Table1[[#This Row],[Week]],Table2[Athlete],Table1[[#This Row],[Pick]],Table2[Stat Category],"rushing",Table2[Stat Type],"TD"))))</f>
        <v>0</v>
      </c>
      <c r="L1053" s="6">
        <f>IF(AND($C1053="Rushing", $H1053&lt;=0), 0, IF(AND($C1053="Passing", $G$3&lt;=0), 0,IF(AND($C1053="Receiving",$I1053&lt;=0),0,SUMIFS(Table2[Stat],Table2[Week],Table1[[#This Row],[Week]],Table2[Athlete],Table1[[#This Row],[Pick]],Table2[Stat Category],"receiving",Table2[Stat Type],"TD"))))</f>
        <v>0</v>
      </c>
      <c r="M10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3" s="61">
        <f>SUMIFS(Data!$J:$J,Data!$A:$A,Info!$B1053,Data!$G:$G,Info!$C1053,Data!$I:$I,Info!$D1053,Data!$H:$H,"TOT")</f>
        <v>0</v>
      </c>
      <c r="O1053" s="61">
        <f>IF(C1053="Defensive",SUMIFS(Data!$J:$J,Data!$A:$A,Info!$B1053,Data!$I:$I,Info!$D1053,Data!$H:$H,"INT"),0)</f>
        <v>0</v>
      </c>
      <c r="P1053" s="61">
        <f>IF(Table1[[#This Row],[Role]]="Defensive",SUMIFS(Data!$J:$J,Data!$A:$A,Info!$B1053,Data!$I:$I,Info!$D1053,Data!$H:$H,$P$1),0)</f>
        <v>0</v>
      </c>
      <c r="Q1053" s="72" t="str">
        <f>IF(Table1[[#This Row],[Pick]]="","",IF(S1053&gt;1,400,IF(G1053="","",IF(C1053="Passing",(400-Table1[[#This Row],[Passing Yards]]-(30*Table1[[#This Row],[Passing TDs]])-(50*SUM(Table1[[#This Row],[Rushing TDs]:[Other TD''s]]))),IF(C1053="Rushing",2*(200-Table1[[#This Row],[Rushing Yards]]-(30*Table1[[#This Row],[Passing TDs]])-50*(Table1[[#This Row],[Rushing TDs]]+Table1[[#This Row],[Receiving TDs]]+Table1[[#This Row],[Other TD''s]])),IF(C1053="Receiving",2*(200-Table1[[#This Row],[Receiving Yards]]-(30*Table1[[#This Row],[Passing TDs]])-50*(Table1[[#This Row],[Rushing TDs]]+Table1[[#This Row],[Receiving TDs]]+Table1[[#This Row],[Other TD''s]])),IF(C1053="Defensive",(25*(16-Table1[[#This Row],[Tackles]]-(8*(Table1[[#This Row],[Other TD''s]]+Table1[[#This Row],[Interceptions]]+Table1[[#This Row],[Fumbles Recovered]])))))))))))</f>
        <v/>
      </c>
      <c r="R1053" s="3" t="str">
        <f t="shared" si="41"/>
        <v/>
      </c>
      <c r="S1053" s="4">
        <f t="shared" si="35"/>
        <v>1048507</v>
      </c>
      <c r="T10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4" spans="1:20" hidden="1" x14ac:dyDescent="0.25">
      <c r="A1054" t="s">
        <v>106</v>
      </c>
      <c r="B1054" s="28" t="s">
        <v>50</v>
      </c>
      <c r="C1054" t="s">
        <v>20</v>
      </c>
      <c r="D1054" s="71" t="str">
        <f>_xlfn.XLOOKUP(Table1[[#This Row],[Player]]&amp;Table1[[#This Row],[Week]]&amp;Table1[[#This Row],[Role]],'Google Form Transform'!$A:$A,'Google Form Transform'!E:E,"")</f>
        <v/>
      </c>
      <c r="E1054" t="str">
        <f>_xlfn.XLOOKUP(Table1[[#This Row],[Player]]&amp;Table1[[#This Row],[Week]]&amp;Table1[[#This Row],[Role]],'Google Form Transform'!$A:$A,'Google Form Transform'!F:F,"")</f>
        <v/>
      </c>
      <c r="F1054" t="str">
        <f>_xlfn.XLOOKUP(Table1[[#This Row],[Player]]&amp;Table1[[#This Row],[Week]]&amp;Table1[[#This Row],[Role]],'Google Form Transform'!$A:$A,'Google Form Transform'!G:G,"")</f>
        <v/>
      </c>
      <c r="G1054" s="59">
        <f>SUMIFS(Table2[Stat],Table2[Stat Category],"passing",Table2[Stat Type],"YDS",Table2[Athlete],Table1[[#This Row],[Pick]],Table2[Week],Table1[[#This Row],[Week]])</f>
        <v>0</v>
      </c>
      <c r="H1054" s="59">
        <f>SUMIFS(Table2[Stat],Table2[Stat Category],"rushing",Table2[Stat Type],"YDS",Table2[Athlete],Table1[[#This Row],[Pick]],Table2[Week],Table1[[#This Row],[Week]])</f>
        <v>0</v>
      </c>
      <c r="I1054" s="59">
        <f>SUMIFS(Table2[Stat],Table2[Stat Category],"receiving",Table2[Stat Type],"YDS",Table2[Athlete],Table1[[#This Row],[Pick]],Table2[Week],Table1[[#This Row],[Week]])</f>
        <v>0</v>
      </c>
      <c r="J1054" s="6">
        <f>IF(AND($C1054="Rushing", $H1054&lt;=0), 0, IF(AND($C1054="Passing", $G$3&lt;=0), 0,IF(AND($C1054="Receiving",$I1054&lt;=0), 0,SUMIFS(Table2[Stat],Table2[Week],Table1[[#This Row],[Week]],Table2[Athlete],Table1[[#This Row],[Pick]],Table2[Stat Category],"passing",Table2[Stat Type],"TD"))))</f>
        <v>0</v>
      </c>
      <c r="K1054" s="6">
        <f>IF(AND($C1054="Rushing", $H1054&lt;=0), 0, IF(AND($C1054="Passing", $G$3&lt;=0), 0,IF(AND($C1054="Receiving",$I1054&lt;=0),0,SUMIFS(Table2[Stat],Table2[Week],Table1[[#This Row],[Week]],Table2[Athlete],Table1[[#This Row],[Pick]],Table2[Stat Category],"rushing",Table2[Stat Type],"TD"))))</f>
        <v>0</v>
      </c>
      <c r="L1054" s="6">
        <f>IF(AND($C1054="Rushing", $H1054&lt;=0), 0, IF(AND($C1054="Passing", $G$3&lt;=0), 0,IF(AND($C1054="Receiving",$I1054&lt;=0),0,SUMIFS(Table2[Stat],Table2[Week],Table1[[#This Row],[Week]],Table2[Athlete],Table1[[#This Row],[Pick]],Table2[Stat Category],"receiving",Table2[Stat Type],"TD"))))</f>
        <v>0</v>
      </c>
      <c r="M10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4" s="61">
        <f>SUMIFS(Data!$J:$J,Data!$A:$A,Info!$B1054,Data!$G:$G,Info!$C1054,Data!$I:$I,Info!$D1054,Data!$H:$H,"TOT")</f>
        <v>0</v>
      </c>
      <c r="O1054" s="61">
        <f>IF(C1054="Defensive",SUMIFS(Data!$J:$J,Data!$A:$A,Info!$B1054,Data!$I:$I,Info!$D1054,Data!$H:$H,"INT"),0)</f>
        <v>0</v>
      </c>
      <c r="P1054" s="61">
        <f>IF(Table1[[#This Row],[Role]]="Defensive",SUMIFS(Data!$J:$J,Data!$A:$A,Info!$B1054,Data!$I:$I,Info!$D1054,Data!$H:$H,$P$1),0)</f>
        <v>0</v>
      </c>
      <c r="Q1054" s="72" t="str">
        <f>IF(Table1[[#This Row],[Pick]]="","",IF(S1054&gt;1,400,IF(G1054="","",IF(C1054="Passing",(400-Table1[[#This Row],[Passing Yards]]-(30*Table1[[#This Row],[Passing TDs]])-(50*SUM(Table1[[#This Row],[Rushing TDs]:[Other TD''s]]))),IF(C1054="Rushing",2*(200-Table1[[#This Row],[Rushing Yards]]-(30*Table1[[#This Row],[Passing TDs]])-50*(Table1[[#This Row],[Rushing TDs]]+Table1[[#This Row],[Receiving TDs]]+Table1[[#This Row],[Other TD''s]])),IF(C1054="Receiving",2*(200-Table1[[#This Row],[Receiving Yards]]-(30*Table1[[#This Row],[Passing TDs]])-50*(Table1[[#This Row],[Rushing TDs]]+Table1[[#This Row],[Receiving TDs]]+Table1[[#This Row],[Other TD''s]])),IF(C1054="Defensive",(25*(16-Table1[[#This Row],[Tackles]]-(8*(Table1[[#This Row],[Other TD''s]]+Table1[[#This Row],[Interceptions]]+Table1[[#This Row],[Fumbles Recovered]])))))))))))</f>
        <v/>
      </c>
      <c r="R1054" s="3" t="str">
        <f t="shared" si="41"/>
        <v/>
      </c>
      <c r="S1054" s="4">
        <f t="shared" si="35"/>
        <v>1048507</v>
      </c>
      <c r="T10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5" spans="1:20" hidden="1" x14ac:dyDescent="0.25">
      <c r="A1055" t="s">
        <v>106</v>
      </c>
      <c r="B1055" s="28" t="s">
        <v>51</v>
      </c>
      <c r="C1055" t="s">
        <v>16</v>
      </c>
      <c r="D1055" s="71" t="str">
        <f>_xlfn.XLOOKUP(Table1[[#This Row],[Player]]&amp;Table1[[#This Row],[Week]]&amp;Table1[[#This Row],[Role]],'Google Form Transform'!$A:$A,'Google Form Transform'!E:E,"")</f>
        <v/>
      </c>
      <c r="E1055" t="str">
        <f>_xlfn.XLOOKUP(Table1[[#This Row],[Player]]&amp;Table1[[#This Row],[Week]]&amp;Table1[[#This Row],[Role]],'Google Form Transform'!$A:$A,'Google Form Transform'!F:F,"")</f>
        <v/>
      </c>
      <c r="F1055" t="str">
        <f>_xlfn.XLOOKUP(Table1[[#This Row],[Player]]&amp;Table1[[#This Row],[Week]]&amp;Table1[[#This Row],[Role]],'Google Form Transform'!$A:$A,'Google Form Transform'!G:G,"")</f>
        <v/>
      </c>
      <c r="G1055" s="59">
        <f>SUMIFS(Table2[Stat],Table2[Stat Category],"passing",Table2[Stat Type],"YDS",Table2[Athlete],Table1[[#This Row],[Pick]],Table2[Week],Table1[[#This Row],[Week]])</f>
        <v>0</v>
      </c>
      <c r="H1055" s="59">
        <f>SUMIFS(Table2[Stat],Table2[Stat Category],"rushing",Table2[Stat Type],"YDS",Table2[Athlete],Table1[[#This Row],[Pick]],Table2[Week],Table1[[#This Row],[Week]])</f>
        <v>0</v>
      </c>
      <c r="I1055" s="59">
        <f>SUMIFS(Table2[Stat],Table2[Stat Category],"receiving",Table2[Stat Type],"YDS",Table2[Athlete],Table1[[#This Row],[Pick]],Table2[Week],Table1[[#This Row],[Week]])</f>
        <v>0</v>
      </c>
      <c r="J1055" s="6">
        <f>IF(AND($C1055="Rushing", $H1055&lt;=0), 0, IF(AND($C1055="Passing", $G$3&lt;=0), 0,IF(AND($C1055="Receiving",$I1055&lt;=0), 0,SUMIFS(Table2[Stat],Table2[Week],Table1[[#This Row],[Week]],Table2[Athlete],Table1[[#This Row],[Pick]],Table2[Stat Category],"passing",Table2[Stat Type],"TD"))))</f>
        <v>0</v>
      </c>
      <c r="K1055" s="6">
        <f>IF(AND($C1055="Rushing", $H1055&lt;=0), 0, IF(AND($C1055="Passing", $G$3&lt;=0), 0,IF(AND($C1055="Receiving",$I1055&lt;=0),0,SUMIFS(Table2[Stat],Table2[Week],Table1[[#This Row],[Week]],Table2[Athlete],Table1[[#This Row],[Pick]],Table2[Stat Category],"rushing",Table2[Stat Type],"TD"))))</f>
        <v>0</v>
      </c>
      <c r="L1055" s="6">
        <f>IF(AND($C1055="Rushing", $H1055&lt;=0), 0, IF(AND($C1055="Passing", $G$3&lt;=0), 0,IF(AND($C1055="Receiving",$I1055&lt;=0),0,SUMIFS(Table2[Stat],Table2[Week],Table1[[#This Row],[Week]],Table2[Athlete],Table1[[#This Row],[Pick]],Table2[Stat Category],"receiving",Table2[Stat Type],"TD"))))</f>
        <v>0</v>
      </c>
      <c r="M10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5" s="61">
        <f>SUMIFS(Data!$J:$J,Data!$A:$A,Info!$B1055,Data!$G:$G,Info!$C1055,Data!$I:$I,Info!$D1055,Data!$H:$H,"TOT")</f>
        <v>0</v>
      </c>
      <c r="O1055" s="61">
        <f>IF(C1055="Defensive",SUMIFS(Data!$J:$J,Data!$A:$A,Info!$B1055,Data!$I:$I,Info!$D1055,Data!$H:$H,"INT"),0)</f>
        <v>0</v>
      </c>
      <c r="P1055" s="61">
        <f>IF(Table1[[#This Row],[Role]]="Defensive",SUMIFS(Data!$J:$J,Data!$A:$A,Info!$B1055,Data!$I:$I,Info!$D1055,Data!$H:$H,$P$1),0)</f>
        <v>0</v>
      </c>
      <c r="Q1055" s="72" t="str">
        <f>IF(Table1[[#This Row],[Pick]]="","",IF(S1055&gt;1,400,IF(G1055="","",IF(C1055="Passing",(400-Table1[[#This Row],[Passing Yards]]-(30*Table1[[#This Row],[Passing TDs]])-(50*SUM(Table1[[#This Row],[Rushing TDs]:[Other TD''s]]))),IF(C1055="Rushing",2*(200-Table1[[#This Row],[Rushing Yards]]-(30*Table1[[#This Row],[Passing TDs]])-50*(Table1[[#This Row],[Rushing TDs]]+Table1[[#This Row],[Receiving TDs]]+Table1[[#This Row],[Other TD''s]])),IF(C1055="Receiving",2*(200-Table1[[#This Row],[Receiving Yards]]-(30*Table1[[#This Row],[Passing TDs]])-50*(Table1[[#This Row],[Rushing TDs]]+Table1[[#This Row],[Receiving TDs]]+Table1[[#This Row],[Other TD''s]])),IF(C1055="Defensive",(25*(16-Table1[[#This Row],[Tackles]]-(8*(Table1[[#This Row],[Other TD''s]]+Table1[[#This Row],[Interceptions]]+Table1[[#This Row],[Fumbles Recovered]])))))))))))</f>
        <v/>
      </c>
      <c r="R1055" s="3" t="str">
        <f t="shared" ref="R1055:R1058" si="42">IF(D1055="","",A1055&amp;C1055&amp;D1055)</f>
        <v/>
      </c>
      <c r="S1055" s="4">
        <f t="shared" si="35"/>
        <v>1048507</v>
      </c>
      <c r="T10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6" spans="1:20" hidden="1" x14ac:dyDescent="0.25">
      <c r="A1056" t="s">
        <v>106</v>
      </c>
      <c r="B1056" s="28" t="s">
        <v>51</v>
      </c>
      <c r="C1056" t="s">
        <v>6</v>
      </c>
      <c r="D1056" s="71" t="str">
        <f>_xlfn.XLOOKUP(Table1[[#This Row],[Player]]&amp;Table1[[#This Row],[Week]]&amp;Table1[[#This Row],[Role]],'Google Form Transform'!$A:$A,'Google Form Transform'!E:E,"")</f>
        <v/>
      </c>
      <c r="E1056" t="str">
        <f>_xlfn.XLOOKUP(Table1[[#This Row],[Player]]&amp;Table1[[#This Row],[Week]]&amp;Table1[[#This Row],[Role]],'Google Form Transform'!$A:$A,'Google Form Transform'!F:F,"")</f>
        <v/>
      </c>
      <c r="F1056" t="str">
        <f>_xlfn.XLOOKUP(Table1[[#This Row],[Player]]&amp;Table1[[#This Row],[Week]]&amp;Table1[[#This Row],[Role]],'Google Form Transform'!$A:$A,'Google Form Transform'!G:G,"")</f>
        <v/>
      </c>
      <c r="G1056" s="59">
        <f>SUMIFS(Table2[Stat],Table2[Stat Category],"passing",Table2[Stat Type],"YDS",Table2[Athlete],Table1[[#This Row],[Pick]],Table2[Week],Table1[[#This Row],[Week]])</f>
        <v>0</v>
      </c>
      <c r="H1056" s="59">
        <f>SUMIFS(Table2[Stat],Table2[Stat Category],"rushing",Table2[Stat Type],"YDS",Table2[Athlete],Table1[[#This Row],[Pick]],Table2[Week],Table1[[#This Row],[Week]])</f>
        <v>0</v>
      </c>
      <c r="I1056" s="59">
        <f>SUMIFS(Table2[Stat],Table2[Stat Category],"receiving",Table2[Stat Type],"YDS",Table2[Athlete],Table1[[#This Row],[Pick]],Table2[Week],Table1[[#This Row],[Week]])</f>
        <v>0</v>
      </c>
      <c r="J1056" s="6">
        <f>IF(AND($C1056="Rushing", $H1056&lt;=0), 0, IF(AND($C1056="Passing", $G$3&lt;=0), 0,IF(AND($C1056="Receiving",$I1056&lt;=0), 0,SUMIFS(Table2[Stat],Table2[Week],Table1[[#This Row],[Week]],Table2[Athlete],Table1[[#This Row],[Pick]],Table2[Stat Category],"passing",Table2[Stat Type],"TD"))))</f>
        <v>0</v>
      </c>
      <c r="K1056" s="6">
        <f>IF(AND($C1056="Rushing", $H1056&lt;=0), 0, IF(AND($C1056="Passing", $G$3&lt;=0), 0,IF(AND($C1056="Receiving",$I1056&lt;=0),0,SUMIFS(Table2[Stat],Table2[Week],Table1[[#This Row],[Week]],Table2[Athlete],Table1[[#This Row],[Pick]],Table2[Stat Category],"rushing",Table2[Stat Type],"TD"))))</f>
        <v>0</v>
      </c>
      <c r="L1056" s="6">
        <f>IF(AND($C1056="Rushing", $H1056&lt;=0), 0, IF(AND($C1056="Passing", $G$3&lt;=0), 0,IF(AND($C1056="Receiving",$I1056&lt;=0),0,SUMIFS(Table2[Stat],Table2[Week],Table1[[#This Row],[Week]],Table2[Athlete],Table1[[#This Row],[Pick]],Table2[Stat Category],"receiving",Table2[Stat Type],"TD"))))</f>
        <v>0</v>
      </c>
      <c r="M10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6" s="61">
        <f>SUMIFS(Data!$J:$J,Data!$A:$A,Info!$B1056,Data!$G:$G,Info!$C1056,Data!$I:$I,Info!$D1056,Data!$H:$H,"TOT")</f>
        <v>0</v>
      </c>
      <c r="O1056" s="61">
        <f>IF(C1056="Defensive",SUMIFS(Data!$J:$J,Data!$A:$A,Info!$B1056,Data!$I:$I,Info!$D1056,Data!$H:$H,"INT"),0)</f>
        <v>0</v>
      </c>
      <c r="P1056" s="61">
        <f>IF(Table1[[#This Row],[Role]]="Defensive",SUMIFS(Data!$J:$J,Data!$A:$A,Info!$B1056,Data!$I:$I,Info!$D1056,Data!$H:$H,$P$1),0)</f>
        <v>0</v>
      </c>
      <c r="Q1056" s="72" t="str">
        <f>IF(Table1[[#This Row],[Pick]]="","",IF(S1056&gt;1,400,IF(G1056="","",IF(C1056="Passing",(400-Table1[[#This Row],[Passing Yards]]-(30*Table1[[#This Row],[Passing TDs]])-(50*SUM(Table1[[#This Row],[Rushing TDs]:[Other TD''s]]))),IF(C1056="Rushing",2*(200-Table1[[#This Row],[Rushing Yards]]-(30*Table1[[#This Row],[Passing TDs]])-50*(Table1[[#This Row],[Rushing TDs]]+Table1[[#This Row],[Receiving TDs]]+Table1[[#This Row],[Other TD''s]])),IF(C1056="Receiving",2*(200-Table1[[#This Row],[Receiving Yards]]-(30*Table1[[#This Row],[Passing TDs]])-50*(Table1[[#This Row],[Rushing TDs]]+Table1[[#This Row],[Receiving TDs]]+Table1[[#This Row],[Other TD''s]])),IF(C1056="Defensive",(25*(16-Table1[[#This Row],[Tackles]]-(8*(Table1[[#This Row],[Other TD''s]]+Table1[[#This Row],[Interceptions]]+Table1[[#This Row],[Fumbles Recovered]])))))))))))</f>
        <v/>
      </c>
      <c r="R1056" s="3" t="str">
        <f t="shared" si="42"/>
        <v/>
      </c>
      <c r="S1056" s="4">
        <f t="shared" si="35"/>
        <v>1048507</v>
      </c>
      <c r="T10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7" spans="1:20" hidden="1" x14ac:dyDescent="0.25">
      <c r="A1057" t="s">
        <v>106</v>
      </c>
      <c r="B1057" s="28" t="s">
        <v>51</v>
      </c>
      <c r="C1057" t="s">
        <v>17</v>
      </c>
      <c r="D1057" s="71" t="str">
        <f>_xlfn.XLOOKUP(Table1[[#This Row],[Player]]&amp;Table1[[#This Row],[Week]]&amp;Table1[[#This Row],[Role]],'Google Form Transform'!$A:$A,'Google Form Transform'!E:E,"")</f>
        <v/>
      </c>
      <c r="E1057" t="str">
        <f>_xlfn.XLOOKUP(Table1[[#This Row],[Player]]&amp;Table1[[#This Row],[Week]]&amp;Table1[[#This Row],[Role]],'Google Form Transform'!$A:$A,'Google Form Transform'!F:F,"")</f>
        <v/>
      </c>
      <c r="F1057" t="str">
        <f>_xlfn.XLOOKUP(Table1[[#This Row],[Player]]&amp;Table1[[#This Row],[Week]]&amp;Table1[[#This Row],[Role]],'Google Form Transform'!$A:$A,'Google Form Transform'!G:G,"")</f>
        <v/>
      </c>
      <c r="G1057" s="59">
        <f>SUMIFS(Table2[Stat],Table2[Stat Category],"passing",Table2[Stat Type],"YDS",Table2[Athlete],Table1[[#This Row],[Pick]],Table2[Week],Table1[[#This Row],[Week]])</f>
        <v>0</v>
      </c>
      <c r="H1057" s="59">
        <f>SUMIFS(Table2[Stat],Table2[Stat Category],"rushing",Table2[Stat Type],"YDS",Table2[Athlete],Table1[[#This Row],[Pick]],Table2[Week],Table1[[#This Row],[Week]])</f>
        <v>0</v>
      </c>
      <c r="I1057" s="59">
        <f>SUMIFS(Table2[Stat],Table2[Stat Category],"receiving",Table2[Stat Type],"YDS",Table2[Athlete],Table1[[#This Row],[Pick]],Table2[Week],Table1[[#This Row],[Week]])</f>
        <v>0</v>
      </c>
      <c r="J1057" s="6">
        <f>IF(AND($C1057="Rushing", $H1057&lt;=0), 0, IF(AND($C1057="Passing", $G$3&lt;=0), 0,IF(AND($C1057="Receiving",$I1057&lt;=0), 0,SUMIFS(Table2[Stat],Table2[Week],Table1[[#This Row],[Week]],Table2[Athlete],Table1[[#This Row],[Pick]],Table2[Stat Category],"passing",Table2[Stat Type],"TD"))))</f>
        <v>0</v>
      </c>
      <c r="K1057" s="6">
        <f>IF(AND($C1057="Rushing", $H1057&lt;=0), 0, IF(AND($C1057="Passing", $G$3&lt;=0), 0,IF(AND($C1057="Receiving",$I1057&lt;=0),0,SUMIFS(Table2[Stat],Table2[Week],Table1[[#This Row],[Week]],Table2[Athlete],Table1[[#This Row],[Pick]],Table2[Stat Category],"rushing",Table2[Stat Type],"TD"))))</f>
        <v>0</v>
      </c>
      <c r="L1057" s="6">
        <f>IF(AND($C1057="Rushing", $H1057&lt;=0), 0, IF(AND($C1057="Passing", $G$3&lt;=0), 0,IF(AND($C1057="Receiving",$I1057&lt;=0),0,SUMIFS(Table2[Stat],Table2[Week],Table1[[#This Row],[Week]],Table2[Athlete],Table1[[#This Row],[Pick]],Table2[Stat Category],"receiving",Table2[Stat Type],"TD"))))</f>
        <v>0</v>
      </c>
      <c r="M10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7" s="61">
        <f>SUMIFS(Data!$J:$J,Data!$A:$A,Info!$B1057,Data!$G:$G,Info!$C1057,Data!$I:$I,Info!$D1057,Data!$H:$H,"TOT")</f>
        <v>0</v>
      </c>
      <c r="O1057" s="61">
        <f>IF(C1057="Defensive",SUMIFS(Data!$J:$J,Data!$A:$A,Info!$B1057,Data!$I:$I,Info!$D1057,Data!$H:$H,"INT"),0)</f>
        <v>0</v>
      </c>
      <c r="P1057" s="61">
        <f>IF(Table1[[#This Row],[Role]]="Defensive",SUMIFS(Data!$J:$J,Data!$A:$A,Info!$B1057,Data!$I:$I,Info!$D1057,Data!$H:$H,$P$1),0)</f>
        <v>0</v>
      </c>
      <c r="Q1057" s="72" t="str">
        <f>IF(Table1[[#This Row],[Pick]]="","",IF(S1057&gt;1,400,IF(G1057="","",IF(C1057="Passing",(400-Table1[[#This Row],[Passing Yards]]-(30*Table1[[#This Row],[Passing TDs]])-(50*SUM(Table1[[#This Row],[Rushing TDs]:[Other TD''s]]))),IF(C1057="Rushing",2*(200-Table1[[#This Row],[Rushing Yards]]-(30*Table1[[#This Row],[Passing TDs]])-50*(Table1[[#This Row],[Rushing TDs]]+Table1[[#This Row],[Receiving TDs]]+Table1[[#This Row],[Other TD''s]])),IF(C1057="Receiving",2*(200-Table1[[#This Row],[Receiving Yards]]-(30*Table1[[#This Row],[Passing TDs]])-50*(Table1[[#This Row],[Rushing TDs]]+Table1[[#This Row],[Receiving TDs]]+Table1[[#This Row],[Other TD''s]])),IF(C1057="Defensive",(25*(16-Table1[[#This Row],[Tackles]]-(8*(Table1[[#This Row],[Other TD''s]]+Table1[[#This Row],[Interceptions]]+Table1[[#This Row],[Fumbles Recovered]])))))))))))</f>
        <v/>
      </c>
      <c r="R1057" s="3" t="str">
        <f t="shared" si="42"/>
        <v/>
      </c>
      <c r="S1057" s="4">
        <f t="shared" si="35"/>
        <v>1048507</v>
      </c>
      <c r="T10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8" spans="1:20" hidden="1" x14ac:dyDescent="0.25">
      <c r="A1058" t="s">
        <v>106</v>
      </c>
      <c r="B1058" s="28" t="s">
        <v>51</v>
      </c>
      <c r="C1058" t="s">
        <v>20</v>
      </c>
      <c r="D1058" s="71" t="str">
        <f>_xlfn.XLOOKUP(Table1[[#This Row],[Player]]&amp;Table1[[#This Row],[Week]]&amp;Table1[[#This Row],[Role]],'Google Form Transform'!$A:$A,'Google Form Transform'!E:E,"")</f>
        <v/>
      </c>
      <c r="E1058" t="str">
        <f>_xlfn.XLOOKUP(Table1[[#This Row],[Player]]&amp;Table1[[#This Row],[Week]]&amp;Table1[[#This Row],[Role]],'Google Form Transform'!$A:$A,'Google Form Transform'!F:F,"")</f>
        <v/>
      </c>
      <c r="F1058" t="str">
        <f>_xlfn.XLOOKUP(Table1[[#This Row],[Player]]&amp;Table1[[#This Row],[Week]]&amp;Table1[[#This Row],[Role]],'Google Form Transform'!$A:$A,'Google Form Transform'!G:G,"")</f>
        <v/>
      </c>
      <c r="G1058" s="59">
        <f>SUMIFS(Table2[Stat],Table2[Stat Category],"passing",Table2[Stat Type],"YDS",Table2[Athlete],Table1[[#This Row],[Pick]],Table2[Week],Table1[[#This Row],[Week]])</f>
        <v>0</v>
      </c>
      <c r="H1058" s="59">
        <f>SUMIFS(Table2[Stat],Table2[Stat Category],"rushing",Table2[Stat Type],"YDS",Table2[Athlete],Table1[[#This Row],[Pick]],Table2[Week],Table1[[#This Row],[Week]])</f>
        <v>0</v>
      </c>
      <c r="I1058" s="59">
        <f>SUMIFS(Table2[Stat],Table2[Stat Category],"receiving",Table2[Stat Type],"YDS",Table2[Athlete],Table1[[#This Row],[Pick]],Table2[Week],Table1[[#This Row],[Week]])</f>
        <v>0</v>
      </c>
      <c r="J1058" s="6">
        <f>IF(AND($C1058="Rushing", $H1058&lt;=0), 0, IF(AND($C1058="Passing", $G$3&lt;=0), 0,IF(AND($C1058="Receiving",$I1058&lt;=0), 0,SUMIFS(Table2[Stat],Table2[Week],Table1[[#This Row],[Week]],Table2[Athlete],Table1[[#This Row],[Pick]],Table2[Stat Category],"passing",Table2[Stat Type],"TD"))))</f>
        <v>0</v>
      </c>
      <c r="K1058" s="6">
        <f>IF(AND($C1058="Rushing", $H1058&lt;=0), 0, IF(AND($C1058="Passing", $G$3&lt;=0), 0,IF(AND($C1058="Receiving",$I1058&lt;=0),0,SUMIFS(Table2[Stat],Table2[Week],Table1[[#This Row],[Week]],Table2[Athlete],Table1[[#This Row],[Pick]],Table2[Stat Category],"rushing",Table2[Stat Type],"TD"))))</f>
        <v>0</v>
      </c>
      <c r="L1058" s="6">
        <f>IF(AND($C1058="Rushing", $H1058&lt;=0), 0, IF(AND($C1058="Passing", $G$3&lt;=0), 0,IF(AND($C1058="Receiving",$I1058&lt;=0),0,SUMIFS(Table2[Stat],Table2[Week],Table1[[#This Row],[Week]],Table2[Athlete],Table1[[#This Row],[Pick]],Table2[Stat Category],"receiving",Table2[Stat Type],"TD"))))</f>
        <v>0</v>
      </c>
      <c r="M10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8" s="61">
        <f>SUMIFS(Data!$J:$J,Data!$A:$A,Info!$B1058,Data!$G:$G,Info!$C1058,Data!$I:$I,Info!$D1058,Data!$H:$H,"TOT")</f>
        <v>0</v>
      </c>
      <c r="O1058" s="61">
        <f>IF(C1058="Defensive",SUMIFS(Data!$J:$J,Data!$A:$A,Info!$B1058,Data!$I:$I,Info!$D1058,Data!$H:$H,"INT"),0)</f>
        <v>0</v>
      </c>
      <c r="P1058" s="61">
        <f>IF(Table1[[#This Row],[Role]]="Defensive",SUMIFS(Data!$J:$J,Data!$A:$A,Info!$B1058,Data!$I:$I,Info!$D1058,Data!$H:$H,$P$1),0)</f>
        <v>0</v>
      </c>
      <c r="Q1058" s="72" t="str">
        <f>IF(Table1[[#This Row],[Pick]]="","",IF(S1058&gt;1,400,IF(G1058="","",IF(C1058="Passing",(400-Table1[[#This Row],[Passing Yards]]-(30*Table1[[#This Row],[Passing TDs]])-(50*SUM(Table1[[#This Row],[Rushing TDs]:[Other TD''s]]))),IF(C1058="Rushing",2*(200-Table1[[#This Row],[Rushing Yards]]-(30*Table1[[#This Row],[Passing TDs]])-50*(Table1[[#This Row],[Rushing TDs]]+Table1[[#This Row],[Receiving TDs]]+Table1[[#This Row],[Other TD''s]])),IF(C1058="Receiving",2*(200-Table1[[#This Row],[Receiving Yards]]-(30*Table1[[#This Row],[Passing TDs]])-50*(Table1[[#This Row],[Rushing TDs]]+Table1[[#This Row],[Receiving TDs]]+Table1[[#This Row],[Other TD''s]])),IF(C1058="Defensive",(25*(16-Table1[[#This Row],[Tackles]]-(8*(Table1[[#This Row],[Other TD''s]]+Table1[[#This Row],[Interceptions]]+Table1[[#This Row],[Fumbles Recovered]])))))))))))</f>
        <v/>
      </c>
      <c r="R1058" s="3" t="str">
        <f t="shared" si="42"/>
        <v/>
      </c>
      <c r="S1058" s="4">
        <f t="shared" si="35"/>
        <v>1048507</v>
      </c>
      <c r="T10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9" spans="1:20" hidden="1" x14ac:dyDescent="0.25">
      <c r="A1059" t="s">
        <v>106</v>
      </c>
      <c r="B1059" s="28" t="s">
        <v>52</v>
      </c>
      <c r="C1059" t="s">
        <v>16</v>
      </c>
      <c r="D1059" s="71" t="str">
        <f>_xlfn.XLOOKUP(Table1[[#This Row],[Player]]&amp;Table1[[#This Row],[Week]]&amp;Table1[[#This Row],[Role]],'Google Form Transform'!$A:$A,'Google Form Transform'!E:E,"")</f>
        <v/>
      </c>
      <c r="E1059" t="str">
        <f>_xlfn.XLOOKUP(Table1[[#This Row],[Player]]&amp;Table1[[#This Row],[Week]]&amp;Table1[[#This Row],[Role]],'Google Form Transform'!$A:$A,'Google Form Transform'!F:F,"")</f>
        <v/>
      </c>
      <c r="F1059" t="str">
        <f>_xlfn.XLOOKUP(Table1[[#This Row],[Player]]&amp;Table1[[#This Row],[Week]]&amp;Table1[[#This Row],[Role]],'Google Form Transform'!$A:$A,'Google Form Transform'!G:G,"")</f>
        <v/>
      </c>
      <c r="G1059" s="59">
        <f>SUMIFS(Table2[Stat],Table2[Stat Category],"passing",Table2[Stat Type],"YDS",Table2[Athlete],Table1[[#This Row],[Pick]],Table2[Week],Table1[[#This Row],[Week]])</f>
        <v>0</v>
      </c>
      <c r="H1059" s="59">
        <f>SUMIFS(Table2[Stat],Table2[Stat Category],"rushing",Table2[Stat Type],"YDS",Table2[Athlete],Table1[[#This Row],[Pick]],Table2[Week],Table1[[#This Row],[Week]])</f>
        <v>0</v>
      </c>
      <c r="I1059" s="59">
        <f>SUMIFS(Table2[Stat],Table2[Stat Category],"receiving",Table2[Stat Type],"YDS",Table2[Athlete],Table1[[#This Row],[Pick]],Table2[Week],Table1[[#This Row],[Week]])</f>
        <v>0</v>
      </c>
      <c r="J1059" s="6">
        <f>IF(AND($C1059="Rushing", $H1059&lt;=0), 0, IF(AND($C1059="Passing", $G$3&lt;=0), 0,IF(AND($C1059="Receiving",$I1059&lt;=0), 0,SUMIFS(Table2[Stat],Table2[Week],Table1[[#This Row],[Week]],Table2[Athlete],Table1[[#This Row],[Pick]],Table2[Stat Category],"passing",Table2[Stat Type],"TD"))))</f>
        <v>0</v>
      </c>
      <c r="K1059" s="6">
        <f>IF(AND($C1059="Rushing", $H1059&lt;=0), 0, IF(AND($C1059="Passing", $G$3&lt;=0), 0,IF(AND($C1059="Receiving",$I1059&lt;=0),0,SUMIFS(Table2[Stat],Table2[Week],Table1[[#This Row],[Week]],Table2[Athlete],Table1[[#This Row],[Pick]],Table2[Stat Category],"rushing",Table2[Stat Type],"TD"))))</f>
        <v>0</v>
      </c>
      <c r="L1059" s="6">
        <f>IF(AND($C1059="Rushing", $H1059&lt;=0), 0, IF(AND($C1059="Passing", $G$3&lt;=0), 0,IF(AND($C1059="Receiving",$I1059&lt;=0),0,SUMIFS(Table2[Stat],Table2[Week],Table1[[#This Row],[Week]],Table2[Athlete],Table1[[#This Row],[Pick]],Table2[Stat Category],"receiving",Table2[Stat Type],"TD"))))</f>
        <v>0</v>
      </c>
      <c r="M10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9" s="61">
        <f>SUMIFS(Data!$J:$J,Data!$A:$A,Info!$B1059,Data!$G:$G,Info!$C1059,Data!$I:$I,Info!$D1059,Data!$H:$H,"TOT")</f>
        <v>0</v>
      </c>
      <c r="O1059" s="61">
        <f>IF(C1059="Defensive",SUMIFS(Data!$J:$J,Data!$A:$A,Info!$B1059,Data!$I:$I,Info!$D1059,Data!$H:$H,"INT"),0)</f>
        <v>0</v>
      </c>
      <c r="P1059" s="61">
        <f>IF(Table1[[#This Row],[Role]]="Defensive",SUMIFS(Data!$J:$J,Data!$A:$A,Info!$B1059,Data!$I:$I,Info!$D1059,Data!$H:$H,$P$1),0)</f>
        <v>0</v>
      </c>
      <c r="Q1059" s="72" t="str">
        <f>IF(Table1[[#This Row],[Pick]]="","",IF(S1059&gt;1,400,IF(G1059="","",IF(C1059="Passing",(400-Table1[[#This Row],[Passing Yards]]-(30*Table1[[#This Row],[Passing TDs]])-(50*SUM(Table1[[#This Row],[Rushing TDs]:[Other TD''s]]))),IF(C1059="Rushing",2*(200-Table1[[#This Row],[Rushing Yards]]-(30*Table1[[#This Row],[Passing TDs]])-50*(Table1[[#This Row],[Rushing TDs]]+Table1[[#This Row],[Receiving TDs]]+Table1[[#This Row],[Other TD''s]])),IF(C1059="Receiving",2*(200-Table1[[#This Row],[Receiving Yards]]-(30*Table1[[#This Row],[Passing TDs]])-50*(Table1[[#This Row],[Rushing TDs]]+Table1[[#This Row],[Receiving TDs]]+Table1[[#This Row],[Other TD''s]])),IF(C1059="Defensive",(25*(16-Table1[[#This Row],[Tackles]]-(8*(Table1[[#This Row],[Other TD''s]]+Table1[[#This Row],[Interceptions]]+Table1[[#This Row],[Fumbles Recovered]])))))))))))</f>
        <v/>
      </c>
      <c r="R1059" s="3" t="str">
        <f t="shared" ref="R1059:R1062" si="43">IF(D1059="","",A1059&amp;C1059&amp;D1059)</f>
        <v/>
      </c>
      <c r="S1059" s="4">
        <f t="shared" si="35"/>
        <v>1048507</v>
      </c>
      <c r="T10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0" spans="1:20" hidden="1" x14ac:dyDescent="0.25">
      <c r="A1060" t="s">
        <v>106</v>
      </c>
      <c r="B1060" s="28" t="s">
        <v>52</v>
      </c>
      <c r="C1060" t="s">
        <v>6</v>
      </c>
      <c r="D1060" s="71" t="str">
        <f>_xlfn.XLOOKUP(Table1[[#This Row],[Player]]&amp;Table1[[#This Row],[Week]]&amp;Table1[[#This Row],[Role]],'Google Form Transform'!$A:$A,'Google Form Transform'!E:E,"")</f>
        <v/>
      </c>
      <c r="E1060" t="str">
        <f>_xlfn.XLOOKUP(Table1[[#This Row],[Player]]&amp;Table1[[#This Row],[Week]]&amp;Table1[[#This Row],[Role]],'Google Form Transform'!$A:$A,'Google Form Transform'!F:F,"")</f>
        <v/>
      </c>
      <c r="F1060" t="str">
        <f>_xlfn.XLOOKUP(Table1[[#This Row],[Player]]&amp;Table1[[#This Row],[Week]]&amp;Table1[[#This Row],[Role]],'Google Form Transform'!$A:$A,'Google Form Transform'!G:G,"")</f>
        <v/>
      </c>
      <c r="G1060" s="59">
        <f>SUMIFS(Table2[Stat],Table2[Stat Category],"passing",Table2[Stat Type],"YDS",Table2[Athlete],Table1[[#This Row],[Pick]],Table2[Week],Table1[[#This Row],[Week]])</f>
        <v>0</v>
      </c>
      <c r="H1060" s="59">
        <f>SUMIFS(Table2[Stat],Table2[Stat Category],"rushing",Table2[Stat Type],"YDS",Table2[Athlete],Table1[[#This Row],[Pick]],Table2[Week],Table1[[#This Row],[Week]])</f>
        <v>0</v>
      </c>
      <c r="I1060" s="59">
        <f>SUMIFS(Table2[Stat],Table2[Stat Category],"receiving",Table2[Stat Type],"YDS",Table2[Athlete],Table1[[#This Row],[Pick]],Table2[Week],Table1[[#This Row],[Week]])</f>
        <v>0</v>
      </c>
      <c r="J1060" s="6">
        <f>IF(AND($C1060="Rushing", $H1060&lt;=0), 0, IF(AND($C1060="Passing", $G$3&lt;=0), 0,IF(AND($C1060="Receiving",$I1060&lt;=0), 0,SUMIFS(Table2[Stat],Table2[Week],Table1[[#This Row],[Week]],Table2[Athlete],Table1[[#This Row],[Pick]],Table2[Stat Category],"passing",Table2[Stat Type],"TD"))))</f>
        <v>0</v>
      </c>
      <c r="K1060" s="6">
        <f>IF(AND($C1060="Rushing", $H1060&lt;=0), 0, IF(AND($C1060="Passing", $G$3&lt;=0), 0,IF(AND($C1060="Receiving",$I1060&lt;=0),0,SUMIFS(Table2[Stat],Table2[Week],Table1[[#This Row],[Week]],Table2[Athlete],Table1[[#This Row],[Pick]],Table2[Stat Category],"rushing",Table2[Stat Type],"TD"))))</f>
        <v>0</v>
      </c>
      <c r="L1060" s="6">
        <f>IF(AND($C1060="Rushing", $H1060&lt;=0), 0, IF(AND($C1060="Passing", $G$3&lt;=0), 0,IF(AND($C1060="Receiving",$I1060&lt;=0),0,SUMIFS(Table2[Stat],Table2[Week],Table1[[#This Row],[Week]],Table2[Athlete],Table1[[#This Row],[Pick]],Table2[Stat Category],"receiving",Table2[Stat Type],"TD"))))</f>
        <v>0</v>
      </c>
      <c r="M10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0" s="61">
        <f>SUMIFS(Data!$J:$J,Data!$A:$A,Info!$B1060,Data!$G:$G,Info!$C1060,Data!$I:$I,Info!$D1060,Data!$H:$H,"TOT")</f>
        <v>0</v>
      </c>
      <c r="O1060" s="61">
        <f>IF(C1060="Defensive",SUMIFS(Data!$J:$J,Data!$A:$A,Info!$B1060,Data!$I:$I,Info!$D1060,Data!$H:$H,"INT"),0)</f>
        <v>0</v>
      </c>
      <c r="P1060" s="61">
        <f>IF(Table1[[#This Row],[Role]]="Defensive",SUMIFS(Data!$J:$J,Data!$A:$A,Info!$B1060,Data!$I:$I,Info!$D1060,Data!$H:$H,$P$1),0)</f>
        <v>0</v>
      </c>
      <c r="Q1060" s="72" t="str">
        <f>IF(Table1[[#This Row],[Pick]]="","",IF(S1060&gt;1,400,IF(G1060="","",IF(C1060="Passing",(400-Table1[[#This Row],[Passing Yards]]-(30*Table1[[#This Row],[Passing TDs]])-(50*SUM(Table1[[#This Row],[Rushing TDs]:[Other TD''s]]))),IF(C1060="Rushing",2*(200-Table1[[#This Row],[Rushing Yards]]-(30*Table1[[#This Row],[Passing TDs]])-50*(Table1[[#This Row],[Rushing TDs]]+Table1[[#This Row],[Receiving TDs]]+Table1[[#This Row],[Other TD''s]])),IF(C1060="Receiving",2*(200-Table1[[#This Row],[Receiving Yards]]-(30*Table1[[#This Row],[Passing TDs]])-50*(Table1[[#This Row],[Rushing TDs]]+Table1[[#This Row],[Receiving TDs]]+Table1[[#This Row],[Other TD''s]])),IF(C1060="Defensive",(25*(16-Table1[[#This Row],[Tackles]]-(8*(Table1[[#This Row],[Other TD''s]]+Table1[[#This Row],[Interceptions]]+Table1[[#This Row],[Fumbles Recovered]])))))))))))</f>
        <v/>
      </c>
      <c r="R1060" s="3" t="str">
        <f t="shared" si="43"/>
        <v/>
      </c>
      <c r="S1060" s="4">
        <f t="shared" si="35"/>
        <v>1048507</v>
      </c>
      <c r="T10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1" spans="1:20" hidden="1" x14ac:dyDescent="0.25">
      <c r="A1061" t="s">
        <v>106</v>
      </c>
      <c r="B1061" s="28" t="s">
        <v>52</v>
      </c>
      <c r="C1061" t="s">
        <v>17</v>
      </c>
      <c r="D1061" s="71" t="str">
        <f>_xlfn.XLOOKUP(Table1[[#This Row],[Player]]&amp;Table1[[#This Row],[Week]]&amp;Table1[[#This Row],[Role]],'Google Form Transform'!$A:$A,'Google Form Transform'!E:E,"")</f>
        <v/>
      </c>
      <c r="E1061" t="str">
        <f>_xlfn.XLOOKUP(Table1[[#This Row],[Player]]&amp;Table1[[#This Row],[Week]]&amp;Table1[[#This Row],[Role]],'Google Form Transform'!$A:$A,'Google Form Transform'!F:F,"")</f>
        <v/>
      </c>
      <c r="F1061" t="str">
        <f>_xlfn.XLOOKUP(Table1[[#This Row],[Player]]&amp;Table1[[#This Row],[Week]]&amp;Table1[[#This Row],[Role]],'Google Form Transform'!$A:$A,'Google Form Transform'!G:G,"")</f>
        <v/>
      </c>
      <c r="G1061" s="59">
        <f>SUMIFS(Table2[Stat],Table2[Stat Category],"passing",Table2[Stat Type],"YDS",Table2[Athlete],Table1[[#This Row],[Pick]],Table2[Week],Table1[[#This Row],[Week]])</f>
        <v>0</v>
      </c>
      <c r="H1061" s="59">
        <f>SUMIFS(Table2[Stat],Table2[Stat Category],"rushing",Table2[Stat Type],"YDS",Table2[Athlete],Table1[[#This Row],[Pick]],Table2[Week],Table1[[#This Row],[Week]])</f>
        <v>0</v>
      </c>
      <c r="I1061" s="59">
        <f>SUMIFS(Table2[Stat],Table2[Stat Category],"receiving",Table2[Stat Type],"YDS",Table2[Athlete],Table1[[#This Row],[Pick]],Table2[Week],Table1[[#This Row],[Week]])</f>
        <v>0</v>
      </c>
      <c r="J1061" s="6">
        <f>IF(AND($C1061="Rushing", $H1061&lt;=0), 0, IF(AND($C1061="Passing", $G$3&lt;=0), 0,IF(AND($C1061="Receiving",$I1061&lt;=0), 0,SUMIFS(Table2[Stat],Table2[Week],Table1[[#This Row],[Week]],Table2[Athlete],Table1[[#This Row],[Pick]],Table2[Stat Category],"passing",Table2[Stat Type],"TD"))))</f>
        <v>0</v>
      </c>
      <c r="K1061" s="6">
        <f>IF(AND($C1061="Rushing", $H1061&lt;=0), 0, IF(AND($C1061="Passing", $G$3&lt;=0), 0,IF(AND($C1061="Receiving",$I1061&lt;=0),0,SUMIFS(Table2[Stat],Table2[Week],Table1[[#This Row],[Week]],Table2[Athlete],Table1[[#This Row],[Pick]],Table2[Stat Category],"rushing",Table2[Stat Type],"TD"))))</f>
        <v>0</v>
      </c>
      <c r="L1061" s="6">
        <f>IF(AND($C1061="Rushing", $H1061&lt;=0), 0, IF(AND($C1061="Passing", $G$3&lt;=0), 0,IF(AND($C1061="Receiving",$I1061&lt;=0),0,SUMIFS(Table2[Stat],Table2[Week],Table1[[#This Row],[Week]],Table2[Athlete],Table1[[#This Row],[Pick]],Table2[Stat Category],"receiving",Table2[Stat Type],"TD"))))</f>
        <v>0</v>
      </c>
      <c r="M10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1" s="61">
        <f>SUMIFS(Data!$J:$J,Data!$A:$A,Info!$B1061,Data!$G:$G,Info!$C1061,Data!$I:$I,Info!$D1061,Data!$H:$H,"TOT")</f>
        <v>0</v>
      </c>
      <c r="O1061" s="61">
        <f>IF(C1061="Defensive",SUMIFS(Data!$J:$J,Data!$A:$A,Info!$B1061,Data!$I:$I,Info!$D1061,Data!$H:$H,"INT"),0)</f>
        <v>0</v>
      </c>
      <c r="P1061" s="61">
        <f>IF(Table1[[#This Row],[Role]]="Defensive",SUMIFS(Data!$J:$J,Data!$A:$A,Info!$B1061,Data!$I:$I,Info!$D1061,Data!$H:$H,$P$1),0)</f>
        <v>0</v>
      </c>
      <c r="Q1061" s="72" t="str">
        <f>IF(Table1[[#This Row],[Pick]]="","",IF(S1061&gt;1,400,IF(G1061="","",IF(C1061="Passing",(400-Table1[[#This Row],[Passing Yards]]-(30*Table1[[#This Row],[Passing TDs]])-(50*SUM(Table1[[#This Row],[Rushing TDs]:[Other TD''s]]))),IF(C1061="Rushing",2*(200-Table1[[#This Row],[Rushing Yards]]-(30*Table1[[#This Row],[Passing TDs]])-50*(Table1[[#This Row],[Rushing TDs]]+Table1[[#This Row],[Receiving TDs]]+Table1[[#This Row],[Other TD''s]])),IF(C1061="Receiving",2*(200-Table1[[#This Row],[Receiving Yards]]-(30*Table1[[#This Row],[Passing TDs]])-50*(Table1[[#This Row],[Rushing TDs]]+Table1[[#This Row],[Receiving TDs]]+Table1[[#This Row],[Other TD''s]])),IF(C1061="Defensive",(25*(16-Table1[[#This Row],[Tackles]]-(8*(Table1[[#This Row],[Other TD''s]]+Table1[[#This Row],[Interceptions]]+Table1[[#This Row],[Fumbles Recovered]])))))))))))</f>
        <v/>
      </c>
      <c r="R1061" s="3" t="str">
        <f t="shared" si="43"/>
        <v/>
      </c>
      <c r="S1061" s="4">
        <f t="shared" si="35"/>
        <v>1048507</v>
      </c>
      <c r="T10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2" spans="1:20" hidden="1" x14ac:dyDescent="0.25">
      <c r="A1062" t="s">
        <v>106</v>
      </c>
      <c r="B1062" s="28" t="s">
        <v>52</v>
      </c>
      <c r="C1062" t="s">
        <v>20</v>
      </c>
      <c r="D1062" s="71" t="str">
        <f>_xlfn.XLOOKUP(Table1[[#This Row],[Player]]&amp;Table1[[#This Row],[Week]]&amp;Table1[[#This Row],[Role]],'Google Form Transform'!$A:$A,'Google Form Transform'!E:E,"")</f>
        <v/>
      </c>
      <c r="E1062" t="str">
        <f>_xlfn.XLOOKUP(Table1[[#This Row],[Player]]&amp;Table1[[#This Row],[Week]]&amp;Table1[[#This Row],[Role]],'Google Form Transform'!$A:$A,'Google Form Transform'!F:F,"")</f>
        <v/>
      </c>
      <c r="F1062" t="str">
        <f>_xlfn.XLOOKUP(Table1[[#This Row],[Player]]&amp;Table1[[#This Row],[Week]]&amp;Table1[[#This Row],[Role]],'Google Form Transform'!$A:$A,'Google Form Transform'!G:G,"")</f>
        <v/>
      </c>
      <c r="G1062" s="59">
        <f>SUMIFS(Table2[Stat],Table2[Stat Category],"passing",Table2[Stat Type],"YDS",Table2[Athlete],Table1[[#This Row],[Pick]],Table2[Week],Table1[[#This Row],[Week]])</f>
        <v>0</v>
      </c>
      <c r="H1062" s="59">
        <f>SUMIFS(Table2[Stat],Table2[Stat Category],"rushing",Table2[Stat Type],"YDS",Table2[Athlete],Table1[[#This Row],[Pick]],Table2[Week],Table1[[#This Row],[Week]])</f>
        <v>0</v>
      </c>
      <c r="I1062" s="59">
        <f>SUMIFS(Table2[Stat],Table2[Stat Category],"receiving",Table2[Stat Type],"YDS",Table2[Athlete],Table1[[#This Row],[Pick]],Table2[Week],Table1[[#This Row],[Week]])</f>
        <v>0</v>
      </c>
      <c r="J1062" s="6">
        <f>IF(AND($C1062="Rushing", $H1062&lt;=0), 0, IF(AND($C1062="Passing", $G$3&lt;=0), 0,IF(AND($C1062="Receiving",$I1062&lt;=0), 0,SUMIFS(Table2[Stat],Table2[Week],Table1[[#This Row],[Week]],Table2[Athlete],Table1[[#This Row],[Pick]],Table2[Stat Category],"passing",Table2[Stat Type],"TD"))))</f>
        <v>0</v>
      </c>
      <c r="K1062" s="6">
        <f>IF(AND($C1062="Rushing", $H1062&lt;=0), 0, IF(AND($C1062="Passing", $G$3&lt;=0), 0,IF(AND($C1062="Receiving",$I1062&lt;=0),0,SUMIFS(Table2[Stat],Table2[Week],Table1[[#This Row],[Week]],Table2[Athlete],Table1[[#This Row],[Pick]],Table2[Stat Category],"rushing",Table2[Stat Type],"TD"))))</f>
        <v>0</v>
      </c>
      <c r="L1062" s="6">
        <f>IF(AND($C1062="Rushing", $H1062&lt;=0), 0, IF(AND($C1062="Passing", $G$3&lt;=0), 0,IF(AND($C1062="Receiving",$I1062&lt;=0),0,SUMIFS(Table2[Stat],Table2[Week],Table1[[#This Row],[Week]],Table2[Athlete],Table1[[#This Row],[Pick]],Table2[Stat Category],"receiving",Table2[Stat Type],"TD"))))</f>
        <v>0</v>
      </c>
      <c r="M10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2" s="61">
        <f>SUMIFS(Data!$J:$J,Data!$A:$A,Info!$B1062,Data!$G:$G,Info!$C1062,Data!$I:$I,Info!$D1062,Data!$H:$H,"TOT")</f>
        <v>0</v>
      </c>
      <c r="O1062" s="61">
        <f>IF(C1062="Defensive",SUMIFS(Data!$J:$J,Data!$A:$A,Info!$B1062,Data!$I:$I,Info!$D1062,Data!$H:$H,"INT"),0)</f>
        <v>0</v>
      </c>
      <c r="P1062" s="61">
        <f>IF(Table1[[#This Row],[Role]]="Defensive",SUMIFS(Data!$J:$J,Data!$A:$A,Info!$B1062,Data!$I:$I,Info!$D1062,Data!$H:$H,$P$1),0)</f>
        <v>0</v>
      </c>
      <c r="Q1062" s="72" t="str">
        <f>IF(Table1[[#This Row],[Pick]]="","",IF(S1062&gt;1,400,IF(G1062="","",IF(C1062="Passing",(400-Table1[[#This Row],[Passing Yards]]-(30*Table1[[#This Row],[Passing TDs]])-(50*SUM(Table1[[#This Row],[Rushing TDs]:[Other TD''s]]))),IF(C1062="Rushing",2*(200-Table1[[#This Row],[Rushing Yards]]-(30*Table1[[#This Row],[Passing TDs]])-50*(Table1[[#This Row],[Rushing TDs]]+Table1[[#This Row],[Receiving TDs]]+Table1[[#This Row],[Other TD''s]])),IF(C1062="Receiving",2*(200-Table1[[#This Row],[Receiving Yards]]-(30*Table1[[#This Row],[Passing TDs]])-50*(Table1[[#This Row],[Rushing TDs]]+Table1[[#This Row],[Receiving TDs]]+Table1[[#This Row],[Other TD''s]])),IF(C1062="Defensive",(25*(16-Table1[[#This Row],[Tackles]]-(8*(Table1[[#This Row],[Other TD''s]]+Table1[[#This Row],[Interceptions]]+Table1[[#This Row],[Fumbles Recovered]])))))))))))</f>
        <v/>
      </c>
      <c r="R1062" s="3" t="str">
        <f t="shared" si="43"/>
        <v/>
      </c>
      <c r="S1062" s="4">
        <f t="shared" si="35"/>
        <v>1048507</v>
      </c>
      <c r="T10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3" spans="1:20" hidden="1" x14ac:dyDescent="0.25">
      <c r="A1063" t="s">
        <v>106</v>
      </c>
      <c r="B1063" s="28" t="s">
        <v>53</v>
      </c>
      <c r="C1063" t="s">
        <v>16</v>
      </c>
      <c r="D1063" s="71" t="str">
        <f>_xlfn.XLOOKUP(Table1[[#This Row],[Player]]&amp;Table1[[#This Row],[Week]]&amp;Table1[[#This Row],[Role]],'Google Form Transform'!$A:$A,'Google Form Transform'!E:E,"")</f>
        <v/>
      </c>
      <c r="E1063" t="str">
        <f>_xlfn.XLOOKUP(Table1[[#This Row],[Player]]&amp;Table1[[#This Row],[Week]]&amp;Table1[[#This Row],[Role]],'Google Form Transform'!$A:$A,'Google Form Transform'!F:F,"")</f>
        <v/>
      </c>
      <c r="F1063" t="str">
        <f>_xlfn.XLOOKUP(Table1[[#This Row],[Player]]&amp;Table1[[#This Row],[Week]]&amp;Table1[[#This Row],[Role]],'Google Form Transform'!$A:$A,'Google Form Transform'!G:G,"")</f>
        <v/>
      </c>
      <c r="G1063" s="59">
        <f>SUMIFS(Table2[Stat],Table2[Stat Category],"passing",Table2[Stat Type],"YDS",Table2[Athlete],Table1[[#This Row],[Pick]],Table2[Week],Table1[[#This Row],[Week]])</f>
        <v>0</v>
      </c>
      <c r="H1063" s="59">
        <f>SUMIFS(Table2[Stat],Table2[Stat Category],"rushing",Table2[Stat Type],"YDS",Table2[Athlete],Table1[[#This Row],[Pick]],Table2[Week],Table1[[#This Row],[Week]])</f>
        <v>0</v>
      </c>
      <c r="I1063" s="59">
        <f>SUMIFS(Table2[Stat],Table2[Stat Category],"receiving",Table2[Stat Type],"YDS",Table2[Athlete],Table1[[#This Row],[Pick]],Table2[Week],Table1[[#This Row],[Week]])</f>
        <v>0</v>
      </c>
      <c r="J1063" s="6">
        <f>IF(AND($C1063="Rushing", $H1063&lt;=0), 0, IF(AND($C1063="Passing", $G$3&lt;=0), 0,IF(AND($C1063="Receiving",$I1063&lt;=0), 0,SUMIFS(Table2[Stat],Table2[Week],Table1[[#This Row],[Week]],Table2[Athlete],Table1[[#This Row],[Pick]],Table2[Stat Category],"passing",Table2[Stat Type],"TD"))))</f>
        <v>0</v>
      </c>
      <c r="K1063" s="6">
        <f>IF(AND($C1063="Rushing", $H1063&lt;=0), 0, IF(AND($C1063="Passing", $G$3&lt;=0), 0,IF(AND($C1063="Receiving",$I1063&lt;=0),0,SUMIFS(Table2[Stat],Table2[Week],Table1[[#This Row],[Week]],Table2[Athlete],Table1[[#This Row],[Pick]],Table2[Stat Category],"rushing",Table2[Stat Type],"TD"))))</f>
        <v>0</v>
      </c>
      <c r="L1063" s="6">
        <f>IF(AND($C1063="Rushing", $H1063&lt;=0), 0, IF(AND($C1063="Passing", $G$3&lt;=0), 0,IF(AND($C1063="Receiving",$I1063&lt;=0),0,SUMIFS(Table2[Stat],Table2[Week],Table1[[#This Row],[Week]],Table2[Athlete],Table1[[#This Row],[Pick]],Table2[Stat Category],"receiving",Table2[Stat Type],"TD"))))</f>
        <v>0</v>
      </c>
      <c r="M10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3" s="61">
        <f>SUMIFS(Data!$J:$J,Data!$A:$A,Info!$B1063,Data!$G:$G,Info!$C1063,Data!$I:$I,Info!$D1063,Data!$H:$H,"TOT")</f>
        <v>0</v>
      </c>
      <c r="O1063" s="61">
        <f>IF(C1063="Defensive",SUMIFS(Data!$J:$J,Data!$A:$A,Info!$B1063,Data!$I:$I,Info!$D1063,Data!$H:$H,"INT"),0)</f>
        <v>0</v>
      </c>
      <c r="P1063" s="61">
        <f>IF(Table1[[#This Row],[Role]]="Defensive",SUMIFS(Data!$J:$J,Data!$A:$A,Info!$B1063,Data!$I:$I,Info!$D1063,Data!$H:$H,$P$1),0)</f>
        <v>0</v>
      </c>
      <c r="Q1063" s="72" t="str">
        <f>IF(Table1[[#This Row],[Pick]]="","",IF(S1063&gt;1,400,IF(G1063="","",IF(C1063="Passing",(400-Table1[[#This Row],[Passing Yards]]-(30*Table1[[#This Row],[Passing TDs]])-(50*SUM(Table1[[#This Row],[Rushing TDs]:[Other TD''s]]))),IF(C1063="Rushing",2*(200-Table1[[#This Row],[Rushing Yards]]-(30*Table1[[#This Row],[Passing TDs]])-50*(Table1[[#This Row],[Rushing TDs]]+Table1[[#This Row],[Receiving TDs]]+Table1[[#This Row],[Other TD''s]])),IF(C1063="Receiving",2*(200-Table1[[#This Row],[Receiving Yards]]-(30*Table1[[#This Row],[Passing TDs]])-50*(Table1[[#This Row],[Rushing TDs]]+Table1[[#This Row],[Receiving TDs]]+Table1[[#This Row],[Other TD''s]])),IF(C1063="Defensive",(25*(16-Table1[[#This Row],[Tackles]]-(8*(Table1[[#This Row],[Other TD''s]]+Table1[[#This Row],[Interceptions]]+Table1[[#This Row],[Fumbles Recovered]])))))))))))</f>
        <v/>
      </c>
      <c r="R1063" s="3" t="str">
        <f t="shared" ref="R1063:R1066" si="44">IF(D1063="","",A1063&amp;C1063&amp;D1063)</f>
        <v/>
      </c>
      <c r="S1063" s="4">
        <f t="shared" si="35"/>
        <v>1048507</v>
      </c>
      <c r="T10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4" spans="1:20" hidden="1" x14ac:dyDescent="0.25">
      <c r="A1064" t="s">
        <v>106</v>
      </c>
      <c r="B1064" s="28" t="s">
        <v>53</v>
      </c>
      <c r="C1064" t="s">
        <v>6</v>
      </c>
      <c r="D1064" s="71" t="str">
        <f>_xlfn.XLOOKUP(Table1[[#This Row],[Player]]&amp;Table1[[#This Row],[Week]]&amp;Table1[[#This Row],[Role]],'Google Form Transform'!$A:$A,'Google Form Transform'!E:E,"")</f>
        <v/>
      </c>
      <c r="E1064" t="str">
        <f>_xlfn.XLOOKUP(Table1[[#This Row],[Player]]&amp;Table1[[#This Row],[Week]]&amp;Table1[[#This Row],[Role]],'Google Form Transform'!$A:$A,'Google Form Transform'!F:F,"")</f>
        <v/>
      </c>
      <c r="F1064" t="str">
        <f>_xlfn.XLOOKUP(Table1[[#This Row],[Player]]&amp;Table1[[#This Row],[Week]]&amp;Table1[[#This Row],[Role]],'Google Form Transform'!$A:$A,'Google Form Transform'!G:G,"")</f>
        <v/>
      </c>
      <c r="G1064" s="59">
        <f>SUMIFS(Table2[Stat],Table2[Stat Category],"passing",Table2[Stat Type],"YDS",Table2[Athlete],Table1[[#This Row],[Pick]],Table2[Week],Table1[[#This Row],[Week]])</f>
        <v>0</v>
      </c>
      <c r="H1064" s="59">
        <f>SUMIFS(Table2[Stat],Table2[Stat Category],"rushing",Table2[Stat Type],"YDS",Table2[Athlete],Table1[[#This Row],[Pick]],Table2[Week],Table1[[#This Row],[Week]])</f>
        <v>0</v>
      </c>
      <c r="I1064" s="59">
        <f>SUMIFS(Table2[Stat],Table2[Stat Category],"receiving",Table2[Stat Type],"YDS",Table2[Athlete],Table1[[#This Row],[Pick]],Table2[Week],Table1[[#This Row],[Week]])</f>
        <v>0</v>
      </c>
      <c r="J1064" s="6">
        <f>IF(AND($C1064="Rushing", $H1064&lt;=0), 0, IF(AND($C1064="Passing", $G$3&lt;=0), 0,IF(AND($C1064="Receiving",$I1064&lt;=0), 0,SUMIFS(Table2[Stat],Table2[Week],Table1[[#This Row],[Week]],Table2[Athlete],Table1[[#This Row],[Pick]],Table2[Stat Category],"passing",Table2[Stat Type],"TD"))))</f>
        <v>0</v>
      </c>
      <c r="K1064" s="6">
        <f>IF(AND($C1064="Rushing", $H1064&lt;=0), 0, IF(AND($C1064="Passing", $G$3&lt;=0), 0,IF(AND($C1064="Receiving",$I1064&lt;=0),0,SUMIFS(Table2[Stat],Table2[Week],Table1[[#This Row],[Week]],Table2[Athlete],Table1[[#This Row],[Pick]],Table2[Stat Category],"rushing",Table2[Stat Type],"TD"))))</f>
        <v>0</v>
      </c>
      <c r="L1064" s="6">
        <f>IF(AND($C1064="Rushing", $H1064&lt;=0), 0, IF(AND($C1064="Passing", $G$3&lt;=0), 0,IF(AND($C1064="Receiving",$I1064&lt;=0),0,SUMIFS(Table2[Stat],Table2[Week],Table1[[#This Row],[Week]],Table2[Athlete],Table1[[#This Row],[Pick]],Table2[Stat Category],"receiving",Table2[Stat Type],"TD"))))</f>
        <v>0</v>
      </c>
      <c r="M10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4" s="61">
        <f>SUMIFS(Data!$J:$J,Data!$A:$A,Info!$B1064,Data!$G:$G,Info!$C1064,Data!$I:$I,Info!$D1064,Data!$H:$H,"TOT")</f>
        <v>0</v>
      </c>
      <c r="O1064" s="61">
        <f>IF(C1064="Defensive",SUMIFS(Data!$J:$J,Data!$A:$A,Info!$B1064,Data!$I:$I,Info!$D1064,Data!$H:$H,"INT"),0)</f>
        <v>0</v>
      </c>
      <c r="P1064" s="61">
        <f>IF(Table1[[#This Row],[Role]]="Defensive",SUMIFS(Data!$J:$J,Data!$A:$A,Info!$B1064,Data!$I:$I,Info!$D1064,Data!$H:$H,$P$1),0)</f>
        <v>0</v>
      </c>
      <c r="Q1064" s="72" t="str">
        <f>IF(Table1[[#This Row],[Pick]]="","",IF(S1064&gt;1,400,IF(G1064="","",IF(C1064="Passing",(400-Table1[[#This Row],[Passing Yards]]-(30*Table1[[#This Row],[Passing TDs]])-(50*SUM(Table1[[#This Row],[Rushing TDs]:[Other TD''s]]))),IF(C1064="Rushing",2*(200-Table1[[#This Row],[Rushing Yards]]-(30*Table1[[#This Row],[Passing TDs]])-50*(Table1[[#This Row],[Rushing TDs]]+Table1[[#This Row],[Receiving TDs]]+Table1[[#This Row],[Other TD''s]])),IF(C1064="Receiving",2*(200-Table1[[#This Row],[Receiving Yards]]-(30*Table1[[#This Row],[Passing TDs]])-50*(Table1[[#This Row],[Rushing TDs]]+Table1[[#This Row],[Receiving TDs]]+Table1[[#This Row],[Other TD''s]])),IF(C1064="Defensive",(25*(16-Table1[[#This Row],[Tackles]]-(8*(Table1[[#This Row],[Other TD''s]]+Table1[[#This Row],[Interceptions]]+Table1[[#This Row],[Fumbles Recovered]])))))))))))</f>
        <v/>
      </c>
      <c r="R1064" s="3" t="str">
        <f t="shared" si="44"/>
        <v/>
      </c>
      <c r="S1064" s="4">
        <f t="shared" si="35"/>
        <v>1048507</v>
      </c>
      <c r="T10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5" spans="1:20" hidden="1" x14ac:dyDescent="0.25">
      <c r="A1065" t="s">
        <v>106</v>
      </c>
      <c r="B1065" s="28" t="s">
        <v>53</v>
      </c>
      <c r="C1065" t="s">
        <v>17</v>
      </c>
      <c r="D1065" s="71" t="str">
        <f>_xlfn.XLOOKUP(Table1[[#This Row],[Player]]&amp;Table1[[#This Row],[Week]]&amp;Table1[[#This Row],[Role]],'Google Form Transform'!$A:$A,'Google Form Transform'!E:E,"")</f>
        <v/>
      </c>
      <c r="E1065" t="str">
        <f>_xlfn.XLOOKUP(Table1[[#This Row],[Player]]&amp;Table1[[#This Row],[Week]]&amp;Table1[[#This Row],[Role]],'Google Form Transform'!$A:$A,'Google Form Transform'!F:F,"")</f>
        <v/>
      </c>
      <c r="F1065" t="str">
        <f>_xlfn.XLOOKUP(Table1[[#This Row],[Player]]&amp;Table1[[#This Row],[Week]]&amp;Table1[[#This Row],[Role]],'Google Form Transform'!$A:$A,'Google Form Transform'!G:G,"")</f>
        <v/>
      </c>
      <c r="G1065" s="59">
        <f>SUMIFS(Table2[Stat],Table2[Stat Category],"passing",Table2[Stat Type],"YDS",Table2[Athlete],Table1[[#This Row],[Pick]],Table2[Week],Table1[[#This Row],[Week]])</f>
        <v>0</v>
      </c>
      <c r="H1065" s="59">
        <f>SUMIFS(Table2[Stat],Table2[Stat Category],"rushing",Table2[Stat Type],"YDS",Table2[Athlete],Table1[[#This Row],[Pick]],Table2[Week],Table1[[#This Row],[Week]])</f>
        <v>0</v>
      </c>
      <c r="I1065" s="59">
        <f>SUMIFS(Table2[Stat],Table2[Stat Category],"receiving",Table2[Stat Type],"YDS",Table2[Athlete],Table1[[#This Row],[Pick]],Table2[Week],Table1[[#This Row],[Week]])</f>
        <v>0</v>
      </c>
      <c r="J1065" s="6">
        <f>IF(AND($C1065="Rushing", $H1065&lt;=0), 0, IF(AND($C1065="Passing", $G$3&lt;=0), 0,IF(AND($C1065="Receiving",$I1065&lt;=0), 0,SUMIFS(Table2[Stat],Table2[Week],Table1[[#This Row],[Week]],Table2[Athlete],Table1[[#This Row],[Pick]],Table2[Stat Category],"passing",Table2[Stat Type],"TD"))))</f>
        <v>0</v>
      </c>
      <c r="K1065" s="6">
        <f>IF(AND($C1065="Rushing", $H1065&lt;=0), 0, IF(AND($C1065="Passing", $G$3&lt;=0), 0,IF(AND($C1065="Receiving",$I1065&lt;=0),0,SUMIFS(Table2[Stat],Table2[Week],Table1[[#This Row],[Week]],Table2[Athlete],Table1[[#This Row],[Pick]],Table2[Stat Category],"rushing",Table2[Stat Type],"TD"))))</f>
        <v>0</v>
      </c>
      <c r="L1065" s="6">
        <f>IF(AND($C1065="Rushing", $H1065&lt;=0), 0, IF(AND($C1065="Passing", $G$3&lt;=0), 0,IF(AND($C1065="Receiving",$I1065&lt;=0),0,SUMIFS(Table2[Stat],Table2[Week],Table1[[#This Row],[Week]],Table2[Athlete],Table1[[#This Row],[Pick]],Table2[Stat Category],"receiving",Table2[Stat Type],"TD"))))</f>
        <v>0</v>
      </c>
      <c r="M10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5" s="61">
        <f>SUMIFS(Data!$J:$J,Data!$A:$A,Info!$B1065,Data!$G:$G,Info!$C1065,Data!$I:$I,Info!$D1065,Data!$H:$H,"TOT")</f>
        <v>0</v>
      </c>
      <c r="O1065" s="61">
        <f>IF(C1065="Defensive",SUMIFS(Data!$J:$J,Data!$A:$A,Info!$B1065,Data!$I:$I,Info!$D1065,Data!$H:$H,"INT"),0)</f>
        <v>0</v>
      </c>
      <c r="P1065" s="61">
        <f>IF(Table1[[#This Row],[Role]]="Defensive",SUMIFS(Data!$J:$J,Data!$A:$A,Info!$B1065,Data!$I:$I,Info!$D1065,Data!$H:$H,$P$1),0)</f>
        <v>0</v>
      </c>
      <c r="Q1065" s="72" t="str">
        <f>IF(Table1[[#This Row],[Pick]]="","",IF(S1065&gt;1,400,IF(G1065="","",IF(C1065="Passing",(400-Table1[[#This Row],[Passing Yards]]-(30*Table1[[#This Row],[Passing TDs]])-(50*SUM(Table1[[#This Row],[Rushing TDs]:[Other TD''s]]))),IF(C1065="Rushing",2*(200-Table1[[#This Row],[Rushing Yards]]-(30*Table1[[#This Row],[Passing TDs]])-50*(Table1[[#This Row],[Rushing TDs]]+Table1[[#This Row],[Receiving TDs]]+Table1[[#This Row],[Other TD''s]])),IF(C1065="Receiving",2*(200-Table1[[#This Row],[Receiving Yards]]-(30*Table1[[#This Row],[Passing TDs]])-50*(Table1[[#This Row],[Rushing TDs]]+Table1[[#This Row],[Receiving TDs]]+Table1[[#This Row],[Other TD''s]])),IF(C1065="Defensive",(25*(16-Table1[[#This Row],[Tackles]]-(8*(Table1[[#This Row],[Other TD''s]]+Table1[[#This Row],[Interceptions]]+Table1[[#This Row],[Fumbles Recovered]])))))))))))</f>
        <v/>
      </c>
      <c r="R1065" s="3" t="str">
        <f t="shared" si="44"/>
        <v/>
      </c>
      <c r="S1065" s="4">
        <f t="shared" si="35"/>
        <v>1048507</v>
      </c>
      <c r="T10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6" spans="1:20" hidden="1" x14ac:dyDescent="0.25">
      <c r="A1066" t="s">
        <v>106</v>
      </c>
      <c r="B1066" s="28" t="s">
        <v>53</v>
      </c>
      <c r="C1066" t="s">
        <v>20</v>
      </c>
      <c r="D1066" s="71" t="str">
        <f>_xlfn.XLOOKUP(Table1[[#This Row],[Player]]&amp;Table1[[#This Row],[Week]]&amp;Table1[[#This Row],[Role]],'Google Form Transform'!$A:$A,'Google Form Transform'!E:E,"")</f>
        <v/>
      </c>
      <c r="E1066" t="str">
        <f>_xlfn.XLOOKUP(Table1[[#This Row],[Player]]&amp;Table1[[#This Row],[Week]]&amp;Table1[[#This Row],[Role]],'Google Form Transform'!$A:$A,'Google Form Transform'!F:F,"")</f>
        <v/>
      </c>
      <c r="F1066" t="str">
        <f>_xlfn.XLOOKUP(Table1[[#This Row],[Player]]&amp;Table1[[#This Row],[Week]]&amp;Table1[[#This Row],[Role]],'Google Form Transform'!$A:$A,'Google Form Transform'!G:G,"")</f>
        <v/>
      </c>
      <c r="G1066" s="59">
        <f>SUMIFS(Table2[Stat],Table2[Stat Category],"passing",Table2[Stat Type],"YDS",Table2[Athlete],Table1[[#This Row],[Pick]],Table2[Week],Table1[[#This Row],[Week]])</f>
        <v>0</v>
      </c>
      <c r="H1066" s="59">
        <f>SUMIFS(Table2[Stat],Table2[Stat Category],"rushing",Table2[Stat Type],"YDS",Table2[Athlete],Table1[[#This Row],[Pick]],Table2[Week],Table1[[#This Row],[Week]])</f>
        <v>0</v>
      </c>
      <c r="I1066" s="59">
        <f>SUMIFS(Table2[Stat],Table2[Stat Category],"receiving",Table2[Stat Type],"YDS",Table2[Athlete],Table1[[#This Row],[Pick]],Table2[Week],Table1[[#This Row],[Week]])</f>
        <v>0</v>
      </c>
      <c r="J1066" s="6">
        <f>IF(AND($C1066="Rushing", $H1066&lt;=0), 0, IF(AND($C1066="Passing", $G$3&lt;=0), 0,IF(AND($C1066="Receiving",$I1066&lt;=0), 0,SUMIFS(Table2[Stat],Table2[Week],Table1[[#This Row],[Week]],Table2[Athlete],Table1[[#This Row],[Pick]],Table2[Stat Category],"passing",Table2[Stat Type],"TD"))))</f>
        <v>0</v>
      </c>
      <c r="K1066" s="6">
        <f>IF(AND($C1066="Rushing", $H1066&lt;=0), 0, IF(AND($C1066="Passing", $G$3&lt;=0), 0,IF(AND($C1066="Receiving",$I1066&lt;=0),0,SUMIFS(Table2[Stat],Table2[Week],Table1[[#This Row],[Week]],Table2[Athlete],Table1[[#This Row],[Pick]],Table2[Stat Category],"rushing",Table2[Stat Type],"TD"))))</f>
        <v>0</v>
      </c>
      <c r="L1066" s="6">
        <f>IF(AND($C1066="Rushing", $H1066&lt;=0), 0, IF(AND($C1066="Passing", $G$3&lt;=0), 0,IF(AND($C1066="Receiving",$I1066&lt;=0),0,SUMIFS(Table2[Stat],Table2[Week],Table1[[#This Row],[Week]],Table2[Athlete],Table1[[#This Row],[Pick]],Table2[Stat Category],"receiving",Table2[Stat Type],"TD"))))</f>
        <v>0</v>
      </c>
      <c r="M10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6" s="61">
        <f>SUMIFS(Data!$J:$J,Data!$A:$A,Info!$B1066,Data!$G:$G,Info!$C1066,Data!$I:$I,Info!$D1066,Data!$H:$H,"TOT")</f>
        <v>0</v>
      </c>
      <c r="O1066" s="61">
        <f>IF(C1066="Defensive",SUMIFS(Data!$J:$J,Data!$A:$A,Info!$B1066,Data!$I:$I,Info!$D1066,Data!$H:$H,"INT"),0)</f>
        <v>0</v>
      </c>
      <c r="P1066" s="61">
        <f>IF(Table1[[#This Row],[Role]]="Defensive",SUMIFS(Data!$J:$J,Data!$A:$A,Info!$B1066,Data!$I:$I,Info!$D1066,Data!$H:$H,$P$1),0)</f>
        <v>0</v>
      </c>
      <c r="Q1066" s="72" t="str">
        <f>IF(Table1[[#This Row],[Pick]]="","",IF(S1066&gt;1,400,IF(G1066="","",IF(C1066="Passing",(400-Table1[[#This Row],[Passing Yards]]-(30*Table1[[#This Row],[Passing TDs]])-(50*SUM(Table1[[#This Row],[Rushing TDs]:[Other TD''s]]))),IF(C1066="Rushing",2*(200-Table1[[#This Row],[Rushing Yards]]-(30*Table1[[#This Row],[Passing TDs]])-50*(Table1[[#This Row],[Rushing TDs]]+Table1[[#This Row],[Receiving TDs]]+Table1[[#This Row],[Other TD''s]])),IF(C1066="Receiving",2*(200-Table1[[#This Row],[Receiving Yards]]-(30*Table1[[#This Row],[Passing TDs]])-50*(Table1[[#This Row],[Rushing TDs]]+Table1[[#This Row],[Receiving TDs]]+Table1[[#This Row],[Other TD''s]])),IF(C1066="Defensive",(25*(16-Table1[[#This Row],[Tackles]]-(8*(Table1[[#This Row],[Other TD''s]]+Table1[[#This Row],[Interceptions]]+Table1[[#This Row],[Fumbles Recovered]])))))))))))</f>
        <v/>
      </c>
      <c r="R1066" s="3" t="str">
        <f t="shared" si="44"/>
        <v/>
      </c>
      <c r="S1066" s="4">
        <f t="shared" si="35"/>
        <v>1048507</v>
      </c>
      <c r="T10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7" spans="1:20" hidden="1" x14ac:dyDescent="0.25">
      <c r="A1067" t="s">
        <v>106</v>
      </c>
      <c r="B1067" s="28" t="s">
        <v>54</v>
      </c>
      <c r="C1067" t="s">
        <v>16</v>
      </c>
      <c r="D1067" s="71" t="str">
        <f>_xlfn.XLOOKUP(Table1[[#This Row],[Player]]&amp;Table1[[#This Row],[Week]]&amp;Table1[[#This Row],[Role]],'Google Form Transform'!$A:$A,'Google Form Transform'!E:E,"")</f>
        <v/>
      </c>
      <c r="E1067" t="str">
        <f>_xlfn.XLOOKUP(Table1[[#This Row],[Player]]&amp;Table1[[#This Row],[Week]]&amp;Table1[[#This Row],[Role]],'Google Form Transform'!$A:$A,'Google Form Transform'!F:F,"")</f>
        <v/>
      </c>
      <c r="F1067" t="str">
        <f>_xlfn.XLOOKUP(Table1[[#This Row],[Player]]&amp;Table1[[#This Row],[Week]]&amp;Table1[[#This Row],[Role]],'Google Form Transform'!$A:$A,'Google Form Transform'!G:G,"")</f>
        <v/>
      </c>
      <c r="G1067" s="59">
        <f>SUMIFS(Table2[Stat],Table2[Stat Category],"passing",Table2[Stat Type],"YDS",Table2[Athlete],Table1[[#This Row],[Pick]],Table2[Week],Table1[[#This Row],[Week]])</f>
        <v>0</v>
      </c>
      <c r="H1067" s="59">
        <f>SUMIFS(Table2[Stat],Table2[Stat Category],"rushing",Table2[Stat Type],"YDS",Table2[Athlete],Table1[[#This Row],[Pick]],Table2[Week],Table1[[#This Row],[Week]])</f>
        <v>0</v>
      </c>
      <c r="I1067" s="59">
        <f>SUMIFS(Table2[Stat],Table2[Stat Category],"receiving",Table2[Stat Type],"YDS",Table2[Athlete],Table1[[#This Row],[Pick]],Table2[Week],Table1[[#This Row],[Week]])</f>
        <v>0</v>
      </c>
      <c r="J1067" s="6">
        <f>IF(AND($C1067="Rushing", $H1067&lt;=0), 0, IF(AND($C1067="Passing", $G$3&lt;=0), 0,IF(AND($C1067="Receiving",$I1067&lt;=0), 0,SUMIFS(Table2[Stat],Table2[Week],Table1[[#This Row],[Week]],Table2[Athlete],Table1[[#This Row],[Pick]],Table2[Stat Category],"passing",Table2[Stat Type],"TD"))))</f>
        <v>0</v>
      </c>
      <c r="K1067" s="6">
        <f>IF(AND($C1067="Rushing", $H1067&lt;=0), 0, IF(AND($C1067="Passing", $G$3&lt;=0), 0,IF(AND($C1067="Receiving",$I1067&lt;=0),0,SUMIFS(Table2[Stat],Table2[Week],Table1[[#This Row],[Week]],Table2[Athlete],Table1[[#This Row],[Pick]],Table2[Stat Category],"rushing",Table2[Stat Type],"TD"))))</f>
        <v>0</v>
      </c>
      <c r="L1067" s="6">
        <f>IF(AND($C1067="Rushing", $H1067&lt;=0), 0, IF(AND($C1067="Passing", $G$3&lt;=0), 0,IF(AND($C1067="Receiving",$I1067&lt;=0),0,SUMIFS(Table2[Stat],Table2[Week],Table1[[#This Row],[Week]],Table2[Athlete],Table1[[#This Row],[Pick]],Table2[Stat Category],"receiving",Table2[Stat Type],"TD"))))</f>
        <v>0</v>
      </c>
      <c r="M10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7" s="61">
        <f>SUMIFS(Data!$J:$J,Data!$A:$A,Info!$B1067,Data!$G:$G,Info!$C1067,Data!$I:$I,Info!$D1067,Data!$H:$H,"TOT")</f>
        <v>0</v>
      </c>
      <c r="O1067" s="61">
        <f>IF(C1067="Defensive",SUMIFS(Data!$J:$J,Data!$A:$A,Info!$B1067,Data!$I:$I,Info!$D1067,Data!$H:$H,"INT"),0)</f>
        <v>0</v>
      </c>
      <c r="P1067" s="61">
        <f>IF(Table1[[#This Row],[Role]]="Defensive",SUMIFS(Data!$J:$J,Data!$A:$A,Info!$B1067,Data!$I:$I,Info!$D1067,Data!$H:$H,$P$1),0)</f>
        <v>0</v>
      </c>
      <c r="Q1067" s="72" t="str">
        <f>IF(Table1[[#This Row],[Pick]]="","",IF(S1067&gt;1,400,IF(G1067="","",IF(C1067="Passing",(400-Table1[[#This Row],[Passing Yards]]-(30*Table1[[#This Row],[Passing TDs]])-(50*SUM(Table1[[#This Row],[Rushing TDs]:[Other TD''s]]))),IF(C1067="Rushing",2*(200-Table1[[#This Row],[Rushing Yards]]-(30*Table1[[#This Row],[Passing TDs]])-50*(Table1[[#This Row],[Rushing TDs]]+Table1[[#This Row],[Receiving TDs]]+Table1[[#This Row],[Other TD''s]])),IF(C1067="Receiving",2*(200-Table1[[#This Row],[Receiving Yards]]-(30*Table1[[#This Row],[Passing TDs]])-50*(Table1[[#This Row],[Rushing TDs]]+Table1[[#This Row],[Receiving TDs]]+Table1[[#This Row],[Other TD''s]])),IF(C1067="Defensive",(25*(16-Table1[[#This Row],[Tackles]]-(8*(Table1[[#This Row],[Other TD''s]]+Table1[[#This Row],[Interceptions]]+Table1[[#This Row],[Fumbles Recovered]])))))))))))</f>
        <v/>
      </c>
      <c r="R1067" s="3" t="str">
        <f t="shared" ref="R1067:R1070" si="45">IF(D1067="","",A1067&amp;C1067&amp;D1067)</f>
        <v/>
      </c>
      <c r="S1067" s="4">
        <f t="shared" si="35"/>
        <v>1048507</v>
      </c>
      <c r="T10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8" spans="1:20" hidden="1" x14ac:dyDescent="0.25">
      <c r="A1068" t="s">
        <v>106</v>
      </c>
      <c r="B1068" s="28" t="s">
        <v>54</v>
      </c>
      <c r="C1068" t="s">
        <v>6</v>
      </c>
      <c r="D1068" s="71" t="str">
        <f>_xlfn.XLOOKUP(Table1[[#This Row],[Player]]&amp;Table1[[#This Row],[Week]]&amp;Table1[[#This Row],[Role]],'Google Form Transform'!$A:$A,'Google Form Transform'!E:E,"")</f>
        <v/>
      </c>
      <c r="E1068" t="str">
        <f>_xlfn.XLOOKUP(Table1[[#This Row],[Player]]&amp;Table1[[#This Row],[Week]]&amp;Table1[[#This Row],[Role]],'Google Form Transform'!$A:$A,'Google Form Transform'!F:F,"")</f>
        <v/>
      </c>
      <c r="F1068" t="str">
        <f>_xlfn.XLOOKUP(Table1[[#This Row],[Player]]&amp;Table1[[#This Row],[Week]]&amp;Table1[[#This Row],[Role]],'Google Form Transform'!$A:$A,'Google Form Transform'!G:G,"")</f>
        <v/>
      </c>
      <c r="G1068" s="59">
        <f>SUMIFS(Table2[Stat],Table2[Stat Category],"passing",Table2[Stat Type],"YDS",Table2[Athlete],Table1[[#This Row],[Pick]],Table2[Week],Table1[[#This Row],[Week]])</f>
        <v>0</v>
      </c>
      <c r="H1068" s="59">
        <f>SUMIFS(Table2[Stat],Table2[Stat Category],"rushing",Table2[Stat Type],"YDS",Table2[Athlete],Table1[[#This Row],[Pick]],Table2[Week],Table1[[#This Row],[Week]])</f>
        <v>0</v>
      </c>
      <c r="I1068" s="59">
        <f>SUMIFS(Table2[Stat],Table2[Stat Category],"receiving",Table2[Stat Type],"YDS",Table2[Athlete],Table1[[#This Row],[Pick]],Table2[Week],Table1[[#This Row],[Week]])</f>
        <v>0</v>
      </c>
      <c r="J1068" s="6">
        <f>IF(AND($C1068="Rushing", $H1068&lt;=0), 0, IF(AND($C1068="Passing", $G$3&lt;=0), 0,IF(AND($C1068="Receiving",$I1068&lt;=0), 0,SUMIFS(Table2[Stat],Table2[Week],Table1[[#This Row],[Week]],Table2[Athlete],Table1[[#This Row],[Pick]],Table2[Stat Category],"passing",Table2[Stat Type],"TD"))))</f>
        <v>0</v>
      </c>
      <c r="K1068" s="6">
        <f>IF(AND($C1068="Rushing", $H1068&lt;=0), 0, IF(AND($C1068="Passing", $G$3&lt;=0), 0,IF(AND($C1068="Receiving",$I1068&lt;=0),0,SUMIFS(Table2[Stat],Table2[Week],Table1[[#This Row],[Week]],Table2[Athlete],Table1[[#This Row],[Pick]],Table2[Stat Category],"rushing",Table2[Stat Type],"TD"))))</f>
        <v>0</v>
      </c>
      <c r="L1068" s="6">
        <f>IF(AND($C1068="Rushing", $H1068&lt;=0), 0, IF(AND($C1068="Passing", $G$3&lt;=0), 0,IF(AND($C1068="Receiving",$I1068&lt;=0),0,SUMIFS(Table2[Stat],Table2[Week],Table1[[#This Row],[Week]],Table2[Athlete],Table1[[#This Row],[Pick]],Table2[Stat Category],"receiving",Table2[Stat Type],"TD"))))</f>
        <v>0</v>
      </c>
      <c r="M10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8" s="61">
        <f>SUMIFS(Data!$J:$J,Data!$A:$A,Info!$B1068,Data!$G:$G,Info!$C1068,Data!$I:$I,Info!$D1068,Data!$H:$H,"TOT")</f>
        <v>0</v>
      </c>
      <c r="O1068" s="61">
        <f>IF(C1068="Defensive",SUMIFS(Data!$J:$J,Data!$A:$A,Info!$B1068,Data!$I:$I,Info!$D1068,Data!$H:$H,"INT"),0)</f>
        <v>0</v>
      </c>
      <c r="P1068" s="61">
        <f>IF(Table1[[#This Row],[Role]]="Defensive",SUMIFS(Data!$J:$J,Data!$A:$A,Info!$B1068,Data!$I:$I,Info!$D1068,Data!$H:$H,$P$1),0)</f>
        <v>0</v>
      </c>
      <c r="Q1068" s="72" t="str">
        <f>IF(Table1[[#This Row],[Pick]]="","",IF(S1068&gt;1,400,IF(G1068="","",IF(C1068="Passing",(400-Table1[[#This Row],[Passing Yards]]-(30*Table1[[#This Row],[Passing TDs]])-(50*SUM(Table1[[#This Row],[Rushing TDs]:[Other TD''s]]))),IF(C1068="Rushing",2*(200-Table1[[#This Row],[Rushing Yards]]-(30*Table1[[#This Row],[Passing TDs]])-50*(Table1[[#This Row],[Rushing TDs]]+Table1[[#This Row],[Receiving TDs]]+Table1[[#This Row],[Other TD''s]])),IF(C1068="Receiving",2*(200-Table1[[#This Row],[Receiving Yards]]-(30*Table1[[#This Row],[Passing TDs]])-50*(Table1[[#This Row],[Rushing TDs]]+Table1[[#This Row],[Receiving TDs]]+Table1[[#This Row],[Other TD''s]])),IF(C1068="Defensive",(25*(16-Table1[[#This Row],[Tackles]]-(8*(Table1[[#This Row],[Other TD''s]]+Table1[[#This Row],[Interceptions]]+Table1[[#This Row],[Fumbles Recovered]])))))))))))</f>
        <v/>
      </c>
      <c r="R1068" s="3" t="str">
        <f t="shared" si="45"/>
        <v/>
      </c>
      <c r="S1068" s="4">
        <f t="shared" si="35"/>
        <v>1048507</v>
      </c>
      <c r="T10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9" spans="1:20" hidden="1" x14ac:dyDescent="0.25">
      <c r="A1069" t="s">
        <v>106</v>
      </c>
      <c r="B1069" s="28" t="s">
        <v>54</v>
      </c>
      <c r="C1069" t="s">
        <v>17</v>
      </c>
      <c r="D1069" s="71" t="str">
        <f>_xlfn.XLOOKUP(Table1[[#This Row],[Player]]&amp;Table1[[#This Row],[Week]]&amp;Table1[[#This Row],[Role]],'Google Form Transform'!$A:$A,'Google Form Transform'!E:E,"")</f>
        <v/>
      </c>
      <c r="E1069" t="str">
        <f>_xlfn.XLOOKUP(Table1[[#This Row],[Player]]&amp;Table1[[#This Row],[Week]]&amp;Table1[[#This Row],[Role]],'Google Form Transform'!$A:$A,'Google Form Transform'!F:F,"")</f>
        <v/>
      </c>
      <c r="F1069" t="str">
        <f>_xlfn.XLOOKUP(Table1[[#This Row],[Player]]&amp;Table1[[#This Row],[Week]]&amp;Table1[[#This Row],[Role]],'Google Form Transform'!$A:$A,'Google Form Transform'!G:G,"")</f>
        <v/>
      </c>
      <c r="G1069" s="59">
        <f>SUMIFS(Table2[Stat],Table2[Stat Category],"passing",Table2[Stat Type],"YDS",Table2[Athlete],Table1[[#This Row],[Pick]],Table2[Week],Table1[[#This Row],[Week]])</f>
        <v>0</v>
      </c>
      <c r="H1069" s="59">
        <f>SUMIFS(Table2[Stat],Table2[Stat Category],"rushing",Table2[Stat Type],"YDS",Table2[Athlete],Table1[[#This Row],[Pick]],Table2[Week],Table1[[#This Row],[Week]])</f>
        <v>0</v>
      </c>
      <c r="I1069" s="59">
        <f>SUMIFS(Table2[Stat],Table2[Stat Category],"receiving",Table2[Stat Type],"YDS",Table2[Athlete],Table1[[#This Row],[Pick]],Table2[Week],Table1[[#This Row],[Week]])</f>
        <v>0</v>
      </c>
      <c r="J1069" s="6">
        <f>IF(AND($C1069="Rushing", $H1069&lt;=0), 0, IF(AND($C1069="Passing", $G$3&lt;=0), 0,IF(AND($C1069="Receiving",$I1069&lt;=0), 0,SUMIFS(Table2[Stat],Table2[Week],Table1[[#This Row],[Week]],Table2[Athlete],Table1[[#This Row],[Pick]],Table2[Stat Category],"passing",Table2[Stat Type],"TD"))))</f>
        <v>0</v>
      </c>
      <c r="K1069" s="6">
        <f>IF(AND($C1069="Rushing", $H1069&lt;=0), 0, IF(AND($C1069="Passing", $G$3&lt;=0), 0,IF(AND($C1069="Receiving",$I1069&lt;=0),0,SUMIFS(Table2[Stat],Table2[Week],Table1[[#This Row],[Week]],Table2[Athlete],Table1[[#This Row],[Pick]],Table2[Stat Category],"rushing",Table2[Stat Type],"TD"))))</f>
        <v>0</v>
      </c>
      <c r="L1069" s="6">
        <f>IF(AND($C1069="Rushing", $H1069&lt;=0), 0, IF(AND($C1069="Passing", $G$3&lt;=0), 0,IF(AND($C1069="Receiving",$I1069&lt;=0),0,SUMIFS(Table2[Stat],Table2[Week],Table1[[#This Row],[Week]],Table2[Athlete],Table1[[#This Row],[Pick]],Table2[Stat Category],"receiving",Table2[Stat Type],"TD"))))</f>
        <v>0</v>
      </c>
      <c r="M10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9" s="61">
        <f>SUMIFS(Data!$J:$J,Data!$A:$A,Info!$B1069,Data!$G:$G,Info!$C1069,Data!$I:$I,Info!$D1069,Data!$H:$H,"TOT")</f>
        <v>0</v>
      </c>
      <c r="O1069" s="61">
        <f>IF(C1069="Defensive",SUMIFS(Data!$J:$J,Data!$A:$A,Info!$B1069,Data!$I:$I,Info!$D1069,Data!$H:$H,"INT"),0)</f>
        <v>0</v>
      </c>
      <c r="P1069" s="61">
        <f>IF(Table1[[#This Row],[Role]]="Defensive",SUMIFS(Data!$J:$J,Data!$A:$A,Info!$B1069,Data!$I:$I,Info!$D1069,Data!$H:$H,$P$1),0)</f>
        <v>0</v>
      </c>
      <c r="Q1069" s="72" t="str">
        <f>IF(Table1[[#This Row],[Pick]]="","",IF(S1069&gt;1,400,IF(G1069="","",IF(C1069="Passing",(400-Table1[[#This Row],[Passing Yards]]-(30*Table1[[#This Row],[Passing TDs]])-(50*SUM(Table1[[#This Row],[Rushing TDs]:[Other TD''s]]))),IF(C1069="Rushing",2*(200-Table1[[#This Row],[Rushing Yards]]-(30*Table1[[#This Row],[Passing TDs]])-50*(Table1[[#This Row],[Rushing TDs]]+Table1[[#This Row],[Receiving TDs]]+Table1[[#This Row],[Other TD''s]])),IF(C1069="Receiving",2*(200-Table1[[#This Row],[Receiving Yards]]-(30*Table1[[#This Row],[Passing TDs]])-50*(Table1[[#This Row],[Rushing TDs]]+Table1[[#This Row],[Receiving TDs]]+Table1[[#This Row],[Other TD''s]])),IF(C1069="Defensive",(25*(16-Table1[[#This Row],[Tackles]]-(8*(Table1[[#This Row],[Other TD''s]]+Table1[[#This Row],[Interceptions]]+Table1[[#This Row],[Fumbles Recovered]])))))))))))</f>
        <v/>
      </c>
      <c r="R1069" s="3" t="str">
        <f t="shared" si="45"/>
        <v/>
      </c>
      <c r="S1069" s="4">
        <f t="shared" si="35"/>
        <v>1048507</v>
      </c>
      <c r="T10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0" spans="1:20" hidden="1" x14ac:dyDescent="0.25">
      <c r="A1070" t="s">
        <v>106</v>
      </c>
      <c r="B1070" s="28" t="s">
        <v>54</v>
      </c>
      <c r="C1070" t="s">
        <v>20</v>
      </c>
      <c r="D1070" s="71" t="str">
        <f>_xlfn.XLOOKUP(Table1[[#This Row],[Player]]&amp;Table1[[#This Row],[Week]]&amp;Table1[[#This Row],[Role]],'Google Form Transform'!$A:$A,'Google Form Transform'!E:E,"")</f>
        <v/>
      </c>
      <c r="E1070" t="str">
        <f>_xlfn.XLOOKUP(Table1[[#This Row],[Player]]&amp;Table1[[#This Row],[Week]]&amp;Table1[[#This Row],[Role]],'Google Form Transform'!$A:$A,'Google Form Transform'!F:F,"")</f>
        <v/>
      </c>
      <c r="F1070" t="str">
        <f>_xlfn.XLOOKUP(Table1[[#This Row],[Player]]&amp;Table1[[#This Row],[Week]]&amp;Table1[[#This Row],[Role]],'Google Form Transform'!$A:$A,'Google Form Transform'!G:G,"")</f>
        <v/>
      </c>
      <c r="G1070" s="59">
        <f>SUMIFS(Table2[Stat],Table2[Stat Category],"passing",Table2[Stat Type],"YDS",Table2[Athlete],Table1[[#This Row],[Pick]],Table2[Week],Table1[[#This Row],[Week]])</f>
        <v>0</v>
      </c>
      <c r="H1070" s="59">
        <f>SUMIFS(Table2[Stat],Table2[Stat Category],"rushing",Table2[Stat Type],"YDS",Table2[Athlete],Table1[[#This Row],[Pick]],Table2[Week],Table1[[#This Row],[Week]])</f>
        <v>0</v>
      </c>
      <c r="I1070" s="59">
        <f>SUMIFS(Table2[Stat],Table2[Stat Category],"receiving",Table2[Stat Type],"YDS",Table2[Athlete],Table1[[#This Row],[Pick]],Table2[Week],Table1[[#This Row],[Week]])</f>
        <v>0</v>
      </c>
      <c r="J1070" s="6">
        <f>IF(AND($C1070="Rushing", $H1070&lt;=0), 0, IF(AND($C1070="Passing", $G$3&lt;=0), 0,IF(AND($C1070="Receiving",$I1070&lt;=0), 0,SUMIFS(Table2[Stat],Table2[Week],Table1[[#This Row],[Week]],Table2[Athlete],Table1[[#This Row],[Pick]],Table2[Stat Category],"passing",Table2[Stat Type],"TD"))))</f>
        <v>0</v>
      </c>
      <c r="K1070" s="6">
        <f>IF(AND($C1070="Rushing", $H1070&lt;=0), 0, IF(AND($C1070="Passing", $G$3&lt;=0), 0,IF(AND($C1070="Receiving",$I1070&lt;=0),0,SUMIFS(Table2[Stat],Table2[Week],Table1[[#This Row],[Week]],Table2[Athlete],Table1[[#This Row],[Pick]],Table2[Stat Category],"rushing",Table2[Stat Type],"TD"))))</f>
        <v>0</v>
      </c>
      <c r="L1070" s="6">
        <f>IF(AND($C1070="Rushing", $H1070&lt;=0), 0, IF(AND($C1070="Passing", $G$3&lt;=0), 0,IF(AND($C1070="Receiving",$I1070&lt;=0),0,SUMIFS(Table2[Stat],Table2[Week],Table1[[#This Row],[Week]],Table2[Athlete],Table1[[#This Row],[Pick]],Table2[Stat Category],"receiving",Table2[Stat Type],"TD"))))</f>
        <v>0</v>
      </c>
      <c r="M10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0" s="61">
        <f>SUMIFS(Data!$J:$J,Data!$A:$A,Info!$B1070,Data!$G:$G,Info!$C1070,Data!$I:$I,Info!$D1070,Data!$H:$H,"TOT")</f>
        <v>0</v>
      </c>
      <c r="O1070" s="61">
        <f>IF(C1070="Defensive",SUMIFS(Data!$J:$J,Data!$A:$A,Info!$B1070,Data!$I:$I,Info!$D1070,Data!$H:$H,"INT"),0)</f>
        <v>0</v>
      </c>
      <c r="P1070" s="61">
        <f>IF(Table1[[#This Row],[Role]]="Defensive",SUMIFS(Data!$J:$J,Data!$A:$A,Info!$B1070,Data!$I:$I,Info!$D1070,Data!$H:$H,$P$1),0)</f>
        <v>0</v>
      </c>
      <c r="Q1070" s="72" t="str">
        <f>IF(Table1[[#This Row],[Pick]]="","",IF(S1070&gt;1,400,IF(G1070="","",IF(C1070="Passing",(400-Table1[[#This Row],[Passing Yards]]-(30*Table1[[#This Row],[Passing TDs]])-(50*SUM(Table1[[#This Row],[Rushing TDs]:[Other TD''s]]))),IF(C1070="Rushing",2*(200-Table1[[#This Row],[Rushing Yards]]-(30*Table1[[#This Row],[Passing TDs]])-50*(Table1[[#This Row],[Rushing TDs]]+Table1[[#This Row],[Receiving TDs]]+Table1[[#This Row],[Other TD''s]])),IF(C1070="Receiving",2*(200-Table1[[#This Row],[Receiving Yards]]-(30*Table1[[#This Row],[Passing TDs]])-50*(Table1[[#This Row],[Rushing TDs]]+Table1[[#This Row],[Receiving TDs]]+Table1[[#This Row],[Other TD''s]])),IF(C1070="Defensive",(25*(16-Table1[[#This Row],[Tackles]]-(8*(Table1[[#This Row],[Other TD''s]]+Table1[[#This Row],[Interceptions]]+Table1[[#This Row],[Fumbles Recovered]])))))))))))</f>
        <v/>
      </c>
      <c r="R1070" s="3" t="str">
        <f t="shared" si="45"/>
        <v/>
      </c>
      <c r="S1070" s="4">
        <f t="shared" si="35"/>
        <v>1048507</v>
      </c>
      <c r="T10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1" spans="1:20" hidden="1" x14ac:dyDescent="0.25">
      <c r="A1071" t="s">
        <v>106</v>
      </c>
      <c r="B1071" s="28" t="s">
        <v>15</v>
      </c>
      <c r="C1071" t="s">
        <v>16</v>
      </c>
      <c r="D1071" s="71" t="str">
        <f>_xlfn.XLOOKUP(Table1[[#This Row],[Player]]&amp;Table1[[#This Row],[Week]]&amp;Table1[[#This Row],[Role]],'Google Form Transform'!$A:$A,'Google Form Transform'!E:E,"")</f>
        <v/>
      </c>
      <c r="E1071" t="str">
        <f>_xlfn.XLOOKUP(Table1[[#This Row],[Player]]&amp;Table1[[#This Row],[Week]]&amp;Table1[[#This Row],[Role]],'Google Form Transform'!$A:$A,'Google Form Transform'!F:F,"")</f>
        <v/>
      </c>
      <c r="F1071" t="str">
        <f>_xlfn.XLOOKUP(Table1[[#This Row],[Player]]&amp;Table1[[#This Row],[Week]]&amp;Table1[[#This Row],[Role]],'Google Form Transform'!$A:$A,'Google Form Transform'!G:G,"")</f>
        <v/>
      </c>
      <c r="G1071" s="59">
        <f>SUMIFS(Table2[Stat],Table2[Stat Category],"passing",Table2[Stat Type],"YDS",Table2[Athlete],Table1[[#This Row],[Pick]],Table2[Week],Table1[[#This Row],[Week]])</f>
        <v>0</v>
      </c>
      <c r="H1071" s="59">
        <f>SUMIFS(Table2[Stat],Table2[Stat Category],"rushing",Table2[Stat Type],"YDS",Table2[Athlete],Table1[[#This Row],[Pick]],Table2[Week],Table1[[#This Row],[Week]])</f>
        <v>0</v>
      </c>
      <c r="I1071" s="59">
        <f>SUMIFS(Table2[Stat],Table2[Stat Category],"receiving",Table2[Stat Type],"YDS",Table2[Athlete],Table1[[#This Row],[Pick]],Table2[Week],Table1[[#This Row],[Week]])</f>
        <v>0</v>
      </c>
      <c r="J1071" s="6">
        <f>IF(AND($C1071="Rushing", $H1071&lt;=0), 0, IF(AND($C1071="Passing", $G$3&lt;=0), 0,IF(AND($C1071="Receiving",$I1071&lt;=0), 0,SUMIFS(Table2[Stat],Table2[Week],Table1[[#This Row],[Week]],Table2[Athlete],Table1[[#This Row],[Pick]],Table2[Stat Category],"passing",Table2[Stat Type],"TD"))))</f>
        <v>0</v>
      </c>
      <c r="K1071" s="6">
        <f>IF(AND($C1071="Rushing", $H1071&lt;=0), 0, IF(AND($C1071="Passing", $G$3&lt;=0), 0,IF(AND($C1071="Receiving",$I1071&lt;=0),0,SUMIFS(Table2[Stat],Table2[Week],Table1[[#This Row],[Week]],Table2[Athlete],Table1[[#This Row],[Pick]],Table2[Stat Category],"rushing",Table2[Stat Type],"TD"))))</f>
        <v>0</v>
      </c>
      <c r="L1071" s="6">
        <f>IF(AND($C1071="Rushing", $H1071&lt;=0), 0, IF(AND($C1071="Passing", $G$3&lt;=0), 0,IF(AND($C1071="Receiving",$I1071&lt;=0),0,SUMIFS(Table2[Stat],Table2[Week],Table1[[#This Row],[Week]],Table2[Athlete],Table1[[#This Row],[Pick]],Table2[Stat Category],"receiving",Table2[Stat Type],"TD"))))</f>
        <v>0</v>
      </c>
      <c r="M10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1" s="61">
        <f>SUMIFS(Data!$J:$J,Data!$A:$A,Info!$B1071,Data!$G:$G,Info!$C1071,Data!$I:$I,Info!$D1071,Data!$H:$H,"TOT")</f>
        <v>0</v>
      </c>
      <c r="O1071" s="61">
        <f>IF(C1071="Defensive",SUMIFS(Data!$J:$J,Data!$A:$A,Info!$B1071,Data!$I:$I,Info!$D1071,Data!$H:$H,"INT"),0)</f>
        <v>0</v>
      </c>
      <c r="P1071" s="61">
        <f>IF(Table1[[#This Row],[Role]]="Defensive",SUMIFS(Data!$J:$J,Data!$A:$A,Info!$B1071,Data!$I:$I,Info!$D1071,Data!$H:$H,$P$1),0)</f>
        <v>0</v>
      </c>
      <c r="Q1071" s="72" t="str">
        <f>IF(Table1[[#This Row],[Pick]]="","",IF(S1071&gt;1,400,IF(G1071="","",IF(C1071="Passing",(400-Table1[[#This Row],[Passing Yards]]-(30*Table1[[#This Row],[Passing TDs]])-(50*SUM(Table1[[#This Row],[Rushing TDs]:[Other TD''s]]))),IF(C1071="Rushing",2*(200-Table1[[#This Row],[Rushing Yards]]-(30*Table1[[#This Row],[Passing TDs]])-50*(Table1[[#This Row],[Rushing TDs]]+Table1[[#This Row],[Receiving TDs]]+Table1[[#This Row],[Other TD''s]])),IF(C1071="Receiving",2*(200-Table1[[#This Row],[Receiving Yards]]-(30*Table1[[#This Row],[Passing TDs]])-50*(Table1[[#This Row],[Rushing TDs]]+Table1[[#This Row],[Receiving TDs]]+Table1[[#This Row],[Other TD''s]])),IF(C1071="Defensive",(25*(16-Table1[[#This Row],[Tackles]]-(8*(Table1[[#This Row],[Other TD''s]]+Table1[[#This Row],[Interceptions]]+Table1[[#This Row],[Fumbles Recovered]])))))))))))</f>
        <v/>
      </c>
      <c r="R1071" s="3" t="str">
        <f t="shared" ref="R1071:R1074" si="46">IF(D1071="","",A1071&amp;C1071&amp;D1071)</f>
        <v/>
      </c>
      <c r="S1071" s="4">
        <f t="shared" si="35"/>
        <v>1048507</v>
      </c>
      <c r="T10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2" spans="1:20" hidden="1" x14ac:dyDescent="0.25">
      <c r="A1072" t="s">
        <v>106</v>
      </c>
      <c r="B1072" s="28" t="s">
        <v>15</v>
      </c>
      <c r="C1072" t="s">
        <v>6</v>
      </c>
      <c r="D1072" s="71" t="str">
        <f>_xlfn.XLOOKUP(Table1[[#This Row],[Player]]&amp;Table1[[#This Row],[Week]]&amp;Table1[[#This Row],[Role]],'Google Form Transform'!$A:$A,'Google Form Transform'!E:E,"")</f>
        <v/>
      </c>
      <c r="E1072" t="str">
        <f>_xlfn.XLOOKUP(Table1[[#This Row],[Player]]&amp;Table1[[#This Row],[Week]]&amp;Table1[[#This Row],[Role]],'Google Form Transform'!$A:$A,'Google Form Transform'!F:F,"")</f>
        <v/>
      </c>
      <c r="F1072" t="str">
        <f>_xlfn.XLOOKUP(Table1[[#This Row],[Player]]&amp;Table1[[#This Row],[Week]]&amp;Table1[[#This Row],[Role]],'Google Form Transform'!$A:$A,'Google Form Transform'!G:G,"")</f>
        <v/>
      </c>
      <c r="G1072" s="59">
        <f>SUMIFS(Table2[Stat],Table2[Stat Category],"passing",Table2[Stat Type],"YDS",Table2[Athlete],Table1[[#This Row],[Pick]],Table2[Week],Table1[[#This Row],[Week]])</f>
        <v>0</v>
      </c>
      <c r="H1072" s="59">
        <f>SUMIFS(Table2[Stat],Table2[Stat Category],"rushing",Table2[Stat Type],"YDS",Table2[Athlete],Table1[[#This Row],[Pick]],Table2[Week],Table1[[#This Row],[Week]])</f>
        <v>0</v>
      </c>
      <c r="I1072" s="59">
        <f>SUMIFS(Table2[Stat],Table2[Stat Category],"receiving",Table2[Stat Type],"YDS",Table2[Athlete],Table1[[#This Row],[Pick]],Table2[Week],Table1[[#This Row],[Week]])</f>
        <v>0</v>
      </c>
      <c r="J1072" s="6">
        <f>IF(AND($C1072="Rushing", $H1072&lt;=0), 0, IF(AND($C1072="Passing", $G$3&lt;=0), 0,IF(AND($C1072="Receiving",$I1072&lt;=0), 0,SUMIFS(Table2[Stat],Table2[Week],Table1[[#This Row],[Week]],Table2[Athlete],Table1[[#This Row],[Pick]],Table2[Stat Category],"passing",Table2[Stat Type],"TD"))))</f>
        <v>0</v>
      </c>
      <c r="K1072" s="6">
        <f>IF(AND($C1072="Rushing", $H1072&lt;=0), 0, IF(AND($C1072="Passing", $G$3&lt;=0), 0,IF(AND($C1072="Receiving",$I1072&lt;=0),0,SUMIFS(Table2[Stat],Table2[Week],Table1[[#This Row],[Week]],Table2[Athlete],Table1[[#This Row],[Pick]],Table2[Stat Category],"rushing",Table2[Stat Type],"TD"))))</f>
        <v>0</v>
      </c>
      <c r="L1072" s="6">
        <f>IF(AND($C1072="Rushing", $H1072&lt;=0), 0, IF(AND($C1072="Passing", $G$3&lt;=0), 0,IF(AND($C1072="Receiving",$I1072&lt;=0),0,SUMIFS(Table2[Stat],Table2[Week],Table1[[#This Row],[Week]],Table2[Athlete],Table1[[#This Row],[Pick]],Table2[Stat Category],"receiving",Table2[Stat Type],"TD"))))</f>
        <v>0</v>
      </c>
      <c r="M10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2" s="61">
        <f>SUMIFS(Data!$J:$J,Data!$A:$A,Info!$B1072,Data!$G:$G,Info!$C1072,Data!$I:$I,Info!$D1072,Data!$H:$H,"TOT")</f>
        <v>0</v>
      </c>
      <c r="O1072" s="61">
        <f>IF(C1072="Defensive",SUMIFS(Data!$J:$J,Data!$A:$A,Info!$B1072,Data!$I:$I,Info!$D1072,Data!$H:$H,"INT"),0)</f>
        <v>0</v>
      </c>
      <c r="P1072" s="61">
        <f>IF(Table1[[#This Row],[Role]]="Defensive",SUMIFS(Data!$J:$J,Data!$A:$A,Info!$B1072,Data!$I:$I,Info!$D1072,Data!$H:$H,$P$1),0)</f>
        <v>0</v>
      </c>
      <c r="Q1072" s="72" t="str">
        <f>IF(Table1[[#This Row],[Pick]]="","",IF(S1072&gt;1,400,IF(G1072="","",IF(C1072="Passing",(400-Table1[[#This Row],[Passing Yards]]-(30*Table1[[#This Row],[Passing TDs]])-(50*SUM(Table1[[#This Row],[Rushing TDs]:[Other TD''s]]))),IF(C1072="Rushing",2*(200-Table1[[#This Row],[Rushing Yards]]-(30*Table1[[#This Row],[Passing TDs]])-50*(Table1[[#This Row],[Rushing TDs]]+Table1[[#This Row],[Receiving TDs]]+Table1[[#This Row],[Other TD''s]])),IF(C1072="Receiving",2*(200-Table1[[#This Row],[Receiving Yards]]-(30*Table1[[#This Row],[Passing TDs]])-50*(Table1[[#This Row],[Rushing TDs]]+Table1[[#This Row],[Receiving TDs]]+Table1[[#This Row],[Other TD''s]])),IF(C1072="Defensive",(25*(16-Table1[[#This Row],[Tackles]]-(8*(Table1[[#This Row],[Other TD''s]]+Table1[[#This Row],[Interceptions]]+Table1[[#This Row],[Fumbles Recovered]])))))))))))</f>
        <v/>
      </c>
      <c r="R1072" s="3" t="str">
        <f t="shared" si="46"/>
        <v/>
      </c>
      <c r="S1072" s="4">
        <f t="shared" si="35"/>
        <v>1048507</v>
      </c>
      <c r="T10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3" spans="1:20" hidden="1" x14ac:dyDescent="0.25">
      <c r="A1073" t="s">
        <v>106</v>
      </c>
      <c r="B1073" s="28" t="s">
        <v>15</v>
      </c>
      <c r="C1073" t="s">
        <v>17</v>
      </c>
      <c r="D1073" s="71" t="str">
        <f>_xlfn.XLOOKUP(Table1[[#This Row],[Player]]&amp;Table1[[#This Row],[Week]]&amp;Table1[[#This Row],[Role]],'Google Form Transform'!$A:$A,'Google Form Transform'!E:E,"")</f>
        <v/>
      </c>
      <c r="E1073" t="str">
        <f>_xlfn.XLOOKUP(Table1[[#This Row],[Player]]&amp;Table1[[#This Row],[Week]]&amp;Table1[[#This Row],[Role]],'Google Form Transform'!$A:$A,'Google Form Transform'!F:F,"")</f>
        <v/>
      </c>
      <c r="F1073" t="str">
        <f>_xlfn.XLOOKUP(Table1[[#This Row],[Player]]&amp;Table1[[#This Row],[Week]]&amp;Table1[[#This Row],[Role]],'Google Form Transform'!$A:$A,'Google Form Transform'!G:G,"")</f>
        <v/>
      </c>
      <c r="G1073" s="59">
        <f>SUMIFS(Table2[Stat],Table2[Stat Category],"passing",Table2[Stat Type],"YDS",Table2[Athlete],Table1[[#This Row],[Pick]],Table2[Week],Table1[[#This Row],[Week]])</f>
        <v>0</v>
      </c>
      <c r="H1073" s="59">
        <f>SUMIFS(Table2[Stat],Table2[Stat Category],"rushing",Table2[Stat Type],"YDS",Table2[Athlete],Table1[[#This Row],[Pick]],Table2[Week],Table1[[#This Row],[Week]])</f>
        <v>0</v>
      </c>
      <c r="I1073" s="59">
        <f>SUMIFS(Table2[Stat],Table2[Stat Category],"receiving",Table2[Stat Type],"YDS",Table2[Athlete],Table1[[#This Row],[Pick]],Table2[Week],Table1[[#This Row],[Week]])</f>
        <v>0</v>
      </c>
      <c r="J1073" s="6">
        <f>IF(AND($C1073="Rushing", $H1073&lt;=0), 0, IF(AND($C1073="Passing", $G$3&lt;=0), 0,IF(AND($C1073="Receiving",$I1073&lt;=0), 0,SUMIFS(Table2[Stat],Table2[Week],Table1[[#This Row],[Week]],Table2[Athlete],Table1[[#This Row],[Pick]],Table2[Stat Category],"passing",Table2[Stat Type],"TD"))))</f>
        <v>0</v>
      </c>
      <c r="K1073" s="6">
        <f>IF(AND($C1073="Rushing", $H1073&lt;=0), 0, IF(AND($C1073="Passing", $G$3&lt;=0), 0,IF(AND($C1073="Receiving",$I1073&lt;=0),0,SUMIFS(Table2[Stat],Table2[Week],Table1[[#This Row],[Week]],Table2[Athlete],Table1[[#This Row],[Pick]],Table2[Stat Category],"rushing",Table2[Stat Type],"TD"))))</f>
        <v>0</v>
      </c>
      <c r="L1073" s="6">
        <f>IF(AND($C1073="Rushing", $H1073&lt;=0), 0, IF(AND($C1073="Passing", $G$3&lt;=0), 0,IF(AND($C1073="Receiving",$I1073&lt;=0),0,SUMIFS(Table2[Stat],Table2[Week],Table1[[#This Row],[Week]],Table2[Athlete],Table1[[#This Row],[Pick]],Table2[Stat Category],"receiving",Table2[Stat Type],"TD"))))</f>
        <v>0</v>
      </c>
      <c r="M10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3" s="61">
        <f>SUMIFS(Data!$J:$J,Data!$A:$A,Info!$B1073,Data!$G:$G,Info!$C1073,Data!$I:$I,Info!$D1073,Data!$H:$H,"TOT")</f>
        <v>0</v>
      </c>
      <c r="O1073" s="61">
        <f>IF(C1073="Defensive",SUMIFS(Data!$J:$J,Data!$A:$A,Info!$B1073,Data!$I:$I,Info!$D1073,Data!$H:$H,"INT"),0)</f>
        <v>0</v>
      </c>
      <c r="P1073" s="61">
        <f>IF(Table1[[#This Row],[Role]]="Defensive",SUMIFS(Data!$J:$J,Data!$A:$A,Info!$B1073,Data!$I:$I,Info!$D1073,Data!$H:$H,$P$1),0)</f>
        <v>0</v>
      </c>
      <c r="Q1073" s="72" t="str">
        <f>IF(Table1[[#This Row],[Pick]]="","",IF(S1073&gt;1,400,IF(G1073="","",IF(C1073="Passing",(400-Table1[[#This Row],[Passing Yards]]-(30*Table1[[#This Row],[Passing TDs]])-(50*SUM(Table1[[#This Row],[Rushing TDs]:[Other TD''s]]))),IF(C1073="Rushing",2*(200-Table1[[#This Row],[Rushing Yards]]-(30*Table1[[#This Row],[Passing TDs]])-50*(Table1[[#This Row],[Rushing TDs]]+Table1[[#This Row],[Receiving TDs]]+Table1[[#This Row],[Other TD''s]])),IF(C1073="Receiving",2*(200-Table1[[#This Row],[Receiving Yards]]-(30*Table1[[#This Row],[Passing TDs]])-50*(Table1[[#This Row],[Rushing TDs]]+Table1[[#This Row],[Receiving TDs]]+Table1[[#This Row],[Other TD''s]])),IF(C1073="Defensive",(25*(16-Table1[[#This Row],[Tackles]]-(8*(Table1[[#This Row],[Other TD''s]]+Table1[[#This Row],[Interceptions]]+Table1[[#This Row],[Fumbles Recovered]])))))))))))</f>
        <v/>
      </c>
      <c r="R1073" s="3" t="str">
        <f t="shared" si="46"/>
        <v/>
      </c>
      <c r="S1073" s="4">
        <f t="shared" si="35"/>
        <v>1048507</v>
      </c>
      <c r="T10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4" spans="1:20" hidden="1" x14ac:dyDescent="0.25">
      <c r="A1074" t="s">
        <v>106</v>
      </c>
      <c r="B1074" s="28" t="s">
        <v>15</v>
      </c>
      <c r="C1074" t="s">
        <v>20</v>
      </c>
      <c r="D1074" s="71" t="str">
        <f>_xlfn.XLOOKUP(Table1[[#This Row],[Player]]&amp;Table1[[#This Row],[Week]]&amp;Table1[[#This Row],[Role]],'Google Form Transform'!$A:$A,'Google Form Transform'!E:E,"")</f>
        <v/>
      </c>
      <c r="E1074" t="str">
        <f>_xlfn.XLOOKUP(Table1[[#This Row],[Player]]&amp;Table1[[#This Row],[Week]]&amp;Table1[[#This Row],[Role]],'Google Form Transform'!$A:$A,'Google Form Transform'!F:F,"")</f>
        <v/>
      </c>
      <c r="F1074" t="str">
        <f>_xlfn.XLOOKUP(Table1[[#This Row],[Player]]&amp;Table1[[#This Row],[Week]]&amp;Table1[[#This Row],[Role]],'Google Form Transform'!$A:$A,'Google Form Transform'!G:G,"")</f>
        <v/>
      </c>
      <c r="G1074" s="59">
        <f>SUMIFS(Table2[Stat],Table2[Stat Category],"passing",Table2[Stat Type],"YDS",Table2[Athlete],Table1[[#This Row],[Pick]],Table2[Week],Table1[[#This Row],[Week]])</f>
        <v>0</v>
      </c>
      <c r="H1074" s="59">
        <f>SUMIFS(Table2[Stat],Table2[Stat Category],"rushing",Table2[Stat Type],"YDS",Table2[Athlete],Table1[[#This Row],[Pick]],Table2[Week],Table1[[#This Row],[Week]])</f>
        <v>0</v>
      </c>
      <c r="I1074" s="59">
        <f>SUMIFS(Table2[Stat],Table2[Stat Category],"receiving",Table2[Stat Type],"YDS",Table2[Athlete],Table1[[#This Row],[Pick]],Table2[Week],Table1[[#This Row],[Week]])</f>
        <v>0</v>
      </c>
      <c r="J1074" s="6">
        <f>IF(AND($C1074="Rushing", $H1074&lt;=0), 0, IF(AND($C1074="Passing", $G$3&lt;=0), 0,IF(AND($C1074="Receiving",$I1074&lt;=0), 0,SUMIFS(Table2[Stat],Table2[Week],Table1[[#This Row],[Week]],Table2[Athlete],Table1[[#This Row],[Pick]],Table2[Stat Category],"passing",Table2[Stat Type],"TD"))))</f>
        <v>0</v>
      </c>
      <c r="K1074" s="6">
        <f>IF(AND($C1074="Rushing", $H1074&lt;=0), 0, IF(AND($C1074="Passing", $G$3&lt;=0), 0,IF(AND($C1074="Receiving",$I1074&lt;=0),0,SUMIFS(Table2[Stat],Table2[Week],Table1[[#This Row],[Week]],Table2[Athlete],Table1[[#This Row],[Pick]],Table2[Stat Category],"rushing",Table2[Stat Type],"TD"))))</f>
        <v>0</v>
      </c>
      <c r="L1074" s="6">
        <f>IF(AND($C1074="Rushing", $H1074&lt;=0), 0, IF(AND($C1074="Passing", $G$3&lt;=0), 0,IF(AND($C1074="Receiving",$I1074&lt;=0),0,SUMIFS(Table2[Stat],Table2[Week],Table1[[#This Row],[Week]],Table2[Athlete],Table1[[#This Row],[Pick]],Table2[Stat Category],"receiving",Table2[Stat Type],"TD"))))</f>
        <v>0</v>
      </c>
      <c r="M10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4" s="61">
        <f>SUMIFS(Data!$J:$J,Data!$A:$A,Info!$B1074,Data!$G:$G,Info!$C1074,Data!$I:$I,Info!$D1074,Data!$H:$H,"TOT")</f>
        <v>0</v>
      </c>
      <c r="O1074" s="61">
        <f>IF(C1074="Defensive",SUMIFS(Data!$J:$J,Data!$A:$A,Info!$B1074,Data!$I:$I,Info!$D1074,Data!$H:$H,"INT"),0)</f>
        <v>0</v>
      </c>
      <c r="P1074" s="61">
        <f>IF(Table1[[#This Row],[Role]]="Defensive",SUMIFS(Data!$J:$J,Data!$A:$A,Info!$B1074,Data!$I:$I,Info!$D1074,Data!$H:$H,$P$1),0)</f>
        <v>0</v>
      </c>
      <c r="Q1074" s="72" t="str">
        <f>IF(Table1[[#This Row],[Pick]]="","",IF(S1074&gt;1,400,IF(G1074="","",IF(C1074="Passing",(400-Table1[[#This Row],[Passing Yards]]-(30*Table1[[#This Row],[Passing TDs]])-(50*SUM(Table1[[#This Row],[Rushing TDs]:[Other TD''s]]))),IF(C1074="Rushing",2*(200-Table1[[#This Row],[Rushing Yards]]-(30*Table1[[#This Row],[Passing TDs]])-50*(Table1[[#This Row],[Rushing TDs]]+Table1[[#This Row],[Receiving TDs]]+Table1[[#This Row],[Other TD''s]])),IF(C1074="Receiving",2*(200-Table1[[#This Row],[Receiving Yards]]-(30*Table1[[#This Row],[Passing TDs]])-50*(Table1[[#This Row],[Rushing TDs]]+Table1[[#This Row],[Receiving TDs]]+Table1[[#This Row],[Other TD''s]])),IF(C1074="Defensive",(25*(16-Table1[[#This Row],[Tackles]]-(8*(Table1[[#This Row],[Other TD''s]]+Table1[[#This Row],[Interceptions]]+Table1[[#This Row],[Fumbles Recovered]])))))))))))</f>
        <v/>
      </c>
      <c r="R1074" s="3" t="str">
        <f t="shared" si="46"/>
        <v/>
      </c>
      <c r="S1074" s="4">
        <f t="shared" si="35"/>
        <v>1048507</v>
      </c>
      <c r="T10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5" spans="1:20" hidden="1" x14ac:dyDescent="0.25">
      <c r="A1075" t="s">
        <v>106</v>
      </c>
      <c r="B1075" s="28" t="s">
        <v>55</v>
      </c>
      <c r="C1075" t="s">
        <v>16</v>
      </c>
      <c r="D1075" s="71" t="str">
        <f>_xlfn.XLOOKUP(Table1[[#This Row],[Player]]&amp;Table1[[#This Row],[Week]]&amp;Table1[[#This Row],[Role]],'Google Form Transform'!$A:$A,'Google Form Transform'!E:E,"")</f>
        <v/>
      </c>
      <c r="E1075" t="str">
        <f>_xlfn.XLOOKUP(Table1[[#This Row],[Player]]&amp;Table1[[#This Row],[Week]]&amp;Table1[[#This Row],[Role]],'Google Form Transform'!$A:$A,'Google Form Transform'!F:F,"")</f>
        <v/>
      </c>
      <c r="F1075" t="str">
        <f>_xlfn.XLOOKUP(Table1[[#This Row],[Player]]&amp;Table1[[#This Row],[Week]]&amp;Table1[[#This Row],[Role]],'Google Form Transform'!$A:$A,'Google Form Transform'!G:G,"")</f>
        <v/>
      </c>
      <c r="G1075" s="59">
        <f>SUMIFS(Table2[Stat],Table2[Stat Category],"passing",Table2[Stat Type],"YDS",Table2[Athlete],Table1[[#This Row],[Pick]],Table2[Week],Table1[[#This Row],[Week]])</f>
        <v>0</v>
      </c>
      <c r="H1075" s="59">
        <f>SUMIFS(Table2[Stat],Table2[Stat Category],"rushing",Table2[Stat Type],"YDS",Table2[Athlete],Table1[[#This Row],[Pick]],Table2[Week],Table1[[#This Row],[Week]])</f>
        <v>0</v>
      </c>
      <c r="I1075" s="59">
        <f>SUMIFS(Table2[Stat],Table2[Stat Category],"receiving",Table2[Stat Type],"YDS",Table2[Athlete],Table1[[#This Row],[Pick]],Table2[Week],Table1[[#This Row],[Week]])</f>
        <v>0</v>
      </c>
      <c r="J1075" s="6">
        <f>IF(AND($C1075="Rushing", $H1075&lt;=0), 0, IF(AND($C1075="Passing", $G$3&lt;=0), 0,IF(AND($C1075="Receiving",$I1075&lt;=0), 0,SUMIFS(Table2[Stat],Table2[Week],Table1[[#This Row],[Week]],Table2[Athlete],Table1[[#This Row],[Pick]],Table2[Stat Category],"passing",Table2[Stat Type],"TD"))))</f>
        <v>0</v>
      </c>
      <c r="K1075" s="6">
        <f>IF(AND($C1075="Rushing", $H1075&lt;=0), 0, IF(AND($C1075="Passing", $G$3&lt;=0), 0,IF(AND($C1075="Receiving",$I1075&lt;=0),0,SUMIFS(Table2[Stat],Table2[Week],Table1[[#This Row],[Week]],Table2[Athlete],Table1[[#This Row],[Pick]],Table2[Stat Category],"rushing",Table2[Stat Type],"TD"))))</f>
        <v>0</v>
      </c>
      <c r="L1075" s="6">
        <f>IF(AND($C1075="Rushing", $H1075&lt;=0), 0, IF(AND($C1075="Passing", $G$3&lt;=0), 0,IF(AND($C1075="Receiving",$I1075&lt;=0),0,SUMIFS(Table2[Stat],Table2[Week],Table1[[#This Row],[Week]],Table2[Athlete],Table1[[#This Row],[Pick]],Table2[Stat Category],"receiving",Table2[Stat Type],"TD"))))</f>
        <v>0</v>
      </c>
      <c r="M10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5" s="61">
        <f>SUMIFS(Data!$J:$J,Data!$A:$A,Info!$B1075,Data!$G:$G,Info!$C1075,Data!$I:$I,Info!$D1075,Data!$H:$H,"TOT")</f>
        <v>0</v>
      </c>
      <c r="O1075" s="61">
        <f>IF(C1075="Defensive",SUMIFS(Data!$J:$J,Data!$A:$A,Info!$B1075,Data!$I:$I,Info!$D1075,Data!$H:$H,"INT"),0)</f>
        <v>0</v>
      </c>
      <c r="P1075" s="61">
        <f>IF(Table1[[#This Row],[Role]]="Defensive",SUMIFS(Data!$J:$J,Data!$A:$A,Info!$B1075,Data!$I:$I,Info!$D1075,Data!$H:$H,$P$1),0)</f>
        <v>0</v>
      </c>
      <c r="Q1075" s="72" t="str">
        <f>IF(Table1[[#This Row],[Pick]]="","",IF(S1075&gt;1,400,IF(G1075="","",IF(C1075="Passing",(400-Table1[[#This Row],[Passing Yards]]-(30*Table1[[#This Row],[Passing TDs]])-(50*SUM(Table1[[#This Row],[Rushing TDs]:[Other TD''s]]))),IF(C1075="Rushing",2*(200-Table1[[#This Row],[Rushing Yards]]-(30*Table1[[#This Row],[Passing TDs]])-50*(Table1[[#This Row],[Rushing TDs]]+Table1[[#This Row],[Receiving TDs]]+Table1[[#This Row],[Other TD''s]])),IF(C1075="Receiving",2*(200-Table1[[#This Row],[Receiving Yards]]-(30*Table1[[#This Row],[Passing TDs]])-50*(Table1[[#This Row],[Rushing TDs]]+Table1[[#This Row],[Receiving TDs]]+Table1[[#This Row],[Other TD''s]])),IF(C1075="Defensive",(25*(16-Table1[[#This Row],[Tackles]]-(8*(Table1[[#This Row],[Other TD''s]]+Table1[[#This Row],[Interceptions]]+Table1[[#This Row],[Fumbles Recovered]])))))))))))</f>
        <v/>
      </c>
      <c r="R1075" s="3" t="str">
        <f t="shared" ref="R1075:R1078" si="47">IF(D1075="","",A1075&amp;C1075&amp;D1075)</f>
        <v/>
      </c>
      <c r="S1075" s="4">
        <f t="shared" si="35"/>
        <v>1048507</v>
      </c>
      <c r="T10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6" spans="1:20" hidden="1" x14ac:dyDescent="0.25">
      <c r="A1076" t="s">
        <v>106</v>
      </c>
      <c r="B1076" s="28" t="s">
        <v>55</v>
      </c>
      <c r="C1076" t="s">
        <v>6</v>
      </c>
      <c r="D1076" s="71" t="str">
        <f>_xlfn.XLOOKUP(Table1[[#This Row],[Player]]&amp;Table1[[#This Row],[Week]]&amp;Table1[[#This Row],[Role]],'Google Form Transform'!$A:$A,'Google Form Transform'!E:E,"")</f>
        <v/>
      </c>
      <c r="E1076" t="str">
        <f>_xlfn.XLOOKUP(Table1[[#This Row],[Player]]&amp;Table1[[#This Row],[Week]]&amp;Table1[[#This Row],[Role]],'Google Form Transform'!$A:$A,'Google Form Transform'!F:F,"")</f>
        <v/>
      </c>
      <c r="F1076" t="str">
        <f>_xlfn.XLOOKUP(Table1[[#This Row],[Player]]&amp;Table1[[#This Row],[Week]]&amp;Table1[[#This Row],[Role]],'Google Form Transform'!$A:$A,'Google Form Transform'!G:G,"")</f>
        <v/>
      </c>
      <c r="G1076" s="59">
        <f>SUMIFS(Table2[Stat],Table2[Stat Category],"passing",Table2[Stat Type],"YDS",Table2[Athlete],Table1[[#This Row],[Pick]],Table2[Week],Table1[[#This Row],[Week]])</f>
        <v>0</v>
      </c>
      <c r="H1076" s="59">
        <f>SUMIFS(Table2[Stat],Table2[Stat Category],"rushing",Table2[Stat Type],"YDS",Table2[Athlete],Table1[[#This Row],[Pick]],Table2[Week],Table1[[#This Row],[Week]])</f>
        <v>0</v>
      </c>
      <c r="I1076" s="59">
        <f>SUMIFS(Table2[Stat],Table2[Stat Category],"receiving",Table2[Stat Type],"YDS",Table2[Athlete],Table1[[#This Row],[Pick]],Table2[Week],Table1[[#This Row],[Week]])</f>
        <v>0</v>
      </c>
      <c r="J1076" s="6">
        <f>IF(AND($C1076="Rushing", $H1076&lt;=0), 0, IF(AND($C1076="Passing", $G$3&lt;=0), 0,IF(AND($C1076="Receiving",$I1076&lt;=0), 0,SUMIFS(Table2[Stat],Table2[Week],Table1[[#This Row],[Week]],Table2[Athlete],Table1[[#This Row],[Pick]],Table2[Stat Category],"passing",Table2[Stat Type],"TD"))))</f>
        <v>0</v>
      </c>
      <c r="K1076" s="6">
        <f>IF(AND($C1076="Rushing", $H1076&lt;=0), 0, IF(AND($C1076="Passing", $G$3&lt;=0), 0,IF(AND($C1076="Receiving",$I1076&lt;=0),0,SUMIFS(Table2[Stat],Table2[Week],Table1[[#This Row],[Week]],Table2[Athlete],Table1[[#This Row],[Pick]],Table2[Stat Category],"rushing",Table2[Stat Type],"TD"))))</f>
        <v>0</v>
      </c>
      <c r="L1076" s="6">
        <f>IF(AND($C1076="Rushing", $H1076&lt;=0), 0, IF(AND($C1076="Passing", $G$3&lt;=0), 0,IF(AND($C1076="Receiving",$I1076&lt;=0),0,SUMIFS(Table2[Stat],Table2[Week],Table1[[#This Row],[Week]],Table2[Athlete],Table1[[#This Row],[Pick]],Table2[Stat Category],"receiving",Table2[Stat Type],"TD"))))</f>
        <v>0</v>
      </c>
      <c r="M10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6" s="61">
        <f>SUMIFS(Data!$J:$J,Data!$A:$A,Info!$B1076,Data!$G:$G,Info!$C1076,Data!$I:$I,Info!$D1076,Data!$H:$H,"TOT")</f>
        <v>0</v>
      </c>
      <c r="O1076" s="61">
        <f>IF(C1076="Defensive",SUMIFS(Data!$J:$J,Data!$A:$A,Info!$B1076,Data!$I:$I,Info!$D1076,Data!$H:$H,"INT"),0)</f>
        <v>0</v>
      </c>
      <c r="P1076" s="61">
        <f>IF(Table1[[#This Row],[Role]]="Defensive",SUMIFS(Data!$J:$J,Data!$A:$A,Info!$B1076,Data!$I:$I,Info!$D1076,Data!$H:$H,$P$1),0)</f>
        <v>0</v>
      </c>
      <c r="Q1076" s="72" t="str">
        <f>IF(Table1[[#This Row],[Pick]]="","",IF(S1076&gt;1,400,IF(G1076="","",IF(C1076="Passing",(400-Table1[[#This Row],[Passing Yards]]-(30*Table1[[#This Row],[Passing TDs]])-(50*SUM(Table1[[#This Row],[Rushing TDs]:[Other TD''s]]))),IF(C1076="Rushing",2*(200-Table1[[#This Row],[Rushing Yards]]-(30*Table1[[#This Row],[Passing TDs]])-50*(Table1[[#This Row],[Rushing TDs]]+Table1[[#This Row],[Receiving TDs]]+Table1[[#This Row],[Other TD''s]])),IF(C1076="Receiving",2*(200-Table1[[#This Row],[Receiving Yards]]-(30*Table1[[#This Row],[Passing TDs]])-50*(Table1[[#This Row],[Rushing TDs]]+Table1[[#This Row],[Receiving TDs]]+Table1[[#This Row],[Other TD''s]])),IF(C1076="Defensive",(25*(16-Table1[[#This Row],[Tackles]]-(8*(Table1[[#This Row],[Other TD''s]]+Table1[[#This Row],[Interceptions]]+Table1[[#This Row],[Fumbles Recovered]])))))))))))</f>
        <v/>
      </c>
      <c r="R1076" s="3" t="str">
        <f t="shared" si="47"/>
        <v/>
      </c>
      <c r="S1076" s="4">
        <f t="shared" si="35"/>
        <v>1048507</v>
      </c>
      <c r="T10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7" spans="1:20" hidden="1" x14ac:dyDescent="0.25">
      <c r="A1077" t="s">
        <v>106</v>
      </c>
      <c r="B1077" s="28" t="s">
        <v>55</v>
      </c>
      <c r="C1077" t="s">
        <v>17</v>
      </c>
      <c r="D1077" s="71" t="str">
        <f>_xlfn.XLOOKUP(Table1[[#This Row],[Player]]&amp;Table1[[#This Row],[Week]]&amp;Table1[[#This Row],[Role]],'Google Form Transform'!$A:$A,'Google Form Transform'!E:E,"")</f>
        <v/>
      </c>
      <c r="E1077" t="str">
        <f>_xlfn.XLOOKUP(Table1[[#This Row],[Player]]&amp;Table1[[#This Row],[Week]]&amp;Table1[[#This Row],[Role]],'Google Form Transform'!$A:$A,'Google Form Transform'!F:F,"")</f>
        <v/>
      </c>
      <c r="F1077" t="str">
        <f>_xlfn.XLOOKUP(Table1[[#This Row],[Player]]&amp;Table1[[#This Row],[Week]]&amp;Table1[[#This Row],[Role]],'Google Form Transform'!$A:$A,'Google Form Transform'!G:G,"")</f>
        <v/>
      </c>
      <c r="G1077" s="59">
        <f>SUMIFS(Table2[Stat],Table2[Stat Category],"passing",Table2[Stat Type],"YDS",Table2[Athlete],Table1[[#This Row],[Pick]],Table2[Week],Table1[[#This Row],[Week]])</f>
        <v>0</v>
      </c>
      <c r="H1077" s="59">
        <f>SUMIFS(Table2[Stat],Table2[Stat Category],"rushing",Table2[Stat Type],"YDS",Table2[Athlete],Table1[[#This Row],[Pick]],Table2[Week],Table1[[#This Row],[Week]])</f>
        <v>0</v>
      </c>
      <c r="I1077" s="59">
        <f>SUMIFS(Table2[Stat],Table2[Stat Category],"receiving",Table2[Stat Type],"YDS",Table2[Athlete],Table1[[#This Row],[Pick]],Table2[Week],Table1[[#This Row],[Week]])</f>
        <v>0</v>
      </c>
      <c r="J1077" s="6">
        <f>IF(AND($C1077="Rushing", $H1077&lt;=0), 0, IF(AND($C1077="Passing", $G$3&lt;=0), 0,IF(AND($C1077="Receiving",$I1077&lt;=0), 0,SUMIFS(Table2[Stat],Table2[Week],Table1[[#This Row],[Week]],Table2[Athlete],Table1[[#This Row],[Pick]],Table2[Stat Category],"passing",Table2[Stat Type],"TD"))))</f>
        <v>0</v>
      </c>
      <c r="K1077" s="6">
        <f>IF(AND($C1077="Rushing", $H1077&lt;=0), 0, IF(AND($C1077="Passing", $G$3&lt;=0), 0,IF(AND($C1077="Receiving",$I1077&lt;=0),0,SUMIFS(Table2[Stat],Table2[Week],Table1[[#This Row],[Week]],Table2[Athlete],Table1[[#This Row],[Pick]],Table2[Stat Category],"rushing",Table2[Stat Type],"TD"))))</f>
        <v>0</v>
      </c>
      <c r="L1077" s="6">
        <f>IF(AND($C1077="Rushing", $H1077&lt;=0), 0, IF(AND($C1077="Passing", $G$3&lt;=0), 0,IF(AND($C1077="Receiving",$I1077&lt;=0),0,SUMIFS(Table2[Stat],Table2[Week],Table1[[#This Row],[Week]],Table2[Athlete],Table1[[#This Row],[Pick]],Table2[Stat Category],"receiving",Table2[Stat Type],"TD"))))</f>
        <v>0</v>
      </c>
      <c r="M10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7" s="61">
        <f>SUMIFS(Data!$J:$J,Data!$A:$A,Info!$B1077,Data!$G:$G,Info!$C1077,Data!$I:$I,Info!$D1077,Data!$H:$H,"TOT")</f>
        <v>0</v>
      </c>
      <c r="O1077" s="61">
        <f>IF(C1077="Defensive",SUMIFS(Data!$J:$J,Data!$A:$A,Info!$B1077,Data!$I:$I,Info!$D1077,Data!$H:$H,"INT"),0)</f>
        <v>0</v>
      </c>
      <c r="P1077" s="61">
        <f>IF(Table1[[#This Row],[Role]]="Defensive",SUMIFS(Data!$J:$J,Data!$A:$A,Info!$B1077,Data!$I:$I,Info!$D1077,Data!$H:$H,$P$1),0)</f>
        <v>0</v>
      </c>
      <c r="Q1077" s="72" t="str">
        <f>IF(Table1[[#This Row],[Pick]]="","",IF(S1077&gt;1,400,IF(G1077="","",IF(C1077="Passing",(400-Table1[[#This Row],[Passing Yards]]-(30*Table1[[#This Row],[Passing TDs]])-(50*SUM(Table1[[#This Row],[Rushing TDs]:[Other TD''s]]))),IF(C1077="Rushing",2*(200-Table1[[#This Row],[Rushing Yards]]-(30*Table1[[#This Row],[Passing TDs]])-50*(Table1[[#This Row],[Rushing TDs]]+Table1[[#This Row],[Receiving TDs]]+Table1[[#This Row],[Other TD''s]])),IF(C1077="Receiving",2*(200-Table1[[#This Row],[Receiving Yards]]-(30*Table1[[#This Row],[Passing TDs]])-50*(Table1[[#This Row],[Rushing TDs]]+Table1[[#This Row],[Receiving TDs]]+Table1[[#This Row],[Other TD''s]])),IF(C1077="Defensive",(25*(16-Table1[[#This Row],[Tackles]]-(8*(Table1[[#This Row],[Other TD''s]]+Table1[[#This Row],[Interceptions]]+Table1[[#This Row],[Fumbles Recovered]])))))))))))</f>
        <v/>
      </c>
      <c r="R1077" s="3" t="str">
        <f t="shared" si="47"/>
        <v/>
      </c>
      <c r="S1077" s="4">
        <f t="shared" si="35"/>
        <v>1048507</v>
      </c>
      <c r="T10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8" spans="1:20" hidden="1" x14ac:dyDescent="0.25">
      <c r="A1078" t="s">
        <v>106</v>
      </c>
      <c r="B1078" s="28" t="s">
        <v>55</v>
      </c>
      <c r="C1078" t="s">
        <v>20</v>
      </c>
      <c r="D1078" s="71" t="str">
        <f>_xlfn.XLOOKUP(Table1[[#This Row],[Player]]&amp;Table1[[#This Row],[Week]]&amp;Table1[[#This Row],[Role]],'Google Form Transform'!$A:$A,'Google Form Transform'!E:E,"")</f>
        <v/>
      </c>
      <c r="E1078" t="str">
        <f>_xlfn.XLOOKUP(Table1[[#This Row],[Player]]&amp;Table1[[#This Row],[Week]]&amp;Table1[[#This Row],[Role]],'Google Form Transform'!$A:$A,'Google Form Transform'!F:F,"")</f>
        <v/>
      </c>
      <c r="F1078" t="str">
        <f>_xlfn.XLOOKUP(Table1[[#This Row],[Player]]&amp;Table1[[#This Row],[Week]]&amp;Table1[[#This Row],[Role]],'Google Form Transform'!$A:$A,'Google Form Transform'!G:G,"")</f>
        <v/>
      </c>
      <c r="G1078" s="59">
        <f>SUMIFS(Table2[Stat],Table2[Stat Category],"passing",Table2[Stat Type],"YDS",Table2[Athlete],Table1[[#This Row],[Pick]],Table2[Week],Table1[[#This Row],[Week]])</f>
        <v>0</v>
      </c>
      <c r="H1078" s="59">
        <f>SUMIFS(Table2[Stat],Table2[Stat Category],"rushing",Table2[Stat Type],"YDS",Table2[Athlete],Table1[[#This Row],[Pick]],Table2[Week],Table1[[#This Row],[Week]])</f>
        <v>0</v>
      </c>
      <c r="I1078" s="59">
        <f>SUMIFS(Table2[Stat],Table2[Stat Category],"receiving",Table2[Stat Type],"YDS",Table2[Athlete],Table1[[#This Row],[Pick]],Table2[Week],Table1[[#This Row],[Week]])</f>
        <v>0</v>
      </c>
      <c r="J1078" s="6">
        <f>IF(AND($C1078="Rushing", $H1078&lt;=0), 0, IF(AND($C1078="Passing", $G$3&lt;=0), 0,IF(AND($C1078="Receiving",$I1078&lt;=0), 0,SUMIFS(Table2[Stat],Table2[Week],Table1[[#This Row],[Week]],Table2[Athlete],Table1[[#This Row],[Pick]],Table2[Stat Category],"passing",Table2[Stat Type],"TD"))))</f>
        <v>0</v>
      </c>
      <c r="K1078" s="6">
        <f>IF(AND($C1078="Rushing", $H1078&lt;=0), 0, IF(AND($C1078="Passing", $G$3&lt;=0), 0,IF(AND($C1078="Receiving",$I1078&lt;=0),0,SUMIFS(Table2[Stat],Table2[Week],Table1[[#This Row],[Week]],Table2[Athlete],Table1[[#This Row],[Pick]],Table2[Stat Category],"rushing",Table2[Stat Type],"TD"))))</f>
        <v>0</v>
      </c>
      <c r="L1078" s="6">
        <f>IF(AND($C1078="Rushing", $H1078&lt;=0), 0, IF(AND($C1078="Passing", $G$3&lt;=0), 0,IF(AND($C1078="Receiving",$I1078&lt;=0),0,SUMIFS(Table2[Stat],Table2[Week],Table1[[#This Row],[Week]],Table2[Athlete],Table1[[#This Row],[Pick]],Table2[Stat Category],"receiving",Table2[Stat Type],"TD"))))</f>
        <v>0</v>
      </c>
      <c r="M10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8" s="61">
        <f>SUMIFS(Data!$J:$J,Data!$A:$A,Info!$B1078,Data!$G:$G,Info!$C1078,Data!$I:$I,Info!$D1078,Data!$H:$H,"TOT")</f>
        <v>0</v>
      </c>
      <c r="O1078" s="61">
        <f>IF(C1078="Defensive",SUMIFS(Data!$J:$J,Data!$A:$A,Info!$B1078,Data!$I:$I,Info!$D1078,Data!$H:$H,"INT"),0)</f>
        <v>0</v>
      </c>
      <c r="P1078" s="61">
        <f>IF(Table1[[#This Row],[Role]]="Defensive",SUMIFS(Data!$J:$J,Data!$A:$A,Info!$B1078,Data!$I:$I,Info!$D1078,Data!$H:$H,$P$1),0)</f>
        <v>0</v>
      </c>
      <c r="Q1078" s="72" t="str">
        <f>IF(Table1[[#This Row],[Pick]]="","",IF(S1078&gt;1,400,IF(G1078="","",IF(C1078="Passing",(400-Table1[[#This Row],[Passing Yards]]-(30*Table1[[#This Row],[Passing TDs]])-(50*SUM(Table1[[#This Row],[Rushing TDs]:[Other TD''s]]))),IF(C1078="Rushing",2*(200-Table1[[#This Row],[Rushing Yards]]-(30*Table1[[#This Row],[Passing TDs]])-50*(Table1[[#This Row],[Rushing TDs]]+Table1[[#This Row],[Receiving TDs]]+Table1[[#This Row],[Other TD''s]])),IF(C1078="Receiving",2*(200-Table1[[#This Row],[Receiving Yards]]-(30*Table1[[#This Row],[Passing TDs]])-50*(Table1[[#This Row],[Rushing TDs]]+Table1[[#This Row],[Receiving TDs]]+Table1[[#This Row],[Other TD''s]])),IF(C1078="Defensive",(25*(16-Table1[[#This Row],[Tackles]]-(8*(Table1[[#This Row],[Other TD''s]]+Table1[[#This Row],[Interceptions]]+Table1[[#This Row],[Fumbles Recovered]])))))))))))</f>
        <v/>
      </c>
      <c r="R1078" s="3" t="str">
        <f t="shared" si="47"/>
        <v/>
      </c>
      <c r="S1078" s="4">
        <f t="shared" si="35"/>
        <v>1048507</v>
      </c>
      <c r="T10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9" spans="1:20" hidden="1" x14ac:dyDescent="0.25">
      <c r="A1079" t="s">
        <v>106</v>
      </c>
      <c r="B1079" s="28" t="s">
        <v>56</v>
      </c>
      <c r="C1079" t="s">
        <v>16</v>
      </c>
      <c r="D1079" s="71" t="str">
        <f>_xlfn.XLOOKUP(Table1[[#This Row],[Player]]&amp;Table1[[#This Row],[Week]]&amp;Table1[[#This Row],[Role]],'Google Form Transform'!$A:$A,'Google Form Transform'!E:E,"")</f>
        <v/>
      </c>
      <c r="E1079" t="str">
        <f>_xlfn.XLOOKUP(Table1[[#This Row],[Player]]&amp;Table1[[#This Row],[Week]]&amp;Table1[[#This Row],[Role]],'Google Form Transform'!$A:$A,'Google Form Transform'!F:F,"")</f>
        <v/>
      </c>
      <c r="F1079" t="str">
        <f>_xlfn.XLOOKUP(Table1[[#This Row],[Player]]&amp;Table1[[#This Row],[Week]]&amp;Table1[[#This Row],[Role]],'Google Form Transform'!$A:$A,'Google Form Transform'!G:G,"")</f>
        <v/>
      </c>
      <c r="G1079" s="59">
        <f>SUMIFS(Table2[Stat],Table2[Stat Category],"passing",Table2[Stat Type],"YDS",Table2[Athlete],Table1[[#This Row],[Pick]],Table2[Week],Table1[[#This Row],[Week]])</f>
        <v>0</v>
      </c>
      <c r="H1079" s="59">
        <f>SUMIFS(Table2[Stat],Table2[Stat Category],"rushing",Table2[Stat Type],"YDS",Table2[Athlete],Table1[[#This Row],[Pick]],Table2[Week],Table1[[#This Row],[Week]])</f>
        <v>0</v>
      </c>
      <c r="I1079" s="59">
        <f>SUMIFS(Table2[Stat],Table2[Stat Category],"receiving",Table2[Stat Type],"YDS",Table2[Athlete],Table1[[#This Row],[Pick]],Table2[Week],Table1[[#This Row],[Week]])</f>
        <v>0</v>
      </c>
      <c r="J1079" s="6">
        <f>IF(AND($C1079="Rushing", $H1079&lt;=0), 0, IF(AND($C1079="Passing", $G$3&lt;=0), 0,IF(AND($C1079="Receiving",$I1079&lt;=0), 0,SUMIFS(Table2[Stat],Table2[Week],Table1[[#This Row],[Week]],Table2[Athlete],Table1[[#This Row],[Pick]],Table2[Stat Category],"passing",Table2[Stat Type],"TD"))))</f>
        <v>0</v>
      </c>
      <c r="K1079" s="6">
        <f>IF(AND($C1079="Rushing", $H1079&lt;=0), 0, IF(AND($C1079="Passing", $G$3&lt;=0), 0,IF(AND($C1079="Receiving",$I1079&lt;=0),0,SUMIFS(Table2[Stat],Table2[Week],Table1[[#This Row],[Week]],Table2[Athlete],Table1[[#This Row],[Pick]],Table2[Stat Category],"rushing",Table2[Stat Type],"TD"))))</f>
        <v>0</v>
      </c>
      <c r="L1079" s="6">
        <f>IF(AND($C1079="Rushing", $H1079&lt;=0), 0, IF(AND($C1079="Passing", $G$3&lt;=0), 0,IF(AND($C1079="Receiving",$I1079&lt;=0),0,SUMIFS(Table2[Stat],Table2[Week],Table1[[#This Row],[Week]],Table2[Athlete],Table1[[#This Row],[Pick]],Table2[Stat Category],"receiving",Table2[Stat Type],"TD"))))</f>
        <v>0</v>
      </c>
      <c r="M10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9" s="61">
        <f>SUMIFS(Data!$J:$J,Data!$A:$A,Info!$B1079,Data!$G:$G,Info!$C1079,Data!$I:$I,Info!$D1079,Data!$H:$H,"TOT")</f>
        <v>0</v>
      </c>
      <c r="O1079" s="61">
        <f>IF(C1079="Defensive",SUMIFS(Data!$J:$J,Data!$A:$A,Info!$B1079,Data!$I:$I,Info!$D1079,Data!$H:$H,"INT"),0)</f>
        <v>0</v>
      </c>
      <c r="P1079" s="61">
        <f>IF(Table1[[#This Row],[Role]]="Defensive",SUMIFS(Data!$J:$J,Data!$A:$A,Info!$B1079,Data!$I:$I,Info!$D1079,Data!$H:$H,$P$1),0)</f>
        <v>0</v>
      </c>
      <c r="Q1079" s="72" t="str">
        <f>IF(Table1[[#This Row],[Pick]]="","",IF(S1079&gt;1,400,IF(G1079="","",IF(C1079="Passing",(400-Table1[[#This Row],[Passing Yards]]-(30*Table1[[#This Row],[Passing TDs]])-(50*SUM(Table1[[#This Row],[Rushing TDs]:[Other TD''s]]))),IF(C1079="Rushing",2*(200-Table1[[#This Row],[Rushing Yards]]-(30*Table1[[#This Row],[Passing TDs]])-50*(Table1[[#This Row],[Rushing TDs]]+Table1[[#This Row],[Receiving TDs]]+Table1[[#This Row],[Other TD''s]])),IF(C1079="Receiving",2*(200-Table1[[#This Row],[Receiving Yards]]-(30*Table1[[#This Row],[Passing TDs]])-50*(Table1[[#This Row],[Rushing TDs]]+Table1[[#This Row],[Receiving TDs]]+Table1[[#This Row],[Other TD''s]])),IF(C1079="Defensive",(25*(16-Table1[[#This Row],[Tackles]]-(8*(Table1[[#This Row],[Other TD''s]]+Table1[[#This Row],[Interceptions]]+Table1[[#This Row],[Fumbles Recovered]])))))))))))</f>
        <v/>
      </c>
      <c r="R1079" s="3" t="str">
        <f t="shared" ref="R1079:R1082" si="48">IF(D1079="","",A1079&amp;C1079&amp;D1079)</f>
        <v/>
      </c>
      <c r="S1079" s="4">
        <f t="shared" si="35"/>
        <v>1048507</v>
      </c>
      <c r="T10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0" spans="1:20" hidden="1" x14ac:dyDescent="0.25">
      <c r="A1080" t="s">
        <v>106</v>
      </c>
      <c r="B1080" s="28" t="s">
        <v>56</v>
      </c>
      <c r="C1080" t="s">
        <v>6</v>
      </c>
      <c r="D1080" s="71" t="str">
        <f>_xlfn.XLOOKUP(Table1[[#This Row],[Player]]&amp;Table1[[#This Row],[Week]]&amp;Table1[[#This Row],[Role]],'Google Form Transform'!$A:$A,'Google Form Transform'!E:E,"")</f>
        <v/>
      </c>
      <c r="E1080" t="str">
        <f>_xlfn.XLOOKUP(Table1[[#This Row],[Player]]&amp;Table1[[#This Row],[Week]]&amp;Table1[[#This Row],[Role]],'Google Form Transform'!$A:$A,'Google Form Transform'!F:F,"")</f>
        <v/>
      </c>
      <c r="F1080" t="str">
        <f>_xlfn.XLOOKUP(Table1[[#This Row],[Player]]&amp;Table1[[#This Row],[Week]]&amp;Table1[[#This Row],[Role]],'Google Form Transform'!$A:$A,'Google Form Transform'!G:G,"")</f>
        <v/>
      </c>
      <c r="G1080" s="59">
        <f>SUMIFS(Table2[Stat],Table2[Stat Category],"passing",Table2[Stat Type],"YDS",Table2[Athlete],Table1[[#This Row],[Pick]],Table2[Week],Table1[[#This Row],[Week]])</f>
        <v>0</v>
      </c>
      <c r="H1080" s="59">
        <f>SUMIFS(Table2[Stat],Table2[Stat Category],"rushing",Table2[Stat Type],"YDS",Table2[Athlete],Table1[[#This Row],[Pick]],Table2[Week],Table1[[#This Row],[Week]])</f>
        <v>0</v>
      </c>
      <c r="I1080" s="59">
        <f>SUMIFS(Table2[Stat],Table2[Stat Category],"receiving",Table2[Stat Type],"YDS",Table2[Athlete],Table1[[#This Row],[Pick]],Table2[Week],Table1[[#This Row],[Week]])</f>
        <v>0</v>
      </c>
      <c r="J1080" s="6">
        <f>IF(AND($C1080="Rushing", $H1080&lt;=0), 0, IF(AND($C1080="Passing", $G$3&lt;=0), 0,IF(AND($C1080="Receiving",$I1080&lt;=0), 0,SUMIFS(Table2[Stat],Table2[Week],Table1[[#This Row],[Week]],Table2[Athlete],Table1[[#This Row],[Pick]],Table2[Stat Category],"passing",Table2[Stat Type],"TD"))))</f>
        <v>0</v>
      </c>
      <c r="K1080" s="6">
        <f>IF(AND($C1080="Rushing", $H1080&lt;=0), 0, IF(AND($C1080="Passing", $G$3&lt;=0), 0,IF(AND($C1080="Receiving",$I1080&lt;=0),0,SUMIFS(Table2[Stat],Table2[Week],Table1[[#This Row],[Week]],Table2[Athlete],Table1[[#This Row],[Pick]],Table2[Stat Category],"rushing",Table2[Stat Type],"TD"))))</f>
        <v>0</v>
      </c>
      <c r="L1080" s="6">
        <f>IF(AND($C1080="Rushing", $H1080&lt;=0), 0, IF(AND($C1080="Passing", $G$3&lt;=0), 0,IF(AND($C1080="Receiving",$I1080&lt;=0),0,SUMIFS(Table2[Stat],Table2[Week],Table1[[#This Row],[Week]],Table2[Athlete],Table1[[#This Row],[Pick]],Table2[Stat Category],"receiving",Table2[Stat Type],"TD"))))</f>
        <v>0</v>
      </c>
      <c r="M10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0" s="61">
        <f>SUMIFS(Data!$J:$J,Data!$A:$A,Info!$B1080,Data!$G:$G,Info!$C1080,Data!$I:$I,Info!$D1080,Data!$H:$H,"TOT")</f>
        <v>0</v>
      </c>
      <c r="O1080" s="61">
        <f>IF(C1080="Defensive",SUMIFS(Data!$J:$J,Data!$A:$A,Info!$B1080,Data!$I:$I,Info!$D1080,Data!$H:$H,"INT"),0)</f>
        <v>0</v>
      </c>
      <c r="P1080" s="61">
        <f>IF(Table1[[#This Row],[Role]]="Defensive",SUMIFS(Data!$J:$J,Data!$A:$A,Info!$B1080,Data!$I:$I,Info!$D1080,Data!$H:$H,$P$1),0)</f>
        <v>0</v>
      </c>
      <c r="Q1080" s="72" t="str">
        <f>IF(Table1[[#This Row],[Pick]]="","",IF(S1080&gt;1,400,IF(G1080="","",IF(C1080="Passing",(400-Table1[[#This Row],[Passing Yards]]-(30*Table1[[#This Row],[Passing TDs]])-(50*SUM(Table1[[#This Row],[Rushing TDs]:[Other TD''s]]))),IF(C1080="Rushing",2*(200-Table1[[#This Row],[Rushing Yards]]-(30*Table1[[#This Row],[Passing TDs]])-50*(Table1[[#This Row],[Rushing TDs]]+Table1[[#This Row],[Receiving TDs]]+Table1[[#This Row],[Other TD''s]])),IF(C1080="Receiving",2*(200-Table1[[#This Row],[Receiving Yards]]-(30*Table1[[#This Row],[Passing TDs]])-50*(Table1[[#This Row],[Rushing TDs]]+Table1[[#This Row],[Receiving TDs]]+Table1[[#This Row],[Other TD''s]])),IF(C1080="Defensive",(25*(16-Table1[[#This Row],[Tackles]]-(8*(Table1[[#This Row],[Other TD''s]]+Table1[[#This Row],[Interceptions]]+Table1[[#This Row],[Fumbles Recovered]])))))))))))</f>
        <v/>
      </c>
      <c r="R1080" s="3" t="str">
        <f t="shared" si="48"/>
        <v/>
      </c>
      <c r="S1080" s="4">
        <f t="shared" si="35"/>
        <v>1048507</v>
      </c>
      <c r="T10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1" spans="1:20" hidden="1" x14ac:dyDescent="0.25">
      <c r="A1081" t="s">
        <v>106</v>
      </c>
      <c r="B1081" s="28" t="s">
        <v>56</v>
      </c>
      <c r="C1081" t="s">
        <v>17</v>
      </c>
      <c r="D1081" s="71" t="str">
        <f>_xlfn.XLOOKUP(Table1[[#This Row],[Player]]&amp;Table1[[#This Row],[Week]]&amp;Table1[[#This Row],[Role]],'Google Form Transform'!$A:$A,'Google Form Transform'!E:E,"")</f>
        <v/>
      </c>
      <c r="E1081" t="str">
        <f>_xlfn.XLOOKUP(Table1[[#This Row],[Player]]&amp;Table1[[#This Row],[Week]]&amp;Table1[[#This Row],[Role]],'Google Form Transform'!$A:$A,'Google Form Transform'!F:F,"")</f>
        <v/>
      </c>
      <c r="F1081" t="str">
        <f>_xlfn.XLOOKUP(Table1[[#This Row],[Player]]&amp;Table1[[#This Row],[Week]]&amp;Table1[[#This Row],[Role]],'Google Form Transform'!$A:$A,'Google Form Transform'!G:G,"")</f>
        <v/>
      </c>
      <c r="G1081" s="59">
        <f>SUMIFS(Table2[Stat],Table2[Stat Category],"passing",Table2[Stat Type],"YDS",Table2[Athlete],Table1[[#This Row],[Pick]],Table2[Week],Table1[[#This Row],[Week]])</f>
        <v>0</v>
      </c>
      <c r="H1081" s="59">
        <f>SUMIFS(Table2[Stat],Table2[Stat Category],"rushing",Table2[Stat Type],"YDS",Table2[Athlete],Table1[[#This Row],[Pick]],Table2[Week],Table1[[#This Row],[Week]])</f>
        <v>0</v>
      </c>
      <c r="I1081" s="59">
        <f>SUMIFS(Table2[Stat],Table2[Stat Category],"receiving",Table2[Stat Type],"YDS",Table2[Athlete],Table1[[#This Row],[Pick]],Table2[Week],Table1[[#This Row],[Week]])</f>
        <v>0</v>
      </c>
      <c r="J1081" s="6">
        <f>IF(AND($C1081="Rushing", $H1081&lt;=0), 0, IF(AND($C1081="Passing", $G$3&lt;=0), 0,IF(AND($C1081="Receiving",$I1081&lt;=0), 0,SUMIFS(Table2[Stat],Table2[Week],Table1[[#This Row],[Week]],Table2[Athlete],Table1[[#This Row],[Pick]],Table2[Stat Category],"passing",Table2[Stat Type],"TD"))))</f>
        <v>0</v>
      </c>
      <c r="K1081" s="6">
        <f>IF(AND($C1081="Rushing", $H1081&lt;=0), 0, IF(AND($C1081="Passing", $G$3&lt;=0), 0,IF(AND($C1081="Receiving",$I1081&lt;=0),0,SUMIFS(Table2[Stat],Table2[Week],Table1[[#This Row],[Week]],Table2[Athlete],Table1[[#This Row],[Pick]],Table2[Stat Category],"rushing",Table2[Stat Type],"TD"))))</f>
        <v>0</v>
      </c>
      <c r="L1081" s="6">
        <f>IF(AND($C1081="Rushing", $H1081&lt;=0), 0, IF(AND($C1081="Passing", $G$3&lt;=0), 0,IF(AND($C1081="Receiving",$I1081&lt;=0),0,SUMIFS(Table2[Stat],Table2[Week],Table1[[#This Row],[Week]],Table2[Athlete],Table1[[#This Row],[Pick]],Table2[Stat Category],"receiving",Table2[Stat Type],"TD"))))</f>
        <v>0</v>
      </c>
      <c r="M10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1" s="61">
        <f>SUMIFS(Data!$J:$J,Data!$A:$A,Info!$B1081,Data!$G:$G,Info!$C1081,Data!$I:$I,Info!$D1081,Data!$H:$H,"TOT")</f>
        <v>0</v>
      </c>
      <c r="O1081" s="61">
        <f>IF(C1081="Defensive",SUMIFS(Data!$J:$J,Data!$A:$A,Info!$B1081,Data!$I:$I,Info!$D1081,Data!$H:$H,"INT"),0)</f>
        <v>0</v>
      </c>
      <c r="P1081" s="61">
        <f>IF(Table1[[#This Row],[Role]]="Defensive",SUMIFS(Data!$J:$J,Data!$A:$A,Info!$B1081,Data!$I:$I,Info!$D1081,Data!$H:$H,$P$1),0)</f>
        <v>0</v>
      </c>
      <c r="Q1081" s="72" t="str">
        <f>IF(Table1[[#This Row],[Pick]]="","",IF(S1081&gt;1,400,IF(G1081="","",IF(C1081="Passing",(400-Table1[[#This Row],[Passing Yards]]-(30*Table1[[#This Row],[Passing TDs]])-(50*SUM(Table1[[#This Row],[Rushing TDs]:[Other TD''s]]))),IF(C1081="Rushing",2*(200-Table1[[#This Row],[Rushing Yards]]-(30*Table1[[#This Row],[Passing TDs]])-50*(Table1[[#This Row],[Rushing TDs]]+Table1[[#This Row],[Receiving TDs]]+Table1[[#This Row],[Other TD''s]])),IF(C1081="Receiving",2*(200-Table1[[#This Row],[Receiving Yards]]-(30*Table1[[#This Row],[Passing TDs]])-50*(Table1[[#This Row],[Rushing TDs]]+Table1[[#This Row],[Receiving TDs]]+Table1[[#This Row],[Other TD''s]])),IF(C1081="Defensive",(25*(16-Table1[[#This Row],[Tackles]]-(8*(Table1[[#This Row],[Other TD''s]]+Table1[[#This Row],[Interceptions]]+Table1[[#This Row],[Fumbles Recovered]])))))))))))</f>
        <v/>
      </c>
      <c r="R1081" s="3" t="str">
        <f t="shared" si="48"/>
        <v/>
      </c>
      <c r="S1081" s="4">
        <f t="shared" si="35"/>
        <v>1048507</v>
      </c>
      <c r="T10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2" spans="1:20" hidden="1" x14ac:dyDescent="0.25">
      <c r="A1082" t="s">
        <v>106</v>
      </c>
      <c r="B1082" s="28" t="s">
        <v>56</v>
      </c>
      <c r="C1082" t="s">
        <v>20</v>
      </c>
      <c r="D1082" s="71" t="str">
        <f>_xlfn.XLOOKUP(Table1[[#This Row],[Player]]&amp;Table1[[#This Row],[Week]]&amp;Table1[[#This Row],[Role]],'Google Form Transform'!$A:$A,'Google Form Transform'!E:E,"")</f>
        <v/>
      </c>
      <c r="E1082" t="str">
        <f>_xlfn.XLOOKUP(Table1[[#This Row],[Player]]&amp;Table1[[#This Row],[Week]]&amp;Table1[[#This Row],[Role]],'Google Form Transform'!$A:$A,'Google Form Transform'!F:F,"")</f>
        <v/>
      </c>
      <c r="F1082" t="str">
        <f>_xlfn.XLOOKUP(Table1[[#This Row],[Player]]&amp;Table1[[#This Row],[Week]]&amp;Table1[[#This Row],[Role]],'Google Form Transform'!$A:$A,'Google Form Transform'!G:G,"")</f>
        <v/>
      </c>
      <c r="G1082" s="59">
        <f>SUMIFS(Table2[Stat],Table2[Stat Category],"passing",Table2[Stat Type],"YDS",Table2[Athlete],Table1[[#This Row],[Pick]],Table2[Week],Table1[[#This Row],[Week]])</f>
        <v>0</v>
      </c>
      <c r="H1082" s="59">
        <f>SUMIFS(Table2[Stat],Table2[Stat Category],"rushing",Table2[Stat Type],"YDS",Table2[Athlete],Table1[[#This Row],[Pick]],Table2[Week],Table1[[#This Row],[Week]])</f>
        <v>0</v>
      </c>
      <c r="I1082" s="59">
        <f>SUMIFS(Table2[Stat],Table2[Stat Category],"receiving",Table2[Stat Type],"YDS",Table2[Athlete],Table1[[#This Row],[Pick]],Table2[Week],Table1[[#This Row],[Week]])</f>
        <v>0</v>
      </c>
      <c r="J1082" s="6">
        <f>IF(AND($C1082="Rushing", $H1082&lt;=0), 0, IF(AND($C1082="Passing", $G$3&lt;=0), 0,IF(AND($C1082="Receiving",$I1082&lt;=0), 0,SUMIFS(Table2[Stat],Table2[Week],Table1[[#This Row],[Week]],Table2[Athlete],Table1[[#This Row],[Pick]],Table2[Stat Category],"passing",Table2[Stat Type],"TD"))))</f>
        <v>0</v>
      </c>
      <c r="K1082" s="6">
        <f>IF(AND($C1082="Rushing", $H1082&lt;=0), 0, IF(AND($C1082="Passing", $G$3&lt;=0), 0,IF(AND($C1082="Receiving",$I1082&lt;=0),0,SUMIFS(Table2[Stat],Table2[Week],Table1[[#This Row],[Week]],Table2[Athlete],Table1[[#This Row],[Pick]],Table2[Stat Category],"rushing",Table2[Stat Type],"TD"))))</f>
        <v>0</v>
      </c>
      <c r="L1082" s="6">
        <f>IF(AND($C1082="Rushing", $H1082&lt;=0), 0, IF(AND($C1082="Passing", $G$3&lt;=0), 0,IF(AND($C1082="Receiving",$I1082&lt;=0),0,SUMIFS(Table2[Stat],Table2[Week],Table1[[#This Row],[Week]],Table2[Athlete],Table1[[#This Row],[Pick]],Table2[Stat Category],"receiving",Table2[Stat Type],"TD"))))</f>
        <v>0</v>
      </c>
      <c r="M10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2" s="61">
        <f>SUMIFS(Data!$J:$J,Data!$A:$A,Info!$B1082,Data!$G:$G,Info!$C1082,Data!$I:$I,Info!$D1082,Data!$H:$H,"TOT")</f>
        <v>0</v>
      </c>
      <c r="O1082" s="61">
        <f>IF(C1082="Defensive",SUMIFS(Data!$J:$J,Data!$A:$A,Info!$B1082,Data!$I:$I,Info!$D1082,Data!$H:$H,"INT"),0)</f>
        <v>0</v>
      </c>
      <c r="P1082" s="61">
        <f>IF(Table1[[#This Row],[Role]]="Defensive",SUMIFS(Data!$J:$J,Data!$A:$A,Info!$B1082,Data!$I:$I,Info!$D1082,Data!$H:$H,$P$1),0)</f>
        <v>0</v>
      </c>
      <c r="Q1082" s="72" t="str">
        <f>IF(Table1[[#This Row],[Pick]]="","",IF(S1082&gt;1,400,IF(G1082="","",IF(C1082="Passing",(400-Table1[[#This Row],[Passing Yards]]-(30*Table1[[#This Row],[Passing TDs]])-(50*SUM(Table1[[#This Row],[Rushing TDs]:[Other TD''s]]))),IF(C1082="Rushing",2*(200-Table1[[#This Row],[Rushing Yards]]-(30*Table1[[#This Row],[Passing TDs]])-50*(Table1[[#This Row],[Rushing TDs]]+Table1[[#This Row],[Receiving TDs]]+Table1[[#This Row],[Other TD''s]])),IF(C1082="Receiving",2*(200-Table1[[#This Row],[Receiving Yards]]-(30*Table1[[#This Row],[Passing TDs]])-50*(Table1[[#This Row],[Rushing TDs]]+Table1[[#This Row],[Receiving TDs]]+Table1[[#This Row],[Other TD''s]])),IF(C1082="Defensive",(25*(16-Table1[[#This Row],[Tackles]]-(8*(Table1[[#This Row],[Other TD''s]]+Table1[[#This Row],[Interceptions]]+Table1[[#This Row],[Fumbles Recovered]])))))))))))</f>
        <v/>
      </c>
      <c r="R1082" s="3" t="str">
        <f t="shared" si="48"/>
        <v/>
      </c>
      <c r="S1082" s="4">
        <f t="shared" si="35"/>
        <v>1048507</v>
      </c>
      <c r="T10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3" spans="1:20" hidden="1" x14ac:dyDescent="0.25">
      <c r="A1083" t="s">
        <v>106</v>
      </c>
      <c r="B1083" s="28" t="s">
        <v>57</v>
      </c>
      <c r="C1083" t="s">
        <v>16</v>
      </c>
      <c r="D1083" s="71" t="str">
        <f>_xlfn.XLOOKUP(Table1[[#This Row],[Player]]&amp;Table1[[#This Row],[Week]]&amp;Table1[[#This Row],[Role]],'Google Form Transform'!$A:$A,'Google Form Transform'!E:E,"")</f>
        <v/>
      </c>
      <c r="E1083" t="str">
        <f>_xlfn.XLOOKUP(Table1[[#This Row],[Player]]&amp;Table1[[#This Row],[Week]]&amp;Table1[[#This Row],[Role]],'Google Form Transform'!$A:$A,'Google Form Transform'!F:F,"")</f>
        <v/>
      </c>
      <c r="F1083" t="str">
        <f>_xlfn.XLOOKUP(Table1[[#This Row],[Player]]&amp;Table1[[#This Row],[Week]]&amp;Table1[[#This Row],[Role]],'Google Form Transform'!$A:$A,'Google Form Transform'!G:G,"")</f>
        <v/>
      </c>
      <c r="G1083" s="59">
        <f>SUMIFS(Table2[Stat],Table2[Stat Category],"passing",Table2[Stat Type],"YDS",Table2[Athlete],Table1[[#This Row],[Pick]],Table2[Week],Table1[[#This Row],[Week]])</f>
        <v>0</v>
      </c>
      <c r="H1083" s="59">
        <f>SUMIFS(Table2[Stat],Table2[Stat Category],"rushing",Table2[Stat Type],"YDS",Table2[Athlete],Table1[[#This Row],[Pick]],Table2[Week],Table1[[#This Row],[Week]])</f>
        <v>0</v>
      </c>
      <c r="I1083" s="59">
        <f>SUMIFS(Table2[Stat],Table2[Stat Category],"receiving",Table2[Stat Type],"YDS",Table2[Athlete],Table1[[#This Row],[Pick]],Table2[Week],Table1[[#This Row],[Week]])</f>
        <v>0</v>
      </c>
      <c r="J1083" s="6">
        <f>IF(AND($C1083="Rushing", $H1083&lt;=0), 0, IF(AND($C1083="Passing", $G$3&lt;=0), 0,IF(AND($C1083="Receiving",$I1083&lt;=0), 0,SUMIFS(Table2[Stat],Table2[Week],Table1[[#This Row],[Week]],Table2[Athlete],Table1[[#This Row],[Pick]],Table2[Stat Category],"passing",Table2[Stat Type],"TD"))))</f>
        <v>0</v>
      </c>
      <c r="K1083" s="6">
        <f>IF(AND($C1083="Rushing", $H1083&lt;=0), 0, IF(AND($C1083="Passing", $G$3&lt;=0), 0,IF(AND($C1083="Receiving",$I1083&lt;=0),0,SUMIFS(Table2[Stat],Table2[Week],Table1[[#This Row],[Week]],Table2[Athlete],Table1[[#This Row],[Pick]],Table2[Stat Category],"rushing",Table2[Stat Type],"TD"))))</f>
        <v>0</v>
      </c>
      <c r="L1083" s="6">
        <f>IF(AND($C1083="Rushing", $H1083&lt;=0), 0, IF(AND($C1083="Passing", $G$3&lt;=0), 0,IF(AND($C1083="Receiving",$I1083&lt;=0),0,SUMIFS(Table2[Stat],Table2[Week],Table1[[#This Row],[Week]],Table2[Athlete],Table1[[#This Row],[Pick]],Table2[Stat Category],"receiving",Table2[Stat Type],"TD"))))</f>
        <v>0</v>
      </c>
      <c r="M10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3" s="61">
        <f>SUMIFS(Data!$J:$J,Data!$A:$A,Info!$B1083,Data!$G:$G,Info!$C1083,Data!$I:$I,Info!$D1083,Data!$H:$H,"TOT")</f>
        <v>0</v>
      </c>
      <c r="O1083" s="61">
        <f>IF(C1083="Defensive",SUMIFS(Data!$J:$J,Data!$A:$A,Info!$B1083,Data!$I:$I,Info!$D1083,Data!$H:$H,"INT"),0)</f>
        <v>0</v>
      </c>
      <c r="P1083" s="61">
        <f>IF(Table1[[#This Row],[Role]]="Defensive",SUMIFS(Data!$J:$J,Data!$A:$A,Info!$B1083,Data!$I:$I,Info!$D1083,Data!$H:$H,$P$1),0)</f>
        <v>0</v>
      </c>
      <c r="Q1083" s="72" t="str">
        <f>IF(Table1[[#This Row],[Pick]]="","",IF(S1083&gt;1,400,IF(G1083="","",IF(C1083="Passing",(400-Table1[[#This Row],[Passing Yards]]-(30*Table1[[#This Row],[Passing TDs]])-(50*SUM(Table1[[#This Row],[Rushing TDs]:[Other TD''s]]))),IF(C1083="Rushing",2*(200-Table1[[#This Row],[Rushing Yards]]-(30*Table1[[#This Row],[Passing TDs]])-50*(Table1[[#This Row],[Rushing TDs]]+Table1[[#This Row],[Receiving TDs]]+Table1[[#This Row],[Other TD''s]])),IF(C1083="Receiving",2*(200-Table1[[#This Row],[Receiving Yards]]-(30*Table1[[#This Row],[Passing TDs]])-50*(Table1[[#This Row],[Rushing TDs]]+Table1[[#This Row],[Receiving TDs]]+Table1[[#This Row],[Other TD''s]])),IF(C1083="Defensive",(25*(16-Table1[[#This Row],[Tackles]]-(8*(Table1[[#This Row],[Other TD''s]]+Table1[[#This Row],[Interceptions]]+Table1[[#This Row],[Fumbles Recovered]])))))))))))</f>
        <v/>
      </c>
      <c r="R1083" s="3" t="str">
        <f t="shared" ref="R1083:R1086" si="49">IF(D1083="","",A1083&amp;C1083&amp;D1083)</f>
        <v/>
      </c>
      <c r="S1083" s="4">
        <f t="shared" si="35"/>
        <v>1048507</v>
      </c>
      <c r="T10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4" spans="1:20" hidden="1" x14ac:dyDescent="0.25">
      <c r="A1084" t="s">
        <v>106</v>
      </c>
      <c r="B1084" s="28" t="s">
        <v>57</v>
      </c>
      <c r="C1084" t="s">
        <v>6</v>
      </c>
      <c r="D1084" s="71" t="str">
        <f>_xlfn.XLOOKUP(Table1[[#This Row],[Player]]&amp;Table1[[#This Row],[Week]]&amp;Table1[[#This Row],[Role]],'Google Form Transform'!$A:$A,'Google Form Transform'!E:E,"")</f>
        <v/>
      </c>
      <c r="E1084" t="str">
        <f>_xlfn.XLOOKUP(Table1[[#This Row],[Player]]&amp;Table1[[#This Row],[Week]]&amp;Table1[[#This Row],[Role]],'Google Form Transform'!$A:$A,'Google Form Transform'!F:F,"")</f>
        <v/>
      </c>
      <c r="F1084" t="str">
        <f>_xlfn.XLOOKUP(Table1[[#This Row],[Player]]&amp;Table1[[#This Row],[Week]]&amp;Table1[[#This Row],[Role]],'Google Form Transform'!$A:$A,'Google Form Transform'!G:G,"")</f>
        <v/>
      </c>
      <c r="G1084" s="59">
        <f>SUMIFS(Table2[Stat],Table2[Stat Category],"passing",Table2[Stat Type],"YDS",Table2[Athlete],Table1[[#This Row],[Pick]],Table2[Week],Table1[[#This Row],[Week]])</f>
        <v>0</v>
      </c>
      <c r="H1084" s="59">
        <f>SUMIFS(Table2[Stat],Table2[Stat Category],"rushing",Table2[Stat Type],"YDS",Table2[Athlete],Table1[[#This Row],[Pick]],Table2[Week],Table1[[#This Row],[Week]])</f>
        <v>0</v>
      </c>
      <c r="I1084" s="59">
        <f>SUMIFS(Table2[Stat],Table2[Stat Category],"receiving",Table2[Stat Type],"YDS",Table2[Athlete],Table1[[#This Row],[Pick]],Table2[Week],Table1[[#This Row],[Week]])</f>
        <v>0</v>
      </c>
      <c r="J1084" s="6">
        <f>IF(AND($C1084="Rushing", $H1084&lt;=0), 0, IF(AND($C1084="Passing", $G$3&lt;=0), 0,IF(AND($C1084="Receiving",$I1084&lt;=0), 0,SUMIFS(Table2[Stat],Table2[Week],Table1[[#This Row],[Week]],Table2[Athlete],Table1[[#This Row],[Pick]],Table2[Stat Category],"passing",Table2[Stat Type],"TD"))))</f>
        <v>0</v>
      </c>
      <c r="K1084" s="6">
        <f>IF(AND($C1084="Rushing", $H1084&lt;=0), 0, IF(AND($C1084="Passing", $G$3&lt;=0), 0,IF(AND($C1084="Receiving",$I1084&lt;=0),0,SUMIFS(Table2[Stat],Table2[Week],Table1[[#This Row],[Week]],Table2[Athlete],Table1[[#This Row],[Pick]],Table2[Stat Category],"rushing",Table2[Stat Type],"TD"))))</f>
        <v>0</v>
      </c>
      <c r="L1084" s="6">
        <f>IF(AND($C1084="Rushing", $H1084&lt;=0), 0, IF(AND($C1084="Passing", $G$3&lt;=0), 0,IF(AND($C1084="Receiving",$I1084&lt;=0),0,SUMIFS(Table2[Stat],Table2[Week],Table1[[#This Row],[Week]],Table2[Athlete],Table1[[#This Row],[Pick]],Table2[Stat Category],"receiving",Table2[Stat Type],"TD"))))</f>
        <v>0</v>
      </c>
      <c r="M10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4" s="61">
        <f>SUMIFS(Data!$J:$J,Data!$A:$A,Info!$B1084,Data!$G:$G,Info!$C1084,Data!$I:$I,Info!$D1084,Data!$H:$H,"TOT")</f>
        <v>0</v>
      </c>
      <c r="O1084" s="61">
        <f>IF(C1084="Defensive",SUMIFS(Data!$J:$J,Data!$A:$A,Info!$B1084,Data!$I:$I,Info!$D1084,Data!$H:$H,"INT"),0)</f>
        <v>0</v>
      </c>
      <c r="P1084" s="61">
        <f>IF(Table1[[#This Row],[Role]]="Defensive",SUMIFS(Data!$J:$J,Data!$A:$A,Info!$B1084,Data!$I:$I,Info!$D1084,Data!$H:$H,$P$1),0)</f>
        <v>0</v>
      </c>
      <c r="Q1084" s="72" t="str">
        <f>IF(Table1[[#This Row],[Pick]]="","",IF(S1084&gt;1,400,IF(G1084="","",IF(C1084="Passing",(400-Table1[[#This Row],[Passing Yards]]-(30*Table1[[#This Row],[Passing TDs]])-(50*SUM(Table1[[#This Row],[Rushing TDs]:[Other TD''s]]))),IF(C1084="Rushing",2*(200-Table1[[#This Row],[Rushing Yards]]-(30*Table1[[#This Row],[Passing TDs]])-50*(Table1[[#This Row],[Rushing TDs]]+Table1[[#This Row],[Receiving TDs]]+Table1[[#This Row],[Other TD''s]])),IF(C1084="Receiving",2*(200-Table1[[#This Row],[Receiving Yards]]-(30*Table1[[#This Row],[Passing TDs]])-50*(Table1[[#This Row],[Rushing TDs]]+Table1[[#This Row],[Receiving TDs]]+Table1[[#This Row],[Other TD''s]])),IF(C1084="Defensive",(25*(16-Table1[[#This Row],[Tackles]]-(8*(Table1[[#This Row],[Other TD''s]]+Table1[[#This Row],[Interceptions]]+Table1[[#This Row],[Fumbles Recovered]])))))))))))</f>
        <v/>
      </c>
      <c r="R1084" s="3" t="str">
        <f t="shared" si="49"/>
        <v/>
      </c>
      <c r="S1084" s="4">
        <f t="shared" si="35"/>
        <v>1048507</v>
      </c>
      <c r="T10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5" spans="1:20" hidden="1" x14ac:dyDescent="0.25">
      <c r="A1085" t="s">
        <v>106</v>
      </c>
      <c r="B1085" s="28" t="s">
        <v>57</v>
      </c>
      <c r="C1085" t="s">
        <v>17</v>
      </c>
      <c r="D1085" s="71" t="str">
        <f>_xlfn.XLOOKUP(Table1[[#This Row],[Player]]&amp;Table1[[#This Row],[Week]]&amp;Table1[[#This Row],[Role]],'Google Form Transform'!$A:$A,'Google Form Transform'!E:E,"")</f>
        <v/>
      </c>
      <c r="E1085" t="str">
        <f>_xlfn.XLOOKUP(Table1[[#This Row],[Player]]&amp;Table1[[#This Row],[Week]]&amp;Table1[[#This Row],[Role]],'Google Form Transform'!$A:$A,'Google Form Transform'!F:F,"")</f>
        <v/>
      </c>
      <c r="F1085" t="str">
        <f>_xlfn.XLOOKUP(Table1[[#This Row],[Player]]&amp;Table1[[#This Row],[Week]]&amp;Table1[[#This Row],[Role]],'Google Form Transform'!$A:$A,'Google Form Transform'!G:G,"")</f>
        <v/>
      </c>
      <c r="G1085" s="59">
        <f>SUMIFS(Table2[Stat],Table2[Stat Category],"passing",Table2[Stat Type],"YDS",Table2[Athlete],Table1[[#This Row],[Pick]],Table2[Week],Table1[[#This Row],[Week]])</f>
        <v>0</v>
      </c>
      <c r="H1085" s="59">
        <f>SUMIFS(Table2[Stat],Table2[Stat Category],"rushing",Table2[Stat Type],"YDS",Table2[Athlete],Table1[[#This Row],[Pick]],Table2[Week],Table1[[#This Row],[Week]])</f>
        <v>0</v>
      </c>
      <c r="I1085" s="59">
        <f>SUMIFS(Table2[Stat],Table2[Stat Category],"receiving",Table2[Stat Type],"YDS",Table2[Athlete],Table1[[#This Row],[Pick]],Table2[Week],Table1[[#This Row],[Week]])</f>
        <v>0</v>
      </c>
      <c r="J1085" s="6">
        <f>IF(AND($C1085="Rushing", $H1085&lt;=0), 0, IF(AND($C1085="Passing", $G$3&lt;=0), 0,IF(AND($C1085="Receiving",$I1085&lt;=0), 0,SUMIFS(Table2[Stat],Table2[Week],Table1[[#This Row],[Week]],Table2[Athlete],Table1[[#This Row],[Pick]],Table2[Stat Category],"passing",Table2[Stat Type],"TD"))))</f>
        <v>0</v>
      </c>
      <c r="K1085" s="6">
        <f>IF(AND($C1085="Rushing", $H1085&lt;=0), 0, IF(AND($C1085="Passing", $G$3&lt;=0), 0,IF(AND($C1085="Receiving",$I1085&lt;=0),0,SUMIFS(Table2[Stat],Table2[Week],Table1[[#This Row],[Week]],Table2[Athlete],Table1[[#This Row],[Pick]],Table2[Stat Category],"rushing",Table2[Stat Type],"TD"))))</f>
        <v>0</v>
      </c>
      <c r="L1085" s="6">
        <f>IF(AND($C1085="Rushing", $H1085&lt;=0), 0, IF(AND($C1085="Passing", $G$3&lt;=0), 0,IF(AND($C1085="Receiving",$I1085&lt;=0),0,SUMIFS(Table2[Stat],Table2[Week],Table1[[#This Row],[Week]],Table2[Athlete],Table1[[#This Row],[Pick]],Table2[Stat Category],"receiving",Table2[Stat Type],"TD"))))</f>
        <v>0</v>
      </c>
      <c r="M10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5" s="61">
        <f>SUMIFS(Data!$J:$J,Data!$A:$A,Info!$B1085,Data!$G:$G,Info!$C1085,Data!$I:$I,Info!$D1085,Data!$H:$H,"TOT")</f>
        <v>0</v>
      </c>
      <c r="O1085" s="61">
        <f>IF(C1085="Defensive",SUMIFS(Data!$J:$J,Data!$A:$A,Info!$B1085,Data!$I:$I,Info!$D1085,Data!$H:$H,"INT"),0)</f>
        <v>0</v>
      </c>
      <c r="P1085" s="61">
        <f>IF(Table1[[#This Row],[Role]]="Defensive",SUMIFS(Data!$J:$J,Data!$A:$A,Info!$B1085,Data!$I:$I,Info!$D1085,Data!$H:$H,$P$1),0)</f>
        <v>0</v>
      </c>
      <c r="Q1085" s="72" t="str">
        <f>IF(Table1[[#This Row],[Pick]]="","",IF(S1085&gt;1,400,IF(G1085="","",IF(C1085="Passing",(400-Table1[[#This Row],[Passing Yards]]-(30*Table1[[#This Row],[Passing TDs]])-(50*SUM(Table1[[#This Row],[Rushing TDs]:[Other TD''s]]))),IF(C1085="Rushing",2*(200-Table1[[#This Row],[Rushing Yards]]-(30*Table1[[#This Row],[Passing TDs]])-50*(Table1[[#This Row],[Rushing TDs]]+Table1[[#This Row],[Receiving TDs]]+Table1[[#This Row],[Other TD''s]])),IF(C1085="Receiving",2*(200-Table1[[#This Row],[Receiving Yards]]-(30*Table1[[#This Row],[Passing TDs]])-50*(Table1[[#This Row],[Rushing TDs]]+Table1[[#This Row],[Receiving TDs]]+Table1[[#This Row],[Other TD''s]])),IF(C1085="Defensive",(25*(16-Table1[[#This Row],[Tackles]]-(8*(Table1[[#This Row],[Other TD''s]]+Table1[[#This Row],[Interceptions]]+Table1[[#This Row],[Fumbles Recovered]])))))))))))</f>
        <v/>
      </c>
      <c r="R1085" s="3" t="str">
        <f t="shared" si="49"/>
        <v/>
      </c>
      <c r="S1085" s="4">
        <f t="shared" si="35"/>
        <v>1048507</v>
      </c>
      <c r="T10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6" spans="1:20" hidden="1" x14ac:dyDescent="0.25">
      <c r="A1086" t="s">
        <v>106</v>
      </c>
      <c r="B1086" s="28" t="s">
        <v>57</v>
      </c>
      <c r="C1086" t="s">
        <v>20</v>
      </c>
      <c r="D1086" s="71" t="str">
        <f>_xlfn.XLOOKUP(Table1[[#This Row],[Player]]&amp;Table1[[#This Row],[Week]]&amp;Table1[[#This Row],[Role]],'Google Form Transform'!$A:$A,'Google Form Transform'!E:E,"")</f>
        <v/>
      </c>
      <c r="E1086" t="str">
        <f>_xlfn.XLOOKUP(Table1[[#This Row],[Player]]&amp;Table1[[#This Row],[Week]]&amp;Table1[[#This Row],[Role]],'Google Form Transform'!$A:$A,'Google Form Transform'!F:F,"")</f>
        <v/>
      </c>
      <c r="F1086" t="str">
        <f>_xlfn.XLOOKUP(Table1[[#This Row],[Player]]&amp;Table1[[#This Row],[Week]]&amp;Table1[[#This Row],[Role]],'Google Form Transform'!$A:$A,'Google Form Transform'!G:G,"")</f>
        <v/>
      </c>
      <c r="G1086" s="59">
        <f>SUMIFS(Table2[Stat],Table2[Stat Category],"passing",Table2[Stat Type],"YDS",Table2[Athlete],Table1[[#This Row],[Pick]],Table2[Week],Table1[[#This Row],[Week]])</f>
        <v>0</v>
      </c>
      <c r="H1086" s="59">
        <f>SUMIFS(Table2[Stat],Table2[Stat Category],"rushing",Table2[Stat Type],"YDS",Table2[Athlete],Table1[[#This Row],[Pick]],Table2[Week],Table1[[#This Row],[Week]])</f>
        <v>0</v>
      </c>
      <c r="I1086" s="59">
        <f>SUMIFS(Table2[Stat],Table2[Stat Category],"receiving",Table2[Stat Type],"YDS",Table2[Athlete],Table1[[#This Row],[Pick]],Table2[Week],Table1[[#This Row],[Week]])</f>
        <v>0</v>
      </c>
      <c r="J1086" s="6">
        <f>IF(AND($C1086="Rushing", $H1086&lt;=0), 0, IF(AND($C1086="Passing", $G$3&lt;=0), 0,IF(AND($C1086="Receiving",$I1086&lt;=0), 0,SUMIFS(Table2[Stat],Table2[Week],Table1[[#This Row],[Week]],Table2[Athlete],Table1[[#This Row],[Pick]],Table2[Stat Category],"passing",Table2[Stat Type],"TD"))))</f>
        <v>0</v>
      </c>
      <c r="K1086" s="6">
        <f>IF(AND($C1086="Rushing", $H1086&lt;=0), 0, IF(AND($C1086="Passing", $G$3&lt;=0), 0,IF(AND($C1086="Receiving",$I1086&lt;=0),0,SUMIFS(Table2[Stat],Table2[Week],Table1[[#This Row],[Week]],Table2[Athlete],Table1[[#This Row],[Pick]],Table2[Stat Category],"rushing",Table2[Stat Type],"TD"))))</f>
        <v>0</v>
      </c>
      <c r="L1086" s="6">
        <f>IF(AND($C1086="Rushing", $H1086&lt;=0), 0, IF(AND($C1086="Passing", $G$3&lt;=0), 0,IF(AND($C1086="Receiving",$I1086&lt;=0),0,SUMIFS(Table2[Stat],Table2[Week],Table1[[#This Row],[Week]],Table2[Athlete],Table1[[#This Row],[Pick]],Table2[Stat Category],"receiving",Table2[Stat Type],"TD"))))</f>
        <v>0</v>
      </c>
      <c r="M10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6" s="61">
        <f>SUMIFS(Data!$J:$J,Data!$A:$A,Info!$B1086,Data!$G:$G,Info!$C1086,Data!$I:$I,Info!$D1086,Data!$H:$H,"TOT")</f>
        <v>0</v>
      </c>
      <c r="O1086" s="61">
        <f>IF(C1086="Defensive",SUMIFS(Data!$J:$J,Data!$A:$A,Info!$B1086,Data!$I:$I,Info!$D1086,Data!$H:$H,"INT"),0)</f>
        <v>0</v>
      </c>
      <c r="P1086" s="61">
        <f>IF(Table1[[#This Row],[Role]]="Defensive",SUMIFS(Data!$J:$J,Data!$A:$A,Info!$B1086,Data!$I:$I,Info!$D1086,Data!$H:$H,$P$1),0)</f>
        <v>0</v>
      </c>
      <c r="Q1086" s="72" t="str">
        <f>IF(Table1[[#This Row],[Pick]]="","",IF(S1086&gt;1,400,IF(G1086="","",IF(C1086="Passing",(400-Table1[[#This Row],[Passing Yards]]-(30*Table1[[#This Row],[Passing TDs]])-(50*SUM(Table1[[#This Row],[Rushing TDs]:[Other TD''s]]))),IF(C1086="Rushing",2*(200-Table1[[#This Row],[Rushing Yards]]-(30*Table1[[#This Row],[Passing TDs]])-50*(Table1[[#This Row],[Rushing TDs]]+Table1[[#This Row],[Receiving TDs]]+Table1[[#This Row],[Other TD''s]])),IF(C1086="Receiving",2*(200-Table1[[#This Row],[Receiving Yards]]-(30*Table1[[#This Row],[Passing TDs]])-50*(Table1[[#This Row],[Rushing TDs]]+Table1[[#This Row],[Receiving TDs]]+Table1[[#This Row],[Other TD''s]])),IF(C1086="Defensive",(25*(16-Table1[[#This Row],[Tackles]]-(8*(Table1[[#This Row],[Other TD''s]]+Table1[[#This Row],[Interceptions]]+Table1[[#This Row],[Fumbles Recovered]])))))))))))</f>
        <v/>
      </c>
      <c r="R1086" s="3" t="str">
        <f t="shared" si="49"/>
        <v/>
      </c>
      <c r="S1086" s="4">
        <f t="shared" si="35"/>
        <v>1048507</v>
      </c>
      <c r="T10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7" spans="1:20" hidden="1" x14ac:dyDescent="0.25">
      <c r="A1087" t="s">
        <v>106</v>
      </c>
      <c r="B1087" s="28" t="s">
        <v>93</v>
      </c>
      <c r="C1087" t="s">
        <v>16</v>
      </c>
      <c r="D1087" s="71" t="str">
        <f>_xlfn.XLOOKUP(Table1[[#This Row],[Player]]&amp;Table1[[#This Row],[Week]]&amp;Table1[[#This Row],[Role]],'Google Form Transform'!$A:$A,'Google Form Transform'!E:E,"")</f>
        <v/>
      </c>
      <c r="E1087" t="str">
        <f>_xlfn.XLOOKUP(Table1[[#This Row],[Player]]&amp;Table1[[#This Row],[Week]]&amp;Table1[[#This Row],[Role]],'Google Form Transform'!$A:$A,'Google Form Transform'!F:F,"")</f>
        <v/>
      </c>
      <c r="F1087" t="str">
        <f>_xlfn.XLOOKUP(Table1[[#This Row],[Player]]&amp;Table1[[#This Row],[Week]]&amp;Table1[[#This Row],[Role]],'Google Form Transform'!$A:$A,'Google Form Transform'!G:G,"")</f>
        <v/>
      </c>
      <c r="G1087" s="59">
        <f>SUMIFS(Table2[Stat],Table2[Stat Category],"passing",Table2[Stat Type],"YDS",Table2[Athlete],Table1[[#This Row],[Pick]],Table2[Week],Table1[[#This Row],[Week]])</f>
        <v>0</v>
      </c>
      <c r="H1087" s="59">
        <f>SUMIFS(Table2[Stat],Table2[Stat Category],"rushing",Table2[Stat Type],"YDS",Table2[Athlete],Table1[[#This Row],[Pick]],Table2[Week],Table1[[#This Row],[Week]])</f>
        <v>0</v>
      </c>
      <c r="I1087" s="59">
        <f>SUMIFS(Table2[Stat],Table2[Stat Category],"receiving",Table2[Stat Type],"YDS",Table2[Athlete],Table1[[#This Row],[Pick]],Table2[Week],Table1[[#This Row],[Week]])</f>
        <v>0</v>
      </c>
      <c r="J1087" s="6">
        <f>IF(AND($C1087="Rushing", $H1087&lt;=0), 0, IF(AND($C1087="Passing", $G$3&lt;=0), 0,IF(AND($C1087="Receiving",$I1087&lt;=0), 0,SUMIFS(Table2[Stat],Table2[Week],Table1[[#This Row],[Week]],Table2[Athlete],Table1[[#This Row],[Pick]],Table2[Stat Category],"passing",Table2[Stat Type],"TD"))))</f>
        <v>0</v>
      </c>
      <c r="K1087" s="6">
        <f>IF(AND($C1087="Rushing", $H1087&lt;=0), 0, IF(AND($C1087="Passing", $G$3&lt;=0), 0,IF(AND($C1087="Receiving",$I1087&lt;=0),0,SUMIFS(Table2[Stat],Table2[Week],Table1[[#This Row],[Week]],Table2[Athlete],Table1[[#This Row],[Pick]],Table2[Stat Category],"rushing",Table2[Stat Type],"TD"))))</f>
        <v>0</v>
      </c>
      <c r="L1087" s="6">
        <f>IF(AND($C1087="Rushing", $H1087&lt;=0), 0, IF(AND($C1087="Passing", $G$3&lt;=0), 0,IF(AND($C1087="Receiving",$I1087&lt;=0),0,SUMIFS(Table2[Stat],Table2[Week],Table1[[#This Row],[Week]],Table2[Athlete],Table1[[#This Row],[Pick]],Table2[Stat Category],"receiving",Table2[Stat Type],"TD"))))</f>
        <v>0</v>
      </c>
      <c r="M10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7" s="61">
        <f>SUMIFS(Data!$J:$J,Data!$A:$A,Info!$B1087,Data!$G:$G,Info!$C1087,Data!$I:$I,Info!$D1087,Data!$H:$H,"TOT")</f>
        <v>0</v>
      </c>
      <c r="O1087" s="61">
        <f>IF(C1087="Defensive",SUMIFS(Data!$J:$J,Data!$A:$A,Info!$B1087,Data!$I:$I,Info!$D1087,Data!$H:$H,"INT"),0)</f>
        <v>0</v>
      </c>
      <c r="P1087" s="61">
        <f>IF(Table1[[#This Row],[Role]]="Defensive",SUMIFS(Data!$J:$J,Data!$A:$A,Info!$B1087,Data!$I:$I,Info!$D1087,Data!$H:$H,$P$1),0)</f>
        <v>0</v>
      </c>
      <c r="Q1087" s="72" t="str">
        <f>IF(Table1[[#This Row],[Pick]]="","",IF(S1087&gt;1,400,IF(G1087="","",IF(C1087="Passing",(400-Table1[[#This Row],[Passing Yards]]-(30*Table1[[#This Row],[Passing TDs]])-(50*SUM(Table1[[#This Row],[Rushing TDs]:[Other TD''s]]))),IF(C1087="Rushing",2*(200-Table1[[#This Row],[Rushing Yards]]-(30*Table1[[#This Row],[Passing TDs]])-50*(Table1[[#This Row],[Rushing TDs]]+Table1[[#This Row],[Receiving TDs]]+Table1[[#This Row],[Other TD''s]])),IF(C1087="Receiving",2*(200-Table1[[#This Row],[Receiving Yards]]-(30*Table1[[#This Row],[Passing TDs]])-50*(Table1[[#This Row],[Rushing TDs]]+Table1[[#This Row],[Receiving TDs]]+Table1[[#This Row],[Other TD''s]])),IF(C1087="Defensive",(25*(16-Table1[[#This Row],[Tackles]]-(8*(Table1[[#This Row],[Other TD''s]]+Table1[[#This Row],[Interceptions]]+Table1[[#This Row],[Fumbles Recovered]])))))))))))</f>
        <v/>
      </c>
      <c r="R1087" s="3" t="str">
        <f t="shared" ref="R1087:R1090" si="50">IF(D1087="","",A1087&amp;C1087&amp;D1087)</f>
        <v/>
      </c>
      <c r="S1087" s="4">
        <f t="shared" ref="S1087:S1090" si="51">COUNTIF(R:R,R1087)</f>
        <v>1048507</v>
      </c>
      <c r="T10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8" spans="1:20" hidden="1" x14ac:dyDescent="0.25">
      <c r="A1088" t="s">
        <v>106</v>
      </c>
      <c r="B1088" s="28" t="s">
        <v>93</v>
      </c>
      <c r="C1088" t="s">
        <v>6</v>
      </c>
      <c r="D1088" s="71" t="str">
        <f>_xlfn.XLOOKUP(Table1[[#This Row],[Player]]&amp;Table1[[#This Row],[Week]]&amp;Table1[[#This Row],[Role]],'Google Form Transform'!$A:$A,'Google Form Transform'!E:E,"")</f>
        <v/>
      </c>
      <c r="E1088" t="str">
        <f>_xlfn.XLOOKUP(Table1[[#This Row],[Player]]&amp;Table1[[#This Row],[Week]]&amp;Table1[[#This Row],[Role]],'Google Form Transform'!$A:$A,'Google Form Transform'!F:F,"")</f>
        <v/>
      </c>
      <c r="F1088" t="str">
        <f>_xlfn.XLOOKUP(Table1[[#This Row],[Player]]&amp;Table1[[#This Row],[Week]]&amp;Table1[[#This Row],[Role]],'Google Form Transform'!$A:$A,'Google Form Transform'!G:G,"")</f>
        <v/>
      </c>
      <c r="G1088" s="59">
        <f>SUMIFS(Table2[Stat],Table2[Stat Category],"passing",Table2[Stat Type],"YDS",Table2[Athlete],Table1[[#This Row],[Pick]],Table2[Week],Table1[[#This Row],[Week]])</f>
        <v>0</v>
      </c>
      <c r="H1088" s="59">
        <f>SUMIFS(Table2[Stat],Table2[Stat Category],"rushing",Table2[Stat Type],"YDS",Table2[Athlete],Table1[[#This Row],[Pick]],Table2[Week],Table1[[#This Row],[Week]])</f>
        <v>0</v>
      </c>
      <c r="I1088" s="59">
        <f>SUMIFS(Table2[Stat],Table2[Stat Category],"receiving",Table2[Stat Type],"YDS",Table2[Athlete],Table1[[#This Row],[Pick]],Table2[Week],Table1[[#This Row],[Week]])</f>
        <v>0</v>
      </c>
      <c r="J1088" s="6">
        <f>IF(AND($C1088="Rushing", $H1088&lt;=0), 0, IF(AND($C1088="Passing", $G$3&lt;=0), 0,IF(AND($C1088="Receiving",$I1088&lt;=0), 0,SUMIFS(Table2[Stat],Table2[Week],Table1[[#This Row],[Week]],Table2[Athlete],Table1[[#This Row],[Pick]],Table2[Stat Category],"passing",Table2[Stat Type],"TD"))))</f>
        <v>0</v>
      </c>
      <c r="K1088" s="6">
        <f>IF(AND($C1088="Rushing", $H1088&lt;=0), 0, IF(AND($C1088="Passing", $G$3&lt;=0), 0,IF(AND($C1088="Receiving",$I1088&lt;=0),0,SUMIFS(Table2[Stat],Table2[Week],Table1[[#This Row],[Week]],Table2[Athlete],Table1[[#This Row],[Pick]],Table2[Stat Category],"rushing",Table2[Stat Type],"TD"))))</f>
        <v>0</v>
      </c>
      <c r="L1088" s="6">
        <f>IF(AND($C1088="Rushing", $H1088&lt;=0), 0, IF(AND($C1088="Passing", $G$3&lt;=0), 0,IF(AND($C1088="Receiving",$I1088&lt;=0),0,SUMIFS(Table2[Stat],Table2[Week],Table1[[#This Row],[Week]],Table2[Athlete],Table1[[#This Row],[Pick]],Table2[Stat Category],"receiving",Table2[Stat Type],"TD"))))</f>
        <v>0</v>
      </c>
      <c r="M10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8" s="61">
        <f>SUMIFS(Data!$J:$J,Data!$A:$A,Info!$B1088,Data!$G:$G,Info!$C1088,Data!$I:$I,Info!$D1088,Data!$H:$H,"TOT")</f>
        <v>0</v>
      </c>
      <c r="O1088" s="61">
        <f>IF(C1088="Defensive",SUMIFS(Data!$J:$J,Data!$A:$A,Info!$B1088,Data!$I:$I,Info!$D1088,Data!$H:$H,"INT"),0)</f>
        <v>0</v>
      </c>
      <c r="P1088" s="61">
        <f>IF(Table1[[#This Row],[Role]]="Defensive",SUMIFS(Data!$J:$J,Data!$A:$A,Info!$B1088,Data!$I:$I,Info!$D1088,Data!$H:$H,$P$1),0)</f>
        <v>0</v>
      </c>
      <c r="Q1088" s="72" t="str">
        <f>IF(Table1[[#This Row],[Pick]]="","",IF(S1088&gt;1,400,IF(G1088="","",IF(C1088="Passing",(400-Table1[[#This Row],[Passing Yards]]-(30*Table1[[#This Row],[Passing TDs]])-(50*SUM(Table1[[#This Row],[Rushing TDs]:[Other TD''s]]))),IF(C1088="Rushing",2*(200-Table1[[#This Row],[Rushing Yards]]-(30*Table1[[#This Row],[Passing TDs]])-50*(Table1[[#This Row],[Rushing TDs]]+Table1[[#This Row],[Receiving TDs]]+Table1[[#This Row],[Other TD''s]])),IF(C1088="Receiving",2*(200-Table1[[#This Row],[Receiving Yards]]-(30*Table1[[#This Row],[Passing TDs]])-50*(Table1[[#This Row],[Rushing TDs]]+Table1[[#This Row],[Receiving TDs]]+Table1[[#This Row],[Other TD''s]])),IF(C1088="Defensive",(25*(16-Table1[[#This Row],[Tackles]]-(8*(Table1[[#This Row],[Other TD''s]]+Table1[[#This Row],[Interceptions]]+Table1[[#This Row],[Fumbles Recovered]])))))))))))</f>
        <v/>
      </c>
      <c r="R1088" s="3" t="str">
        <f t="shared" si="50"/>
        <v/>
      </c>
      <c r="S1088" s="4">
        <f t="shared" si="51"/>
        <v>1048507</v>
      </c>
      <c r="T10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9" spans="1:20" hidden="1" x14ac:dyDescent="0.25">
      <c r="A1089" t="s">
        <v>106</v>
      </c>
      <c r="B1089" s="28" t="s">
        <v>93</v>
      </c>
      <c r="C1089" t="s">
        <v>17</v>
      </c>
      <c r="D1089" s="71" t="str">
        <f>_xlfn.XLOOKUP(Table1[[#This Row],[Player]]&amp;Table1[[#This Row],[Week]]&amp;Table1[[#This Row],[Role]],'Google Form Transform'!$A:$A,'Google Form Transform'!E:E,"")</f>
        <v/>
      </c>
      <c r="E1089" t="str">
        <f>_xlfn.XLOOKUP(Table1[[#This Row],[Player]]&amp;Table1[[#This Row],[Week]]&amp;Table1[[#This Row],[Role]],'Google Form Transform'!$A:$A,'Google Form Transform'!F:F,"")</f>
        <v/>
      </c>
      <c r="F1089" t="str">
        <f>_xlfn.XLOOKUP(Table1[[#This Row],[Player]]&amp;Table1[[#This Row],[Week]]&amp;Table1[[#This Row],[Role]],'Google Form Transform'!$A:$A,'Google Form Transform'!G:G,"")</f>
        <v/>
      </c>
      <c r="G1089" s="59">
        <f>SUMIFS(Table2[Stat],Table2[Stat Category],"passing",Table2[Stat Type],"YDS",Table2[Athlete],Table1[[#This Row],[Pick]],Table2[Week],Table1[[#This Row],[Week]])</f>
        <v>0</v>
      </c>
      <c r="H1089" s="59">
        <f>SUMIFS(Table2[Stat],Table2[Stat Category],"rushing",Table2[Stat Type],"YDS",Table2[Athlete],Table1[[#This Row],[Pick]],Table2[Week],Table1[[#This Row],[Week]])</f>
        <v>0</v>
      </c>
      <c r="I1089" s="59">
        <f>SUMIFS(Table2[Stat],Table2[Stat Category],"receiving",Table2[Stat Type],"YDS",Table2[Athlete],Table1[[#This Row],[Pick]],Table2[Week],Table1[[#This Row],[Week]])</f>
        <v>0</v>
      </c>
      <c r="J1089" s="6">
        <f>IF(AND($C1089="Rushing", $H1089&lt;=0), 0, IF(AND($C1089="Passing", $G$3&lt;=0), 0,IF(AND($C1089="Receiving",$I1089&lt;=0), 0,SUMIFS(Table2[Stat],Table2[Week],Table1[[#This Row],[Week]],Table2[Athlete],Table1[[#This Row],[Pick]],Table2[Stat Category],"passing",Table2[Stat Type],"TD"))))</f>
        <v>0</v>
      </c>
      <c r="K1089" s="6">
        <f>IF(AND($C1089="Rushing", $H1089&lt;=0), 0, IF(AND($C1089="Passing", $G$3&lt;=0), 0,IF(AND($C1089="Receiving",$I1089&lt;=0),0,SUMIFS(Table2[Stat],Table2[Week],Table1[[#This Row],[Week]],Table2[Athlete],Table1[[#This Row],[Pick]],Table2[Stat Category],"rushing",Table2[Stat Type],"TD"))))</f>
        <v>0</v>
      </c>
      <c r="L1089" s="6">
        <f>IF(AND($C1089="Rushing", $H1089&lt;=0), 0, IF(AND($C1089="Passing", $G$3&lt;=0), 0,IF(AND($C1089="Receiving",$I1089&lt;=0),0,SUMIFS(Table2[Stat],Table2[Week],Table1[[#This Row],[Week]],Table2[Athlete],Table1[[#This Row],[Pick]],Table2[Stat Category],"receiving",Table2[Stat Type],"TD"))))</f>
        <v>0</v>
      </c>
      <c r="M10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9" s="61">
        <f>SUMIFS(Data!$J:$J,Data!$A:$A,Info!$B1089,Data!$G:$G,Info!$C1089,Data!$I:$I,Info!$D1089,Data!$H:$H,"TOT")</f>
        <v>0</v>
      </c>
      <c r="O1089" s="61">
        <f>IF(C1089="Defensive",SUMIFS(Data!$J:$J,Data!$A:$A,Info!$B1089,Data!$I:$I,Info!$D1089,Data!$H:$H,"INT"),0)</f>
        <v>0</v>
      </c>
      <c r="P1089" s="61">
        <f>IF(Table1[[#This Row],[Role]]="Defensive",SUMIFS(Data!$J:$J,Data!$A:$A,Info!$B1089,Data!$I:$I,Info!$D1089,Data!$H:$H,$P$1),0)</f>
        <v>0</v>
      </c>
      <c r="Q1089" s="72" t="str">
        <f>IF(Table1[[#This Row],[Pick]]="","",IF(S1089&gt;1,400,IF(G1089="","",IF(C1089="Passing",(400-Table1[[#This Row],[Passing Yards]]-(30*Table1[[#This Row],[Passing TDs]])-(50*SUM(Table1[[#This Row],[Rushing TDs]:[Other TD''s]]))),IF(C1089="Rushing",2*(200-Table1[[#This Row],[Rushing Yards]]-(30*Table1[[#This Row],[Passing TDs]])-50*(Table1[[#This Row],[Rushing TDs]]+Table1[[#This Row],[Receiving TDs]]+Table1[[#This Row],[Other TD''s]])),IF(C1089="Receiving",2*(200-Table1[[#This Row],[Receiving Yards]]-(30*Table1[[#This Row],[Passing TDs]])-50*(Table1[[#This Row],[Rushing TDs]]+Table1[[#This Row],[Receiving TDs]]+Table1[[#This Row],[Other TD''s]])),IF(C1089="Defensive",(25*(16-Table1[[#This Row],[Tackles]]-(8*(Table1[[#This Row],[Other TD''s]]+Table1[[#This Row],[Interceptions]]+Table1[[#This Row],[Fumbles Recovered]])))))))))))</f>
        <v/>
      </c>
      <c r="R1089" s="3" t="str">
        <f t="shared" si="50"/>
        <v/>
      </c>
      <c r="S1089" s="4">
        <f t="shared" si="51"/>
        <v>1048507</v>
      </c>
      <c r="T10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90" spans="1:20" hidden="1" x14ac:dyDescent="0.25">
      <c r="A1090" t="s">
        <v>106</v>
      </c>
      <c r="B1090" s="28" t="s">
        <v>93</v>
      </c>
      <c r="C1090" t="s">
        <v>20</v>
      </c>
      <c r="D1090" s="71" t="str">
        <f>_xlfn.XLOOKUP(Table1[[#This Row],[Player]]&amp;Table1[[#This Row],[Week]]&amp;Table1[[#This Row],[Role]],'Google Form Transform'!$A:$A,'Google Form Transform'!E:E,"")</f>
        <v/>
      </c>
      <c r="E1090" t="str">
        <f>_xlfn.XLOOKUP(Table1[[#This Row],[Player]]&amp;Table1[[#This Row],[Week]]&amp;Table1[[#This Row],[Role]],'Google Form Transform'!$A:$A,'Google Form Transform'!F:F,"")</f>
        <v/>
      </c>
      <c r="F1090" t="str">
        <f>_xlfn.XLOOKUP(Table1[[#This Row],[Player]]&amp;Table1[[#This Row],[Week]]&amp;Table1[[#This Row],[Role]],'Google Form Transform'!$A:$A,'Google Form Transform'!G:G,"")</f>
        <v/>
      </c>
      <c r="G1090" s="59">
        <f>SUMIFS(Table2[Stat],Table2[Stat Category],"passing",Table2[Stat Type],"YDS",Table2[Athlete],Table1[[#This Row],[Pick]],Table2[Week],Table1[[#This Row],[Week]])</f>
        <v>0</v>
      </c>
      <c r="H1090" s="59">
        <f>SUMIFS(Table2[Stat],Table2[Stat Category],"rushing",Table2[Stat Type],"YDS",Table2[Athlete],Table1[[#This Row],[Pick]],Table2[Week],Table1[[#This Row],[Week]])</f>
        <v>0</v>
      </c>
      <c r="I1090" s="59">
        <f>SUMIFS(Table2[Stat],Table2[Stat Category],"receiving",Table2[Stat Type],"YDS",Table2[Athlete],Table1[[#This Row],[Pick]],Table2[Week],Table1[[#This Row],[Week]])</f>
        <v>0</v>
      </c>
      <c r="J1090" s="6">
        <f>IF(AND($C1090="Rushing", $H1090&lt;=0), 0, IF(AND($C1090="Passing", $G$3&lt;=0), 0,IF(AND($C1090="Receiving",$I1090&lt;=0), 0,SUMIFS(Table2[Stat],Table2[Week],Table1[[#This Row],[Week]],Table2[Athlete],Table1[[#This Row],[Pick]],Table2[Stat Category],"passing",Table2[Stat Type],"TD"))))</f>
        <v>0</v>
      </c>
      <c r="K1090" s="6">
        <f>IF(AND($C1090="Rushing", $H1090&lt;=0), 0, IF(AND($C1090="Passing", $G$3&lt;=0), 0,IF(AND($C1090="Receiving",$I1090&lt;=0),0,SUMIFS(Table2[Stat],Table2[Week],Table1[[#This Row],[Week]],Table2[Athlete],Table1[[#This Row],[Pick]],Table2[Stat Category],"rushing",Table2[Stat Type],"TD"))))</f>
        <v>0</v>
      </c>
      <c r="L1090" s="6">
        <f>IF(AND($C1090="Rushing", $H1090&lt;=0), 0, IF(AND($C1090="Passing", $G$3&lt;=0), 0,IF(AND($C1090="Receiving",$I1090&lt;=0),0,SUMIFS(Table2[Stat],Table2[Week],Table1[[#This Row],[Week]],Table2[Athlete],Table1[[#This Row],[Pick]],Table2[Stat Category],"receiving",Table2[Stat Type],"TD"))))</f>
        <v>0</v>
      </c>
      <c r="M10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0" s="61">
        <f>SUMIFS(Data!$J:$J,Data!$A:$A,Info!$B1090,Data!$G:$G,Info!$C1090,Data!$I:$I,Info!$D1090,Data!$H:$H,"TOT")</f>
        <v>0</v>
      </c>
      <c r="O1090" s="61">
        <f>IF(C1090="Defensive",SUMIFS(Data!$J:$J,Data!$A:$A,Info!$B1090,Data!$I:$I,Info!$D1090,Data!$H:$H,"INT"),0)</f>
        <v>0</v>
      </c>
      <c r="P1090" s="61">
        <f>IF(Table1[[#This Row],[Role]]="Defensive",SUMIFS(Data!$J:$J,Data!$A:$A,Info!$B1090,Data!$I:$I,Info!$D1090,Data!$H:$H,$P$1),0)</f>
        <v>0</v>
      </c>
      <c r="Q1090" s="72" t="str">
        <f>IF(Table1[[#This Row],[Pick]]="","",IF(S1090&gt;1,400,IF(G1090="","",IF(C1090="Passing",(400-Table1[[#This Row],[Passing Yards]]-(30*Table1[[#This Row],[Passing TDs]])-(50*SUM(Table1[[#This Row],[Rushing TDs]:[Other TD''s]]))),IF(C1090="Rushing",2*(200-Table1[[#This Row],[Rushing Yards]]-(30*Table1[[#This Row],[Passing TDs]])-50*(Table1[[#This Row],[Rushing TDs]]+Table1[[#This Row],[Receiving TDs]]+Table1[[#This Row],[Other TD''s]])),IF(C1090="Receiving",2*(200-Table1[[#This Row],[Receiving Yards]]-(30*Table1[[#This Row],[Passing TDs]])-50*(Table1[[#This Row],[Rushing TDs]]+Table1[[#This Row],[Receiving TDs]]+Table1[[#This Row],[Other TD''s]])),IF(C1090="Defensive",(25*(16-Table1[[#This Row],[Tackles]]-(8*(Table1[[#This Row],[Other TD''s]]+Table1[[#This Row],[Interceptions]]+Table1[[#This Row],[Fumbles Recovered]])))))))))))</f>
        <v/>
      </c>
      <c r="R1090" s="3" t="str">
        <f t="shared" si="50"/>
        <v/>
      </c>
      <c r="S1090" s="4">
        <f t="shared" si="51"/>
        <v>1048507</v>
      </c>
      <c r="T10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91" spans="1:20" x14ac:dyDescent="0.25">
      <c r="A1091" t="s">
        <v>144</v>
      </c>
      <c r="B1091" s="28" t="s">
        <v>27</v>
      </c>
      <c r="C1091" t="s">
        <v>16</v>
      </c>
      <c r="D1091" s="71" t="str">
        <f>_xlfn.XLOOKUP(Table1[[#This Row],[Player]]&amp;Table1[[#This Row],[Week]]&amp;Table1[[#This Row],[Role]],'Google Form Transform'!$A:$A,'Google Form Transform'!E:E,"")</f>
        <v>Bryce Underwood</v>
      </c>
      <c r="E1091" t="str">
        <f>_xlfn.XLOOKUP(Table1[[#This Row],[Player]]&amp;Table1[[#This Row],[Week]]&amp;Table1[[#This Row],[Role]],'Google Form Transform'!$A:$A,'Google Form Transform'!F:F,"")</f>
        <v>Michigan</v>
      </c>
      <c r="F1091" t="str">
        <f>_xlfn.XLOOKUP(Table1[[#This Row],[Player]]&amp;Table1[[#This Row],[Week]]&amp;Table1[[#This Row],[Role]],'Google Form Transform'!$A:$A,'Google Form Transform'!G:G,"")</f>
        <v>New Mexico</v>
      </c>
      <c r="G1091" s="59">
        <f>SUMIFS(Table2[Stat],Table2[Stat Category],"passing",Table2[Stat Type],"YDS",Table2[Athlete],Table1[[#This Row],[Pick]],Table2[Week],Table1[[#This Row],[Week]])</f>
        <v>251</v>
      </c>
      <c r="H1091" s="59">
        <f>SUMIFS(Table2[Stat],Table2[Stat Category],"rushing",Table2[Stat Type],"YDS",Table2[Athlete],Table1[[#This Row],[Pick]],Table2[Week],Table1[[#This Row],[Week]])</f>
        <v>-5</v>
      </c>
      <c r="I1091" s="59">
        <f>SUMIFS(Table2[Stat],Table2[Stat Category],"receiving",Table2[Stat Type],"YDS",Table2[Athlete],Table1[[#This Row],[Pick]],Table2[Week],Table1[[#This Row],[Week]])</f>
        <v>0</v>
      </c>
      <c r="J1091" s="6">
        <f>IF(AND($C1091="Rushing", $H1091&lt;=0), 0, IF(AND($C1091="Passing", $G$3&lt;=0), 0,IF(AND($C1091="Receiving",$I1091&lt;=0), 0,SUMIFS(Table2[Stat],Table2[Week],Table1[[#This Row],[Week]],Table2[Athlete],Table1[[#This Row],[Pick]],Table2[Stat Category],"passing",Table2[Stat Type],"TD"))))</f>
        <v>1</v>
      </c>
      <c r="K1091" s="6">
        <f>IF(AND($C1091="Rushing", $H1091&lt;=0), 0, IF(AND($C1091="Passing", $G$3&lt;=0), 0,IF(AND($C1091="Receiving",$I1091&lt;=0),0,SUMIFS(Table2[Stat],Table2[Week],Table1[[#This Row],[Week]],Table2[Athlete],Table1[[#This Row],[Pick]],Table2[Stat Category],"rushing",Table2[Stat Type],"TD"))))</f>
        <v>0</v>
      </c>
      <c r="L1091" s="6">
        <f>IF(AND($C1091="Rushing", $H1091&lt;=0), 0, IF(AND($C1091="Passing", $G$3&lt;=0), 0,IF(AND($C1091="Receiving",$I1091&lt;=0),0,SUMIFS(Table2[Stat],Table2[Week],Table1[[#This Row],[Week]],Table2[Athlete],Table1[[#This Row],[Pick]],Table2[Stat Category],"receiving",Table2[Stat Type],"TD"))))</f>
        <v>0</v>
      </c>
      <c r="M10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1" s="61">
        <f>SUMIFS(Data!$J:$J,Data!$A:$A,Info!$B1091,Data!$G:$G,Info!$C1091,Data!$I:$I,Info!$D1091,Data!$H:$H,"TOT")</f>
        <v>0</v>
      </c>
      <c r="O1091" s="61">
        <f>IF(C1091="Defensive",SUMIFS(Data!$J:$J,Data!$A:$A,Info!$B1091,Data!$I:$I,Info!$D1091,Data!$H:$H,"INT"),0)</f>
        <v>0</v>
      </c>
      <c r="P1091" s="61">
        <f>IF(Table1[[#This Row],[Role]]="Defensive",SUMIFS(Data!$J:$J,Data!$A:$A,Info!$B1091,Data!$I:$I,Info!$D1091,Data!$H:$H,$P$1),0)</f>
        <v>0</v>
      </c>
      <c r="Q1091" s="72">
        <f>IF(Table1[[#This Row],[Pick]]="","",IF(S1091&gt;1,400,IF(G1091="","",IF(C1091="Passing",(400-Table1[[#This Row],[Passing Yards]]-(30*Table1[[#This Row],[Passing TDs]])-(50*SUM(Table1[[#This Row],[Rushing TDs]:[Other TD''s]]))),IF(C1091="Rushing",2*(200-Table1[[#This Row],[Rushing Yards]]-(30*Table1[[#This Row],[Passing TDs]])-50*(Table1[[#This Row],[Rushing TDs]]+Table1[[#This Row],[Receiving TDs]]+Table1[[#This Row],[Other TD''s]])),IF(C1091="Receiving",2*(200-Table1[[#This Row],[Receiving Yards]]-(30*Table1[[#This Row],[Passing TDs]])-50*(Table1[[#This Row],[Rushing TDs]]+Table1[[#This Row],[Receiving TDs]]+Table1[[#This Row],[Other TD''s]])),IF(C1091="Defensive",(25*(16-Table1[[#This Row],[Tackles]]-(8*(Table1[[#This Row],[Other TD''s]]+Table1[[#This Row],[Interceptions]]+Table1[[#This Row],[Fumbles Recovered]])))))))))))</f>
        <v>119</v>
      </c>
      <c r="R1091" s="3" t="str">
        <f t="shared" ref="R1091:R1122" si="52">IF(D1091="","",A1091&amp;C1091&amp;D1091)</f>
        <v>JonathanPassingBryce Underwood</v>
      </c>
      <c r="S1091" s="4">
        <f t="shared" ref="S1091:S1122" si="53">COUNTIF(R:R,R1091)</f>
        <v>1</v>
      </c>
      <c r="T10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251</v>
      </c>
    </row>
    <row r="1092" spans="1:20" x14ac:dyDescent="0.25">
      <c r="A1092" t="s">
        <v>144</v>
      </c>
      <c r="B1092" s="28" t="s">
        <v>27</v>
      </c>
      <c r="C1092" t="s">
        <v>6</v>
      </c>
      <c r="D1092" s="71" t="str">
        <f>_xlfn.XLOOKUP(Table1[[#This Row],[Player]]&amp;Table1[[#This Row],[Week]]&amp;Table1[[#This Row],[Role]],'Google Form Transform'!$A:$A,'Google Form Transform'!E:E,"")</f>
        <v>Kaytron Allen</v>
      </c>
      <c r="E1092" t="str">
        <f>_xlfn.XLOOKUP(Table1[[#This Row],[Player]]&amp;Table1[[#This Row],[Week]]&amp;Table1[[#This Row],[Role]],'Google Form Transform'!$A:$A,'Google Form Transform'!F:F,"")</f>
        <v>Penn State</v>
      </c>
      <c r="F1092" t="str">
        <f>_xlfn.XLOOKUP(Table1[[#This Row],[Player]]&amp;Table1[[#This Row],[Week]]&amp;Table1[[#This Row],[Role]],'Google Form Transform'!$A:$A,'Google Form Transform'!G:G,"")</f>
        <v>Nevada</v>
      </c>
      <c r="G1092" s="59">
        <f>SUMIFS(Table2[Stat],Table2[Stat Category],"passing",Table2[Stat Type],"YDS",Table2[Athlete],Table1[[#This Row],[Pick]],Table2[Week],Table1[[#This Row],[Week]])</f>
        <v>0</v>
      </c>
      <c r="H1092" s="59">
        <f>SUMIFS(Table2[Stat],Table2[Stat Category],"rushing",Table2[Stat Type],"YDS",Table2[Athlete],Table1[[#This Row],[Pick]],Table2[Week],Table1[[#This Row],[Week]])</f>
        <v>43</v>
      </c>
      <c r="I1092" s="59">
        <f>SUMIFS(Table2[Stat],Table2[Stat Category],"receiving",Table2[Stat Type],"YDS",Table2[Athlete],Table1[[#This Row],[Pick]],Table2[Week],Table1[[#This Row],[Week]])</f>
        <v>2</v>
      </c>
      <c r="J1092" s="6">
        <f>IF(AND($C1092="Rushing", $H1092&lt;=0), 0, IF(AND($C1092="Passing", $G$3&lt;=0), 0,IF(AND($C1092="Receiving",$I1092&lt;=0), 0,SUMIFS(Table2[Stat],Table2[Week],Table1[[#This Row],[Week]],Table2[Athlete],Table1[[#This Row],[Pick]],Table2[Stat Category],"passing",Table2[Stat Type],"TD"))))</f>
        <v>0</v>
      </c>
      <c r="K1092" s="6">
        <f>IF(AND($C1092="Rushing", $H1092&lt;=0), 0, IF(AND($C1092="Passing", $G$3&lt;=0), 0,IF(AND($C1092="Receiving",$I1092&lt;=0),0,SUMIFS(Table2[Stat],Table2[Week],Table1[[#This Row],[Week]],Table2[Athlete],Table1[[#This Row],[Pick]],Table2[Stat Category],"rushing",Table2[Stat Type],"TD"))))</f>
        <v>1</v>
      </c>
      <c r="L1092" s="6">
        <f>IF(AND($C1092="Rushing", $H1092&lt;=0), 0, IF(AND($C1092="Passing", $G$3&lt;=0), 0,IF(AND($C1092="Receiving",$I1092&lt;=0),0,SUMIFS(Table2[Stat],Table2[Week],Table1[[#This Row],[Week]],Table2[Athlete],Table1[[#This Row],[Pick]],Table2[Stat Category],"receiving",Table2[Stat Type],"TD"))))</f>
        <v>0</v>
      </c>
      <c r="M10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2" s="61">
        <f>SUMIFS(Data!$J:$J,Data!$A:$A,Info!$B1092,Data!$G:$G,Info!$C1092,Data!$I:$I,Info!$D1092,Data!$H:$H,"TOT")</f>
        <v>0</v>
      </c>
      <c r="O1092" s="61">
        <f>IF(C1092="Defensive",SUMIFS(Data!$J:$J,Data!$A:$A,Info!$B1092,Data!$I:$I,Info!$D1092,Data!$H:$H,"INT"),0)</f>
        <v>0</v>
      </c>
      <c r="P1092" s="61">
        <f>IF(Table1[[#This Row],[Role]]="Defensive",SUMIFS(Data!$J:$J,Data!$A:$A,Info!$B1092,Data!$I:$I,Info!$D1092,Data!$H:$H,$P$1),0)</f>
        <v>0</v>
      </c>
      <c r="Q1092" s="72">
        <f>IF(Table1[[#This Row],[Pick]]="","",IF(S1092&gt;1,400,IF(G1092="","",IF(C1092="Passing",(400-Table1[[#This Row],[Passing Yards]]-(30*Table1[[#This Row],[Passing TDs]])-(50*SUM(Table1[[#This Row],[Rushing TDs]:[Other TD''s]]))),IF(C1092="Rushing",2*(200-Table1[[#This Row],[Rushing Yards]]-(30*Table1[[#This Row],[Passing TDs]])-50*(Table1[[#This Row],[Rushing TDs]]+Table1[[#This Row],[Receiving TDs]]+Table1[[#This Row],[Other TD''s]])),IF(C1092="Receiving",2*(200-Table1[[#This Row],[Receiving Yards]]-(30*Table1[[#This Row],[Passing TDs]])-50*(Table1[[#This Row],[Rushing TDs]]+Table1[[#This Row],[Receiving TDs]]+Table1[[#This Row],[Other TD''s]])),IF(C1092="Defensive",(25*(16-Table1[[#This Row],[Tackles]]-(8*(Table1[[#This Row],[Other TD''s]]+Table1[[#This Row],[Interceptions]]+Table1[[#This Row],[Fumbles Recovered]])))))))))))</f>
        <v>214</v>
      </c>
      <c r="R1092" s="3" t="str">
        <f t="shared" si="52"/>
        <v>JonathanRushingKaytron Allen</v>
      </c>
      <c r="S1092" s="4">
        <f t="shared" si="53"/>
        <v>1</v>
      </c>
      <c r="T10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43</v>
      </c>
    </row>
    <row r="1093" spans="1:20" x14ac:dyDescent="0.25">
      <c r="A1093" t="s">
        <v>144</v>
      </c>
      <c r="B1093" s="28" t="s">
        <v>27</v>
      </c>
      <c r="C1093" t="s">
        <v>17</v>
      </c>
      <c r="D1093" s="71" t="str">
        <f>_xlfn.XLOOKUP(Table1[[#This Row],[Player]]&amp;Table1[[#This Row],[Week]]&amp;Table1[[#This Row],[Role]],'Google Form Transform'!$A:$A,'Google Form Transform'!E:E,"")</f>
        <v>Elijah Sarratt</v>
      </c>
      <c r="E1093" t="str">
        <f>_xlfn.XLOOKUP(Table1[[#This Row],[Player]]&amp;Table1[[#This Row],[Week]]&amp;Table1[[#This Row],[Role]],'Google Form Transform'!$A:$A,'Google Form Transform'!F:F,"")</f>
        <v>Indiana</v>
      </c>
      <c r="F1093" t="str">
        <f>_xlfn.XLOOKUP(Table1[[#This Row],[Player]]&amp;Table1[[#This Row],[Week]]&amp;Table1[[#This Row],[Role]],'Google Form Transform'!$A:$A,'Google Form Transform'!G:G,"")</f>
        <v>Old Dominion</v>
      </c>
      <c r="G1093" s="59">
        <f>SUMIFS(Table2[Stat],Table2[Stat Category],"passing",Table2[Stat Type],"YDS",Table2[Athlete],Table1[[#This Row],[Pick]],Table2[Week],Table1[[#This Row],[Week]])</f>
        <v>0</v>
      </c>
      <c r="H1093" s="59">
        <f>SUMIFS(Table2[Stat],Table2[Stat Category],"rushing",Table2[Stat Type],"YDS",Table2[Athlete],Table1[[#This Row],[Pick]],Table2[Week],Table1[[#This Row],[Week]])</f>
        <v>0</v>
      </c>
      <c r="I1093" s="59">
        <f>SUMIFS(Table2[Stat],Table2[Stat Category],"receiving",Table2[Stat Type],"YDS",Table2[Athlete],Table1[[#This Row],[Pick]],Table2[Week],Table1[[#This Row],[Week]])</f>
        <v>44</v>
      </c>
      <c r="J1093" s="6">
        <f>IF(AND($C1093="Rushing", $H1093&lt;=0), 0, IF(AND($C1093="Passing", $G$3&lt;=0), 0,IF(AND($C1093="Receiving",$I1093&lt;=0), 0,SUMIFS(Table2[Stat],Table2[Week],Table1[[#This Row],[Week]],Table2[Athlete],Table1[[#This Row],[Pick]],Table2[Stat Category],"passing",Table2[Stat Type],"TD"))))</f>
        <v>0</v>
      </c>
      <c r="K1093" s="6">
        <f>IF(AND($C1093="Rushing", $H1093&lt;=0), 0, IF(AND($C1093="Passing", $G$3&lt;=0), 0,IF(AND($C1093="Receiving",$I1093&lt;=0),0,SUMIFS(Table2[Stat],Table2[Week],Table1[[#This Row],[Week]],Table2[Athlete],Table1[[#This Row],[Pick]],Table2[Stat Category],"rushing",Table2[Stat Type],"TD"))))</f>
        <v>0</v>
      </c>
      <c r="L1093" s="6">
        <f>IF(AND($C1093="Rushing", $H1093&lt;=0), 0, IF(AND($C1093="Passing", $G$3&lt;=0), 0,IF(AND($C1093="Receiving",$I1093&lt;=0),0,SUMIFS(Table2[Stat],Table2[Week],Table1[[#This Row],[Week]],Table2[Athlete],Table1[[#This Row],[Pick]],Table2[Stat Category],"receiving",Table2[Stat Type],"TD"))))</f>
        <v>0</v>
      </c>
      <c r="M10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3" s="61">
        <f>SUMIFS(Data!$J:$J,Data!$A:$A,Info!$B1093,Data!$G:$G,Info!$C1093,Data!$I:$I,Info!$D1093,Data!$H:$H,"TOT")</f>
        <v>0</v>
      </c>
      <c r="O1093" s="61">
        <f>IF(C1093="Defensive",SUMIFS(Data!$J:$J,Data!$A:$A,Info!$B1093,Data!$I:$I,Info!$D1093,Data!$H:$H,"INT"),0)</f>
        <v>0</v>
      </c>
      <c r="P1093" s="61">
        <f>IF(Table1[[#This Row],[Role]]="Defensive",SUMIFS(Data!$J:$J,Data!$A:$A,Info!$B1093,Data!$I:$I,Info!$D1093,Data!$H:$H,$P$1),0)</f>
        <v>0</v>
      </c>
      <c r="Q1093" s="72">
        <f>IF(Table1[[#This Row],[Pick]]="","",IF(S1093&gt;1,400,IF(G1093="","",IF(C1093="Passing",(400-Table1[[#This Row],[Passing Yards]]-(30*Table1[[#This Row],[Passing TDs]])-(50*SUM(Table1[[#This Row],[Rushing TDs]:[Other TD''s]]))),IF(C1093="Rushing",2*(200-Table1[[#This Row],[Rushing Yards]]-(30*Table1[[#This Row],[Passing TDs]])-50*(Table1[[#This Row],[Rushing TDs]]+Table1[[#This Row],[Receiving TDs]]+Table1[[#This Row],[Other TD''s]])),IF(C1093="Receiving",2*(200-Table1[[#This Row],[Receiving Yards]]-(30*Table1[[#This Row],[Passing TDs]])-50*(Table1[[#This Row],[Rushing TDs]]+Table1[[#This Row],[Receiving TDs]]+Table1[[#This Row],[Other TD''s]])),IF(C1093="Defensive",(25*(16-Table1[[#This Row],[Tackles]]-(8*(Table1[[#This Row],[Other TD''s]]+Table1[[#This Row],[Interceptions]]+Table1[[#This Row],[Fumbles Recovered]])))))))))))</f>
        <v>312</v>
      </c>
      <c r="R1093" s="3" t="str">
        <f t="shared" si="52"/>
        <v>JonathanReceivingElijah Sarratt</v>
      </c>
      <c r="S1093" s="4">
        <f t="shared" si="53"/>
        <v>1</v>
      </c>
      <c r="T10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44</v>
      </c>
    </row>
    <row r="1094" spans="1:20" x14ac:dyDescent="0.25">
      <c r="A1094" t="s">
        <v>144</v>
      </c>
      <c r="B1094" s="28" t="s">
        <v>27</v>
      </c>
      <c r="C1094" t="s">
        <v>20</v>
      </c>
      <c r="D1094" s="71" t="str">
        <f>_xlfn.XLOOKUP(Table1[[#This Row],[Player]]&amp;Table1[[#This Row],[Week]]&amp;Table1[[#This Row],[Role]],'Google Form Transform'!$A:$A,'Google Form Transform'!E:E,"")</f>
        <v>Whit Weeks</v>
      </c>
      <c r="E1094" t="str">
        <f>_xlfn.XLOOKUP(Table1[[#This Row],[Player]]&amp;Table1[[#This Row],[Week]]&amp;Table1[[#This Row],[Role]],'Google Form Transform'!$A:$A,'Google Form Transform'!F:F,"")</f>
        <v>LSU</v>
      </c>
      <c r="F1094" t="str">
        <f>_xlfn.XLOOKUP(Table1[[#This Row],[Player]]&amp;Table1[[#This Row],[Week]]&amp;Table1[[#This Row],[Role]],'Google Form Transform'!$A:$A,'Google Form Transform'!G:G,"")</f>
        <v>Clemson</v>
      </c>
      <c r="G1094" s="59">
        <f>SUMIFS(Table2[Stat],Table2[Stat Category],"passing",Table2[Stat Type],"YDS",Table2[Athlete],Table1[[#This Row],[Pick]],Table2[Week],Table1[[#This Row],[Week]])</f>
        <v>0</v>
      </c>
      <c r="H1094" s="59">
        <f>SUMIFS(Table2[Stat],Table2[Stat Category],"rushing",Table2[Stat Type],"YDS",Table2[Athlete],Table1[[#This Row],[Pick]],Table2[Week],Table1[[#This Row],[Week]])</f>
        <v>0</v>
      </c>
      <c r="I1094" s="59">
        <f>SUMIFS(Table2[Stat],Table2[Stat Category],"receiving",Table2[Stat Type],"YDS",Table2[Athlete],Table1[[#This Row],[Pick]],Table2[Week],Table1[[#This Row],[Week]])</f>
        <v>0</v>
      </c>
      <c r="J1094" s="6">
        <f>IF(AND($C1094="Rushing", $H1094&lt;=0), 0, IF(AND($C1094="Passing", $G$3&lt;=0), 0,IF(AND($C1094="Receiving",$I1094&lt;=0), 0,SUMIFS(Table2[Stat],Table2[Week],Table1[[#This Row],[Week]],Table2[Athlete],Table1[[#This Row],[Pick]],Table2[Stat Category],"passing",Table2[Stat Type],"TD"))))</f>
        <v>0</v>
      </c>
      <c r="K1094" s="6">
        <f>IF(AND($C1094="Rushing", $H1094&lt;=0), 0, IF(AND($C1094="Passing", $G$3&lt;=0), 0,IF(AND($C1094="Receiving",$I1094&lt;=0),0,SUMIFS(Table2[Stat],Table2[Week],Table1[[#This Row],[Week]],Table2[Athlete],Table1[[#This Row],[Pick]],Table2[Stat Category],"rushing",Table2[Stat Type],"TD"))))</f>
        <v>0</v>
      </c>
      <c r="L1094" s="6">
        <f>IF(AND($C1094="Rushing", $H1094&lt;=0), 0, IF(AND($C1094="Passing", $G$3&lt;=0), 0,IF(AND($C1094="Receiving",$I1094&lt;=0),0,SUMIFS(Table2[Stat],Table2[Week],Table1[[#This Row],[Week]],Table2[Athlete],Table1[[#This Row],[Pick]],Table2[Stat Category],"receiving",Table2[Stat Type],"TD"))))</f>
        <v>0</v>
      </c>
      <c r="M10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4" s="61">
        <f>SUMIFS(Data!$J:$J,Data!$A:$A,Info!$B1094,Data!$G:$G,Info!$C1094,Data!$I:$I,Info!$D1094,Data!$H:$H,"TOT")</f>
        <v>2</v>
      </c>
      <c r="O1094" s="61">
        <f>IF(C1094="Defensive",SUMIFS(Data!$J:$J,Data!$A:$A,Info!$B1094,Data!$I:$I,Info!$D1094,Data!$H:$H,"INT"),0)</f>
        <v>0</v>
      </c>
      <c r="P1094" s="61">
        <f>IF(Table1[[#This Row],[Role]]="Defensive",SUMIFS(Data!$J:$J,Data!$A:$A,Info!$B1094,Data!$I:$I,Info!$D1094,Data!$H:$H,$P$1),0)</f>
        <v>0</v>
      </c>
      <c r="Q1094" s="72">
        <f>IF(Table1[[#This Row],[Pick]]="","",IF(S1094&gt;1,400,IF(G1094="","",IF(C1094="Passing",(400-Table1[[#This Row],[Passing Yards]]-(30*Table1[[#This Row],[Passing TDs]])-(50*SUM(Table1[[#This Row],[Rushing TDs]:[Other TD''s]]))),IF(C1094="Rushing",2*(200-Table1[[#This Row],[Rushing Yards]]-(30*Table1[[#This Row],[Passing TDs]])-50*(Table1[[#This Row],[Rushing TDs]]+Table1[[#This Row],[Receiving TDs]]+Table1[[#This Row],[Other TD''s]])),IF(C1094="Receiving",2*(200-Table1[[#This Row],[Receiving Yards]]-(30*Table1[[#This Row],[Passing TDs]])-50*(Table1[[#This Row],[Rushing TDs]]+Table1[[#This Row],[Receiving TDs]]+Table1[[#This Row],[Other TD''s]])),IF(C1094="Defensive",(25*(16-Table1[[#This Row],[Tackles]]-(8*(Table1[[#This Row],[Other TD''s]]+Table1[[#This Row],[Interceptions]]+Table1[[#This Row],[Fumbles Recovered]])))))))))))</f>
        <v>350</v>
      </c>
      <c r="R1094" s="3" t="str">
        <f t="shared" si="52"/>
        <v>JonathanDefensiveWhit Weeks</v>
      </c>
      <c r="S1094" s="4">
        <f t="shared" si="53"/>
        <v>1</v>
      </c>
      <c r="T10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2</v>
      </c>
    </row>
    <row r="1095" spans="1:20" hidden="1" x14ac:dyDescent="0.25">
      <c r="A1095" t="s">
        <v>144</v>
      </c>
      <c r="B1095" s="28" t="s">
        <v>44</v>
      </c>
      <c r="C1095" t="s">
        <v>16</v>
      </c>
      <c r="D1095" s="71" t="str">
        <f>_xlfn.XLOOKUP(Table1[[#This Row],[Player]]&amp;Table1[[#This Row],[Week]]&amp;Table1[[#This Row],[Role]],'Google Form Transform'!$A:$A,'Google Form Transform'!E:E,"")</f>
        <v/>
      </c>
      <c r="E1095" t="str">
        <f>_xlfn.XLOOKUP(Table1[[#This Row],[Player]]&amp;Table1[[#This Row],[Week]]&amp;Table1[[#This Row],[Role]],'Google Form Transform'!$A:$A,'Google Form Transform'!F:F,"")</f>
        <v/>
      </c>
      <c r="F1095" t="str">
        <f>_xlfn.XLOOKUP(Table1[[#This Row],[Player]]&amp;Table1[[#This Row],[Week]]&amp;Table1[[#This Row],[Role]],'Google Form Transform'!$A:$A,'Google Form Transform'!G:G,"")</f>
        <v/>
      </c>
      <c r="G1095" s="59">
        <f>SUMIFS(Table2[Stat],Table2[Stat Category],"passing",Table2[Stat Type],"YDS",Table2[Athlete],Table1[[#This Row],[Pick]],Table2[Week],Table1[[#This Row],[Week]])</f>
        <v>0</v>
      </c>
      <c r="H1095" s="59">
        <f>SUMIFS(Table2[Stat],Table2[Stat Category],"rushing",Table2[Stat Type],"YDS",Table2[Athlete],Table1[[#This Row],[Pick]],Table2[Week],Table1[[#This Row],[Week]])</f>
        <v>0</v>
      </c>
      <c r="I1095" s="59">
        <f>SUMIFS(Table2[Stat],Table2[Stat Category],"receiving",Table2[Stat Type],"YDS",Table2[Athlete],Table1[[#This Row],[Pick]],Table2[Week],Table1[[#This Row],[Week]])</f>
        <v>0</v>
      </c>
      <c r="J1095" s="6">
        <f>IF(AND($C1095="Rushing", $H1095&lt;=0), 0, IF(AND($C1095="Passing", $G$3&lt;=0), 0,IF(AND($C1095="Receiving",$I1095&lt;=0), 0,SUMIFS(Table2[Stat],Table2[Week],Table1[[#This Row],[Week]],Table2[Athlete],Table1[[#This Row],[Pick]],Table2[Stat Category],"passing",Table2[Stat Type],"TD"))))</f>
        <v>0</v>
      </c>
      <c r="K1095" s="6">
        <f>IF(AND($C1095="Rushing", $H1095&lt;=0), 0, IF(AND($C1095="Passing", $G$3&lt;=0), 0,IF(AND($C1095="Receiving",$I1095&lt;=0),0,SUMIFS(Table2[Stat],Table2[Week],Table1[[#This Row],[Week]],Table2[Athlete],Table1[[#This Row],[Pick]],Table2[Stat Category],"rushing",Table2[Stat Type],"TD"))))</f>
        <v>0</v>
      </c>
      <c r="L1095" s="6">
        <f>IF(AND($C1095="Rushing", $H1095&lt;=0), 0, IF(AND($C1095="Passing", $G$3&lt;=0), 0,IF(AND($C1095="Receiving",$I1095&lt;=0),0,SUMIFS(Table2[Stat],Table2[Week],Table1[[#This Row],[Week]],Table2[Athlete],Table1[[#This Row],[Pick]],Table2[Stat Category],"receiving",Table2[Stat Type],"TD"))))</f>
        <v>0</v>
      </c>
      <c r="M10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5" s="61">
        <f>SUMIFS(Data!$J:$J,Data!$A:$A,Info!$B1095,Data!$G:$G,Info!$C1095,Data!$I:$I,Info!$D1095,Data!$H:$H,"TOT")</f>
        <v>0</v>
      </c>
      <c r="O1095" s="61">
        <f>IF(C1095="Defensive",SUMIFS(Data!$J:$J,Data!$A:$A,Info!$B1095,Data!$I:$I,Info!$D1095,Data!$H:$H,"INT"),0)</f>
        <v>0</v>
      </c>
      <c r="P1095" s="61">
        <f>IF(Table1[[#This Row],[Role]]="Defensive",SUMIFS(Data!$J:$J,Data!$A:$A,Info!$B1095,Data!$I:$I,Info!$D1095,Data!$H:$H,$P$1),0)</f>
        <v>0</v>
      </c>
      <c r="Q1095" s="72" t="str">
        <f>IF(Table1[[#This Row],[Pick]]="","",IF(S1095&gt;1,400,IF(G1095="","",IF(C1095="Passing",(400-Table1[[#This Row],[Passing Yards]]-(30*Table1[[#This Row],[Passing TDs]])-(50*SUM(Table1[[#This Row],[Rushing TDs]:[Other TD''s]]))),IF(C1095="Rushing",2*(200-Table1[[#This Row],[Rushing Yards]]-(30*Table1[[#This Row],[Passing TDs]])-50*(Table1[[#This Row],[Rushing TDs]]+Table1[[#This Row],[Receiving TDs]]+Table1[[#This Row],[Other TD''s]])),IF(C1095="Receiving",2*(200-Table1[[#This Row],[Receiving Yards]]-(30*Table1[[#This Row],[Passing TDs]])-50*(Table1[[#This Row],[Rushing TDs]]+Table1[[#This Row],[Receiving TDs]]+Table1[[#This Row],[Other TD''s]])),IF(C1095="Defensive",(25*(16-Table1[[#This Row],[Tackles]]-(8*(Table1[[#This Row],[Other TD''s]]+Table1[[#This Row],[Interceptions]]+Table1[[#This Row],[Fumbles Recovered]])))))))))))</f>
        <v/>
      </c>
      <c r="R1095" s="3" t="str">
        <f t="shared" si="52"/>
        <v/>
      </c>
      <c r="S1095" s="4">
        <f t="shared" si="53"/>
        <v>1048507</v>
      </c>
      <c r="T10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96" spans="1:20" hidden="1" x14ac:dyDescent="0.25">
      <c r="A1096" t="s">
        <v>144</v>
      </c>
      <c r="B1096" s="28" t="s">
        <v>44</v>
      </c>
      <c r="C1096" t="s">
        <v>6</v>
      </c>
      <c r="D1096" s="71" t="str">
        <f>_xlfn.XLOOKUP(Table1[[#This Row],[Player]]&amp;Table1[[#This Row],[Week]]&amp;Table1[[#This Row],[Role]],'Google Form Transform'!$A:$A,'Google Form Transform'!E:E,"")</f>
        <v/>
      </c>
      <c r="E1096" t="str">
        <f>_xlfn.XLOOKUP(Table1[[#This Row],[Player]]&amp;Table1[[#This Row],[Week]]&amp;Table1[[#This Row],[Role]],'Google Form Transform'!$A:$A,'Google Form Transform'!F:F,"")</f>
        <v/>
      </c>
      <c r="F1096" t="str">
        <f>_xlfn.XLOOKUP(Table1[[#This Row],[Player]]&amp;Table1[[#This Row],[Week]]&amp;Table1[[#This Row],[Role]],'Google Form Transform'!$A:$A,'Google Form Transform'!G:G,"")</f>
        <v/>
      </c>
      <c r="G1096" s="59">
        <f>SUMIFS(Table2[Stat],Table2[Stat Category],"passing",Table2[Stat Type],"YDS",Table2[Athlete],Table1[[#This Row],[Pick]],Table2[Week],Table1[[#This Row],[Week]])</f>
        <v>0</v>
      </c>
      <c r="H1096" s="59">
        <f>SUMIFS(Table2[Stat],Table2[Stat Category],"rushing",Table2[Stat Type],"YDS",Table2[Athlete],Table1[[#This Row],[Pick]],Table2[Week],Table1[[#This Row],[Week]])</f>
        <v>0</v>
      </c>
      <c r="I1096" s="59">
        <f>SUMIFS(Table2[Stat],Table2[Stat Category],"receiving",Table2[Stat Type],"YDS",Table2[Athlete],Table1[[#This Row],[Pick]],Table2[Week],Table1[[#This Row],[Week]])</f>
        <v>0</v>
      </c>
      <c r="J1096" s="6">
        <f>IF(AND($C1096="Rushing", $H1096&lt;=0), 0, IF(AND($C1096="Passing", $G$3&lt;=0), 0,IF(AND($C1096="Receiving",$I1096&lt;=0), 0,SUMIFS(Table2[Stat],Table2[Week],Table1[[#This Row],[Week]],Table2[Athlete],Table1[[#This Row],[Pick]],Table2[Stat Category],"passing",Table2[Stat Type],"TD"))))</f>
        <v>0</v>
      </c>
      <c r="K1096" s="6">
        <f>IF(AND($C1096="Rushing", $H1096&lt;=0), 0, IF(AND($C1096="Passing", $G$3&lt;=0), 0,IF(AND($C1096="Receiving",$I1096&lt;=0),0,SUMIFS(Table2[Stat],Table2[Week],Table1[[#This Row],[Week]],Table2[Athlete],Table1[[#This Row],[Pick]],Table2[Stat Category],"rushing",Table2[Stat Type],"TD"))))</f>
        <v>0</v>
      </c>
      <c r="L1096" s="6">
        <f>IF(AND($C1096="Rushing", $H1096&lt;=0), 0, IF(AND($C1096="Passing", $G$3&lt;=0), 0,IF(AND($C1096="Receiving",$I1096&lt;=0),0,SUMIFS(Table2[Stat],Table2[Week],Table1[[#This Row],[Week]],Table2[Athlete],Table1[[#This Row],[Pick]],Table2[Stat Category],"receiving",Table2[Stat Type],"TD"))))</f>
        <v>0</v>
      </c>
      <c r="M10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6" s="61">
        <f>SUMIFS(Data!$J:$J,Data!$A:$A,Info!$B1096,Data!$G:$G,Info!$C1096,Data!$I:$I,Info!$D1096,Data!$H:$H,"TOT")</f>
        <v>0</v>
      </c>
      <c r="O1096" s="61">
        <f>IF(C1096="Defensive",SUMIFS(Data!$J:$J,Data!$A:$A,Info!$B1096,Data!$I:$I,Info!$D1096,Data!$H:$H,"INT"),0)</f>
        <v>0</v>
      </c>
      <c r="P1096" s="61">
        <f>IF(Table1[[#This Row],[Role]]="Defensive",SUMIFS(Data!$J:$J,Data!$A:$A,Info!$B1096,Data!$I:$I,Info!$D1096,Data!$H:$H,$P$1),0)</f>
        <v>0</v>
      </c>
      <c r="Q1096" s="72" t="str">
        <f>IF(Table1[[#This Row],[Pick]]="","",IF(S1096&gt;1,400,IF(G1096="","",IF(C1096="Passing",(400-Table1[[#This Row],[Passing Yards]]-(30*Table1[[#This Row],[Passing TDs]])-(50*SUM(Table1[[#This Row],[Rushing TDs]:[Other TD''s]]))),IF(C1096="Rushing",2*(200-Table1[[#This Row],[Rushing Yards]]-(30*Table1[[#This Row],[Passing TDs]])-50*(Table1[[#This Row],[Rushing TDs]]+Table1[[#This Row],[Receiving TDs]]+Table1[[#This Row],[Other TD''s]])),IF(C1096="Receiving",2*(200-Table1[[#This Row],[Receiving Yards]]-(30*Table1[[#This Row],[Passing TDs]])-50*(Table1[[#This Row],[Rushing TDs]]+Table1[[#This Row],[Receiving TDs]]+Table1[[#This Row],[Other TD''s]])),IF(C1096="Defensive",(25*(16-Table1[[#This Row],[Tackles]]-(8*(Table1[[#This Row],[Other TD''s]]+Table1[[#This Row],[Interceptions]]+Table1[[#This Row],[Fumbles Recovered]])))))))))))</f>
        <v/>
      </c>
      <c r="R1096" s="3" t="str">
        <f t="shared" si="52"/>
        <v/>
      </c>
      <c r="S1096" s="4">
        <f t="shared" si="53"/>
        <v>1048507</v>
      </c>
      <c r="T10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97" spans="1:20" hidden="1" x14ac:dyDescent="0.25">
      <c r="A1097" t="s">
        <v>144</v>
      </c>
      <c r="B1097" s="28" t="s">
        <v>44</v>
      </c>
      <c r="C1097" t="s">
        <v>17</v>
      </c>
      <c r="D1097" s="71" t="str">
        <f>_xlfn.XLOOKUP(Table1[[#This Row],[Player]]&amp;Table1[[#This Row],[Week]]&amp;Table1[[#This Row],[Role]],'Google Form Transform'!$A:$A,'Google Form Transform'!E:E,"")</f>
        <v/>
      </c>
      <c r="E1097" t="str">
        <f>_xlfn.XLOOKUP(Table1[[#This Row],[Player]]&amp;Table1[[#This Row],[Week]]&amp;Table1[[#This Row],[Role]],'Google Form Transform'!$A:$A,'Google Form Transform'!F:F,"")</f>
        <v/>
      </c>
      <c r="F1097" t="str">
        <f>_xlfn.XLOOKUP(Table1[[#This Row],[Player]]&amp;Table1[[#This Row],[Week]]&amp;Table1[[#This Row],[Role]],'Google Form Transform'!$A:$A,'Google Form Transform'!G:G,"")</f>
        <v/>
      </c>
      <c r="G1097" s="59">
        <f>SUMIFS(Table2[Stat],Table2[Stat Category],"passing",Table2[Stat Type],"YDS",Table2[Athlete],Table1[[#This Row],[Pick]],Table2[Week],Table1[[#This Row],[Week]])</f>
        <v>0</v>
      </c>
      <c r="H1097" s="59">
        <f>SUMIFS(Table2[Stat],Table2[Stat Category],"rushing",Table2[Stat Type],"YDS",Table2[Athlete],Table1[[#This Row],[Pick]],Table2[Week],Table1[[#This Row],[Week]])</f>
        <v>0</v>
      </c>
      <c r="I1097" s="59">
        <f>SUMIFS(Table2[Stat],Table2[Stat Category],"receiving",Table2[Stat Type],"YDS",Table2[Athlete],Table1[[#This Row],[Pick]],Table2[Week],Table1[[#This Row],[Week]])</f>
        <v>0</v>
      </c>
      <c r="J1097" s="6">
        <f>IF(AND($C1097="Rushing", $H1097&lt;=0), 0, IF(AND($C1097="Passing", $G$3&lt;=0), 0,IF(AND($C1097="Receiving",$I1097&lt;=0), 0,SUMIFS(Table2[Stat],Table2[Week],Table1[[#This Row],[Week]],Table2[Athlete],Table1[[#This Row],[Pick]],Table2[Stat Category],"passing",Table2[Stat Type],"TD"))))</f>
        <v>0</v>
      </c>
      <c r="K1097" s="6">
        <f>IF(AND($C1097="Rushing", $H1097&lt;=0), 0, IF(AND($C1097="Passing", $G$3&lt;=0), 0,IF(AND($C1097="Receiving",$I1097&lt;=0),0,SUMIFS(Table2[Stat],Table2[Week],Table1[[#This Row],[Week]],Table2[Athlete],Table1[[#This Row],[Pick]],Table2[Stat Category],"rushing",Table2[Stat Type],"TD"))))</f>
        <v>0</v>
      </c>
      <c r="L1097" s="6">
        <f>IF(AND($C1097="Rushing", $H1097&lt;=0), 0, IF(AND($C1097="Passing", $G$3&lt;=0), 0,IF(AND($C1097="Receiving",$I1097&lt;=0),0,SUMIFS(Table2[Stat],Table2[Week],Table1[[#This Row],[Week]],Table2[Athlete],Table1[[#This Row],[Pick]],Table2[Stat Category],"receiving",Table2[Stat Type],"TD"))))</f>
        <v>0</v>
      </c>
      <c r="M10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7" s="61">
        <f>SUMIFS(Data!$J:$J,Data!$A:$A,Info!$B1097,Data!$G:$G,Info!$C1097,Data!$I:$I,Info!$D1097,Data!$H:$H,"TOT")</f>
        <v>0</v>
      </c>
      <c r="O1097" s="61">
        <f>IF(C1097="Defensive",SUMIFS(Data!$J:$J,Data!$A:$A,Info!$B1097,Data!$I:$I,Info!$D1097,Data!$H:$H,"INT"),0)</f>
        <v>0</v>
      </c>
      <c r="P1097" s="61">
        <f>IF(Table1[[#This Row],[Role]]="Defensive",SUMIFS(Data!$J:$J,Data!$A:$A,Info!$B1097,Data!$I:$I,Info!$D1097,Data!$H:$H,$P$1),0)</f>
        <v>0</v>
      </c>
      <c r="Q1097" s="72" t="str">
        <f>IF(Table1[[#This Row],[Pick]]="","",IF(S1097&gt;1,400,IF(G1097="","",IF(C1097="Passing",(400-Table1[[#This Row],[Passing Yards]]-(30*Table1[[#This Row],[Passing TDs]])-(50*SUM(Table1[[#This Row],[Rushing TDs]:[Other TD''s]]))),IF(C1097="Rushing",2*(200-Table1[[#This Row],[Rushing Yards]]-(30*Table1[[#This Row],[Passing TDs]])-50*(Table1[[#This Row],[Rushing TDs]]+Table1[[#This Row],[Receiving TDs]]+Table1[[#This Row],[Other TD''s]])),IF(C1097="Receiving",2*(200-Table1[[#This Row],[Receiving Yards]]-(30*Table1[[#This Row],[Passing TDs]])-50*(Table1[[#This Row],[Rushing TDs]]+Table1[[#This Row],[Receiving TDs]]+Table1[[#This Row],[Other TD''s]])),IF(C1097="Defensive",(25*(16-Table1[[#This Row],[Tackles]]-(8*(Table1[[#This Row],[Other TD''s]]+Table1[[#This Row],[Interceptions]]+Table1[[#This Row],[Fumbles Recovered]])))))))))))</f>
        <v/>
      </c>
      <c r="R1097" s="3" t="str">
        <f t="shared" si="52"/>
        <v/>
      </c>
      <c r="S1097" s="4">
        <f t="shared" si="53"/>
        <v>1048507</v>
      </c>
      <c r="T10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98" spans="1:20" hidden="1" x14ac:dyDescent="0.25">
      <c r="A1098" t="s">
        <v>144</v>
      </c>
      <c r="B1098" s="28" t="s">
        <v>44</v>
      </c>
      <c r="C1098" t="s">
        <v>20</v>
      </c>
      <c r="D1098" s="71" t="str">
        <f>_xlfn.XLOOKUP(Table1[[#This Row],[Player]]&amp;Table1[[#This Row],[Week]]&amp;Table1[[#This Row],[Role]],'Google Form Transform'!$A:$A,'Google Form Transform'!E:E,"")</f>
        <v/>
      </c>
      <c r="E1098" t="str">
        <f>_xlfn.XLOOKUP(Table1[[#This Row],[Player]]&amp;Table1[[#This Row],[Week]]&amp;Table1[[#This Row],[Role]],'Google Form Transform'!$A:$A,'Google Form Transform'!F:F,"")</f>
        <v/>
      </c>
      <c r="F1098" t="str">
        <f>_xlfn.XLOOKUP(Table1[[#This Row],[Player]]&amp;Table1[[#This Row],[Week]]&amp;Table1[[#This Row],[Role]],'Google Form Transform'!$A:$A,'Google Form Transform'!G:G,"")</f>
        <v/>
      </c>
      <c r="G1098" s="59">
        <f>SUMIFS(Table2[Stat],Table2[Stat Category],"passing",Table2[Stat Type],"YDS",Table2[Athlete],Table1[[#This Row],[Pick]],Table2[Week],Table1[[#This Row],[Week]])</f>
        <v>0</v>
      </c>
      <c r="H1098" s="59">
        <f>SUMIFS(Table2[Stat],Table2[Stat Category],"rushing",Table2[Stat Type],"YDS",Table2[Athlete],Table1[[#This Row],[Pick]],Table2[Week],Table1[[#This Row],[Week]])</f>
        <v>0</v>
      </c>
      <c r="I1098" s="59">
        <f>SUMIFS(Table2[Stat],Table2[Stat Category],"receiving",Table2[Stat Type],"YDS",Table2[Athlete],Table1[[#This Row],[Pick]],Table2[Week],Table1[[#This Row],[Week]])</f>
        <v>0</v>
      </c>
      <c r="J1098" s="6">
        <f>IF(AND($C1098="Rushing", $H1098&lt;=0), 0, IF(AND($C1098="Passing", $G$3&lt;=0), 0,IF(AND($C1098="Receiving",$I1098&lt;=0), 0,SUMIFS(Table2[Stat],Table2[Week],Table1[[#This Row],[Week]],Table2[Athlete],Table1[[#This Row],[Pick]],Table2[Stat Category],"passing",Table2[Stat Type],"TD"))))</f>
        <v>0</v>
      </c>
      <c r="K1098" s="6">
        <f>IF(AND($C1098="Rushing", $H1098&lt;=0), 0, IF(AND($C1098="Passing", $G$3&lt;=0), 0,IF(AND($C1098="Receiving",$I1098&lt;=0),0,SUMIFS(Table2[Stat],Table2[Week],Table1[[#This Row],[Week]],Table2[Athlete],Table1[[#This Row],[Pick]],Table2[Stat Category],"rushing",Table2[Stat Type],"TD"))))</f>
        <v>0</v>
      </c>
      <c r="L1098" s="6">
        <f>IF(AND($C1098="Rushing", $H1098&lt;=0), 0, IF(AND($C1098="Passing", $G$3&lt;=0), 0,IF(AND($C1098="Receiving",$I1098&lt;=0),0,SUMIFS(Table2[Stat],Table2[Week],Table1[[#This Row],[Week]],Table2[Athlete],Table1[[#This Row],[Pick]],Table2[Stat Category],"receiving",Table2[Stat Type],"TD"))))</f>
        <v>0</v>
      </c>
      <c r="M10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8" s="61">
        <f>SUMIFS(Data!$J:$J,Data!$A:$A,Info!$B1098,Data!$G:$G,Info!$C1098,Data!$I:$I,Info!$D1098,Data!$H:$H,"TOT")</f>
        <v>0</v>
      </c>
      <c r="O1098" s="61">
        <f>IF(C1098="Defensive",SUMIFS(Data!$J:$J,Data!$A:$A,Info!$B1098,Data!$I:$I,Info!$D1098,Data!$H:$H,"INT"),0)</f>
        <v>0</v>
      </c>
      <c r="P1098" s="61">
        <f>IF(Table1[[#This Row],[Role]]="Defensive",SUMIFS(Data!$J:$J,Data!$A:$A,Info!$B1098,Data!$I:$I,Info!$D1098,Data!$H:$H,$P$1),0)</f>
        <v>0</v>
      </c>
      <c r="Q1098" s="72" t="str">
        <f>IF(Table1[[#This Row],[Pick]]="","",IF(S1098&gt;1,400,IF(G1098="","",IF(C1098="Passing",(400-Table1[[#This Row],[Passing Yards]]-(30*Table1[[#This Row],[Passing TDs]])-(50*SUM(Table1[[#This Row],[Rushing TDs]:[Other TD''s]]))),IF(C1098="Rushing",2*(200-Table1[[#This Row],[Rushing Yards]]-(30*Table1[[#This Row],[Passing TDs]])-50*(Table1[[#This Row],[Rushing TDs]]+Table1[[#This Row],[Receiving TDs]]+Table1[[#This Row],[Other TD''s]])),IF(C1098="Receiving",2*(200-Table1[[#This Row],[Receiving Yards]]-(30*Table1[[#This Row],[Passing TDs]])-50*(Table1[[#This Row],[Rushing TDs]]+Table1[[#This Row],[Receiving TDs]]+Table1[[#This Row],[Other TD''s]])),IF(C1098="Defensive",(25*(16-Table1[[#This Row],[Tackles]]-(8*(Table1[[#This Row],[Other TD''s]]+Table1[[#This Row],[Interceptions]]+Table1[[#This Row],[Fumbles Recovered]])))))))))))</f>
        <v/>
      </c>
      <c r="R1098" s="3" t="str">
        <f t="shared" si="52"/>
        <v/>
      </c>
      <c r="S1098" s="4">
        <f t="shared" si="53"/>
        <v>1048507</v>
      </c>
      <c r="T10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99" spans="1:20" hidden="1" x14ac:dyDescent="0.25">
      <c r="A1099" t="s">
        <v>144</v>
      </c>
      <c r="B1099" s="28" t="s">
        <v>45</v>
      </c>
      <c r="C1099" t="s">
        <v>16</v>
      </c>
      <c r="D1099" s="71" t="str">
        <f>_xlfn.XLOOKUP(Table1[[#This Row],[Player]]&amp;Table1[[#This Row],[Week]]&amp;Table1[[#This Row],[Role]],'Google Form Transform'!$A:$A,'Google Form Transform'!E:E,"")</f>
        <v/>
      </c>
      <c r="E1099" t="str">
        <f>_xlfn.XLOOKUP(Table1[[#This Row],[Player]]&amp;Table1[[#This Row],[Week]]&amp;Table1[[#This Row],[Role]],'Google Form Transform'!$A:$A,'Google Form Transform'!F:F,"")</f>
        <v/>
      </c>
      <c r="F1099" t="str">
        <f>_xlfn.XLOOKUP(Table1[[#This Row],[Player]]&amp;Table1[[#This Row],[Week]]&amp;Table1[[#This Row],[Role]],'Google Form Transform'!$A:$A,'Google Form Transform'!G:G,"")</f>
        <v/>
      </c>
      <c r="G1099" s="59">
        <f>SUMIFS(Table2[Stat],Table2[Stat Category],"passing",Table2[Stat Type],"YDS",Table2[Athlete],Table1[[#This Row],[Pick]],Table2[Week],Table1[[#This Row],[Week]])</f>
        <v>0</v>
      </c>
      <c r="H1099" s="59">
        <f>SUMIFS(Table2[Stat],Table2[Stat Category],"rushing",Table2[Stat Type],"YDS",Table2[Athlete],Table1[[#This Row],[Pick]],Table2[Week],Table1[[#This Row],[Week]])</f>
        <v>0</v>
      </c>
      <c r="I1099" s="59">
        <f>SUMIFS(Table2[Stat],Table2[Stat Category],"receiving",Table2[Stat Type],"YDS",Table2[Athlete],Table1[[#This Row],[Pick]],Table2[Week],Table1[[#This Row],[Week]])</f>
        <v>0</v>
      </c>
      <c r="J1099" s="6">
        <f>IF(AND($C1099="Rushing", $H1099&lt;=0), 0, IF(AND($C1099="Passing", $G$3&lt;=0), 0,IF(AND($C1099="Receiving",$I1099&lt;=0), 0,SUMIFS(Table2[Stat],Table2[Week],Table1[[#This Row],[Week]],Table2[Athlete],Table1[[#This Row],[Pick]],Table2[Stat Category],"passing",Table2[Stat Type],"TD"))))</f>
        <v>0</v>
      </c>
      <c r="K1099" s="6">
        <f>IF(AND($C1099="Rushing", $H1099&lt;=0), 0, IF(AND($C1099="Passing", $G$3&lt;=0), 0,IF(AND($C1099="Receiving",$I1099&lt;=0),0,SUMIFS(Table2[Stat],Table2[Week],Table1[[#This Row],[Week]],Table2[Athlete],Table1[[#This Row],[Pick]],Table2[Stat Category],"rushing",Table2[Stat Type],"TD"))))</f>
        <v>0</v>
      </c>
      <c r="L1099" s="6">
        <f>IF(AND($C1099="Rushing", $H1099&lt;=0), 0, IF(AND($C1099="Passing", $G$3&lt;=0), 0,IF(AND($C1099="Receiving",$I1099&lt;=0),0,SUMIFS(Table2[Stat],Table2[Week],Table1[[#This Row],[Week]],Table2[Athlete],Table1[[#This Row],[Pick]],Table2[Stat Category],"receiving",Table2[Stat Type],"TD"))))</f>
        <v>0</v>
      </c>
      <c r="M10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9" s="61">
        <f>SUMIFS(Data!$J:$J,Data!$A:$A,Info!$B1099,Data!$G:$G,Info!$C1099,Data!$I:$I,Info!$D1099,Data!$H:$H,"TOT")</f>
        <v>0</v>
      </c>
      <c r="O1099" s="61">
        <f>IF(C1099="Defensive",SUMIFS(Data!$J:$J,Data!$A:$A,Info!$B1099,Data!$I:$I,Info!$D1099,Data!$H:$H,"INT"),0)</f>
        <v>0</v>
      </c>
      <c r="P1099" s="61">
        <f>IF(Table1[[#This Row],[Role]]="Defensive",SUMIFS(Data!$J:$J,Data!$A:$A,Info!$B1099,Data!$I:$I,Info!$D1099,Data!$H:$H,$P$1),0)</f>
        <v>0</v>
      </c>
      <c r="Q1099" s="72" t="str">
        <f>IF(Table1[[#This Row],[Pick]]="","",IF(S1099&gt;1,400,IF(G1099="","",IF(C1099="Passing",(400-Table1[[#This Row],[Passing Yards]]-(30*Table1[[#This Row],[Passing TDs]])-(50*SUM(Table1[[#This Row],[Rushing TDs]:[Other TD''s]]))),IF(C1099="Rushing",2*(200-Table1[[#This Row],[Rushing Yards]]-(30*Table1[[#This Row],[Passing TDs]])-50*(Table1[[#This Row],[Rushing TDs]]+Table1[[#This Row],[Receiving TDs]]+Table1[[#This Row],[Other TD''s]])),IF(C1099="Receiving",2*(200-Table1[[#This Row],[Receiving Yards]]-(30*Table1[[#This Row],[Passing TDs]])-50*(Table1[[#This Row],[Rushing TDs]]+Table1[[#This Row],[Receiving TDs]]+Table1[[#This Row],[Other TD''s]])),IF(C1099="Defensive",(25*(16-Table1[[#This Row],[Tackles]]-(8*(Table1[[#This Row],[Other TD''s]]+Table1[[#This Row],[Interceptions]]+Table1[[#This Row],[Fumbles Recovered]])))))))))))</f>
        <v/>
      </c>
      <c r="R1099" s="3" t="str">
        <f t="shared" si="52"/>
        <v/>
      </c>
      <c r="S1099" s="4">
        <f t="shared" si="53"/>
        <v>1048507</v>
      </c>
      <c r="T10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0" spans="1:20" hidden="1" x14ac:dyDescent="0.25">
      <c r="A1100" t="s">
        <v>144</v>
      </c>
      <c r="B1100" s="28" t="s">
        <v>45</v>
      </c>
      <c r="C1100" t="s">
        <v>6</v>
      </c>
      <c r="D1100" s="71" t="str">
        <f>_xlfn.XLOOKUP(Table1[[#This Row],[Player]]&amp;Table1[[#This Row],[Week]]&amp;Table1[[#This Row],[Role]],'Google Form Transform'!$A:$A,'Google Form Transform'!E:E,"")</f>
        <v/>
      </c>
      <c r="E1100" t="str">
        <f>_xlfn.XLOOKUP(Table1[[#This Row],[Player]]&amp;Table1[[#This Row],[Week]]&amp;Table1[[#This Row],[Role]],'Google Form Transform'!$A:$A,'Google Form Transform'!F:F,"")</f>
        <v/>
      </c>
      <c r="F1100" t="str">
        <f>_xlfn.XLOOKUP(Table1[[#This Row],[Player]]&amp;Table1[[#This Row],[Week]]&amp;Table1[[#This Row],[Role]],'Google Form Transform'!$A:$A,'Google Form Transform'!G:G,"")</f>
        <v/>
      </c>
      <c r="G1100" s="59">
        <f>SUMIFS(Table2[Stat],Table2[Stat Category],"passing",Table2[Stat Type],"YDS",Table2[Athlete],Table1[[#This Row],[Pick]],Table2[Week],Table1[[#This Row],[Week]])</f>
        <v>0</v>
      </c>
      <c r="H1100" s="59">
        <f>SUMIFS(Table2[Stat],Table2[Stat Category],"rushing",Table2[Stat Type],"YDS",Table2[Athlete],Table1[[#This Row],[Pick]],Table2[Week],Table1[[#This Row],[Week]])</f>
        <v>0</v>
      </c>
      <c r="I1100" s="59">
        <f>SUMIFS(Table2[Stat],Table2[Stat Category],"receiving",Table2[Stat Type],"YDS",Table2[Athlete],Table1[[#This Row],[Pick]],Table2[Week],Table1[[#This Row],[Week]])</f>
        <v>0</v>
      </c>
      <c r="J1100" s="6">
        <f>IF(AND($C1100="Rushing", $H1100&lt;=0), 0, IF(AND($C1100="Passing", $G$3&lt;=0), 0,IF(AND($C1100="Receiving",$I1100&lt;=0), 0,SUMIFS(Table2[Stat],Table2[Week],Table1[[#This Row],[Week]],Table2[Athlete],Table1[[#This Row],[Pick]],Table2[Stat Category],"passing",Table2[Stat Type],"TD"))))</f>
        <v>0</v>
      </c>
      <c r="K1100" s="6">
        <f>IF(AND($C1100="Rushing", $H1100&lt;=0), 0, IF(AND($C1100="Passing", $G$3&lt;=0), 0,IF(AND($C1100="Receiving",$I1100&lt;=0),0,SUMIFS(Table2[Stat],Table2[Week],Table1[[#This Row],[Week]],Table2[Athlete],Table1[[#This Row],[Pick]],Table2[Stat Category],"rushing",Table2[Stat Type],"TD"))))</f>
        <v>0</v>
      </c>
      <c r="L1100" s="6">
        <f>IF(AND($C1100="Rushing", $H1100&lt;=0), 0, IF(AND($C1100="Passing", $G$3&lt;=0), 0,IF(AND($C1100="Receiving",$I1100&lt;=0),0,SUMIFS(Table2[Stat],Table2[Week],Table1[[#This Row],[Week]],Table2[Athlete],Table1[[#This Row],[Pick]],Table2[Stat Category],"receiving",Table2[Stat Type],"TD"))))</f>
        <v>0</v>
      </c>
      <c r="M11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0" s="61">
        <f>SUMIFS(Data!$J:$J,Data!$A:$A,Info!$B1100,Data!$G:$G,Info!$C1100,Data!$I:$I,Info!$D1100,Data!$H:$H,"TOT")</f>
        <v>0</v>
      </c>
      <c r="O1100" s="61">
        <f>IF(C1100="Defensive",SUMIFS(Data!$J:$J,Data!$A:$A,Info!$B1100,Data!$I:$I,Info!$D1100,Data!$H:$H,"INT"),0)</f>
        <v>0</v>
      </c>
      <c r="P1100" s="61">
        <f>IF(Table1[[#This Row],[Role]]="Defensive",SUMIFS(Data!$J:$J,Data!$A:$A,Info!$B1100,Data!$I:$I,Info!$D1100,Data!$H:$H,$P$1),0)</f>
        <v>0</v>
      </c>
      <c r="Q1100" s="72" t="str">
        <f>IF(Table1[[#This Row],[Pick]]="","",IF(S1100&gt;1,400,IF(G1100="","",IF(C1100="Passing",(400-Table1[[#This Row],[Passing Yards]]-(30*Table1[[#This Row],[Passing TDs]])-(50*SUM(Table1[[#This Row],[Rushing TDs]:[Other TD''s]]))),IF(C1100="Rushing",2*(200-Table1[[#This Row],[Rushing Yards]]-(30*Table1[[#This Row],[Passing TDs]])-50*(Table1[[#This Row],[Rushing TDs]]+Table1[[#This Row],[Receiving TDs]]+Table1[[#This Row],[Other TD''s]])),IF(C1100="Receiving",2*(200-Table1[[#This Row],[Receiving Yards]]-(30*Table1[[#This Row],[Passing TDs]])-50*(Table1[[#This Row],[Rushing TDs]]+Table1[[#This Row],[Receiving TDs]]+Table1[[#This Row],[Other TD''s]])),IF(C1100="Defensive",(25*(16-Table1[[#This Row],[Tackles]]-(8*(Table1[[#This Row],[Other TD''s]]+Table1[[#This Row],[Interceptions]]+Table1[[#This Row],[Fumbles Recovered]])))))))))))</f>
        <v/>
      </c>
      <c r="R1100" s="3" t="str">
        <f t="shared" si="52"/>
        <v/>
      </c>
      <c r="S1100" s="4">
        <f t="shared" si="53"/>
        <v>1048507</v>
      </c>
      <c r="T11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1" spans="1:20" hidden="1" x14ac:dyDescent="0.25">
      <c r="A1101" t="s">
        <v>144</v>
      </c>
      <c r="B1101" s="28" t="s">
        <v>45</v>
      </c>
      <c r="C1101" t="s">
        <v>17</v>
      </c>
      <c r="D1101" s="71" t="str">
        <f>_xlfn.XLOOKUP(Table1[[#This Row],[Player]]&amp;Table1[[#This Row],[Week]]&amp;Table1[[#This Row],[Role]],'Google Form Transform'!$A:$A,'Google Form Transform'!E:E,"")</f>
        <v/>
      </c>
      <c r="E1101" t="str">
        <f>_xlfn.XLOOKUP(Table1[[#This Row],[Player]]&amp;Table1[[#This Row],[Week]]&amp;Table1[[#This Row],[Role]],'Google Form Transform'!$A:$A,'Google Form Transform'!F:F,"")</f>
        <v/>
      </c>
      <c r="F1101" t="str">
        <f>_xlfn.XLOOKUP(Table1[[#This Row],[Player]]&amp;Table1[[#This Row],[Week]]&amp;Table1[[#This Row],[Role]],'Google Form Transform'!$A:$A,'Google Form Transform'!G:G,"")</f>
        <v/>
      </c>
      <c r="G1101" s="59">
        <f>SUMIFS(Table2[Stat],Table2[Stat Category],"passing",Table2[Stat Type],"YDS",Table2[Athlete],Table1[[#This Row],[Pick]],Table2[Week],Table1[[#This Row],[Week]])</f>
        <v>0</v>
      </c>
      <c r="H1101" s="59">
        <f>SUMIFS(Table2[Stat],Table2[Stat Category],"rushing",Table2[Stat Type],"YDS",Table2[Athlete],Table1[[#This Row],[Pick]],Table2[Week],Table1[[#This Row],[Week]])</f>
        <v>0</v>
      </c>
      <c r="I1101" s="59">
        <f>SUMIFS(Table2[Stat],Table2[Stat Category],"receiving",Table2[Stat Type],"YDS",Table2[Athlete],Table1[[#This Row],[Pick]],Table2[Week],Table1[[#This Row],[Week]])</f>
        <v>0</v>
      </c>
      <c r="J1101" s="6">
        <f>IF(AND($C1101="Rushing", $H1101&lt;=0), 0, IF(AND($C1101="Passing", $G$3&lt;=0), 0,IF(AND($C1101="Receiving",$I1101&lt;=0), 0,SUMIFS(Table2[Stat],Table2[Week],Table1[[#This Row],[Week]],Table2[Athlete],Table1[[#This Row],[Pick]],Table2[Stat Category],"passing",Table2[Stat Type],"TD"))))</f>
        <v>0</v>
      </c>
      <c r="K1101" s="6">
        <f>IF(AND($C1101="Rushing", $H1101&lt;=0), 0, IF(AND($C1101="Passing", $G$3&lt;=0), 0,IF(AND($C1101="Receiving",$I1101&lt;=0),0,SUMIFS(Table2[Stat],Table2[Week],Table1[[#This Row],[Week]],Table2[Athlete],Table1[[#This Row],[Pick]],Table2[Stat Category],"rushing",Table2[Stat Type],"TD"))))</f>
        <v>0</v>
      </c>
      <c r="L1101" s="6">
        <f>IF(AND($C1101="Rushing", $H1101&lt;=0), 0, IF(AND($C1101="Passing", $G$3&lt;=0), 0,IF(AND($C1101="Receiving",$I1101&lt;=0),0,SUMIFS(Table2[Stat],Table2[Week],Table1[[#This Row],[Week]],Table2[Athlete],Table1[[#This Row],[Pick]],Table2[Stat Category],"receiving",Table2[Stat Type],"TD"))))</f>
        <v>0</v>
      </c>
      <c r="M11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1" s="61">
        <f>SUMIFS(Data!$J:$J,Data!$A:$A,Info!$B1101,Data!$G:$G,Info!$C1101,Data!$I:$I,Info!$D1101,Data!$H:$H,"TOT")</f>
        <v>0</v>
      </c>
      <c r="O1101" s="61">
        <f>IF(C1101="Defensive",SUMIFS(Data!$J:$J,Data!$A:$A,Info!$B1101,Data!$I:$I,Info!$D1101,Data!$H:$H,"INT"),0)</f>
        <v>0</v>
      </c>
      <c r="P1101" s="61">
        <f>IF(Table1[[#This Row],[Role]]="Defensive",SUMIFS(Data!$J:$J,Data!$A:$A,Info!$B1101,Data!$I:$I,Info!$D1101,Data!$H:$H,$P$1),0)</f>
        <v>0</v>
      </c>
      <c r="Q1101" s="72" t="str">
        <f>IF(Table1[[#This Row],[Pick]]="","",IF(S1101&gt;1,400,IF(G1101="","",IF(C1101="Passing",(400-Table1[[#This Row],[Passing Yards]]-(30*Table1[[#This Row],[Passing TDs]])-(50*SUM(Table1[[#This Row],[Rushing TDs]:[Other TD''s]]))),IF(C1101="Rushing",2*(200-Table1[[#This Row],[Rushing Yards]]-(30*Table1[[#This Row],[Passing TDs]])-50*(Table1[[#This Row],[Rushing TDs]]+Table1[[#This Row],[Receiving TDs]]+Table1[[#This Row],[Other TD''s]])),IF(C1101="Receiving",2*(200-Table1[[#This Row],[Receiving Yards]]-(30*Table1[[#This Row],[Passing TDs]])-50*(Table1[[#This Row],[Rushing TDs]]+Table1[[#This Row],[Receiving TDs]]+Table1[[#This Row],[Other TD''s]])),IF(C1101="Defensive",(25*(16-Table1[[#This Row],[Tackles]]-(8*(Table1[[#This Row],[Other TD''s]]+Table1[[#This Row],[Interceptions]]+Table1[[#This Row],[Fumbles Recovered]])))))))))))</f>
        <v/>
      </c>
      <c r="R1101" s="3" t="str">
        <f t="shared" si="52"/>
        <v/>
      </c>
      <c r="S1101" s="4">
        <f t="shared" si="53"/>
        <v>1048507</v>
      </c>
      <c r="T11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2" spans="1:20" hidden="1" x14ac:dyDescent="0.25">
      <c r="A1102" t="s">
        <v>144</v>
      </c>
      <c r="B1102" s="28" t="s">
        <v>45</v>
      </c>
      <c r="C1102" t="s">
        <v>20</v>
      </c>
      <c r="D1102" s="71" t="str">
        <f>_xlfn.XLOOKUP(Table1[[#This Row],[Player]]&amp;Table1[[#This Row],[Week]]&amp;Table1[[#This Row],[Role]],'Google Form Transform'!$A:$A,'Google Form Transform'!E:E,"")</f>
        <v/>
      </c>
      <c r="E1102" t="str">
        <f>_xlfn.XLOOKUP(Table1[[#This Row],[Player]]&amp;Table1[[#This Row],[Week]]&amp;Table1[[#This Row],[Role]],'Google Form Transform'!$A:$A,'Google Form Transform'!F:F,"")</f>
        <v/>
      </c>
      <c r="F1102" t="str">
        <f>_xlfn.XLOOKUP(Table1[[#This Row],[Player]]&amp;Table1[[#This Row],[Week]]&amp;Table1[[#This Row],[Role]],'Google Form Transform'!$A:$A,'Google Form Transform'!G:G,"")</f>
        <v/>
      </c>
      <c r="G1102" s="59">
        <f>SUMIFS(Table2[Stat],Table2[Stat Category],"passing",Table2[Stat Type],"YDS",Table2[Athlete],Table1[[#This Row],[Pick]],Table2[Week],Table1[[#This Row],[Week]])</f>
        <v>0</v>
      </c>
      <c r="H1102" s="59">
        <f>SUMIFS(Table2[Stat],Table2[Stat Category],"rushing",Table2[Stat Type],"YDS",Table2[Athlete],Table1[[#This Row],[Pick]],Table2[Week],Table1[[#This Row],[Week]])</f>
        <v>0</v>
      </c>
      <c r="I1102" s="59">
        <f>SUMIFS(Table2[Stat],Table2[Stat Category],"receiving",Table2[Stat Type],"YDS",Table2[Athlete],Table1[[#This Row],[Pick]],Table2[Week],Table1[[#This Row],[Week]])</f>
        <v>0</v>
      </c>
      <c r="J1102" s="6">
        <f>IF(AND($C1102="Rushing", $H1102&lt;=0), 0, IF(AND($C1102="Passing", $G$3&lt;=0), 0,IF(AND($C1102="Receiving",$I1102&lt;=0), 0,SUMIFS(Table2[Stat],Table2[Week],Table1[[#This Row],[Week]],Table2[Athlete],Table1[[#This Row],[Pick]],Table2[Stat Category],"passing",Table2[Stat Type],"TD"))))</f>
        <v>0</v>
      </c>
      <c r="K1102" s="6">
        <f>IF(AND($C1102="Rushing", $H1102&lt;=0), 0, IF(AND($C1102="Passing", $G$3&lt;=0), 0,IF(AND($C1102="Receiving",$I1102&lt;=0),0,SUMIFS(Table2[Stat],Table2[Week],Table1[[#This Row],[Week]],Table2[Athlete],Table1[[#This Row],[Pick]],Table2[Stat Category],"rushing",Table2[Stat Type],"TD"))))</f>
        <v>0</v>
      </c>
      <c r="L1102" s="6">
        <f>IF(AND($C1102="Rushing", $H1102&lt;=0), 0, IF(AND($C1102="Passing", $G$3&lt;=0), 0,IF(AND($C1102="Receiving",$I1102&lt;=0),0,SUMIFS(Table2[Stat],Table2[Week],Table1[[#This Row],[Week]],Table2[Athlete],Table1[[#This Row],[Pick]],Table2[Stat Category],"receiving",Table2[Stat Type],"TD"))))</f>
        <v>0</v>
      </c>
      <c r="M11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2" s="61">
        <f>SUMIFS(Data!$J:$J,Data!$A:$A,Info!$B1102,Data!$G:$G,Info!$C1102,Data!$I:$I,Info!$D1102,Data!$H:$H,"TOT")</f>
        <v>0</v>
      </c>
      <c r="O1102" s="61">
        <f>IF(C1102="Defensive",SUMIFS(Data!$J:$J,Data!$A:$A,Info!$B1102,Data!$I:$I,Info!$D1102,Data!$H:$H,"INT"),0)</f>
        <v>0</v>
      </c>
      <c r="P1102" s="61">
        <f>IF(Table1[[#This Row],[Role]]="Defensive",SUMIFS(Data!$J:$J,Data!$A:$A,Info!$B1102,Data!$I:$I,Info!$D1102,Data!$H:$H,$P$1),0)</f>
        <v>0</v>
      </c>
      <c r="Q1102" s="72" t="str">
        <f>IF(Table1[[#This Row],[Pick]]="","",IF(S1102&gt;1,400,IF(G1102="","",IF(C1102="Passing",(400-Table1[[#This Row],[Passing Yards]]-(30*Table1[[#This Row],[Passing TDs]])-(50*SUM(Table1[[#This Row],[Rushing TDs]:[Other TD''s]]))),IF(C1102="Rushing",2*(200-Table1[[#This Row],[Rushing Yards]]-(30*Table1[[#This Row],[Passing TDs]])-50*(Table1[[#This Row],[Rushing TDs]]+Table1[[#This Row],[Receiving TDs]]+Table1[[#This Row],[Other TD''s]])),IF(C1102="Receiving",2*(200-Table1[[#This Row],[Receiving Yards]]-(30*Table1[[#This Row],[Passing TDs]])-50*(Table1[[#This Row],[Rushing TDs]]+Table1[[#This Row],[Receiving TDs]]+Table1[[#This Row],[Other TD''s]])),IF(C1102="Defensive",(25*(16-Table1[[#This Row],[Tackles]]-(8*(Table1[[#This Row],[Other TD''s]]+Table1[[#This Row],[Interceptions]]+Table1[[#This Row],[Fumbles Recovered]])))))))))))</f>
        <v/>
      </c>
      <c r="R1102" s="3" t="str">
        <f t="shared" si="52"/>
        <v/>
      </c>
      <c r="S1102" s="4">
        <f t="shared" si="53"/>
        <v>1048507</v>
      </c>
      <c r="T11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3" spans="1:20" hidden="1" x14ac:dyDescent="0.25">
      <c r="A1103" t="s">
        <v>144</v>
      </c>
      <c r="B1103" s="28" t="s">
        <v>46</v>
      </c>
      <c r="C1103" t="s">
        <v>16</v>
      </c>
      <c r="D1103" s="71" t="str">
        <f>_xlfn.XLOOKUP(Table1[[#This Row],[Player]]&amp;Table1[[#This Row],[Week]]&amp;Table1[[#This Row],[Role]],'Google Form Transform'!$A:$A,'Google Form Transform'!E:E,"")</f>
        <v/>
      </c>
      <c r="E1103" t="str">
        <f>_xlfn.XLOOKUP(Table1[[#This Row],[Player]]&amp;Table1[[#This Row],[Week]]&amp;Table1[[#This Row],[Role]],'Google Form Transform'!$A:$A,'Google Form Transform'!F:F,"")</f>
        <v/>
      </c>
      <c r="F1103" t="str">
        <f>_xlfn.XLOOKUP(Table1[[#This Row],[Player]]&amp;Table1[[#This Row],[Week]]&amp;Table1[[#This Row],[Role]],'Google Form Transform'!$A:$A,'Google Form Transform'!G:G,"")</f>
        <v/>
      </c>
      <c r="G1103" s="59">
        <f>SUMIFS(Table2[Stat],Table2[Stat Category],"passing",Table2[Stat Type],"YDS",Table2[Athlete],Table1[[#This Row],[Pick]],Table2[Week],Table1[[#This Row],[Week]])</f>
        <v>0</v>
      </c>
      <c r="H1103" s="59">
        <f>SUMIFS(Table2[Stat],Table2[Stat Category],"rushing",Table2[Stat Type],"YDS",Table2[Athlete],Table1[[#This Row],[Pick]],Table2[Week],Table1[[#This Row],[Week]])</f>
        <v>0</v>
      </c>
      <c r="I1103" s="59">
        <f>SUMIFS(Table2[Stat],Table2[Stat Category],"receiving",Table2[Stat Type],"YDS",Table2[Athlete],Table1[[#This Row],[Pick]],Table2[Week],Table1[[#This Row],[Week]])</f>
        <v>0</v>
      </c>
      <c r="J1103" s="6">
        <f>IF(AND($C1103="Rushing", $H1103&lt;=0), 0, IF(AND($C1103="Passing", $G$3&lt;=0), 0,IF(AND($C1103="Receiving",$I1103&lt;=0), 0,SUMIFS(Table2[Stat],Table2[Week],Table1[[#This Row],[Week]],Table2[Athlete],Table1[[#This Row],[Pick]],Table2[Stat Category],"passing",Table2[Stat Type],"TD"))))</f>
        <v>0</v>
      </c>
      <c r="K1103" s="6">
        <f>IF(AND($C1103="Rushing", $H1103&lt;=0), 0, IF(AND($C1103="Passing", $G$3&lt;=0), 0,IF(AND($C1103="Receiving",$I1103&lt;=0),0,SUMIFS(Table2[Stat],Table2[Week],Table1[[#This Row],[Week]],Table2[Athlete],Table1[[#This Row],[Pick]],Table2[Stat Category],"rushing",Table2[Stat Type],"TD"))))</f>
        <v>0</v>
      </c>
      <c r="L1103" s="6">
        <f>IF(AND($C1103="Rushing", $H1103&lt;=0), 0, IF(AND($C1103="Passing", $G$3&lt;=0), 0,IF(AND($C1103="Receiving",$I1103&lt;=0),0,SUMIFS(Table2[Stat],Table2[Week],Table1[[#This Row],[Week]],Table2[Athlete],Table1[[#This Row],[Pick]],Table2[Stat Category],"receiving",Table2[Stat Type],"TD"))))</f>
        <v>0</v>
      </c>
      <c r="M11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3" s="61">
        <f>SUMIFS(Data!$J:$J,Data!$A:$A,Info!$B1103,Data!$G:$G,Info!$C1103,Data!$I:$I,Info!$D1103,Data!$H:$H,"TOT")</f>
        <v>0</v>
      </c>
      <c r="O1103" s="61">
        <f>IF(C1103="Defensive",SUMIFS(Data!$J:$J,Data!$A:$A,Info!$B1103,Data!$I:$I,Info!$D1103,Data!$H:$H,"INT"),0)</f>
        <v>0</v>
      </c>
      <c r="P1103" s="61">
        <f>IF(Table1[[#This Row],[Role]]="Defensive",SUMIFS(Data!$J:$J,Data!$A:$A,Info!$B1103,Data!$I:$I,Info!$D1103,Data!$H:$H,$P$1),0)</f>
        <v>0</v>
      </c>
      <c r="Q1103" s="72" t="str">
        <f>IF(Table1[[#This Row],[Pick]]="","",IF(S1103&gt;1,400,IF(G1103="","",IF(C1103="Passing",(400-Table1[[#This Row],[Passing Yards]]-(30*Table1[[#This Row],[Passing TDs]])-(50*SUM(Table1[[#This Row],[Rushing TDs]:[Other TD''s]]))),IF(C1103="Rushing",2*(200-Table1[[#This Row],[Rushing Yards]]-(30*Table1[[#This Row],[Passing TDs]])-50*(Table1[[#This Row],[Rushing TDs]]+Table1[[#This Row],[Receiving TDs]]+Table1[[#This Row],[Other TD''s]])),IF(C1103="Receiving",2*(200-Table1[[#This Row],[Receiving Yards]]-(30*Table1[[#This Row],[Passing TDs]])-50*(Table1[[#This Row],[Rushing TDs]]+Table1[[#This Row],[Receiving TDs]]+Table1[[#This Row],[Other TD''s]])),IF(C1103="Defensive",(25*(16-Table1[[#This Row],[Tackles]]-(8*(Table1[[#This Row],[Other TD''s]]+Table1[[#This Row],[Interceptions]]+Table1[[#This Row],[Fumbles Recovered]])))))))))))</f>
        <v/>
      </c>
      <c r="R1103" s="3" t="str">
        <f t="shared" si="52"/>
        <v/>
      </c>
      <c r="S1103" s="4">
        <f t="shared" si="53"/>
        <v>1048507</v>
      </c>
      <c r="T11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4" spans="1:20" hidden="1" x14ac:dyDescent="0.25">
      <c r="A1104" t="s">
        <v>144</v>
      </c>
      <c r="B1104" s="28" t="s">
        <v>46</v>
      </c>
      <c r="C1104" t="s">
        <v>6</v>
      </c>
      <c r="D1104" s="71" t="str">
        <f>_xlfn.XLOOKUP(Table1[[#This Row],[Player]]&amp;Table1[[#This Row],[Week]]&amp;Table1[[#This Row],[Role]],'Google Form Transform'!$A:$A,'Google Form Transform'!E:E,"")</f>
        <v/>
      </c>
      <c r="E1104" t="str">
        <f>_xlfn.XLOOKUP(Table1[[#This Row],[Player]]&amp;Table1[[#This Row],[Week]]&amp;Table1[[#This Row],[Role]],'Google Form Transform'!$A:$A,'Google Form Transform'!F:F,"")</f>
        <v/>
      </c>
      <c r="F1104" t="str">
        <f>_xlfn.XLOOKUP(Table1[[#This Row],[Player]]&amp;Table1[[#This Row],[Week]]&amp;Table1[[#This Row],[Role]],'Google Form Transform'!$A:$A,'Google Form Transform'!G:G,"")</f>
        <v/>
      </c>
      <c r="G1104" s="59">
        <f>SUMIFS(Table2[Stat],Table2[Stat Category],"passing",Table2[Stat Type],"YDS",Table2[Athlete],Table1[[#This Row],[Pick]],Table2[Week],Table1[[#This Row],[Week]])</f>
        <v>0</v>
      </c>
      <c r="H1104" s="59">
        <f>SUMIFS(Table2[Stat],Table2[Stat Category],"rushing",Table2[Stat Type],"YDS",Table2[Athlete],Table1[[#This Row],[Pick]],Table2[Week],Table1[[#This Row],[Week]])</f>
        <v>0</v>
      </c>
      <c r="I1104" s="59">
        <f>SUMIFS(Table2[Stat],Table2[Stat Category],"receiving",Table2[Stat Type],"YDS",Table2[Athlete],Table1[[#This Row],[Pick]],Table2[Week],Table1[[#This Row],[Week]])</f>
        <v>0</v>
      </c>
      <c r="J1104" s="6">
        <f>IF(AND($C1104="Rushing", $H1104&lt;=0), 0, IF(AND($C1104="Passing", $G$3&lt;=0), 0,IF(AND($C1104="Receiving",$I1104&lt;=0), 0,SUMIFS(Table2[Stat],Table2[Week],Table1[[#This Row],[Week]],Table2[Athlete],Table1[[#This Row],[Pick]],Table2[Stat Category],"passing",Table2[Stat Type],"TD"))))</f>
        <v>0</v>
      </c>
      <c r="K1104" s="6">
        <f>IF(AND($C1104="Rushing", $H1104&lt;=0), 0, IF(AND($C1104="Passing", $G$3&lt;=0), 0,IF(AND($C1104="Receiving",$I1104&lt;=0),0,SUMIFS(Table2[Stat],Table2[Week],Table1[[#This Row],[Week]],Table2[Athlete],Table1[[#This Row],[Pick]],Table2[Stat Category],"rushing",Table2[Stat Type],"TD"))))</f>
        <v>0</v>
      </c>
      <c r="L1104" s="6">
        <f>IF(AND($C1104="Rushing", $H1104&lt;=0), 0, IF(AND($C1104="Passing", $G$3&lt;=0), 0,IF(AND($C1104="Receiving",$I1104&lt;=0),0,SUMIFS(Table2[Stat],Table2[Week],Table1[[#This Row],[Week]],Table2[Athlete],Table1[[#This Row],[Pick]],Table2[Stat Category],"receiving",Table2[Stat Type],"TD"))))</f>
        <v>0</v>
      </c>
      <c r="M11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4" s="61">
        <f>SUMIFS(Data!$J:$J,Data!$A:$A,Info!$B1104,Data!$G:$G,Info!$C1104,Data!$I:$I,Info!$D1104,Data!$H:$H,"TOT")</f>
        <v>0</v>
      </c>
      <c r="O1104" s="61">
        <f>IF(C1104="Defensive",SUMIFS(Data!$J:$J,Data!$A:$A,Info!$B1104,Data!$I:$I,Info!$D1104,Data!$H:$H,"INT"),0)</f>
        <v>0</v>
      </c>
      <c r="P1104" s="61">
        <f>IF(Table1[[#This Row],[Role]]="Defensive",SUMIFS(Data!$J:$J,Data!$A:$A,Info!$B1104,Data!$I:$I,Info!$D1104,Data!$H:$H,$P$1),0)</f>
        <v>0</v>
      </c>
      <c r="Q1104" s="72" t="str">
        <f>IF(Table1[[#This Row],[Pick]]="","",IF(S1104&gt;1,400,IF(G1104="","",IF(C1104="Passing",(400-Table1[[#This Row],[Passing Yards]]-(30*Table1[[#This Row],[Passing TDs]])-(50*SUM(Table1[[#This Row],[Rushing TDs]:[Other TD''s]]))),IF(C1104="Rushing",2*(200-Table1[[#This Row],[Rushing Yards]]-(30*Table1[[#This Row],[Passing TDs]])-50*(Table1[[#This Row],[Rushing TDs]]+Table1[[#This Row],[Receiving TDs]]+Table1[[#This Row],[Other TD''s]])),IF(C1104="Receiving",2*(200-Table1[[#This Row],[Receiving Yards]]-(30*Table1[[#This Row],[Passing TDs]])-50*(Table1[[#This Row],[Rushing TDs]]+Table1[[#This Row],[Receiving TDs]]+Table1[[#This Row],[Other TD''s]])),IF(C1104="Defensive",(25*(16-Table1[[#This Row],[Tackles]]-(8*(Table1[[#This Row],[Other TD''s]]+Table1[[#This Row],[Interceptions]]+Table1[[#This Row],[Fumbles Recovered]])))))))))))</f>
        <v/>
      </c>
      <c r="R1104" s="3" t="str">
        <f t="shared" si="52"/>
        <v/>
      </c>
      <c r="S1104" s="4">
        <f t="shared" si="53"/>
        <v>1048507</v>
      </c>
      <c r="T11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5" spans="1:20" hidden="1" x14ac:dyDescent="0.25">
      <c r="A1105" t="s">
        <v>144</v>
      </c>
      <c r="B1105" s="28" t="s">
        <v>46</v>
      </c>
      <c r="C1105" t="s">
        <v>17</v>
      </c>
      <c r="D1105" s="71" t="str">
        <f>_xlfn.XLOOKUP(Table1[[#This Row],[Player]]&amp;Table1[[#This Row],[Week]]&amp;Table1[[#This Row],[Role]],'Google Form Transform'!$A:$A,'Google Form Transform'!E:E,"")</f>
        <v/>
      </c>
      <c r="E1105" t="str">
        <f>_xlfn.XLOOKUP(Table1[[#This Row],[Player]]&amp;Table1[[#This Row],[Week]]&amp;Table1[[#This Row],[Role]],'Google Form Transform'!$A:$A,'Google Form Transform'!F:F,"")</f>
        <v/>
      </c>
      <c r="F1105" t="str">
        <f>_xlfn.XLOOKUP(Table1[[#This Row],[Player]]&amp;Table1[[#This Row],[Week]]&amp;Table1[[#This Row],[Role]],'Google Form Transform'!$A:$A,'Google Form Transform'!G:G,"")</f>
        <v/>
      </c>
      <c r="G1105" s="59">
        <f>SUMIFS(Table2[Stat],Table2[Stat Category],"passing",Table2[Stat Type],"YDS",Table2[Athlete],Table1[[#This Row],[Pick]],Table2[Week],Table1[[#This Row],[Week]])</f>
        <v>0</v>
      </c>
      <c r="H1105" s="59">
        <f>SUMIFS(Table2[Stat],Table2[Stat Category],"rushing",Table2[Stat Type],"YDS",Table2[Athlete],Table1[[#This Row],[Pick]],Table2[Week],Table1[[#This Row],[Week]])</f>
        <v>0</v>
      </c>
      <c r="I1105" s="59">
        <f>SUMIFS(Table2[Stat],Table2[Stat Category],"receiving",Table2[Stat Type],"YDS",Table2[Athlete],Table1[[#This Row],[Pick]],Table2[Week],Table1[[#This Row],[Week]])</f>
        <v>0</v>
      </c>
      <c r="J1105" s="6">
        <f>IF(AND($C1105="Rushing", $H1105&lt;=0), 0, IF(AND($C1105="Passing", $G$3&lt;=0), 0,IF(AND($C1105="Receiving",$I1105&lt;=0), 0,SUMIFS(Table2[Stat],Table2[Week],Table1[[#This Row],[Week]],Table2[Athlete],Table1[[#This Row],[Pick]],Table2[Stat Category],"passing",Table2[Stat Type],"TD"))))</f>
        <v>0</v>
      </c>
      <c r="K1105" s="6">
        <f>IF(AND($C1105="Rushing", $H1105&lt;=0), 0, IF(AND($C1105="Passing", $G$3&lt;=0), 0,IF(AND($C1105="Receiving",$I1105&lt;=0),0,SUMIFS(Table2[Stat],Table2[Week],Table1[[#This Row],[Week]],Table2[Athlete],Table1[[#This Row],[Pick]],Table2[Stat Category],"rushing",Table2[Stat Type],"TD"))))</f>
        <v>0</v>
      </c>
      <c r="L1105" s="6">
        <f>IF(AND($C1105="Rushing", $H1105&lt;=0), 0, IF(AND($C1105="Passing", $G$3&lt;=0), 0,IF(AND($C1105="Receiving",$I1105&lt;=0),0,SUMIFS(Table2[Stat],Table2[Week],Table1[[#This Row],[Week]],Table2[Athlete],Table1[[#This Row],[Pick]],Table2[Stat Category],"receiving",Table2[Stat Type],"TD"))))</f>
        <v>0</v>
      </c>
      <c r="M11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5" s="61">
        <f>SUMIFS(Data!$J:$J,Data!$A:$A,Info!$B1105,Data!$G:$G,Info!$C1105,Data!$I:$I,Info!$D1105,Data!$H:$H,"TOT")</f>
        <v>0</v>
      </c>
      <c r="O1105" s="61">
        <f>IF(C1105="Defensive",SUMIFS(Data!$J:$J,Data!$A:$A,Info!$B1105,Data!$I:$I,Info!$D1105,Data!$H:$H,"INT"),0)</f>
        <v>0</v>
      </c>
      <c r="P1105" s="61">
        <f>IF(Table1[[#This Row],[Role]]="Defensive",SUMIFS(Data!$J:$J,Data!$A:$A,Info!$B1105,Data!$I:$I,Info!$D1105,Data!$H:$H,$P$1),0)</f>
        <v>0</v>
      </c>
      <c r="Q1105" s="72" t="str">
        <f>IF(Table1[[#This Row],[Pick]]="","",IF(S1105&gt;1,400,IF(G1105="","",IF(C1105="Passing",(400-Table1[[#This Row],[Passing Yards]]-(30*Table1[[#This Row],[Passing TDs]])-(50*SUM(Table1[[#This Row],[Rushing TDs]:[Other TD''s]]))),IF(C1105="Rushing",2*(200-Table1[[#This Row],[Rushing Yards]]-(30*Table1[[#This Row],[Passing TDs]])-50*(Table1[[#This Row],[Rushing TDs]]+Table1[[#This Row],[Receiving TDs]]+Table1[[#This Row],[Other TD''s]])),IF(C1105="Receiving",2*(200-Table1[[#This Row],[Receiving Yards]]-(30*Table1[[#This Row],[Passing TDs]])-50*(Table1[[#This Row],[Rushing TDs]]+Table1[[#This Row],[Receiving TDs]]+Table1[[#This Row],[Other TD''s]])),IF(C1105="Defensive",(25*(16-Table1[[#This Row],[Tackles]]-(8*(Table1[[#This Row],[Other TD''s]]+Table1[[#This Row],[Interceptions]]+Table1[[#This Row],[Fumbles Recovered]])))))))))))</f>
        <v/>
      </c>
      <c r="R1105" s="3" t="str">
        <f t="shared" si="52"/>
        <v/>
      </c>
      <c r="S1105" s="4">
        <f t="shared" si="53"/>
        <v>1048507</v>
      </c>
      <c r="T11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6" spans="1:20" hidden="1" x14ac:dyDescent="0.25">
      <c r="A1106" t="s">
        <v>144</v>
      </c>
      <c r="B1106" s="28" t="s">
        <v>46</v>
      </c>
      <c r="C1106" t="s">
        <v>20</v>
      </c>
      <c r="D1106" s="71" t="str">
        <f>_xlfn.XLOOKUP(Table1[[#This Row],[Player]]&amp;Table1[[#This Row],[Week]]&amp;Table1[[#This Row],[Role]],'Google Form Transform'!$A:$A,'Google Form Transform'!E:E,"")</f>
        <v/>
      </c>
      <c r="E1106" t="str">
        <f>_xlfn.XLOOKUP(Table1[[#This Row],[Player]]&amp;Table1[[#This Row],[Week]]&amp;Table1[[#This Row],[Role]],'Google Form Transform'!$A:$A,'Google Form Transform'!F:F,"")</f>
        <v/>
      </c>
      <c r="F1106" t="str">
        <f>_xlfn.XLOOKUP(Table1[[#This Row],[Player]]&amp;Table1[[#This Row],[Week]]&amp;Table1[[#This Row],[Role]],'Google Form Transform'!$A:$A,'Google Form Transform'!G:G,"")</f>
        <v/>
      </c>
      <c r="G1106" s="59">
        <f>SUMIFS(Table2[Stat],Table2[Stat Category],"passing",Table2[Stat Type],"YDS",Table2[Athlete],Table1[[#This Row],[Pick]],Table2[Week],Table1[[#This Row],[Week]])</f>
        <v>0</v>
      </c>
      <c r="H1106" s="59">
        <f>SUMIFS(Table2[Stat],Table2[Stat Category],"rushing",Table2[Stat Type],"YDS",Table2[Athlete],Table1[[#This Row],[Pick]],Table2[Week],Table1[[#This Row],[Week]])</f>
        <v>0</v>
      </c>
      <c r="I1106" s="59">
        <f>SUMIFS(Table2[Stat],Table2[Stat Category],"receiving",Table2[Stat Type],"YDS",Table2[Athlete],Table1[[#This Row],[Pick]],Table2[Week],Table1[[#This Row],[Week]])</f>
        <v>0</v>
      </c>
      <c r="J1106" s="6">
        <f>IF(AND($C1106="Rushing", $H1106&lt;=0), 0, IF(AND($C1106="Passing", $G$3&lt;=0), 0,IF(AND($C1106="Receiving",$I1106&lt;=0), 0,SUMIFS(Table2[Stat],Table2[Week],Table1[[#This Row],[Week]],Table2[Athlete],Table1[[#This Row],[Pick]],Table2[Stat Category],"passing",Table2[Stat Type],"TD"))))</f>
        <v>0</v>
      </c>
      <c r="K1106" s="6">
        <f>IF(AND($C1106="Rushing", $H1106&lt;=0), 0, IF(AND($C1106="Passing", $G$3&lt;=0), 0,IF(AND($C1106="Receiving",$I1106&lt;=0),0,SUMIFS(Table2[Stat],Table2[Week],Table1[[#This Row],[Week]],Table2[Athlete],Table1[[#This Row],[Pick]],Table2[Stat Category],"rushing",Table2[Stat Type],"TD"))))</f>
        <v>0</v>
      </c>
      <c r="L1106" s="6">
        <f>IF(AND($C1106="Rushing", $H1106&lt;=0), 0, IF(AND($C1106="Passing", $G$3&lt;=0), 0,IF(AND($C1106="Receiving",$I1106&lt;=0),0,SUMIFS(Table2[Stat],Table2[Week],Table1[[#This Row],[Week]],Table2[Athlete],Table1[[#This Row],[Pick]],Table2[Stat Category],"receiving",Table2[Stat Type],"TD"))))</f>
        <v>0</v>
      </c>
      <c r="M11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6" s="61">
        <f>SUMIFS(Data!$J:$J,Data!$A:$A,Info!$B1106,Data!$G:$G,Info!$C1106,Data!$I:$I,Info!$D1106,Data!$H:$H,"TOT")</f>
        <v>0</v>
      </c>
      <c r="O1106" s="61">
        <f>IF(C1106="Defensive",SUMIFS(Data!$J:$J,Data!$A:$A,Info!$B1106,Data!$I:$I,Info!$D1106,Data!$H:$H,"INT"),0)</f>
        <v>0</v>
      </c>
      <c r="P1106" s="61">
        <f>IF(Table1[[#This Row],[Role]]="Defensive",SUMIFS(Data!$J:$J,Data!$A:$A,Info!$B1106,Data!$I:$I,Info!$D1106,Data!$H:$H,$P$1),0)</f>
        <v>0</v>
      </c>
      <c r="Q1106" s="72" t="str">
        <f>IF(Table1[[#This Row],[Pick]]="","",IF(S1106&gt;1,400,IF(G1106="","",IF(C1106="Passing",(400-Table1[[#This Row],[Passing Yards]]-(30*Table1[[#This Row],[Passing TDs]])-(50*SUM(Table1[[#This Row],[Rushing TDs]:[Other TD''s]]))),IF(C1106="Rushing",2*(200-Table1[[#This Row],[Rushing Yards]]-(30*Table1[[#This Row],[Passing TDs]])-50*(Table1[[#This Row],[Rushing TDs]]+Table1[[#This Row],[Receiving TDs]]+Table1[[#This Row],[Other TD''s]])),IF(C1106="Receiving",2*(200-Table1[[#This Row],[Receiving Yards]]-(30*Table1[[#This Row],[Passing TDs]])-50*(Table1[[#This Row],[Rushing TDs]]+Table1[[#This Row],[Receiving TDs]]+Table1[[#This Row],[Other TD''s]])),IF(C1106="Defensive",(25*(16-Table1[[#This Row],[Tackles]]-(8*(Table1[[#This Row],[Other TD''s]]+Table1[[#This Row],[Interceptions]]+Table1[[#This Row],[Fumbles Recovered]])))))))))))</f>
        <v/>
      </c>
      <c r="R1106" s="3" t="str">
        <f t="shared" si="52"/>
        <v/>
      </c>
      <c r="S1106" s="4">
        <f t="shared" si="53"/>
        <v>1048507</v>
      </c>
      <c r="T11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7" spans="1:20" hidden="1" x14ac:dyDescent="0.25">
      <c r="A1107" t="s">
        <v>144</v>
      </c>
      <c r="B1107" s="28" t="s">
        <v>47</v>
      </c>
      <c r="C1107" t="s">
        <v>16</v>
      </c>
      <c r="D1107" s="71" t="str">
        <f>_xlfn.XLOOKUP(Table1[[#This Row],[Player]]&amp;Table1[[#This Row],[Week]]&amp;Table1[[#This Row],[Role]],'Google Form Transform'!$A:$A,'Google Form Transform'!E:E,"")</f>
        <v/>
      </c>
      <c r="E1107" t="str">
        <f>_xlfn.XLOOKUP(Table1[[#This Row],[Player]]&amp;Table1[[#This Row],[Week]]&amp;Table1[[#This Row],[Role]],'Google Form Transform'!$A:$A,'Google Form Transform'!F:F,"")</f>
        <v/>
      </c>
      <c r="F1107" t="str">
        <f>_xlfn.XLOOKUP(Table1[[#This Row],[Player]]&amp;Table1[[#This Row],[Week]]&amp;Table1[[#This Row],[Role]],'Google Form Transform'!$A:$A,'Google Form Transform'!G:G,"")</f>
        <v/>
      </c>
      <c r="G1107" s="59">
        <f>SUMIFS(Table2[Stat],Table2[Stat Category],"passing",Table2[Stat Type],"YDS",Table2[Athlete],Table1[[#This Row],[Pick]],Table2[Week],Table1[[#This Row],[Week]])</f>
        <v>0</v>
      </c>
      <c r="H1107" s="59">
        <f>SUMIFS(Table2[Stat],Table2[Stat Category],"rushing",Table2[Stat Type],"YDS",Table2[Athlete],Table1[[#This Row],[Pick]],Table2[Week],Table1[[#This Row],[Week]])</f>
        <v>0</v>
      </c>
      <c r="I1107" s="59">
        <f>SUMIFS(Table2[Stat],Table2[Stat Category],"receiving",Table2[Stat Type],"YDS",Table2[Athlete],Table1[[#This Row],[Pick]],Table2[Week],Table1[[#This Row],[Week]])</f>
        <v>0</v>
      </c>
      <c r="J1107" s="6">
        <f>IF(AND($C1107="Rushing", $H1107&lt;=0), 0, IF(AND($C1107="Passing", $G$3&lt;=0), 0,IF(AND($C1107="Receiving",$I1107&lt;=0), 0,SUMIFS(Table2[Stat],Table2[Week],Table1[[#This Row],[Week]],Table2[Athlete],Table1[[#This Row],[Pick]],Table2[Stat Category],"passing",Table2[Stat Type],"TD"))))</f>
        <v>0</v>
      </c>
      <c r="K1107" s="6">
        <f>IF(AND($C1107="Rushing", $H1107&lt;=0), 0, IF(AND($C1107="Passing", $G$3&lt;=0), 0,IF(AND($C1107="Receiving",$I1107&lt;=0),0,SUMIFS(Table2[Stat],Table2[Week],Table1[[#This Row],[Week]],Table2[Athlete],Table1[[#This Row],[Pick]],Table2[Stat Category],"rushing",Table2[Stat Type],"TD"))))</f>
        <v>0</v>
      </c>
      <c r="L1107" s="6">
        <f>IF(AND($C1107="Rushing", $H1107&lt;=0), 0, IF(AND($C1107="Passing", $G$3&lt;=0), 0,IF(AND($C1107="Receiving",$I1107&lt;=0),0,SUMIFS(Table2[Stat],Table2[Week],Table1[[#This Row],[Week]],Table2[Athlete],Table1[[#This Row],[Pick]],Table2[Stat Category],"receiving",Table2[Stat Type],"TD"))))</f>
        <v>0</v>
      </c>
      <c r="M11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7" s="61">
        <f>SUMIFS(Data!$J:$J,Data!$A:$A,Info!$B1107,Data!$G:$G,Info!$C1107,Data!$I:$I,Info!$D1107,Data!$H:$H,"TOT")</f>
        <v>0</v>
      </c>
      <c r="O1107" s="61">
        <f>IF(C1107="Defensive",SUMIFS(Data!$J:$J,Data!$A:$A,Info!$B1107,Data!$I:$I,Info!$D1107,Data!$H:$H,"INT"),0)</f>
        <v>0</v>
      </c>
      <c r="P1107" s="61">
        <f>IF(Table1[[#This Row],[Role]]="Defensive",SUMIFS(Data!$J:$J,Data!$A:$A,Info!$B1107,Data!$I:$I,Info!$D1107,Data!$H:$H,$P$1),0)</f>
        <v>0</v>
      </c>
      <c r="Q1107" s="72" t="str">
        <f>IF(Table1[[#This Row],[Pick]]="","",IF(S1107&gt;1,400,IF(G1107="","",IF(C1107="Passing",(400-Table1[[#This Row],[Passing Yards]]-(30*Table1[[#This Row],[Passing TDs]])-(50*SUM(Table1[[#This Row],[Rushing TDs]:[Other TD''s]]))),IF(C1107="Rushing",2*(200-Table1[[#This Row],[Rushing Yards]]-(30*Table1[[#This Row],[Passing TDs]])-50*(Table1[[#This Row],[Rushing TDs]]+Table1[[#This Row],[Receiving TDs]]+Table1[[#This Row],[Other TD''s]])),IF(C1107="Receiving",2*(200-Table1[[#This Row],[Receiving Yards]]-(30*Table1[[#This Row],[Passing TDs]])-50*(Table1[[#This Row],[Rushing TDs]]+Table1[[#This Row],[Receiving TDs]]+Table1[[#This Row],[Other TD''s]])),IF(C1107="Defensive",(25*(16-Table1[[#This Row],[Tackles]]-(8*(Table1[[#This Row],[Other TD''s]]+Table1[[#This Row],[Interceptions]]+Table1[[#This Row],[Fumbles Recovered]])))))))))))</f>
        <v/>
      </c>
      <c r="R1107" s="3" t="str">
        <f t="shared" si="52"/>
        <v/>
      </c>
      <c r="S1107" s="4">
        <f t="shared" si="53"/>
        <v>1048507</v>
      </c>
      <c r="T11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8" spans="1:20" hidden="1" x14ac:dyDescent="0.25">
      <c r="A1108" t="s">
        <v>144</v>
      </c>
      <c r="B1108" s="28" t="s">
        <v>47</v>
      </c>
      <c r="C1108" t="s">
        <v>6</v>
      </c>
      <c r="D1108" s="71" t="str">
        <f>_xlfn.XLOOKUP(Table1[[#This Row],[Player]]&amp;Table1[[#This Row],[Week]]&amp;Table1[[#This Row],[Role]],'Google Form Transform'!$A:$A,'Google Form Transform'!E:E,"")</f>
        <v/>
      </c>
      <c r="E1108" t="str">
        <f>_xlfn.XLOOKUP(Table1[[#This Row],[Player]]&amp;Table1[[#This Row],[Week]]&amp;Table1[[#This Row],[Role]],'Google Form Transform'!$A:$A,'Google Form Transform'!F:F,"")</f>
        <v/>
      </c>
      <c r="F1108" t="str">
        <f>_xlfn.XLOOKUP(Table1[[#This Row],[Player]]&amp;Table1[[#This Row],[Week]]&amp;Table1[[#This Row],[Role]],'Google Form Transform'!$A:$A,'Google Form Transform'!G:G,"")</f>
        <v/>
      </c>
      <c r="G1108" s="59">
        <f>SUMIFS(Table2[Stat],Table2[Stat Category],"passing",Table2[Stat Type],"YDS",Table2[Athlete],Table1[[#This Row],[Pick]],Table2[Week],Table1[[#This Row],[Week]])</f>
        <v>0</v>
      </c>
      <c r="H1108" s="59">
        <f>SUMIFS(Table2[Stat],Table2[Stat Category],"rushing",Table2[Stat Type],"YDS",Table2[Athlete],Table1[[#This Row],[Pick]],Table2[Week],Table1[[#This Row],[Week]])</f>
        <v>0</v>
      </c>
      <c r="I1108" s="59">
        <f>SUMIFS(Table2[Stat],Table2[Stat Category],"receiving",Table2[Stat Type],"YDS",Table2[Athlete],Table1[[#This Row],[Pick]],Table2[Week],Table1[[#This Row],[Week]])</f>
        <v>0</v>
      </c>
      <c r="J1108" s="6">
        <f>IF(AND($C1108="Rushing", $H1108&lt;=0), 0, IF(AND($C1108="Passing", $G$3&lt;=0), 0,IF(AND($C1108="Receiving",$I1108&lt;=0), 0,SUMIFS(Table2[Stat],Table2[Week],Table1[[#This Row],[Week]],Table2[Athlete],Table1[[#This Row],[Pick]],Table2[Stat Category],"passing",Table2[Stat Type],"TD"))))</f>
        <v>0</v>
      </c>
      <c r="K1108" s="6">
        <f>IF(AND($C1108="Rushing", $H1108&lt;=0), 0, IF(AND($C1108="Passing", $G$3&lt;=0), 0,IF(AND($C1108="Receiving",$I1108&lt;=0),0,SUMIFS(Table2[Stat],Table2[Week],Table1[[#This Row],[Week]],Table2[Athlete],Table1[[#This Row],[Pick]],Table2[Stat Category],"rushing",Table2[Stat Type],"TD"))))</f>
        <v>0</v>
      </c>
      <c r="L1108" s="6">
        <f>IF(AND($C1108="Rushing", $H1108&lt;=0), 0, IF(AND($C1108="Passing", $G$3&lt;=0), 0,IF(AND($C1108="Receiving",$I1108&lt;=0),0,SUMIFS(Table2[Stat],Table2[Week],Table1[[#This Row],[Week]],Table2[Athlete],Table1[[#This Row],[Pick]],Table2[Stat Category],"receiving",Table2[Stat Type],"TD"))))</f>
        <v>0</v>
      </c>
      <c r="M11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8" s="61">
        <f>SUMIFS(Data!$J:$J,Data!$A:$A,Info!$B1108,Data!$G:$G,Info!$C1108,Data!$I:$I,Info!$D1108,Data!$H:$H,"TOT")</f>
        <v>0</v>
      </c>
      <c r="O1108" s="61">
        <f>IF(C1108="Defensive",SUMIFS(Data!$J:$J,Data!$A:$A,Info!$B1108,Data!$I:$I,Info!$D1108,Data!$H:$H,"INT"),0)</f>
        <v>0</v>
      </c>
      <c r="P1108" s="61">
        <f>IF(Table1[[#This Row],[Role]]="Defensive",SUMIFS(Data!$J:$J,Data!$A:$A,Info!$B1108,Data!$I:$I,Info!$D1108,Data!$H:$H,$P$1),0)</f>
        <v>0</v>
      </c>
      <c r="Q1108" s="72" t="str">
        <f>IF(Table1[[#This Row],[Pick]]="","",IF(S1108&gt;1,400,IF(G1108="","",IF(C1108="Passing",(400-Table1[[#This Row],[Passing Yards]]-(30*Table1[[#This Row],[Passing TDs]])-(50*SUM(Table1[[#This Row],[Rushing TDs]:[Other TD''s]]))),IF(C1108="Rushing",2*(200-Table1[[#This Row],[Rushing Yards]]-(30*Table1[[#This Row],[Passing TDs]])-50*(Table1[[#This Row],[Rushing TDs]]+Table1[[#This Row],[Receiving TDs]]+Table1[[#This Row],[Other TD''s]])),IF(C1108="Receiving",2*(200-Table1[[#This Row],[Receiving Yards]]-(30*Table1[[#This Row],[Passing TDs]])-50*(Table1[[#This Row],[Rushing TDs]]+Table1[[#This Row],[Receiving TDs]]+Table1[[#This Row],[Other TD''s]])),IF(C1108="Defensive",(25*(16-Table1[[#This Row],[Tackles]]-(8*(Table1[[#This Row],[Other TD''s]]+Table1[[#This Row],[Interceptions]]+Table1[[#This Row],[Fumbles Recovered]])))))))))))</f>
        <v/>
      </c>
      <c r="R1108" s="3" t="str">
        <f t="shared" si="52"/>
        <v/>
      </c>
      <c r="S1108" s="4">
        <f t="shared" si="53"/>
        <v>1048507</v>
      </c>
      <c r="T11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9" spans="1:20" hidden="1" x14ac:dyDescent="0.25">
      <c r="A1109" t="s">
        <v>144</v>
      </c>
      <c r="B1109" s="28" t="s">
        <v>47</v>
      </c>
      <c r="C1109" t="s">
        <v>17</v>
      </c>
      <c r="D1109" s="71" t="str">
        <f>_xlfn.XLOOKUP(Table1[[#This Row],[Player]]&amp;Table1[[#This Row],[Week]]&amp;Table1[[#This Row],[Role]],'Google Form Transform'!$A:$A,'Google Form Transform'!E:E,"")</f>
        <v/>
      </c>
      <c r="E1109" t="str">
        <f>_xlfn.XLOOKUP(Table1[[#This Row],[Player]]&amp;Table1[[#This Row],[Week]]&amp;Table1[[#This Row],[Role]],'Google Form Transform'!$A:$A,'Google Form Transform'!F:F,"")</f>
        <v/>
      </c>
      <c r="F1109" t="str">
        <f>_xlfn.XLOOKUP(Table1[[#This Row],[Player]]&amp;Table1[[#This Row],[Week]]&amp;Table1[[#This Row],[Role]],'Google Form Transform'!$A:$A,'Google Form Transform'!G:G,"")</f>
        <v/>
      </c>
      <c r="G1109" s="59">
        <f>SUMIFS(Table2[Stat],Table2[Stat Category],"passing",Table2[Stat Type],"YDS",Table2[Athlete],Table1[[#This Row],[Pick]],Table2[Week],Table1[[#This Row],[Week]])</f>
        <v>0</v>
      </c>
      <c r="H1109" s="59">
        <f>SUMIFS(Table2[Stat],Table2[Stat Category],"rushing",Table2[Stat Type],"YDS",Table2[Athlete],Table1[[#This Row],[Pick]],Table2[Week],Table1[[#This Row],[Week]])</f>
        <v>0</v>
      </c>
      <c r="I1109" s="59">
        <f>SUMIFS(Table2[Stat],Table2[Stat Category],"receiving",Table2[Stat Type],"YDS",Table2[Athlete],Table1[[#This Row],[Pick]],Table2[Week],Table1[[#This Row],[Week]])</f>
        <v>0</v>
      </c>
      <c r="J1109" s="6">
        <f>IF(AND($C1109="Rushing", $H1109&lt;=0), 0, IF(AND($C1109="Passing", $G$3&lt;=0), 0,IF(AND($C1109="Receiving",$I1109&lt;=0), 0,SUMIFS(Table2[Stat],Table2[Week],Table1[[#This Row],[Week]],Table2[Athlete],Table1[[#This Row],[Pick]],Table2[Stat Category],"passing",Table2[Stat Type],"TD"))))</f>
        <v>0</v>
      </c>
      <c r="K1109" s="6">
        <f>IF(AND($C1109="Rushing", $H1109&lt;=0), 0, IF(AND($C1109="Passing", $G$3&lt;=0), 0,IF(AND($C1109="Receiving",$I1109&lt;=0),0,SUMIFS(Table2[Stat],Table2[Week],Table1[[#This Row],[Week]],Table2[Athlete],Table1[[#This Row],[Pick]],Table2[Stat Category],"rushing",Table2[Stat Type],"TD"))))</f>
        <v>0</v>
      </c>
      <c r="L1109" s="6">
        <f>IF(AND($C1109="Rushing", $H1109&lt;=0), 0, IF(AND($C1109="Passing", $G$3&lt;=0), 0,IF(AND($C1109="Receiving",$I1109&lt;=0),0,SUMIFS(Table2[Stat],Table2[Week],Table1[[#This Row],[Week]],Table2[Athlete],Table1[[#This Row],[Pick]],Table2[Stat Category],"receiving",Table2[Stat Type],"TD"))))</f>
        <v>0</v>
      </c>
      <c r="M11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9" s="61">
        <f>SUMIFS(Data!$J:$J,Data!$A:$A,Info!$B1109,Data!$G:$G,Info!$C1109,Data!$I:$I,Info!$D1109,Data!$H:$H,"TOT")</f>
        <v>0</v>
      </c>
      <c r="O1109" s="61">
        <f>IF(C1109="Defensive",SUMIFS(Data!$J:$J,Data!$A:$A,Info!$B1109,Data!$I:$I,Info!$D1109,Data!$H:$H,"INT"),0)</f>
        <v>0</v>
      </c>
      <c r="P1109" s="61">
        <f>IF(Table1[[#This Row],[Role]]="Defensive",SUMIFS(Data!$J:$J,Data!$A:$A,Info!$B1109,Data!$I:$I,Info!$D1109,Data!$H:$H,$P$1),0)</f>
        <v>0</v>
      </c>
      <c r="Q1109" s="72" t="str">
        <f>IF(Table1[[#This Row],[Pick]]="","",IF(S1109&gt;1,400,IF(G1109="","",IF(C1109="Passing",(400-Table1[[#This Row],[Passing Yards]]-(30*Table1[[#This Row],[Passing TDs]])-(50*SUM(Table1[[#This Row],[Rushing TDs]:[Other TD''s]]))),IF(C1109="Rushing",2*(200-Table1[[#This Row],[Rushing Yards]]-(30*Table1[[#This Row],[Passing TDs]])-50*(Table1[[#This Row],[Rushing TDs]]+Table1[[#This Row],[Receiving TDs]]+Table1[[#This Row],[Other TD''s]])),IF(C1109="Receiving",2*(200-Table1[[#This Row],[Receiving Yards]]-(30*Table1[[#This Row],[Passing TDs]])-50*(Table1[[#This Row],[Rushing TDs]]+Table1[[#This Row],[Receiving TDs]]+Table1[[#This Row],[Other TD''s]])),IF(C1109="Defensive",(25*(16-Table1[[#This Row],[Tackles]]-(8*(Table1[[#This Row],[Other TD''s]]+Table1[[#This Row],[Interceptions]]+Table1[[#This Row],[Fumbles Recovered]])))))))))))</f>
        <v/>
      </c>
      <c r="R1109" s="3" t="str">
        <f t="shared" si="52"/>
        <v/>
      </c>
      <c r="S1109" s="4">
        <f t="shared" si="53"/>
        <v>1048507</v>
      </c>
      <c r="T11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0" spans="1:20" hidden="1" x14ac:dyDescent="0.25">
      <c r="A1110" t="s">
        <v>144</v>
      </c>
      <c r="B1110" s="28" t="s">
        <v>47</v>
      </c>
      <c r="C1110" t="s">
        <v>20</v>
      </c>
      <c r="D1110" s="71" t="str">
        <f>_xlfn.XLOOKUP(Table1[[#This Row],[Player]]&amp;Table1[[#This Row],[Week]]&amp;Table1[[#This Row],[Role]],'Google Form Transform'!$A:$A,'Google Form Transform'!E:E,"")</f>
        <v/>
      </c>
      <c r="E1110" t="str">
        <f>_xlfn.XLOOKUP(Table1[[#This Row],[Player]]&amp;Table1[[#This Row],[Week]]&amp;Table1[[#This Row],[Role]],'Google Form Transform'!$A:$A,'Google Form Transform'!F:F,"")</f>
        <v/>
      </c>
      <c r="F1110" t="str">
        <f>_xlfn.XLOOKUP(Table1[[#This Row],[Player]]&amp;Table1[[#This Row],[Week]]&amp;Table1[[#This Row],[Role]],'Google Form Transform'!$A:$A,'Google Form Transform'!G:G,"")</f>
        <v/>
      </c>
      <c r="G1110" s="59">
        <f>SUMIFS(Table2[Stat],Table2[Stat Category],"passing",Table2[Stat Type],"YDS",Table2[Athlete],Table1[[#This Row],[Pick]],Table2[Week],Table1[[#This Row],[Week]])</f>
        <v>0</v>
      </c>
      <c r="H1110" s="59">
        <f>SUMIFS(Table2[Stat],Table2[Stat Category],"rushing",Table2[Stat Type],"YDS",Table2[Athlete],Table1[[#This Row],[Pick]],Table2[Week],Table1[[#This Row],[Week]])</f>
        <v>0</v>
      </c>
      <c r="I1110" s="59">
        <f>SUMIFS(Table2[Stat],Table2[Stat Category],"receiving",Table2[Stat Type],"YDS",Table2[Athlete],Table1[[#This Row],[Pick]],Table2[Week],Table1[[#This Row],[Week]])</f>
        <v>0</v>
      </c>
      <c r="J1110" s="6">
        <f>IF(AND($C1110="Rushing", $H1110&lt;=0), 0, IF(AND($C1110="Passing", $G$3&lt;=0), 0,IF(AND($C1110="Receiving",$I1110&lt;=0), 0,SUMIFS(Table2[Stat],Table2[Week],Table1[[#This Row],[Week]],Table2[Athlete],Table1[[#This Row],[Pick]],Table2[Stat Category],"passing",Table2[Stat Type],"TD"))))</f>
        <v>0</v>
      </c>
      <c r="K1110" s="6">
        <f>IF(AND($C1110="Rushing", $H1110&lt;=0), 0, IF(AND($C1110="Passing", $G$3&lt;=0), 0,IF(AND($C1110="Receiving",$I1110&lt;=0),0,SUMIFS(Table2[Stat],Table2[Week],Table1[[#This Row],[Week]],Table2[Athlete],Table1[[#This Row],[Pick]],Table2[Stat Category],"rushing",Table2[Stat Type],"TD"))))</f>
        <v>0</v>
      </c>
      <c r="L1110" s="6">
        <f>IF(AND($C1110="Rushing", $H1110&lt;=0), 0, IF(AND($C1110="Passing", $G$3&lt;=0), 0,IF(AND($C1110="Receiving",$I1110&lt;=0),0,SUMIFS(Table2[Stat],Table2[Week],Table1[[#This Row],[Week]],Table2[Athlete],Table1[[#This Row],[Pick]],Table2[Stat Category],"receiving",Table2[Stat Type],"TD"))))</f>
        <v>0</v>
      </c>
      <c r="M11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0" s="61">
        <f>SUMIFS(Data!$J:$J,Data!$A:$A,Info!$B1110,Data!$G:$G,Info!$C1110,Data!$I:$I,Info!$D1110,Data!$H:$H,"TOT")</f>
        <v>0</v>
      </c>
      <c r="O1110" s="61">
        <f>IF(C1110="Defensive",SUMIFS(Data!$J:$J,Data!$A:$A,Info!$B1110,Data!$I:$I,Info!$D1110,Data!$H:$H,"INT"),0)</f>
        <v>0</v>
      </c>
      <c r="P1110" s="61">
        <f>IF(Table1[[#This Row],[Role]]="Defensive",SUMIFS(Data!$J:$J,Data!$A:$A,Info!$B1110,Data!$I:$I,Info!$D1110,Data!$H:$H,$P$1),0)</f>
        <v>0</v>
      </c>
      <c r="Q1110" s="72" t="str">
        <f>IF(Table1[[#This Row],[Pick]]="","",IF(S1110&gt;1,400,IF(G1110="","",IF(C1110="Passing",(400-Table1[[#This Row],[Passing Yards]]-(30*Table1[[#This Row],[Passing TDs]])-(50*SUM(Table1[[#This Row],[Rushing TDs]:[Other TD''s]]))),IF(C1110="Rushing",2*(200-Table1[[#This Row],[Rushing Yards]]-(30*Table1[[#This Row],[Passing TDs]])-50*(Table1[[#This Row],[Rushing TDs]]+Table1[[#This Row],[Receiving TDs]]+Table1[[#This Row],[Other TD''s]])),IF(C1110="Receiving",2*(200-Table1[[#This Row],[Receiving Yards]]-(30*Table1[[#This Row],[Passing TDs]])-50*(Table1[[#This Row],[Rushing TDs]]+Table1[[#This Row],[Receiving TDs]]+Table1[[#This Row],[Other TD''s]])),IF(C1110="Defensive",(25*(16-Table1[[#This Row],[Tackles]]-(8*(Table1[[#This Row],[Other TD''s]]+Table1[[#This Row],[Interceptions]]+Table1[[#This Row],[Fumbles Recovered]])))))))))))</f>
        <v/>
      </c>
      <c r="R1110" s="3" t="str">
        <f t="shared" si="52"/>
        <v/>
      </c>
      <c r="S1110" s="4">
        <f t="shared" si="53"/>
        <v>1048507</v>
      </c>
      <c r="T11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1" spans="1:20" hidden="1" x14ac:dyDescent="0.25">
      <c r="A1111" t="s">
        <v>144</v>
      </c>
      <c r="B1111" s="28" t="s">
        <v>48</v>
      </c>
      <c r="C1111" t="s">
        <v>16</v>
      </c>
      <c r="D1111" s="71" t="str">
        <f>_xlfn.XLOOKUP(Table1[[#This Row],[Player]]&amp;Table1[[#This Row],[Week]]&amp;Table1[[#This Row],[Role]],'Google Form Transform'!$A:$A,'Google Form Transform'!E:E,"")</f>
        <v/>
      </c>
      <c r="E1111" t="str">
        <f>_xlfn.XLOOKUP(Table1[[#This Row],[Player]]&amp;Table1[[#This Row],[Week]]&amp;Table1[[#This Row],[Role]],'Google Form Transform'!$A:$A,'Google Form Transform'!F:F,"")</f>
        <v/>
      </c>
      <c r="F1111" t="str">
        <f>_xlfn.XLOOKUP(Table1[[#This Row],[Player]]&amp;Table1[[#This Row],[Week]]&amp;Table1[[#This Row],[Role]],'Google Form Transform'!$A:$A,'Google Form Transform'!G:G,"")</f>
        <v/>
      </c>
      <c r="G1111" s="59">
        <f>SUMIFS(Table2[Stat],Table2[Stat Category],"passing",Table2[Stat Type],"YDS",Table2[Athlete],Table1[[#This Row],[Pick]],Table2[Week],Table1[[#This Row],[Week]])</f>
        <v>0</v>
      </c>
      <c r="H1111" s="59">
        <f>SUMIFS(Table2[Stat],Table2[Stat Category],"rushing",Table2[Stat Type],"YDS",Table2[Athlete],Table1[[#This Row],[Pick]],Table2[Week],Table1[[#This Row],[Week]])</f>
        <v>0</v>
      </c>
      <c r="I1111" s="59">
        <f>SUMIFS(Table2[Stat],Table2[Stat Category],"receiving",Table2[Stat Type],"YDS",Table2[Athlete],Table1[[#This Row],[Pick]],Table2[Week],Table1[[#This Row],[Week]])</f>
        <v>0</v>
      </c>
      <c r="J1111" s="6">
        <f>IF(AND($C1111="Rushing", $H1111&lt;=0), 0, IF(AND($C1111="Passing", $G$3&lt;=0), 0,IF(AND($C1111="Receiving",$I1111&lt;=0), 0,SUMIFS(Table2[Stat],Table2[Week],Table1[[#This Row],[Week]],Table2[Athlete],Table1[[#This Row],[Pick]],Table2[Stat Category],"passing",Table2[Stat Type],"TD"))))</f>
        <v>0</v>
      </c>
      <c r="K1111" s="6">
        <f>IF(AND($C1111="Rushing", $H1111&lt;=0), 0, IF(AND($C1111="Passing", $G$3&lt;=0), 0,IF(AND($C1111="Receiving",$I1111&lt;=0),0,SUMIFS(Table2[Stat],Table2[Week],Table1[[#This Row],[Week]],Table2[Athlete],Table1[[#This Row],[Pick]],Table2[Stat Category],"rushing",Table2[Stat Type],"TD"))))</f>
        <v>0</v>
      </c>
      <c r="L1111" s="6">
        <f>IF(AND($C1111="Rushing", $H1111&lt;=0), 0, IF(AND($C1111="Passing", $G$3&lt;=0), 0,IF(AND($C1111="Receiving",$I1111&lt;=0),0,SUMIFS(Table2[Stat],Table2[Week],Table1[[#This Row],[Week]],Table2[Athlete],Table1[[#This Row],[Pick]],Table2[Stat Category],"receiving",Table2[Stat Type],"TD"))))</f>
        <v>0</v>
      </c>
      <c r="M11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1" s="61">
        <f>SUMIFS(Data!$J:$J,Data!$A:$A,Info!$B1111,Data!$G:$G,Info!$C1111,Data!$I:$I,Info!$D1111,Data!$H:$H,"TOT")</f>
        <v>0</v>
      </c>
      <c r="O1111" s="61">
        <f>IF(C1111="Defensive",SUMIFS(Data!$J:$J,Data!$A:$A,Info!$B1111,Data!$I:$I,Info!$D1111,Data!$H:$H,"INT"),0)</f>
        <v>0</v>
      </c>
      <c r="P1111" s="61">
        <f>IF(Table1[[#This Row],[Role]]="Defensive",SUMIFS(Data!$J:$J,Data!$A:$A,Info!$B1111,Data!$I:$I,Info!$D1111,Data!$H:$H,$P$1),0)</f>
        <v>0</v>
      </c>
      <c r="Q1111" s="72" t="str">
        <f>IF(Table1[[#This Row],[Pick]]="","",IF(S1111&gt;1,400,IF(G1111="","",IF(C1111="Passing",(400-Table1[[#This Row],[Passing Yards]]-(30*Table1[[#This Row],[Passing TDs]])-(50*SUM(Table1[[#This Row],[Rushing TDs]:[Other TD''s]]))),IF(C1111="Rushing",2*(200-Table1[[#This Row],[Rushing Yards]]-(30*Table1[[#This Row],[Passing TDs]])-50*(Table1[[#This Row],[Rushing TDs]]+Table1[[#This Row],[Receiving TDs]]+Table1[[#This Row],[Other TD''s]])),IF(C1111="Receiving",2*(200-Table1[[#This Row],[Receiving Yards]]-(30*Table1[[#This Row],[Passing TDs]])-50*(Table1[[#This Row],[Rushing TDs]]+Table1[[#This Row],[Receiving TDs]]+Table1[[#This Row],[Other TD''s]])),IF(C1111="Defensive",(25*(16-Table1[[#This Row],[Tackles]]-(8*(Table1[[#This Row],[Other TD''s]]+Table1[[#This Row],[Interceptions]]+Table1[[#This Row],[Fumbles Recovered]])))))))))))</f>
        <v/>
      </c>
      <c r="R1111" s="3" t="str">
        <f t="shared" si="52"/>
        <v/>
      </c>
      <c r="S1111" s="4">
        <f t="shared" si="53"/>
        <v>1048507</v>
      </c>
      <c r="T11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2" spans="1:20" hidden="1" x14ac:dyDescent="0.25">
      <c r="A1112" t="s">
        <v>144</v>
      </c>
      <c r="B1112" s="28" t="s">
        <v>48</v>
      </c>
      <c r="C1112" t="s">
        <v>6</v>
      </c>
      <c r="D1112" s="71" t="str">
        <f>_xlfn.XLOOKUP(Table1[[#This Row],[Player]]&amp;Table1[[#This Row],[Week]]&amp;Table1[[#This Row],[Role]],'Google Form Transform'!$A:$A,'Google Form Transform'!E:E,"")</f>
        <v/>
      </c>
      <c r="E1112" t="str">
        <f>_xlfn.XLOOKUP(Table1[[#This Row],[Player]]&amp;Table1[[#This Row],[Week]]&amp;Table1[[#This Row],[Role]],'Google Form Transform'!$A:$A,'Google Form Transform'!F:F,"")</f>
        <v/>
      </c>
      <c r="F1112" t="str">
        <f>_xlfn.XLOOKUP(Table1[[#This Row],[Player]]&amp;Table1[[#This Row],[Week]]&amp;Table1[[#This Row],[Role]],'Google Form Transform'!$A:$A,'Google Form Transform'!G:G,"")</f>
        <v/>
      </c>
      <c r="G1112" s="59">
        <f>SUMIFS(Table2[Stat],Table2[Stat Category],"passing",Table2[Stat Type],"YDS",Table2[Athlete],Table1[[#This Row],[Pick]],Table2[Week],Table1[[#This Row],[Week]])</f>
        <v>0</v>
      </c>
      <c r="H1112" s="59">
        <f>SUMIFS(Table2[Stat],Table2[Stat Category],"rushing",Table2[Stat Type],"YDS",Table2[Athlete],Table1[[#This Row],[Pick]],Table2[Week],Table1[[#This Row],[Week]])</f>
        <v>0</v>
      </c>
      <c r="I1112" s="59">
        <f>SUMIFS(Table2[Stat],Table2[Stat Category],"receiving",Table2[Stat Type],"YDS",Table2[Athlete],Table1[[#This Row],[Pick]],Table2[Week],Table1[[#This Row],[Week]])</f>
        <v>0</v>
      </c>
      <c r="J1112" s="6">
        <f>IF(AND($C1112="Rushing", $H1112&lt;=0), 0, IF(AND($C1112="Passing", $G$3&lt;=0), 0,IF(AND($C1112="Receiving",$I1112&lt;=0), 0,SUMIFS(Table2[Stat],Table2[Week],Table1[[#This Row],[Week]],Table2[Athlete],Table1[[#This Row],[Pick]],Table2[Stat Category],"passing",Table2[Stat Type],"TD"))))</f>
        <v>0</v>
      </c>
      <c r="K1112" s="6">
        <f>IF(AND($C1112="Rushing", $H1112&lt;=0), 0, IF(AND($C1112="Passing", $G$3&lt;=0), 0,IF(AND($C1112="Receiving",$I1112&lt;=0),0,SUMIFS(Table2[Stat],Table2[Week],Table1[[#This Row],[Week]],Table2[Athlete],Table1[[#This Row],[Pick]],Table2[Stat Category],"rushing",Table2[Stat Type],"TD"))))</f>
        <v>0</v>
      </c>
      <c r="L1112" s="6">
        <f>IF(AND($C1112="Rushing", $H1112&lt;=0), 0, IF(AND($C1112="Passing", $G$3&lt;=0), 0,IF(AND($C1112="Receiving",$I1112&lt;=0),0,SUMIFS(Table2[Stat],Table2[Week],Table1[[#This Row],[Week]],Table2[Athlete],Table1[[#This Row],[Pick]],Table2[Stat Category],"receiving",Table2[Stat Type],"TD"))))</f>
        <v>0</v>
      </c>
      <c r="M11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2" s="61">
        <f>SUMIFS(Data!$J:$J,Data!$A:$A,Info!$B1112,Data!$G:$G,Info!$C1112,Data!$I:$I,Info!$D1112,Data!$H:$H,"TOT")</f>
        <v>0</v>
      </c>
      <c r="O1112" s="61">
        <f>IF(C1112="Defensive",SUMIFS(Data!$J:$J,Data!$A:$A,Info!$B1112,Data!$I:$I,Info!$D1112,Data!$H:$H,"INT"),0)</f>
        <v>0</v>
      </c>
      <c r="P1112" s="61">
        <f>IF(Table1[[#This Row],[Role]]="Defensive",SUMIFS(Data!$J:$J,Data!$A:$A,Info!$B1112,Data!$I:$I,Info!$D1112,Data!$H:$H,$P$1),0)</f>
        <v>0</v>
      </c>
      <c r="Q1112" s="72" t="str">
        <f>IF(Table1[[#This Row],[Pick]]="","",IF(S1112&gt;1,400,IF(G1112="","",IF(C1112="Passing",(400-Table1[[#This Row],[Passing Yards]]-(30*Table1[[#This Row],[Passing TDs]])-(50*SUM(Table1[[#This Row],[Rushing TDs]:[Other TD''s]]))),IF(C1112="Rushing",2*(200-Table1[[#This Row],[Rushing Yards]]-(30*Table1[[#This Row],[Passing TDs]])-50*(Table1[[#This Row],[Rushing TDs]]+Table1[[#This Row],[Receiving TDs]]+Table1[[#This Row],[Other TD''s]])),IF(C1112="Receiving",2*(200-Table1[[#This Row],[Receiving Yards]]-(30*Table1[[#This Row],[Passing TDs]])-50*(Table1[[#This Row],[Rushing TDs]]+Table1[[#This Row],[Receiving TDs]]+Table1[[#This Row],[Other TD''s]])),IF(C1112="Defensive",(25*(16-Table1[[#This Row],[Tackles]]-(8*(Table1[[#This Row],[Other TD''s]]+Table1[[#This Row],[Interceptions]]+Table1[[#This Row],[Fumbles Recovered]])))))))))))</f>
        <v/>
      </c>
      <c r="R1112" s="3" t="str">
        <f t="shared" si="52"/>
        <v/>
      </c>
      <c r="S1112" s="4">
        <f t="shared" si="53"/>
        <v>1048507</v>
      </c>
      <c r="T11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3" spans="1:20" hidden="1" x14ac:dyDescent="0.25">
      <c r="A1113" t="s">
        <v>144</v>
      </c>
      <c r="B1113" s="28" t="s">
        <v>48</v>
      </c>
      <c r="C1113" t="s">
        <v>17</v>
      </c>
      <c r="D1113" s="71" t="str">
        <f>_xlfn.XLOOKUP(Table1[[#This Row],[Player]]&amp;Table1[[#This Row],[Week]]&amp;Table1[[#This Row],[Role]],'Google Form Transform'!$A:$A,'Google Form Transform'!E:E,"")</f>
        <v/>
      </c>
      <c r="E1113" t="str">
        <f>_xlfn.XLOOKUP(Table1[[#This Row],[Player]]&amp;Table1[[#This Row],[Week]]&amp;Table1[[#This Row],[Role]],'Google Form Transform'!$A:$A,'Google Form Transform'!F:F,"")</f>
        <v/>
      </c>
      <c r="F1113" t="str">
        <f>_xlfn.XLOOKUP(Table1[[#This Row],[Player]]&amp;Table1[[#This Row],[Week]]&amp;Table1[[#This Row],[Role]],'Google Form Transform'!$A:$A,'Google Form Transform'!G:G,"")</f>
        <v/>
      </c>
      <c r="G1113" s="59">
        <f>SUMIFS(Table2[Stat],Table2[Stat Category],"passing",Table2[Stat Type],"YDS",Table2[Athlete],Table1[[#This Row],[Pick]],Table2[Week],Table1[[#This Row],[Week]])</f>
        <v>0</v>
      </c>
      <c r="H1113" s="59">
        <f>SUMIFS(Table2[Stat],Table2[Stat Category],"rushing",Table2[Stat Type],"YDS",Table2[Athlete],Table1[[#This Row],[Pick]],Table2[Week],Table1[[#This Row],[Week]])</f>
        <v>0</v>
      </c>
      <c r="I1113" s="59">
        <f>SUMIFS(Table2[Stat],Table2[Stat Category],"receiving",Table2[Stat Type],"YDS",Table2[Athlete],Table1[[#This Row],[Pick]],Table2[Week],Table1[[#This Row],[Week]])</f>
        <v>0</v>
      </c>
      <c r="J1113" s="6">
        <f>IF(AND($C1113="Rushing", $H1113&lt;=0), 0, IF(AND($C1113="Passing", $G$3&lt;=0), 0,IF(AND($C1113="Receiving",$I1113&lt;=0), 0,SUMIFS(Table2[Stat],Table2[Week],Table1[[#This Row],[Week]],Table2[Athlete],Table1[[#This Row],[Pick]],Table2[Stat Category],"passing",Table2[Stat Type],"TD"))))</f>
        <v>0</v>
      </c>
      <c r="K1113" s="6">
        <f>IF(AND($C1113="Rushing", $H1113&lt;=0), 0, IF(AND($C1113="Passing", $G$3&lt;=0), 0,IF(AND($C1113="Receiving",$I1113&lt;=0),0,SUMIFS(Table2[Stat],Table2[Week],Table1[[#This Row],[Week]],Table2[Athlete],Table1[[#This Row],[Pick]],Table2[Stat Category],"rushing",Table2[Stat Type],"TD"))))</f>
        <v>0</v>
      </c>
      <c r="L1113" s="6">
        <f>IF(AND($C1113="Rushing", $H1113&lt;=0), 0, IF(AND($C1113="Passing", $G$3&lt;=0), 0,IF(AND($C1113="Receiving",$I1113&lt;=0),0,SUMIFS(Table2[Stat],Table2[Week],Table1[[#This Row],[Week]],Table2[Athlete],Table1[[#This Row],[Pick]],Table2[Stat Category],"receiving",Table2[Stat Type],"TD"))))</f>
        <v>0</v>
      </c>
      <c r="M11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3" s="61">
        <f>SUMIFS(Data!$J:$J,Data!$A:$A,Info!$B1113,Data!$G:$G,Info!$C1113,Data!$I:$I,Info!$D1113,Data!$H:$H,"TOT")</f>
        <v>0</v>
      </c>
      <c r="O1113" s="61">
        <f>IF(C1113="Defensive",SUMIFS(Data!$J:$J,Data!$A:$A,Info!$B1113,Data!$I:$I,Info!$D1113,Data!$H:$H,"INT"),0)</f>
        <v>0</v>
      </c>
      <c r="P1113" s="61">
        <f>IF(Table1[[#This Row],[Role]]="Defensive",SUMIFS(Data!$J:$J,Data!$A:$A,Info!$B1113,Data!$I:$I,Info!$D1113,Data!$H:$H,$P$1),0)</f>
        <v>0</v>
      </c>
      <c r="Q1113" s="72" t="str">
        <f>IF(Table1[[#This Row],[Pick]]="","",IF(S1113&gt;1,400,IF(G1113="","",IF(C1113="Passing",(400-Table1[[#This Row],[Passing Yards]]-(30*Table1[[#This Row],[Passing TDs]])-(50*SUM(Table1[[#This Row],[Rushing TDs]:[Other TD''s]]))),IF(C1113="Rushing",2*(200-Table1[[#This Row],[Rushing Yards]]-(30*Table1[[#This Row],[Passing TDs]])-50*(Table1[[#This Row],[Rushing TDs]]+Table1[[#This Row],[Receiving TDs]]+Table1[[#This Row],[Other TD''s]])),IF(C1113="Receiving",2*(200-Table1[[#This Row],[Receiving Yards]]-(30*Table1[[#This Row],[Passing TDs]])-50*(Table1[[#This Row],[Rushing TDs]]+Table1[[#This Row],[Receiving TDs]]+Table1[[#This Row],[Other TD''s]])),IF(C1113="Defensive",(25*(16-Table1[[#This Row],[Tackles]]-(8*(Table1[[#This Row],[Other TD''s]]+Table1[[#This Row],[Interceptions]]+Table1[[#This Row],[Fumbles Recovered]])))))))))))</f>
        <v/>
      </c>
      <c r="R1113" s="3" t="str">
        <f t="shared" si="52"/>
        <v/>
      </c>
      <c r="S1113" s="4">
        <f t="shared" si="53"/>
        <v>1048507</v>
      </c>
      <c r="T11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4" spans="1:20" hidden="1" x14ac:dyDescent="0.25">
      <c r="A1114" t="s">
        <v>144</v>
      </c>
      <c r="B1114" s="28" t="s">
        <v>48</v>
      </c>
      <c r="C1114" t="s">
        <v>20</v>
      </c>
      <c r="D1114" s="71" t="str">
        <f>_xlfn.XLOOKUP(Table1[[#This Row],[Player]]&amp;Table1[[#This Row],[Week]]&amp;Table1[[#This Row],[Role]],'Google Form Transform'!$A:$A,'Google Form Transform'!E:E,"")</f>
        <v/>
      </c>
      <c r="E1114" t="str">
        <f>_xlfn.XLOOKUP(Table1[[#This Row],[Player]]&amp;Table1[[#This Row],[Week]]&amp;Table1[[#This Row],[Role]],'Google Form Transform'!$A:$A,'Google Form Transform'!F:F,"")</f>
        <v/>
      </c>
      <c r="F1114" t="str">
        <f>_xlfn.XLOOKUP(Table1[[#This Row],[Player]]&amp;Table1[[#This Row],[Week]]&amp;Table1[[#This Row],[Role]],'Google Form Transform'!$A:$A,'Google Form Transform'!G:G,"")</f>
        <v/>
      </c>
      <c r="G1114" s="59">
        <f>SUMIFS(Table2[Stat],Table2[Stat Category],"passing",Table2[Stat Type],"YDS",Table2[Athlete],Table1[[#This Row],[Pick]],Table2[Week],Table1[[#This Row],[Week]])</f>
        <v>0</v>
      </c>
      <c r="H1114" s="59">
        <f>SUMIFS(Table2[Stat],Table2[Stat Category],"rushing",Table2[Stat Type],"YDS",Table2[Athlete],Table1[[#This Row],[Pick]],Table2[Week],Table1[[#This Row],[Week]])</f>
        <v>0</v>
      </c>
      <c r="I1114" s="59">
        <f>SUMIFS(Table2[Stat],Table2[Stat Category],"receiving",Table2[Stat Type],"YDS",Table2[Athlete],Table1[[#This Row],[Pick]],Table2[Week],Table1[[#This Row],[Week]])</f>
        <v>0</v>
      </c>
      <c r="J1114" s="6">
        <f>IF(AND($C1114="Rushing", $H1114&lt;=0), 0, IF(AND($C1114="Passing", $G$3&lt;=0), 0,IF(AND($C1114="Receiving",$I1114&lt;=0), 0,SUMIFS(Table2[Stat],Table2[Week],Table1[[#This Row],[Week]],Table2[Athlete],Table1[[#This Row],[Pick]],Table2[Stat Category],"passing",Table2[Stat Type],"TD"))))</f>
        <v>0</v>
      </c>
      <c r="K1114" s="6">
        <f>IF(AND($C1114="Rushing", $H1114&lt;=0), 0, IF(AND($C1114="Passing", $G$3&lt;=0), 0,IF(AND($C1114="Receiving",$I1114&lt;=0),0,SUMIFS(Table2[Stat],Table2[Week],Table1[[#This Row],[Week]],Table2[Athlete],Table1[[#This Row],[Pick]],Table2[Stat Category],"rushing",Table2[Stat Type],"TD"))))</f>
        <v>0</v>
      </c>
      <c r="L1114" s="6">
        <f>IF(AND($C1114="Rushing", $H1114&lt;=0), 0, IF(AND($C1114="Passing", $G$3&lt;=0), 0,IF(AND($C1114="Receiving",$I1114&lt;=0),0,SUMIFS(Table2[Stat],Table2[Week],Table1[[#This Row],[Week]],Table2[Athlete],Table1[[#This Row],[Pick]],Table2[Stat Category],"receiving",Table2[Stat Type],"TD"))))</f>
        <v>0</v>
      </c>
      <c r="M11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4" s="61">
        <f>SUMIFS(Data!$J:$J,Data!$A:$A,Info!$B1114,Data!$G:$G,Info!$C1114,Data!$I:$I,Info!$D1114,Data!$H:$H,"TOT")</f>
        <v>0</v>
      </c>
      <c r="O1114" s="61">
        <f>IF(C1114="Defensive",SUMIFS(Data!$J:$J,Data!$A:$A,Info!$B1114,Data!$I:$I,Info!$D1114,Data!$H:$H,"INT"),0)</f>
        <v>0</v>
      </c>
      <c r="P1114" s="61">
        <f>IF(Table1[[#This Row],[Role]]="Defensive",SUMIFS(Data!$J:$J,Data!$A:$A,Info!$B1114,Data!$I:$I,Info!$D1114,Data!$H:$H,$P$1),0)</f>
        <v>0</v>
      </c>
      <c r="Q1114" s="72" t="str">
        <f>IF(Table1[[#This Row],[Pick]]="","",IF(S1114&gt;1,400,IF(G1114="","",IF(C1114="Passing",(400-Table1[[#This Row],[Passing Yards]]-(30*Table1[[#This Row],[Passing TDs]])-(50*SUM(Table1[[#This Row],[Rushing TDs]:[Other TD''s]]))),IF(C1114="Rushing",2*(200-Table1[[#This Row],[Rushing Yards]]-(30*Table1[[#This Row],[Passing TDs]])-50*(Table1[[#This Row],[Rushing TDs]]+Table1[[#This Row],[Receiving TDs]]+Table1[[#This Row],[Other TD''s]])),IF(C1114="Receiving",2*(200-Table1[[#This Row],[Receiving Yards]]-(30*Table1[[#This Row],[Passing TDs]])-50*(Table1[[#This Row],[Rushing TDs]]+Table1[[#This Row],[Receiving TDs]]+Table1[[#This Row],[Other TD''s]])),IF(C1114="Defensive",(25*(16-Table1[[#This Row],[Tackles]]-(8*(Table1[[#This Row],[Other TD''s]]+Table1[[#This Row],[Interceptions]]+Table1[[#This Row],[Fumbles Recovered]])))))))))))</f>
        <v/>
      </c>
      <c r="R1114" s="3" t="str">
        <f t="shared" si="52"/>
        <v/>
      </c>
      <c r="S1114" s="4">
        <f t="shared" si="53"/>
        <v>1048507</v>
      </c>
      <c r="T11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5" spans="1:20" hidden="1" x14ac:dyDescent="0.25">
      <c r="A1115" t="s">
        <v>144</v>
      </c>
      <c r="B1115" s="28" t="s">
        <v>49</v>
      </c>
      <c r="C1115" t="s">
        <v>16</v>
      </c>
      <c r="D1115" s="71" t="str">
        <f>_xlfn.XLOOKUP(Table1[[#This Row],[Player]]&amp;Table1[[#This Row],[Week]]&amp;Table1[[#This Row],[Role]],'Google Form Transform'!$A:$A,'Google Form Transform'!E:E,"")</f>
        <v/>
      </c>
      <c r="E1115" t="str">
        <f>_xlfn.XLOOKUP(Table1[[#This Row],[Player]]&amp;Table1[[#This Row],[Week]]&amp;Table1[[#This Row],[Role]],'Google Form Transform'!$A:$A,'Google Form Transform'!F:F,"")</f>
        <v/>
      </c>
      <c r="F1115" t="str">
        <f>_xlfn.XLOOKUP(Table1[[#This Row],[Player]]&amp;Table1[[#This Row],[Week]]&amp;Table1[[#This Row],[Role]],'Google Form Transform'!$A:$A,'Google Form Transform'!G:G,"")</f>
        <v/>
      </c>
      <c r="G1115" s="59">
        <f>SUMIFS(Table2[Stat],Table2[Stat Category],"passing",Table2[Stat Type],"YDS",Table2[Athlete],Table1[[#This Row],[Pick]],Table2[Week],Table1[[#This Row],[Week]])</f>
        <v>0</v>
      </c>
      <c r="H1115" s="59">
        <f>SUMIFS(Table2[Stat],Table2[Stat Category],"rushing",Table2[Stat Type],"YDS",Table2[Athlete],Table1[[#This Row],[Pick]],Table2[Week],Table1[[#This Row],[Week]])</f>
        <v>0</v>
      </c>
      <c r="I1115" s="59">
        <f>SUMIFS(Table2[Stat],Table2[Stat Category],"receiving",Table2[Stat Type],"YDS",Table2[Athlete],Table1[[#This Row],[Pick]],Table2[Week],Table1[[#This Row],[Week]])</f>
        <v>0</v>
      </c>
      <c r="J1115" s="6">
        <f>IF(AND($C1115="Rushing", $H1115&lt;=0), 0, IF(AND($C1115="Passing", $G$3&lt;=0), 0,IF(AND($C1115="Receiving",$I1115&lt;=0), 0,SUMIFS(Table2[Stat],Table2[Week],Table1[[#This Row],[Week]],Table2[Athlete],Table1[[#This Row],[Pick]],Table2[Stat Category],"passing",Table2[Stat Type],"TD"))))</f>
        <v>0</v>
      </c>
      <c r="K1115" s="6">
        <f>IF(AND($C1115="Rushing", $H1115&lt;=0), 0, IF(AND($C1115="Passing", $G$3&lt;=0), 0,IF(AND($C1115="Receiving",$I1115&lt;=0),0,SUMIFS(Table2[Stat],Table2[Week],Table1[[#This Row],[Week]],Table2[Athlete],Table1[[#This Row],[Pick]],Table2[Stat Category],"rushing",Table2[Stat Type],"TD"))))</f>
        <v>0</v>
      </c>
      <c r="L1115" s="6">
        <f>IF(AND($C1115="Rushing", $H1115&lt;=0), 0, IF(AND($C1115="Passing", $G$3&lt;=0), 0,IF(AND($C1115="Receiving",$I1115&lt;=0),0,SUMIFS(Table2[Stat],Table2[Week],Table1[[#This Row],[Week]],Table2[Athlete],Table1[[#This Row],[Pick]],Table2[Stat Category],"receiving",Table2[Stat Type],"TD"))))</f>
        <v>0</v>
      </c>
      <c r="M11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5" s="61">
        <f>SUMIFS(Data!$J:$J,Data!$A:$A,Info!$B1115,Data!$G:$G,Info!$C1115,Data!$I:$I,Info!$D1115,Data!$H:$H,"TOT")</f>
        <v>0</v>
      </c>
      <c r="O1115" s="61">
        <f>IF(C1115="Defensive",SUMIFS(Data!$J:$J,Data!$A:$A,Info!$B1115,Data!$I:$I,Info!$D1115,Data!$H:$H,"INT"),0)</f>
        <v>0</v>
      </c>
      <c r="P1115" s="61">
        <f>IF(Table1[[#This Row],[Role]]="Defensive",SUMIFS(Data!$J:$J,Data!$A:$A,Info!$B1115,Data!$I:$I,Info!$D1115,Data!$H:$H,$P$1),0)</f>
        <v>0</v>
      </c>
      <c r="Q1115" s="72" t="str">
        <f>IF(Table1[[#This Row],[Pick]]="","",IF(S1115&gt;1,400,IF(G1115="","",IF(C1115="Passing",(400-Table1[[#This Row],[Passing Yards]]-(30*Table1[[#This Row],[Passing TDs]])-(50*SUM(Table1[[#This Row],[Rushing TDs]:[Other TD''s]]))),IF(C1115="Rushing",2*(200-Table1[[#This Row],[Rushing Yards]]-(30*Table1[[#This Row],[Passing TDs]])-50*(Table1[[#This Row],[Rushing TDs]]+Table1[[#This Row],[Receiving TDs]]+Table1[[#This Row],[Other TD''s]])),IF(C1115="Receiving",2*(200-Table1[[#This Row],[Receiving Yards]]-(30*Table1[[#This Row],[Passing TDs]])-50*(Table1[[#This Row],[Rushing TDs]]+Table1[[#This Row],[Receiving TDs]]+Table1[[#This Row],[Other TD''s]])),IF(C1115="Defensive",(25*(16-Table1[[#This Row],[Tackles]]-(8*(Table1[[#This Row],[Other TD''s]]+Table1[[#This Row],[Interceptions]]+Table1[[#This Row],[Fumbles Recovered]])))))))))))</f>
        <v/>
      </c>
      <c r="R1115" s="3" t="str">
        <f t="shared" si="52"/>
        <v/>
      </c>
      <c r="S1115" s="4">
        <f t="shared" si="53"/>
        <v>1048507</v>
      </c>
      <c r="T11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6" spans="1:20" hidden="1" x14ac:dyDescent="0.25">
      <c r="A1116" t="s">
        <v>144</v>
      </c>
      <c r="B1116" s="28" t="s">
        <v>49</v>
      </c>
      <c r="C1116" t="s">
        <v>6</v>
      </c>
      <c r="D1116" s="71" t="str">
        <f>_xlfn.XLOOKUP(Table1[[#This Row],[Player]]&amp;Table1[[#This Row],[Week]]&amp;Table1[[#This Row],[Role]],'Google Form Transform'!$A:$A,'Google Form Transform'!E:E,"")</f>
        <v/>
      </c>
      <c r="E1116" t="str">
        <f>_xlfn.XLOOKUP(Table1[[#This Row],[Player]]&amp;Table1[[#This Row],[Week]]&amp;Table1[[#This Row],[Role]],'Google Form Transform'!$A:$A,'Google Form Transform'!F:F,"")</f>
        <v/>
      </c>
      <c r="F1116" t="str">
        <f>_xlfn.XLOOKUP(Table1[[#This Row],[Player]]&amp;Table1[[#This Row],[Week]]&amp;Table1[[#This Row],[Role]],'Google Form Transform'!$A:$A,'Google Form Transform'!G:G,"")</f>
        <v/>
      </c>
      <c r="G1116" s="59">
        <f>SUMIFS(Table2[Stat],Table2[Stat Category],"passing",Table2[Stat Type],"YDS",Table2[Athlete],Table1[[#This Row],[Pick]],Table2[Week],Table1[[#This Row],[Week]])</f>
        <v>0</v>
      </c>
      <c r="H1116" s="59">
        <f>SUMIFS(Table2[Stat],Table2[Stat Category],"rushing",Table2[Stat Type],"YDS",Table2[Athlete],Table1[[#This Row],[Pick]],Table2[Week],Table1[[#This Row],[Week]])</f>
        <v>0</v>
      </c>
      <c r="I1116" s="59">
        <f>SUMIFS(Table2[Stat],Table2[Stat Category],"receiving",Table2[Stat Type],"YDS",Table2[Athlete],Table1[[#This Row],[Pick]],Table2[Week],Table1[[#This Row],[Week]])</f>
        <v>0</v>
      </c>
      <c r="J1116" s="6">
        <f>IF(AND($C1116="Rushing", $H1116&lt;=0), 0, IF(AND($C1116="Passing", $G$3&lt;=0), 0,IF(AND($C1116="Receiving",$I1116&lt;=0), 0,SUMIFS(Table2[Stat],Table2[Week],Table1[[#This Row],[Week]],Table2[Athlete],Table1[[#This Row],[Pick]],Table2[Stat Category],"passing",Table2[Stat Type],"TD"))))</f>
        <v>0</v>
      </c>
      <c r="K1116" s="6">
        <f>IF(AND($C1116="Rushing", $H1116&lt;=0), 0, IF(AND($C1116="Passing", $G$3&lt;=0), 0,IF(AND($C1116="Receiving",$I1116&lt;=0),0,SUMIFS(Table2[Stat],Table2[Week],Table1[[#This Row],[Week]],Table2[Athlete],Table1[[#This Row],[Pick]],Table2[Stat Category],"rushing",Table2[Stat Type],"TD"))))</f>
        <v>0</v>
      </c>
      <c r="L1116" s="6">
        <f>IF(AND($C1116="Rushing", $H1116&lt;=0), 0, IF(AND($C1116="Passing", $G$3&lt;=0), 0,IF(AND($C1116="Receiving",$I1116&lt;=0),0,SUMIFS(Table2[Stat],Table2[Week],Table1[[#This Row],[Week]],Table2[Athlete],Table1[[#This Row],[Pick]],Table2[Stat Category],"receiving",Table2[Stat Type],"TD"))))</f>
        <v>0</v>
      </c>
      <c r="M11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6" s="61">
        <f>SUMIFS(Data!$J:$J,Data!$A:$A,Info!$B1116,Data!$G:$G,Info!$C1116,Data!$I:$I,Info!$D1116,Data!$H:$H,"TOT")</f>
        <v>0</v>
      </c>
      <c r="O1116" s="61">
        <f>IF(C1116="Defensive",SUMIFS(Data!$J:$J,Data!$A:$A,Info!$B1116,Data!$I:$I,Info!$D1116,Data!$H:$H,"INT"),0)</f>
        <v>0</v>
      </c>
      <c r="P1116" s="61">
        <f>IF(Table1[[#This Row],[Role]]="Defensive",SUMIFS(Data!$J:$J,Data!$A:$A,Info!$B1116,Data!$I:$I,Info!$D1116,Data!$H:$H,$P$1),0)</f>
        <v>0</v>
      </c>
      <c r="Q1116" s="72" t="str">
        <f>IF(Table1[[#This Row],[Pick]]="","",IF(S1116&gt;1,400,IF(G1116="","",IF(C1116="Passing",(400-Table1[[#This Row],[Passing Yards]]-(30*Table1[[#This Row],[Passing TDs]])-(50*SUM(Table1[[#This Row],[Rushing TDs]:[Other TD''s]]))),IF(C1116="Rushing",2*(200-Table1[[#This Row],[Rushing Yards]]-(30*Table1[[#This Row],[Passing TDs]])-50*(Table1[[#This Row],[Rushing TDs]]+Table1[[#This Row],[Receiving TDs]]+Table1[[#This Row],[Other TD''s]])),IF(C1116="Receiving",2*(200-Table1[[#This Row],[Receiving Yards]]-(30*Table1[[#This Row],[Passing TDs]])-50*(Table1[[#This Row],[Rushing TDs]]+Table1[[#This Row],[Receiving TDs]]+Table1[[#This Row],[Other TD''s]])),IF(C1116="Defensive",(25*(16-Table1[[#This Row],[Tackles]]-(8*(Table1[[#This Row],[Other TD''s]]+Table1[[#This Row],[Interceptions]]+Table1[[#This Row],[Fumbles Recovered]])))))))))))</f>
        <v/>
      </c>
      <c r="R1116" s="3" t="str">
        <f t="shared" si="52"/>
        <v/>
      </c>
      <c r="S1116" s="4">
        <f t="shared" si="53"/>
        <v>1048507</v>
      </c>
      <c r="T11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7" spans="1:20" hidden="1" x14ac:dyDescent="0.25">
      <c r="A1117" t="s">
        <v>144</v>
      </c>
      <c r="B1117" s="28" t="s">
        <v>49</v>
      </c>
      <c r="C1117" t="s">
        <v>17</v>
      </c>
      <c r="D1117" s="71" t="str">
        <f>_xlfn.XLOOKUP(Table1[[#This Row],[Player]]&amp;Table1[[#This Row],[Week]]&amp;Table1[[#This Row],[Role]],'Google Form Transform'!$A:$A,'Google Form Transform'!E:E,"")</f>
        <v/>
      </c>
      <c r="E1117" t="str">
        <f>_xlfn.XLOOKUP(Table1[[#This Row],[Player]]&amp;Table1[[#This Row],[Week]]&amp;Table1[[#This Row],[Role]],'Google Form Transform'!$A:$A,'Google Form Transform'!F:F,"")</f>
        <v/>
      </c>
      <c r="F1117" t="str">
        <f>_xlfn.XLOOKUP(Table1[[#This Row],[Player]]&amp;Table1[[#This Row],[Week]]&amp;Table1[[#This Row],[Role]],'Google Form Transform'!$A:$A,'Google Form Transform'!G:G,"")</f>
        <v/>
      </c>
      <c r="G1117" s="59">
        <f>SUMIFS(Table2[Stat],Table2[Stat Category],"passing",Table2[Stat Type],"YDS",Table2[Athlete],Table1[[#This Row],[Pick]],Table2[Week],Table1[[#This Row],[Week]])</f>
        <v>0</v>
      </c>
      <c r="H1117" s="59">
        <f>SUMIFS(Table2[Stat],Table2[Stat Category],"rushing",Table2[Stat Type],"YDS",Table2[Athlete],Table1[[#This Row],[Pick]],Table2[Week],Table1[[#This Row],[Week]])</f>
        <v>0</v>
      </c>
      <c r="I1117" s="59">
        <f>SUMIFS(Table2[Stat],Table2[Stat Category],"receiving",Table2[Stat Type],"YDS",Table2[Athlete],Table1[[#This Row],[Pick]],Table2[Week],Table1[[#This Row],[Week]])</f>
        <v>0</v>
      </c>
      <c r="J1117" s="6">
        <f>IF(AND($C1117="Rushing", $H1117&lt;=0), 0, IF(AND($C1117="Passing", $G$3&lt;=0), 0,IF(AND($C1117="Receiving",$I1117&lt;=0), 0,SUMIFS(Table2[Stat],Table2[Week],Table1[[#This Row],[Week]],Table2[Athlete],Table1[[#This Row],[Pick]],Table2[Stat Category],"passing",Table2[Stat Type],"TD"))))</f>
        <v>0</v>
      </c>
      <c r="K1117" s="6">
        <f>IF(AND($C1117="Rushing", $H1117&lt;=0), 0, IF(AND($C1117="Passing", $G$3&lt;=0), 0,IF(AND($C1117="Receiving",$I1117&lt;=0),0,SUMIFS(Table2[Stat],Table2[Week],Table1[[#This Row],[Week]],Table2[Athlete],Table1[[#This Row],[Pick]],Table2[Stat Category],"rushing",Table2[Stat Type],"TD"))))</f>
        <v>0</v>
      </c>
      <c r="L1117" s="6">
        <f>IF(AND($C1117="Rushing", $H1117&lt;=0), 0, IF(AND($C1117="Passing", $G$3&lt;=0), 0,IF(AND($C1117="Receiving",$I1117&lt;=0),0,SUMIFS(Table2[Stat],Table2[Week],Table1[[#This Row],[Week]],Table2[Athlete],Table1[[#This Row],[Pick]],Table2[Stat Category],"receiving",Table2[Stat Type],"TD"))))</f>
        <v>0</v>
      </c>
      <c r="M11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7" s="61">
        <f>SUMIFS(Data!$J:$J,Data!$A:$A,Info!$B1117,Data!$G:$G,Info!$C1117,Data!$I:$I,Info!$D1117,Data!$H:$H,"TOT")</f>
        <v>0</v>
      </c>
      <c r="O1117" s="61">
        <f>IF(C1117="Defensive",SUMIFS(Data!$J:$J,Data!$A:$A,Info!$B1117,Data!$I:$I,Info!$D1117,Data!$H:$H,"INT"),0)</f>
        <v>0</v>
      </c>
      <c r="P1117" s="61">
        <f>IF(Table1[[#This Row],[Role]]="Defensive",SUMIFS(Data!$J:$J,Data!$A:$A,Info!$B1117,Data!$I:$I,Info!$D1117,Data!$H:$H,$P$1),0)</f>
        <v>0</v>
      </c>
      <c r="Q1117" s="72" t="str">
        <f>IF(Table1[[#This Row],[Pick]]="","",IF(S1117&gt;1,400,IF(G1117="","",IF(C1117="Passing",(400-Table1[[#This Row],[Passing Yards]]-(30*Table1[[#This Row],[Passing TDs]])-(50*SUM(Table1[[#This Row],[Rushing TDs]:[Other TD''s]]))),IF(C1117="Rushing",2*(200-Table1[[#This Row],[Rushing Yards]]-(30*Table1[[#This Row],[Passing TDs]])-50*(Table1[[#This Row],[Rushing TDs]]+Table1[[#This Row],[Receiving TDs]]+Table1[[#This Row],[Other TD''s]])),IF(C1117="Receiving",2*(200-Table1[[#This Row],[Receiving Yards]]-(30*Table1[[#This Row],[Passing TDs]])-50*(Table1[[#This Row],[Rushing TDs]]+Table1[[#This Row],[Receiving TDs]]+Table1[[#This Row],[Other TD''s]])),IF(C1117="Defensive",(25*(16-Table1[[#This Row],[Tackles]]-(8*(Table1[[#This Row],[Other TD''s]]+Table1[[#This Row],[Interceptions]]+Table1[[#This Row],[Fumbles Recovered]])))))))))))</f>
        <v/>
      </c>
      <c r="R1117" s="3" t="str">
        <f t="shared" si="52"/>
        <v/>
      </c>
      <c r="S1117" s="4">
        <f t="shared" si="53"/>
        <v>1048507</v>
      </c>
      <c r="T11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8" spans="1:20" hidden="1" x14ac:dyDescent="0.25">
      <c r="A1118" t="s">
        <v>144</v>
      </c>
      <c r="B1118" s="28" t="s">
        <v>49</v>
      </c>
      <c r="C1118" t="s">
        <v>20</v>
      </c>
      <c r="D1118" s="71" t="str">
        <f>_xlfn.XLOOKUP(Table1[[#This Row],[Player]]&amp;Table1[[#This Row],[Week]]&amp;Table1[[#This Row],[Role]],'Google Form Transform'!$A:$A,'Google Form Transform'!E:E,"")</f>
        <v/>
      </c>
      <c r="E1118" t="str">
        <f>_xlfn.XLOOKUP(Table1[[#This Row],[Player]]&amp;Table1[[#This Row],[Week]]&amp;Table1[[#This Row],[Role]],'Google Form Transform'!$A:$A,'Google Form Transform'!F:F,"")</f>
        <v/>
      </c>
      <c r="F1118" t="str">
        <f>_xlfn.XLOOKUP(Table1[[#This Row],[Player]]&amp;Table1[[#This Row],[Week]]&amp;Table1[[#This Row],[Role]],'Google Form Transform'!$A:$A,'Google Form Transform'!G:G,"")</f>
        <v/>
      </c>
      <c r="G1118" s="59">
        <f>SUMIFS(Table2[Stat],Table2[Stat Category],"passing",Table2[Stat Type],"YDS",Table2[Athlete],Table1[[#This Row],[Pick]],Table2[Week],Table1[[#This Row],[Week]])</f>
        <v>0</v>
      </c>
      <c r="H1118" s="59">
        <f>SUMIFS(Table2[Stat],Table2[Stat Category],"rushing",Table2[Stat Type],"YDS",Table2[Athlete],Table1[[#This Row],[Pick]],Table2[Week],Table1[[#This Row],[Week]])</f>
        <v>0</v>
      </c>
      <c r="I1118" s="59">
        <f>SUMIFS(Table2[Stat],Table2[Stat Category],"receiving",Table2[Stat Type],"YDS",Table2[Athlete],Table1[[#This Row],[Pick]],Table2[Week],Table1[[#This Row],[Week]])</f>
        <v>0</v>
      </c>
      <c r="J1118" s="6">
        <f>IF(AND($C1118="Rushing", $H1118&lt;=0), 0, IF(AND($C1118="Passing", $G$3&lt;=0), 0,IF(AND($C1118="Receiving",$I1118&lt;=0), 0,SUMIFS(Table2[Stat],Table2[Week],Table1[[#This Row],[Week]],Table2[Athlete],Table1[[#This Row],[Pick]],Table2[Stat Category],"passing",Table2[Stat Type],"TD"))))</f>
        <v>0</v>
      </c>
      <c r="K1118" s="6">
        <f>IF(AND($C1118="Rushing", $H1118&lt;=0), 0, IF(AND($C1118="Passing", $G$3&lt;=0), 0,IF(AND($C1118="Receiving",$I1118&lt;=0),0,SUMIFS(Table2[Stat],Table2[Week],Table1[[#This Row],[Week]],Table2[Athlete],Table1[[#This Row],[Pick]],Table2[Stat Category],"rushing",Table2[Stat Type],"TD"))))</f>
        <v>0</v>
      </c>
      <c r="L1118" s="6">
        <f>IF(AND($C1118="Rushing", $H1118&lt;=0), 0, IF(AND($C1118="Passing", $G$3&lt;=0), 0,IF(AND($C1118="Receiving",$I1118&lt;=0),0,SUMIFS(Table2[Stat],Table2[Week],Table1[[#This Row],[Week]],Table2[Athlete],Table1[[#This Row],[Pick]],Table2[Stat Category],"receiving",Table2[Stat Type],"TD"))))</f>
        <v>0</v>
      </c>
      <c r="M11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8" s="61">
        <f>SUMIFS(Data!$J:$J,Data!$A:$A,Info!$B1118,Data!$G:$G,Info!$C1118,Data!$I:$I,Info!$D1118,Data!$H:$H,"TOT")</f>
        <v>0</v>
      </c>
      <c r="O1118" s="61">
        <f>IF(C1118="Defensive",SUMIFS(Data!$J:$J,Data!$A:$A,Info!$B1118,Data!$I:$I,Info!$D1118,Data!$H:$H,"INT"),0)</f>
        <v>0</v>
      </c>
      <c r="P1118" s="61">
        <f>IF(Table1[[#This Row],[Role]]="Defensive",SUMIFS(Data!$J:$J,Data!$A:$A,Info!$B1118,Data!$I:$I,Info!$D1118,Data!$H:$H,$P$1),0)</f>
        <v>0</v>
      </c>
      <c r="Q1118" s="72" t="str">
        <f>IF(Table1[[#This Row],[Pick]]="","",IF(S1118&gt;1,400,IF(G1118="","",IF(C1118="Passing",(400-Table1[[#This Row],[Passing Yards]]-(30*Table1[[#This Row],[Passing TDs]])-(50*SUM(Table1[[#This Row],[Rushing TDs]:[Other TD''s]]))),IF(C1118="Rushing",2*(200-Table1[[#This Row],[Rushing Yards]]-(30*Table1[[#This Row],[Passing TDs]])-50*(Table1[[#This Row],[Rushing TDs]]+Table1[[#This Row],[Receiving TDs]]+Table1[[#This Row],[Other TD''s]])),IF(C1118="Receiving",2*(200-Table1[[#This Row],[Receiving Yards]]-(30*Table1[[#This Row],[Passing TDs]])-50*(Table1[[#This Row],[Rushing TDs]]+Table1[[#This Row],[Receiving TDs]]+Table1[[#This Row],[Other TD''s]])),IF(C1118="Defensive",(25*(16-Table1[[#This Row],[Tackles]]-(8*(Table1[[#This Row],[Other TD''s]]+Table1[[#This Row],[Interceptions]]+Table1[[#This Row],[Fumbles Recovered]])))))))))))</f>
        <v/>
      </c>
      <c r="R1118" s="3" t="str">
        <f t="shared" si="52"/>
        <v/>
      </c>
      <c r="S1118" s="4">
        <f t="shared" si="53"/>
        <v>1048507</v>
      </c>
      <c r="T11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9" spans="1:20" hidden="1" x14ac:dyDescent="0.25">
      <c r="A1119" t="s">
        <v>144</v>
      </c>
      <c r="B1119" s="28" t="s">
        <v>50</v>
      </c>
      <c r="C1119" t="s">
        <v>16</v>
      </c>
      <c r="D1119" s="71" t="str">
        <f>_xlfn.XLOOKUP(Table1[[#This Row],[Player]]&amp;Table1[[#This Row],[Week]]&amp;Table1[[#This Row],[Role]],'Google Form Transform'!$A:$A,'Google Form Transform'!E:E,"")</f>
        <v/>
      </c>
      <c r="E1119" t="str">
        <f>_xlfn.XLOOKUP(Table1[[#This Row],[Player]]&amp;Table1[[#This Row],[Week]]&amp;Table1[[#This Row],[Role]],'Google Form Transform'!$A:$A,'Google Form Transform'!F:F,"")</f>
        <v/>
      </c>
      <c r="F1119" t="str">
        <f>_xlfn.XLOOKUP(Table1[[#This Row],[Player]]&amp;Table1[[#This Row],[Week]]&amp;Table1[[#This Row],[Role]],'Google Form Transform'!$A:$A,'Google Form Transform'!G:G,"")</f>
        <v/>
      </c>
      <c r="G1119" s="59">
        <f>SUMIFS(Table2[Stat],Table2[Stat Category],"passing",Table2[Stat Type],"YDS",Table2[Athlete],Table1[[#This Row],[Pick]],Table2[Week],Table1[[#This Row],[Week]])</f>
        <v>0</v>
      </c>
      <c r="H1119" s="59">
        <f>SUMIFS(Table2[Stat],Table2[Stat Category],"rushing",Table2[Stat Type],"YDS",Table2[Athlete],Table1[[#This Row],[Pick]],Table2[Week],Table1[[#This Row],[Week]])</f>
        <v>0</v>
      </c>
      <c r="I1119" s="59">
        <f>SUMIFS(Table2[Stat],Table2[Stat Category],"receiving",Table2[Stat Type],"YDS",Table2[Athlete],Table1[[#This Row],[Pick]],Table2[Week],Table1[[#This Row],[Week]])</f>
        <v>0</v>
      </c>
      <c r="J1119" s="6">
        <f>IF(AND($C1119="Rushing", $H1119&lt;=0), 0, IF(AND($C1119="Passing", $G$3&lt;=0), 0,IF(AND($C1119="Receiving",$I1119&lt;=0), 0,SUMIFS(Table2[Stat],Table2[Week],Table1[[#This Row],[Week]],Table2[Athlete],Table1[[#This Row],[Pick]],Table2[Stat Category],"passing",Table2[Stat Type],"TD"))))</f>
        <v>0</v>
      </c>
      <c r="K1119" s="6">
        <f>IF(AND($C1119="Rushing", $H1119&lt;=0), 0, IF(AND($C1119="Passing", $G$3&lt;=0), 0,IF(AND($C1119="Receiving",$I1119&lt;=0),0,SUMIFS(Table2[Stat],Table2[Week],Table1[[#This Row],[Week]],Table2[Athlete],Table1[[#This Row],[Pick]],Table2[Stat Category],"rushing",Table2[Stat Type],"TD"))))</f>
        <v>0</v>
      </c>
      <c r="L1119" s="6">
        <f>IF(AND($C1119="Rushing", $H1119&lt;=0), 0, IF(AND($C1119="Passing", $G$3&lt;=0), 0,IF(AND($C1119="Receiving",$I1119&lt;=0),0,SUMIFS(Table2[Stat],Table2[Week],Table1[[#This Row],[Week]],Table2[Athlete],Table1[[#This Row],[Pick]],Table2[Stat Category],"receiving",Table2[Stat Type],"TD"))))</f>
        <v>0</v>
      </c>
      <c r="M11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9" s="61">
        <f>SUMIFS(Data!$J:$J,Data!$A:$A,Info!$B1119,Data!$G:$G,Info!$C1119,Data!$I:$I,Info!$D1119,Data!$H:$H,"TOT")</f>
        <v>0</v>
      </c>
      <c r="O1119" s="61">
        <f>IF(C1119="Defensive",SUMIFS(Data!$J:$J,Data!$A:$A,Info!$B1119,Data!$I:$I,Info!$D1119,Data!$H:$H,"INT"),0)</f>
        <v>0</v>
      </c>
      <c r="P1119" s="61">
        <f>IF(Table1[[#This Row],[Role]]="Defensive",SUMIFS(Data!$J:$J,Data!$A:$A,Info!$B1119,Data!$I:$I,Info!$D1119,Data!$H:$H,$P$1),0)</f>
        <v>0</v>
      </c>
      <c r="Q1119" s="72" t="str">
        <f>IF(Table1[[#This Row],[Pick]]="","",IF(S1119&gt;1,400,IF(G1119="","",IF(C1119="Passing",(400-Table1[[#This Row],[Passing Yards]]-(30*Table1[[#This Row],[Passing TDs]])-(50*SUM(Table1[[#This Row],[Rushing TDs]:[Other TD''s]]))),IF(C1119="Rushing",2*(200-Table1[[#This Row],[Rushing Yards]]-(30*Table1[[#This Row],[Passing TDs]])-50*(Table1[[#This Row],[Rushing TDs]]+Table1[[#This Row],[Receiving TDs]]+Table1[[#This Row],[Other TD''s]])),IF(C1119="Receiving",2*(200-Table1[[#This Row],[Receiving Yards]]-(30*Table1[[#This Row],[Passing TDs]])-50*(Table1[[#This Row],[Rushing TDs]]+Table1[[#This Row],[Receiving TDs]]+Table1[[#This Row],[Other TD''s]])),IF(C1119="Defensive",(25*(16-Table1[[#This Row],[Tackles]]-(8*(Table1[[#This Row],[Other TD''s]]+Table1[[#This Row],[Interceptions]]+Table1[[#This Row],[Fumbles Recovered]])))))))))))</f>
        <v/>
      </c>
      <c r="R1119" s="3" t="str">
        <f t="shared" si="52"/>
        <v/>
      </c>
      <c r="S1119" s="4">
        <f t="shared" si="53"/>
        <v>1048507</v>
      </c>
      <c r="T11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0" spans="1:20" hidden="1" x14ac:dyDescent="0.25">
      <c r="A1120" t="s">
        <v>144</v>
      </c>
      <c r="B1120" s="28" t="s">
        <v>50</v>
      </c>
      <c r="C1120" t="s">
        <v>6</v>
      </c>
      <c r="D1120" s="71" t="str">
        <f>_xlfn.XLOOKUP(Table1[[#This Row],[Player]]&amp;Table1[[#This Row],[Week]]&amp;Table1[[#This Row],[Role]],'Google Form Transform'!$A:$A,'Google Form Transform'!E:E,"")</f>
        <v/>
      </c>
      <c r="E1120" t="str">
        <f>_xlfn.XLOOKUP(Table1[[#This Row],[Player]]&amp;Table1[[#This Row],[Week]]&amp;Table1[[#This Row],[Role]],'Google Form Transform'!$A:$A,'Google Form Transform'!F:F,"")</f>
        <v/>
      </c>
      <c r="F1120" t="str">
        <f>_xlfn.XLOOKUP(Table1[[#This Row],[Player]]&amp;Table1[[#This Row],[Week]]&amp;Table1[[#This Row],[Role]],'Google Form Transform'!$A:$A,'Google Form Transform'!G:G,"")</f>
        <v/>
      </c>
      <c r="G1120" s="59">
        <f>SUMIFS(Table2[Stat],Table2[Stat Category],"passing",Table2[Stat Type],"YDS",Table2[Athlete],Table1[[#This Row],[Pick]],Table2[Week],Table1[[#This Row],[Week]])</f>
        <v>0</v>
      </c>
      <c r="H1120" s="59">
        <f>SUMIFS(Table2[Stat],Table2[Stat Category],"rushing",Table2[Stat Type],"YDS",Table2[Athlete],Table1[[#This Row],[Pick]],Table2[Week],Table1[[#This Row],[Week]])</f>
        <v>0</v>
      </c>
      <c r="I1120" s="59">
        <f>SUMIFS(Table2[Stat],Table2[Stat Category],"receiving",Table2[Stat Type],"YDS",Table2[Athlete],Table1[[#This Row],[Pick]],Table2[Week],Table1[[#This Row],[Week]])</f>
        <v>0</v>
      </c>
      <c r="J1120" s="6">
        <f>IF(AND($C1120="Rushing", $H1120&lt;=0), 0, IF(AND($C1120="Passing", $G$3&lt;=0), 0,IF(AND($C1120="Receiving",$I1120&lt;=0), 0,SUMIFS(Table2[Stat],Table2[Week],Table1[[#This Row],[Week]],Table2[Athlete],Table1[[#This Row],[Pick]],Table2[Stat Category],"passing",Table2[Stat Type],"TD"))))</f>
        <v>0</v>
      </c>
      <c r="K1120" s="6">
        <f>IF(AND($C1120="Rushing", $H1120&lt;=0), 0, IF(AND($C1120="Passing", $G$3&lt;=0), 0,IF(AND($C1120="Receiving",$I1120&lt;=0),0,SUMIFS(Table2[Stat],Table2[Week],Table1[[#This Row],[Week]],Table2[Athlete],Table1[[#This Row],[Pick]],Table2[Stat Category],"rushing",Table2[Stat Type],"TD"))))</f>
        <v>0</v>
      </c>
      <c r="L1120" s="6">
        <f>IF(AND($C1120="Rushing", $H1120&lt;=0), 0, IF(AND($C1120="Passing", $G$3&lt;=0), 0,IF(AND($C1120="Receiving",$I1120&lt;=0),0,SUMIFS(Table2[Stat],Table2[Week],Table1[[#This Row],[Week]],Table2[Athlete],Table1[[#This Row],[Pick]],Table2[Stat Category],"receiving",Table2[Stat Type],"TD"))))</f>
        <v>0</v>
      </c>
      <c r="M11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0" s="61">
        <f>SUMIFS(Data!$J:$J,Data!$A:$A,Info!$B1120,Data!$G:$G,Info!$C1120,Data!$I:$I,Info!$D1120,Data!$H:$H,"TOT")</f>
        <v>0</v>
      </c>
      <c r="O1120" s="61">
        <f>IF(C1120="Defensive",SUMIFS(Data!$J:$J,Data!$A:$A,Info!$B1120,Data!$I:$I,Info!$D1120,Data!$H:$H,"INT"),0)</f>
        <v>0</v>
      </c>
      <c r="P1120" s="61">
        <f>IF(Table1[[#This Row],[Role]]="Defensive",SUMIFS(Data!$J:$J,Data!$A:$A,Info!$B1120,Data!$I:$I,Info!$D1120,Data!$H:$H,$P$1),0)</f>
        <v>0</v>
      </c>
      <c r="Q1120" s="72" t="str">
        <f>IF(Table1[[#This Row],[Pick]]="","",IF(S1120&gt;1,400,IF(G1120="","",IF(C1120="Passing",(400-Table1[[#This Row],[Passing Yards]]-(30*Table1[[#This Row],[Passing TDs]])-(50*SUM(Table1[[#This Row],[Rushing TDs]:[Other TD''s]]))),IF(C1120="Rushing",2*(200-Table1[[#This Row],[Rushing Yards]]-(30*Table1[[#This Row],[Passing TDs]])-50*(Table1[[#This Row],[Rushing TDs]]+Table1[[#This Row],[Receiving TDs]]+Table1[[#This Row],[Other TD''s]])),IF(C1120="Receiving",2*(200-Table1[[#This Row],[Receiving Yards]]-(30*Table1[[#This Row],[Passing TDs]])-50*(Table1[[#This Row],[Rushing TDs]]+Table1[[#This Row],[Receiving TDs]]+Table1[[#This Row],[Other TD''s]])),IF(C1120="Defensive",(25*(16-Table1[[#This Row],[Tackles]]-(8*(Table1[[#This Row],[Other TD''s]]+Table1[[#This Row],[Interceptions]]+Table1[[#This Row],[Fumbles Recovered]])))))))))))</f>
        <v/>
      </c>
      <c r="R1120" s="3" t="str">
        <f t="shared" si="52"/>
        <v/>
      </c>
      <c r="S1120" s="4">
        <f t="shared" si="53"/>
        <v>1048507</v>
      </c>
      <c r="T11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1" spans="1:20" hidden="1" x14ac:dyDescent="0.25">
      <c r="A1121" t="s">
        <v>144</v>
      </c>
      <c r="B1121" s="28" t="s">
        <v>50</v>
      </c>
      <c r="C1121" t="s">
        <v>17</v>
      </c>
      <c r="D1121" s="71" t="str">
        <f>_xlfn.XLOOKUP(Table1[[#This Row],[Player]]&amp;Table1[[#This Row],[Week]]&amp;Table1[[#This Row],[Role]],'Google Form Transform'!$A:$A,'Google Form Transform'!E:E,"")</f>
        <v/>
      </c>
      <c r="E1121" t="str">
        <f>_xlfn.XLOOKUP(Table1[[#This Row],[Player]]&amp;Table1[[#This Row],[Week]]&amp;Table1[[#This Row],[Role]],'Google Form Transform'!$A:$A,'Google Form Transform'!F:F,"")</f>
        <v/>
      </c>
      <c r="F1121" t="str">
        <f>_xlfn.XLOOKUP(Table1[[#This Row],[Player]]&amp;Table1[[#This Row],[Week]]&amp;Table1[[#This Row],[Role]],'Google Form Transform'!$A:$A,'Google Form Transform'!G:G,"")</f>
        <v/>
      </c>
      <c r="G1121" s="59">
        <f>SUMIFS(Table2[Stat],Table2[Stat Category],"passing",Table2[Stat Type],"YDS",Table2[Athlete],Table1[[#This Row],[Pick]],Table2[Week],Table1[[#This Row],[Week]])</f>
        <v>0</v>
      </c>
      <c r="H1121" s="59">
        <f>SUMIFS(Table2[Stat],Table2[Stat Category],"rushing",Table2[Stat Type],"YDS",Table2[Athlete],Table1[[#This Row],[Pick]],Table2[Week],Table1[[#This Row],[Week]])</f>
        <v>0</v>
      </c>
      <c r="I1121" s="59">
        <f>SUMIFS(Table2[Stat],Table2[Stat Category],"receiving",Table2[Stat Type],"YDS",Table2[Athlete],Table1[[#This Row],[Pick]],Table2[Week],Table1[[#This Row],[Week]])</f>
        <v>0</v>
      </c>
      <c r="J1121" s="6">
        <f>IF(AND($C1121="Rushing", $H1121&lt;=0), 0, IF(AND($C1121="Passing", $G$3&lt;=0), 0,IF(AND($C1121="Receiving",$I1121&lt;=0), 0,SUMIFS(Table2[Stat],Table2[Week],Table1[[#This Row],[Week]],Table2[Athlete],Table1[[#This Row],[Pick]],Table2[Stat Category],"passing",Table2[Stat Type],"TD"))))</f>
        <v>0</v>
      </c>
      <c r="K1121" s="6">
        <f>IF(AND($C1121="Rushing", $H1121&lt;=0), 0, IF(AND($C1121="Passing", $G$3&lt;=0), 0,IF(AND($C1121="Receiving",$I1121&lt;=0),0,SUMIFS(Table2[Stat],Table2[Week],Table1[[#This Row],[Week]],Table2[Athlete],Table1[[#This Row],[Pick]],Table2[Stat Category],"rushing",Table2[Stat Type],"TD"))))</f>
        <v>0</v>
      </c>
      <c r="L1121" s="6">
        <f>IF(AND($C1121="Rushing", $H1121&lt;=0), 0, IF(AND($C1121="Passing", $G$3&lt;=0), 0,IF(AND($C1121="Receiving",$I1121&lt;=0),0,SUMIFS(Table2[Stat],Table2[Week],Table1[[#This Row],[Week]],Table2[Athlete],Table1[[#This Row],[Pick]],Table2[Stat Category],"receiving",Table2[Stat Type],"TD"))))</f>
        <v>0</v>
      </c>
      <c r="M11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1" s="61">
        <f>SUMIFS(Data!$J:$J,Data!$A:$A,Info!$B1121,Data!$G:$G,Info!$C1121,Data!$I:$I,Info!$D1121,Data!$H:$H,"TOT")</f>
        <v>0</v>
      </c>
      <c r="O1121" s="61">
        <f>IF(C1121="Defensive",SUMIFS(Data!$J:$J,Data!$A:$A,Info!$B1121,Data!$I:$I,Info!$D1121,Data!$H:$H,"INT"),0)</f>
        <v>0</v>
      </c>
      <c r="P1121" s="61">
        <f>IF(Table1[[#This Row],[Role]]="Defensive",SUMIFS(Data!$J:$J,Data!$A:$A,Info!$B1121,Data!$I:$I,Info!$D1121,Data!$H:$H,$P$1),0)</f>
        <v>0</v>
      </c>
      <c r="Q1121" s="72" t="str">
        <f>IF(Table1[[#This Row],[Pick]]="","",IF(S1121&gt;1,400,IF(G1121="","",IF(C1121="Passing",(400-Table1[[#This Row],[Passing Yards]]-(30*Table1[[#This Row],[Passing TDs]])-(50*SUM(Table1[[#This Row],[Rushing TDs]:[Other TD''s]]))),IF(C1121="Rushing",2*(200-Table1[[#This Row],[Rushing Yards]]-(30*Table1[[#This Row],[Passing TDs]])-50*(Table1[[#This Row],[Rushing TDs]]+Table1[[#This Row],[Receiving TDs]]+Table1[[#This Row],[Other TD''s]])),IF(C1121="Receiving",2*(200-Table1[[#This Row],[Receiving Yards]]-(30*Table1[[#This Row],[Passing TDs]])-50*(Table1[[#This Row],[Rushing TDs]]+Table1[[#This Row],[Receiving TDs]]+Table1[[#This Row],[Other TD''s]])),IF(C1121="Defensive",(25*(16-Table1[[#This Row],[Tackles]]-(8*(Table1[[#This Row],[Other TD''s]]+Table1[[#This Row],[Interceptions]]+Table1[[#This Row],[Fumbles Recovered]])))))))))))</f>
        <v/>
      </c>
      <c r="R1121" s="3" t="str">
        <f t="shared" si="52"/>
        <v/>
      </c>
      <c r="S1121" s="4">
        <f t="shared" si="53"/>
        <v>1048507</v>
      </c>
      <c r="T11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2" spans="1:20" hidden="1" x14ac:dyDescent="0.25">
      <c r="A1122" t="s">
        <v>144</v>
      </c>
      <c r="B1122" s="28" t="s">
        <v>50</v>
      </c>
      <c r="C1122" t="s">
        <v>20</v>
      </c>
      <c r="D1122" s="71" t="str">
        <f>_xlfn.XLOOKUP(Table1[[#This Row],[Player]]&amp;Table1[[#This Row],[Week]]&amp;Table1[[#This Row],[Role]],'Google Form Transform'!$A:$A,'Google Form Transform'!E:E,"")</f>
        <v/>
      </c>
      <c r="E1122" t="str">
        <f>_xlfn.XLOOKUP(Table1[[#This Row],[Player]]&amp;Table1[[#This Row],[Week]]&amp;Table1[[#This Row],[Role]],'Google Form Transform'!$A:$A,'Google Form Transform'!F:F,"")</f>
        <v/>
      </c>
      <c r="F1122" t="str">
        <f>_xlfn.XLOOKUP(Table1[[#This Row],[Player]]&amp;Table1[[#This Row],[Week]]&amp;Table1[[#This Row],[Role]],'Google Form Transform'!$A:$A,'Google Form Transform'!G:G,"")</f>
        <v/>
      </c>
      <c r="G1122" s="59">
        <f>SUMIFS(Table2[Stat],Table2[Stat Category],"passing",Table2[Stat Type],"YDS",Table2[Athlete],Table1[[#This Row],[Pick]],Table2[Week],Table1[[#This Row],[Week]])</f>
        <v>0</v>
      </c>
      <c r="H1122" s="59">
        <f>SUMIFS(Table2[Stat],Table2[Stat Category],"rushing",Table2[Stat Type],"YDS",Table2[Athlete],Table1[[#This Row],[Pick]],Table2[Week],Table1[[#This Row],[Week]])</f>
        <v>0</v>
      </c>
      <c r="I1122" s="59">
        <f>SUMIFS(Table2[Stat],Table2[Stat Category],"receiving",Table2[Stat Type],"YDS",Table2[Athlete],Table1[[#This Row],[Pick]],Table2[Week],Table1[[#This Row],[Week]])</f>
        <v>0</v>
      </c>
      <c r="J1122" s="6">
        <f>IF(AND($C1122="Rushing", $H1122&lt;=0), 0, IF(AND($C1122="Passing", $G$3&lt;=0), 0,IF(AND($C1122="Receiving",$I1122&lt;=0), 0,SUMIFS(Table2[Stat],Table2[Week],Table1[[#This Row],[Week]],Table2[Athlete],Table1[[#This Row],[Pick]],Table2[Stat Category],"passing",Table2[Stat Type],"TD"))))</f>
        <v>0</v>
      </c>
      <c r="K1122" s="6">
        <f>IF(AND($C1122="Rushing", $H1122&lt;=0), 0, IF(AND($C1122="Passing", $G$3&lt;=0), 0,IF(AND($C1122="Receiving",$I1122&lt;=0),0,SUMIFS(Table2[Stat],Table2[Week],Table1[[#This Row],[Week]],Table2[Athlete],Table1[[#This Row],[Pick]],Table2[Stat Category],"rushing",Table2[Stat Type],"TD"))))</f>
        <v>0</v>
      </c>
      <c r="L1122" s="6">
        <f>IF(AND($C1122="Rushing", $H1122&lt;=0), 0, IF(AND($C1122="Passing", $G$3&lt;=0), 0,IF(AND($C1122="Receiving",$I1122&lt;=0),0,SUMIFS(Table2[Stat],Table2[Week],Table1[[#This Row],[Week]],Table2[Athlete],Table1[[#This Row],[Pick]],Table2[Stat Category],"receiving",Table2[Stat Type],"TD"))))</f>
        <v>0</v>
      </c>
      <c r="M11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2" s="61">
        <f>SUMIFS(Data!$J:$J,Data!$A:$A,Info!$B1122,Data!$G:$G,Info!$C1122,Data!$I:$I,Info!$D1122,Data!$H:$H,"TOT")</f>
        <v>0</v>
      </c>
      <c r="O1122" s="61">
        <f>IF(C1122="Defensive",SUMIFS(Data!$J:$J,Data!$A:$A,Info!$B1122,Data!$I:$I,Info!$D1122,Data!$H:$H,"INT"),0)</f>
        <v>0</v>
      </c>
      <c r="P1122" s="61">
        <f>IF(Table1[[#This Row],[Role]]="Defensive",SUMIFS(Data!$J:$J,Data!$A:$A,Info!$B1122,Data!$I:$I,Info!$D1122,Data!$H:$H,$P$1),0)</f>
        <v>0</v>
      </c>
      <c r="Q1122" s="72" t="str">
        <f>IF(Table1[[#This Row],[Pick]]="","",IF(S1122&gt;1,400,IF(G1122="","",IF(C1122="Passing",(400-Table1[[#This Row],[Passing Yards]]-(30*Table1[[#This Row],[Passing TDs]])-(50*SUM(Table1[[#This Row],[Rushing TDs]:[Other TD''s]]))),IF(C1122="Rushing",2*(200-Table1[[#This Row],[Rushing Yards]]-(30*Table1[[#This Row],[Passing TDs]])-50*(Table1[[#This Row],[Rushing TDs]]+Table1[[#This Row],[Receiving TDs]]+Table1[[#This Row],[Other TD''s]])),IF(C1122="Receiving",2*(200-Table1[[#This Row],[Receiving Yards]]-(30*Table1[[#This Row],[Passing TDs]])-50*(Table1[[#This Row],[Rushing TDs]]+Table1[[#This Row],[Receiving TDs]]+Table1[[#This Row],[Other TD''s]])),IF(C1122="Defensive",(25*(16-Table1[[#This Row],[Tackles]]-(8*(Table1[[#This Row],[Other TD''s]]+Table1[[#This Row],[Interceptions]]+Table1[[#This Row],[Fumbles Recovered]])))))))))))</f>
        <v/>
      </c>
      <c r="R1122" s="3" t="str">
        <f t="shared" si="52"/>
        <v/>
      </c>
      <c r="S1122" s="4">
        <f t="shared" si="53"/>
        <v>1048507</v>
      </c>
      <c r="T11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3" spans="1:20" hidden="1" x14ac:dyDescent="0.25">
      <c r="A1123" t="s">
        <v>144</v>
      </c>
      <c r="B1123" s="28" t="s">
        <v>51</v>
      </c>
      <c r="C1123" t="s">
        <v>16</v>
      </c>
      <c r="D1123" s="71" t="str">
        <f>_xlfn.XLOOKUP(Table1[[#This Row],[Player]]&amp;Table1[[#This Row],[Week]]&amp;Table1[[#This Row],[Role]],'Google Form Transform'!$A:$A,'Google Form Transform'!E:E,"")</f>
        <v/>
      </c>
      <c r="E1123" t="str">
        <f>_xlfn.XLOOKUP(Table1[[#This Row],[Player]]&amp;Table1[[#This Row],[Week]]&amp;Table1[[#This Row],[Role]],'Google Form Transform'!$A:$A,'Google Form Transform'!F:F,"")</f>
        <v/>
      </c>
      <c r="F1123" t="str">
        <f>_xlfn.XLOOKUP(Table1[[#This Row],[Player]]&amp;Table1[[#This Row],[Week]]&amp;Table1[[#This Row],[Role]],'Google Form Transform'!$A:$A,'Google Form Transform'!G:G,"")</f>
        <v/>
      </c>
      <c r="G1123" s="59">
        <f>SUMIFS(Table2[Stat],Table2[Stat Category],"passing",Table2[Stat Type],"YDS",Table2[Athlete],Table1[[#This Row],[Pick]],Table2[Week],Table1[[#This Row],[Week]])</f>
        <v>0</v>
      </c>
      <c r="H1123" s="59">
        <f>SUMIFS(Table2[Stat],Table2[Stat Category],"rushing",Table2[Stat Type],"YDS",Table2[Athlete],Table1[[#This Row],[Pick]],Table2[Week],Table1[[#This Row],[Week]])</f>
        <v>0</v>
      </c>
      <c r="I1123" s="59">
        <f>SUMIFS(Table2[Stat],Table2[Stat Category],"receiving",Table2[Stat Type],"YDS",Table2[Athlete],Table1[[#This Row],[Pick]],Table2[Week],Table1[[#This Row],[Week]])</f>
        <v>0</v>
      </c>
      <c r="J1123" s="6">
        <f>IF(AND($C1123="Rushing", $H1123&lt;=0), 0, IF(AND($C1123="Passing", $G$3&lt;=0), 0,IF(AND($C1123="Receiving",$I1123&lt;=0), 0,SUMIFS(Table2[Stat],Table2[Week],Table1[[#This Row],[Week]],Table2[Athlete],Table1[[#This Row],[Pick]],Table2[Stat Category],"passing",Table2[Stat Type],"TD"))))</f>
        <v>0</v>
      </c>
      <c r="K1123" s="6">
        <f>IF(AND($C1123="Rushing", $H1123&lt;=0), 0, IF(AND($C1123="Passing", $G$3&lt;=0), 0,IF(AND($C1123="Receiving",$I1123&lt;=0),0,SUMIFS(Table2[Stat],Table2[Week],Table1[[#This Row],[Week]],Table2[Athlete],Table1[[#This Row],[Pick]],Table2[Stat Category],"rushing",Table2[Stat Type],"TD"))))</f>
        <v>0</v>
      </c>
      <c r="L1123" s="6">
        <f>IF(AND($C1123="Rushing", $H1123&lt;=0), 0, IF(AND($C1123="Passing", $G$3&lt;=0), 0,IF(AND($C1123="Receiving",$I1123&lt;=0),0,SUMIFS(Table2[Stat],Table2[Week],Table1[[#This Row],[Week]],Table2[Athlete],Table1[[#This Row],[Pick]],Table2[Stat Category],"receiving",Table2[Stat Type],"TD"))))</f>
        <v>0</v>
      </c>
      <c r="M11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3" s="61">
        <f>SUMIFS(Data!$J:$J,Data!$A:$A,Info!$B1123,Data!$G:$G,Info!$C1123,Data!$I:$I,Info!$D1123,Data!$H:$H,"TOT")</f>
        <v>0</v>
      </c>
      <c r="O1123" s="61">
        <f>IF(C1123="Defensive",SUMIFS(Data!$J:$J,Data!$A:$A,Info!$B1123,Data!$I:$I,Info!$D1123,Data!$H:$H,"INT"),0)</f>
        <v>0</v>
      </c>
      <c r="P1123" s="61">
        <f>IF(Table1[[#This Row],[Role]]="Defensive",SUMIFS(Data!$J:$J,Data!$A:$A,Info!$B1123,Data!$I:$I,Info!$D1123,Data!$H:$H,$P$1),0)</f>
        <v>0</v>
      </c>
      <c r="Q1123" s="72" t="str">
        <f>IF(Table1[[#This Row],[Pick]]="","",IF(S1123&gt;1,400,IF(G1123="","",IF(C1123="Passing",(400-Table1[[#This Row],[Passing Yards]]-(30*Table1[[#This Row],[Passing TDs]])-(50*SUM(Table1[[#This Row],[Rushing TDs]:[Other TD''s]]))),IF(C1123="Rushing",2*(200-Table1[[#This Row],[Rushing Yards]]-(30*Table1[[#This Row],[Passing TDs]])-50*(Table1[[#This Row],[Rushing TDs]]+Table1[[#This Row],[Receiving TDs]]+Table1[[#This Row],[Other TD''s]])),IF(C1123="Receiving",2*(200-Table1[[#This Row],[Receiving Yards]]-(30*Table1[[#This Row],[Passing TDs]])-50*(Table1[[#This Row],[Rushing TDs]]+Table1[[#This Row],[Receiving TDs]]+Table1[[#This Row],[Other TD''s]])),IF(C1123="Defensive",(25*(16-Table1[[#This Row],[Tackles]]-(8*(Table1[[#This Row],[Other TD''s]]+Table1[[#This Row],[Interceptions]]+Table1[[#This Row],[Fumbles Recovered]])))))))))))</f>
        <v/>
      </c>
      <c r="R1123" s="3" t="str">
        <f t="shared" ref="R1123:R1158" si="54">IF(D1123="","",A1123&amp;C1123&amp;D1123)</f>
        <v/>
      </c>
      <c r="S1123" s="4">
        <f t="shared" ref="S1123:S1154" si="55">COUNTIF(R:R,R1123)</f>
        <v>1048507</v>
      </c>
      <c r="T11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4" spans="1:20" hidden="1" x14ac:dyDescent="0.25">
      <c r="A1124" t="s">
        <v>144</v>
      </c>
      <c r="B1124" s="28" t="s">
        <v>51</v>
      </c>
      <c r="C1124" t="s">
        <v>6</v>
      </c>
      <c r="D1124" s="71" t="str">
        <f>_xlfn.XLOOKUP(Table1[[#This Row],[Player]]&amp;Table1[[#This Row],[Week]]&amp;Table1[[#This Row],[Role]],'Google Form Transform'!$A:$A,'Google Form Transform'!E:E,"")</f>
        <v/>
      </c>
      <c r="E1124" t="str">
        <f>_xlfn.XLOOKUP(Table1[[#This Row],[Player]]&amp;Table1[[#This Row],[Week]]&amp;Table1[[#This Row],[Role]],'Google Form Transform'!$A:$A,'Google Form Transform'!F:F,"")</f>
        <v/>
      </c>
      <c r="F1124" t="str">
        <f>_xlfn.XLOOKUP(Table1[[#This Row],[Player]]&amp;Table1[[#This Row],[Week]]&amp;Table1[[#This Row],[Role]],'Google Form Transform'!$A:$A,'Google Form Transform'!G:G,"")</f>
        <v/>
      </c>
      <c r="G1124" s="59">
        <f>SUMIFS(Table2[Stat],Table2[Stat Category],"passing",Table2[Stat Type],"YDS",Table2[Athlete],Table1[[#This Row],[Pick]],Table2[Week],Table1[[#This Row],[Week]])</f>
        <v>0</v>
      </c>
      <c r="H1124" s="59">
        <f>SUMIFS(Table2[Stat],Table2[Stat Category],"rushing",Table2[Stat Type],"YDS",Table2[Athlete],Table1[[#This Row],[Pick]],Table2[Week],Table1[[#This Row],[Week]])</f>
        <v>0</v>
      </c>
      <c r="I1124" s="59">
        <f>SUMIFS(Table2[Stat],Table2[Stat Category],"receiving",Table2[Stat Type],"YDS",Table2[Athlete],Table1[[#This Row],[Pick]],Table2[Week],Table1[[#This Row],[Week]])</f>
        <v>0</v>
      </c>
      <c r="J1124" s="6">
        <f>IF(AND($C1124="Rushing", $H1124&lt;=0), 0, IF(AND($C1124="Passing", $G$3&lt;=0), 0,IF(AND($C1124="Receiving",$I1124&lt;=0), 0,SUMIFS(Table2[Stat],Table2[Week],Table1[[#This Row],[Week]],Table2[Athlete],Table1[[#This Row],[Pick]],Table2[Stat Category],"passing",Table2[Stat Type],"TD"))))</f>
        <v>0</v>
      </c>
      <c r="K1124" s="6">
        <f>IF(AND($C1124="Rushing", $H1124&lt;=0), 0, IF(AND($C1124="Passing", $G$3&lt;=0), 0,IF(AND($C1124="Receiving",$I1124&lt;=0),0,SUMIFS(Table2[Stat],Table2[Week],Table1[[#This Row],[Week]],Table2[Athlete],Table1[[#This Row],[Pick]],Table2[Stat Category],"rushing",Table2[Stat Type],"TD"))))</f>
        <v>0</v>
      </c>
      <c r="L1124" s="6">
        <f>IF(AND($C1124="Rushing", $H1124&lt;=0), 0, IF(AND($C1124="Passing", $G$3&lt;=0), 0,IF(AND($C1124="Receiving",$I1124&lt;=0),0,SUMIFS(Table2[Stat],Table2[Week],Table1[[#This Row],[Week]],Table2[Athlete],Table1[[#This Row],[Pick]],Table2[Stat Category],"receiving",Table2[Stat Type],"TD"))))</f>
        <v>0</v>
      </c>
      <c r="M11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4" s="61">
        <f>SUMIFS(Data!$J:$J,Data!$A:$A,Info!$B1124,Data!$G:$G,Info!$C1124,Data!$I:$I,Info!$D1124,Data!$H:$H,"TOT")</f>
        <v>0</v>
      </c>
      <c r="O1124" s="61">
        <f>IF(C1124="Defensive",SUMIFS(Data!$J:$J,Data!$A:$A,Info!$B1124,Data!$I:$I,Info!$D1124,Data!$H:$H,"INT"),0)</f>
        <v>0</v>
      </c>
      <c r="P1124" s="61">
        <f>IF(Table1[[#This Row],[Role]]="Defensive",SUMIFS(Data!$J:$J,Data!$A:$A,Info!$B1124,Data!$I:$I,Info!$D1124,Data!$H:$H,$P$1),0)</f>
        <v>0</v>
      </c>
      <c r="Q1124" s="72" t="str">
        <f>IF(Table1[[#This Row],[Pick]]="","",IF(S1124&gt;1,400,IF(G1124="","",IF(C1124="Passing",(400-Table1[[#This Row],[Passing Yards]]-(30*Table1[[#This Row],[Passing TDs]])-(50*SUM(Table1[[#This Row],[Rushing TDs]:[Other TD''s]]))),IF(C1124="Rushing",2*(200-Table1[[#This Row],[Rushing Yards]]-(30*Table1[[#This Row],[Passing TDs]])-50*(Table1[[#This Row],[Rushing TDs]]+Table1[[#This Row],[Receiving TDs]]+Table1[[#This Row],[Other TD''s]])),IF(C1124="Receiving",2*(200-Table1[[#This Row],[Receiving Yards]]-(30*Table1[[#This Row],[Passing TDs]])-50*(Table1[[#This Row],[Rushing TDs]]+Table1[[#This Row],[Receiving TDs]]+Table1[[#This Row],[Other TD''s]])),IF(C1124="Defensive",(25*(16-Table1[[#This Row],[Tackles]]-(8*(Table1[[#This Row],[Other TD''s]]+Table1[[#This Row],[Interceptions]]+Table1[[#This Row],[Fumbles Recovered]])))))))))))</f>
        <v/>
      </c>
      <c r="R1124" s="3" t="str">
        <f t="shared" si="54"/>
        <v/>
      </c>
      <c r="S1124" s="4">
        <f t="shared" si="55"/>
        <v>1048507</v>
      </c>
      <c r="T11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5" spans="1:20" hidden="1" x14ac:dyDescent="0.25">
      <c r="A1125" t="s">
        <v>144</v>
      </c>
      <c r="B1125" s="28" t="s">
        <v>51</v>
      </c>
      <c r="C1125" t="s">
        <v>17</v>
      </c>
      <c r="D1125" s="71" t="str">
        <f>_xlfn.XLOOKUP(Table1[[#This Row],[Player]]&amp;Table1[[#This Row],[Week]]&amp;Table1[[#This Row],[Role]],'Google Form Transform'!$A:$A,'Google Form Transform'!E:E,"")</f>
        <v/>
      </c>
      <c r="E1125" t="str">
        <f>_xlfn.XLOOKUP(Table1[[#This Row],[Player]]&amp;Table1[[#This Row],[Week]]&amp;Table1[[#This Row],[Role]],'Google Form Transform'!$A:$A,'Google Form Transform'!F:F,"")</f>
        <v/>
      </c>
      <c r="F1125" t="str">
        <f>_xlfn.XLOOKUP(Table1[[#This Row],[Player]]&amp;Table1[[#This Row],[Week]]&amp;Table1[[#This Row],[Role]],'Google Form Transform'!$A:$A,'Google Form Transform'!G:G,"")</f>
        <v/>
      </c>
      <c r="G1125" s="59">
        <f>SUMIFS(Table2[Stat],Table2[Stat Category],"passing",Table2[Stat Type],"YDS",Table2[Athlete],Table1[[#This Row],[Pick]],Table2[Week],Table1[[#This Row],[Week]])</f>
        <v>0</v>
      </c>
      <c r="H1125" s="59">
        <f>SUMIFS(Table2[Stat],Table2[Stat Category],"rushing",Table2[Stat Type],"YDS",Table2[Athlete],Table1[[#This Row],[Pick]],Table2[Week],Table1[[#This Row],[Week]])</f>
        <v>0</v>
      </c>
      <c r="I1125" s="59">
        <f>SUMIFS(Table2[Stat],Table2[Stat Category],"receiving",Table2[Stat Type],"YDS",Table2[Athlete],Table1[[#This Row],[Pick]],Table2[Week],Table1[[#This Row],[Week]])</f>
        <v>0</v>
      </c>
      <c r="J1125" s="6">
        <f>IF(AND($C1125="Rushing", $H1125&lt;=0), 0, IF(AND($C1125="Passing", $G$3&lt;=0), 0,IF(AND($C1125="Receiving",$I1125&lt;=0), 0,SUMIFS(Table2[Stat],Table2[Week],Table1[[#This Row],[Week]],Table2[Athlete],Table1[[#This Row],[Pick]],Table2[Stat Category],"passing",Table2[Stat Type],"TD"))))</f>
        <v>0</v>
      </c>
      <c r="K1125" s="6">
        <f>IF(AND($C1125="Rushing", $H1125&lt;=0), 0, IF(AND($C1125="Passing", $G$3&lt;=0), 0,IF(AND($C1125="Receiving",$I1125&lt;=0),0,SUMIFS(Table2[Stat],Table2[Week],Table1[[#This Row],[Week]],Table2[Athlete],Table1[[#This Row],[Pick]],Table2[Stat Category],"rushing",Table2[Stat Type],"TD"))))</f>
        <v>0</v>
      </c>
      <c r="L1125" s="6">
        <f>IF(AND($C1125="Rushing", $H1125&lt;=0), 0, IF(AND($C1125="Passing", $G$3&lt;=0), 0,IF(AND($C1125="Receiving",$I1125&lt;=0),0,SUMIFS(Table2[Stat],Table2[Week],Table1[[#This Row],[Week]],Table2[Athlete],Table1[[#This Row],[Pick]],Table2[Stat Category],"receiving",Table2[Stat Type],"TD"))))</f>
        <v>0</v>
      </c>
      <c r="M11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5" s="61">
        <f>SUMIFS(Data!$J:$J,Data!$A:$A,Info!$B1125,Data!$G:$G,Info!$C1125,Data!$I:$I,Info!$D1125,Data!$H:$H,"TOT")</f>
        <v>0</v>
      </c>
      <c r="O1125" s="61">
        <f>IF(C1125="Defensive",SUMIFS(Data!$J:$J,Data!$A:$A,Info!$B1125,Data!$I:$I,Info!$D1125,Data!$H:$H,"INT"),0)</f>
        <v>0</v>
      </c>
      <c r="P1125" s="61">
        <f>IF(Table1[[#This Row],[Role]]="Defensive",SUMIFS(Data!$J:$J,Data!$A:$A,Info!$B1125,Data!$I:$I,Info!$D1125,Data!$H:$H,$P$1),0)</f>
        <v>0</v>
      </c>
      <c r="Q1125" s="72" t="str">
        <f>IF(Table1[[#This Row],[Pick]]="","",IF(S1125&gt;1,400,IF(G1125="","",IF(C1125="Passing",(400-Table1[[#This Row],[Passing Yards]]-(30*Table1[[#This Row],[Passing TDs]])-(50*SUM(Table1[[#This Row],[Rushing TDs]:[Other TD''s]]))),IF(C1125="Rushing",2*(200-Table1[[#This Row],[Rushing Yards]]-(30*Table1[[#This Row],[Passing TDs]])-50*(Table1[[#This Row],[Rushing TDs]]+Table1[[#This Row],[Receiving TDs]]+Table1[[#This Row],[Other TD''s]])),IF(C1125="Receiving",2*(200-Table1[[#This Row],[Receiving Yards]]-(30*Table1[[#This Row],[Passing TDs]])-50*(Table1[[#This Row],[Rushing TDs]]+Table1[[#This Row],[Receiving TDs]]+Table1[[#This Row],[Other TD''s]])),IF(C1125="Defensive",(25*(16-Table1[[#This Row],[Tackles]]-(8*(Table1[[#This Row],[Other TD''s]]+Table1[[#This Row],[Interceptions]]+Table1[[#This Row],[Fumbles Recovered]])))))))))))</f>
        <v/>
      </c>
      <c r="R1125" s="3" t="str">
        <f t="shared" si="54"/>
        <v/>
      </c>
      <c r="S1125" s="4">
        <f t="shared" si="55"/>
        <v>1048507</v>
      </c>
      <c r="T11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6" spans="1:20" hidden="1" x14ac:dyDescent="0.25">
      <c r="A1126" t="s">
        <v>144</v>
      </c>
      <c r="B1126" s="28" t="s">
        <v>51</v>
      </c>
      <c r="C1126" t="s">
        <v>20</v>
      </c>
      <c r="D1126" s="71" t="str">
        <f>_xlfn.XLOOKUP(Table1[[#This Row],[Player]]&amp;Table1[[#This Row],[Week]]&amp;Table1[[#This Row],[Role]],'Google Form Transform'!$A:$A,'Google Form Transform'!E:E,"")</f>
        <v/>
      </c>
      <c r="E1126" t="str">
        <f>_xlfn.XLOOKUP(Table1[[#This Row],[Player]]&amp;Table1[[#This Row],[Week]]&amp;Table1[[#This Row],[Role]],'Google Form Transform'!$A:$A,'Google Form Transform'!F:F,"")</f>
        <v/>
      </c>
      <c r="F1126" t="str">
        <f>_xlfn.XLOOKUP(Table1[[#This Row],[Player]]&amp;Table1[[#This Row],[Week]]&amp;Table1[[#This Row],[Role]],'Google Form Transform'!$A:$A,'Google Form Transform'!G:G,"")</f>
        <v/>
      </c>
      <c r="G1126" s="59">
        <f>SUMIFS(Table2[Stat],Table2[Stat Category],"passing",Table2[Stat Type],"YDS",Table2[Athlete],Table1[[#This Row],[Pick]],Table2[Week],Table1[[#This Row],[Week]])</f>
        <v>0</v>
      </c>
      <c r="H1126" s="59">
        <f>SUMIFS(Table2[Stat],Table2[Stat Category],"rushing",Table2[Stat Type],"YDS",Table2[Athlete],Table1[[#This Row],[Pick]],Table2[Week],Table1[[#This Row],[Week]])</f>
        <v>0</v>
      </c>
      <c r="I1126" s="59">
        <f>SUMIFS(Table2[Stat],Table2[Stat Category],"receiving",Table2[Stat Type],"YDS",Table2[Athlete],Table1[[#This Row],[Pick]],Table2[Week],Table1[[#This Row],[Week]])</f>
        <v>0</v>
      </c>
      <c r="J1126" s="6">
        <f>IF(AND($C1126="Rushing", $H1126&lt;=0), 0, IF(AND($C1126="Passing", $G$3&lt;=0), 0,IF(AND($C1126="Receiving",$I1126&lt;=0), 0,SUMIFS(Table2[Stat],Table2[Week],Table1[[#This Row],[Week]],Table2[Athlete],Table1[[#This Row],[Pick]],Table2[Stat Category],"passing",Table2[Stat Type],"TD"))))</f>
        <v>0</v>
      </c>
      <c r="K1126" s="6">
        <f>IF(AND($C1126="Rushing", $H1126&lt;=0), 0, IF(AND($C1126="Passing", $G$3&lt;=0), 0,IF(AND($C1126="Receiving",$I1126&lt;=0),0,SUMIFS(Table2[Stat],Table2[Week],Table1[[#This Row],[Week]],Table2[Athlete],Table1[[#This Row],[Pick]],Table2[Stat Category],"rushing",Table2[Stat Type],"TD"))))</f>
        <v>0</v>
      </c>
      <c r="L1126" s="6">
        <f>IF(AND($C1126="Rushing", $H1126&lt;=0), 0, IF(AND($C1126="Passing", $G$3&lt;=0), 0,IF(AND($C1126="Receiving",$I1126&lt;=0),0,SUMIFS(Table2[Stat],Table2[Week],Table1[[#This Row],[Week]],Table2[Athlete],Table1[[#This Row],[Pick]],Table2[Stat Category],"receiving",Table2[Stat Type],"TD"))))</f>
        <v>0</v>
      </c>
      <c r="M11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6" s="61">
        <f>SUMIFS(Data!$J:$J,Data!$A:$A,Info!$B1126,Data!$G:$G,Info!$C1126,Data!$I:$I,Info!$D1126,Data!$H:$H,"TOT")</f>
        <v>0</v>
      </c>
      <c r="O1126" s="61">
        <f>IF(C1126="Defensive",SUMIFS(Data!$J:$J,Data!$A:$A,Info!$B1126,Data!$I:$I,Info!$D1126,Data!$H:$H,"INT"),0)</f>
        <v>0</v>
      </c>
      <c r="P1126" s="61">
        <f>IF(Table1[[#This Row],[Role]]="Defensive",SUMIFS(Data!$J:$J,Data!$A:$A,Info!$B1126,Data!$I:$I,Info!$D1126,Data!$H:$H,$P$1),0)</f>
        <v>0</v>
      </c>
      <c r="Q1126" s="72" t="str">
        <f>IF(Table1[[#This Row],[Pick]]="","",IF(S1126&gt;1,400,IF(G1126="","",IF(C1126="Passing",(400-Table1[[#This Row],[Passing Yards]]-(30*Table1[[#This Row],[Passing TDs]])-(50*SUM(Table1[[#This Row],[Rushing TDs]:[Other TD''s]]))),IF(C1126="Rushing",2*(200-Table1[[#This Row],[Rushing Yards]]-(30*Table1[[#This Row],[Passing TDs]])-50*(Table1[[#This Row],[Rushing TDs]]+Table1[[#This Row],[Receiving TDs]]+Table1[[#This Row],[Other TD''s]])),IF(C1126="Receiving",2*(200-Table1[[#This Row],[Receiving Yards]]-(30*Table1[[#This Row],[Passing TDs]])-50*(Table1[[#This Row],[Rushing TDs]]+Table1[[#This Row],[Receiving TDs]]+Table1[[#This Row],[Other TD''s]])),IF(C1126="Defensive",(25*(16-Table1[[#This Row],[Tackles]]-(8*(Table1[[#This Row],[Other TD''s]]+Table1[[#This Row],[Interceptions]]+Table1[[#This Row],[Fumbles Recovered]])))))))))))</f>
        <v/>
      </c>
      <c r="R1126" s="3" t="str">
        <f t="shared" si="54"/>
        <v/>
      </c>
      <c r="S1126" s="4">
        <f t="shared" si="55"/>
        <v>1048507</v>
      </c>
      <c r="T11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7" spans="1:20" hidden="1" x14ac:dyDescent="0.25">
      <c r="A1127" t="s">
        <v>144</v>
      </c>
      <c r="B1127" s="28" t="s">
        <v>52</v>
      </c>
      <c r="C1127" t="s">
        <v>16</v>
      </c>
      <c r="D1127" s="71" t="str">
        <f>_xlfn.XLOOKUP(Table1[[#This Row],[Player]]&amp;Table1[[#This Row],[Week]]&amp;Table1[[#This Row],[Role]],'Google Form Transform'!$A:$A,'Google Form Transform'!E:E,"")</f>
        <v/>
      </c>
      <c r="E1127" t="str">
        <f>_xlfn.XLOOKUP(Table1[[#This Row],[Player]]&amp;Table1[[#This Row],[Week]]&amp;Table1[[#This Row],[Role]],'Google Form Transform'!$A:$A,'Google Form Transform'!F:F,"")</f>
        <v/>
      </c>
      <c r="F1127" t="str">
        <f>_xlfn.XLOOKUP(Table1[[#This Row],[Player]]&amp;Table1[[#This Row],[Week]]&amp;Table1[[#This Row],[Role]],'Google Form Transform'!$A:$A,'Google Form Transform'!G:G,"")</f>
        <v/>
      </c>
      <c r="G1127" s="59">
        <f>SUMIFS(Table2[Stat],Table2[Stat Category],"passing",Table2[Stat Type],"YDS",Table2[Athlete],Table1[[#This Row],[Pick]],Table2[Week],Table1[[#This Row],[Week]])</f>
        <v>0</v>
      </c>
      <c r="H1127" s="59">
        <f>SUMIFS(Table2[Stat],Table2[Stat Category],"rushing",Table2[Stat Type],"YDS",Table2[Athlete],Table1[[#This Row],[Pick]],Table2[Week],Table1[[#This Row],[Week]])</f>
        <v>0</v>
      </c>
      <c r="I1127" s="59">
        <f>SUMIFS(Table2[Stat],Table2[Stat Category],"receiving",Table2[Stat Type],"YDS",Table2[Athlete],Table1[[#This Row],[Pick]],Table2[Week],Table1[[#This Row],[Week]])</f>
        <v>0</v>
      </c>
      <c r="J1127" s="6">
        <f>IF(AND($C1127="Rushing", $H1127&lt;=0), 0, IF(AND($C1127="Passing", $G$3&lt;=0), 0,IF(AND($C1127="Receiving",$I1127&lt;=0), 0,SUMIFS(Table2[Stat],Table2[Week],Table1[[#This Row],[Week]],Table2[Athlete],Table1[[#This Row],[Pick]],Table2[Stat Category],"passing",Table2[Stat Type],"TD"))))</f>
        <v>0</v>
      </c>
      <c r="K1127" s="6">
        <f>IF(AND($C1127="Rushing", $H1127&lt;=0), 0, IF(AND($C1127="Passing", $G$3&lt;=0), 0,IF(AND($C1127="Receiving",$I1127&lt;=0),0,SUMIFS(Table2[Stat],Table2[Week],Table1[[#This Row],[Week]],Table2[Athlete],Table1[[#This Row],[Pick]],Table2[Stat Category],"rushing",Table2[Stat Type],"TD"))))</f>
        <v>0</v>
      </c>
      <c r="L1127" s="6">
        <f>IF(AND($C1127="Rushing", $H1127&lt;=0), 0, IF(AND($C1127="Passing", $G$3&lt;=0), 0,IF(AND($C1127="Receiving",$I1127&lt;=0),0,SUMIFS(Table2[Stat],Table2[Week],Table1[[#This Row],[Week]],Table2[Athlete],Table1[[#This Row],[Pick]],Table2[Stat Category],"receiving",Table2[Stat Type],"TD"))))</f>
        <v>0</v>
      </c>
      <c r="M11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7" s="61">
        <f>SUMIFS(Data!$J:$J,Data!$A:$A,Info!$B1127,Data!$G:$G,Info!$C1127,Data!$I:$I,Info!$D1127,Data!$H:$H,"TOT")</f>
        <v>0</v>
      </c>
      <c r="O1127" s="61">
        <f>IF(C1127="Defensive",SUMIFS(Data!$J:$J,Data!$A:$A,Info!$B1127,Data!$I:$I,Info!$D1127,Data!$H:$H,"INT"),0)</f>
        <v>0</v>
      </c>
      <c r="P1127" s="61">
        <f>IF(Table1[[#This Row],[Role]]="Defensive",SUMIFS(Data!$J:$J,Data!$A:$A,Info!$B1127,Data!$I:$I,Info!$D1127,Data!$H:$H,$P$1),0)</f>
        <v>0</v>
      </c>
      <c r="Q1127" s="72" t="str">
        <f>IF(Table1[[#This Row],[Pick]]="","",IF(S1127&gt;1,400,IF(G1127="","",IF(C1127="Passing",(400-Table1[[#This Row],[Passing Yards]]-(30*Table1[[#This Row],[Passing TDs]])-(50*SUM(Table1[[#This Row],[Rushing TDs]:[Other TD''s]]))),IF(C1127="Rushing",2*(200-Table1[[#This Row],[Rushing Yards]]-(30*Table1[[#This Row],[Passing TDs]])-50*(Table1[[#This Row],[Rushing TDs]]+Table1[[#This Row],[Receiving TDs]]+Table1[[#This Row],[Other TD''s]])),IF(C1127="Receiving",2*(200-Table1[[#This Row],[Receiving Yards]]-(30*Table1[[#This Row],[Passing TDs]])-50*(Table1[[#This Row],[Rushing TDs]]+Table1[[#This Row],[Receiving TDs]]+Table1[[#This Row],[Other TD''s]])),IF(C1127="Defensive",(25*(16-Table1[[#This Row],[Tackles]]-(8*(Table1[[#This Row],[Other TD''s]]+Table1[[#This Row],[Interceptions]]+Table1[[#This Row],[Fumbles Recovered]])))))))))))</f>
        <v/>
      </c>
      <c r="R1127" s="3" t="str">
        <f t="shared" si="54"/>
        <v/>
      </c>
      <c r="S1127" s="4">
        <f t="shared" si="55"/>
        <v>1048507</v>
      </c>
      <c r="T11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8" spans="1:20" hidden="1" x14ac:dyDescent="0.25">
      <c r="A1128" t="s">
        <v>144</v>
      </c>
      <c r="B1128" s="28" t="s">
        <v>52</v>
      </c>
      <c r="C1128" t="s">
        <v>6</v>
      </c>
      <c r="D1128" s="71" t="str">
        <f>_xlfn.XLOOKUP(Table1[[#This Row],[Player]]&amp;Table1[[#This Row],[Week]]&amp;Table1[[#This Row],[Role]],'Google Form Transform'!$A:$A,'Google Form Transform'!E:E,"")</f>
        <v/>
      </c>
      <c r="E1128" t="str">
        <f>_xlfn.XLOOKUP(Table1[[#This Row],[Player]]&amp;Table1[[#This Row],[Week]]&amp;Table1[[#This Row],[Role]],'Google Form Transform'!$A:$A,'Google Form Transform'!F:F,"")</f>
        <v/>
      </c>
      <c r="F1128" t="str">
        <f>_xlfn.XLOOKUP(Table1[[#This Row],[Player]]&amp;Table1[[#This Row],[Week]]&amp;Table1[[#This Row],[Role]],'Google Form Transform'!$A:$A,'Google Form Transform'!G:G,"")</f>
        <v/>
      </c>
      <c r="G1128" s="59">
        <f>SUMIFS(Table2[Stat],Table2[Stat Category],"passing",Table2[Stat Type],"YDS",Table2[Athlete],Table1[[#This Row],[Pick]],Table2[Week],Table1[[#This Row],[Week]])</f>
        <v>0</v>
      </c>
      <c r="H1128" s="59">
        <f>SUMIFS(Table2[Stat],Table2[Stat Category],"rushing",Table2[Stat Type],"YDS",Table2[Athlete],Table1[[#This Row],[Pick]],Table2[Week],Table1[[#This Row],[Week]])</f>
        <v>0</v>
      </c>
      <c r="I1128" s="59">
        <f>SUMIFS(Table2[Stat],Table2[Stat Category],"receiving",Table2[Stat Type],"YDS",Table2[Athlete],Table1[[#This Row],[Pick]],Table2[Week],Table1[[#This Row],[Week]])</f>
        <v>0</v>
      </c>
      <c r="J1128" s="6">
        <f>IF(AND($C1128="Rushing", $H1128&lt;=0), 0, IF(AND($C1128="Passing", $G$3&lt;=0), 0,IF(AND($C1128="Receiving",$I1128&lt;=0), 0,SUMIFS(Table2[Stat],Table2[Week],Table1[[#This Row],[Week]],Table2[Athlete],Table1[[#This Row],[Pick]],Table2[Stat Category],"passing",Table2[Stat Type],"TD"))))</f>
        <v>0</v>
      </c>
      <c r="K1128" s="6">
        <f>IF(AND($C1128="Rushing", $H1128&lt;=0), 0, IF(AND($C1128="Passing", $G$3&lt;=0), 0,IF(AND($C1128="Receiving",$I1128&lt;=0),0,SUMIFS(Table2[Stat],Table2[Week],Table1[[#This Row],[Week]],Table2[Athlete],Table1[[#This Row],[Pick]],Table2[Stat Category],"rushing",Table2[Stat Type],"TD"))))</f>
        <v>0</v>
      </c>
      <c r="L1128" s="6">
        <f>IF(AND($C1128="Rushing", $H1128&lt;=0), 0, IF(AND($C1128="Passing", $G$3&lt;=0), 0,IF(AND($C1128="Receiving",$I1128&lt;=0),0,SUMIFS(Table2[Stat],Table2[Week],Table1[[#This Row],[Week]],Table2[Athlete],Table1[[#This Row],[Pick]],Table2[Stat Category],"receiving",Table2[Stat Type],"TD"))))</f>
        <v>0</v>
      </c>
      <c r="M11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8" s="61">
        <f>SUMIFS(Data!$J:$J,Data!$A:$A,Info!$B1128,Data!$G:$G,Info!$C1128,Data!$I:$I,Info!$D1128,Data!$H:$H,"TOT")</f>
        <v>0</v>
      </c>
      <c r="O1128" s="61">
        <f>IF(C1128="Defensive",SUMIFS(Data!$J:$J,Data!$A:$A,Info!$B1128,Data!$I:$I,Info!$D1128,Data!$H:$H,"INT"),0)</f>
        <v>0</v>
      </c>
      <c r="P1128" s="61">
        <f>IF(Table1[[#This Row],[Role]]="Defensive",SUMIFS(Data!$J:$J,Data!$A:$A,Info!$B1128,Data!$I:$I,Info!$D1128,Data!$H:$H,$P$1),0)</f>
        <v>0</v>
      </c>
      <c r="Q1128" s="72" t="str">
        <f>IF(Table1[[#This Row],[Pick]]="","",IF(S1128&gt;1,400,IF(G1128="","",IF(C1128="Passing",(400-Table1[[#This Row],[Passing Yards]]-(30*Table1[[#This Row],[Passing TDs]])-(50*SUM(Table1[[#This Row],[Rushing TDs]:[Other TD''s]]))),IF(C1128="Rushing",2*(200-Table1[[#This Row],[Rushing Yards]]-(30*Table1[[#This Row],[Passing TDs]])-50*(Table1[[#This Row],[Rushing TDs]]+Table1[[#This Row],[Receiving TDs]]+Table1[[#This Row],[Other TD''s]])),IF(C1128="Receiving",2*(200-Table1[[#This Row],[Receiving Yards]]-(30*Table1[[#This Row],[Passing TDs]])-50*(Table1[[#This Row],[Rushing TDs]]+Table1[[#This Row],[Receiving TDs]]+Table1[[#This Row],[Other TD''s]])),IF(C1128="Defensive",(25*(16-Table1[[#This Row],[Tackles]]-(8*(Table1[[#This Row],[Other TD''s]]+Table1[[#This Row],[Interceptions]]+Table1[[#This Row],[Fumbles Recovered]])))))))))))</f>
        <v/>
      </c>
      <c r="R1128" s="3" t="str">
        <f t="shared" si="54"/>
        <v/>
      </c>
      <c r="S1128" s="4">
        <f t="shared" si="55"/>
        <v>1048507</v>
      </c>
      <c r="T11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9" spans="1:20" hidden="1" x14ac:dyDescent="0.25">
      <c r="A1129" t="s">
        <v>144</v>
      </c>
      <c r="B1129" s="28" t="s">
        <v>52</v>
      </c>
      <c r="C1129" t="s">
        <v>17</v>
      </c>
      <c r="D1129" s="71" t="str">
        <f>_xlfn.XLOOKUP(Table1[[#This Row],[Player]]&amp;Table1[[#This Row],[Week]]&amp;Table1[[#This Row],[Role]],'Google Form Transform'!$A:$A,'Google Form Transform'!E:E,"")</f>
        <v/>
      </c>
      <c r="E1129" t="str">
        <f>_xlfn.XLOOKUP(Table1[[#This Row],[Player]]&amp;Table1[[#This Row],[Week]]&amp;Table1[[#This Row],[Role]],'Google Form Transform'!$A:$A,'Google Form Transform'!F:F,"")</f>
        <v/>
      </c>
      <c r="F1129" t="str">
        <f>_xlfn.XLOOKUP(Table1[[#This Row],[Player]]&amp;Table1[[#This Row],[Week]]&amp;Table1[[#This Row],[Role]],'Google Form Transform'!$A:$A,'Google Form Transform'!G:G,"")</f>
        <v/>
      </c>
      <c r="G1129" s="59">
        <f>SUMIFS(Table2[Stat],Table2[Stat Category],"passing",Table2[Stat Type],"YDS",Table2[Athlete],Table1[[#This Row],[Pick]],Table2[Week],Table1[[#This Row],[Week]])</f>
        <v>0</v>
      </c>
      <c r="H1129" s="59">
        <f>SUMIFS(Table2[Stat],Table2[Stat Category],"rushing",Table2[Stat Type],"YDS",Table2[Athlete],Table1[[#This Row],[Pick]],Table2[Week],Table1[[#This Row],[Week]])</f>
        <v>0</v>
      </c>
      <c r="I1129" s="59">
        <f>SUMIFS(Table2[Stat],Table2[Stat Category],"receiving",Table2[Stat Type],"YDS",Table2[Athlete],Table1[[#This Row],[Pick]],Table2[Week],Table1[[#This Row],[Week]])</f>
        <v>0</v>
      </c>
      <c r="J1129" s="6">
        <f>IF(AND($C1129="Rushing", $H1129&lt;=0), 0, IF(AND($C1129="Passing", $G$3&lt;=0), 0,IF(AND($C1129="Receiving",$I1129&lt;=0), 0,SUMIFS(Table2[Stat],Table2[Week],Table1[[#This Row],[Week]],Table2[Athlete],Table1[[#This Row],[Pick]],Table2[Stat Category],"passing",Table2[Stat Type],"TD"))))</f>
        <v>0</v>
      </c>
      <c r="K1129" s="6">
        <f>IF(AND($C1129="Rushing", $H1129&lt;=0), 0, IF(AND($C1129="Passing", $G$3&lt;=0), 0,IF(AND($C1129="Receiving",$I1129&lt;=0),0,SUMIFS(Table2[Stat],Table2[Week],Table1[[#This Row],[Week]],Table2[Athlete],Table1[[#This Row],[Pick]],Table2[Stat Category],"rushing",Table2[Stat Type],"TD"))))</f>
        <v>0</v>
      </c>
      <c r="L1129" s="6">
        <f>IF(AND($C1129="Rushing", $H1129&lt;=0), 0, IF(AND($C1129="Passing", $G$3&lt;=0), 0,IF(AND($C1129="Receiving",$I1129&lt;=0),0,SUMIFS(Table2[Stat],Table2[Week],Table1[[#This Row],[Week]],Table2[Athlete],Table1[[#This Row],[Pick]],Table2[Stat Category],"receiving",Table2[Stat Type],"TD"))))</f>
        <v>0</v>
      </c>
      <c r="M11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9" s="61">
        <f>SUMIFS(Data!$J:$J,Data!$A:$A,Info!$B1129,Data!$G:$G,Info!$C1129,Data!$I:$I,Info!$D1129,Data!$H:$H,"TOT")</f>
        <v>0</v>
      </c>
      <c r="O1129" s="61">
        <f>IF(C1129="Defensive",SUMIFS(Data!$J:$J,Data!$A:$A,Info!$B1129,Data!$I:$I,Info!$D1129,Data!$H:$H,"INT"),0)</f>
        <v>0</v>
      </c>
      <c r="P1129" s="61">
        <f>IF(Table1[[#This Row],[Role]]="Defensive",SUMIFS(Data!$J:$J,Data!$A:$A,Info!$B1129,Data!$I:$I,Info!$D1129,Data!$H:$H,$P$1),0)</f>
        <v>0</v>
      </c>
      <c r="Q1129" s="72" t="str">
        <f>IF(Table1[[#This Row],[Pick]]="","",IF(S1129&gt;1,400,IF(G1129="","",IF(C1129="Passing",(400-Table1[[#This Row],[Passing Yards]]-(30*Table1[[#This Row],[Passing TDs]])-(50*SUM(Table1[[#This Row],[Rushing TDs]:[Other TD''s]]))),IF(C1129="Rushing",2*(200-Table1[[#This Row],[Rushing Yards]]-(30*Table1[[#This Row],[Passing TDs]])-50*(Table1[[#This Row],[Rushing TDs]]+Table1[[#This Row],[Receiving TDs]]+Table1[[#This Row],[Other TD''s]])),IF(C1129="Receiving",2*(200-Table1[[#This Row],[Receiving Yards]]-(30*Table1[[#This Row],[Passing TDs]])-50*(Table1[[#This Row],[Rushing TDs]]+Table1[[#This Row],[Receiving TDs]]+Table1[[#This Row],[Other TD''s]])),IF(C1129="Defensive",(25*(16-Table1[[#This Row],[Tackles]]-(8*(Table1[[#This Row],[Other TD''s]]+Table1[[#This Row],[Interceptions]]+Table1[[#This Row],[Fumbles Recovered]])))))))))))</f>
        <v/>
      </c>
      <c r="R1129" s="3" t="str">
        <f t="shared" si="54"/>
        <v/>
      </c>
      <c r="S1129" s="4">
        <f t="shared" si="55"/>
        <v>1048507</v>
      </c>
      <c r="T11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0" spans="1:20" hidden="1" x14ac:dyDescent="0.25">
      <c r="A1130" t="s">
        <v>144</v>
      </c>
      <c r="B1130" s="28" t="s">
        <v>52</v>
      </c>
      <c r="C1130" t="s">
        <v>20</v>
      </c>
      <c r="D1130" s="71" t="str">
        <f>_xlfn.XLOOKUP(Table1[[#This Row],[Player]]&amp;Table1[[#This Row],[Week]]&amp;Table1[[#This Row],[Role]],'Google Form Transform'!$A:$A,'Google Form Transform'!E:E,"")</f>
        <v/>
      </c>
      <c r="E1130" t="str">
        <f>_xlfn.XLOOKUP(Table1[[#This Row],[Player]]&amp;Table1[[#This Row],[Week]]&amp;Table1[[#This Row],[Role]],'Google Form Transform'!$A:$A,'Google Form Transform'!F:F,"")</f>
        <v/>
      </c>
      <c r="F1130" t="str">
        <f>_xlfn.XLOOKUP(Table1[[#This Row],[Player]]&amp;Table1[[#This Row],[Week]]&amp;Table1[[#This Row],[Role]],'Google Form Transform'!$A:$A,'Google Form Transform'!G:G,"")</f>
        <v/>
      </c>
      <c r="G1130" s="59">
        <f>SUMIFS(Table2[Stat],Table2[Stat Category],"passing",Table2[Stat Type],"YDS",Table2[Athlete],Table1[[#This Row],[Pick]],Table2[Week],Table1[[#This Row],[Week]])</f>
        <v>0</v>
      </c>
      <c r="H1130" s="59">
        <f>SUMIFS(Table2[Stat],Table2[Stat Category],"rushing",Table2[Stat Type],"YDS",Table2[Athlete],Table1[[#This Row],[Pick]],Table2[Week],Table1[[#This Row],[Week]])</f>
        <v>0</v>
      </c>
      <c r="I1130" s="59">
        <f>SUMIFS(Table2[Stat],Table2[Stat Category],"receiving",Table2[Stat Type],"YDS",Table2[Athlete],Table1[[#This Row],[Pick]],Table2[Week],Table1[[#This Row],[Week]])</f>
        <v>0</v>
      </c>
      <c r="J1130" s="6">
        <f>IF(AND($C1130="Rushing", $H1130&lt;=0), 0, IF(AND($C1130="Passing", $G$3&lt;=0), 0,IF(AND($C1130="Receiving",$I1130&lt;=0), 0,SUMIFS(Table2[Stat],Table2[Week],Table1[[#This Row],[Week]],Table2[Athlete],Table1[[#This Row],[Pick]],Table2[Stat Category],"passing",Table2[Stat Type],"TD"))))</f>
        <v>0</v>
      </c>
      <c r="K1130" s="6">
        <f>IF(AND($C1130="Rushing", $H1130&lt;=0), 0, IF(AND($C1130="Passing", $G$3&lt;=0), 0,IF(AND($C1130="Receiving",$I1130&lt;=0),0,SUMIFS(Table2[Stat],Table2[Week],Table1[[#This Row],[Week]],Table2[Athlete],Table1[[#This Row],[Pick]],Table2[Stat Category],"rushing",Table2[Stat Type],"TD"))))</f>
        <v>0</v>
      </c>
      <c r="L1130" s="6">
        <f>IF(AND($C1130="Rushing", $H1130&lt;=0), 0, IF(AND($C1130="Passing", $G$3&lt;=0), 0,IF(AND($C1130="Receiving",$I1130&lt;=0),0,SUMIFS(Table2[Stat],Table2[Week],Table1[[#This Row],[Week]],Table2[Athlete],Table1[[#This Row],[Pick]],Table2[Stat Category],"receiving",Table2[Stat Type],"TD"))))</f>
        <v>0</v>
      </c>
      <c r="M11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0" s="61">
        <f>SUMIFS(Data!$J:$J,Data!$A:$A,Info!$B1130,Data!$G:$G,Info!$C1130,Data!$I:$I,Info!$D1130,Data!$H:$H,"TOT")</f>
        <v>0</v>
      </c>
      <c r="O1130" s="61">
        <f>IF(C1130="Defensive",SUMIFS(Data!$J:$J,Data!$A:$A,Info!$B1130,Data!$I:$I,Info!$D1130,Data!$H:$H,"INT"),0)</f>
        <v>0</v>
      </c>
      <c r="P1130" s="61">
        <f>IF(Table1[[#This Row],[Role]]="Defensive",SUMIFS(Data!$J:$J,Data!$A:$A,Info!$B1130,Data!$I:$I,Info!$D1130,Data!$H:$H,$P$1),0)</f>
        <v>0</v>
      </c>
      <c r="Q1130" s="72" t="str">
        <f>IF(Table1[[#This Row],[Pick]]="","",IF(S1130&gt;1,400,IF(G1130="","",IF(C1130="Passing",(400-Table1[[#This Row],[Passing Yards]]-(30*Table1[[#This Row],[Passing TDs]])-(50*SUM(Table1[[#This Row],[Rushing TDs]:[Other TD''s]]))),IF(C1130="Rushing",2*(200-Table1[[#This Row],[Rushing Yards]]-(30*Table1[[#This Row],[Passing TDs]])-50*(Table1[[#This Row],[Rushing TDs]]+Table1[[#This Row],[Receiving TDs]]+Table1[[#This Row],[Other TD''s]])),IF(C1130="Receiving",2*(200-Table1[[#This Row],[Receiving Yards]]-(30*Table1[[#This Row],[Passing TDs]])-50*(Table1[[#This Row],[Rushing TDs]]+Table1[[#This Row],[Receiving TDs]]+Table1[[#This Row],[Other TD''s]])),IF(C1130="Defensive",(25*(16-Table1[[#This Row],[Tackles]]-(8*(Table1[[#This Row],[Other TD''s]]+Table1[[#This Row],[Interceptions]]+Table1[[#This Row],[Fumbles Recovered]])))))))))))</f>
        <v/>
      </c>
      <c r="R1130" s="3" t="str">
        <f t="shared" si="54"/>
        <v/>
      </c>
      <c r="S1130" s="4">
        <f t="shared" si="55"/>
        <v>1048507</v>
      </c>
      <c r="T11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1" spans="1:20" hidden="1" x14ac:dyDescent="0.25">
      <c r="A1131" t="s">
        <v>144</v>
      </c>
      <c r="B1131" s="28" t="s">
        <v>53</v>
      </c>
      <c r="C1131" t="s">
        <v>16</v>
      </c>
      <c r="D1131" s="71" t="str">
        <f>_xlfn.XLOOKUP(Table1[[#This Row],[Player]]&amp;Table1[[#This Row],[Week]]&amp;Table1[[#This Row],[Role]],'Google Form Transform'!$A:$A,'Google Form Transform'!E:E,"")</f>
        <v/>
      </c>
      <c r="E1131" t="str">
        <f>_xlfn.XLOOKUP(Table1[[#This Row],[Player]]&amp;Table1[[#This Row],[Week]]&amp;Table1[[#This Row],[Role]],'Google Form Transform'!$A:$A,'Google Form Transform'!F:F,"")</f>
        <v/>
      </c>
      <c r="F1131" t="str">
        <f>_xlfn.XLOOKUP(Table1[[#This Row],[Player]]&amp;Table1[[#This Row],[Week]]&amp;Table1[[#This Row],[Role]],'Google Form Transform'!$A:$A,'Google Form Transform'!G:G,"")</f>
        <v/>
      </c>
      <c r="G1131" s="59">
        <f>SUMIFS(Table2[Stat],Table2[Stat Category],"passing",Table2[Stat Type],"YDS",Table2[Athlete],Table1[[#This Row],[Pick]],Table2[Week],Table1[[#This Row],[Week]])</f>
        <v>0</v>
      </c>
      <c r="H1131" s="59">
        <f>SUMIFS(Table2[Stat],Table2[Stat Category],"rushing",Table2[Stat Type],"YDS",Table2[Athlete],Table1[[#This Row],[Pick]],Table2[Week],Table1[[#This Row],[Week]])</f>
        <v>0</v>
      </c>
      <c r="I1131" s="59">
        <f>SUMIFS(Table2[Stat],Table2[Stat Category],"receiving",Table2[Stat Type],"YDS",Table2[Athlete],Table1[[#This Row],[Pick]],Table2[Week],Table1[[#This Row],[Week]])</f>
        <v>0</v>
      </c>
      <c r="J1131" s="6">
        <f>IF(AND($C1131="Rushing", $H1131&lt;=0), 0, IF(AND($C1131="Passing", $G$3&lt;=0), 0,IF(AND($C1131="Receiving",$I1131&lt;=0), 0,SUMIFS(Table2[Stat],Table2[Week],Table1[[#This Row],[Week]],Table2[Athlete],Table1[[#This Row],[Pick]],Table2[Stat Category],"passing",Table2[Stat Type],"TD"))))</f>
        <v>0</v>
      </c>
      <c r="K1131" s="6">
        <f>IF(AND($C1131="Rushing", $H1131&lt;=0), 0, IF(AND($C1131="Passing", $G$3&lt;=0), 0,IF(AND($C1131="Receiving",$I1131&lt;=0),0,SUMIFS(Table2[Stat],Table2[Week],Table1[[#This Row],[Week]],Table2[Athlete],Table1[[#This Row],[Pick]],Table2[Stat Category],"rushing",Table2[Stat Type],"TD"))))</f>
        <v>0</v>
      </c>
      <c r="L1131" s="6">
        <f>IF(AND($C1131="Rushing", $H1131&lt;=0), 0, IF(AND($C1131="Passing", $G$3&lt;=0), 0,IF(AND($C1131="Receiving",$I1131&lt;=0),0,SUMIFS(Table2[Stat],Table2[Week],Table1[[#This Row],[Week]],Table2[Athlete],Table1[[#This Row],[Pick]],Table2[Stat Category],"receiving",Table2[Stat Type],"TD"))))</f>
        <v>0</v>
      </c>
      <c r="M11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1" s="61">
        <f>SUMIFS(Data!$J:$J,Data!$A:$A,Info!$B1131,Data!$G:$G,Info!$C1131,Data!$I:$I,Info!$D1131,Data!$H:$H,"TOT")</f>
        <v>0</v>
      </c>
      <c r="O1131" s="61">
        <f>IF(C1131="Defensive",SUMIFS(Data!$J:$J,Data!$A:$A,Info!$B1131,Data!$I:$I,Info!$D1131,Data!$H:$H,"INT"),0)</f>
        <v>0</v>
      </c>
      <c r="P1131" s="61">
        <f>IF(Table1[[#This Row],[Role]]="Defensive",SUMIFS(Data!$J:$J,Data!$A:$A,Info!$B1131,Data!$I:$I,Info!$D1131,Data!$H:$H,$P$1),0)</f>
        <v>0</v>
      </c>
      <c r="Q1131" s="72" t="str">
        <f>IF(Table1[[#This Row],[Pick]]="","",IF(S1131&gt;1,400,IF(G1131="","",IF(C1131="Passing",(400-Table1[[#This Row],[Passing Yards]]-(30*Table1[[#This Row],[Passing TDs]])-(50*SUM(Table1[[#This Row],[Rushing TDs]:[Other TD''s]]))),IF(C1131="Rushing",2*(200-Table1[[#This Row],[Rushing Yards]]-(30*Table1[[#This Row],[Passing TDs]])-50*(Table1[[#This Row],[Rushing TDs]]+Table1[[#This Row],[Receiving TDs]]+Table1[[#This Row],[Other TD''s]])),IF(C1131="Receiving",2*(200-Table1[[#This Row],[Receiving Yards]]-(30*Table1[[#This Row],[Passing TDs]])-50*(Table1[[#This Row],[Rushing TDs]]+Table1[[#This Row],[Receiving TDs]]+Table1[[#This Row],[Other TD''s]])),IF(C1131="Defensive",(25*(16-Table1[[#This Row],[Tackles]]-(8*(Table1[[#This Row],[Other TD''s]]+Table1[[#This Row],[Interceptions]]+Table1[[#This Row],[Fumbles Recovered]])))))))))))</f>
        <v/>
      </c>
      <c r="R1131" s="3" t="str">
        <f t="shared" si="54"/>
        <v/>
      </c>
      <c r="S1131" s="4">
        <f t="shared" si="55"/>
        <v>1048507</v>
      </c>
      <c r="T11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2" spans="1:20" hidden="1" x14ac:dyDescent="0.25">
      <c r="A1132" t="s">
        <v>144</v>
      </c>
      <c r="B1132" s="28" t="s">
        <v>53</v>
      </c>
      <c r="C1132" t="s">
        <v>6</v>
      </c>
      <c r="D1132" s="71" t="str">
        <f>_xlfn.XLOOKUP(Table1[[#This Row],[Player]]&amp;Table1[[#This Row],[Week]]&amp;Table1[[#This Row],[Role]],'Google Form Transform'!$A:$A,'Google Form Transform'!E:E,"")</f>
        <v/>
      </c>
      <c r="E1132" t="str">
        <f>_xlfn.XLOOKUP(Table1[[#This Row],[Player]]&amp;Table1[[#This Row],[Week]]&amp;Table1[[#This Row],[Role]],'Google Form Transform'!$A:$A,'Google Form Transform'!F:F,"")</f>
        <v/>
      </c>
      <c r="F1132" t="str">
        <f>_xlfn.XLOOKUP(Table1[[#This Row],[Player]]&amp;Table1[[#This Row],[Week]]&amp;Table1[[#This Row],[Role]],'Google Form Transform'!$A:$A,'Google Form Transform'!G:G,"")</f>
        <v/>
      </c>
      <c r="G1132" s="59">
        <f>SUMIFS(Table2[Stat],Table2[Stat Category],"passing",Table2[Stat Type],"YDS",Table2[Athlete],Table1[[#This Row],[Pick]],Table2[Week],Table1[[#This Row],[Week]])</f>
        <v>0</v>
      </c>
      <c r="H1132" s="59">
        <f>SUMIFS(Table2[Stat],Table2[Stat Category],"rushing",Table2[Stat Type],"YDS",Table2[Athlete],Table1[[#This Row],[Pick]],Table2[Week],Table1[[#This Row],[Week]])</f>
        <v>0</v>
      </c>
      <c r="I1132" s="59">
        <f>SUMIFS(Table2[Stat],Table2[Stat Category],"receiving",Table2[Stat Type],"YDS",Table2[Athlete],Table1[[#This Row],[Pick]],Table2[Week],Table1[[#This Row],[Week]])</f>
        <v>0</v>
      </c>
      <c r="J1132" s="6">
        <f>IF(AND($C1132="Rushing", $H1132&lt;=0), 0, IF(AND($C1132="Passing", $G$3&lt;=0), 0,IF(AND($C1132="Receiving",$I1132&lt;=0), 0,SUMIFS(Table2[Stat],Table2[Week],Table1[[#This Row],[Week]],Table2[Athlete],Table1[[#This Row],[Pick]],Table2[Stat Category],"passing",Table2[Stat Type],"TD"))))</f>
        <v>0</v>
      </c>
      <c r="K1132" s="6">
        <f>IF(AND($C1132="Rushing", $H1132&lt;=0), 0, IF(AND($C1132="Passing", $G$3&lt;=0), 0,IF(AND($C1132="Receiving",$I1132&lt;=0),0,SUMIFS(Table2[Stat],Table2[Week],Table1[[#This Row],[Week]],Table2[Athlete],Table1[[#This Row],[Pick]],Table2[Stat Category],"rushing",Table2[Stat Type],"TD"))))</f>
        <v>0</v>
      </c>
      <c r="L1132" s="6">
        <f>IF(AND($C1132="Rushing", $H1132&lt;=0), 0, IF(AND($C1132="Passing", $G$3&lt;=0), 0,IF(AND($C1132="Receiving",$I1132&lt;=0),0,SUMIFS(Table2[Stat],Table2[Week],Table1[[#This Row],[Week]],Table2[Athlete],Table1[[#This Row],[Pick]],Table2[Stat Category],"receiving",Table2[Stat Type],"TD"))))</f>
        <v>0</v>
      </c>
      <c r="M11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2" s="61">
        <f>SUMIFS(Data!$J:$J,Data!$A:$A,Info!$B1132,Data!$G:$G,Info!$C1132,Data!$I:$I,Info!$D1132,Data!$H:$H,"TOT")</f>
        <v>0</v>
      </c>
      <c r="O1132" s="61">
        <f>IF(C1132="Defensive",SUMIFS(Data!$J:$J,Data!$A:$A,Info!$B1132,Data!$I:$I,Info!$D1132,Data!$H:$H,"INT"),0)</f>
        <v>0</v>
      </c>
      <c r="P1132" s="61">
        <f>IF(Table1[[#This Row],[Role]]="Defensive",SUMIFS(Data!$J:$J,Data!$A:$A,Info!$B1132,Data!$I:$I,Info!$D1132,Data!$H:$H,$P$1),0)</f>
        <v>0</v>
      </c>
      <c r="Q1132" s="72" t="str">
        <f>IF(Table1[[#This Row],[Pick]]="","",IF(S1132&gt;1,400,IF(G1132="","",IF(C1132="Passing",(400-Table1[[#This Row],[Passing Yards]]-(30*Table1[[#This Row],[Passing TDs]])-(50*SUM(Table1[[#This Row],[Rushing TDs]:[Other TD''s]]))),IF(C1132="Rushing",2*(200-Table1[[#This Row],[Rushing Yards]]-(30*Table1[[#This Row],[Passing TDs]])-50*(Table1[[#This Row],[Rushing TDs]]+Table1[[#This Row],[Receiving TDs]]+Table1[[#This Row],[Other TD''s]])),IF(C1132="Receiving",2*(200-Table1[[#This Row],[Receiving Yards]]-(30*Table1[[#This Row],[Passing TDs]])-50*(Table1[[#This Row],[Rushing TDs]]+Table1[[#This Row],[Receiving TDs]]+Table1[[#This Row],[Other TD''s]])),IF(C1132="Defensive",(25*(16-Table1[[#This Row],[Tackles]]-(8*(Table1[[#This Row],[Other TD''s]]+Table1[[#This Row],[Interceptions]]+Table1[[#This Row],[Fumbles Recovered]])))))))))))</f>
        <v/>
      </c>
      <c r="R1132" s="3" t="str">
        <f t="shared" si="54"/>
        <v/>
      </c>
      <c r="S1132" s="4">
        <f t="shared" si="55"/>
        <v>1048507</v>
      </c>
      <c r="T11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3" spans="1:20" hidden="1" x14ac:dyDescent="0.25">
      <c r="A1133" t="s">
        <v>144</v>
      </c>
      <c r="B1133" s="28" t="s">
        <v>53</v>
      </c>
      <c r="C1133" t="s">
        <v>17</v>
      </c>
      <c r="D1133" s="71" t="str">
        <f>_xlfn.XLOOKUP(Table1[[#This Row],[Player]]&amp;Table1[[#This Row],[Week]]&amp;Table1[[#This Row],[Role]],'Google Form Transform'!$A:$A,'Google Form Transform'!E:E,"")</f>
        <v/>
      </c>
      <c r="E1133" t="str">
        <f>_xlfn.XLOOKUP(Table1[[#This Row],[Player]]&amp;Table1[[#This Row],[Week]]&amp;Table1[[#This Row],[Role]],'Google Form Transform'!$A:$A,'Google Form Transform'!F:F,"")</f>
        <v/>
      </c>
      <c r="F1133" t="str">
        <f>_xlfn.XLOOKUP(Table1[[#This Row],[Player]]&amp;Table1[[#This Row],[Week]]&amp;Table1[[#This Row],[Role]],'Google Form Transform'!$A:$A,'Google Form Transform'!G:G,"")</f>
        <v/>
      </c>
      <c r="G1133" s="59">
        <f>SUMIFS(Table2[Stat],Table2[Stat Category],"passing",Table2[Stat Type],"YDS",Table2[Athlete],Table1[[#This Row],[Pick]],Table2[Week],Table1[[#This Row],[Week]])</f>
        <v>0</v>
      </c>
      <c r="H1133" s="59">
        <f>SUMIFS(Table2[Stat],Table2[Stat Category],"rushing",Table2[Stat Type],"YDS",Table2[Athlete],Table1[[#This Row],[Pick]],Table2[Week],Table1[[#This Row],[Week]])</f>
        <v>0</v>
      </c>
      <c r="I1133" s="59">
        <f>SUMIFS(Table2[Stat],Table2[Stat Category],"receiving",Table2[Stat Type],"YDS",Table2[Athlete],Table1[[#This Row],[Pick]],Table2[Week],Table1[[#This Row],[Week]])</f>
        <v>0</v>
      </c>
      <c r="J1133" s="6">
        <f>IF(AND($C1133="Rushing", $H1133&lt;=0), 0, IF(AND($C1133="Passing", $G$3&lt;=0), 0,IF(AND($C1133="Receiving",$I1133&lt;=0), 0,SUMIFS(Table2[Stat],Table2[Week],Table1[[#This Row],[Week]],Table2[Athlete],Table1[[#This Row],[Pick]],Table2[Stat Category],"passing",Table2[Stat Type],"TD"))))</f>
        <v>0</v>
      </c>
      <c r="K1133" s="6">
        <f>IF(AND($C1133="Rushing", $H1133&lt;=0), 0, IF(AND($C1133="Passing", $G$3&lt;=0), 0,IF(AND($C1133="Receiving",$I1133&lt;=0),0,SUMIFS(Table2[Stat],Table2[Week],Table1[[#This Row],[Week]],Table2[Athlete],Table1[[#This Row],[Pick]],Table2[Stat Category],"rushing",Table2[Stat Type],"TD"))))</f>
        <v>0</v>
      </c>
      <c r="L1133" s="6">
        <f>IF(AND($C1133="Rushing", $H1133&lt;=0), 0, IF(AND($C1133="Passing", $G$3&lt;=0), 0,IF(AND($C1133="Receiving",$I1133&lt;=0),0,SUMIFS(Table2[Stat],Table2[Week],Table1[[#This Row],[Week]],Table2[Athlete],Table1[[#This Row],[Pick]],Table2[Stat Category],"receiving",Table2[Stat Type],"TD"))))</f>
        <v>0</v>
      </c>
      <c r="M11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3" s="61">
        <f>SUMIFS(Data!$J:$J,Data!$A:$A,Info!$B1133,Data!$G:$G,Info!$C1133,Data!$I:$I,Info!$D1133,Data!$H:$H,"TOT")</f>
        <v>0</v>
      </c>
      <c r="O1133" s="61">
        <f>IF(C1133="Defensive",SUMIFS(Data!$J:$J,Data!$A:$A,Info!$B1133,Data!$I:$I,Info!$D1133,Data!$H:$H,"INT"),0)</f>
        <v>0</v>
      </c>
      <c r="P1133" s="61">
        <f>IF(Table1[[#This Row],[Role]]="Defensive",SUMIFS(Data!$J:$J,Data!$A:$A,Info!$B1133,Data!$I:$I,Info!$D1133,Data!$H:$H,$P$1),0)</f>
        <v>0</v>
      </c>
      <c r="Q1133" s="72" t="str">
        <f>IF(Table1[[#This Row],[Pick]]="","",IF(S1133&gt;1,400,IF(G1133="","",IF(C1133="Passing",(400-Table1[[#This Row],[Passing Yards]]-(30*Table1[[#This Row],[Passing TDs]])-(50*SUM(Table1[[#This Row],[Rushing TDs]:[Other TD''s]]))),IF(C1133="Rushing",2*(200-Table1[[#This Row],[Rushing Yards]]-(30*Table1[[#This Row],[Passing TDs]])-50*(Table1[[#This Row],[Rushing TDs]]+Table1[[#This Row],[Receiving TDs]]+Table1[[#This Row],[Other TD''s]])),IF(C1133="Receiving",2*(200-Table1[[#This Row],[Receiving Yards]]-(30*Table1[[#This Row],[Passing TDs]])-50*(Table1[[#This Row],[Rushing TDs]]+Table1[[#This Row],[Receiving TDs]]+Table1[[#This Row],[Other TD''s]])),IF(C1133="Defensive",(25*(16-Table1[[#This Row],[Tackles]]-(8*(Table1[[#This Row],[Other TD''s]]+Table1[[#This Row],[Interceptions]]+Table1[[#This Row],[Fumbles Recovered]])))))))))))</f>
        <v/>
      </c>
      <c r="R1133" s="3" t="str">
        <f t="shared" si="54"/>
        <v/>
      </c>
      <c r="S1133" s="4">
        <f t="shared" si="55"/>
        <v>1048507</v>
      </c>
      <c r="T11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4" spans="1:20" hidden="1" x14ac:dyDescent="0.25">
      <c r="A1134" t="s">
        <v>144</v>
      </c>
      <c r="B1134" s="28" t="s">
        <v>53</v>
      </c>
      <c r="C1134" t="s">
        <v>20</v>
      </c>
      <c r="D1134" s="71" t="str">
        <f>_xlfn.XLOOKUP(Table1[[#This Row],[Player]]&amp;Table1[[#This Row],[Week]]&amp;Table1[[#This Row],[Role]],'Google Form Transform'!$A:$A,'Google Form Transform'!E:E,"")</f>
        <v/>
      </c>
      <c r="E1134" t="str">
        <f>_xlfn.XLOOKUP(Table1[[#This Row],[Player]]&amp;Table1[[#This Row],[Week]]&amp;Table1[[#This Row],[Role]],'Google Form Transform'!$A:$A,'Google Form Transform'!F:F,"")</f>
        <v/>
      </c>
      <c r="F1134" t="str">
        <f>_xlfn.XLOOKUP(Table1[[#This Row],[Player]]&amp;Table1[[#This Row],[Week]]&amp;Table1[[#This Row],[Role]],'Google Form Transform'!$A:$A,'Google Form Transform'!G:G,"")</f>
        <v/>
      </c>
      <c r="G1134" s="59">
        <f>SUMIFS(Table2[Stat],Table2[Stat Category],"passing",Table2[Stat Type],"YDS",Table2[Athlete],Table1[[#This Row],[Pick]],Table2[Week],Table1[[#This Row],[Week]])</f>
        <v>0</v>
      </c>
      <c r="H1134" s="59">
        <f>SUMIFS(Table2[Stat],Table2[Stat Category],"rushing",Table2[Stat Type],"YDS",Table2[Athlete],Table1[[#This Row],[Pick]],Table2[Week],Table1[[#This Row],[Week]])</f>
        <v>0</v>
      </c>
      <c r="I1134" s="59">
        <f>SUMIFS(Table2[Stat],Table2[Stat Category],"receiving",Table2[Stat Type],"YDS",Table2[Athlete],Table1[[#This Row],[Pick]],Table2[Week],Table1[[#This Row],[Week]])</f>
        <v>0</v>
      </c>
      <c r="J1134" s="6">
        <f>IF(AND($C1134="Rushing", $H1134&lt;=0), 0, IF(AND($C1134="Passing", $G$3&lt;=0), 0,IF(AND($C1134="Receiving",$I1134&lt;=0), 0,SUMIFS(Table2[Stat],Table2[Week],Table1[[#This Row],[Week]],Table2[Athlete],Table1[[#This Row],[Pick]],Table2[Stat Category],"passing",Table2[Stat Type],"TD"))))</f>
        <v>0</v>
      </c>
      <c r="K1134" s="6">
        <f>IF(AND($C1134="Rushing", $H1134&lt;=0), 0, IF(AND($C1134="Passing", $G$3&lt;=0), 0,IF(AND($C1134="Receiving",$I1134&lt;=0),0,SUMIFS(Table2[Stat],Table2[Week],Table1[[#This Row],[Week]],Table2[Athlete],Table1[[#This Row],[Pick]],Table2[Stat Category],"rushing",Table2[Stat Type],"TD"))))</f>
        <v>0</v>
      </c>
      <c r="L1134" s="6">
        <f>IF(AND($C1134="Rushing", $H1134&lt;=0), 0, IF(AND($C1134="Passing", $G$3&lt;=0), 0,IF(AND($C1134="Receiving",$I1134&lt;=0),0,SUMIFS(Table2[Stat],Table2[Week],Table1[[#This Row],[Week]],Table2[Athlete],Table1[[#This Row],[Pick]],Table2[Stat Category],"receiving",Table2[Stat Type],"TD"))))</f>
        <v>0</v>
      </c>
      <c r="M11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4" s="61">
        <f>SUMIFS(Data!$J:$J,Data!$A:$A,Info!$B1134,Data!$G:$G,Info!$C1134,Data!$I:$I,Info!$D1134,Data!$H:$H,"TOT")</f>
        <v>0</v>
      </c>
      <c r="O1134" s="61">
        <f>IF(C1134="Defensive",SUMIFS(Data!$J:$J,Data!$A:$A,Info!$B1134,Data!$I:$I,Info!$D1134,Data!$H:$H,"INT"),0)</f>
        <v>0</v>
      </c>
      <c r="P1134" s="61">
        <f>IF(Table1[[#This Row],[Role]]="Defensive",SUMIFS(Data!$J:$J,Data!$A:$A,Info!$B1134,Data!$I:$I,Info!$D1134,Data!$H:$H,$P$1),0)</f>
        <v>0</v>
      </c>
      <c r="Q1134" s="72" t="str">
        <f>IF(Table1[[#This Row],[Pick]]="","",IF(S1134&gt;1,400,IF(G1134="","",IF(C1134="Passing",(400-Table1[[#This Row],[Passing Yards]]-(30*Table1[[#This Row],[Passing TDs]])-(50*SUM(Table1[[#This Row],[Rushing TDs]:[Other TD''s]]))),IF(C1134="Rushing",2*(200-Table1[[#This Row],[Rushing Yards]]-(30*Table1[[#This Row],[Passing TDs]])-50*(Table1[[#This Row],[Rushing TDs]]+Table1[[#This Row],[Receiving TDs]]+Table1[[#This Row],[Other TD''s]])),IF(C1134="Receiving",2*(200-Table1[[#This Row],[Receiving Yards]]-(30*Table1[[#This Row],[Passing TDs]])-50*(Table1[[#This Row],[Rushing TDs]]+Table1[[#This Row],[Receiving TDs]]+Table1[[#This Row],[Other TD''s]])),IF(C1134="Defensive",(25*(16-Table1[[#This Row],[Tackles]]-(8*(Table1[[#This Row],[Other TD''s]]+Table1[[#This Row],[Interceptions]]+Table1[[#This Row],[Fumbles Recovered]])))))))))))</f>
        <v/>
      </c>
      <c r="R1134" s="3" t="str">
        <f t="shared" si="54"/>
        <v/>
      </c>
      <c r="S1134" s="4">
        <f t="shared" si="55"/>
        <v>1048507</v>
      </c>
      <c r="T11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5" spans="1:20" hidden="1" x14ac:dyDescent="0.25">
      <c r="A1135" t="s">
        <v>144</v>
      </c>
      <c r="B1135" s="28" t="s">
        <v>54</v>
      </c>
      <c r="C1135" t="s">
        <v>16</v>
      </c>
      <c r="D1135" s="71" t="str">
        <f>_xlfn.XLOOKUP(Table1[[#This Row],[Player]]&amp;Table1[[#This Row],[Week]]&amp;Table1[[#This Row],[Role]],'Google Form Transform'!$A:$A,'Google Form Transform'!E:E,"")</f>
        <v/>
      </c>
      <c r="E1135" t="str">
        <f>_xlfn.XLOOKUP(Table1[[#This Row],[Player]]&amp;Table1[[#This Row],[Week]]&amp;Table1[[#This Row],[Role]],'Google Form Transform'!$A:$A,'Google Form Transform'!F:F,"")</f>
        <v/>
      </c>
      <c r="F1135" t="str">
        <f>_xlfn.XLOOKUP(Table1[[#This Row],[Player]]&amp;Table1[[#This Row],[Week]]&amp;Table1[[#This Row],[Role]],'Google Form Transform'!$A:$A,'Google Form Transform'!G:G,"")</f>
        <v/>
      </c>
      <c r="G1135" s="59">
        <f>SUMIFS(Table2[Stat],Table2[Stat Category],"passing",Table2[Stat Type],"YDS",Table2[Athlete],Table1[[#This Row],[Pick]],Table2[Week],Table1[[#This Row],[Week]])</f>
        <v>0</v>
      </c>
      <c r="H1135" s="59">
        <f>SUMIFS(Table2[Stat],Table2[Stat Category],"rushing",Table2[Stat Type],"YDS",Table2[Athlete],Table1[[#This Row],[Pick]],Table2[Week],Table1[[#This Row],[Week]])</f>
        <v>0</v>
      </c>
      <c r="I1135" s="59">
        <f>SUMIFS(Table2[Stat],Table2[Stat Category],"receiving",Table2[Stat Type],"YDS",Table2[Athlete],Table1[[#This Row],[Pick]],Table2[Week],Table1[[#This Row],[Week]])</f>
        <v>0</v>
      </c>
      <c r="J1135" s="6">
        <f>IF(AND($C1135="Rushing", $H1135&lt;=0), 0, IF(AND($C1135="Passing", $G$3&lt;=0), 0,IF(AND($C1135="Receiving",$I1135&lt;=0), 0,SUMIFS(Table2[Stat],Table2[Week],Table1[[#This Row],[Week]],Table2[Athlete],Table1[[#This Row],[Pick]],Table2[Stat Category],"passing",Table2[Stat Type],"TD"))))</f>
        <v>0</v>
      </c>
      <c r="K1135" s="6">
        <f>IF(AND($C1135="Rushing", $H1135&lt;=0), 0, IF(AND($C1135="Passing", $G$3&lt;=0), 0,IF(AND($C1135="Receiving",$I1135&lt;=0),0,SUMIFS(Table2[Stat],Table2[Week],Table1[[#This Row],[Week]],Table2[Athlete],Table1[[#This Row],[Pick]],Table2[Stat Category],"rushing",Table2[Stat Type],"TD"))))</f>
        <v>0</v>
      </c>
      <c r="L1135" s="6">
        <f>IF(AND($C1135="Rushing", $H1135&lt;=0), 0, IF(AND($C1135="Passing", $G$3&lt;=0), 0,IF(AND($C1135="Receiving",$I1135&lt;=0),0,SUMIFS(Table2[Stat],Table2[Week],Table1[[#This Row],[Week]],Table2[Athlete],Table1[[#This Row],[Pick]],Table2[Stat Category],"receiving",Table2[Stat Type],"TD"))))</f>
        <v>0</v>
      </c>
      <c r="M11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5" s="61">
        <f>SUMIFS(Data!$J:$J,Data!$A:$A,Info!$B1135,Data!$G:$G,Info!$C1135,Data!$I:$I,Info!$D1135,Data!$H:$H,"TOT")</f>
        <v>0</v>
      </c>
      <c r="O1135" s="61">
        <f>IF(C1135="Defensive",SUMIFS(Data!$J:$J,Data!$A:$A,Info!$B1135,Data!$I:$I,Info!$D1135,Data!$H:$H,"INT"),0)</f>
        <v>0</v>
      </c>
      <c r="P1135" s="61">
        <f>IF(Table1[[#This Row],[Role]]="Defensive",SUMIFS(Data!$J:$J,Data!$A:$A,Info!$B1135,Data!$I:$I,Info!$D1135,Data!$H:$H,$P$1),0)</f>
        <v>0</v>
      </c>
      <c r="Q1135" s="72" t="str">
        <f>IF(Table1[[#This Row],[Pick]]="","",IF(S1135&gt;1,400,IF(G1135="","",IF(C1135="Passing",(400-Table1[[#This Row],[Passing Yards]]-(30*Table1[[#This Row],[Passing TDs]])-(50*SUM(Table1[[#This Row],[Rushing TDs]:[Other TD''s]]))),IF(C1135="Rushing",2*(200-Table1[[#This Row],[Rushing Yards]]-(30*Table1[[#This Row],[Passing TDs]])-50*(Table1[[#This Row],[Rushing TDs]]+Table1[[#This Row],[Receiving TDs]]+Table1[[#This Row],[Other TD''s]])),IF(C1135="Receiving",2*(200-Table1[[#This Row],[Receiving Yards]]-(30*Table1[[#This Row],[Passing TDs]])-50*(Table1[[#This Row],[Rushing TDs]]+Table1[[#This Row],[Receiving TDs]]+Table1[[#This Row],[Other TD''s]])),IF(C1135="Defensive",(25*(16-Table1[[#This Row],[Tackles]]-(8*(Table1[[#This Row],[Other TD''s]]+Table1[[#This Row],[Interceptions]]+Table1[[#This Row],[Fumbles Recovered]])))))))))))</f>
        <v/>
      </c>
      <c r="R1135" s="3" t="str">
        <f t="shared" si="54"/>
        <v/>
      </c>
      <c r="S1135" s="4">
        <f t="shared" si="55"/>
        <v>1048507</v>
      </c>
      <c r="T11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6" spans="1:20" hidden="1" x14ac:dyDescent="0.25">
      <c r="A1136" t="s">
        <v>144</v>
      </c>
      <c r="B1136" s="28" t="s">
        <v>54</v>
      </c>
      <c r="C1136" t="s">
        <v>6</v>
      </c>
      <c r="D1136" s="71" t="str">
        <f>_xlfn.XLOOKUP(Table1[[#This Row],[Player]]&amp;Table1[[#This Row],[Week]]&amp;Table1[[#This Row],[Role]],'Google Form Transform'!$A:$A,'Google Form Transform'!E:E,"")</f>
        <v/>
      </c>
      <c r="E1136" t="str">
        <f>_xlfn.XLOOKUP(Table1[[#This Row],[Player]]&amp;Table1[[#This Row],[Week]]&amp;Table1[[#This Row],[Role]],'Google Form Transform'!$A:$A,'Google Form Transform'!F:F,"")</f>
        <v/>
      </c>
      <c r="F1136" t="str">
        <f>_xlfn.XLOOKUP(Table1[[#This Row],[Player]]&amp;Table1[[#This Row],[Week]]&amp;Table1[[#This Row],[Role]],'Google Form Transform'!$A:$A,'Google Form Transform'!G:G,"")</f>
        <v/>
      </c>
      <c r="G1136" s="59">
        <f>SUMIFS(Table2[Stat],Table2[Stat Category],"passing",Table2[Stat Type],"YDS",Table2[Athlete],Table1[[#This Row],[Pick]],Table2[Week],Table1[[#This Row],[Week]])</f>
        <v>0</v>
      </c>
      <c r="H1136" s="59">
        <f>SUMIFS(Table2[Stat],Table2[Stat Category],"rushing",Table2[Stat Type],"YDS",Table2[Athlete],Table1[[#This Row],[Pick]],Table2[Week],Table1[[#This Row],[Week]])</f>
        <v>0</v>
      </c>
      <c r="I1136" s="59">
        <f>SUMIFS(Table2[Stat],Table2[Stat Category],"receiving",Table2[Stat Type],"YDS",Table2[Athlete],Table1[[#This Row],[Pick]],Table2[Week],Table1[[#This Row],[Week]])</f>
        <v>0</v>
      </c>
      <c r="J1136" s="6">
        <f>IF(AND($C1136="Rushing", $H1136&lt;=0), 0, IF(AND($C1136="Passing", $G$3&lt;=0), 0,IF(AND($C1136="Receiving",$I1136&lt;=0), 0,SUMIFS(Table2[Stat],Table2[Week],Table1[[#This Row],[Week]],Table2[Athlete],Table1[[#This Row],[Pick]],Table2[Stat Category],"passing",Table2[Stat Type],"TD"))))</f>
        <v>0</v>
      </c>
      <c r="K1136" s="6">
        <f>IF(AND($C1136="Rushing", $H1136&lt;=0), 0, IF(AND($C1136="Passing", $G$3&lt;=0), 0,IF(AND($C1136="Receiving",$I1136&lt;=0),0,SUMIFS(Table2[Stat],Table2[Week],Table1[[#This Row],[Week]],Table2[Athlete],Table1[[#This Row],[Pick]],Table2[Stat Category],"rushing",Table2[Stat Type],"TD"))))</f>
        <v>0</v>
      </c>
      <c r="L1136" s="6">
        <f>IF(AND($C1136="Rushing", $H1136&lt;=0), 0, IF(AND($C1136="Passing", $G$3&lt;=0), 0,IF(AND($C1136="Receiving",$I1136&lt;=0),0,SUMIFS(Table2[Stat],Table2[Week],Table1[[#This Row],[Week]],Table2[Athlete],Table1[[#This Row],[Pick]],Table2[Stat Category],"receiving",Table2[Stat Type],"TD"))))</f>
        <v>0</v>
      </c>
      <c r="M11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6" s="61">
        <f>SUMIFS(Data!$J:$J,Data!$A:$A,Info!$B1136,Data!$G:$G,Info!$C1136,Data!$I:$I,Info!$D1136,Data!$H:$H,"TOT")</f>
        <v>0</v>
      </c>
      <c r="O1136" s="61">
        <f>IF(C1136="Defensive",SUMIFS(Data!$J:$J,Data!$A:$A,Info!$B1136,Data!$I:$I,Info!$D1136,Data!$H:$H,"INT"),0)</f>
        <v>0</v>
      </c>
      <c r="P1136" s="61">
        <f>IF(Table1[[#This Row],[Role]]="Defensive",SUMIFS(Data!$J:$J,Data!$A:$A,Info!$B1136,Data!$I:$I,Info!$D1136,Data!$H:$H,$P$1),0)</f>
        <v>0</v>
      </c>
      <c r="Q1136" s="72" t="str">
        <f>IF(Table1[[#This Row],[Pick]]="","",IF(S1136&gt;1,400,IF(G1136="","",IF(C1136="Passing",(400-Table1[[#This Row],[Passing Yards]]-(30*Table1[[#This Row],[Passing TDs]])-(50*SUM(Table1[[#This Row],[Rushing TDs]:[Other TD''s]]))),IF(C1136="Rushing",2*(200-Table1[[#This Row],[Rushing Yards]]-(30*Table1[[#This Row],[Passing TDs]])-50*(Table1[[#This Row],[Rushing TDs]]+Table1[[#This Row],[Receiving TDs]]+Table1[[#This Row],[Other TD''s]])),IF(C1136="Receiving",2*(200-Table1[[#This Row],[Receiving Yards]]-(30*Table1[[#This Row],[Passing TDs]])-50*(Table1[[#This Row],[Rushing TDs]]+Table1[[#This Row],[Receiving TDs]]+Table1[[#This Row],[Other TD''s]])),IF(C1136="Defensive",(25*(16-Table1[[#This Row],[Tackles]]-(8*(Table1[[#This Row],[Other TD''s]]+Table1[[#This Row],[Interceptions]]+Table1[[#This Row],[Fumbles Recovered]])))))))))))</f>
        <v/>
      </c>
      <c r="R1136" s="3" t="str">
        <f t="shared" si="54"/>
        <v/>
      </c>
      <c r="S1136" s="4">
        <f t="shared" si="55"/>
        <v>1048507</v>
      </c>
      <c r="T11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7" spans="1:20" hidden="1" x14ac:dyDescent="0.25">
      <c r="A1137" t="s">
        <v>144</v>
      </c>
      <c r="B1137" s="28" t="s">
        <v>54</v>
      </c>
      <c r="C1137" t="s">
        <v>17</v>
      </c>
      <c r="D1137" s="71" t="str">
        <f>_xlfn.XLOOKUP(Table1[[#This Row],[Player]]&amp;Table1[[#This Row],[Week]]&amp;Table1[[#This Row],[Role]],'Google Form Transform'!$A:$A,'Google Form Transform'!E:E,"")</f>
        <v/>
      </c>
      <c r="E1137" t="str">
        <f>_xlfn.XLOOKUP(Table1[[#This Row],[Player]]&amp;Table1[[#This Row],[Week]]&amp;Table1[[#This Row],[Role]],'Google Form Transform'!$A:$A,'Google Form Transform'!F:F,"")</f>
        <v/>
      </c>
      <c r="F1137" t="str">
        <f>_xlfn.XLOOKUP(Table1[[#This Row],[Player]]&amp;Table1[[#This Row],[Week]]&amp;Table1[[#This Row],[Role]],'Google Form Transform'!$A:$A,'Google Form Transform'!G:G,"")</f>
        <v/>
      </c>
      <c r="G1137" s="59">
        <f>SUMIFS(Table2[Stat],Table2[Stat Category],"passing",Table2[Stat Type],"YDS",Table2[Athlete],Table1[[#This Row],[Pick]],Table2[Week],Table1[[#This Row],[Week]])</f>
        <v>0</v>
      </c>
      <c r="H1137" s="59">
        <f>SUMIFS(Table2[Stat],Table2[Stat Category],"rushing",Table2[Stat Type],"YDS",Table2[Athlete],Table1[[#This Row],[Pick]],Table2[Week],Table1[[#This Row],[Week]])</f>
        <v>0</v>
      </c>
      <c r="I1137" s="59">
        <f>SUMIFS(Table2[Stat],Table2[Stat Category],"receiving",Table2[Stat Type],"YDS",Table2[Athlete],Table1[[#This Row],[Pick]],Table2[Week],Table1[[#This Row],[Week]])</f>
        <v>0</v>
      </c>
      <c r="J1137" s="6">
        <f>IF(AND($C1137="Rushing", $H1137&lt;=0), 0, IF(AND($C1137="Passing", $G$3&lt;=0), 0,IF(AND($C1137="Receiving",$I1137&lt;=0), 0,SUMIFS(Table2[Stat],Table2[Week],Table1[[#This Row],[Week]],Table2[Athlete],Table1[[#This Row],[Pick]],Table2[Stat Category],"passing",Table2[Stat Type],"TD"))))</f>
        <v>0</v>
      </c>
      <c r="K1137" s="6">
        <f>IF(AND($C1137="Rushing", $H1137&lt;=0), 0, IF(AND($C1137="Passing", $G$3&lt;=0), 0,IF(AND($C1137="Receiving",$I1137&lt;=0),0,SUMIFS(Table2[Stat],Table2[Week],Table1[[#This Row],[Week]],Table2[Athlete],Table1[[#This Row],[Pick]],Table2[Stat Category],"rushing",Table2[Stat Type],"TD"))))</f>
        <v>0</v>
      </c>
      <c r="L1137" s="6">
        <f>IF(AND($C1137="Rushing", $H1137&lt;=0), 0, IF(AND($C1137="Passing", $G$3&lt;=0), 0,IF(AND($C1137="Receiving",$I1137&lt;=0),0,SUMIFS(Table2[Stat],Table2[Week],Table1[[#This Row],[Week]],Table2[Athlete],Table1[[#This Row],[Pick]],Table2[Stat Category],"receiving",Table2[Stat Type],"TD"))))</f>
        <v>0</v>
      </c>
      <c r="M11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7" s="61">
        <f>SUMIFS(Data!$J:$J,Data!$A:$A,Info!$B1137,Data!$G:$G,Info!$C1137,Data!$I:$I,Info!$D1137,Data!$H:$H,"TOT")</f>
        <v>0</v>
      </c>
      <c r="O1137" s="61">
        <f>IF(C1137="Defensive",SUMIFS(Data!$J:$J,Data!$A:$A,Info!$B1137,Data!$I:$I,Info!$D1137,Data!$H:$H,"INT"),0)</f>
        <v>0</v>
      </c>
      <c r="P1137" s="61">
        <f>IF(Table1[[#This Row],[Role]]="Defensive",SUMIFS(Data!$J:$J,Data!$A:$A,Info!$B1137,Data!$I:$I,Info!$D1137,Data!$H:$H,$P$1),0)</f>
        <v>0</v>
      </c>
      <c r="Q1137" s="72" t="str">
        <f>IF(Table1[[#This Row],[Pick]]="","",IF(S1137&gt;1,400,IF(G1137="","",IF(C1137="Passing",(400-Table1[[#This Row],[Passing Yards]]-(30*Table1[[#This Row],[Passing TDs]])-(50*SUM(Table1[[#This Row],[Rushing TDs]:[Other TD''s]]))),IF(C1137="Rushing",2*(200-Table1[[#This Row],[Rushing Yards]]-(30*Table1[[#This Row],[Passing TDs]])-50*(Table1[[#This Row],[Rushing TDs]]+Table1[[#This Row],[Receiving TDs]]+Table1[[#This Row],[Other TD''s]])),IF(C1137="Receiving",2*(200-Table1[[#This Row],[Receiving Yards]]-(30*Table1[[#This Row],[Passing TDs]])-50*(Table1[[#This Row],[Rushing TDs]]+Table1[[#This Row],[Receiving TDs]]+Table1[[#This Row],[Other TD''s]])),IF(C1137="Defensive",(25*(16-Table1[[#This Row],[Tackles]]-(8*(Table1[[#This Row],[Other TD''s]]+Table1[[#This Row],[Interceptions]]+Table1[[#This Row],[Fumbles Recovered]])))))))))))</f>
        <v/>
      </c>
      <c r="R1137" s="3" t="str">
        <f t="shared" si="54"/>
        <v/>
      </c>
      <c r="S1137" s="4">
        <f t="shared" si="55"/>
        <v>1048507</v>
      </c>
      <c r="T11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8" spans="1:20" hidden="1" x14ac:dyDescent="0.25">
      <c r="A1138" t="s">
        <v>144</v>
      </c>
      <c r="B1138" s="28" t="s">
        <v>54</v>
      </c>
      <c r="C1138" t="s">
        <v>20</v>
      </c>
      <c r="D1138" s="71" t="str">
        <f>_xlfn.XLOOKUP(Table1[[#This Row],[Player]]&amp;Table1[[#This Row],[Week]]&amp;Table1[[#This Row],[Role]],'Google Form Transform'!$A:$A,'Google Form Transform'!E:E,"")</f>
        <v/>
      </c>
      <c r="E1138" t="str">
        <f>_xlfn.XLOOKUP(Table1[[#This Row],[Player]]&amp;Table1[[#This Row],[Week]]&amp;Table1[[#This Row],[Role]],'Google Form Transform'!$A:$A,'Google Form Transform'!F:F,"")</f>
        <v/>
      </c>
      <c r="F1138" t="str">
        <f>_xlfn.XLOOKUP(Table1[[#This Row],[Player]]&amp;Table1[[#This Row],[Week]]&amp;Table1[[#This Row],[Role]],'Google Form Transform'!$A:$A,'Google Form Transform'!G:G,"")</f>
        <v/>
      </c>
      <c r="G1138" s="59">
        <f>SUMIFS(Table2[Stat],Table2[Stat Category],"passing",Table2[Stat Type],"YDS",Table2[Athlete],Table1[[#This Row],[Pick]],Table2[Week],Table1[[#This Row],[Week]])</f>
        <v>0</v>
      </c>
      <c r="H1138" s="59">
        <f>SUMIFS(Table2[Stat],Table2[Stat Category],"rushing",Table2[Stat Type],"YDS",Table2[Athlete],Table1[[#This Row],[Pick]],Table2[Week],Table1[[#This Row],[Week]])</f>
        <v>0</v>
      </c>
      <c r="I1138" s="59">
        <f>SUMIFS(Table2[Stat],Table2[Stat Category],"receiving",Table2[Stat Type],"YDS",Table2[Athlete],Table1[[#This Row],[Pick]],Table2[Week],Table1[[#This Row],[Week]])</f>
        <v>0</v>
      </c>
      <c r="J1138" s="6">
        <f>IF(AND($C1138="Rushing", $H1138&lt;=0), 0, IF(AND($C1138="Passing", $G$3&lt;=0), 0,IF(AND($C1138="Receiving",$I1138&lt;=0), 0,SUMIFS(Table2[Stat],Table2[Week],Table1[[#This Row],[Week]],Table2[Athlete],Table1[[#This Row],[Pick]],Table2[Stat Category],"passing",Table2[Stat Type],"TD"))))</f>
        <v>0</v>
      </c>
      <c r="K1138" s="6">
        <f>IF(AND($C1138="Rushing", $H1138&lt;=0), 0, IF(AND($C1138="Passing", $G$3&lt;=0), 0,IF(AND($C1138="Receiving",$I1138&lt;=0),0,SUMIFS(Table2[Stat],Table2[Week],Table1[[#This Row],[Week]],Table2[Athlete],Table1[[#This Row],[Pick]],Table2[Stat Category],"rushing",Table2[Stat Type],"TD"))))</f>
        <v>0</v>
      </c>
      <c r="L1138" s="6">
        <f>IF(AND($C1138="Rushing", $H1138&lt;=0), 0, IF(AND($C1138="Passing", $G$3&lt;=0), 0,IF(AND($C1138="Receiving",$I1138&lt;=0),0,SUMIFS(Table2[Stat],Table2[Week],Table1[[#This Row],[Week]],Table2[Athlete],Table1[[#This Row],[Pick]],Table2[Stat Category],"receiving",Table2[Stat Type],"TD"))))</f>
        <v>0</v>
      </c>
      <c r="M11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8" s="61">
        <f>SUMIFS(Data!$J:$J,Data!$A:$A,Info!$B1138,Data!$G:$G,Info!$C1138,Data!$I:$I,Info!$D1138,Data!$H:$H,"TOT")</f>
        <v>0</v>
      </c>
      <c r="O1138" s="61">
        <f>IF(C1138="Defensive",SUMIFS(Data!$J:$J,Data!$A:$A,Info!$B1138,Data!$I:$I,Info!$D1138,Data!$H:$H,"INT"),0)</f>
        <v>0</v>
      </c>
      <c r="P1138" s="61">
        <f>IF(Table1[[#This Row],[Role]]="Defensive",SUMIFS(Data!$J:$J,Data!$A:$A,Info!$B1138,Data!$I:$I,Info!$D1138,Data!$H:$H,$P$1),0)</f>
        <v>0</v>
      </c>
      <c r="Q1138" s="72" t="str">
        <f>IF(Table1[[#This Row],[Pick]]="","",IF(S1138&gt;1,400,IF(G1138="","",IF(C1138="Passing",(400-Table1[[#This Row],[Passing Yards]]-(30*Table1[[#This Row],[Passing TDs]])-(50*SUM(Table1[[#This Row],[Rushing TDs]:[Other TD''s]]))),IF(C1138="Rushing",2*(200-Table1[[#This Row],[Rushing Yards]]-(30*Table1[[#This Row],[Passing TDs]])-50*(Table1[[#This Row],[Rushing TDs]]+Table1[[#This Row],[Receiving TDs]]+Table1[[#This Row],[Other TD''s]])),IF(C1138="Receiving",2*(200-Table1[[#This Row],[Receiving Yards]]-(30*Table1[[#This Row],[Passing TDs]])-50*(Table1[[#This Row],[Rushing TDs]]+Table1[[#This Row],[Receiving TDs]]+Table1[[#This Row],[Other TD''s]])),IF(C1138="Defensive",(25*(16-Table1[[#This Row],[Tackles]]-(8*(Table1[[#This Row],[Other TD''s]]+Table1[[#This Row],[Interceptions]]+Table1[[#This Row],[Fumbles Recovered]])))))))))))</f>
        <v/>
      </c>
      <c r="R1138" s="3" t="str">
        <f t="shared" si="54"/>
        <v/>
      </c>
      <c r="S1138" s="4">
        <f t="shared" si="55"/>
        <v>1048507</v>
      </c>
      <c r="T11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9" spans="1:20" hidden="1" x14ac:dyDescent="0.25">
      <c r="A1139" t="s">
        <v>144</v>
      </c>
      <c r="B1139" s="28" t="s">
        <v>15</v>
      </c>
      <c r="C1139" t="s">
        <v>16</v>
      </c>
      <c r="D1139" s="71" t="str">
        <f>_xlfn.XLOOKUP(Table1[[#This Row],[Player]]&amp;Table1[[#This Row],[Week]]&amp;Table1[[#This Row],[Role]],'Google Form Transform'!$A:$A,'Google Form Transform'!E:E,"")</f>
        <v/>
      </c>
      <c r="E1139" t="str">
        <f>_xlfn.XLOOKUP(Table1[[#This Row],[Player]]&amp;Table1[[#This Row],[Week]]&amp;Table1[[#This Row],[Role]],'Google Form Transform'!$A:$A,'Google Form Transform'!F:F,"")</f>
        <v/>
      </c>
      <c r="F1139" t="str">
        <f>_xlfn.XLOOKUP(Table1[[#This Row],[Player]]&amp;Table1[[#This Row],[Week]]&amp;Table1[[#This Row],[Role]],'Google Form Transform'!$A:$A,'Google Form Transform'!G:G,"")</f>
        <v/>
      </c>
      <c r="G1139" s="59">
        <f>SUMIFS(Table2[Stat],Table2[Stat Category],"passing",Table2[Stat Type],"YDS",Table2[Athlete],Table1[[#This Row],[Pick]],Table2[Week],Table1[[#This Row],[Week]])</f>
        <v>0</v>
      </c>
      <c r="H1139" s="59">
        <f>SUMIFS(Table2[Stat],Table2[Stat Category],"rushing",Table2[Stat Type],"YDS",Table2[Athlete],Table1[[#This Row],[Pick]],Table2[Week],Table1[[#This Row],[Week]])</f>
        <v>0</v>
      </c>
      <c r="I1139" s="59">
        <f>SUMIFS(Table2[Stat],Table2[Stat Category],"receiving",Table2[Stat Type],"YDS",Table2[Athlete],Table1[[#This Row],[Pick]],Table2[Week],Table1[[#This Row],[Week]])</f>
        <v>0</v>
      </c>
      <c r="J1139" s="6">
        <f>IF(AND($C1139="Rushing", $H1139&lt;=0), 0, IF(AND($C1139="Passing", $G$3&lt;=0), 0,IF(AND($C1139="Receiving",$I1139&lt;=0), 0,SUMIFS(Table2[Stat],Table2[Week],Table1[[#This Row],[Week]],Table2[Athlete],Table1[[#This Row],[Pick]],Table2[Stat Category],"passing",Table2[Stat Type],"TD"))))</f>
        <v>0</v>
      </c>
      <c r="K1139" s="6">
        <f>IF(AND($C1139="Rushing", $H1139&lt;=0), 0, IF(AND($C1139="Passing", $G$3&lt;=0), 0,IF(AND($C1139="Receiving",$I1139&lt;=0),0,SUMIFS(Table2[Stat],Table2[Week],Table1[[#This Row],[Week]],Table2[Athlete],Table1[[#This Row],[Pick]],Table2[Stat Category],"rushing",Table2[Stat Type],"TD"))))</f>
        <v>0</v>
      </c>
      <c r="L1139" s="6">
        <f>IF(AND($C1139="Rushing", $H1139&lt;=0), 0, IF(AND($C1139="Passing", $G$3&lt;=0), 0,IF(AND($C1139="Receiving",$I1139&lt;=0),0,SUMIFS(Table2[Stat],Table2[Week],Table1[[#This Row],[Week]],Table2[Athlete],Table1[[#This Row],[Pick]],Table2[Stat Category],"receiving",Table2[Stat Type],"TD"))))</f>
        <v>0</v>
      </c>
      <c r="M11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9" s="61">
        <f>SUMIFS(Data!$J:$J,Data!$A:$A,Info!$B1139,Data!$G:$G,Info!$C1139,Data!$I:$I,Info!$D1139,Data!$H:$H,"TOT")</f>
        <v>0</v>
      </c>
      <c r="O1139" s="61">
        <f>IF(C1139="Defensive",SUMIFS(Data!$J:$J,Data!$A:$A,Info!$B1139,Data!$I:$I,Info!$D1139,Data!$H:$H,"INT"),0)</f>
        <v>0</v>
      </c>
      <c r="P1139" s="61">
        <f>IF(Table1[[#This Row],[Role]]="Defensive",SUMIFS(Data!$J:$J,Data!$A:$A,Info!$B1139,Data!$I:$I,Info!$D1139,Data!$H:$H,$P$1),0)</f>
        <v>0</v>
      </c>
      <c r="Q1139" s="72" t="str">
        <f>IF(Table1[[#This Row],[Pick]]="","",IF(S1139&gt;1,400,IF(G1139="","",IF(C1139="Passing",(400-Table1[[#This Row],[Passing Yards]]-(30*Table1[[#This Row],[Passing TDs]])-(50*SUM(Table1[[#This Row],[Rushing TDs]:[Other TD''s]]))),IF(C1139="Rushing",2*(200-Table1[[#This Row],[Rushing Yards]]-(30*Table1[[#This Row],[Passing TDs]])-50*(Table1[[#This Row],[Rushing TDs]]+Table1[[#This Row],[Receiving TDs]]+Table1[[#This Row],[Other TD''s]])),IF(C1139="Receiving",2*(200-Table1[[#This Row],[Receiving Yards]]-(30*Table1[[#This Row],[Passing TDs]])-50*(Table1[[#This Row],[Rushing TDs]]+Table1[[#This Row],[Receiving TDs]]+Table1[[#This Row],[Other TD''s]])),IF(C1139="Defensive",(25*(16-Table1[[#This Row],[Tackles]]-(8*(Table1[[#This Row],[Other TD''s]]+Table1[[#This Row],[Interceptions]]+Table1[[#This Row],[Fumbles Recovered]])))))))))))</f>
        <v/>
      </c>
      <c r="R1139" s="3" t="str">
        <f t="shared" si="54"/>
        <v/>
      </c>
      <c r="S1139" s="4">
        <f t="shared" si="55"/>
        <v>1048507</v>
      </c>
      <c r="T11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0" spans="1:20" hidden="1" x14ac:dyDescent="0.25">
      <c r="A1140" t="s">
        <v>144</v>
      </c>
      <c r="B1140" s="28" t="s">
        <v>15</v>
      </c>
      <c r="C1140" t="s">
        <v>6</v>
      </c>
      <c r="D1140" s="71" t="str">
        <f>_xlfn.XLOOKUP(Table1[[#This Row],[Player]]&amp;Table1[[#This Row],[Week]]&amp;Table1[[#This Row],[Role]],'Google Form Transform'!$A:$A,'Google Form Transform'!E:E,"")</f>
        <v/>
      </c>
      <c r="E1140" t="str">
        <f>_xlfn.XLOOKUP(Table1[[#This Row],[Player]]&amp;Table1[[#This Row],[Week]]&amp;Table1[[#This Row],[Role]],'Google Form Transform'!$A:$A,'Google Form Transform'!F:F,"")</f>
        <v/>
      </c>
      <c r="F1140" t="str">
        <f>_xlfn.XLOOKUP(Table1[[#This Row],[Player]]&amp;Table1[[#This Row],[Week]]&amp;Table1[[#This Row],[Role]],'Google Form Transform'!$A:$A,'Google Form Transform'!G:G,"")</f>
        <v/>
      </c>
      <c r="G1140" s="59">
        <f>SUMIFS(Table2[Stat],Table2[Stat Category],"passing",Table2[Stat Type],"YDS",Table2[Athlete],Table1[[#This Row],[Pick]],Table2[Week],Table1[[#This Row],[Week]])</f>
        <v>0</v>
      </c>
      <c r="H1140" s="59">
        <f>SUMIFS(Table2[Stat],Table2[Stat Category],"rushing",Table2[Stat Type],"YDS",Table2[Athlete],Table1[[#This Row],[Pick]],Table2[Week],Table1[[#This Row],[Week]])</f>
        <v>0</v>
      </c>
      <c r="I1140" s="59">
        <f>SUMIFS(Table2[Stat],Table2[Stat Category],"receiving",Table2[Stat Type],"YDS",Table2[Athlete],Table1[[#This Row],[Pick]],Table2[Week],Table1[[#This Row],[Week]])</f>
        <v>0</v>
      </c>
      <c r="J1140" s="6">
        <f>IF(AND($C1140="Rushing", $H1140&lt;=0), 0, IF(AND($C1140="Passing", $G$3&lt;=0), 0,IF(AND($C1140="Receiving",$I1140&lt;=0), 0,SUMIFS(Table2[Stat],Table2[Week],Table1[[#This Row],[Week]],Table2[Athlete],Table1[[#This Row],[Pick]],Table2[Stat Category],"passing",Table2[Stat Type],"TD"))))</f>
        <v>0</v>
      </c>
      <c r="K1140" s="6">
        <f>IF(AND($C1140="Rushing", $H1140&lt;=0), 0, IF(AND($C1140="Passing", $G$3&lt;=0), 0,IF(AND($C1140="Receiving",$I1140&lt;=0),0,SUMIFS(Table2[Stat],Table2[Week],Table1[[#This Row],[Week]],Table2[Athlete],Table1[[#This Row],[Pick]],Table2[Stat Category],"rushing",Table2[Stat Type],"TD"))))</f>
        <v>0</v>
      </c>
      <c r="L1140" s="6">
        <f>IF(AND($C1140="Rushing", $H1140&lt;=0), 0, IF(AND($C1140="Passing", $G$3&lt;=0), 0,IF(AND($C1140="Receiving",$I1140&lt;=0),0,SUMIFS(Table2[Stat],Table2[Week],Table1[[#This Row],[Week]],Table2[Athlete],Table1[[#This Row],[Pick]],Table2[Stat Category],"receiving",Table2[Stat Type],"TD"))))</f>
        <v>0</v>
      </c>
      <c r="M11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0" s="61">
        <f>SUMIFS(Data!$J:$J,Data!$A:$A,Info!$B1140,Data!$G:$G,Info!$C1140,Data!$I:$I,Info!$D1140,Data!$H:$H,"TOT")</f>
        <v>0</v>
      </c>
      <c r="O1140" s="61">
        <f>IF(C1140="Defensive",SUMIFS(Data!$J:$J,Data!$A:$A,Info!$B1140,Data!$I:$I,Info!$D1140,Data!$H:$H,"INT"),0)</f>
        <v>0</v>
      </c>
      <c r="P1140" s="61">
        <f>IF(Table1[[#This Row],[Role]]="Defensive",SUMIFS(Data!$J:$J,Data!$A:$A,Info!$B1140,Data!$I:$I,Info!$D1140,Data!$H:$H,$P$1),0)</f>
        <v>0</v>
      </c>
      <c r="Q1140" s="72" t="str">
        <f>IF(Table1[[#This Row],[Pick]]="","",IF(S1140&gt;1,400,IF(G1140="","",IF(C1140="Passing",(400-Table1[[#This Row],[Passing Yards]]-(30*Table1[[#This Row],[Passing TDs]])-(50*SUM(Table1[[#This Row],[Rushing TDs]:[Other TD''s]]))),IF(C1140="Rushing",2*(200-Table1[[#This Row],[Rushing Yards]]-(30*Table1[[#This Row],[Passing TDs]])-50*(Table1[[#This Row],[Rushing TDs]]+Table1[[#This Row],[Receiving TDs]]+Table1[[#This Row],[Other TD''s]])),IF(C1140="Receiving",2*(200-Table1[[#This Row],[Receiving Yards]]-(30*Table1[[#This Row],[Passing TDs]])-50*(Table1[[#This Row],[Rushing TDs]]+Table1[[#This Row],[Receiving TDs]]+Table1[[#This Row],[Other TD''s]])),IF(C1140="Defensive",(25*(16-Table1[[#This Row],[Tackles]]-(8*(Table1[[#This Row],[Other TD''s]]+Table1[[#This Row],[Interceptions]]+Table1[[#This Row],[Fumbles Recovered]])))))))))))</f>
        <v/>
      </c>
      <c r="R1140" s="3" t="str">
        <f t="shared" si="54"/>
        <v/>
      </c>
      <c r="S1140" s="4">
        <f t="shared" si="55"/>
        <v>1048507</v>
      </c>
      <c r="T11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1" spans="1:20" hidden="1" x14ac:dyDescent="0.25">
      <c r="A1141" t="s">
        <v>144</v>
      </c>
      <c r="B1141" s="28" t="s">
        <v>15</v>
      </c>
      <c r="C1141" t="s">
        <v>17</v>
      </c>
      <c r="D1141" s="71" t="str">
        <f>_xlfn.XLOOKUP(Table1[[#This Row],[Player]]&amp;Table1[[#This Row],[Week]]&amp;Table1[[#This Row],[Role]],'Google Form Transform'!$A:$A,'Google Form Transform'!E:E,"")</f>
        <v/>
      </c>
      <c r="E1141" t="str">
        <f>_xlfn.XLOOKUP(Table1[[#This Row],[Player]]&amp;Table1[[#This Row],[Week]]&amp;Table1[[#This Row],[Role]],'Google Form Transform'!$A:$A,'Google Form Transform'!F:F,"")</f>
        <v/>
      </c>
      <c r="F1141" t="str">
        <f>_xlfn.XLOOKUP(Table1[[#This Row],[Player]]&amp;Table1[[#This Row],[Week]]&amp;Table1[[#This Row],[Role]],'Google Form Transform'!$A:$A,'Google Form Transform'!G:G,"")</f>
        <v/>
      </c>
      <c r="G1141" s="59">
        <f>SUMIFS(Table2[Stat],Table2[Stat Category],"passing",Table2[Stat Type],"YDS",Table2[Athlete],Table1[[#This Row],[Pick]],Table2[Week],Table1[[#This Row],[Week]])</f>
        <v>0</v>
      </c>
      <c r="H1141" s="59">
        <f>SUMIFS(Table2[Stat],Table2[Stat Category],"rushing",Table2[Stat Type],"YDS",Table2[Athlete],Table1[[#This Row],[Pick]],Table2[Week],Table1[[#This Row],[Week]])</f>
        <v>0</v>
      </c>
      <c r="I1141" s="59">
        <f>SUMIFS(Table2[Stat],Table2[Stat Category],"receiving",Table2[Stat Type],"YDS",Table2[Athlete],Table1[[#This Row],[Pick]],Table2[Week],Table1[[#This Row],[Week]])</f>
        <v>0</v>
      </c>
      <c r="J1141" s="6">
        <f>IF(AND($C1141="Rushing", $H1141&lt;=0), 0, IF(AND($C1141="Passing", $G$3&lt;=0), 0,IF(AND($C1141="Receiving",$I1141&lt;=0), 0,SUMIFS(Table2[Stat],Table2[Week],Table1[[#This Row],[Week]],Table2[Athlete],Table1[[#This Row],[Pick]],Table2[Stat Category],"passing",Table2[Stat Type],"TD"))))</f>
        <v>0</v>
      </c>
      <c r="K1141" s="6">
        <f>IF(AND($C1141="Rushing", $H1141&lt;=0), 0, IF(AND($C1141="Passing", $G$3&lt;=0), 0,IF(AND($C1141="Receiving",$I1141&lt;=0),0,SUMIFS(Table2[Stat],Table2[Week],Table1[[#This Row],[Week]],Table2[Athlete],Table1[[#This Row],[Pick]],Table2[Stat Category],"rushing",Table2[Stat Type],"TD"))))</f>
        <v>0</v>
      </c>
      <c r="L1141" s="6">
        <f>IF(AND($C1141="Rushing", $H1141&lt;=0), 0, IF(AND($C1141="Passing", $G$3&lt;=0), 0,IF(AND($C1141="Receiving",$I1141&lt;=0),0,SUMIFS(Table2[Stat],Table2[Week],Table1[[#This Row],[Week]],Table2[Athlete],Table1[[#This Row],[Pick]],Table2[Stat Category],"receiving",Table2[Stat Type],"TD"))))</f>
        <v>0</v>
      </c>
      <c r="M11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1" s="61">
        <f>SUMIFS(Data!$J:$J,Data!$A:$A,Info!$B1141,Data!$G:$G,Info!$C1141,Data!$I:$I,Info!$D1141,Data!$H:$H,"TOT")</f>
        <v>0</v>
      </c>
      <c r="O1141" s="61">
        <f>IF(C1141="Defensive",SUMIFS(Data!$J:$J,Data!$A:$A,Info!$B1141,Data!$I:$I,Info!$D1141,Data!$H:$H,"INT"),0)</f>
        <v>0</v>
      </c>
      <c r="P1141" s="61">
        <f>IF(Table1[[#This Row],[Role]]="Defensive",SUMIFS(Data!$J:$J,Data!$A:$A,Info!$B1141,Data!$I:$I,Info!$D1141,Data!$H:$H,$P$1),0)</f>
        <v>0</v>
      </c>
      <c r="Q1141" s="72" t="str">
        <f>IF(Table1[[#This Row],[Pick]]="","",IF(S1141&gt;1,400,IF(G1141="","",IF(C1141="Passing",(400-Table1[[#This Row],[Passing Yards]]-(30*Table1[[#This Row],[Passing TDs]])-(50*SUM(Table1[[#This Row],[Rushing TDs]:[Other TD''s]]))),IF(C1141="Rushing",2*(200-Table1[[#This Row],[Rushing Yards]]-(30*Table1[[#This Row],[Passing TDs]])-50*(Table1[[#This Row],[Rushing TDs]]+Table1[[#This Row],[Receiving TDs]]+Table1[[#This Row],[Other TD''s]])),IF(C1141="Receiving",2*(200-Table1[[#This Row],[Receiving Yards]]-(30*Table1[[#This Row],[Passing TDs]])-50*(Table1[[#This Row],[Rushing TDs]]+Table1[[#This Row],[Receiving TDs]]+Table1[[#This Row],[Other TD''s]])),IF(C1141="Defensive",(25*(16-Table1[[#This Row],[Tackles]]-(8*(Table1[[#This Row],[Other TD''s]]+Table1[[#This Row],[Interceptions]]+Table1[[#This Row],[Fumbles Recovered]])))))))))))</f>
        <v/>
      </c>
      <c r="R1141" s="3" t="str">
        <f t="shared" si="54"/>
        <v/>
      </c>
      <c r="S1141" s="4">
        <f t="shared" si="55"/>
        <v>1048507</v>
      </c>
      <c r="T11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2" spans="1:20" hidden="1" x14ac:dyDescent="0.25">
      <c r="A1142" t="s">
        <v>144</v>
      </c>
      <c r="B1142" s="28" t="s">
        <v>15</v>
      </c>
      <c r="C1142" t="s">
        <v>20</v>
      </c>
      <c r="D1142" s="71" t="str">
        <f>_xlfn.XLOOKUP(Table1[[#This Row],[Player]]&amp;Table1[[#This Row],[Week]]&amp;Table1[[#This Row],[Role]],'Google Form Transform'!$A:$A,'Google Form Transform'!E:E,"")</f>
        <v/>
      </c>
      <c r="E1142" t="str">
        <f>_xlfn.XLOOKUP(Table1[[#This Row],[Player]]&amp;Table1[[#This Row],[Week]]&amp;Table1[[#This Row],[Role]],'Google Form Transform'!$A:$A,'Google Form Transform'!F:F,"")</f>
        <v/>
      </c>
      <c r="F1142" t="str">
        <f>_xlfn.XLOOKUP(Table1[[#This Row],[Player]]&amp;Table1[[#This Row],[Week]]&amp;Table1[[#This Row],[Role]],'Google Form Transform'!$A:$A,'Google Form Transform'!G:G,"")</f>
        <v/>
      </c>
      <c r="G1142" s="59">
        <f>SUMIFS(Table2[Stat],Table2[Stat Category],"passing",Table2[Stat Type],"YDS",Table2[Athlete],Table1[[#This Row],[Pick]],Table2[Week],Table1[[#This Row],[Week]])</f>
        <v>0</v>
      </c>
      <c r="H1142" s="59">
        <f>SUMIFS(Table2[Stat],Table2[Stat Category],"rushing",Table2[Stat Type],"YDS",Table2[Athlete],Table1[[#This Row],[Pick]],Table2[Week],Table1[[#This Row],[Week]])</f>
        <v>0</v>
      </c>
      <c r="I1142" s="59">
        <f>SUMIFS(Table2[Stat],Table2[Stat Category],"receiving",Table2[Stat Type],"YDS",Table2[Athlete],Table1[[#This Row],[Pick]],Table2[Week],Table1[[#This Row],[Week]])</f>
        <v>0</v>
      </c>
      <c r="J1142" s="6">
        <f>IF(AND($C1142="Rushing", $H1142&lt;=0), 0, IF(AND($C1142="Passing", $G$3&lt;=0), 0,IF(AND($C1142="Receiving",$I1142&lt;=0), 0,SUMIFS(Table2[Stat],Table2[Week],Table1[[#This Row],[Week]],Table2[Athlete],Table1[[#This Row],[Pick]],Table2[Stat Category],"passing",Table2[Stat Type],"TD"))))</f>
        <v>0</v>
      </c>
      <c r="K1142" s="6">
        <f>IF(AND($C1142="Rushing", $H1142&lt;=0), 0, IF(AND($C1142="Passing", $G$3&lt;=0), 0,IF(AND($C1142="Receiving",$I1142&lt;=0),0,SUMIFS(Table2[Stat],Table2[Week],Table1[[#This Row],[Week]],Table2[Athlete],Table1[[#This Row],[Pick]],Table2[Stat Category],"rushing",Table2[Stat Type],"TD"))))</f>
        <v>0</v>
      </c>
      <c r="L1142" s="6">
        <f>IF(AND($C1142="Rushing", $H1142&lt;=0), 0, IF(AND($C1142="Passing", $G$3&lt;=0), 0,IF(AND($C1142="Receiving",$I1142&lt;=0),0,SUMIFS(Table2[Stat],Table2[Week],Table1[[#This Row],[Week]],Table2[Athlete],Table1[[#This Row],[Pick]],Table2[Stat Category],"receiving",Table2[Stat Type],"TD"))))</f>
        <v>0</v>
      </c>
      <c r="M11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2" s="61">
        <f>SUMIFS(Data!$J:$J,Data!$A:$A,Info!$B1142,Data!$G:$G,Info!$C1142,Data!$I:$I,Info!$D1142,Data!$H:$H,"TOT")</f>
        <v>0</v>
      </c>
      <c r="O1142" s="61">
        <f>IF(C1142="Defensive",SUMIFS(Data!$J:$J,Data!$A:$A,Info!$B1142,Data!$I:$I,Info!$D1142,Data!$H:$H,"INT"),0)</f>
        <v>0</v>
      </c>
      <c r="P1142" s="61">
        <f>IF(Table1[[#This Row],[Role]]="Defensive",SUMIFS(Data!$J:$J,Data!$A:$A,Info!$B1142,Data!$I:$I,Info!$D1142,Data!$H:$H,$P$1),0)</f>
        <v>0</v>
      </c>
      <c r="Q1142" s="72" t="str">
        <f>IF(Table1[[#This Row],[Pick]]="","",IF(S1142&gt;1,400,IF(G1142="","",IF(C1142="Passing",(400-Table1[[#This Row],[Passing Yards]]-(30*Table1[[#This Row],[Passing TDs]])-(50*SUM(Table1[[#This Row],[Rushing TDs]:[Other TD''s]]))),IF(C1142="Rushing",2*(200-Table1[[#This Row],[Rushing Yards]]-(30*Table1[[#This Row],[Passing TDs]])-50*(Table1[[#This Row],[Rushing TDs]]+Table1[[#This Row],[Receiving TDs]]+Table1[[#This Row],[Other TD''s]])),IF(C1142="Receiving",2*(200-Table1[[#This Row],[Receiving Yards]]-(30*Table1[[#This Row],[Passing TDs]])-50*(Table1[[#This Row],[Rushing TDs]]+Table1[[#This Row],[Receiving TDs]]+Table1[[#This Row],[Other TD''s]])),IF(C1142="Defensive",(25*(16-Table1[[#This Row],[Tackles]]-(8*(Table1[[#This Row],[Other TD''s]]+Table1[[#This Row],[Interceptions]]+Table1[[#This Row],[Fumbles Recovered]])))))))))))</f>
        <v/>
      </c>
      <c r="R1142" s="3" t="str">
        <f t="shared" si="54"/>
        <v/>
      </c>
      <c r="S1142" s="4">
        <f t="shared" si="55"/>
        <v>1048507</v>
      </c>
      <c r="T11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3" spans="1:20" hidden="1" x14ac:dyDescent="0.25">
      <c r="A1143" t="s">
        <v>144</v>
      </c>
      <c r="B1143" s="28" t="s">
        <v>55</v>
      </c>
      <c r="C1143" t="s">
        <v>16</v>
      </c>
      <c r="D1143" s="71" t="str">
        <f>_xlfn.XLOOKUP(Table1[[#This Row],[Player]]&amp;Table1[[#This Row],[Week]]&amp;Table1[[#This Row],[Role]],'Google Form Transform'!$A:$A,'Google Form Transform'!E:E,"")</f>
        <v/>
      </c>
      <c r="E1143" t="str">
        <f>_xlfn.XLOOKUP(Table1[[#This Row],[Player]]&amp;Table1[[#This Row],[Week]]&amp;Table1[[#This Row],[Role]],'Google Form Transform'!$A:$A,'Google Form Transform'!F:F,"")</f>
        <v/>
      </c>
      <c r="F1143" t="str">
        <f>_xlfn.XLOOKUP(Table1[[#This Row],[Player]]&amp;Table1[[#This Row],[Week]]&amp;Table1[[#This Row],[Role]],'Google Form Transform'!$A:$A,'Google Form Transform'!G:G,"")</f>
        <v/>
      </c>
      <c r="G1143" s="59">
        <f>SUMIFS(Table2[Stat],Table2[Stat Category],"passing",Table2[Stat Type],"YDS",Table2[Athlete],Table1[[#This Row],[Pick]],Table2[Week],Table1[[#This Row],[Week]])</f>
        <v>0</v>
      </c>
      <c r="H1143" s="59">
        <f>SUMIFS(Table2[Stat],Table2[Stat Category],"rushing",Table2[Stat Type],"YDS",Table2[Athlete],Table1[[#This Row],[Pick]],Table2[Week],Table1[[#This Row],[Week]])</f>
        <v>0</v>
      </c>
      <c r="I1143" s="59">
        <f>SUMIFS(Table2[Stat],Table2[Stat Category],"receiving",Table2[Stat Type],"YDS",Table2[Athlete],Table1[[#This Row],[Pick]],Table2[Week],Table1[[#This Row],[Week]])</f>
        <v>0</v>
      </c>
      <c r="J1143" s="6">
        <f>IF(AND($C1143="Rushing", $H1143&lt;=0), 0, IF(AND($C1143="Passing", $G$3&lt;=0), 0,IF(AND($C1143="Receiving",$I1143&lt;=0), 0,SUMIFS(Table2[Stat],Table2[Week],Table1[[#This Row],[Week]],Table2[Athlete],Table1[[#This Row],[Pick]],Table2[Stat Category],"passing",Table2[Stat Type],"TD"))))</f>
        <v>0</v>
      </c>
      <c r="K1143" s="6">
        <f>IF(AND($C1143="Rushing", $H1143&lt;=0), 0, IF(AND($C1143="Passing", $G$3&lt;=0), 0,IF(AND($C1143="Receiving",$I1143&lt;=0),0,SUMIFS(Table2[Stat],Table2[Week],Table1[[#This Row],[Week]],Table2[Athlete],Table1[[#This Row],[Pick]],Table2[Stat Category],"rushing",Table2[Stat Type],"TD"))))</f>
        <v>0</v>
      </c>
      <c r="L1143" s="6">
        <f>IF(AND($C1143="Rushing", $H1143&lt;=0), 0, IF(AND($C1143="Passing", $G$3&lt;=0), 0,IF(AND($C1143="Receiving",$I1143&lt;=0),0,SUMIFS(Table2[Stat],Table2[Week],Table1[[#This Row],[Week]],Table2[Athlete],Table1[[#This Row],[Pick]],Table2[Stat Category],"receiving",Table2[Stat Type],"TD"))))</f>
        <v>0</v>
      </c>
      <c r="M11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3" s="61">
        <f>SUMIFS(Data!$J:$J,Data!$A:$A,Info!$B1143,Data!$G:$G,Info!$C1143,Data!$I:$I,Info!$D1143,Data!$H:$H,"TOT")</f>
        <v>0</v>
      </c>
      <c r="O1143" s="61">
        <f>IF(C1143="Defensive",SUMIFS(Data!$J:$J,Data!$A:$A,Info!$B1143,Data!$I:$I,Info!$D1143,Data!$H:$H,"INT"),0)</f>
        <v>0</v>
      </c>
      <c r="P1143" s="61">
        <f>IF(Table1[[#This Row],[Role]]="Defensive",SUMIFS(Data!$J:$J,Data!$A:$A,Info!$B1143,Data!$I:$I,Info!$D1143,Data!$H:$H,$P$1),0)</f>
        <v>0</v>
      </c>
      <c r="Q1143" s="72" t="str">
        <f>IF(Table1[[#This Row],[Pick]]="","",IF(S1143&gt;1,400,IF(G1143="","",IF(C1143="Passing",(400-Table1[[#This Row],[Passing Yards]]-(30*Table1[[#This Row],[Passing TDs]])-(50*SUM(Table1[[#This Row],[Rushing TDs]:[Other TD''s]]))),IF(C1143="Rushing",2*(200-Table1[[#This Row],[Rushing Yards]]-(30*Table1[[#This Row],[Passing TDs]])-50*(Table1[[#This Row],[Rushing TDs]]+Table1[[#This Row],[Receiving TDs]]+Table1[[#This Row],[Other TD''s]])),IF(C1143="Receiving",2*(200-Table1[[#This Row],[Receiving Yards]]-(30*Table1[[#This Row],[Passing TDs]])-50*(Table1[[#This Row],[Rushing TDs]]+Table1[[#This Row],[Receiving TDs]]+Table1[[#This Row],[Other TD''s]])),IF(C1143="Defensive",(25*(16-Table1[[#This Row],[Tackles]]-(8*(Table1[[#This Row],[Other TD''s]]+Table1[[#This Row],[Interceptions]]+Table1[[#This Row],[Fumbles Recovered]])))))))))))</f>
        <v/>
      </c>
      <c r="R1143" s="3" t="str">
        <f t="shared" si="54"/>
        <v/>
      </c>
      <c r="S1143" s="4">
        <f t="shared" si="55"/>
        <v>1048507</v>
      </c>
      <c r="T11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4" spans="1:20" hidden="1" x14ac:dyDescent="0.25">
      <c r="A1144" t="s">
        <v>144</v>
      </c>
      <c r="B1144" s="28" t="s">
        <v>55</v>
      </c>
      <c r="C1144" t="s">
        <v>6</v>
      </c>
      <c r="D1144" s="71" t="str">
        <f>_xlfn.XLOOKUP(Table1[[#This Row],[Player]]&amp;Table1[[#This Row],[Week]]&amp;Table1[[#This Row],[Role]],'Google Form Transform'!$A:$A,'Google Form Transform'!E:E,"")</f>
        <v/>
      </c>
      <c r="E1144" t="str">
        <f>_xlfn.XLOOKUP(Table1[[#This Row],[Player]]&amp;Table1[[#This Row],[Week]]&amp;Table1[[#This Row],[Role]],'Google Form Transform'!$A:$A,'Google Form Transform'!F:F,"")</f>
        <v/>
      </c>
      <c r="F1144" t="str">
        <f>_xlfn.XLOOKUP(Table1[[#This Row],[Player]]&amp;Table1[[#This Row],[Week]]&amp;Table1[[#This Row],[Role]],'Google Form Transform'!$A:$A,'Google Form Transform'!G:G,"")</f>
        <v/>
      </c>
      <c r="G1144" s="59">
        <f>SUMIFS(Table2[Stat],Table2[Stat Category],"passing",Table2[Stat Type],"YDS",Table2[Athlete],Table1[[#This Row],[Pick]],Table2[Week],Table1[[#This Row],[Week]])</f>
        <v>0</v>
      </c>
      <c r="H1144" s="59">
        <f>SUMIFS(Table2[Stat],Table2[Stat Category],"rushing",Table2[Stat Type],"YDS",Table2[Athlete],Table1[[#This Row],[Pick]],Table2[Week],Table1[[#This Row],[Week]])</f>
        <v>0</v>
      </c>
      <c r="I1144" s="59">
        <f>SUMIFS(Table2[Stat],Table2[Stat Category],"receiving",Table2[Stat Type],"YDS",Table2[Athlete],Table1[[#This Row],[Pick]],Table2[Week],Table1[[#This Row],[Week]])</f>
        <v>0</v>
      </c>
      <c r="J1144" s="6">
        <f>IF(AND($C1144="Rushing", $H1144&lt;=0), 0, IF(AND($C1144="Passing", $G$3&lt;=0), 0,IF(AND($C1144="Receiving",$I1144&lt;=0), 0,SUMIFS(Table2[Stat],Table2[Week],Table1[[#This Row],[Week]],Table2[Athlete],Table1[[#This Row],[Pick]],Table2[Stat Category],"passing",Table2[Stat Type],"TD"))))</f>
        <v>0</v>
      </c>
      <c r="K1144" s="6">
        <f>IF(AND($C1144="Rushing", $H1144&lt;=0), 0, IF(AND($C1144="Passing", $G$3&lt;=0), 0,IF(AND($C1144="Receiving",$I1144&lt;=0),0,SUMIFS(Table2[Stat],Table2[Week],Table1[[#This Row],[Week]],Table2[Athlete],Table1[[#This Row],[Pick]],Table2[Stat Category],"rushing",Table2[Stat Type],"TD"))))</f>
        <v>0</v>
      </c>
      <c r="L1144" s="6">
        <f>IF(AND($C1144="Rushing", $H1144&lt;=0), 0, IF(AND($C1144="Passing", $G$3&lt;=0), 0,IF(AND($C1144="Receiving",$I1144&lt;=0),0,SUMIFS(Table2[Stat],Table2[Week],Table1[[#This Row],[Week]],Table2[Athlete],Table1[[#This Row],[Pick]],Table2[Stat Category],"receiving",Table2[Stat Type],"TD"))))</f>
        <v>0</v>
      </c>
      <c r="M11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4" s="61">
        <f>SUMIFS(Data!$J:$J,Data!$A:$A,Info!$B1144,Data!$G:$G,Info!$C1144,Data!$I:$I,Info!$D1144,Data!$H:$H,"TOT")</f>
        <v>0</v>
      </c>
      <c r="O1144" s="61">
        <f>IF(C1144="Defensive",SUMIFS(Data!$J:$J,Data!$A:$A,Info!$B1144,Data!$I:$I,Info!$D1144,Data!$H:$H,"INT"),0)</f>
        <v>0</v>
      </c>
      <c r="P1144" s="61">
        <f>IF(Table1[[#This Row],[Role]]="Defensive",SUMIFS(Data!$J:$J,Data!$A:$A,Info!$B1144,Data!$I:$I,Info!$D1144,Data!$H:$H,$P$1),0)</f>
        <v>0</v>
      </c>
      <c r="Q1144" s="72" t="str">
        <f>IF(Table1[[#This Row],[Pick]]="","",IF(S1144&gt;1,400,IF(G1144="","",IF(C1144="Passing",(400-Table1[[#This Row],[Passing Yards]]-(30*Table1[[#This Row],[Passing TDs]])-(50*SUM(Table1[[#This Row],[Rushing TDs]:[Other TD''s]]))),IF(C1144="Rushing",2*(200-Table1[[#This Row],[Rushing Yards]]-(30*Table1[[#This Row],[Passing TDs]])-50*(Table1[[#This Row],[Rushing TDs]]+Table1[[#This Row],[Receiving TDs]]+Table1[[#This Row],[Other TD''s]])),IF(C1144="Receiving",2*(200-Table1[[#This Row],[Receiving Yards]]-(30*Table1[[#This Row],[Passing TDs]])-50*(Table1[[#This Row],[Rushing TDs]]+Table1[[#This Row],[Receiving TDs]]+Table1[[#This Row],[Other TD''s]])),IF(C1144="Defensive",(25*(16-Table1[[#This Row],[Tackles]]-(8*(Table1[[#This Row],[Other TD''s]]+Table1[[#This Row],[Interceptions]]+Table1[[#This Row],[Fumbles Recovered]])))))))))))</f>
        <v/>
      </c>
      <c r="R1144" s="3" t="str">
        <f t="shared" si="54"/>
        <v/>
      </c>
      <c r="S1144" s="4">
        <f t="shared" si="55"/>
        <v>1048507</v>
      </c>
      <c r="T11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5" spans="1:20" hidden="1" x14ac:dyDescent="0.25">
      <c r="A1145" t="s">
        <v>144</v>
      </c>
      <c r="B1145" s="28" t="s">
        <v>55</v>
      </c>
      <c r="C1145" t="s">
        <v>17</v>
      </c>
      <c r="D1145" s="71" t="str">
        <f>_xlfn.XLOOKUP(Table1[[#This Row],[Player]]&amp;Table1[[#This Row],[Week]]&amp;Table1[[#This Row],[Role]],'Google Form Transform'!$A:$A,'Google Form Transform'!E:E,"")</f>
        <v/>
      </c>
      <c r="E1145" t="str">
        <f>_xlfn.XLOOKUP(Table1[[#This Row],[Player]]&amp;Table1[[#This Row],[Week]]&amp;Table1[[#This Row],[Role]],'Google Form Transform'!$A:$A,'Google Form Transform'!F:F,"")</f>
        <v/>
      </c>
      <c r="F1145" t="str">
        <f>_xlfn.XLOOKUP(Table1[[#This Row],[Player]]&amp;Table1[[#This Row],[Week]]&amp;Table1[[#This Row],[Role]],'Google Form Transform'!$A:$A,'Google Form Transform'!G:G,"")</f>
        <v/>
      </c>
      <c r="G1145" s="59">
        <f>SUMIFS(Table2[Stat],Table2[Stat Category],"passing",Table2[Stat Type],"YDS",Table2[Athlete],Table1[[#This Row],[Pick]],Table2[Week],Table1[[#This Row],[Week]])</f>
        <v>0</v>
      </c>
      <c r="H1145" s="59">
        <f>SUMIFS(Table2[Stat],Table2[Stat Category],"rushing",Table2[Stat Type],"YDS",Table2[Athlete],Table1[[#This Row],[Pick]],Table2[Week],Table1[[#This Row],[Week]])</f>
        <v>0</v>
      </c>
      <c r="I1145" s="59">
        <f>SUMIFS(Table2[Stat],Table2[Stat Category],"receiving",Table2[Stat Type],"YDS",Table2[Athlete],Table1[[#This Row],[Pick]],Table2[Week],Table1[[#This Row],[Week]])</f>
        <v>0</v>
      </c>
      <c r="J1145" s="6">
        <f>IF(AND($C1145="Rushing", $H1145&lt;=0), 0, IF(AND($C1145="Passing", $G$3&lt;=0), 0,IF(AND($C1145="Receiving",$I1145&lt;=0), 0,SUMIFS(Table2[Stat],Table2[Week],Table1[[#This Row],[Week]],Table2[Athlete],Table1[[#This Row],[Pick]],Table2[Stat Category],"passing",Table2[Stat Type],"TD"))))</f>
        <v>0</v>
      </c>
      <c r="K1145" s="6">
        <f>IF(AND($C1145="Rushing", $H1145&lt;=0), 0, IF(AND($C1145="Passing", $G$3&lt;=0), 0,IF(AND($C1145="Receiving",$I1145&lt;=0),0,SUMIFS(Table2[Stat],Table2[Week],Table1[[#This Row],[Week]],Table2[Athlete],Table1[[#This Row],[Pick]],Table2[Stat Category],"rushing",Table2[Stat Type],"TD"))))</f>
        <v>0</v>
      </c>
      <c r="L1145" s="6">
        <f>IF(AND($C1145="Rushing", $H1145&lt;=0), 0, IF(AND($C1145="Passing", $G$3&lt;=0), 0,IF(AND($C1145="Receiving",$I1145&lt;=0),0,SUMIFS(Table2[Stat],Table2[Week],Table1[[#This Row],[Week]],Table2[Athlete],Table1[[#This Row],[Pick]],Table2[Stat Category],"receiving",Table2[Stat Type],"TD"))))</f>
        <v>0</v>
      </c>
      <c r="M11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5" s="61">
        <f>SUMIFS(Data!$J:$J,Data!$A:$A,Info!$B1145,Data!$G:$G,Info!$C1145,Data!$I:$I,Info!$D1145,Data!$H:$H,"TOT")</f>
        <v>0</v>
      </c>
      <c r="O1145" s="61">
        <f>IF(C1145="Defensive",SUMIFS(Data!$J:$J,Data!$A:$A,Info!$B1145,Data!$I:$I,Info!$D1145,Data!$H:$H,"INT"),0)</f>
        <v>0</v>
      </c>
      <c r="P1145" s="61">
        <f>IF(Table1[[#This Row],[Role]]="Defensive",SUMIFS(Data!$J:$J,Data!$A:$A,Info!$B1145,Data!$I:$I,Info!$D1145,Data!$H:$H,$P$1),0)</f>
        <v>0</v>
      </c>
      <c r="Q1145" s="72" t="str">
        <f>IF(Table1[[#This Row],[Pick]]="","",IF(S1145&gt;1,400,IF(G1145="","",IF(C1145="Passing",(400-Table1[[#This Row],[Passing Yards]]-(30*Table1[[#This Row],[Passing TDs]])-(50*SUM(Table1[[#This Row],[Rushing TDs]:[Other TD''s]]))),IF(C1145="Rushing",2*(200-Table1[[#This Row],[Rushing Yards]]-(30*Table1[[#This Row],[Passing TDs]])-50*(Table1[[#This Row],[Rushing TDs]]+Table1[[#This Row],[Receiving TDs]]+Table1[[#This Row],[Other TD''s]])),IF(C1145="Receiving",2*(200-Table1[[#This Row],[Receiving Yards]]-(30*Table1[[#This Row],[Passing TDs]])-50*(Table1[[#This Row],[Rushing TDs]]+Table1[[#This Row],[Receiving TDs]]+Table1[[#This Row],[Other TD''s]])),IF(C1145="Defensive",(25*(16-Table1[[#This Row],[Tackles]]-(8*(Table1[[#This Row],[Other TD''s]]+Table1[[#This Row],[Interceptions]]+Table1[[#This Row],[Fumbles Recovered]])))))))))))</f>
        <v/>
      </c>
      <c r="R1145" s="3" t="str">
        <f t="shared" si="54"/>
        <v/>
      </c>
      <c r="S1145" s="4">
        <f t="shared" si="55"/>
        <v>1048507</v>
      </c>
      <c r="T11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6" spans="1:20" hidden="1" x14ac:dyDescent="0.25">
      <c r="A1146" t="s">
        <v>144</v>
      </c>
      <c r="B1146" s="28" t="s">
        <v>55</v>
      </c>
      <c r="C1146" t="s">
        <v>20</v>
      </c>
      <c r="D1146" s="71" t="str">
        <f>_xlfn.XLOOKUP(Table1[[#This Row],[Player]]&amp;Table1[[#This Row],[Week]]&amp;Table1[[#This Row],[Role]],'Google Form Transform'!$A:$A,'Google Form Transform'!E:E,"")</f>
        <v/>
      </c>
      <c r="E1146" t="str">
        <f>_xlfn.XLOOKUP(Table1[[#This Row],[Player]]&amp;Table1[[#This Row],[Week]]&amp;Table1[[#This Row],[Role]],'Google Form Transform'!$A:$A,'Google Form Transform'!F:F,"")</f>
        <v/>
      </c>
      <c r="F1146" t="str">
        <f>_xlfn.XLOOKUP(Table1[[#This Row],[Player]]&amp;Table1[[#This Row],[Week]]&amp;Table1[[#This Row],[Role]],'Google Form Transform'!$A:$A,'Google Form Transform'!G:G,"")</f>
        <v/>
      </c>
      <c r="G1146" s="59">
        <f>SUMIFS(Table2[Stat],Table2[Stat Category],"passing",Table2[Stat Type],"YDS",Table2[Athlete],Table1[[#This Row],[Pick]],Table2[Week],Table1[[#This Row],[Week]])</f>
        <v>0</v>
      </c>
      <c r="H1146" s="59">
        <f>SUMIFS(Table2[Stat],Table2[Stat Category],"rushing",Table2[Stat Type],"YDS",Table2[Athlete],Table1[[#This Row],[Pick]],Table2[Week],Table1[[#This Row],[Week]])</f>
        <v>0</v>
      </c>
      <c r="I1146" s="59">
        <f>SUMIFS(Table2[Stat],Table2[Stat Category],"receiving",Table2[Stat Type],"YDS",Table2[Athlete],Table1[[#This Row],[Pick]],Table2[Week],Table1[[#This Row],[Week]])</f>
        <v>0</v>
      </c>
      <c r="J1146" s="6">
        <f>IF(AND($C1146="Rushing", $H1146&lt;=0), 0, IF(AND($C1146="Passing", $G$3&lt;=0), 0,IF(AND($C1146="Receiving",$I1146&lt;=0), 0,SUMIFS(Table2[Stat],Table2[Week],Table1[[#This Row],[Week]],Table2[Athlete],Table1[[#This Row],[Pick]],Table2[Stat Category],"passing",Table2[Stat Type],"TD"))))</f>
        <v>0</v>
      </c>
      <c r="K1146" s="6">
        <f>IF(AND($C1146="Rushing", $H1146&lt;=0), 0, IF(AND($C1146="Passing", $G$3&lt;=0), 0,IF(AND($C1146="Receiving",$I1146&lt;=0),0,SUMIFS(Table2[Stat],Table2[Week],Table1[[#This Row],[Week]],Table2[Athlete],Table1[[#This Row],[Pick]],Table2[Stat Category],"rushing",Table2[Stat Type],"TD"))))</f>
        <v>0</v>
      </c>
      <c r="L1146" s="6">
        <f>IF(AND($C1146="Rushing", $H1146&lt;=0), 0, IF(AND($C1146="Passing", $G$3&lt;=0), 0,IF(AND($C1146="Receiving",$I1146&lt;=0),0,SUMIFS(Table2[Stat],Table2[Week],Table1[[#This Row],[Week]],Table2[Athlete],Table1[[#This Row],[Pick]],Table2[Stat Category],"receiving",Table2[Stat Type],"TD"))))</f>
        <v>0</v>
      </c>
      <c r="M11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6" s="61">
        <f>SUMIFS(Data!$J:$J,Data!$A:$A,Info!$B1146,Data!$G:$G,Info!$C1146,Data!$I:$I,Info!$D1146,Data!$H:$H,"TOT")</f>
        <v>0</v>
      </c>
      <c r="O1146" s="61">
        <f>IF(C1146="Defensive",SUMIFS(Data!$J:$J,Data!$A:$A,Info!$B1146,Data!$I:$I,Info!$D1146,Data!$H:$H,"INT"),0)</f>
        <v>0</v>
      </c>
      <c r="P1146" s="61">
        <f>IF(Table1[[#This Row],[Role]]="Defensive",SUMIFS(Data!$J:$J,Data!$A:$A,Info!$B1146,Data!$I:$I,Info!$D1146,Data!$H:$H,$P$1),0)</f>
        <v>0</v>
      </c>
      <c r="Q1146" s="72" t="str">
        <f>IF(Table1[[#This Row],[Pick]]="","",IF(S1146&gt;1,400,IF(G1146="","",IF(C1146="Passing",(400-Table1[[#This Row],[Passing Yards]]-(30*Table1[[#This Row],[Passing TDs]])-(50*SUM(Table1[[#This Row],[Rushing TDs]:[Other TD''s]]))),IF(C1146="Rushing",2*(200-Table1[[#This Row],[Rushing Yards]]-(30*Table1[[#This Row],[Passing TDs]])-50*(Table1[[#This Row],[Rushing TDs]]+Table1[[#This Row],[Receiving TDs]]+Table1[[#This Row],[Other TD''s]])),IF(C1146="Receiving",2*(200-Table1[[#This Row],[Receiving Yards]]-(30*Table1[[#This Row],[Passing TDs]])-50*(Table1[[#This Row],[Rushing TDs]]+Table1[[#This Row],[Receiving TDs]]+Table1[[#This Row],[Other TD''s]])),IF(C1146="Defensive",(25*(16-Table1[[#This Row],[Tackles]]-(8*(Table1[[#This Row],[Other TD''s]]+Table1[[#This Row],[Interceptions]]+Table1[[#This Row],[Fumbles Recovered]])))))))))))</f>
        <v/>
      </c>
      <c r="R1146" s="3" t="str">
        <f t="shared" si="54"/>
        <v/>
      </c>
      <c r="S1146" s="4">
        <f t="shared" si="55"/>
        <v>1048507</v>
      </c>
      <c r="T11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7" spans="1:20" hidden="1" x14ac:dyDescent="0.25">
      <c r="A1147" t="s">
        <v>144</v>
      </c>
      <c r="B1147" s="28" t="s">
        <v>56</v>
      </c>
      <c r="C1147" t="s">
        <v>16</v>
      </c>
      <c r="D1147" s="71" t="str">
        <f>_xlfn.XLOOKUP(Table1[[#This Row],[Player]]&amp;Table1[[#This Row],[Week]]&amp;Table1[[#This Row],[Role]],'Google Form Transform'!$A:$A,'Google Form Transform'!E:E,"")</f>
        <v/>
      </c>
      <c r="E1147" t="str">
        <f>_xlfn.XLOOKUP(Table1[[#This Row],[Player]]&amp;Table1[[#This Row],[Week]]&amp;Table1[[#This Row],[Role]],'Google Form Transform'!$A:$A,'Google Form Transform'!F:F,"")</f>
        <v/>
      </c>
      <c r="F1147" t="str">
        <f>_xlfn.XLOOKUP(Table1[[#This Row],[Player]]&amp;Table1[[#This Row],[Week]]&amp;Table1[[#This Row],[Role]],'Google Form Transform'!$A:$A,'Google Form Transform'!G:G,"")</f>
        <v/>
      </c>
      <c r="G1147" s="59">
        <f>SUMIFS(Table2[Stat],Table2[Stat Category],"passing",Table2[Stat Type],"YDS",Table2[Athlete],Table1[[#This Row],[Pick]],Table2[Week],Table1[[#This Row],[Week]])</f>
        <v>0</v>
      </c>
      <c r="H1147" s="59">
        <f>SUMIFS(Table2[Stat],Table2[Stat Category],"rushing",Table2[Stat Type],"YDS",Table2[Athlete],Table1[[#This Row],[Pick]],Table2[Week],Table1[[#This Row],[Week]])</f>
        <v>0</v>
      </c>
      <c r="I1147" s="59">
        <f>SUMIFS(Table2[Stat],Table2[Stat Category],"receiving",Table2[Stat Type],"YDS",Table2[Athlete],Table1[[#This Row],[Pick]],Table2[Week],Table1[[#This Row],[Week]])</f>
        <v>0</v>
      </c>
      <c r="J1147" s="6">
        <f>IF(AND($C1147="Rushing", $H1147&lt;=0), 0, IF(AND($C1147="Passing", $G$3&lt;=0), 0,IF(AND($C1147="Receiving",$I1147&lt;=0), 0,SUMIFS(Table2[Stat],Table2[Week],Table1[[#This Row],[Week]],Table2[Athlete],Table1[[#This Row],[Pick]],Table2[Stat Category],"passing",Table2[Stat Type],"TD"))))</f>
        <v>0</v>
      </c>
      <c r="K1147" s="6">
        <f>IF(AND($C1147="Rushing", $H1147&lt;=0), 0, IF(AND($C1147="Passing", $G$3&lt;=0), 0,IF(AND($C1147="Receiving",$I1147&lt;=0),0,SUMIFS(Table2[Stat],Table2[Week],Table1[[#This Row],[Week]],Table2[Athlete],Table1[[#This Row],[Pick]],Table2[Stat Category],"rushing",Table2[Stat Type],"TD"))))</f>
        <v>0</v>
      </c>
      <c r="L1147" s="6">
        <f>IF(AND($C1147="Rushing", $H1147&lt;=0), 0, IF(AND($C1147="Passing", $G$3&lt;=0), 0,IF(AND($C1147="Receiving",$I1147&lt;=0),0,SUMIFS(Table2[Stat],Table2[Week],Table1[[#This Row],[Week]],Table2[Athlete],Table1[[#This Row],[Pick]],Table2[Stat Category],"receiving",Table2[Stat Type],"TD"))))</f>
        <v>0</v>
      </c>
      <c r="M11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7" s="61">
        <f>SUMIFS(Data!$J:$J,Data!$A:$A,Info!$B1147,Data!$G:$G,Info!$C1147,Data!$I:$I,Info!$D1147,Data!$H:$H,"TOT")</f>
        <v>0</v>
      </c>
      <c r="O1147" s="61">
        <f>IF(C1147="Defensive",SUMIFS(Data!$J:$J,Data!$A:$A,Info!$B1147,Data!$I:$I,Info!$D1147,Data!$H:$H,"INT"),0)</f>
        <v>0</v>
      </c>
      <c r="P1147" s="61">
        <f>IF(Table1[[#This Row],[Role]]="Defensive",SUMIFS(Data!$J:$J,Data!$A:$A,Info!$B1147,Data!$I:$I,Info!$D1147,Data!$H:$H,$P$1),0)</f>
        <v>0</v>
      </c>
      <c r="Q1147" s="72" t="str">
        <f>IF(Table1[[#This Row],[Pick]]="","",IF(S1147&gt;1,400,IF(G1147="","",IF(C1147="Passing",(400-Table1[[#This Row],[Passing Yards]]-(30*Table1[[#This Row],[Passing TDs]])-(50*SUM(Table1[[#This Row],[Rushing TDs]:[Other TD''s]]))),IF(C1147="Rushing",2*(200-Table1[[#This Row],[Rushing Yards]]-(30*Table1[[#This Row],[Passing TDs]])-50*(Table1[[#This Row],[Rushing TDs]]+Table1[[#This Row],[Receiving TDs]]+Table1[[#This Row],[Other TD''s]])),IF(C1147="Receiving",2*(200-Table1[[#This Row],[Receiving Yards]]-(30*Table1[[#This Row],[Passing TDs]])-50*(Table1[[#This Row],[Rushing TDs]]+Table1[[#This Row],[Receiving TDs]]+Table1[[#This Row],[Other TD''s]])),IF(C1147="Defensive",(25*(16-Table1[[#This Row],[Tackles]]-(8*(Table1[[#This Row],[Other TD''s]]+Table1[[#This Row],[Interceptions]]+Table1[[#This Row],[Fumbles Recovered]])))))))))))</f>
        <v/>
      </c>
      <c r="R1147" s="3" t="str">
        <f t="shared" si="54"/>
        <v/>
      </c>
      <c r="S1147" s="4">
        <f t="shared" si="55"/>
        <v>1048507</v>
      </c>
      <c r="T11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8" spans="1:20" hidden="1" x14ac:dyDescent="0.25">
      <c r="A1148" t="s">
        <v>144</v>
      </c>
      <c r="B1148" s="28" t="s">
        <v>56</v>
      </c>
      <c r="C1148" t="s">
        <v>6</v>
      </c>
      <c r="D1148" s="71" t="str">
        <f>_xlfn.XLOOKUP(Table1[[#This Row],[Player]]&amp;Table1[[#This Row],[Week]]&amp;Table1[[#This Row],[Role]],'Google Form Transform'!$A:$A,'Google Form Transform'!E:E,"")</f>
        <v/>
      </c>
      <c r="E1148" t="str">
        <f>_xlfn.XLOOKUP(Table1[[#This Row],[Player]]&amp;Table1[[#This Row],[Week]]&amp;Table1[[#This Row],[Role]],'Google Form Transform'!$A:$A,'Google Form Transform'!F:F,"")</f>
        <v/>
      </c>
      <c r="F1148" t="str">
        <f>_xlfn.XLOOKUP(Table1[[#This Row],[Player]]&amp;Table1[[#This Row],[Week]]&amp;Table1[[#This Row],[Role]],'Google Form Transform'!$A:$A,'Google Form Transform'!G:G,"")</f>
        <v/>
      </c>
      <c r="G1148" s="59">
        <f>SUMIFS(Table2[Stat],Table2[Stat Category],"passing",Table2[Stat Type],"YDS",Table2[Athlete],Table1[[#This Row],[Pick]],Table2[Week],Table1[[#This Row],[Week]])</f>
        <v>0</v>
      </c>
      <c r="H1148" s="59">
        <f>SUMIFS(Table2[Stat],Table2[Stat Category],"rushing",Table2[Stat Type],"YDS",Table2[Athlete],Table1[[#This Row],[Pick]],Table2[Week],Table1[[#This Row],[Week]])</f>
        <v>0</v>
      </c>
      <c r="I1148" s="59">
        <f>SUMIFS(Table2[Stat],Table2[Stat Category],"receiving",Table2[Stat Type],"YDS",Table2[Athlete],Table1[[#This Row],[Pick]],Table2[Week],Table1[[#This Row],[Week]])</f>
        <v>0</v>
      </c>
      <c r="J1148" s="6">
        <f>IF(AND($C1148="Rushing", $H1148&lt;=0), 0, IF(AND($C1148="Passing", $G$3&lt;=0), 0,IF(AND($C1148="Receiving",$I1148&lt;=0), 0,SUMIFS(Table2[Stat],Table2[Week],Table1[[#This Row],[Week]],Table2[Athlete],Table1[[#This Row],[Pick]],Table2[Stat Category],"passing",Table2[Stat Type],"TD"))))</f>
        <v>0</v>
      </c>
      <c r="K1148" s="6">
        <f>IF(AND($C1148="Rushing", $H1148&lt;=0), 0, IF(AND($C1148="Passing", $G$3&lt;=0), 0,IF(AND($C1148="Receiving",$I1148&lt;=0),0,SUMIFS(Table2[Stat],Table2[Week],Table1[[#This Row],[Week]],Table2[Athlete],Table1[[#This Row],[Pick]],Table2[Stat Category],"rushing",Table2[Stat Type],"TD"))))</f>
        <v>0</v>
      </c>
      <c r="L1148" s="6">
        <f>IF(AND($C1148="Rushing", $H1148&lt;=0), 0, IF(AND($C1148="Passing", $G$3&lt;=0), 0,IF(AND($C1148="Receiving",$I1148&lt;=0),0,SUMIFS(Table2[Stat],Table2[Week],Table1[[#This Row],[Week]],Table2[Athlete],Table1[[#This Row],[Pick]],Table2[Stat Category],"receiving",Table2[Stat Type],"TD"))))</f>
        <v>0</v>
      </c>
      <c r="M11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8" s="61">
        <f>SUMIFS(Data!$J:$J,Data!$A:$A,Info!$B1148,Data!$G:$G,Info!$C1148,Data!$I:$I,Info!$D1148,Data!$H:$H,"TOT")</f>
        <v>0</v>
      </c>
      <c r="O1148" s="61">
        <f>IF(C1148="Defensive",SUMIFS(Data!$J:$J,Data!$A:$A,Info!$B1148,Data!$I:$I,Info!$D1148,Data!$H:$H,"INT"),0)</f>
        <v>0</v>
      </c>
      <c r="P1148" s="61">
        <f>IF(Table1[[#This Row],[Role]]="Defensive",SUMIFS(Data!$J:$J,Data!$A:$A,Info!$B1148,Data!$I:$I,Info!$D1148,Data!$H:$H,$P$1),0)</f>
        <v>0</v>
      </c>
      <c r="Q1148" s="72" t="str">
        <f>IF(Table1[[#This Row],[Pick]]="","",IF(S1148&gt;1,400,IF(G1148="","",IF(C1148="Passing",(400-Table1[[#This Row],[Passing Yards]]-(30*Table1[[#This Row],[Passing TDs]])-(50*SUM(Table1[[#This Row],[Rushing TDs]:[Other TD''s]]))),IF(C1148="Rushing",2*(200-Table1[[#This Row],[Rushing Yards]]-(30*Table1[[#This Row],[Passing TDs]])-50*(Table1[[#This Row],[Rushing TDs]]+Table1[[#This Row],[Receiving TDs]]+Table1[[#This Row],[Other TD''s]])),IF(C1148="Receiving",2*(200-Table1[[#This Row],[Receiving Yards]]-(30*Table1[[#This Row],[Passing TDs]])-50*(Table1[[#This Row],[Rushing TDs]]+Table1[[#This Row],[Receiving TDs]]+Table1[[#This Row],[Other TD''s]])),IF(C1148="Defensive",(25*(16-Table1[[#This Row],[Tackles]]-(8*(Table1[[#This Row],[Other TD''s]]+Table1[[#This Row],[Interceptions]]+Table1[[#This Row],[Fumbles Recovered]])))))))))))</f>
        <v/>
      </c>
      <c r="R1148" s="3" t="str">
        <f t="shared" si="54"/>
        <v/>
      </c>
      <c r="S1148" s="4">
        <f t="shared" si="55"/>
        <v>1048507</v>
      </c>
      <c r="T11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9" spans="1:20" hidden="1" x14ac:dyDescent="0.25">
      <c r="A1149" t="s">
        <v>144</v>
      </c>
      <c r="B1149" s="28" t="s">
        <v>56</v>
      </c>
      <c r="C1149" t="s">
        <v>17</v>
      </c>
      <c r="D1149" s="71" t="str">
        <f>_xlfn.XLOOKUP(Table1[[#This Row],[Player]]&amp;Table1[[#This Row],[Week]]&amp;Table1[[#This Row],[Role]],'Google Form Transform'!$A:$A,'Google Form Transform'!E:E,"")</f>
        <v/>
      </c>
      <c r="E1149" t="str">
        <f>_xlfn.XLOOKUP(Table1[[#This Row],[Player]]&amp;Table1[[#This Row],[Week]]&amp;Table1[[#This Row],[Role]],'Google Form Transform'!$A:$A,'Google Form Transform'!F:F,"")</f>
        <v/>
      </c>
      <c r="F1149" t="str">
        <f>_xlfn.XLOOKUP(Table1[[#This Row],[Player]]&amp;Table1[[#This Row],[Week]]&amp;Table1[[#This Row],[Role]],'Google Form Transform'!$A:$A,'Google Form Transform'!G:G,"")</f>
        <v/>
      </c>
      <c r="G1149" s="59">
        <f>SUMIFS(Table2[Stat],Table2[Stat Category],"passing",Table2[Stat Type],"YDS",Table2[Athlete],Table1[[#This Row],[Pick]],Table2[Week],Table1[[#This Row],[Week]])</f>
        <v>0</v>
      </c>
      <c r="H1149" s="59">
        <f>SUMIFS(Table2[Stat],Table2[Stat Category],"rushing",Table2[Stat Type],"YDS",Table2[Athlete],Table1[[#This Row],[Pick]],Table2[Week],Table1[[#This Row],[Week]])</f>
        <v>0</v>
      </c>
      <c r="I1149" s="59">
        <f>SUMIFS(Table2[Stat],Table2[Stat Category],"receiving",Table2[Stat Type],"YDS",Table2[Athlete],Table1[[#This Row],[Pick]],Table2[Week],Table1[[#This Row],[Week]])</f>
        <v>0</v>
      </c>
      <c r="J1149" s="6">
        <f>IF(AND($C1149="Rushing", $H1149&lt;=0), 0, IF(AND($C1149="Passing", $G$3&lt;=0), 0,IF(AND($C1149="Receiving",$I1149&lt;=0), 0,SUMIFS(Table2[Stat],Table2[Week],Table1[[#This Row],[Week]],Table2[Athlete],Table1[[#This Row],[Pick]],Table2[Stat Category],"passing",Table2[Stat Type],"TD"))))</f>
        <v>0</v>
      </c>
      <c r="K1149" s="6">
        <f>IF(AND($C1149="Rushing", $H1149&lt;=0), 0, IF(AND($C1149="Passing", $G$3&lt;=0), 0,IF(AND($C1149="Receiving",$I1149&lt;=0),0,SUMIFS(Table2[Stat],Table2[Week],Table1[[#This Row],[Week]],Table2[Athlete],Table1[[#This Row],[Pick]],Table2[Stat Category],"rushing",Table2[Stat Type],"TD"))))</f>
        <v>0</v>
      </c>
      <c r="L1149" s="6">
        <f>IF(AND($C1149="Rushing", $H1149&lt;=0), 0, IF(AND($C1149="Passing", $G$3&lt;=0), 0,IF(AND($C1149="Receiving",$I1149&lt;=0),0,SUMIFS(Table2[Stat],Table2[Week],Table1[[#This Row],[Week]],Table2[Athlete],Table1[[#This Row],[Pick]],Table2[Stat Category],"receiving",Table2[Stat Type],"TD"))))</f>
        <v>0</v>
      </c>
      <c r="M11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9" s="61">
        <f>SUMIFS(Data!$J:$J,Data!$A:$A,Info!$B1149,Data!$G:$G,Info!$C1149,Data!$I:$I,Info!$D1149,Data!$H:$H,"TOT")</f>
        <v>0</v>
      </c>
      <c r="O1149" s="61">
        <f>IF(C1149="Defensive",SUMIFS(Data!$J:$J,Data!$A:$A,Info!$B1149,Data!$I:$I,Info!$D1149,Data!$H:$H,"INT"),0)</f>
        <v>0</v>
      </c>
      <c r="P1149" s="61">
        <f>IF(Table1[[#This Row],[Role]]="Defensive",SUMIFS(Data!$J:$J,Data!$A:$A,Info!$B1149,Data!$I:$I,Info!$D1149,Data!$H:$H,$P$1),0)</f>
        <v>0</v>
      </c>
      <c r="Q1149" s="72" t="str">
        <f>IF(Table1[[#This Row],[Pick]]="","",IF(S1149&gt;1,400,IF(G1149="","",IF(C1149="Passing",(400-Table1[[#This Row],[Passing Yards]]-(30*Table1[[#This Row],[Passing TDs]])-(50*SUM(Table1[[#This Row],[Rushing TDs]:[Other TD''s]]))),IF(C1149="Rushing",2*(200-Table1[[#This Row],[Rushing Yards]]-(30*Table1[[#This Row],[Passing TDs]])-50*(Table1[[#This Row],[Rushing TDs]]+Table1[[#This Row],[Receiving TDs]]+Table1[[#This Row],[Other TD''s]])),IF(C1149="Receiving",2*(200-Table1[[#This Row],[Receiving Yards]]-(30*Table1[[#This Row],[Passing TDs]])-50*(Table1[[#This Row],[Rushing TDs]]+Table1[[#This Row],[Receiving TDs]]+Table1[[#This Row],[Other TD''s]])),IF(C1149="Defensive",(25*(16-Table1[[#This Row],[Tackles]]-(8*(Table1[[#This Row],[Other TD''s]]+Table1[[#This Row],[Interceptions]]+Table1[[#This Row],[Fumbles Recovered]])))))))))))</f>
        <v/>
      </c>
      <c r="R1149" s="3" t="str">
        <f t="shared" si="54"/>
        <v/>
      </c>
      <c r="S1149" s="4">
        <f t="shared" si="55"/>
        <v>1048507</v>
      </c>
      <c r="T11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50" spans="1:20" hidden="1" x14ac:dyDescent="0.25">
      <c r="A1150" t="s">
        <v>144</v>
      </c>
      <c r="B1150" s="28" t="s">
        <v>56</v>
      </c>
      <c r="C1150" t="s">
        <v>20</v>
      </c>
      <c r="D1150" s="71" t="str">
        <f>_xlfn.XLOOKUP(Table1[[#This Row],[Player]]&amp;Table1[[#This Row],[Week]]&amp;Table1[[#This Row],[Role]],'Google Form Transform'!$A:$A,'Google Form Transform'!E:E,"")</f>
        <v/>
      </c>
      <c r="E1150" t="str">
        <f>_xlfn.XLOOKUP(Table1[[#This Row],[Player]]&amp;Table1[[#This Row],[Week]]&amp;Table1[[#This Row],[Role]],'Google Form Transform'!$A:$A,'Google Form Transform'!F:F,"")</f>
        <v/>
      </c>
      <c r="F1150" t="str">
        <f>_xlfn.XLOOKUP(Table1[[#This Row],[Player]]&amp;Table1[[#This Row],[Week]]&amp;Table1[[#This Row],[Role]],'Google Form Transform'!$A:$A,'Google Form Transform'!G:G,"")</f>
        <v/>
      </c>
      <c r="G1150" s="59">
        <f>SUMIFS(Table2[Stat],Table2[Stat Category],"passing",Table2[Stat Type],"YDS",Table2[Athlete],Table1[[#This Row],[Pick]],Table2[Week],Table1[[#This Row],[Week]])</f>
        <v>0</v>
      </c>
      <c r="H1150" s="59">
        <f>SUMIFS(Table2[Stat],Table2[Stat Category],"rushing",Table2[Stat Type],"YDS",Table2[Athlete],Table1[[#This Row],[Pick]],Table2[Week],Table1[[#This Row],[Week]])</f>
        <v>0</v>
      </c>
      <c r="I1150" s="59">
        <f>SUMIFS(Table2[Stat],Table2[Stat Category],"receiving",Table2[Stat Type],"YDS",Table2[Athlete],Table1[[#This Row],[Pick]],Table2[Week],Table1[[#This Row],[Week]])</f>
        <v>0</v>
      </c>
      <c r="J1150" s="6">
        <f>IF(AND($C1150="Rushing", $H1150&lt;=0), 0, IF(AND($C1150="Passing", $G$3&lt;=0), 0,IF(AND($C1150="Receiving",$I1150&lt;=0), 0,SUMIFS(Table2[Stat],Table2[Week],Table1[[#This Row],[Week]],Table2[Athlete],Table1[[#This Row],[Pick]],Table2[Stat Category],"passing",Table2[Stat Type],"TD"))))</f>
        <v>0</v>
      </c>
      <c r="K1150" s="6">
        <f>IF(AND($C1150="Rushing", $H1150&lt;=0), 0, IF(AND($C1150="Passing", $G$3&lt;=0), 0,IF(AND($C1150="Receiving",$I1150&lt;=0),0,SUMIFS(Table2[Stat],Table2[Week],Table1[[#This Row],[Week]],Table2[Athlete],Table1[[#This Row],[Pick]],Table2[Stat Category],"rushing",Table2[Stat Type],"TD"))))</f>
        <v>0</v>
      </c>
      <c r="L1150" s="6">
        <f>IF(AND($C1150="Rushing", $H1150&lt;=0), 0, IF(AND($C1150="Passing", $G$3&lt;=0), 0,IF(AND($C1150="Receiving",$I1150&lt;=0),0,SUMIFS(Table2[Stat],Table2[Week],Table1[[#This Row],[Week]],Table2[Athlete],Table1[[#This Row],[Pick]],Table2[Stat Category],"receiving",Table2[Stat Type],"TD"))))</f>
        <v>0</v>
      </c>
      <c r="M11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50" s="61">
        <f>SUMIFS(Data!$J:$J,Data!$A:$A,Info!$B1150,Data!$G:$G,Info!$C1150,Data!$I:$I,Info!$D1150,Data!$H:$H,"TOT")</f>
        <v>0</v>
      </c>
      <c r="O1150" s="61">
        <f>IF(C1150="Defensive",SUMIFS(Data!$J:$J,Data!$A:$A,Info!$B1150,Data!$I:$I,Info!$D1150,Data!$H:$H,"INT"),0)</f>
        <v>0</v>
      </c>
      <c r="P1150" s="61">
        <f>IF(Table1[[#This Row],[Role]]="Defensive",SUMIFS(Data!$J:$J,Data!$A:$A,Info!$B1150,Data!$I:$I,Info!$D1150,Data!$H:$H,$P$1),0)</f>
        <v>0</v>
      </c>
      <c r="Q1150" s="72" t="str">
        <f>IF(Table1[[#This Row],[Pick]]="","",IF(S1150&gt;1,400,IF(G1150="","",IF(C1150="Passing",(400-Table1[[#This Row],[Passing Yards]]-(30*Table1[[#This Row],[Passing TDs]])-(50*SUM(Table1[[#This Row],[Rushing TDs]:[Other TD''s]]))),IF(C1150="Rushing",2*(200-Table1[[#This Row],[Rushing Yards]]-(30*Table1[[#This Row],[Passing TDs]])-50*(Table1[[#This Row],[Rushing TDs]]+Table1[[#This Row],[Receiving TDs]]+Table1[[#This Row],[Other TD''s]])),IF(C1150="Receiving",2*(200-Table1[[#This Row],[Receiving Yards]]-(30*Table1[[#This Row],[Passing TDs]])-50*(Table1[[#This Row],[Rushing TDs]]+Table1[[#This Row],[Receiving TDs]]+Table1[[#This Row],[Other TD''s]])),IF(C1150="Defensive",(25*(16-Table1[[#This Row],[Tackles]]-(8*(Table1[[#This Row],[Other TD''s]]+Table1[[#This Row],[Interceptions]]+Table1[[#This Row],[Fumbles Recovered]])))))))))))</f>
        <v/>
      </c>
      <c r="R1150" s="3" t="str">
        <f t="shared" si="54"/>
        <v/>
      </c>
      <c r="S1150" s="4">
        <f t="shared" si="55"/>
        <v>1048507</v>
      </c>
      <c r="T11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51" spans="1:20" hidden="1" x14ac:dyDescent="0.25">
      <c r="A1151" t="s">
        <v>144</v>
      </c>
      <c r="B1151" s="28" t="s">
        <v>57</v>
      </c>
      <c r="C1151" t="s">
        <v>16</v>
      </c>
      <c r="D1151" s="71" t="str">
        <f>_xlfn.XLOOKUP(Table1[[#This Row],[Player]]&amp;Table1[[#This Row],[Week]]&amp;Table1[[#This Row],[Role]],'Google Form Transform'!$A:$A,'Google Form Transform'!E:E,"")</f>
        <v/>
      </c>
      <c r="E1151" t="str">
        <f>_xlfn.XLOOKUP(Table1[[#This Row],[Player]]&amp;Table1[[#This Row],[Week]]&amp;Table1[[#This Row],[Role]],'Google Form Transform'!$A:$A,'Google Form Transform'!F:F,"")</f>
        <v/>
      </c>
      <c r="F1151" t="str">
        <f>_xlfn.XLOOKUP(Table1[[#This Row],[Player]]&amp;Table1[[#This Row],[Week]]&amp;Table1[[#This Row],[Role]],'Google Form Transform'!$A:$A,'Google Form Transform'!G:G,"")</f>
        <v/>
      </c>
      <c r="G1151" s="59">
        <f>SUMIFS(Table2[Stat],Table2[Stat Category],"passing",Table2[Stat Type],"YDS",Table2[Athlete],Table1[[#This Row],[Pick]],Table2[Week],Table1[[#This Row],[Week]])</f>
        <v>0</v>
      </c>
      <c r="H1151" s="59">
        <f>SUMIFS(Table2[Stat],Table2[Stat Category],"rushing",Table2[Stat Type],"YDS",Table2[Athlete],Table1[[#This Row],[Pick]],Table2[Week],Table1[[#This Row],[Week]])</f>
        <v>0</v>
      </c>
      <c r="I1151" s="59">
        <f>SUMIFS(Table2[Stat],Table2[Stat Category],"receiving",Table2[Stat Type],"YDS",Table2[Athlete],Table1[[#This Row],[Pick]],Table2[Week],Table1[[#This Row],[Week]])</f>
        <v>0</v>
      </c>
      <c r="J1151" s="6">
        <f>IF(AND($C1151="Rushing", $H1151&lt;=0), 0, IF(AND($C1151="Passing", $G$3&lt;=0), 0,IF(AND($C1151="Receiving",$I1151&lt;=0), 0,SUMIFS(Table2[Stat],Table2[Week],Table1[[#This Row],[Week]],Table2[Athlete],Table1[[#This Row],[Pick]],Table2[Stat Category],"passing",Table2[Stat Type],"TD"))))</f>
        <v>0</v>
      </c>
      <c r="K1151" s="6">
        <f>IF(AND($C1151="Rushing", $H1151&lt;=0), 0, IF(AND($C1151="Passing", $G$3&lt;=0), 0,IF(AND($C1151="Receiving",$I1151&lt;=0),0,SUMIFS(Table2[Stat],Table2[Week],Table1[[#This Row],[Week]],Table2[Athlete],Table1[[#This Row],[Pick]],Table2[Stat Category],"rushing",Table2[Stat Type],"TD"))))</f>
        <v>0</v>
      </c>
      <c r="L1151" s="6">
        <f>IF(AND($C1151="Rushing", $H1151&lt;=0), 0, IF(AND($C1151="Passing", $G$3&lt;=0), 0,IF(AND($C1151="Receiving",$I1151&lt;=0),0,SUMIFS(Table2[Stat],Table2[Week],Table1[[#This Row],[Week]],Table2[Athlete],Table1[[#This Row],[Pick]],Table2[Stat Category],"receiving",Table2[Stat Type],"TD"))))</f>
        <v>0</v>
      </c>
      <c r="M11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51" s="61">
        <f>SUMIFS(Data!$J:$J,Data!$A:$A,Info!$B1151,Data!$G:$G,Info!$C1151,Data!$I:$I,Info!$D1151,Data!$H:$H,"TOT")</f>
        <v>0</v>
      </c>
      <c r="O1151" s="61">
        <f>IF(C1151="Defensive",SUMIFS(Data!$J:$J,Data!$A:$A,Info!$B1151,Data!$I:$I,Info!$D1151,Data!$H:$H,"INT"),0)</f>
        <v>0</v>
      </c>
      <c r="P1151" s="61">
        <f>IF(Table1[[#This Row],[Role]]="Defensive",SUMIFS(Data!$J:$J,Data!$A:$A,Info!$B1151,Data!$I:$I,Info!$D1151,Data!$H:$H,$P$1),0)</f>
        <v>0</v>
      </c>
      <c r="Q1151" s="72" t="str">
        <f>IF(Table1[[#This Row],[Pick]]="","",IF(S1151&gt;1,400,IF(G1151="","",IF(C1151="Passing",(400-Table1[[#This Row],[Passing Yards]]-(30*Table1[[#This Row],[Passing TDs]])-(50*SUM(Table1[[#This Row],[Rushing TDs]:[Other TD''s]]))),IF(C1151="Rushing",2*(200-Table1[[#This Row],[Rushing Yards]]-(30*Table1[[#This Row],[Passing TDs]])-50*(Table1[[#This Row],[Rushing TDs]]+Table1[[#This Row],[Receiving TDs]]+Table1[[#This Row],[Other TD''s]])),IF(C1151="Receiving",2*(200-Table1[[#This Row],[Receiving Yards]]-(30*Table1[[#This Row],[Passing TDs]])-50*(Table1[[#This Row],[Rushing TDs]]+Table1[[#This Row],[Receiving TDs]]+Table1[[#This Row],[Other TD''s]])),IF(C1151="Defensive",(25*(16-Table1[[#This Row],[Tackles]]-(8*(Table1[[#This Row],[Other TD''s]]+Table1[[#This Row],[Interceptions]]+Table1[[#This Row],[Fumbles Recovered]])))))))))))</f>
        <v/>
      </c>
      <c r="R1151" s="3" t="str">
        <f t="shared" si="54"/>
        <v/>
      </c>
      <c r="S1151" s="4">
        <f t="shared" si="55"/>
        <v>1048507</v>
      </c>
      <c r="T11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52" spans="1:20" hidden="1" x14ac:dyDescent="0.25">
      <c r="A1152" t="s">
        <v>144</v>
      </c>
      <c r="B1152" s="28" t="s">
        <v>57</v>
      </c>
      <c r="C1152" t="s">
        <v>6</v>
      </c>
      <c r="D1152" s="71" t="str">
        <f>_xlfn.XLOOKUP(Table1[[#This Row],[Player]]&amp;Table1[[#This Row],[Week]]&amp;Table1[[#This Row],[Role]],'Google Form Transform'!$A:$A,'Google Form Transform'!E:E,"")</f>
        <v/>
      </c>
      <c r="E1152" t="str">
        <f>_xlfn.XLOOKUP(Table1[[#This Row],[Player]]&amp;Table1[[#This Row],[Week]]&amp;Table1[[#This Row],[Role]],'Google Form Transform'!$A:$A,'Google Form Transform'!F:F,"")</f>
        <v/>
      </c>
      <c r="F1152" t="str">
        <f>_xlfn.XLOOKUP(Table1[[#This Row],[Player]]&amp;Table1[[#This Row],[Week]]&amp;Table1[[#This Row],[Role]],'Google Form Transform'!$A:$A,'Google Form Transform'!G:G,"")</f>
        <v/>
      </c>
      <c r="G1152" s="59">
        <f>SUMIFS(Table2[Stat],Table2[Stat Category],"passing",Table2[Stat Type],"YDS",Table2[Athlete],Table1[[#This Row],[Pick]],Table2[Week],Table1[[#This Row],[Week]])</f>
        <v>0</v>
      </c>
      <c r="H1152" s="59">
        <f>SUMIFS(Table2[Stat],Table2[Stat Category],"rushing",Table2[Stat Type],"YDS",Table2[Athlete],Table1[[#This Row],[Pick]],Table2[Week],Table1[[#This Row],[Week]])</f>
        <v>0</v>
      </c>
      <c r="I1152" s="59">
        <f>SUMIFS(Table2[Stat],Table2[Stat Category],"receiving",Table2[Stat Type],"YDS",Table2[Athlete],Table1[[#This Row],[Pick]],Table2[Week],Table1[[#This Row],[Week]])</f>
        <v>0</v>
      </c>
      <c r="J1152" s="6">
        <f>IF(AND($C1152="Rushing", $H1152&lt;=0), 0, IF(AND($C1152="Passing", $G$3&lt;=0), 0,IF(AND($C1152="Receiving",$I1152&lt;=0), 0,SUMIFS(Table2[Stat],Table2[Week],Table1[[#This Row],[Week]],Table2[Athlete],Table1[[#This Row],[Pick]],Table2[Stat Category],"passing",Table2[Stat Type],"TD"))))</f>
        <v>0</v>
      </c>
      <c r="K1152" s="6">
        <f>IF(AND($C1152="Rushing", $H1152&lt;=0), 0, IF(AND($C1152="Passing", $G$3&lt;=0), 0,IF(AND($C1152="Receiving",$I1152&lt;=0),0,SUMIFS(Table2[Stat],Table2[Week],Table1[[#This Row],[Week]],Table2[Athlete],Table1[[#This Row],[Pick]],Table2[Stat Category],"rushing",Table2[Stat Type],"TD"))))</f>
        <v>0</v>
      </c>
      <c r="L1152" s="6">
        <f>IF(AND($C1152="Rushing", $H1152&lt;=0), 0, IF(AND($C1152="Passing", $G$3&lt;=0), 0,IF(AND($C1152="Receiving",$I1152&lt;=0),0,SUMIFS(Table2[Stat],Table2[Week],Table1[[#This Row],[Week]],Table2[Athlete],Table1[[#This Row],[Pick]],Table2[Stat Category],"receiving",Table2[Stat Type],"TD"))))</f>
        <v>0</v>
      </c>
      <c r="M11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52" s="61">
        <f>SUMIFS(Data!$J:$J,Data!$A:$A,Info!$B1152,Data!$G:$G,Info!$C1152,Data!$I:$I,Info!$D1152,Data!$H:$H,"TOT")</f>
        <v>0</v>
      </c>
      <c r="O1152" s="61">
        <f>IF(C1152="Defensive",SUMIFS(Data!$J:$J,Data!$A:$A,Info!$B1152,Data!$I:$I,Info!$D1152,Data!$H:$H,"INT"),0)</f>
        <v>0</v>
      </c>
      <c r="P1152" s="61">
        <f>IF(Table1[[#This Row],[Role]]="Defensive",SUMIFS(Data!$J:$J,Data!$A:$A,Info!$B1152,Data!$I:$I,Info!$D1152,Data!$H:$H,$P$1),0)</f>
        <v>0</v>
      </c>
      <c r="Q1152" s="72" t="str">
        <f>IF(Table1[[#This Row],[Pick]]="","",IF(S1152&gt;1,400,IF(G1152="","",IF(C1152="Passing",(400-Table1[[#This Row],[Passing Yards]]-(30*Table1[[#This Row],[Passing TDs]])-(50*SUM(Table1[[#This Row],[Rushing TDs]:[Other TD''s]]))),IF(C1152="Rushing",2*(200-Table1[[#This Row],[Rushing Yards]]-(30*Table1[[#This Row],[Passing TDs]])-50*(Table1[[#This Row],[Rushing TDs]]+Table1[[#This Row],[Receiving TDs]]+Table1[[#This Row],[Other TD''s]])),IF(C1152="Receiving",2*(200-Table1[[#This Row],[Receiving Yards]]-(30*Table1[[#This Row],[Passing TDs]])-50*(Table1[[#This Row],[Rushing TDs]]+Table1[[#This Row],[Receiving TDs]]+Table1[[#This Row],[Other TD''s]])),IF(C1152="Defensive",(25*(16-Table1[[#This Row],[Tackles]]-(8*(Table1[[#This Row],[Other TD''s]]+Table1[[#This Row],[Interceptions]]+Table1[[#This Row],[Fumbles Recovered]])))))))))))</f>
        <v/>
      </c>
      <c r="R1152" s="3" t="str">
        <f t="shared" si="54"/>
        <v/>
      </c>
      <c r="S1152" s="4">
        <f t="shared" si="55"/>
        <v>1048507</v>
      </c>
      <c r="T11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53" spans="1:20" hidden="1" x14ac:dyDescent="0.25">
      <c r="A1153" t="s">
        <v>144</v>
      </c>
      <c r="B1153" s="28" t="s">
        <v>57</v>
      </c>
      <c r="C1153" t="s">
        <v>17</v>
      </c>
      <c r="D1153" s="71" t="str">
        <f>_xlfn.XLOOKUP(Table1[[#This Row],[Player]]&amp;Table1[[#This Row],[Week]]&amp;Table1[[#This Row],[Role]],'Google Form Transform'!$A:$A,'Google Form Transform'!E:E,"")</f>
        <v/>
      </c>
      <c r="E1153" t="str">
        <f>_xlfn.XLOOKUP(Table1[[#This Row],[Player]]&amp;Table1[[#This Row],[Week]]&amp;Table1[[#This Row],[Role]],'Google Form Transform'!$A:$A,'Google Form Transform'!F:F,"")</f>
        <v/>
      </c>
      <c r="F1153" t="str">
        <f>_xlfn.XLOOKUP(Table1[[#This Row],[Player]]&amp;Table1[[#This Row],[Week]]&amp;Table1[[#This Row],[Role]],'Google Form Transform'!$A:$A,'Google Form Transform'!G:G,"")</f>
        <v/>
      </c>
      <c r="G1153" s="59">
        <f>SUMIFS(Table2[Stat],Table2[Stat Category],"passing",Table2[Stat Type],"YDS",Table2[Athlete],Table1[[#This Row],[Pick]],Table2[Week],Table1[[#This Row],[Week]])</f>
        <v>0</v>
      </c>
      <c r="H1153" s="59">
        <f>SUMIFS(Table2[Stat],Table2[Stat Category],"rushing",Table2[Stat Type],"YDS",Table2[Athlete],Table1[[#This Row],[Pick]],Table2[Week],Table1[[#This Row],[Week]])</f>
        <v>0</v>
      </c>
      <c r="I1153" s="59">
        <f>SUMIFS(Table2[Stat],Table2[Stat Category],"receiving",Table2[Stat Type],"YDS",Table2[Athlete],Table1[[#This Row],[Pick]],Table2[Week],Table1[[#This Row],[Week]])</f>
        <v>0</v>
      </c>
      <c r="J1153" s="6">
        <f>IF(AND($C1153="Rushing", $H1153&lt;=0), 0, IF(AND($C1153="Passing", $G$3&lt;=0), 0,IF(AND($C1153="Receiving",$I1153&lt;=0), 0,SUMIFS(Table2[Stat],Table2[Week],Table1[[#This Row],[Week]],Table2[Athlete],Table1[[#This Row],[Pick]],Table2[Stat Category],"passing",Table2[Stat Type],"TD"))))</f>
        <v>0</v>
      </c>
      <c r="K1153" s="6">
        <f>IF(AND($C1153="Rushing", $H1153&lt;=0), 0, IF(AND($C1153="Passing", $G$3&lt;=0), 0,IF(AND($C1153="Receiving",$I1153&lt;=0),0,SUMIFS(Table2[Stat],Table2[Week],Table1[[#This Row],[Week]],Table2[Athlete],Table1[[#This Row],[Pick]],Table2[Stat Category],"rushing",Table2[Stat Type],"TD"))))</f>
        <v>0</v>
      </c>
      <c r="L1153" s="6">
        <f>IF(AND($C1153="Rushing", $H1153&lt;=0), 0, IF(AND($C1153="Passing", $G$3&lt;=0), 0,IF(AND($C1153="Receiving",$I1153&lt;=0),0,SUMIFS(Table2[Stat],Table2[Week],Table1[[#This Row],[Week]],Table2[Athlete],Table1[[#This Row],[Pick]],Table2[Stat Category],"receiving",Table2[Stat Type],"TD"))))</f>
        <v>0</v>
      </c>
      <c r="M11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53" s="61">
        <f>SUMIFS(Data!$J:$J,Data!$A:$A,Info!$B1153,Data!$G:$G,Info!$C1153,Data!$I:$I,Info!$D1153,Data!$H:$H,"TOT")</f>
        <v>0</v>
      </c>
      <c r="O1153" s="61">
        <f>IF(C1153="Defensive",SUMIFS(Data!$J:$J,Data!$A:$A,Info!$B1153,Data!$I:$I,Info!$D1153,Data!$H:$H,"INT"),0)</f>
        <v>0</v>
      </c>
      <c r="P1153" s="61">
        <f>IF(Table1[[#This Row],[Role]]="Defensive",SUMIFS(Data!$J:$J,Data!$A:$A,Info!$B1153,Data!$I:$I,Info!$D1153,Data!$H:$H,$P$1),0)</f>
        <v>0</v>
      </c>
      <c r="Q1153" s="72" t="str">
        <f>IF(Table1[[#This Row],[Pick]]="","",IF(S1153&gt;1,400,IF(G1153="","",IF(C1153="Passing",(400-Table1[[#This Row],[Passing Yards]]-(30*Table1[[#This Row],[Passing TDs]])-(50*SUM(Table1[[#This Row],[Rushing TDs]:[Other TD''s]]))),IF(C1153="Rushing",2*(200-Table1[[#This Row],[Rushing Yards]]-(30*Table1[[#This Row],[Passing TDs]])-50*(Table1[[#This Row],[Rushing TDs]]+Table1[[#This Row],[Receiving TDs]]+Table1[[#This Row],[Other TD''s]])),IF(C1153="Receiving",2*(200-Table1[[#This Row],[Receiving Yards]]-(30*Table1[[#This Row],[Passing TDs]])-50*(Table1[[#This Row],[Rushing TDs]]+Table1[[#This Row],[Receiving TDs]]+Table1[[#This Row],[Other TD''s]])),IF(C1153="Defensive",(25*(16-Table1[[#This Row],[Tackles]]-(8*(Table1[[#This Row],[Other TD''s]]+Table1[[#This Row],[Interceptions]]+Table1[[#This Row],[Fumbles Recovered]])))))))))))</f>
        <v/>
      </c>
      <c r="R1153" s="3" t="str">
        <f t="shared" si="54"/>
        <v/>
      </c>
      <c r="S1153" s="4">
        <f t="shared" si="55"/>
        <v>1048507</v>
      </c>
      <c r="T11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54" spans="1:20" hidden="1" x14ac:dyDescent="0.25">
      <c r="A1154" t="s">
        <v>144</v>
      </c>
      <c r="B1154" s="28" t="s">
        <v>57</v>
      </c>
      <c r="C1154" t="s">
        <v>20</v>
      </c>
      <c r="D1154" s="71" t="str">
        <f>_xlfn.XLOOKUP(Table1[[#This Row],[Player]]&amp;Table1[[#This Row],[Week]]&amp;Table1[[#This Row],[Role]],'Google Form Transform'!$A:$A,'Google Form Transform'!E:E,"")</f>
        <v/>
      </c>
      <c r="E1154" t="str">
        <f>_xlfn.XLOOKUP(Table1[[#This Row],[Player]]&amp;Table1[[#This Row],[Week]]&amp;Table1[[#This Row],[Role]],'Google Form Transform'!$A:$A,'Google Form Transform'!F:F,"")</f>
        <v/>
      </c>
      <c r="F1154" t="str">
        <f>_xlfn.XLOOKUP(Table1[[#This Row],[Player]]&amp;Table1[[#This Row],[Week]]&amp;Table1[[#This Row],[Role]],'Google Form Transform'!$A:$A,'Google Form Transform'!G:G,"")</f>
        <v/>
      </c>
      <c r="G1154" s="59">
        <f>SUMIFS(Table2[Stat],Table2[Stat Category],"passing",Table2[Stat Type],"YDS",Table2[Athlete],Table1[[#This Row],[Pick]],Table2[Week],Table1[[#This Row],[Week]])</f>
        <v>0</v>
      </c>
      <c r="H1154" s="59">
        <f>SUMIFS(Table2[Stat],Table2[Stat Category],"rushing",Table2[Stat Type],"YDS",Table2[Athlete],Table1[[#This Row],[Pick]],Table2[Week],Table1[[#This Row],[Week]])</f>
        <v>0</v>
      </c>
      <c r="I1154" s="59">
        <f>SUMIFS(Table2[Stat],Table2[Stat Category],"receiving",Table2[Stat Type],"YDS",Table2[Athlete],Table1[[#This Row],[Pick]],Table2[Week],Table1[[#This Row],[Week]])</f>
        <v>0</v>
      </c>
      <c r="J1154" s="6">
        <f>IF(AND($C1154="Rushing", $H1154&lt;=0), 0, IF(AND($C1154="Passing", $G$3&lt;=0), 0,IF(AND($C1154="Receiving",$I1154&lt;=0), 0,SUMIFS(Table2[Stat],Table2[Week],Table1[[#This Row],[Week]],Table2[Athlete],Table1[[#This Row],[Pick]],Table2[Stat Category],"passing",Table2[Stat Type],"TD"))))</f>
        <v>0</v>
      </c>
      <c r="K1154" s="6">
        <f>IF(AND($C1154="Rushing", $H1154&lt;=0), 0, IF(AND($C1154="Passing", $G$3&lt;=0), 0,IF(AND($C1154="Receiving",$I1154&lt;=0),0,SUMIFS(Table2[Stat],Table2[Week],Table1[[#This Row],[Week]],Table2[Athlete],Table1[[#This Row],[Pick]],Table2[Stat Category],"rushing",Table2[Stat Type],"TD"))))</f>
        <v>0</v>
      </c>
      <c r="L1154" s="6">
        <f>IF(AND($C1154="Rushing", $H1154&lt;=0), 0, IF(AND($C1154="Passing", $G$3&lt;=0), 0,IF(AND($C1154="Receiving",$I1154&lt;=0),0,SUMIFS(Table2[Stat],Table2[Week],Table1[[#This Row],[Week]],Table2[Athlete],Table1[[#This Row],[Pick]],Table2[Stat Category],"receiving",Table2[Stat Type],"TD"))))</f>
        <v>0</v>
      </c>
      <c r="M11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54" s="61">
        <f>SUMIFS(Data!$J:$J,Data!$A:$A,Info!$B1154,Data!$G:$G,Info!$C1154,Data!$I:$I,Info!$D1154,Data!$H:$H,"TOT")</f>
        <v>0</v>
      </c>
      <c r="O1154" s="61">
        <f>IF(C1154="Defensive",SUMIFS(Data!$J:$J,Data!$A:$A,Info!$B1154,Data!$I:$I,Info!$D1154,Data!$H:$H,"INT"),0)</f>
        <v>0</v>
      </c>
      <c r="P1154" s="61">
        <f>IF(Table1[[#This Row],[Role]]="Defensive",SUMIFS(Data!$J:$J,Data!$A:$A,Info!$B1154,Data!$I:$I,Info!$D1154,Data!$H:$H,$P$1),0)</f>
        <v>0</v>
      </c>
      <c r="Q1154" s="72" t="str">
        <f>IF(Table1[[#This Row],[Pick]]="","",IF(S1154&gt;1,400,IF(G1154="","",IF(C1154="Passing",(400-Table1[[#This Row],[Passing Yards]]-(30*Table1[[#This Row],[Passing TDs]])-(50*SUM(Table1[[#This Row],[Rushing TDs]:[Other TD''s]]))),IF(C1154="Rushing",2*(200-Table1[[#This Row],[Rushing Yards]]-(30*Table1[[#This Row],[Passing TDs]])-50*(Table1[[#This Row],[Rushing TDs]]+Table1[[#This Row],[Receiving TDs]]+Table1[[#This Row],[Other TD''s]])),IF(C1154="Receiving",2*(200-Table1[[#This Row],[Receiving Yards]]-(30*Table1[[#This Row],[Passing TDs]])-50*(Table1[[#This Row],[Rushing TDs]]+Table1[[#This Row],[Receiving TDs]]+Table1[[#This Row],[Other TD''s]])),IF(C1154="Defensive",(25*(16-Table1[[#This Row],[Tackles]]-(8*(Table1[[#This Row],[Other TD''s]]+Table1[[#This Row],[Interceptions]]+Table1[[#This Row],[Fumbles Recovered]])))))))))))</f>
        <v/>
      </c>
      <c r="R1154" s="3" t="str">
        <f t="shared" si="54"/>
        <v/>
      </c>
      <c r="S1154" s="4">
        <f t="shared" si="55"/>
        <v>1048507</v>
      </c>
      <c r="T11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55" spans="1:20" hidden="1" x14ac:dyDescent="0.25">
      <c r="A1155" t="s">
        <v>144</v>
      </c>
      <c r="B1155" s="28" t="s">
        <v>93</v>
      </c>
      <c r="C1155" t="s">
        <v>16</v>
      </c>
      <c r="D1155" s="71" t="str">
        <f>_xlfn.XLOOKUP(Table1[[#This Row],[Player]]&amp;Table1[[#This Row],[Week]]&amp;Table1[[#This Row],[Role]],'Google Form Transform'!$A:$A,'Google Form Transform'!E:E,"")</f>
        <v/>
      </c>
      <c r="E1155" t="str">
        <f>_xlfn.XLOOKUP(Table1[[#This Row],[Player]]&amp;Table1[[#This Row],[Week]]&amp;Table1[[#This Row],[Role]],'Google Form Transform'!$A:$A,'Google Form Transform'!F:F,"")</f>
        <v/>
      </c>
      <c r="F1155" t="str">
        <f>_xlfn.XLOOKUP(Table1[[#This Row],[Player]]&amp;Table1[[#This Row],[Week]]&amp;Table1[[#This Row],[Role]],'Google Form Transform'!$A:$A,'Google Form Transform'!G:G,"")</f>
        <v/>
      </c>
      <c r="G1155" s="59">
        <f>SUMIFS(Table2[Stat],Table2[Stat Category],"passing",Table2[Stat Type],"YDS",Table2[Athlete],Table1[[#This Row],[Pick]],Table2[Week],Table1[[#This Row],[Week]])</f>
        <v>0</v>
      </c>
      <c r="H1155" s="59">
        <f>SUMIFS(Table2[Stat],Table2[Stat Category],"rushing",Table2[Stat Type],"YDS",Table2[Athlete],Table1[[#This Row],[Pick]],Table2[Week],Table1[[#This Row],[Week]])</f>
        <v>0</v>
      </c>
      <c r="I1155" s="59">
        <f>SUMIFS(Table2[Stat],Table2[Stat Category],"receiving",Table2[Stat Type],"YDS",Table2[Athlete],Table1[[#This Row],[Pick]],Table2[Week],Table1[[#This Row],[Week]])</f>
        <v>0</v>
      </c>
      <c r="J1155" s="6">
        <f>IF(AND($C1155="Rushing", $H1155&lt;=0), 0, IF(AND($C1155="Passing", $G$3&lt;=0), 0,IF(AND($C1155="Receiving",$I1155&lt;=0), 0,SUMIFS(Table2[Stat],Table2[Week],Table1[[#This Row],[Week]],Table2[Athlete],Table1[[#This Row],[Pick]],Table2[Stat Category],"passing",Table2[Stat Type],"TD"))))</f>
        <v>0</v>
      </c>
      <c r="K1155" s="6">
        <f>IF(AND($C1155="Rushing", $H1155&lt;=0), 0, IF(AND($C1155="Passing", $G$3&lt;=0), 0,IF(AND($C1155="Receiving",$I1155&lt;=0),0,SUMIFS(Table2[Stat],Table2[Week],Table1[[#This Row],[Week]],Table2[Athlete],Table1[[#This Row],[Pick]],Table2[Stat Category],"rushing",Table2[Stat Type],"TD"))))</f>
        <v>0</v>
      </c>
      <c r="L1155" s="6">
        <f>IF(AND($C1155="Rushing", $H1155&lt;=0), 0, IF(AND($C1155="Passing", $G$3&lt;=0), 0,IF(AND($C1155="Receiving",$I1155&lt;=0),0,SUMIFS(Table2[Stat],Table2[Week],Table1[[#This Row],[Week]],Table2[Athlete],Table1[[#This Row],[Pick]],Table2[Stat Category],"receiving",Table2[Stat Type],"TD"))))</f>
        <v>0</v>
      </c>
      <c r="M11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55" s="61">
        <f>SUMIFS(Data!$J:$J,Data!$A:$A,Info!$B1155,Data!$G:$G,Info!$C1155,Data!$I:$I,Info!$D1155,Data!$H:$H,"TOT")</f>
        <v>0</v>
      </c>
      <c r="O1155" s="61">
        <f>IF(C1155="Defensive",SUMIFS(Data!$J:$J,Data!$A:$A,Info!$B1155,Data!$I:$I,Info!$D1155,Data!$H:$H,"INT"),0)</f>
        <v>0</v>
      </c>
      <c r="P1155" s="61">
        <f>IF(Table1[[#This Row],[Role]]="Defensive",SUMIFS(Data!$J:$J,Data!$A:$A,Info!$B1155,Data!$I:$I,Info!$D1155,Data!$H:$H,$P$1),0)</f>
        <v>0</v>
      </c>
      <c r="Q1155" s="72" t="str">
        <f>IF(Table1[[#This Row],[Pick]]="","",IF(S1155&gt;1,400,IF(G1155="","",IF(C1155="Passing",(400-Table1[[#This Row],[Passing Yards]]-(30*Table1[[#This Row],[Passing TDs]])-(50*SUM(Table1[[#This Row],[Rushing TDs]:[Other TD''s]]))),IF(C1155="Rushing",2*(200-Table1[[#This Row],[Rushing Yards]]-(30*Table1[[#This Row],[Passing TDs]])-50*(Table1[[#This Row],[Rushing TDs]]+Table1[[#This Row],[Receiving TDs]]+Table1[[#This Row],[Other TD''s]])),IF(C1155="Receiving",2*(200-Table1[[#This Row],[Receiving Yards]]-(30*Table1[[#This Row],[Passing TDs]])-50*(Table1[[#This Row],[Rushing TDs]]+Table1[[#This Row],[Receiving TDs]]+Table1[[#This Row],[Other TD''s]])),IF(C1155="Defensive",(25*(16-Table1[[#This Row],[Tackles]]-(8*(Table1[[#This Row],[Other TD''s]]+Table1[[#This Row],[Interceptions]]+Table1[[#This Row],[Fumbles Recovered]])))))))))))</f>
        <v/>
      </c>
      <c r="R1155" s="3" t="str">
        <f t="shared" si="54"/>
        <v/>
      </c>
      <c r="S1155" s="4">
        <f t="shared" ref="S1155:S1158" si="56">COUNTIF(R:R,R1155)</f>
        <v>1048507</v>
      </c>
      <c r="T11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56" spans="1:20" hidden="1" x14ac:dyDescent="0.25">
      <c r="A1156" t="s">
        <v>144</v>
      </c>
      <c r="B1156" s="28" t="s">
        <v>93</v>
      </c>
      <c r="C1156" t="s">
        <v>6</v>
      </c>
      <c r="D1156" s="71" t="str">
        <f>_xlfn.XLOOKUP(Table1[[#This Row],[Player]]&amp;Table1[[#This Row],[Week]]&amp;Table1[[#This Row],[Role]],'Google Form Transform'!$A:$A,'Google Form Transform'!E:E,"")</f>
        <v/>
      </c>
      <c r="E1156" t="str">
        <f>_xlfn.XLOOKUP(Table1[[#This Row],[Player]]&amp;Table1[[#This Row],[Week]]&amp;Table1[[#This Row],[Role]],'Google Form Transform'!$A:$A,'Google Form Transform'!F:F,"")</f>
        <v/>
      </c>
      <c r="F1156" t="str">
        <f>_xlfn.XLOOKUP(Table1[[#This Row],[Player]]&amp;Table1[[#This Row],[Week]]&amp;Table1[[#This Row],[Role]],'Google Form Transform'!$A:$A,'Google Form Transform'!G:G,"")</f>
        <v/>
      </c>
      <c r="G1156" s="59">
        <f>SUMIFS(Table2[Stat],Table2[Stat Category],"passing",Table2[Stat Type],"YDS",Table2[Athlete],Table1[[#This Row],[Pick]],Table2[Week],Table1[[#This Row],[Week]])</f>
        <v>0</v>
      </c>
      <c r="H1156" s="59">
        <f>SUMIFS(Table2[Stat],Table2[Stat Category],"rushing",Table2[Stat Type],"YDS",Table2[Athlete],Table1[[#This Row],[Pick]],Table2[Week],Table1[[#This Row],[Week]])</f>
        <v>0</v>
      </c>
      <c r="I1156" s="59">
        <f>SUMIFS(Table2[Stat],Table2[Stat Category],"receiving",Table2[Stat Type],"YDS",Table2[Athlete],Table1[[#This Row],[Pick]],Table2[Week],Table1[[#This Row],[Week]])</f>
        <v>0</v>
      </c>
      <c r="J1156" s="6">
        <f>IF(AND($C1156="Rushing", $H1156&lt;=0), 0, IF(AND($C1156="Passing", $G$3&lt;=0), 0,IF(AND($C1156="Receiving",$I1156&lt;=0), 0,SUMIFS(Table2[Stat],Table2[Week],Table1[[#This Row],[Week]],Table2[Athlete],Table1[[#This Row],[Pick]],Table2[Stat Category],"passing",Table2[Stat Type],"TD"))))</f>
        <v>0</v>
      </c>
      <c r="K1156" s="6">
        <f>IF(AND($C1156="Rushing", $H1156&lt;=0), 0, IF(AND($C1156="Passing", $G$3&lt;=0), 0,IF(AND($C1156="Receiving",$I1156&lt;=0),0,SUMIFS(Table2[Stat],Table2[Week],Table1[[#This Row],[Week]],Table2[Athlete],Table1[[#This Row],[Pick]],Table2[Stat Category],"rushing",Table2[Stat Type],"TD"))))</f>
        <v>0</v>
      </c>
      <c r="L1156" s="6">
        <f>IF(AND($C1156="Rushing", $H1156&lt;=0), 0, IF(AND($C1156="Passing", $G$3&lt;=0), 0,IF(AND($C1156="Receiving",$I1156&lt;=0),0,SUMIFS(Table2[Stat],Table2[Week],Table1[[#This Row],[Week]],Table2[Athlete],Table1[[#This Row],[Pick]],Table2[Stat Category],"receiving",Table2[Stat Type],"TD"))))</f>
        <v>0</v>
      </c>
      <c r="M11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56" s="61">
        <f>SUMIFS(Data!$J:$J,Data!$A:$A,Info!$B1156,Data!$G:$G,Info!$C1156,Data!$I:$I,Info!$D1156,Data!$H:$H,"TOT")</f>
        <v>0</v>
      </c>
      <c r="O1156" s="61">
        <f>IF(C1156="Defensive",SUMIFS(Data!$J:$J,Data!$A:$A,Info!$B1156,Data!$I:$I,Info!$D1156,Data!$H:$H,"INT"),0)</f>
        <v>0</v>
      </c>
      <c r="P1156" s="61">
        <f>IF(Table1[[#This Row],[Role]]="Defensive",SUMIFS(Data!$J:$J,Data!$A:$A,Info!$B1156,Data!$I:$I,Info!$D1156,Data!$H:$H,$P$1),0)</f>
        <v>0</v>
      </c>
      <c r="Q1156" s="72" t="str">
        <f>IF(Table1[[#This Row],[Pick]]="","",IF(S1156&gt;1,400,IF(G1156="","",IF(C1156="Passing",(400-Table1[[#This Row],[Passing Yards]]-(30*Table1[[#This Row],[Passing TDs]])-(50*SUM(Table1[[#This Row],[Rushing TDs]:[Other TD''s]]))),IF(C1156="Rushing",2*(200-Table1[[#This Row],[Rushing Yards]]-(30*Table1[[#This Row],[Passing TDs]])-50*(Table1[[#This Row],[Rushing TDs]]+Table1[[#This Row],[Receiving TDs]]+Table1[[#This Row],[Other TD''s]])),IF(C1156="Receiving",2*(200-Table1[[#This Row],[Receiving Yards]]-(30*Table1[[#This Row],[Passing TDs]])-50*(Table1[[#This Row],[Rushing TDs]]+Table1[[#This Row],[Receiving TDs]]+Table1[[#This Row],[Other TD''s]])),IF(C1156="Defensive",(25*(16-Table1[[#This Row],[Tackles]]-(8*(Table1[[#This Row],[Other TD''s]]+Table1[[#This Row],[Interceptions]]+Table1[[#This Row],[Fumbles Recovered]])))))))))))</f>
        <v/>
      </c>
      <c r="R1156" s="3" t="str">
        <f t="shared" si="54"/>
        <v/>
      </c>
      <c r="S1156" s="4">
        <f t="shared" si="56"/>
        <v>1048507</v>
      </c>
      <c r="T11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57" spans="1:20" hidden="1" x14ac:dyDescent="0.25">
      <c r="A1157" t="s">
        <v>144</v>
      </c>
      <c r="B1157" s="28" t="s">
        <v>93</v>
      </c>
      <c r="C1157" t="s">
        <v>17</v>
      </c>
      <c r="D1157" s="71" t="str">
        <f>_xlfn.XLOOKUP(Table1[[#This Row],[Player]]&amp;Table1[[#This Row],[Week]]&amp;Table1[[#This Row],[Role]],'Google Form Transform'!$A:$A,'Google Form Transform'!E:E,"")</f>
        <v/>
      </c>
      <c r="E1157" t="str">
        <f>_xlfn.XLOOKUP(Table1[[#This Row],[Player]]&amp;Table1[[#This Row],[Week]]&amp;Table1[[#This Row],[Role]],'Google Form Transform'!$A:$A,'Google Form Transform'!F:F,"")</f>
        <v/>
      </c>
      <c r="F1157" t="str">
        <f>_xlfn.XLOOKUP(Table1[[#This Row],[Player]]&amp;Table1[[#This Row],[Week]]&amp;Table1[[#This Row],[Role]],'Google Form Transform'!$A:$A,'Google Form Transform'!G:G,"")</f>
        <v/>
      </c>
      <c r="G1157" s="59">
        <f>SUMIFS(Table2[Stat],Table2[Stat Category],"passing",Table2[Stat Type],"YDS",Table2[Athlete],Table1[[#This Row],[Pick]],Table2[Week],Table1[[#This Row],[Week]])</f>
        <v>0</v>
      </c>
      <c r="H1157" s="59">
        <f>SUMIFS(Table2[Stat],Table2[Stat Category],"rushing",Table2[Stat Type],"YDS",Table2[Athlete],Table1[[#This Row],[Pick]],Table2[Week],Table1[[#This Row],[Week]])</f>
        <v>0</v>
      </c>
      <c r="I1157" s="59">
        <f>SUMIFS(Table2[Stat],Table2[Stat Category],"receiving",Table2[Stat Type],"YDS",Table2[Athlete],Table1[[#This Row],[Pick]],Table2[Week],Table1[[#This Row],[Week]])</f>
        <v>0</v>
      </c>
      <c r="J1157" s="6">
        <f>IF(AND($C1157="Rushing", $H1157&lt;=0), 0, IF(AND($C1157="Passing", $G$3&lt;=0), 0,IF(AND($C1157="Receiving",$I1157&lt;=0), 0,SUMIFS(Table2[Stat],Table2[Week],Table1[[#This Row],[Week]],Table2[Athlete],Table1[[#This Row],[Pick]],Table2[Stat Category],"passing",Table2[Stat Type],"TD"))))</f>
        <v>0</v>
      </c>
      <c r="K1157" s="6">
        <f>IF(AND($C1157="Rushing", $H1157&lt;=0), 0, IF(AND($C1157="Passing", $G$3&lt;=0), 0,IF(AND($C1157="Receiving",$I1157&lt;=0),0,SUMIFS(Table2[Stat],Table2[Week],Table1[[#This Row],[Week]],Table2[Athlete],Table1[[#This Row],[Pick]],Table2[Stat Category],"rushing",Table2[Stat Type],"TD"))))</f>
        <v>0</v>
      </c>
      <c r="L1157" s="6">
        <f>IF(AND($C1157="Rushing", $H1157&lt;=0), 0, IF(AND($C1157="Passing", $G$3&lt;=0), 0,IF(AND($C1157="Receiving",$I1157&lt;=0),0,SUMIFS(Table2[Stat],Table2[Week],Table1[[#This Row],[Week]],Table2[Athlete],Table1[[#This Row],[Pick]],Table2[Stat Category],"receiving",Table2[Stat Type],"TD"))))</f>
        <v>0</v>
      </c>
      <c r="M11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57" s="61">
        <f>SUMIFS(Data!$J:$J,Data!$A:$A,Info!$B1157,Data!$G:$G,Info!$C1157,Data!$I:$I,Info!$D1157,Data!$H:$H,"TOT")</f>
        <v>0</v>
      </c>
      <c r="O1157" s="61">
        <f>IF(C1157="Defensive",SUMIFS(Data!$J:$J,Data!$A:$A,Info!$B1157,Data!$I:$I,Info!$D1157,Data!$H:$H,"INT"),0)</f>
        <v>0</v>
      </c>
      <c r="P1157" s="61">
        <f>IF(Table1[[#This Row],[Role]]="Defensive",SUMIFS(Data!$J:$J,Data!$A:$A,Info!$B1157,Data!$I:$I,Info!$D1157,Data!$H:$H,$P$1),0)</f>
        <v>0</v>
      </c>
      <c r="Q1157" s="72" t="str">
        <f>IF(Table1[[#This Row],[Pick]]="","",IF(S1157&gt;1,400,IF(G1157="","",IF(C1157="Passing",(400-Table1[[#This Row],[Passing Yards]]-(30*Table1[[#This Row],[Passing TDs]])-(50*SUM(Table1[[#This Row],[Rushing TDs]:[Other TD''s]]))),IF(C1157="Rushing",2*(200-Table1[[#This Row],[Rushing Yards]]-(30*Table1[[#This Row],[Passing TDs]])-50*(Table1[[#This Row],[Rushing TDs]]+Table1[[#This Row],[Receiving TDs]]+Table1[[#This Row],[Other TD''s]])),IF(C1157="Receiving",2*(200-Table1[[#This Row],[Receiving Yards]]-(30*Table1[[#This Row],[Passing TDs]])-50*(Table1[[#This Row],[Rushing TDs]]+Table1[[#This Row],[Receiving TDs]]+Table1[[#This Row],[Other TD''s]])),IF(C1157="Defensive",(25*(16-Table1[[#This Row],[Tackles]]-(8*(Table1[[#This Row],[Other TD''s]]+Table1[[#This Row],[Interceptions]]+Table1[[#This Row],[Fumbles Recovered]])))))))))))</f>
        <v/>
      </c>
      <c r="R1157" s="3" t="str">
        <f t="shared" si="54"/>
        <v/>
      </c>
      <c r="S1157" s="4">
        <f t="shared" si="56"/>
        <v>1048507</v>
      </c>
      <c r="T11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58" spans="1:20" hidden="1" x14ac:dyDescent="0.25">
      <c r="A1158" t="s">
        <v>144</v>
      </c>
      <c r="B1158" s="28" t="s">
        <v>93</v>
      </c>
      <c r="C1158" t="s">
        <v>20</v>
      </c>
      <c r="D1158" s="71" t="str">
        <f>_xlfn.XLOOKUP(Table1[[#This Row],[Player]]&amp;Table1[[#This Row],[Week]]&amp;Table1[[#This Row],[Role]],'Google Form Transform'!$A:$A,'Google Form Transform'!E:E,"")</f>
        <v/>
      </c>
      <c r="E1158" t="str">
        <f>_xlfn.XLOOKUP(Table1[[#This Row],[Player]]&amp;Table1[[#This Row],[Week]]&amp;Table1[[#This Row],[Role]],'Google Form Transform'!$A:$A,'Google Form Transform'!F:F,"")</f>
        <v/>
      </c>
      <c r="F1158" t="str">
        <f>_xlfn.XLOOKUP(Table1[[#This Row],[Player]]&amp;Table1[[#This Row],[Week]]&amp;Table1[[#This Row],[Role]],'Google Form Transform'!$A:$A,'Google Form Transform'!G:G,"")</f>
        <v/>
      </c>
      <c r="G1158" s="59">
        <f>SUMIFS(Table2[Stat],Table2[Stat Category],"passing",Table2[Stat Type],"YDS",Table2[Athlete],Table1[[#This Row],[Pick]],Table2[Week],Table1[[#This Row],[Week]])</f>
        <v>0</v>
      </c>
      <c r="H1158" s="59">
        <f>SUMIFS(Table2[Stat],Table2[Stat Category],"rushing",Table2[Stat Type],"YDS",Table2[Athlete],Table1[[#This Row],[Pick]],Table2[Week],Table1[[#This Row],[Week]])</f>
        <v>0</v>
      </c>
      <c r="I1158" s="59">
        <f>SUMIFS(Table2[Stat],Table2[Stat Category],"receiving",Table2[Stat Type],"YDS",Table2[Athlete],Table1[[#This Row],[Pick]],Table2[Week],Table1[[#This Row],[Week]])</f>
        <v>0</v>
      </c>
      <c r="J1158" s="6">
        <f>IF(AND($C1158="Rushing", $H1158&lt;=0), 0, IF(AND($C1158="Passing", $G$3&lt;=0), 0,IF(AND($C1158="Receiving",$I1158&lt;=0), 0,SUMIFS(Table2[Stat],Table2[Week],Table1[[#This Row],[Week]],Table2[Athlete],Table1[[#This Row],[Pick]],Table2[Stat Category],"passing",Table2[Stat Type],"TD"))))</f>
        <v>0</v>
      </c>
      <c r="K1158" s="6">
        <f>IF(AND($C1158="Rushing", $H1158&lt;=0), 0, IF(AND($C1158="Passing", $G$3&lt;=0), 0,IF(AND($C1158="Receiving",$I1158&lt;=0),0,SUMIFS(Table2[Stat],Table2[Week],Table1[[#This Row],[Week]],Table2[Athlete],Table1[[#This Row],[Pick]],Table2[Stat Category],"rushing",Table2[Stat Type],"TD"))))</f>
        <v>0</v>
      </c>
      <c r="L1158" s="6">
        <f>IF(AND($C1158="Rushing", $H1158&lt;=0), 0, IF(AND($C1158="Passing", $G$3&lt;=0), 0,IF(AND($C1158="Receiving",$I1158&lt;=0),0,SUMIFS(Table2[Stat],Table2[Week],Table1[[#This Row],[Week]],Table2[Athlete],Table1[[#This Row],[Pick]],Table2[Stat Category],"receiving",Table2[Stat Type],"TD"))))</f>
        <v>0</v>
      </c>
      <c r="M11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58" s="61">
        <f>SUMIFS(Data!$J:$J,Data!$A:$A,Info!$B1158,Data!$G:$G,Info!$C1158,Data!$I:$I,Info!$D1158,Data!$H:$H,"TOT")</f>
        <v>0</v>
      </c>
      <c r="O1158" s="61">
        <f>IF(C1158="Defensive",SUMIFS(Data!$J:$J,Data!$A:$A,Info!$B1158,Data!$I:$I,Info!$D1158,Data!$H:$H,"INT"),0)</f>
        <v>0</v>
      </c>
      <c r="P1158" s="61">
        <f>IF(Table1[[#This Row],[Role]]="Defensive",SUMIFS(Data!$J:$J,Data!$A:$A,Info!$B1158,Data!$I:$I,Info!$D1158,Data!$H:$H,$P$1),0)</f>
        <v>0</v>
      </c>
      <c r="Q1158" s="72" t="str">
        <f>IF(Table1[[#This Row],[Pick]]="","",IF(S1158&gt;1,400,IF(G1158="","",IF(C1158="Passing",(400-Table1[[#This Row],[Passing Yards]]-(30*Table1[[#This Row],[Passing TDs]])-(50*SUM(Table1[[#This Row],[Rushing TDs]:[Other TD''s]]))),IF(C1158="Rushing",2*(200-Table1[[#This Row],[Rushing Yards]]-(30*Table1[[#This Row],[Passing TDs]])-50*(Table1[[#This Row],[Rushing TDs]]+Table1[[#This Row],[Receiving TDs]]+Table1[[#This Row],[Other TD''s]])),IF(C1158="Receiving",2*(200-Table1[[#This Row],[Receiving Yards]]-(30*Table1[[#This Row],[Passing TDs]])-50*(Table1[[#This Row],[Rushing TDs]]+Table1[[#This Row],[Receiving TDs]]+Table1[[#This Row],[Other TD''s]])),IF(C1158="Defensive",(25*(16-Table1[[#This Row],[Tackles]]-(8*(Table1[[#This Row],[Other TD''s]]+Table1[[#This Row],[Interceptions]]+Table1[[#This Row],[Fumbles Recovered]])))))))))))</f>
        <v/>
      </c>
      <c r="R1158" s="3" t="str">
        <f t="shared" si="54"/>
        <v/>
      </c>
      <c r="S1158" s="4">
        <f t="shared" si="56"/>
        <v>1048507</v>
      </c>
      <c r="T11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</sheetData>
  <phoneticPr fontId="21" type="noConversion"/>
  <conditionalFormatting sqref="R1:R1048576">
    <cfRule type="duplicateValues" dxfId="1" priority="2"/>
  </conditionalFormatting>
  <conditionalFormatting sqref="T3:T11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6769"/>
  <sheetViews>
    <sheetView showGridLines="0" topLeftCell="A6618" zoomScaleNormal="90" workbookViewId="0">
      <selection activeCell="C6640" sqref="C6640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85</v>
      </c>
      <c r="D2" t="s">
        <v>88</v>
      </c>
      <c r="E2" t="s">
        <v>179</v>
      </c>
      <c r="F2">
        <v>27</v>
      </c>
      <c r="G2" t="s">
        <v>180</v>
      </c>
      <c r="H2" t="s">
        <v>181</v>
      </c>
      <c r="I2" t="s">
        <v>182</v>
      </c>
      <c r="J2" t="s">
        <v>183</v>
      </c>
    </row>
    <row r="3" spans="1:10" x14ac:dyDescent="0.25">
      <c r="A3" s="1" t="s">
        <v>27</v>
      </c>
      <c r="B3">
        <v>401754375</v>
      </c>
      <c r="C3" t="s">
        <v>85</v>
      </c>
      <c r="D3" t="s">
        <v>88</v>
      </c>
      <c r="E3" t="s">
        <v>179</v>
      </c>
      <c r="F3">
        <v>27</v>
      </c>
      <c r="G3" t="s">
        <v>180</v>
      </c>
      <c r="H3" t="s">
        <v>181</v>
      </c>
      <c r="I3" t="s">
        <v>184</v>
      </c>
      <c r="J3" t="s">
        <v>185</v>
      </c>
    </row>
    <row r="4" spans="1:10" x14ac:dyDescent="0.25">
      <c r="A4" s="1" t="s">
        <v>27</v>
      </c>
      <c r="B4">
        <v>401754375</v>
      </c>
      <c r="C4" t="s">
        <v>85</v>
      </c>
      <c r="D4" t="s">
        <v>88</v>
      </c>
      <c r="E4" t="s">
        <v>179</v>
      </c>
      <c r="F4">
        <v>27</v>
      </c>
      <c r="G4" t="s">
        <v>180</v>
      </c>
      <c r="H4" t="s">
        <v>186</v>
      </c>
      <c r="I4" t="s">
        <v>182</v>
      </c>
      <c r="J4">
        <v>143</v>
      </c>
    </row>
    <row r="5" spans="1:10" x14ac:dyDescent="0.25">
      <c r="A5" s="1" t="s">
        <v>27</v>
      </c>
      <c r="B5">
        <v>401754375</v>
      </c>
      <c r="C5" t="s">
        <v>85</v>
      </c>
      <c r="D5" t="s">
        <v>88</v>
      </c>
      <c r="E5" t="s">
        <v>179</v>
      </c>
      <c r="F5">
        <v>27</v>
      </c>
      <c r="G5" t="s">
        <v>180</v>
      </c>
      <c r="H5" t="s">
        <v>186</v>
      </c>
      <c r="I5" t="s">
        <v>184</v>
      </c>
      <c r="J5">
        <v>0</v>
      </c>
    </row>
    <row r="6" spans="1:10" x14ac:dyDescent="0.25">
      <c r="A6" s="1" t="s">
        <v>27</v>
      </c>
      <c r="B6">
        <v>401754375</v>
      </c>
      <c r="C6" t="s">
        <v>85</v>
      </c>
      <c r="D6" t="s">
        <v>88</v>
      </c>
      <c r="E6" t="s">
        <v>179</v>
      </c>
      <c r="F6">
        <v>27</v>
      </c>
      <c r="G6" t="s">
        <v>180</v>
      </c>
      <c r="H6" t="s">
        <v>187</v>
      </c>
      <c r="I6" t="s">
        <v>182</v>
      </c>
      <c r="J6">
        <v>7.2</v>
      </c>
    </row>
    <row r="7" spans="1:10" x14ac:dyDescent="0.25">
      <c r="A7" s="1" t="s">
        <v>27</v>
      </c>
      <c r="B7">
        <v>401754375</v>
      </c>
      <c r="C7" t="s">
        <v>85</v>
      </c>
      <c r="D7" t="s">
        <v>88</v>
      </c>
      <c r="E7" t="s">
        <v>179</v>
      </c>
      <c r="F7">
        <v>27</v>
      </c>
      <c r="G7" t="s">
        <v>180</v>
      </c>
      <c r="H7" t="s">
        <v>187</v>
      </c>
      <c r="I7" t="s">
        <v>184</v>
      </c>
      <c r="J7">
        <v>0</v>
      </c>
    </row>
    <row r="8" spans="1:10" x14ac:dyDescent="0.25">
      <c r="A8" s="1" t="s">
        <v>27</v>
      </c>
      <c r="B8">
        <v>401754375</v>
      </c>
      <c r="C8" t="s">
        <v>85</v>
      </c>
      <c r="D8" t="s">
        <v>88</v>
      </c>
      <c r="E8" t="s">
        <v>179</v>
      </c>
      <c r="F8">
        <v>27</v>
      </c>
      <c r="G8" t="s">
        <v>180</v>
      </c>
      <c r="H8" t="s">
        <v>188</v>
      </c>
      <c r="I8" t="s">
        <v>182</v>
      </c>
      <c r="J8">
        <v>0</v>
      </c>
    </row>
    <row r="9" spans="1:10" x14ac:dyDescent="0.25">
      <c r="A9" s="1" t="s">
        <v>27</v>
      </c>
      <c r="B9">
        <v>401754375</v>
      </c>
      <c r="C9" t="s">
        <v>85</v>
      </c>
      <c r="D9" t="s">
        <v>88</v>
      </c>
      <c r="E9" t="s">
        <v>179</v>
      </c>
      <c r="F9">
        <v>27</v>
      </c>
      <c r="G9" t="s">
        <v>180</v>
      </c>
      <c r="H9" t="s">
        <v>188</v>
      </c>
      <c r="I9" t="s">
        <v>184</v>
      </c>
      <c r="J9">
        <v>0</v>
      </c>
    </row>
    <row r="10" spans="1:10" x14ac:dyDescent="0.25">
      <c r="A10" s="1" t="s">
        <v>27</v>
      </c>
      <c r="B10">
        <v>401754375</v>
      </c>
      <c r="C10" t="s">
        <v>85</v>
      </c>
      <c r="D10" t="s">
        <v>88</v>
      </c>
      <c r="E10" t="s">
        <v>179</v>
      </c>
      <c r="F10">
        <v>27</v>
      </c>
      <c r="G10" t="s">
        <v>180</v>
      </c>
      <c r="H10" t="s">
        <v>189</v>
      </c>
      <c r="I10" t="s">
        <v>182</v>
      </c>
      <c r="J10">
        <v>1</v>
      </c>
    </row>
    <row r="11" spans="1:10" x14ac:dyDescent="0.25">
      <c r="A11" s="1" t="s">
        <v>27</v>
      </c>
      <c r="B11">
        <v>401754375</v>
      </c>
      <c r="C11" t="s">
        <v>85</v>
      </c>
      <c r="D11" t="s">
        <v>88</v>
      </c>
      <c r="E11" t="s">
        <v>179</v>
      </c>
      <c r="F11">
        <v>27</v>
      </c>
      <c r="G11" t="s">
        <v>180</v>
      </c>
      <c r="H11" t="s">
        <v>189</v>
      </c>
      <c r="I11" t="s">
        <v>184</v>
      </c>
      <c r="J11">
        <v>0</v>
      </c>
    </row>
    <row r="12" spans="1:10" x14ac:dyDescent="0.25">
      <c r="A12" s="1" t="s">
        <v>27</v>
      </c>
      <c r="B12">
        <v>401754375</v>
      </c>
      <c r="C12" t="s">
        <v>85</v>
      </c>
      <c r="D12" t="s">
        <v>88</v>
      </c>
      <c r="E12" t="s">
        <v>179</v>
      </c>
      <c r="F12">
        <v>27</v>
      </c>
      <c r="G12" t="s">
        <v>180</v>
      </c>
      <c r="H12" t="s">
        <v>190</v>
      </c>
      <c r="I12" t="s">
        <v>182</v>
      </c>
      <c r="J12">
        <v>89.1</v>
      </c>
    </row>
    <row r="13" spans="1:10" x14ac:dyDescent="0.25">
      <c r="A13" s="1" t="s">
        <v>27</v>
      </c>
      <c r="B13">
        <v>401754375</v>
      </c>
      <c r="C13" t="s">
        <v>85</v>
      </c>
      <c r="D13" t="s">
        <v>88</v>
      </c>
      <c r="E13" t="s">
        <v>179</v>
      </c>
      <c r="F13">
        <v>27</v>
      </c>
      <c r="G13" t="s">
        <v>180</v>
      </c>
      <c r="H13" t="s">
        <v>190</v>
      </c>
      <c r="I13" t="s">
        <v>184</v>
      </c>
      <c r="J13" t="s">
        <v>191</v>
      </c>
    </row>
    <row r="14" spans="1:10" x14ac:dyDescent="0.25">
      <c r="A14" s="1" t="s">
        <v>27</v>
      </c>
      <c r="B14">
        <v>401754375</v>
      </c>
      <c r="C14" t="s">
        <v>85</v>
      </c>
      <c r="D14" t="s">
        <v>88</v>
      </c>
      <c r="E14" t="s">
        <v>179</v>
      </c>
      <c r="F14">
        <v>27</v>
      </c>
      <c r="G14" t="s">
        <v>192</v>
      </c>
      <c r="H14" t="s">
        <v>193</v>
      </c>
      <c r="I14" t="s">
        <v>182</v>
      </c>
      <c r="J14">
        <v>19</v>
      </c>
    </row>
    <row r="15" spans="1:10" x14ac:dyDescent="0.25">
      <c r="A15" s="1" t="s">
        <v>27</v>
      </c>
      <c r="B15">
        <v>401754375</v>
      </c>
      <c r="C15" t="s">
        <v>85</v>
      </c>
      <c r="D15" t="s">
        <v>88</v>
      </c>
      <c r="E15" t="s">
        <v>179</v>
      </c>
      <c r="F15">
        <v>27</v>
      </c>
      <c r="G15" t="s">
        <v>192</v>
      </c>
      <c r="H15" t="s">
        <v>193</v>
      </c>
      <c r="I15" t="s">
        <v>194</v>
      </c>
      <c r="J15">
        <v>16</v>
      </c>
    </row>
    <row r="16" spans="1:10" x14ac:dyDescent="0.25">
      <c r="A16" s="1" t="s">
        <v>27</v>
      </c>
      <c r="B16">
        <v>401754375</v>
      </c>
      <c r="C16" t="s">
        <v>85</v>
      </c>
      <c r="D16" t="s">
        <v>88</v>
      </c>
      <c r="E16" t="s">
        <v>179</v>
      </c>
      <c r="F16">
        <v>27</v>
      </c>
      <c r="G16" t="s">
        <v>192</v>
      </c>
      <c r="H16" t="s">
        <v>193</v>
      </c>
      <c r="I16" t="s">
        <v>195</v>
      </c>
      <c r="J16">
        <v>7</v>
      </c>
    </row>
    <row r="17" spans="1:10" x14ac:dyDescent="0.25">
      <c r="A17" s="1" t="s">
        <v>27</v>
      </c>
      <c r="B17">
        <v>401754375</v>
      </c>
      <c r="C17" t="s">
        <v>85</v>
      </c>
      <c r="D17" t="s">
        <v>88</v>
      </c>
      <c r="E17" t="s">
        <v>179</v>
      </c>
      <c r="F17">
        <v>27</v>
      </c>
      <c r="G17" t="s">
        <v>192</v>
      </c>
      <c r="H17" t="s">
        <v>193</v>
      </c>
      <c r="I17" t="s">
        <v>151</v>
      </c>
      <c r="J17">
        <v>2</v>
      </c>
    </row>
    <row r="18" spans="1:10" x14ac:dyDescent="0.25">
      <c r="A18" s="1" t="s">
        <v>27</v>
      </c>
      <c r="B18">
        <v>401754375</v>
      </c>
      <c r="C18" t="s">
        <v>85</v>
      </c>
      <c r="D18" t="s">
        <v>88</v>
      </c>
      <c r="E18" t="s">
        <v>179</v>
      </c>
      <c r="F18">
        <v>27</v>
      </c>
      <c r="G18" t="s">
        <v>192</v>
      </c>
      <c r="H18" t="s">
        <v>193</v>
      </c>
      <c r="I18" t="s">
        <v>196</v>
      </c>
      <c r="J18">
        <v>1</v>
      </c>
    </row>
    <row r="19" spans="1:10" x14ac:dyDescent="0.25">
      <c r="A19" s="1" t="s">
        <v>27</v>
      </c>
      <c r="B19">
        <v>401754375</v>
      </c>
      <c r="C19" t="s">
        <v>85</v>
      </c>
      <c r="D19" t="s">
        <v>88</v>
      </c>
      <c r="E19" t="s">
        <v>179</v>
      </c>
      <c r="F19">
        <v>27</v>
      </c>
      <c r="G19" t="s">
        <v>192</v>
      </c>
      <c r="H19" t="s">
        <v>193</v>
      </c>
      <c r="I19" t="s">
        <v>197</v>
      </c>
      <c r="J19">
        <v>1</v>
      </c>
    </row>
    <row r="20" spans="1:10" x14ac:dyDescent="0.25">
      <c r="A20" s="1" t="s">
        <v>27</v>
      </c>
      <c r="B20">
        <v>401754375</v>
      </c>
      <c r="C20" t="s">
        <v>85</v>
      </c>
      <c r="D20" t="s">
        <v>88</v>
      </c>
      <c r="E20" t="s">
        <v>179</v>
      </c>
      <c r="F20">
        <v>27</v>
      </c>
      <c r="G20" t="s">
        <v>192</v>
      </c>
      <c r="H20" t="s">
        <v>193</v>
      </c>
      <c r="I20" t="s">
        <v>184</v>
      </c>
      <c r="J20">
        <v>1</v>
      </c>
    </row>
    <row r="21" spans="1:10" x14ac:dyDescent="0.25">
      <c r="A21" s="1" t="s">
        <v>27</v>
      </c>
      <c r="B21">
        <v>401754375</v>
      </c>
      <c r="C21" t="s">
        <v>85</v>
      </c>
      <c r="D21" t="s">
        <v>88</v>
      </c>
      <c r="E21" t="s">
        <v>179</v>
      </c>
      <c r="F21">
        <v>27</v>
      </c>
      <c r="G21" t="s">
        <v>192</v>
      </c>
      <c r="H21" t="s">
        <v>186</v>
      </c>
      <c r="I21" t="s">
        <v>182</v>
      </c>
      <c r="J21">
        <v>156</v>
      </c>
    </row>
    <row r="22" spans="1:10" x14ac:dyDescent="0.25">
      <c r="A22" s="1" t="s">
        <v>27</v>
      </c>
      <c r="B22">
        <v>401754375</v>
      </c>
      <c r="C22" t="s">
        <v>85</v>
      </c>
      <c r="D22" t="s">
        <v>88</v>
      </c>
      <c r="E22" t="s">
        <v>179</v>
      </c>
      <c r="F22">
        <v>27</v>
      </c>
      <c r="G22" t="s">
        <v>192</v>
      </c>
      <c r="H22" t="s">
        <v>186</v>
      </c>
      <c r="I22" t="s">
        <v>194</v>
      </c>
      <c r="J22">
        <v>65</v>
      </c>
    </row>
    <row r="23" spans="1:10" x14ac:dyDescent="0.25">
      <c r="A23" s="1" t="s">
        <v>27</v>
      </c>
      <c r="B23">
        <v>401754375</v>
      </c>
      <c r="C23" t="s">
        <v>85</v>
      </c>
      <c r="D23" t="s">
        <v>88</v>
      </c>
      <c r="E23" t="s">
        <v>179</v>
      </c>
      <c r="F23">
        <v>27</v>
      </c>
      <c r="G23" t="s">
        <v>192</v>
      </c>
      <c r="H23" t="s">
        <v>186</v>
      </c>
      <c r="I23" t="s">
        <v>195</v>
      </c>
      <c r="J23">
        <v>47</v>
      </c>
    </row>
    <row r="24" spans="1:10" x14ac:dyDescent="0.25">
      <c r="A24" s="1" t="s">
        <v>27</v>
      </c>
      <c r="B24">
        <v>401754375</v>
      </c>
      <c r="C24" t="s">
        <v>85</v>
      </c>
      <c r="D24" t="s">
        <v>88</v>
      </c>
      <c r="E24" t="s">
        <v>179</v>
      </c>
      <c r="F24">
        <v>27</v>
      </c>
      <c r="G24" t="s">
        <v>192</v>
      </c>
      <c r="H24" t="s">
        <v>186</v>
      </c>
      <c r="I24" t="s">
        <v>151</v>
      </c>
      <c r="J24">
        <v>34</v>
      </c>
    </row>
    <row r="25" spans="1:10" x14ac:dyDescent="0.25">
      <c r="A25" s="1" t="s">
        <v>27</v>
      </c>
      <c r="B25">
        <v>401754375</v>
      </c>
      <c r="C25" t="s">
        <v>85</v>
      </c>
      <c r="D25" t="s">
        <v>88</v>
      </c>
      <c r="E25" t="s">
        <v>179</v>
      </c>
      <c r="F25">
        <v>27</v>
      </c>
      <c r="G25" t="s">
        <v>192</v>
      </c>
      <c r="H25" t="s">
        <v>186</v>
      </c>
      <c r="I25" t="s">
        <v>196</v>
      </c>
      <c r="J25">
        <v>13</v>
      </c>
    </row>
    <row r="26" spans="1:10" x14ac:dyDescent="0.25">
      <c r="A26" s="1" t="s">
        <v>27</v>
      </c>
      <c r="B26">
        <v>401754375</v>
      </c>
      <c r="C26" t="s">
        <v>85</v>
      </c>
      <c r="D26" t="s">
        <v>88</v>
      </c>
      <c r="E26" t="s">
        <v>179</v>
      </c>
      <c r="F26">
        <v>27</v>
      </c>
      <c r="G26" t="s">
        <v>192</v>
      </c>
      <c r="H26" t="s">
        <v>186</v>
      </c>
      <c r="I26" t="s">
        <v>197</v>
      </c>
      <c r="J26">
        <v>5</v>
      </c>
    </row>
    <row r="27" spans="1:10" x14ac:dyDescent="0.25">
      <c r="A27" s="1" t="s">
        <v>27</v>
      </c>
      <c r="B27">
        <v>401754375</v>
      </c>
      <c r="C27" t="s">
        <v>85</v>
      </c>
      <c r="D27" t="s">
        <v>88</v>
      </c>
      <c r="E27" t="s">
        <v>179</v>
      </c>
      <c r="F27">
        <v>27</v>
      </c>
      <c r="G27" t="s">
        <v>192</v>
      </c>
      <c r="H27" t="s">
        <v>186</v>
      </c>
      <c r="I27" t="s">
        <v>184</v>
      </c>
      <c r="J27">
        <v>0</v>
      </c>
    </row>
    <row r="28" spans="1:10" x14ac:dyDescent="0.25">
      <c r="A28" s="1" t="s">
        <v>27</v>
      </c>
      <c r="B28">
        <v>401754375</v>
      </c>
      <c r="C28" t="s">
        <v>85</v>
      </c>
      <c r="D28" t="s">
        <v>88</v>
      </c>
      <c r="E28" t="s">
        <v>179</v>
      </c>
      <c r="F28">
        <v>27</v>
      </c>
      <c r="G28" t="s">
        <v>192</v>
      </c>
      <c r="H28" t="s">
        <v>187</v>
      </c>
      <c r="I28" t="s">
        <v>182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85</v>
      </c>
      <c r="D29" t="s">
        <v>88</v>
      </c>
      <c r="E29" t="s">
        <v>179</v>
      </c>
      <c r="F29">
        <v>27</v>
      </c>
      <c r="G29" t="s">
        <v>192</v>
      </c>
      <c r="H29" t="s">
        <v>187</v>
      </c>
      <c r="I29" t="s">
        <v>194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85</v>
      </c>
      <c r="D30" t="s">
        <v>88</v>
      </c>
      <c r="E30" t="s">
        <v>179</v>
      </c>
      <c r="F30">
        <v>27</v>
      </c>
      <c r="G30" t="s">
        <v>192</v>
      </c>
      <c r="H30" t="s">
        <v>187</v>
      </c>
      <c r="I30" t="s">
        <v>195</v>
      </c>
      <c r="J30">
        <v>6.7</v>
      </c>
    </row>
    <row r="31" spans="1:10" x14ac:dyDescent="0.25">
      <c r="A31" s="1" t="s">
        <v>27</v>
      </c>
      <c r="B31">
        <v>401754375</v>
      </c>
      <c r="C31" t="s">
        <v>85</v>
      </c>
      <c r="D31" t="s">
        <v>88</v>
      </c>
      <c r="E31" t="s">
        <v>179</v>
      </c>
      <c r="F31">
        <v>27</v>
      </c>
      <c r="G31" t="s">
        <v>192</v>
      </c>
      <c r="H31" t="s">
        <v>187</v>
      </c>
      <c r="I31" t="s">
        <v>151</v>
      </c>
      <c r="J31">
        <v>17</v>
      </c>
    </row>
    <row r="32" spans="1:10" x14ac:dyDescent="0.25">
      <c r="A32" s="1" t="s">
        <v>27</v>
      </c>
      <c r="B32">
        <v>401754375</v>
      </c>
      <c r="C32" t="s">
        <v>85</v>
      </c>
      <c r="D32" t="s">
        <v>88</v>
      </c>
      <c r="E32" t="s">
        <v>179</v>
      </c>
      <c r="F32">
        <v>27</v>
      </c>
      <c r="G32" t="s">
        <v>192</v>
      </c>
      <c r="H32" t="s">
        <v>187</v>
      </c>
      <c r="I32" t="s">
        <v>196</v>
      </c>
      <c r="J32">
        <v>13</v>
      </c>
    </row>
    <row r="33" spans="1:10" x14ac:dyDescent="0.25">
      <c r="A33" s="1" t="s">
        <v>27</v>
      </c>
      <c r="B33">
        <v>401754375</v>
      </c>
      <c r="C33" t="s">
        <v>85</v>
      </c>
      <c r="D33" t="s">
        <v>88</v>
      </c>
      <c r="E33" t="s">
        <v>179</v>
      </c>
      <c r="F33">
        <v>27</v>
      </c>
      <c r="G33" t="s">
        <v>192</v>
      </c>
      <c r="H33" t="s">
        <v>187</v>
      </c>
      <c r="I33" t="s">
        <v>197</v>
      </c>
      <c r="J33">
        <v>5</v>
      </c>
    </row>
    <row r="34" spans="1:10" x14ac:dyDescent="0.25">
      <c r="A34" s="1" t="s">
        <v>27</v>
      </c>
      <c r="B34">
        <v>401754375</v>
      </c>
      <c r="C34" t="s">
        <v>85</v>
      </c>
      <c r="D34" t="s">
        <v>88</v>
      </c>
      <c r="E34" t="s">
        <v>179</v>
      </c>
      <c r="F34">
        <v>27</v>
      </c>
      <c r="G34" t="s">
        <v>192</v>
      </c>
      <c r="H34" t="s">
        <v>187</v>
      </c>
      <c r="I34" t="s">
        <v>184</v>
      </c>
      <c r="J34">
        <v>0</v>
      </c>
    </row>
    <row r="35" spans="1:10" x14ac:dyDescent="0.25">
      <c r="A35" s="1" t="s">
        <v>27</v>
      </c>
      <c r="B35">
        <v>401754375</v>
      </c>
      <c r="C35" t="s">
        <v>85</v>
      </c>
      <c r="D35" t="s">
        <v>88</v>
      </c>
      <c r="E35" t="s">
        <v>179</v>
      </c>
      <c r="F35">
        <v>27</v>
      </c>
      <c r="G35" t="s">
        <v>192</v>
      </c>
      <c r="H35" t="s">
        <v>188</v>
      </c>
      <c r="I35" t="s">
        <v>182</v>
      </c>
      <c r="J35">
        <v>3</v>
      </c>
    </row>
    <row r="36" spans="1:10" x14ac:dyDescent="0.25">
      <c r="A36" s="1" t="s">
        <v>27</v>
      </c>
      <c r="B36">
        <v>401754375</v>
      </c>
      <c r="C36" t="s">
        <v>85</v>
      </c>
      <c r="D36" t="s">
        <v>88</v>
      </c>
      <c r="E36" t="s">
        <v>179</v>
      </c>
      <c r="F36">
        <v>27</v>
      </c>
      <c r="G36" t="s">
        <v>192</v>
      </c>
      <c r="H36" t="s">
        <v>188</v>
      </c>
      <c r="I36" t="s">
        <v>194</v>
      </c>
      <c r="J36">
        <v>0</v>
      </c>
    </row>
    <row r="37" spans="1:10" x14ac:dyDescent="0.25">
      <c r="A37" s="1" t="s">
        <v>27</v>
      </c>
      <c r="B37">
        <v>401754375</v>
      </c>
      <c r="C37" t="s">
        <v>85</v>
      </c>
      <c r="D37" t="s">
        <v>88</v>
      </c>
      <c r="E37" t="s">
        <v>179</v>
      </c>
      <c r="F37">
        <v>27</v>
      </c>
      <c r="G37" t="s">
        <v>192</v>
      </c>
      <c r="H37" t="s">
        <v>188</v>
      </c>
      <c r="I37" t="s">
        <v>195</v>
      </c>
      <c r="J37">
        <v>0</v>
      </c>
    </row>
    <row r="38" spans="1:10" x14ac:dyDescent="0.25">
      <c r="A38" s="1" t="s">
        <v>27</v>
      </c>
      <c r="B38">
        <v>401754375</v>
      </c>
      <c r="C38" t="s">
        <v>85</v>
      </c>
      <c r="D38" t="s">
        <v>88</v>
      </c>
      <c r="E38" t="s">
        <v>179</v>
      </c>
      <c r="F38">
        <v>27</v>
      </c>
      <c r="G38" t="s">
        <v>192</v>
      </c>
      <c r="H38" t="s">
        <v>188</v>
      </c>
      <c r="I38" t="s">
        <v>151</v>
      </c>
      <c r="J38">
        <v>0</v>
      </c>
    </row>
    <row r="39" spans="1:10" x14ac:dyDescent="0.25">
      <c r="A39" s="1" t="s">
        <v>27</v>
      </c>
      <c r="B39">
        <v>401754375</v>
      </c>
      <c r="C39" t="s">
        <v>85</v>
      </c>
      <c r="D39" t="s">
        <v>88</v>
      </c>
      <c r="E39" t="s">
        <v>179</v>
      </c>
      <c r="F39">
        <v>27</v>
      </c>
      <c r="G39" t="s">
        <v>192</v>
      </c>
      <c r="H39" t="s">
        <v>188</v>
      </c>
      <c r="I39" t="s">
        <v>196</v>
      </c>
      <c r="J39">
        <v>0</v>
      </c>
    </row>
    <row r="40" spans="1:10" x14ac:dyDescent="0.25">
      <c r="A40" s="1" t="s">
        <v>27</v>
      </c>
      <c r="B40">
        <v>401754375</v>
      </c>
      <c r="C40" t="s">
        <v>85</v>
      </c>
      <c r="D40" t="s">
        <v>88</v>
      </c>
      <c r="E40" t="s">
        <v>179</v>
      </c>
      <c r="F40">
        <v>27</v>
      </c>
      <c r="G40" t="s">
        <v>192</v>
      </c>
      <c r="H40" t="s">
        <v>188</v>
      </c>
      <c r="I40" t="s">
        <v>197</v>
      </c>
      <c r="J40">
        <v>0</v>
      </c>
    </row>
    <row r="41" spans="1:10" x14ac:dyDescent="0.25">
      <c r="A41" s="1" t="s">
        <v>27</v>
      </c>
      <c r="B41">
        <v>401754375</v>
      </c>
      <c r="C41" t="s">
        <v>85</v>
      </c>
      <c r="D41" t="s">
        <v>88</v>
      </c>
      <c r="E41" t="s">
        <v>179</v>
      </c>
      <c r="F41">
        <v>27</v>
      </c>
      <c r="G41" t="s">
        <v>192</v>
      </c>
      <c r="H41" t="s">
        <v>188</v>
      </c>
      <c r="I41" t="s">
        <v>184</v>
      </c>
      <c r="J41">
        <v>0</v>
      </c>
    </row>
    <row r="42" spans="1:10" x14ac:dyDescent="0.25">
      <c r="A42" s="1" t="s">
        <v>27</v>
      </c>
      <c r="B42">
        <v>401754375</v>
      </c>
      <c r="C42" t="s">
        <v>85</v>
      </c>
      <c r="D42" t="s">
        <v>88</v>
      </c>
      <c r="E42" t="s">
        <v>179</v>
      </c>
      <c r="F42">
        <v>27</v>
      </c>
      <c r="G42" t="s">
        <v>192</v>
      </c>
      <c r="H42" t="s">
        <v>198</v>
      </c>
      <c r="I42" t="s">
        <v>182</v>
      </c>
      <c r="J42">
        <v>45</v>
      </c>
    </row>
    <row r="43" spans="1:10" x14ac:dyDescent="0.25">
      <c r="A43" s="1" t="s">
        <v>27</v>
      </c>
      <c r="B43">
        <v>401754375</v>
      </c>
      <c r="C43" t="s">
        <v>85</v>
      </c>
      <c r="D43" t="s">
        <v>88</v>
      </c>
      <c r="E43" t="s">
        <v>179</v>
      </c>
      <c r="F43">
        <v>27</v>
      </c>
      <c r="G43" t="s">
        <v>192</v>
      </c>
      <c r="H43" t="s">
        <v>198</v>
      </c>
      <c r="I43" t="s">
        <v>194</v>
      </c>
      <c r="J43">
        <v>12</v>
      </c>
    </row>
    <row r="44" spans="1:10" x14ac:dyDescent="0.25">
      <c r="A44" s="1" t="s">
        <v>27</v>
      </c>
      <c r="B44">
        <v>401754375</v>
      </c>
      <c r="C44" t="s">
        <v>85</v>
      </c>
      <c r="D44" t="s">
        <v>88</v>
      </c>
      <c r="E44" t="s">
        <v>179</v>
      </c>
      <c r="F44">
        <v>27</v>
      </c>
      <c r="G44" t="s">
        <v>192</v>
      </c>
      <c r="H44" t="s">
        <v>198</v>
      </c>
      <c r="I44" t="s">
        <v>195</v>
      </c>
      <c r="J44">
        <v>12</v>
      </c>
    </row>
    <row r="45" spans="1:10" x14ac:dyDescent="0.25">
      <c r="A45" s="1" t="s">
        <v>27</v>
      </c>
      <c r="B45">
        <v>401754375</v>
      </c>
      <c r="C45" t="s">
        <v>85</v>
      </c>
      <c r="D45" t="s">
        <v>88</v>
      </c>
      <c r="E45" t="s">
        <v>179</v>
      </c>
      <c r="F45">
        <v>27</v>
      </c>
      <c r="G45" t="s">
        <v>192</v>
      </c>
      <c r="H45" t="s">
        <v>198</v>
      </c>
      <c r="I45" t="s">
        <v>151</v>
      </c>
      <c r="J45">
        <v>27</v>
      </c>
    </row>
    <row r="46" spans="1:10" x14ac:dyDescent="0.25">
      <c r="A46" s="1" t="s">
        <v>27</v>
      </c>
      <c r="B46">
        <v>401754375</v>
      </c>
      <c r="C46" t="s">
        <v>85</v>
      </c>
      <c r="D46" t="s">
        <v>88</v>
      </c>
      <c r="E46" t="s">
        <v>179</v>
      </c>
      <c r="F46">
        <v>27</v>
      </c>
      <c r="G46" t="s">
        <v>192</v>
      </c>
      <c r="H46" t="s">
        <v>198</v>
      </c>
      <c r="I46" t="s">
        <v>196</v>
      </c>
      <c r="J46">
        <v>13</v>
      </c>
    </row>
    <row r="47" spans="1:10" x14ac:dyDescent="0.25">
      <c r="A47" s="1" t="s">
        <v>27</v>
      </c>
      <c r="B47">
        <v>401754375</v>
      </c>
      <c r="C47" t="s">
        <v>85</v>
      </c>
      <c r="D47" t="s">
        <v>88</v>
      </c>
      <c r="E47" t="s">
        <v>179</v>
      </c>
      <c r="F47">
        <v>27</v>
      </c>
      <c r="G47" t="s">
        <v>192</v>
      </c>
      <c r="H47" t="s">
        <v>198</v>
      </c>
      <c r="I47" t="s">
        <v>197</v>
      </c>
      <c r="J47">
        <v>5</v>
      </c>
    </row>
    <row r="48" spans="1:10" x14ac:dyDescent="0.25">
      <c r="A48" s="1" t="s">
        <v>27</v>
      </c>
      <c r="B48">
        <v>401754375</v>
      </c>
      <c r="C48" t="s">
        <v>85</v>
      </c>
      <c r="D48" t="s">
        <v>88</v>
      </c>
      <c r="E48" t="s">
        <v>179</v>
      </c>
      <c r="F48">
        <v>27</v>
      </c>
      <c r="G48" t="s">
        <v>192</v>
      </c>
      <c r="H48" t="s">
        <v>198</v>
      </c>
      <c r="I48" t="s">
        <v>184</v>
      </c>
      <c r="J48">
        <v>0</v>
      </c>
    </row>
    <row r="49" spans="1:10" x14ac:dyDescent="0.25">
      <c r="A49" s="1" t="s">
        <v>27</v>
      </c>
      <c r="B49">
        <v>401754375</v>
      </c>
      <c r="C49" t="s">
        <v>85</v>
      </c>
      <c r="D49" t="s">
        <v>88</v>
      </c>
      <c r="E49" t="s">
        <v>179</v>
      </c>
      <c r="F49">
        <v>27</v>
      </c>
      <c r="G49" t="s">
        <v>199</v>
      </c>
      <c r="H49" t="s">
        <v>0</v>
      </c>
      <c r="I49" t="s">
        <v>197</v>
      </c>
      <c r="J49">
        <v>4</v>
      </c>
    </row>
    <row r="50" spans="1:10" x14ac:dyDescent="0.25">
      <c r="A50" s="1" t="s">
        <v>27</v>
      </c>
      <c r="B50">
        <v>401754375</v>
      </c>
      <c r="C50" t="s">
        <v>85</v>
      </c>
      <c r="D50" t="s">
        <v>88</v>
      </c>
      <c r="E50" t="s">
        <v>179</v>
      </c>
      <c r="F50">
        <v>27</v>
      </c>
      <c r="G50" t="s">
        <v>199</v>
      </c>
      <c r="H50" t="s">
        <v>0</v>
      </c>
      <c r="I50" t="s">
        <v>194</v>
      </c>
      <c r="J50">
        <v>1</v>
      </c>
    </row>
    <row r="51" spans="1:10" x14ac:dyDescent="0.25">
      <c r="A51" s="1" t="s">
        <v>27</v>
      </c>
      <c r="B51">
        <v>401754375</v>
      </c>
      <c r="C51" t="s">
        <v>85</v>
      </c>
      <c r="D51" t="s">
        <v>88</v>
      </c>
      <c r="E51" t="s">
        <v>179</v>
      </c>
      <c r="F51">
        <v>27</v>
      </c>
      <c r="G51" t="s">
        <v>199</v>
      </c>
      <c r="H51" t="s">
        <v>0</v>
      </c>
      <c r="I51" t="s">
        <v>195</v>
      </c>
      <c r="J51">
        <v>1</v>
      </c>
    </row>
    <row r="52" spans="1:10" x14ac:dyDescent="0.25">
      <c r="A52" s="1" t="s">
        <v>27</v>
      </c>
      <c r="B52">
        <v>401754375</v>
      </c>
      <c r="C52" t="s">
        <v>85</v>
      </c>
      <c r="D52" t="s">
        <v>88</v>
      </c>
      <c r="E52" t="s">
        <v>179</v>
      </c>
      <c r="F52">
        <v>27</v>
      </c>
      <c r="G52" t="s">
        <v>199</v>
      </c>
      <c r="H52" t="s">
        <v>0</v>
      </c>
      <c r="I52" t="s">
        <v>151</v>
      </c>
      <c r="J52">
        <v>3</v>
      </c>
    </row>
    <row r="53" spans="1:10" x14ac:dyDescent="0.25">
      <c r="A53" s="1" t="s">
        <v>27</v>
      </c>
      <c r="B53">
        <v>401754375</v>
      </c>
      <c r="C53" t="s">
        <v>85</v>
      </c>
      <c r="D53" t="s">
        <v>88</v>
      </c>
      <c r="E53" t="s">
        <v>179</v>
      </c>
      <c r="F53">
        <v>27</v>
      </c>
      <c r="G53" t="s">
        <v>199</v>
      </c>
      <c r="H53" t="s">
        <v>0</v>
      </c>
      <c r="I53" t="s">
        <v>200</v>
      </c>
      <c r="J53">
        <v>2</v>
      </c>
    </row>
    <row r="54" spans="1:10" x14ac:dyDescent="0.25">
      <c r="A54" s="1" t="s">
        <v>27</v>
      </c>
      <c r="B54">
        <v>401754375</v>
      </c>
      <c r="C54" t="s">
        <v>85</v>
      </c>
      <c r="D54" t="s">
        <v>88</v>
      </c>
      <c r="E54" t="s">
        <v>179</v>
      </c>
      <c r="F54">
        <v>27</v>
      </c>
      <c r="G54" t="s">
        <v>199</v>
      </c>
      <c r="H54" t="s">
        <v>0</v>
      </c>
      <c r="I54" t="s">
        <v>201</v>
      </c>
      <c r="J54">
        <v>1</v>
      </c>
    </row>
    <row r="55" spans="1:10" x14ac:dyDescent="0.25">
      <c r="A55" s="1" t="s">
        <v>27</v>
      </c>
      <c r="B55">
        <v>401754375</v>
      </c>
      <c r="C55" t="s">
        <v>85</v>
      </c>
      <c r="D55" t="s">
        <v>88</v>
      </c>
      <c r="E55" t="s">
        <v>179</v>
      </c>
      <c r="F55">
        <v>27</v>
      </c>
      <c r="G55" t="s">
        <v>199</v>
      </c>
      <c r="H55" t="s">
        <v>0</v>
      </c>
      <c r="I55" t="s">
        <v>202</v>
      </c>
      <c r="J55">
        <v>1</v>
      </c>
    </row>
    <row r="56" spans="1:10" x14ac:dyDescent="0.25">
      <c r="A56" s="1" t="s">
        <v>27</v>
      </c>
      <c r="B56">
        <v>401754375</v>
      </c>
      <c r="C56" t="s">
        <v>85</v>
      </c>
      <c r="D56" t="s">
        <v>88</v>
      </c>
      <c r="E56" t="s">
        <v>179</v>
      </c>
      <c r="F56">
        <v>27</v>
      </c>
      <c r="G56" t="s">
        <v>199</v>
      </c>
      <c r="H56" t="s">
        <v>186</v>
      </c>
      <c r="I56" t="s">
        <v>197</v>
      </c>
      <c r="J56">
        <v>48</v>
      </c>
    </row>
    <row r="57" spans="1:10" x14ac:dyDescent="0.25">
      <c r="A57" s="1" t="s">
        <v>27</v>
      </c>
      <c r="B57">
        <v>401754375</v>
      </c>
      <c r="C57" t="s">
        <v>85</v>
      </c>
      <c r="D57" t="s">
        <v>88</v>
      </c>
      <c r="E57" t="s">
        <v>179</v>
      </c>
      <c r="F57">
        <v>27</v>
      </c>
      <c r="G57" t="s">
        <v>199</v>
      </c>
      <c r="H57" t="s">
        <v>186</v>
      </c>
      <c r="I57" t="s">
        <v>194</v>
      </c>
      <c r="J57">
        <v>27</v>
      </c>
    </row>
    <row r="58" spans="1:10" x14ac:dyDescent="0.25">
      <c r="A58" s="1" t="s">
        <v>27</v>
      </c>
      <c r="B58">
        <v>401754375</v>
      </c>
      <c r="C58" t="s">
        <v>85</v>
      </c>
      <c r="D58" t="s">
        <v>88</v>
      </c>
      <c r="E58" t="s">
        <v>179</v>
      </c>
      <c r="F58">
        <v>27</v>
      </c>
      <c r="G58" t="s">
        <v>199</v>
      </c>
      <c r="H58" t="s">
        <v>186</v>
      </c>
      <c r="I58" t="s">
        <v>195</v>
      </c>
      <c r="J58">
        <v>24</v>
      </c>
    </row>
    <row r="59" spans="1:10" x14ac:dyDescent="0.25">
      <c r="A59" s="1" t="s">
        <v>27</v>
      </c>
      <c r="B59">
        <v>401754375</v>
      </c>
      <c r="C59" t="s">
        <v>85</v>
      </c>
      <c r="D59" t="s">
        <v>88</v>
      </c>
      <c r="E59" t="s">
        <v>179</v>
      </c>
      <c r="F59">
        <v>27</v>
      </c>
      <c r="G59" t="s">
        <v>199</v>
      </c>
      <c r="H59" t="s">
        <v>186</v>
      </c>
      <c r="I59" t="s">
        <v>151</v>
      </c>
      <c r="J59">
        <v>24</v>
      </c>
    </row>
    <row r="60" spans="1:10" x14ac:dyDescent="0.25">
      <c r="A60" s="1" t="s">
        <v>27</v>
      </c>
      <c r="B60">
        <v>401754375</v>
      </c>
      <c r="C60" t="s">
        <v>85</v>
      </c>
      <c r="D60" t="s">
        <v>88</v>
      </c>
      <c r="E60" t="s">
        <v>179</v>
      </c>
      <c r="F60">
        <v>27</v>
      </c>
      <c r="G60" t="s">
        <v>199</v>
      </c>
      <c r="H60" t="s">
        <v>186</v>
      </c>
      <c r="I60" t="s">
        <v>200</v>
      </c>
      <c r="J60">
        <v>18</v>
      </c>
    </row>
    <row r="61" spans="1:10" x14ac:dyDescent="0.25">
      <c r="A61" s="1" t="s">
        <v>27</v>
      </c>
      <c r="B61">
        <v>401754375</v>
      </c>
      <c r="C61" t="s">
        <v>85</v>
      </c>
      <c r="D61" t="s">
        <v>88</v>
      </c>
      <c r="E61" t="s">
        <v>179</v>
      </c>
      <c r="F61">
        <v>27</v>
      </c>
      <c r="G61" t="s">
        <v>199</v>
      </c>
      <c r="H61" t="s">
        <v>186</v>
      </c>
      <c r="I61" t="s">
        <v>201</v>
      </c>
      <c r="J61">
        <v>1</v>
      </c>
    </row>
    <row r="62" spans="1:10" x14ac:dyDescent="0.25">
      <c r="A62" s="1" t="s">
        <v>27</v>
      </c>
      <c r="B62">
        <v>401754375</v>
      </c>
      <c r="C62" t="s">
        <v>85</v>
      </c>
      <c r="D62" t="s">
        <v>88</v>
      </c>
      <c r="E62" t="s">
        <v>179</v>
      </c>
      <c r="F62">
        <v>27</v>
      </c>
      <c r="G62" t="s">
        <v>199</v>
      </c>
      <c r="H62" t="s">
        <v>186</v>
      </c>
      <c r="I62" t="s">
        <v>202</v>
      </c>
      <c r="J62">
        <v>1</v>
      </c>
    </row>
    <row r="63" spans="1:10" x14ac:dyDescent="0.25">
      <c r="A63" s="1" t="s">
        <v>27</v>
      </c>
      <c r="B63">
        <v>401754375</v>
      </c>
      <c r="C63" t="s">
        <v>85</v>
      </c>
      <c r="D63" t="s">
        <v>88</v>
      </c>
      <c r="E63" t="s">
        <v>179</v>
      </c>
      <c r="F63">
        <v>27</v>
      </c>
      <c r="G63" t="s">
        <v>199</v>
      </c>
      <c r="H63" t="s">
        <v>187</v>
      </c>
      <c r="I63" t="s">
        <v>197</v>
      </c>
      <c r="J63">
        <v>12</v>
      </c>
    </row>
    <row r="64" spans="1:10" x14ac:dyDescent="0.25">
      <c r="A64" s="1" t="s">
        <v>27</v>
      </c>
      <c r="B64">
        <v>401754375</v>
      </c>
      <c r="C64" t="s">
        <v>85</v>
      </c>
      <c r="D64" t="s">
        <v>88</v>
      </c>
      <c r="E64" t="s">
        <v>179</v>
      </c>
      <c r="F64">
        <v>27</v>
      </c>
      <c r="G64" t="s">
        <v>199</v>
      </c>
      <c r="H64" t="s">
        <v>187</v>
      </c>
      <c r="I64" t="s">
        <v>194</v>
      </c>
      <c r="J64">
        <v>27</v>
      </c>
    </row>
    <row r="65" spans="1:10" x14ac:dyDescent="0.25">
      <c r="A65" s="1" t="s">
        <v>27</v>
      </c>
      <c r="B65">
        <v>401754375</v>
      </c>
      <c r="C65" t="s">
        <v>85</v>
      </c>
      <c r="D65" t="s">
        <v>88</v>
      </c>
      <c r="E65" t="s">
        <v>179</v>
      </c>
      <c r="F65">
        <v>27</v>
      </c>
      <c r="G65" t="s">
        <v>199</v>
      </c>
      <c r="H65" t="s">
        <v>187</v>
      </c>
      <c r="I65" t="s">
        <v>195</v>
      </c>
      <c r="J65">
        <v>24</v>
      </c>
    </row>
    <row r="66" spans="1:10" x14ac:dyDescent="0.25">
      <c r="A66" s="1" t="s">
        <v>27</v>
      </c>
      <c r="B66">
        <v>401754375</v>
      </c>
      <c r="C66" t="s">
        <v>85</v>
      </c>
      <c r="D66" t="s">
        <v>88</v>
      </c>
      <c r="E66" t="s">
        <v>179</v>
      </c>
      <c r="F66">
        <v>27</v>
      </c>
      <c r="G66" t="s">
        <v>199</v>
      </c>
      <c r="H66" t="s">
        <v>187</v>
      </c>
      <c r="I66" t="s">
        <v>151</v>
      </c>
      <c r="J66">
        <v>8</v>
      </c>
    </row>
    <row r="67" spans="1:10" x14ac:dyDescent="0.25">
      <c r="A67" s="1" t="s">
        <v>27</v>
      </c>
      <c r="B67">
        <v>401754375</v>
      </c>
      <c r="C67" t="s">
        <v>85</v>
      </c>
      <c r="D67" t="s">
        <v>88</v>
      </c>
      <c r="E67" t="s">
        <v>179</v>
      </c>
      <c r="F67">
        <v>27</v>
      </c>
      <c r="G67" t="s">
        <v>199</v>
      </c>
      <c r="H67" t="s">
        <v>187</v>
      </c>
      <c r="I67" t="s">
        <v>200</v>
      </c>
      <c r="J67">
        <v>9</v>
      </c>
    </row>
    <row r="68" spans="1:10" x14ac:dyDescent="0.25">
      <c r="A68" s="1" t="s">
        <v>27</v>
      </c>
      <c r="B68">
        <v>401754375</v>
      </c>
      <c r="C68" t="s">
        <v>85</v>
      </c>
      <c r="D68" t="s">
        <v>88</v>
      </c>
      <c r="E68" t="s">
        <v>179</v>
      </c>
      <c r="F68">
        <v>27</v>
      </c>
      <c r="G68" t="s">
        <v>199</v>
      </c>
      <c r="H68" t="s">
        <v>187</v>
      </c>
      <c r="I68" t="s">
        <v>201</v>
      </c>
      <c r="J68">
        <v>1</v>
      </c>
    </row>
    <row r="69" spans="1:10" x14ac:dyDescent="0.25">
      <c r="A69" s="1" t="s">
        <v>27</v>
      </c>
      <c r="B69">
        <v>401754375</v>
      </c>
      <c r="C69" t="s">
        <v>85</v>
      </c>
      <c r="D69" t="s">
        <v>88</v>
      </c>
      <c r="E69" t="s">
        <v>179</v>
      </c>
      <c r="F69">
        <v>27</v>
      </c>
      <c r="G69" t="s">
        <v>199</v>
      </c>
      <c r="H69" t="s">
        <v>187</v>
      </c>
      <c r="I69" t="s">
        <v>202</v>
      </c>
      <c r="J69">
        <v>1</v>
      </c>
    </row>
    <row r="70" spans="1:10" x14ac:dyDescent="0.25">
      <c r="A70" s="1" t="s">
        <v>27</v>
      </c>
      <c r="B70">
        <v>401754375</v>
      </c>
      <c r="C70" t="s">
        <v>85</v>
      </c>
      <c r="D70" t="s">
        <v>88</v>
      </c>
      <c r="E70" t="s">
        <v>179</v>
      </c>
      <c r="F70">
        <v>27</v>
      </c>
      <c r="G70" t="s">
        <v>199</v>
      </c>
      <c r="H70" t="s">
        <v>188</v>
      </c>
      <c r="I70" t="s">
        <v>197</v>
      </c>
      <c r="J70">
        <v>0</v>
      </c>
    </row>
    <row r="71" spans="1:10" x14ac:dyDescent="0.25">
      <c r="A71" s="1" t="s">
        <v>27</v>
      </c>
      <c r="B71">
        <v>401754375</v>
      </c>
      <c r="C71" t="s">
        <v>85</v>
      </c>
      <c r="D71" t="s">
        <v>88</v>
      </c>
      <c r="E71" t="s">
        <v>179</v>
      </c>
      <c r="F71">
        <v>27</v>
      </c>
      <c r="G71" t="s">
        <v>199</v>
      </c>
      <c r="H71" t="s">
        <v>188</v>
      </c>
      <c r="I71" t="s">
        <v>194</v>
      </c>
      <c r="J71">
        <v>0</v>
      </c>
    </row>
    <row r="72" spans="1:10" x14ac:dyDescent="0.25">
      <c r="A72" s="1" t="s">
        <v>27</v>
      </c>
      <c r="B72">
        <v>401754375</v>
      </c>
      <c r="C72" t="s">
        <v>85</v>
      </c>
      <c r="D72" t="s">
        <v>88</v>
      </c>
      <c r="E72" t="s">
        <v>179</v>
      </c>
      <c r="F72">
        <v>27</v>
      </c>
      <c r="G72" t="s">
        <v>199</v>
      </c>
      <c r="H72" t="s">
        <v>188</v>
      </c>
      <c r="I72" t="s">
        <v>195</v>
      </c>
      <c r="J72">
        <v>0</v>
      </c>
    </row>
    <row r="73" spans="1:10" x14ac:dyDescent="0.25">
      <c r="A73" s="1" t="s">
        <v>27</v>
      </c>
      <c r="B73">
        <v>401754375</v>
      </c>
      <c r="C73" t="s">
        <v>85</v>
      </c>
      <c r="D73" t="s">
        <v>88</v>
      </c>
      <c r="E73" t="s">
        <v>179</v>
      </c>
      <c r="F73">
        <v>27</v>
      </c>
      <c r="G73" t="s">
        <v>199</v>
      </c>
      <c r="H73" t="s">
        <v>188</v>
      </c>
      <c r="I73" t="s">
        <v>151</v>
      </c>
      <c r="J73">
        <v>0</v>
      </c>
    </row>
    <row r="74" spans="1:10" x14ac:dyDescent="0.25">
      <c r="A74" s="1" t="s">
        <v>27</v>
      </c>
      <c r="B74">
        <v>401754375</v>
      </c>
      <c r="C74" t="s">
        <v>85</v>
      </c>
      <c r="D74" t="s">
        <v>88</v>
      </c>
      <c r="E74" t="s">
        <v>179</v>
      </c>
      <c r="F74">
        <v>27</v>
      </c>
      <c r="G74" t="s">
        <v>199</v>
      </c>
      <c r="H74" t="s">
        <v>188</v>
      </c>
      <c r="I74" t="s">
        <v>200</v>
      </c>
      <c r="J74">
        <v>0</v>
      </c>
    </row>
    <row r="75" spans="1:10" x14ac:dyDescent="0.25">
      <c r="A75" s="1" t="s">
        <v>27</v>
      </c>
      <c r="B75">
        <v>401754375</v>
      </c>
      <c r="C75" t="s">
        <v>85</v>
      </c>
      <c r="D75" t="s">
        <v>88</v>
      </c>
      <c r="E75" t="s">
        <v>179</v>
      </c>
      <c r="F75">
        <v>27</v>
      </c>
      <c r="G75" t="s">
        <v>199</v>
      </c>
      <c r="H75" t="s">
        <v>188</v>
      </c>
      <c r="I75" t="s">
        <v>201</v>
      </c>
      <c r="J75">
        <v>0</v>
      </c>
    </row>
    <row r="76" spans="1:10" x14ac:dyDescent="0.25">
      <c r="A76" s="1" t="s">
        <v>27</v>
      </c>
      <c r="B76">
        <v>401754375</v>
      </c>
      <c r="C76" t="s">
        <v>85</v>
      </c>
      <c r="D76" t="s">
        <v>88</v>
      </c>
      <c r="E76" t="s">
        <v>179</v>
      </c>
      <c r="F76">
        <v>27</v>
      </c>
      <c r="G76" t="s">
        <v>199</v>
      </c>
      <c r="H76" t="s">
        <v>188</v>
      </c>
      <c r="I76" t="s">
        <v>202</v>
      </c>
      <c r="J76">
        <v>0</v>
      </c>
    </row>
    <row r="77" spans="1:10" x14ac:dyDescent="0.25">
      <c r="A77" s="1" t="s">
        <v>27</v>
      </c>
      <c r="B77">
        <v>401754375</v>
      </c>
      <c r="C77" t="s">
        <v>85</v>
      </c>
      <c r="D77" t="s">
        <v>88</v>
      </c>
      <c r="E77" t="s">
        <v>179</v>
      </c>
      <c r="F77">
        <v>27</v>
      </c>
      <c r="G77" t="s">
        <v>199</v>
      </c>
      <c r="H77" t="s">
        <v>198</v>
      </c>
      <c r="I77" t="s">
        <v>197</v>
      </c>
      <c r="J77">
        <v>23</v>
      </c>
    </row>
    <row r="78" spans="1:10" x14ac:dyDescent="0.25">
      <c r="A78" s="1" t="s">
        <v>27</v>
      </c>
      <c r="B78">
        <v>401754375</v>
      </c>
      <c r="C78" t="s">
        <v>85</v>
      </c>
      <c r="D78" t="s">
        <v>88</v>
      </c>
      <c r="E78" t="s">
        <v>179</v>
      </c>
      <c r="F78">
        <v>27</v>
      </c>
      <c r="G78" t="s">
        <v>199</v>
      </c>
      <c r="H78" t="s">
        <v>198</v>
      </c>
      <c r="I78" t="s">
        <v>194</v>
      </c>
      <c r="J78">
        <v>27</v>
      </c>
    </row>
    <row r="79" spans="1:10" x14ac:dyDescent="0.25">
      <c r="A79" s="1" t="s">
        <v>27</v>
      </c>
      <c r="B79">
        <v>401754375</v>
      </c>
      <c r="C79" t="s">
        <v>85</v>
      </c>
      <c r="D79" t="s">
        <v>88</v>
      </c>
      <c r="E79" t="s">
        <v>179</v>
      </c>
      <c r="F79">
        <v>27</v>
      </c>
      <c r="G79" t="s">
        <v>199</v>
      </c>
      <c r="H79" t="s">
        <v>198</v>
      </c>
      <c r="I79" t="s">
        <v>195</v>
      </c>
      <c r="J79">
        <v>24</v>
      </c>
    </row>
    <row r="80" spans="1:10" x14ac:dyDescent="0.25">
      <c r="A80" s="1" t="s">
        <v>27</v>
      </c>
      <c r="B80">
        <v>401754375</v>
      </c>
      <c r="C80" t="s">
        <v>85</v>
      </c>
      <c r="D80" t="s">
        <v>88</v>
      </c>
      <c r="E80" t="s">
        <v>179</v>
      </c>
      <c r="F80">
        <v>27</v>
      </c>
      <c r="G80" t="s">
        <v>199</v>
      </c>
      <c r="H80" t="s">
        <v>198</v>
      </c>
      <c r="I80" t="s">
        <v>151</v>
      </c>
      <c r="J80">
        <v>13</v>
      </c>
    </row>
    <row r="81" spans="1:10" x14ac:dyDescent="0.25">
      <c r="A81" s="1" t="s">
        <v>27</v>
      </c>
      <c r="B81">
        <v>401754375</v>
      </c>
      <c r="C81" t="s">
        <v>85</v>
      </c>
      <c r="D81" t="s">
        <v>88</v>
      </c>
      <c r="E81" t="s">
        <v>179</v>
      </c>
      <c r="F81">
        <v>27</v>
      </c>
      <c r="G81" t="s">
        <v>199</v>
      </c>
      <c r="H81" t="s">
        <v>198</v>
      </c>
      <c r="I81" t="s">
        <v>200</v>
      </c>
      <c r="J81">
        <v>13</v>
      </c>
    </row>
    <row r="82" spans="1:10" x14ac:dyDescent="0.25">
      <c r="A82" s="1" t="s">
        <v>27</v>
      </c>
      <c r="B82">
        <v>401754375</v>
      </c>
      <c r="C82" t="s">
        <v>85</v>
      </c>
      <c r="D82" t="s">
        <v>88</v>
      </c>
      <c r="E82" t="s">
        <v>179</v>
      </c>
      <c r="F82">
        <v>27</v>
      </c>
      <c r="G82" t="s">
        <v>199</v>
      </c>
      <c r="H82" t="s">
        <v>198</v>
      </c>
      <c r="I82" t="s">
        <v>201</v>
      </c>
      <c r="J82">
        <v>1</v>
      </c>
    </row>
    <row r="83" spans="1:10" x14ac:dyDescent="0.25">
      <c r="A83" s="1" t="s">
        <v>27</v>
      </c>
      <c r="B83">
        <v>401754375</v>
      </c>
      <c r="C83" t="s">
        <v>85</v>
      </c>
      <c r="D83" t="s">
        <v>88</v>
      </c>
      <c r="E83" t="s">
        <v>179</v>
      </c>
      <c r="F83">
        <v>27</v>
      </c>
      <c r="G83" t="s">
        <v>199</v>
      </c>
      <c r="H83" t="s">
        <v>198</v>
      </c>
      <c r="I83" t="s">
        <v>202</v>
      </c>
      <c r="J83">
        <v>1</v>
      </c>
    </row>
    <row r="84" spans="1:10" x14ac:dyDescent="0.25">
      <c r="A84" s="1" t="s">
        <v>27</v>
      </c>
      <c r="B84">
        <v>401754375</v>
      </c>
      <c r="C84" t="s">
        <v>85</v>
      </c>
      <c r="D84" t="s">
        <v>88</v>
      </c>
      <c r="E84" t="s">
        <v>179</v>
      </c>
      <c r="F84">
        <v>27</v>
      </c>
      <c r="G84" t="s">
        <v>203</v>
      </c>
      <c r="H84" t="s">
        <v>204</v>
      </c>
      <c r="I84" t="s">
        <v>184</v>
      </c>
      <c r="J84">
        <v>1</v>
      </c>
    </row>
    <row r="85" spans="1:10" x14ac:dyDescent="0.25">
      <c r="A85" s="1" t="s">
        <v>27</v>
      </c>
      <c r="B85">
        <v>401754375</v>
      </c>
      <c r="C85" t="s">
        <v>85</v>
      </c>
      <c r="D85" t="s">
        <v>88</v>
      </c>
      <c r="E85" t="s">
        <v>179</v>
      </c>
      <c r="F85">
        <v>27</v>
      </c>
      <c r="G85" t="s">
        <v>203</v>
      </c>
      <c r="H85" t="s">
        <v>204</v>
      </c>
      <c r="I85" t="s">
        <v>182</v>
      </c>
      <c r="J85">
        <v>1</v>
      </c>
    </row>
    <row r="86" spans="1:10" x14ac:dyDescent="0.25">
      <c r="A86" s="1" t="s">
        <v>27</v>
      </c>
      <c r="B86">
        <v>401754375</v>
      </c>
      <c r="C86" t="s">
        <v>85</v>
      </c>
      <c r="D86" t="s">
        <v>88</v>
      </c>
      <c r="E86" t="s">
        <v>179</v>
      </c>
      <c r="F86">
        <v>27</v>
      </c>
      <c r="G86" t="s">
        <v>203</v>
      </c>
      <c r="H86" t="s">
        <v>205</v>
      </c>
      <c r="I86" t="s">
        <v>184</v>
      </c>
      <c r="J86">
        <v>1</v>
      </c>
    </row>
    <row r="87" spans="1:10" x14ac:dyDescent="0.25">
      <c r="A87" s="1" t="s">
        <v>27</v>
      </c>
      <c r="B87">
        <v>401754375</v>
      </c>
      <c r="C87" t="s">
        <v>85</v>
      </c>
      <c r="D87" t="s">
        <v>88</v>
      </c>
      <c r="E87" t="s">
        <v>179</v>
      </c>
      <c r="F87">
        <v>27</v>
      </c>
      <c r="G87" t="s">
        <v>203</v>
      </c>
      <c r="H87" t="s">
        <v>205</v>
      </c>
      <c r="I87" t="s">
        <v>182</v>
      </c>
      <c r="J87">
        <v>1</v>
      </c>
    </row>
    <row r="88" spans="1:10" x14ac:dyDescent="0.25">
      <c r="A88" s="1" t="s">
        <v>27</v>
      </c>
      <c r="B88">
        <v>401754375</v>
      </c>
      <c r="C88" t="s">
        <v>85</v>
      </c>
      <c r="D88" t="s">
        <v>88</v>
      </c>
      <c r="E88" t="s">
        <v>179</v>
      </c>
      <c r="F88">
        <v>27</v>
      </c>
      <c r="G88" t="s">
        <v>203</v>
      </c>
      <c r="H88" t="s">
        <v>0</v>
      </c>
      <c r="I88" t="s">
        <v>184</v>
      </c>
      <c r="J88">
        <v>0</v>
      </c>
    </row>
    <row r="89" spans="1:10" x14ac:dyDescent="0.25">
      <c r="A89" s="1" t="s">
        <v>27</v>
      </c>
      <c r="B89">
        <v>401754375</v>
      </c>
      <c r="C89" t="s">
        <v>85</v>
      </c>
      <c r="D89" t="s">
        <v>88</v>
      </c>
      <c r="E89" t="s">
        <v>179</v>
      </c>
      <c r="F89">
        <v>27</v>
      </c>
      <c r="G89" t="s">
        <v>203</v>
      </c>
      <c r="H89" t="s">
        <v>0</v>
      </c>
      <c r="I89" t="s">
        <v>182</v>
      </c>
      <c r="J89">
        <v>0</v>
      </c>
    </row>
    <row r="90" spans="1:10" x14ac:dyDescent="0.25">
      <c r="A90" s="1" t="s">
        <v>27</v>
      </c>
      <c r="B90">
        <v>401754375</v>
      </c>
      <c r="C90" t="s">
        <v>85</v>
      </c>
      <c r="D90" t="s">
        <v>88</v>
      </c>
      <c r="E90" t="s">
        <v>179</v>
      </c>
      <c r="F90">
        <v>27</v>
      </c>
      <c r="G90" t="s">
        <v>90</v>
      </c>
      <c r="H90" t="s">
        <v>206</v>
      </c>
      <c r="I90" t="s">
        <v>207</v>
      </c>
      <c r="J90">
        <v>5</v>
      </c>
    </row>
    <row r="91" spans="1:10" x14ac:dyDescent="0.25">
      <c r="A91" s="1" t="s">
        <v>27</v>
      </c>
      <c r="B91">
        <v>401754375</v>
      </c>
      <c r="C91" t="s">
        <v>85</v>
      </c>
      <c r="D91" t="s">
        <v>88</v>
      </c>
      <c r="E91" t="s">
        <v>179</v>
      </c>
      <c r="F91">
        <v>27</v>
      </c>
      <c r="G91" t="s">
        <v>90</v>
      </c>
      <c r="H91" t="s">
        <v>206</v>
      </c>
      <c r="I91" t="s">
        <v>208</v>
      </c>
      <c r="J91">
        <v>4</v>
      </c>
    </row>
    <row r="92" spans="1:10" x14ac:dyDescent="0.25">
      <c r="A92" s="1" t="s">
        <v>27</v>
      </c>
      <c r="B92">
        <v>401754375</v>
      </c>
      <c r="C92" t="s">
        <v>85</v>
      </c>
      <c r="D92" t="s">
        <v>88</v>
      </c>
      <c r="E92" t="s">
        <v>179</v>
      </c>
      <c r="F92">
        <v>27</v>
      </c>
      <c r="G92" t="s">
        <v>90</v>
      </c>
      <c r="H92" t="s">
        <v>206</v>
      </c>
      <c r="I92" t="s">
        <v>209</v>
      </c>
      <c r="J92">
        <v>3</v>
      </c>
    </row>
    <row r="93" spans="1:10" x14ac:dyDescent="0.25">
      <c r="A93" s="1" t="s">
        <v>27</v>
      </c>
      <c r="B93">
        <v>401754375</v>
      </c>
      <c r="C93" t="s">
        <v>85</v>
      </c>
      <c r="D93" t="s">
        <v>88</v>
      </c>
      <c r="E93" t="s">
        <v>179</v>
      </c>
      <c r="F93">
        <v>27</v>
      </c>
      <c r="G93" t="s">
        <v>90</v>
      </c>
      <c r="H93" t="s">
        <v>206</v>
      </c>
      <c r="I93" t="s">
        <v>210</v>
      </c>
      <c r="J93">
        <v>3</v>
      </c>
    </row>
    <row r="94" spans="1:10" x14ac:dyDescent="0.25">
      <c r="A94" s="1" t="s">
        <v>27</v>
      </c>
      <c r="B94">
        <v>401754375</v>
      </c>
      <c r="C94" t="s">
        <v>85</v>
      </c>
      <c r="D94" t="s">
        <v>88</v>
      </c>
      <c r="E94" t="s">
        <v>179</v>
      </c>
      <c r="F94">
        <v>27</v>
      </c>
      <c r="G94" t="s">
        <v>90</v>
      </c>
      <c r="H94" t="s">
        <v>206</v>
      </c>
      <c r="I94" t="s">
        <v>211</v>
      </c>
      <c r="J94">
        <v>3</v>
      </c>
    </row>
    <row r="95" spans="1:10" x14ac:dyDescent="0.25">
      <c r="A95" s="1" t="s">
        <v>27</v>
      </c>
      <c r="B95">
        <v>401754375</v>
      </c>
      <c r="C95" t="s">
        <v>85</v>
      </c>
      <c r="D95" t="s">
        <v>88</v>
      </c>
      <c r="E95" t="s">
        <v>179</v>
      </c>
      <c r="F95">
        <v>27</v>
      </c>
      <c r="G95" t="s">
        <v>90</v>
      </c>
      <c r="H95" t="s">
        <v>206</v>
      </c>
      <c r="I95" t="s">
        <v>212</v>
      </c>
      <c r="J95">
        <v>3</v>
      </c>
    </row>
    <row r="96" spans="1:10" x14ac:dyDescent="0.25">
      <c r="A96" s="1" t="s">
        <v>27</v>
      </c>
      <c r="B96">
        <v>401754375</v>
      </c>
      <c r="C96" t="s">
        <v>85</v>
      </c>
      <c r="D96" t="s">
        <v>88</v>
      </c>
      <c r="E96" t="s">
        <v>179</v>
      </c>
      <c r="F96">
        <v>27</v>
      </c>
      <c r="G96" t="s">
        <v>90</v>
      </c>
      <c r="H96" t="s">
        <v>206</v>
      </c>
      <c r="I96" t="s">
        <v>213</v>
      </c>
      <c r="J96">
        <v>3</v>
      </c>
    </row>
    <row r="97" spans="1:10" x14ac:dyDescent="0.25">
      <c r="A97" s="1" t="s">
        <v>27</v>
      </c>
      <c r="B97">
        <v>401754375</v>
      </c>
      <c r="C97" t="s">
        <v>85</v>
      </c>
      <c r="D97" t="s">
        <v>88</v>
      </c>
      <c r="E97" t="s">
        <v>179</v>
      </c>
      <c r="F97">
        <v>27</v>
      </c>
      <c r="G97" t="s">
        <v>90</v>
      </c>
      <c r="H97" t="s">
        <v>206</v>
      </c>
      <c r="I97" t="s">
        <v>214</v>
      </c>
      <c r="J97">
        <v>3</v>
      </c>
    </row>
    <row r="98" spans="1:10" x14ac:dyDescent="0.25">
      <c r="A98" s="1" t="s">
        <v>27</v>
      </c>
      <c r="B98">
        <v>401754375</v>
      </c>
      <c r="C98" t="s">
        <v>85</v>
      </c>
      <c r="D98" t="s">
        <v>88</v>
      </c>
      <c r="E98" t="s">
        <v>179</v>
      </c>
      <c r="F98">
        <v>27</v>
      </c>
      <c r="G98" t="s">
        <v>90</v>
      </c>
      <c r="H98" t="s">
        <v>206</v>
      </c>
      <c r="I98" t="s">
        <v>215</v>
      </c>
      <c r="J98">
        <v>3</v>
      </c>
    </row>
    <row r="99" spans="1:10" x14ac:dyDescent="0.25">
      <c r="A99" s="1" t="s">
        <v>27</v>
      </c>
      <c r="B99">
        <v>401754375</v>
      </c>
      <c r="C99" t="s">
        <v>85</v>
      </c>
      <c r="D99" t="s">
        <v>88</v>
      </c>
      <c r="E99" t="s">
        <v>179</v>
      </c>
      <c r="F99">
        <v>27</v>
      </c>
      <c r="G99" t="s">
        <v>90</v>
      </c>
      <c r="H99" t="s">
        <v>206</v>
      </c>
      <c r="I99" t="s">
        <v>216</v>
      </c>
      <c r="J99">
        <v>3</v>
      </c>
    </row>
    <row r="100" spans="1:10" x14ac:dyDescent="0.25">
      <c r="A100" s="1" t="s">
        <v>27</v>
      </c>
      <c r="B100">
        <v>401754375</v>
      </c>
      <c r="C100" t="s">
        <v>85</v>
      </c>
      <c r="D100" t="s">
        <v>88</v>
      </c>
      <c r="E100" t="s">
        <v>179</v>
      </c>
      <c r="F100">
        <v>27</v>
      </c>
      <c r="G100" t="s">
        <v>90</v>
      </c>
      <c r="H100" t="s">
        <v>206</v>
      </c>
      <c r="I100" t="s">
        <v>217</v>
      </c>
      <c r="J100">
        <v>2</v>
      </c>
    </row>
    <row r="101" spans="1:10" x14ac:dyDescent="0.25">
      <c r="A101" s="1" t="s">
        <v>27</v>
      </c>
      <c r="B101">
        <v>401754375</v>
      </c>
      <c r="C101" t="s">
        <v>85</v>
      </c>
      <c r="D101" t="s">
        <v>88</v>
      </c>
      <c r="E101" t="s">
        <v>179</v>
      </c>
      <c r="F101">
        <v>27</v>
      </c>
      <c r="G101" t="s">
        <v>90</v>
      </c>
      <c r="H101" t="s">
        <v>206</v>
      </c>
      <c r="I101" t="s">
        <v>218</v>
      </c>
      <c r="J101">
        <v>2</v>
      </c>
    </row>
    <row r="102" spans="1:10" x14ac:dyDescent="0.25">
      <c r="A102" s="1" t="s">
        <v>27</v>
      </c>
      <c r="B102">
        <v>401754375</v>
      </c>
      <c r="C102" t="s">
        <v>85</v>
      </c>
      <c r="D102" t="s">
        <v>88</v>
      </c>
      <c r="E102" t="s">
        <v>179</v>
      </c>
      <c r="F102">
        <v>27</v>
      </c>
      <c r="G102" t="s">
        <v>90</v>
      </c>
      <c r="H102" t="s">
        <v>206</v>
      </c>
      <c r="I102" t="s">
        <v>219</v>
      </c>
      <c r="J102">
        <v>2</v>
      </c>
    </row>
    <row r="103" spans="1:10" x14ac:dyDescent="0.25">
      <c r="A103" s="1" t="s">
        <v>27</v>
      </c>
      <c r="B103">
        <v>401754375</v>
      </c>
      <c r="C103" t="s">
        <v>85</v>
      </c>
      <c r="D103" t="s">
        <v>88</v>
      </c>
      <c r="E103" t="s">
        <v>179</v>
      </c>
      <c r="F103">
        <v>27</v>
      </c>
      <c r="G103" t="s">
        <v>90</v>
      </c>
      <c r="H103" t="s">
        <v>206</v>
      </c>
      <c r="I103" t="s">
        <v>220</v>
      </c>
      <c r="J103">
        <v>1</v>
      </c>
    </row>
    <row r="104" spans="1:10" x14ac:dyDescent="0.25">
      <c r="A104" s="1" t="s">
        <v>27</v>
      </c>
      <c r="B104">
        <v>401754375</v>
      </c>
      <c r="C104" t="s">
        <v>85</v>
      </c>
      <c r="D104" t="s">
        <v>88</v>
      </c>
      <c r="E104" t="s">
        <v>179</v>
      </c>
      <c r="F104">
        <v>27</v>
      </c>
      <c r="G104" t="s">
        <v>90</v>
      </c>
      <c r="H104" t="s">
        <v>206</v>
      </c>
      <c r="I104" t="s">
        <v>221</v>
      </c>
      <c r="J104">
        <v>1</v>
      </c>
    </row>
    <row r="105" spans="1:10" x14ac:dyDescent="0.25">
      <c r="A105" s="1" t="s">
        <v>27</v>
      </c>
      <c r="B105">
        <v>401754375</v>
      </c>
      <c r="C105" t="s">
        <v>85</v>
      </c>
      <c r="D105" t="s">
        <v>88</v>
      </c>
      <c r="E105" t="s">
        <v>179</v>
      </c>
      <c r="F105">
        <v>27</v>
      </c>
      <c r="G105" t="s">
        <v>90</v>
      </c>
      <c r="H105" t="s">
        <v>206</v>
      </c>
      <c r="I105" t="s">
        <v>222</v>
      </c>
      <c r="J105">
        <v>1</v>
      </c>
    </row>
    <row r="106" spans="1:10" x14ac:dyDescent="0.25">
      <c r="A106" s="1" t="s">
        <v>27</v>
      </c>
      <c r="B106">
        <v>401754375</v>
      </c>
      <c r="C106" t="s">
        <v>85</v>
      </c>
      <c r="D106" t="s">
        <v>88</v>
      </c>
      <c r="E106" t="s">
        <v>179</v>
      </c>
      <c r="F106">
        <v>27</v>
      </c>
      <c r="G106" t="s">
        <v>90</v>
      </c>
      <c r="H106" t="s">
        <v>206</v>
      </c>
      <c r="I106" t="s">
        <v>223</v>
      </c>
      <c r="J106">
        <v>1</v>
      </c>
    </row>
    <row r="107" spans="1:10" x14ac:dyDescent="0.25">
      <c r="A107" s="1" t="s">
        <v>27</v>
      </c>
      <c r="B107">
        <v>401754375</v>
      </c>
      <c r="C107" t="s">
        <v>85</v>
      </c>
      <c r="D107" t="s">
        <v>88</v>
      </c>
      <c r="E107" t="s">
        <v>179</v>
      </c>
      <c r="F107">
        <v>27</v>
      </c>
      <c r="G107" t="s">
        <v>90</v>
      </c>
      <c r="H107" t="s">
        <v>206</v>
      </c>
      <c r="I107" t="s">
        <v>224</v>
      </c>
      <c r="J107">
        <v>1</v>
      </c>
    </row>
    <row r="108" spans="1:10" x14ac:dyDescent="0.25">
      <c r="A108" s="1" t="s">
        <v>27</v>
      </c>
      <c r="B108">
        <v>401754375</v>
      </c>
      <c r="C108" t="s">
        <v>85</v>
      </c>
      <c r="D108" t="s">
        <v>88</v>
      </c>
      <c r="E108" t="s">
        <v>179</v>
      </c>
      <c r="F108">
        <v>27</v>
      </c>
      <c r="G108" t="s">
        <v>90</v>
      </c>
      <c r="H108" t="s">
        <v>206</v>
      </c>
      <c r="I108" t="s">
        <v>225</v>
      </c>
      <c r="J108">
        <v>0</v>
      </c>
    </row>
    <row r="109" spans="1:10" x14ac:dyDescent="0.25">
      <c r="A109" s="1" t="s">
        <v>27</v>
      </c>
      <c r="B109">
        <v>401754375</v>
      </c>
      <c r="C109" t="s">
        <v>85</v>
      </c>
      <c r="D109" t="s">
        <v>88</v>
      </c>
      <c r="E109" t="s">
        <v>179</v>
      </c>
      <c r="F109">
        <v>27</v>
      </c>
      <c r="G109" t="s">
        <v>90</v>
      </c>
      <c r="H109" t="s">
        <v>206</v>
      </c>
      <c r="I109" t="s">
        <v>226</v>
      </c>
      <c r="J109">
        <v>0</v>
      </c>
    </row>
    <row r="110" spans="1:10" x14ac:dyDescent="0.25">
      <c r="A110" s="1" t="s">
        <v>27</v>
      </c>
      <c r="B110">
        <v>401754375</v>
      </c>
      <c r="C110" t="s">
        <v>85</v>
      </c>
      <c r="D110" t="s">
        <v>88</v>
      </c>
      <c r="E110" t="s">
        <v>179</v>
      </c>
      <c r="F110">
        <v>27</v>
      </c>
      <c r="G110" t="s">
        <v>90</v>
      </c>
      <c r="H110" t="s">
        <v>227</v>
      </c>
      <c r="I110" t="s">
        <v>207</v>
      </c>
      <c r="J110">
        <v>5</v>
      </c>
    </row>
    <row r="111" spans="1:10" x14ac:dyDescent="0.25">
      <c r="A111" s="1" t="s">
        <v>27</v>
      </c>
      <c r="B111">
        <v>401754375</v>
      </c>
      <c r="C111" t="s">
        <v>85</v>
      </c>
      <c r="D111" t="s">
        <v>88</v>
      </c>
      <c r="E111" t="s">
        <v>179</v>
      </c>
      <c r="F111">
        <v>27</v>
      </c>
      <c r="G111" t="s">
        <v>90</v>
      </c>
      <c r="H111" t="s">
        <v>227</v>
      </c>
      <c r="I111" t="s">
        <v>208</v>
      </c>
      <c r="J111">
        <v>3</v>
      </c>
    </row>
    <row r="112" spans="1:10" x14ac:dyDescent="0.25">
      <c r="A112" s="1" t="s">
        <v>27</v>
      </c>
      <c r="B112">
        <v>401754375</v>
      </c>
      <c r="C112" t="s">
        <v>85</v>
      </c>
      <c r="D112" t="s">
        <v>88</v>
      </c>
      <c r="E112" t="s">
        <v>179</v>
      </c>
      <c r="F112">
        <v>27</v>
      </c>
      <c r="G112" t="s">
        <v>90</v>
      </c>
      <c r="H112" t="s">
        <v>227</v>
      </c>
      <c r="I112" t="s">
        <v>209</v>
      </c>
      <c r="J112">
        <v>3</v>
      </c>
    </row>
    <row r="113" spans="1:10" x14ac:dyDescent="0.25">
      <c r="A113" s="1" t="s">
        <v>27</v>
      </c>
      <c r="B113">
        <v>401754375</v>
      </c>
      <c r="C113" t="s">
        <v>85</v>
      </c>
      <c r="D113" t="s">
        <v>88</v>
      </c>
      <c r="E113" t="s">
        <v>179</v>
      </c>
      <c r="F113">
        <v>27</v>
      </c>
      <c r="G113" t="s">
        <v>90</v>
      </c>
      <c r="H113" t="s">
        <v>227</v>
      </c>
      <c r="I113" t="s">
        <v>210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85</v>
      </c>
      <c r="D114" t="s">
        <v>88</v>
      </c>
      <c r="E114" t="s">
        <v>179</v>
      </c>
      <c r="F114">
        <v>27</v>
      </c>
      <c r="G114" t="s">
        <v>90</v>
      </c>
      <c r="H114" t="s">
        <v>227</v>
      </c>
      <c r="I114" t="s">
        <v>211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85</v>
      </c>
      <c r="D115" t="s">
        <v>88</v>
      </c>
      <c r="E115" t="s">
        <v>179</v>
      </c>
      <c r="F115">
        <v>27</v>
      </c>
      <c r="G115" t="s">
        <v>90</v>
      </c>
      <c r="H115" t="s">
        <v>227</v>
      </c>
      <c r="I115" t="s">
        <v>212</v>
      </c>
      <c r="J115">
        <v>3</v>
      </c>
    </row>
    <row r="116" spans="1:10" x14ac:dyDescent="0.25">
      <c r="A116" s="1" t="s">
        <v>27</v>
      </c>
      <c r="B116">
        <v>401754375</v>
      </c>
      <c r="C116" t="s">
        <v>85</v>
      </c>
      <c r="D116" t="s">
        <v>88</v>
      </c>
      <c r="E116" t="s">
        <v>179</v>
      </c>
      <c r="F116">
        <v>27</v>
      </c>
      <c r="G116" t="s">
        <v>90</v>
      </c>
      <c r="H116" t="s">
        <v>227</v>
      </c>
      <c r="I116" t="s">
        <v>213</v>
      </c>
      <c r="J116">
        <v>3</v>
      </c>
    </row>
    <row r="117" spans="1:10" x14ac:dyDescent="0.25">
      <c r="A117" s="1" t="s">
        <v>27</v>
      </c>
      <c r="B117">
        <v>401754375</v>
      </c>
      <c r="C117" t="s">
        <v>85</v>
      </c>
      <c r="D117" t="s">
        <v>88</v>
      </c>
      <c r="E117" t="s">
        <v>179</v>
      </c>
      <c r="F117">
        <v>27</v>
      </c>
      <c r="G117" t="s">
        <v>90</v>
      </c>
      <c r="H117" t="s">
        <v>227</v>
      </c>
      <c r="I117" t="s">
        <v>214</v>
      </c>
      <c r="J117">
        <v>2</v>
      </c>
    </row>
    <row r="118" spans="1:10" x14ac:dyDescent="0.25">
      <c r="A118" s="1" t="s">
        <v>27</v>
      </c>
      <c r="B118">
        <v>401754375</v>
      </c>
      <c r="C118" t="s">
        <v>85</v>
      </c>
      <c r="D118" t="s">
        <v>88</v>
      </c>
      <c r="E118" t="s">
        <v>179</v>
      </c>
      <c r="F118">
        <v>27</v>
      </c>
      <c r="G118" t="s">
        <v>90</v>
      </c>
      <c r="H118" t="s">
        <v>227</v>
      </c>
      <c r="I118" t="s">
        <v>215</v>
      </c>
      <c r="J118">
        <v>2</v>
      </c>
    </row>
    <row r="119" spans="1:10" x14ac:dyDescent="0.25">
      <c r="A119" s="1" t="s">
        <v>27</v>
      </c>
      <c r="B119">
        <v>401754375</v>
      </c>
      <c r="C119" t="s">
        <v>85</v>
      </c>
      <c r="D119" t="s">
        <v>88</v>
      </c>
      <c r="E119" t="s">
        <v>179</v>
      </c>
      <c r="F119">
        <v>27</v>
      </c>
      <c r="G119" t="s">
        <v>90</v>
      </c>
      <c r="H119" t="s">
        <v>227</v>
      </c>
      <c r="I119" t="s">
        <v>216</v>
      </c>
      <c r="J119">
        <v>2</v>
      </c>
    </row>
    <row r="120" spans="1:10" x14ac:dyDescent="0.25">
      <c r="A120" s="1" t="s">
        <v>27</v>
      </c>
      <c r="B120">
        <v>401754375</v>
      </c>
      <c r="C120" t="s">
        <v>85</v>
      </c>
      <c r="D120" t="s">
        <v>88</v>
      </c>
      <c r="E120" t="s">
        <v>179</v>
      </c>
      <c r="F120">
        <v>27</v>
      </c>
      <c r="G120" t="s">
        <v>90</v>
      </c>
      <c r="H120" t="s">
        <v>227</v>
      </c>
      <c r="I120" t="s">
        <v>217</v>
      </c>
      <c r="J120">
        <v>2</v>
      </c>
    </row>
    <row r="121" spans="1:10" x14ac:dyDescent="0.25">
      <c r="A121" s="1" t="s">
        <v>27</v>
      </c>
      <c r="B121">
        <v>401754375</v>
      </c>
      <c r="C121" t="s">
        <v>85</v>
      </c>
      <c r="D121" t="s">
        <v>88</v>
      </c>
      <c r="E121" t="s">
        <v>179</v>
      </c>
      <c r="F121">
        <v>27</v>
      </c>
      <c r="G121" t="s">
        <v>90</v>
      </c>
      <c r="H121" t="s">
        <v>227</v>
      </c>
      <c r="I121" t="s">
        <v>218</v>
      </c>
      <c r="J121">
        <v>2</v>
      </c>
    </row>
    <row r="122" spans="1:10" x14ac:dyDescent="0.25">
      <c r="A122" s="1" t="s">
        <v>27</v>
      </c>
      <c r="B122">
        <v>401754375</v>
      </c>
      <c r="C122" t="s">
        <v>85</v>
      </c>
      <c r="D122" t="s">
        <v>88</v>
      </c>
      <c r="E122" t="s">
        <v>179</v>
      </c>
      <c r="F122">
        <v>27</v>
      </c>
      <c r="G122" t="s">
        <v>90</v>
      </c>
      <c r="H122" t="s">
        <v>227</v>
      </c>
      <c r="I122" t="s">
        <v>219</v>
      </c>
      <c r="J122">
        <v>1</v>
      </c>
    </row>
    <row r="123" spans="1:10" x14ac:dyDescent="0.25">
      <c r="A123" s="1" t="s">
        <v>27</v>
      </c>
      <c r="B123">
        <v>401754375</v>
      </c>
      <c r="C123" t="s">
        <v>85</v>
      </c>
      <c r="D123" t="s">
        <v>88</v>
      </c>
      <c r="E123" t="s">
        <v>179</v>
      </c>
      <c r="F123">
        <v>27</v>
      </c>
      <c r="G123" t="s">
        <v>90</v>
      </c>
      <c r="H123" t="s">
        <v>227</v>
      </c>
      <c r="I123" t="s">
        <v>220</v>
      </c>
      <c r="J123">
        <v>1</v>
      </c>
    </row>
    <row r="124" spans="1:10" x14ac:dyDescent="0.25">
      <c r="A124" s="1" t="s">
        <v>27</v>
      </c>
      <c r="B124">
        <v>401754375</v>
      </c>
      <c r="C124" t="s">
        <v>85</v>
      </c>
      <c r="D124" t="s">
        <v>88</v>
      </c>
      <c r="E124" t="s">
        <v>179</v>
      </c>
      <c r="F124">
        <v>27</v>
      </c>
      <c r="G124" t="s">
        <v>90</v>
      </c>
      <c r="H124" t="s">
        <v>227</v>
      </c>
      <c r="I124" t="s">
        <v>221</v>
      </c>
      <c r="J124">
        <v>1</v>
      </c>
    </row>
    <row r="125" spans="1:10" x14ac:dyDescent="0.25">
      <c r="A125" s="1" t="s">
        <v>27</v>
      </c>
      <c r="B125">
        <v>401754375</v>
      </c>
      <c r="C125" t="s">
        <v>85</v>
      </c>
      <c r="D125" t="s">
        <v>88</v>
      </c>
      <c r="E125" t="s">
        <v>179</v>
      </c>
      <c r="F125">
        <v>27</v>
      </c>
      <c r="G125" t="s">
        <v>90</v>
      </c>
      <c r="H125" t="s">
        <v>227</v>
      </c>
      <c r="I125" t="s">
        <v>222</v>
      </c>
      <c r="J125">
        <v>1</v>
      </c>
    </row>
    <row r="126" spans="1:10" x14ac:dyDescent="0.25">
      <c r="A126" s="1" t="s">
        <v>27</v>
      </c>
      <c r="B126">
        <v>401754375</v>
      </c>
      <c r="C126" t="s">
        <v>85</v>
      </c>
      <c r="D126" t="s">
        <v>88</v>
      </c>
      <c r="E126" t="s">
        <v>179</v>
      </c>
      <c r="F126">
        <v>27</v>
      </c>
      <c r="G126" t="s">
        <v>90</v>
      </c>
      <c r="H126" t="s">
        <v>227</v>
      </c>
      <c r="I126" t="s">
        <v>223</v>
      </c>
      <c r="J126">
        <v>1</v>
      </c>
    </row>
    <row r="127" spans="1:10" x14ac:dyDescent="0.25">
      <c r="A127" s="1" t="s">
        <v>27</v>
      </c>
      <c r="B127">
        <v>401754375</v>
      </c>
      <c r="C127" t="s">
        <v>85</v>
      </c>
      <c r="D127" t="s">
        <v>88</v>
      </c>
      <c r="E127" t="s">
        <v>179</v>
      </c>
      <c r="F127">
        <v>27</v>
      </c>
      <c r="G127" t="s">
        <v>90</v>
      </c>
      <c r="H127" t="s">
        <v>227</v>
      </c>
      <c r="I127" t="s">
        <v>224</v>
      </c>
      <c r="J127">
        <v>0</v>
      </c>
    </row>
    <row r="128" spans="1:10" x14ac:dyDescent="0.25">
      <c r="A128" s="1" t="s">
        <v>27</v>
      </c>
      <c r="B128">
        <v>401754375</v>
      </c>
      <c r="C128" t="s">
        <v>85</v>
      </c>
      <c r="D128" t="s">
        <v>88</v>
      </c>
      <c r="E128" t="s">
        <v>179</v>
      </c>
      <c r="F128">
        <v>27</v>
      </c>
      <c r="G128" t="s">
        <v>90</v>
      </c>
      <c r="H128" t="s">
        <v>227</v>
      </c>
      <c r="I128" t="s">
        <v>225</v>
      </c>
      <c r="J128">
        <v>0</v>
      </c>
    </row>
    <row r="129" spans="1:10" x14ac:dyDescent="0.25">
      <c r="A129" s="1" t="s">
        <v>27</v>
      </c>
      <c r="B129">
        <v>401754375</v>
      </c>
      <c r="C129" t="s">
        <v>85</v>
      </c>
      <c r="D129" t="s">
        <v>88</v>
      </c>
      <c r="E129" t="s">
        <v>179</v>
      </c>
      <c r="F129">
        <v>27</v>
      </c>
      <c r="G129" t="s">
        <v>90</v>
      </c>
      <c r="H129" t="s">
        <v>227</v>
      </c>
      <c r="I129" t="s">
        <v>226</v>
      </c>
      <c r="J129">
        <v>0</v>
      </c>
    </row>
    <row r="130" spans="1:10" x14ac:dyDescent="0.25">
      <c r="A130" s="1" t="s">
        <v>27</v>
      </c>
      <c r="B130">
        <v>401754375</v>
      </c>
      <c r="C130" t="s">
        <v>85</v>
      </c>
      <c r="D130" t="s">
        <v>88</v>
      </c>
      <c r="E130" t="s">
        <v>179</v>
      </c>
      <c r="F130">
        <v>27</v>
      </c>
      <c r="G130" t="s">
        <v>90</v>
      </c>
      <c r="H130" t="s">
        <v>228</v>
      </c>
      <c r="I130" t="s">
        <v>207</v>
      </c>
      <c r="J130">
        <v>0</v>
      </c>
    </row>
    <row r="131" spans="1:10" x14ac:dyDescent="0.25">
      <c r="A131" s="1" t="s">
        <v>27</v>
      </c>
      <c r="B131">
        <v>401754375</v>
      </c>
      <c r="C131" t="s">
        <v>85</v>
      </c>
      <c r="D131" t="s">
        <v>88</v>
      </c>
      <c r="E131" t="s">
        <v>179</v>
      </c>
      <c r="F131">
        <v>27</v>
      </c>
      <c r="G131" t="s">
        <v>90</v>
      </c>
      <c r="H131" t="s">
        <v>228</v>
      </c>
      <c r="I131" t="s">
        <v>208</v>
      </c>
      <c r="J131">
        <v>0</v>
      </c>
    </row>
    <row r="132" spans="1:10" x14ac:dyDescent="0.25">
      <c r="A132" s="1" t="s">
        <v>27</v>
      </c>
      <c r="B132">
        <v>401754375</v>
      </c>
      <c r="C132" t="s">
        <v>85</v>
      </c>
      <c r="D132" t="s">
        <v>88</v>
      </c>
      <c r="E132" t="s">
        <v>179</v>
      </c>
      <c r="F132">
        <v>27</v>
      </c>
      <c r="G132" t="s">
        <v>90</v>
      </c>
      <c r="H132" t="s">
        <v>228</v>
      </c>
      <c r="I132" t="s">
        <v>209</v>
      </c>
      <c r="J132">
        <v>0</v>
      </c>
    </row>
    <row r="133" spans="1:10" x14ac:dyDescent="0.25">
      <c r="A133" s="1" t="s">
        <v>27</v>
      </c>
      <c r="B133">
        <v>401754375</v>
      </c>
      <c r="C133" t="s">
        <v>85</v>
      </c>
      <c r="D133" t="s">
        <v>88</v>
      </c>
      <c r="E133" t="s">
        <v>179</v>
      </c>
      <c r="F133">
        <v>27</v>
      </c>
      <c r="G133" t="s">
        <v>90</v>
      </c>
      <c r="H133" t="s">
        <v>228</v>
      </c>
      <c r="I133" t="s">
        <v>210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85</v>
      </c>
      <c r="D134" t="s">
        <v>88</v>
      </c>
      <c r="E134" t="s">
        <v>179</v>
      </c>
      <c r="F134">
        <v>27</v>
      </c>
      <c r="G134" t="s">
        <v>90</v>
      </c>
      <c r="H134" t="s">
        <v>228</v>
      </c>
      <c r="I134" t="s">
        <v>211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85</v>
      </c>
      <c r="D135" t="s">
        <v>88</v>
      </c>
      <c r="E135" t="s">
        <v>179</v>
      </c>
      <c r="F135">
        <v>27</v>
      </c>
      <c r="G135" t="s">
        <v>90</v>
      </c>
      <c r="H135" t="s">
        <v>228</v>
      </c>
      <c r="I135" t="s">
        <v>212</v>
      </c>
      <c r="J135">
        <v>0</v>
      </c>
    </row>
    <row r="136" spans="1:10" x14ac:dyDescent="0.25">
      <c r="A136" s="1" t="s">
        <v>27</v>
      </c>
      <c r="B136">
        <v>401754375</v>
      </c>
      <c r="C136" t="s">
        <v>85</v>
      </c>
      <c r="D136" t="s">
        <v>88</v>
      </c>
      <c r="E136" t="s">
        <v>179</v>
      </c>
      <c r="F136">
        <v>27</v>
      </c>
      <c r="G136" t="s">
        <v>90</v>
      </c>
      <c r="H136" t="s">
        <v>228</v>
      </c>
      <c r="I136" t="s">
        <v>213</v>
      </c>
      <c r="J136">
        <v>0</v>
      </c>
    </row>
    <row r="137" spans="1:10" x14ac:dyDescent="0.25">
      <c r="A137" s="1" t="s">
        <v>27</v>
      </c>
      <c r="B137">
        <v>401754375</v>
      </c>
      <c r="C137" t="s">
        <v>85</v>
      </c>
      <c r="D137" t="s">
        <v>88</v>
      </c>
      <c r="E137" t="s">
        <v>179</v>
      </c>
      <c r="F137">
        <v>27</v>
      </c>
      <c r="G137" t="s">
        <v>90</v>
      </c>
      <c r="H137" t="s">
        <v>228</v>
      </c>
      <c r="I137" t="s">
        <v>214</v>
      </c>
      <c r="J137">
        <v>0</v>
      </c>
    </row>
    <row r="138" spans="1:10" x14ac:dyDescent="0.25">
      <c r="A138" s="1" t="s">
        <v>27</v>
      </c>
      <c r="B138">
        <v>401754375</v>
      </c>
      <c r="C138" t="s">
        <v>85</v>
      </c>
      <c r="D138" t="s">
        <v>88</v>
      </c>
      <c r="E138" t="s">
        <v>179</v>
      </c>
      <c r="F138">
        <v>27</v>
      </c>
      <c r="G138" t="s">
        <v>90</v>
      </c>
      <c r="H138" t="s">
        <v>228</v>
      </c>
      <c r="I138" t="s">
        <v>215</v>
      </c>
      <c r="J138">
        <v>0</v>
      </c>
    </row>
    <row r="139" spans="1:10" x14ac:dyDescent="0.25">
      <c r="A139" s="1" t="s">
        <v>27</v>
      </c>
      <c r="B139">
        <v>401754375</v>
      </c>
      <c r="C139" t="s">
        <v>85</v>
      </c>
      <c r="D139" t="s">
        <v>88</v>
      </c>
      <c r="E139" t="s">
        <v>179</v>
      </c>
      <c r="F139">
        <v>27</v>
      </c>
      <c r="G139" t="s">
        <v>90</v>
      </c>
      <c r="H139" t="s">
        <v>228</v>
      </c>
      <c r="I139" t="s">
        <v>216</v>
      </c>
      <c r="J139">
        <v>0</v>
      </c>
    </row>
    <row r="140" spans="1:10" x14ac:dyDescent="0.25">
      <c r="A140" s="1" t="s">
        <v>27</v>
      </c>
      <c r="B140">
        <v>401754375</v>
      </c>
      <c r="C140" t="s">
        <v>85</v>
      </c>
      <c r="D140" t="s">
        <v>88</v>
      </c>
      <c r="E140" t="s">
        <v>179</v>
      </c>
      <c r="F140">
        <v>27</v>
      </c>
      <c r="G140" t="s">
        <v>90</v>
      </c>
      <c r="H140" t="s">
        <v>228</v>
      </c>
      <c r="I140" t="s">
        <v>217</v>
      </c>
      <c r="J140">
        <v>0</v>
      </c>
    </row>
    <row r="141" spans="1:10" x14ac:dyDescent="0.25">
      <c r="A141" s="1" t="s">
        <v>27</v>
      </c>
      <c r="B141">
        <v>401754375</v>
      </c>
      <c r="C141" t="s">
        <v>85</v>
      </c>
      <c r="D141" t="s">
        <v>88</v>
      </c>
      <c r="E141" t="s">
        <v>179</v>
      </c>
      <c r="F141">
        <v>27</v>
      </c>
      <c r="G141" t="s">
        <v>90</v>
      </c>
      <c r="H141" t="s">
        <v>228</v>
      </c>
      <c r="I141" t="s">
        <v>218</v>
      </c>
      <c r="J141">
        <v>0</v>
      </c>
    </row>
    <row r="142" spans="1:10" x14ac:dyDescent="0.25">
      <c r="A142" s="1" t="s">
        <v>27</v>
      </c>
      <c r="B142">
        <v>401754375</v>
      </c>
      <c r="C142" t="s">
        <v>85</v>
      </c>
      <c r="D142" t="s">
        <v>88</v>
      </c>
      <c r="E142" t="s">
        <v>179</v>
      </c>
      <c r="F142">
        <v>27</v>
      </c>
      <c r="G142" t="s">
        <v>90</v>
      </c>
      <c r="H142" t="s">
        <v>228</v>
      </c>
      <c r="I142" t="s">
        <v>219</v>
      </c>
      <c r="J142">
        <v>0</v>
      </c>
    </row>
    <row r="143" spans="1:10" x14ac:dyDescent="0.25">
      <c r="A143" s="1" t="s">
        <v>27</v>
      </c>
      <c r="B143">
        <v>401754375</v>
      </c>
      <c r="C143" t="s">
        <v>85</v>
      </c>
      <c r="D143" t="s">
        <v>88</v>
      </c>
      <c r="E143" t="s">
        <v>179</v>
      </c>
      <c r="F143">
        <v>27</v>
      </c>
      <c r="G143" t="s">
        <v>90</v>
      </c>
      <c r="H143" t="s">
        <v>228</v>
      </c>
      <c r="I143" t="s">
        <v>220</v>
      </c>
      <c r="J143">
        <v>1</v>
      </c>
    </row>
    <row r="144" spans="1:10" x14ac:dyDescent="0.25">
      <c r="A144" s="1" t="s">
        <v>27</v>
      </c>
      <c r="B144">
        <v>401754375</v>
      </c>
      <c r="C144" t="s">
        <v>85</v>
      </c>
      <c r="D144" t="s">
        <v>88</v>
      </c>
      <c r="E144" t="s">
        <v>179</v>
      </c>
      <c r="F144">
        <v>27</v>
      </c>
      <c r="G144" t="s">
        <v>90</v>
      </c>
      <c r="H144" t="s">
        <v>228</v>
      </c>
      <c r="I144" t="s">
        <v>221</v>
      </c>
      <c r="J144">
        <v>0</v>
      </c>
    </row>
    <row r="145" spans="1:10" x14ac:dyDescent="0.25">
      <c r="A145" s="1" t="s">
        <v>27</v>
      </c>
      <c r="B145">
        <v>401754375</v>
      </c>
      <c r="C145" t="s">
        <v>85</v>
      </c>
      <c r="D145" t="s">
        <v>88</v>
      </c>
      <c r="E145" t="s">
        <v>179</v>
      </c>
      <c r="F145">
        <v>27</v>
      </c>
      <c r="G145" t="s">
        <v>90</v>
      </c>
      <c r="H145" t="s">
        <v>228</v>
      </c>
      <c r="I145" t="s">
        <v>222</v>
      </c>
      <c r="J145">
        <v>0</v>
      </c>
    </row>
    <row r="146" spans="1:10" x14ac:dyDescent="0.25">
      <c r="A146" s="1" t="s">
        <v>27</v>
      </c>
      <c r="B146">
        <v>401754375</v>
      </c>
      <c r="C146" t="s">
        <v>85</v>
      </c>
      <c r="D146" t="s">
        <v>88</v>
      </c>
      <c r="E146" t="s">
        <v>179</v>
      </c>
      <c r="F146">
        <v>27</v>
      </c>
      <c r="G146" t="s">
        <v>90</v>
      </c>
      <c r="H146" t="s">
        <v>228</v>
      </c>
      <c r="I146" t="s">
        <v>223</v>
      </c>
      <c r="J146">
        <v>0</v>
      </c>
    </row>
    <row r="147" spans="1:10" x14ac:dyDescent="0.25">
      <c r="A147" s="1" t="s">
        <v>27</v>
      </c>
      <c r="B147">
        <v>401754375</v>
      </c>
      <c r="C147" t="s">
        <v>85</v>
      </c>
      <c r="D147" t="s">
        <v>88</v>
      </c>
      <c r="E147" t="s">
        <v>179</v>
      </c>
      <c r="F147">
        <v>27</v>
      </c>
      <c r="G147" t="s">
        <v>90</v>
      </c>
      <c r="H147" t="s">
        <v>228</v>
      </c>
      <c r="I147" t="s">
        <v>224</v>
      </c>
      <c r="J147">
        <v>0</v>
      </c>
    </row>
    <row r="148" spans="1:10" x14ac:dyDescent="0.25">
      <c r="A148" s="1" t="s">
        <v>27</v>
      </c>
      <c r="B148">
        <v>401754375</v>
      </c>
      <c r="C148" t="s">
        <v>85</v>
      </c>
      <c r="D148" t="s">
        <v>88</v>
      </c>
      <c r="E148" t="s">
        <v>179</v>
      </c>
      <c r="F148">
        <v>27</v>
      </c>
      <c r="G148" t="s">
        <v>90</v>
      </c>
      <c r="H148" t="s">
        <v>228</v>
      </c>
      <c r="I148" t="s">
        <v>225</v>
      </c>
      <c r="J148">
        <v>0</v>
      </c>
    </row>
    <row r="149" spans="1:10" x14ac:dyDescent="0.25">
      <c r="A149" s="1" t="s">
        <v>27</v>
      </c>
      <c r="B149">
        <v>401754375</v>
      </c>
      <c r="C149" t="s">
        <v>85</v>
      </c>
      <c r="D149" t="s">
        <v>88</v>
      </c>
      <c r="E149" t="s">
        <v>179</v>
      </c>
      <c r="F149">
        <v>27</v>
      </c>
      <c r="G149" t="s">
        <v>90</v>
      </c>
      <c r="H149" t="s">
        <v>228</v>
      </c>
      <c r="I149" t="s">
        <v>226</v>
      </c>
      <c r="J149">
        <v>0</v>
      </c>
    </row>
    <row r="150" spans="1:10" x14ac:dyDescent="0.25">
      <c r="A150" s="1" t="s">
        <v>27</v>
      </c>
      <c r="B150">
        <v>401754375</v>
      </c>
      <c r="C150" t="s">
        <v>85</v>
      </c>
      <c r="D150" t="s">
        <v>88</v>
      </c>
      <c r="E150" t="s">
        <v>179</v>
      </c>
      <c r="F150">
        <v>27</v>
      </c>
      <c r="G150" t="s">
        <v>90</v>
      </c>
      <c r="H150" t="s">
        <v>229</v>
      </c>
      <c r="I150" t="s">
        <v>207</v>
      </c>
      <c r="J150">
        <v>1</v>
      </c>
    </row>
    <row r="151" spans="1:10" x14ac:dyDescent="0.25">
      <c r="A151" s="1" t="s">
        <v>27</v>
      </c>
      <c r="B151">
        <v>401754375</v>
      </c>
      <c r="C151" t="s">
        <v>85</v>
      </c>
      <c r="D151" t="s">
        <v>88</v>
      </c>
      <c r="E151" t="s">
        <v>179</v>
      </c>
      <c r="F151">
        <v>27</v>
      </c>
      <c r="G151" t="s">
        <v>90</v>
      </c>
      <c r="H151" t="s">
        <v>229</v>
      </c>
      <c r="I151" t="s">
        <v>208</v>
      </c>
      <c r="J151">
        <v>1</v>
      </c>
    </row>
    <row r="152" spans="1:10" x14ac:dyDescent="0.25">
      <c r="A152" s="1" t="s">
        <v>27</v>
      </c>
      <c r="B152">
        <v>401754375</v>
      </c>
      <c r="C152" t="s">
        <v>85</v>
      </c>
      <c r="D152" t="s">
        <v>88</v>
      </c>
      <c r="E152" t="s">
        <v>179</v>
      </c>
      <c r="F152">
        <v>27</v>
      </c>
      <c r="G152" t="s">
        <v>90</v>
      </c>
      <c r="H152" t="s">
        <v>229</v>
      </c>
      <c r="I152" t="s">
        <v>209</v>
      </c>
      <c r="J152">
        <v>0</v>
      </c>
    </row>
    <row r="153" spans="1:10" x14ac:dyDescent="0.25">
      <c r="A153" s="1" t="s">
        <v>27</v>
      </c>
      <c r="B153">
        <v>401754375</v>
      </c>
      <c r="C153" t="s">
        <v>85</v>
      </c>
      <c r="D153" t="s">
        <v>88</v>
      </c>
      <c r="E153" t="s">
        <v>179</v>
      </c>
      <c r="F153">
        <v>27</v>
      </c>
      <c r="G153" t="s">
        <v>90</v>
      </c>
      <c r="H153" t="s">
        <v>229</v>
      </c>
      <c r="I153" t="s">
        <v>210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85</v>
      </c>
      <c r="D154" t="s">
        <v>88</v>
      </c>
      <c r="E154" t="s">
        <v>179</v>
      </c>
      <c r="F154">
        <v>27</v>
      </c>
      <c r="G154" t="s">
        <v>90</v>
      </c>
      <c r="H154" t="s">
        <v>229</v>
      </c>
      <c r="I154" t="s">
        <v>211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85</v>
      </c>
      <c r="D155" t="s">
        <v>88</v>
      </c>
      <c r="E155" t="s">
        <v>179</v>
      </c>
      <c r="F155">
        <v>27</v>
      </c>
      <c r="G155" t="s">
        <v>90</v>
      </c>
      <c r="H155" t="s">
        <v>229</v>
      </c>
      <c r="I155" t="s">
        <v>212</v>
      </c>
      <c r="J155">
        <v>0</v>
      </c>
    </row>
    <row r="156" spans="1:10" x14ac:dyDescent="0.25">
      <c r="A156" s="1" t="s">
        <v>27</v>
      </c>
      <c r="B156">
        <v>401754375</v>
      </c>
      <c r="C156" t="s">
        <v>85</v>
      </c>
      <c r="D156" t="s">
        <v>88</v>
      </c>
      <c r="E156" t="s">
        <v>179</v>
      </c>
      <c r="F156">
        <v>27</v>
      </c>
      <c r="G156" t="s">
        <v>90</v>
      </c>
      <c r="H156" t="s">
        <v>229</v>
      </c>
      <c r="I156" t="s">
        <v>213</v>
      </c>
      <c r="J156">
        <v>1</v>
      </c>
    </row>
    <row r="157" spans="1:10" x14ac:dyDescent="0.25">
      <c r="A157" s="1" t="s">
        <v>27</v>
      </c>
      <c r="B157">
        <v>401754375</v>
      </c>
      <c r="C157" t="s">
        <v>85</v>
      </c>
      <c r="D157" t="s">
        <v>88</v>
      </c>
      <c r="E157" t="s">
        <v>179</v>
      </c>
      <c r="F157">
        <v>27</v>
      </c>
      <c r="G157" t="s">
        <v>90</v>
      </c>
      <c r="H157" t="s">
        <v>229</v>
      </c>
      <c r="I157" t="s">
        <v>214</v>
      </c>
      <c r="J157">
        <v>0</v>
      </c>
    </row>
    <row r="158" spans="1:10" x14ac:dyDescent="0.25">
      <c r="A158" s="1" t="s">
        <v>27</v>
      </c>
      <c r="B158">
        <v>401754375</v>
      </c>
      <c r="C158" t="s">
        <v>85</v>
      </c>
      <c r="D158" t="s">
        <v>88</v>
      </c>
      <c r="E158" t="s">
        <v>179</v>
      </c>
      <c r="F158">
        <v>27</v>
      </c>
      <c r="G158" t="s">
        <v>90</v>
      </c>
      <c r="H158" t="s">
        <v>229</v>
      </c>
      <c r="I158" t="s">
        <v>215</v>
      </c>
      <c r="J158">
        <v>1</v>
      </c>
    </row>
    <row r="159" spans="1:10" x14ac:dyDescent="0.25">
      <c r="A159" s="1" t="s">
        <v>27</v>
      </c>
      <c r="B159">
        <v>401754375</v>
      </c>
      <c r="C159" t="s">
        <v>85</v>
      </c>
      <c r="D159" t="s">
        <v>88</v>
      </c>
      <c r="E159" t="s">
        <v>179</v>
      </c>
      <c r="F159">
        <v>27</v>
      </c>
      <c r="G159" t="s">
        <v>90</v>
      </c>
      <c r="H159" t="s">
        <v>229</v>
      </c>
      <c r="I159" t="s">
        <v>216</v>
      </c>
      <c r="J159">
        <v>0</v>
      </c>
    </row>
    <row r="160" spans="1:10" x14ac:dyDescent="0.25">
      <c r="A160" s="1" t="s">
        <v>27</v>
      </c>
      <c r="B160">
        <v>401754375</v>
      </c>
      <c r="C160" t="s">
        <v>85</v>
      </c>
      <c r="D160" t="s">
        <v>88</v>
      </c>
      <c r="E160" t="s">
        <v>179</v>
      </c>
      <c r="F160">
        <v>27</v>
      </c>
      <c r="G160" t="s">
        <v>90</v>
      </c>
      <c r="H160" t="s">
        <v>229</v>
      </c>
      <c r="I160" t="s">
        <v>217</v>
      </c>
      <c r="J160">
        <v>0</v>
      </c>
    </row>
    <row r="161" spans="1:10" x14ac:dyDescent="0.25">
      <c r="A161" s="1" t="s">
        <v>27</v>
      </c>
      <c r="B161">
        <v>401754375</v>
      </c>
      <c r="C161" t="s">
        <v>85</v>
      </c>
      <c r="D161" t="s">
        <v>88</v>
      </c>
      <c r="E161" t="s">
        <v>179</v>
      </c>
      <c r="F161">
        <v>27</v>
      </c>
      <c r="G161" t="s">
        <v>90</v>
      </c>
      <c r="H161" t="s">
        <v>229</v>
      </c>
      <c r="I161" t="s">
        <v>218</v>
      </c>
      <c r="J161">
        <v>0</v>
      </c>
    </row>
    <row r="162" spans="1:10" x14ac:dyDescent="0.25">
      <c r="A162" s="1" t="s">
        <v>27</v>
      </c>
      <c r="B162">
        <v>401754375</v>
      </c>
      <c r="C162" t="s">
        <v>85</v>
      </c>
      <c r="D162" t="s">
        <v>88</v>
      </c>
      <c r="E162" t="s">
        <v>179</v>
      </c>
      <c r="F162">
        <v>27</v>
      </c>
      <c r="G162" t="s">
        <v>90</v>
      </c>
      <c r="H162" t="s">
        <v>229</v>
      </c>
      <c r="I162" t="s">
        <v>219</v>
      </c>
      <c r="J162">
        <v>0</v>
      </c>
    </row>
    <row r="163" spans="1:10" x14ac:dyDescent="0.25">
      <c r="A163" s="1" t="s">
        <v>27</v>
      </c>
      <c r="B163">
        <v>401754375</v>
      </c>
      <c r="C163" t="s">
        <v>85</v>
      </c>
      <c r="D163" t="s">
        <v>88</v>
      </c>
      <c r="E163" t="s">
        <v>179</v>
      </c>
      <c r="F163">
        <v>27</v>
      </c>
      <c r="G163" t="s">
        <v>90</v>
      </c>
      <c r="H163" t="s">
        <v>229</v>
      </c>
      <c r="I163" t="s">
        <v>220</v>
      </c>
      <c r="J163">
        <v>1</v>
      </c>
    </row>
    <row r="164" spans="1:10" x14ac:dyDescent="0.25">
      <c r="A164" s="1" t="s">
        <v>27</v>
      </c>
      <c r="B164">
        <v>401754375</v>
      </c>
      <c r="C164" t="s">
        <v>85</v>
      </c>
      <c r="D164" t="s">
        <v>88</v>
      </c>
      <c r="E164" t="s">
        <v>179</v>
      </c>
      <c r="F164">
        <v>27</v>
      </c>
      <c r="G164" t="s">
        <v>90</v>
      </c>
      <c r="H164" t="s">
        <v>229</v>
      </c>
      <c r="I164" t="s">
        <v>221</v>
      </c>
      <c r="J164">
        <v>0</v>
      </c>
    </row>
    <row r="165" spans="1:10" x14ac:dyDescent="0.25">
      <c r="A165" s="1" t="s">
        <v>27</v>
      </c>
      <c r="B165">
        <v>401754375</v>
      </c>
      <c r="C165" t="s">
        <v>85</v>
      </c>
      <c r="D165" t="s">
        <v>88</v>
      </c>
      <c r="E165" t="s">
        <v>179</v>
      </c>
      <c r="F165">
        <v>27</v>
      </c>
      <c r="G165" t="s">
        <v>90</v>
      </c>
      <c r="H165" t="s">
        <v>229</v>
      </c>
      <c r="I165" t="s">
        <v>222</v>
      </c>
      <c r="J165">
        <v>1</v>
      </c>
    </row>
    <row r="166" spans="1:10" x14ac:dyDescent="0.25">
      <c r="A166" s="1" t="s">
        <v>27</v>
      </c>
      <c r="B166">
        <v>401754375</v>
      </c>
      <c r="C166" t="s">
        <v>85</v>
      </c>
      <c r="D166" t="s">
        <v>88</v>
      </c>
      <c r="E166" t="s">
        <v>179</v>
      </c>
      <c r="F166">
        <v>27</v>
      </c>
      <c r="G166" t="s">
        <v>90</v>
      </c>
      <c r="H166" t="s">
        <v>229</v>
      </c>
      <c r="I166" t="s">
        <v>223</v>
      </c>
      <c r="J166">
        <v>0</v>
      </c>
    </row>
    <row r="167" spans="1:10" x14ac:dyDescent="0.25">
      <c r="A167" s="1" t="s">
        <v>27</v>
      </c>
      <c r="B167">
        <v>401754375</v>
      </c>
      <c r="C167" t="s">
        <v>85</v>
      </c>
      <c r="D167" t="s">
        <v>88</v>
      </c>
      <c r="E167" t="s">
        <v>179</v>
      </c>
      <c r="F167">
        <v>27</v>
      </c>
      <c r="G167" t="s">
        <v>90</v>
      </c>
      <c r="H167" t="s">
        <v>229</v>
      </c>
      <c r="I167" t="s">
        <v>224</v>
      </c>
      <c r="J167">
        <v>0</v>
      </c>
    </row>
    <row r="168" spans="1:10" x14ac:dyDescent="0.25">
      <c r="A168" s="1" t="s">
        <v>27</v>
      </c>
      <c r="B168">
        <v>401754375</v>
      </c>
      <c r="C168" t="s">
        <v>85</v>
      </c>
      <c r="D168" t="s">
        <v>88</v>
      </c>
      <c r="E168" t="s">
        <v>179</v>
      </c>
      <c r="F168">
        <v>27</v>
      </c>
      <c r="G168" t="s">
        <v>90</v>
      </c>
      <c r="H168" t="s">
        <v>229</v>
      </c>
      <c r="I168" t="s">
        <v>225</v>
      </c>
      <c r="J168">
        <v>0</v>
      </c>
    </row>
    <row r="169" spans="1:10" x14ac:dyDescent="0.25">
      <c r="A169" s="1" t="s">
        <v>27</v>
      </c>
      <c r="B169">
        <v>401754375</v>
      </c>
      <c r="C169" t="s">
        <v>85</v>
      </c>
      <c r="D169" t="s">
        <v>88</v>
      </c>
      <c r="E169" t="s">
        <v>179</v>
      </c>
      <c r="F169">
        <v>27</v>
      </c>
      <c r="G169" t="s">
        <v>90</v>
      </c>
      <c r="H169" t="s">
        <v>229</v>
      </c>
      <c r="I169" t="s">
        <v>226</v>
      </c>
      <c r="J169">
        <v>0</v>
      </c>
    </row>
    <row r="170" spans="1:10" x14ac:dyDescent="0.25">
      <c r="A170" s="1" t="s">
        <v>27</v>
      </c>
      <c r="B170">
        <v>401754375</v>
      </c>
      <c r="C170" t="s">
        <v>85</v>
      </c>
      <c r="D170" t="s">
        <v>88</v>
      </c>
      <c r="E170" t="s">
        <v>179</v>
      </c>
      <c r="F170">
        <v>27</v>
      </c>
      <c r="G170" t="s">
        <v>90</v>
      </c>
      <c r="H170" t="s">
        <v>91</v>
      </c>
      <c r="I170" t="s">
        <v>207</v>
      </c>
      <c r="J170">
        <v>0</v>
      </c>
    </row>
    <row r="171" spans="1:10" x14ac:dyDescent="0.25">
      <c r="A171" s="1" t="s">
        <v>27</v>
      </c>
      <c r="B171">
        <v>401754375</v>
      </c>
      <c r="C171" t="s">
        <v>85</v>
      </c>
      <c r="D171" t="s">
        <v>88</v>
      </c>
      <c r="E171" t="s">
        <v>179</v>
      </c>
      <c r="F171">
        <v>27</v>
      </c>
      <c r="G171" t="s">
        <v>90</v>
      </c>
      <c r="H171" t="s">
        <v>91</v>
      </c>
      <c r="I171" t="s">
        <v>208</v>
      </c>
      <c r="J171">
        <v>0</v>
      </c>
    </row>
    <row r="172" spans="1:10" x14ac:dyDescent="0.25">
      <c r="A172" s="1" t="s">
        <v>27</v>
      </c>
      <c r="B172">
        <v>401754375</v>
      </c>
      <c r="C172" t="s">
        <v>85</v>
      </c>
      <c r="D172" t="s">
        <v>88</v>
      </c>
      <c r="E172" t="s">
        <v>179</v>
      </c>
      <c r="F172">
        <v>27</v>
      </c>
      <c r="G172" t="s">
        <v>90</v>
      </c>
      <c r="H172" t="s">
        <v>91</v>
      </c>
      <c r="I172" t="s">
        <v>209</v>
      </c>
      <c r="J172">
        <v>0</v>
      </c>
    </row>
    <row r="173" spans="1:10" x14ac:dyDescent="0.25">
      <c r="A173" s="1" t="s">
        <v>27</v>
      </c>
      <c r="B173">
        <v>401754375</v>
      </c>
      <c r="C173" t="s">
        <v>85</v>
      </c>
      <c r="D173" t="s">
        <v>88</v>
      </c>
      <c r="E173" t="s">
        <v>179</v>
      </c>
      <c r="F173">
        <v>27</v>
      </c>
      <c r="G173" t="s">
        <v>90</v>
      </c>
      <c r="H173" t="s">
        <v>91</v>
      </c>
      <c r="I173" t="s">
        <v>210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85</v>
      </c>
      <c r="D174" t="s">
        <v>88</v>
      </c>
      <c r="E174" t="s">
        <v>179</v>
      </c>
      <c r="F174">
        <v>27</v>
      </c>
      <c r="G174" t="s">
        <v>90</v>
      </c>
      <c r="H174" t="s">
        <v>91</v>
      </c>
      <c r="I174" t="s">
        <v>211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85</v>
      </c>
      <c r="D175" t="s">
        <v>88</v>
      </c>
      <c r="E175" t="s">
        <v>179</v>
      </c>
      <c r="F175">
        <v>27</v>
      </c>
      <c r="G175" t="s">
        <v>90</v>
      </c>
      <c r="H175" t="s">
        <v>91</v>
      </c>
      <c r="I175" t="s">
        <v>212</v>
      </c>
      <c r="J175">
        <v>0</v>
      </c>
    </row>
    <row r="176" spans="1:10" x14ac:dyDescent="0.25">
      <c r="A176" s="1" t="s">
        <v>27</v>
      </c>
      <c r="B176">
        <v>401754375</v>
      </c>
      <c r="C176" t="s">
        <v>85</v>
      </c>
      <c r="D176" t="s">
        <v>88</v>
      </c>
      <c r="E176" t="s">
        <v>179</v>
      </c>
      <c r="F176">
        <v>27</v>
      </c>
      <c r="G176" t="s">
        <v>90</v>
      </c>
      <c r="H176" t="s">
        <v>91</v>
      </c>
      <c r="I176" t="s">
        <v>213</v>
      </c>
      <c r="J176">
        <v>0</v>
      </c>
    </row>
    <row r="177" spans="1:10" x14ac:dyDescent="0.25">
      <c r="A177" s="1" t="s">
        <v>27</v>
      </c>
      <c r="B177">
        <v>401754375</v>
      </c>
      <c r="C177" t="s">
        <v>85</v>
      </c>
      <c r="D177" t="s">
        <v>88</v>
      </c>
      <c r="E177" t="s">
        <v>179</v>
      </c>
      <c r="F177">
        <v>27</v>
      </c>
      <c r="G177" t="s">
        <v>90</v>
      </c>
      <c r="H177" t="s">
        <v>91</v>
      </c>
      <c r="I177" t="s">
        <v>214</v>
      </c>
      <c r="J177">
        <v>0</v>
      </c>
    </row>
    <row r="178" spans="1:10" x14ac:dyDescent="0.25">
      <c r="A178" s="1" t="s">
        <v>27</v>
      </c>
      <c r="B178">
        <v>401754375</v>
      </c>
      <c r="C178" t="s">
        <v>85</v>
      </c>
      <c r="D178" t="s">
        <v>88</v>
      </c>
      <c r="E178" t="s">
        <v>179</v>
      </c>
      <c r="F178">
        <v>27</v>
      </c>
      <c r="G178" t="s">
        <v>90</v>
      </c>
      <c r="H178" t="s">
        <v>91</v>
      </c>
      <c r="I178" t="s">
        <v>215</v>
      </c>
      <c r="J178">
        <v>0</v>
      </c>
    </row>
    <row r="179" spans="1:10" x14ac:dyDescent="0.25">
      <c r="A179" s="1" t="s">
        <v>27</v>
      </c>
      <c r="B179">
        <v>401754375</v>
      </c>
      <c r="C179" t="s">
        <v>85</v>
      </c>
      <c r="D179" t="s">
        <v>88</v>
      </c>
      <c r="E179" t="s">
        <v>179</v>
      </c>
      <c r="F179">
        <v>27</v>
      </c>
      <c r="G179" t="s">
        <v>90</v>
      </c>
      <c r="H179" t="s">
        <v>91</v>
      </c>
      <c r="I179" t="s">
        <v>216</v>
      </c>
      <c r="J179">
        <v>0</v>
      </c>
    </row>
    <row r="180" spans="1:10" x14ac:dyDescent="0.25">
      <c r="A180" s="1" t="s">
        <v>27</v>
      </c>
      <c r="B180">
        <v>401754375</v>
      </c>
      <c r="C180" t="s">
        <v>85</v>
      </c>
      <c r="D180" t="s">
        <v>88</v>
      </c>
      <c r="E180" t="s">
        <v>179</v>
      </c>
      <c r="F180">
        <v>27</v>
      </c>
      <c r="G180" t="s">
        <v>90</v>
      </c>
      <c r="H180" t="s">
        <v>91</v>
      </c>
      <c r="I180" t="s">
        <v>217</v>
      </c>
      <c r="J180">
        <v>0</v>
      </c>
    </row>
    <row r="181" spans="1:10" x14ac:dyDescent="0.25">
      <c r="A181" s="1" t="s">
        <v>27</v>
      </c>
      <c r="B181">
        <v>401754375</v>
      </c>
      <c r="C181" t="s">
        <v>85</v>
      </c>
      <c r="D181" t="s">
        <v>88</v>
      </c>
      <c r="E181" t="s">
        <v>179</v>
      </c>
      <c r="F181">
        <v>27</v>
      </c>
      <c r="G181" t="s">
        <v>90</v>
      </c>
      <c r="H181" t="s">
        <v>91</v>
      </c>
      <c r="I181" t="s">
        <v>218</v>
      </c>
      <c r="J181">
        <v>0</v>
      </c>
    </row>
    <row r="182" spans="1:10" x14ac:dyDescent="0.25">
      <c r="A182" s="1" t="s">
        <v>27</v>
      </c>
      <c r="B182">
        <v>401754375</v>
      </c>
      <c r="C182" t="s">
        <v>85</v>
      </c>
      <c r="D182" t="s">
        <v>88</v>
      </c>
      <c r="E182" t="s">
        <v>179</v>
      </c>
      <c r="F182">
        <v>27</v>
      </c>
      <c r="G182" t="s">
        <v>90</v>
      </c>
      <c r="H182" t="s">
        <v>91</v>
      </c>
      <c r="I182" t="s">
        <v>219</v>
      </c>
      <c r="J182">
        <v>0</v>
      </c>
    </row>
    <row r="183" spans="1:10" x14ac:dyDescent="0.25">
      <c r="A183" s="1" t="s">
        <v>27</v>
      </c>
      <c r="B183">
        <v>401754375</v>
      </c>
      <c r="C183" t="s">
        <v>85</v>
      </c>
      <c r="D183" t="s">
        <v>88</v>
      </c>
      <c r="E183" t="s">
        <v>179</v>
      </c>
      <c r="F183">
        <v>27</v>
      </c>
      <c r="G183" t="s">
        <v>90</v>
      </c>
      <c r="H183" t="s">
        <v>91</v>
      </c>
      <c r="I183" t="s">
        <v>220</v>
      </c>
      <c r="J183">
        <v>0</v>
      </c>
    </row>
    <row r="184" spans="1:10" x14ac:dyDescent="0.25">
      <c r="A184" s="1" t="s">
        <v>27</v>
      </c>
      <c r="B184">
        <v>401754375</v>
      </c>
      <c r="C184" t="s">
        <v>85</v>
      </c>
      <c r="D184" t="s">
        <v>88</v>
      </c>
      <c r="E184" t="s">
        <v>179</v>
      </c>
      <c r="F184">
        <v>27</v>
      </c>
      <c r="G184" t="s">
        <v>90</v>
      </c>
      <c r="H184" t="s">
        <v>91</v>
      </c>
      <c r="I184" t="s">
        <v>221</v>
      </c>
      <c r="J184">
        <v>0</v>
      </c>
    </row>
    <row r="185" spans="1:10" x14ac:dyDescent="0.25">
      <c r="A185" s="1" t="s">
        <v>27</v>
      </c>
      <c r="B185">
        <v>401754375</v>
      </c>
      <c r="C185" t="s">
        <v>85</v>
      </c>
      <c r="D185" t="s">
        <v>88</v>
      </c>
      <c r="E185" t="s">
        <v>179</v>
      </c>
      <c r="F185">
        <v>27</v>
      </c>
      <c r="G185" t="s">
        <v>90</v>
      </c>
      <c r="H185" t="s">
        <v>91</v>
      </c>
      <c r="I185" t="s">
        <v>222</v>
      </c>
      <c r="J185">
        <v>0</v>
      </c>
    </row>
    <row r="186" spans="1:10" x14ac:dyDescent="0.25">
      <c r="A186" s="1" t="s">
        <v>27</v>
      </c>
      <c r="B186">
        <v>401754375</v>
      </c>
      <c r="C186" t="s">
        <v>85</v>
      </c>
      <c r="D186" t="s">
        <v>88</v>
      </c>
      <c r="E186" t="s">
        <v>179</v>
      </c>
      <c r="F186">
        <v>27</v>
      </c>
      <c r="G186" t="s">
        <v>90</v>
      </c>
      <c r="H186" t="s">
        <v>91</v>
      </c>
      <c r="I186" t="s">
        <v>223</v>
      </c>
      <c r="J186">
        <v>0</v>
      </c>
    </row>
    <row r="187" spans="1:10" x14ac:dyDescent="0.25">
      <c r="A187" s="1" t="s">
        <v>27</v>
      </c>
      <c r="B187">
        <v>401754375</v>
      </c>
      <c r="C187" t="s">
        <v>85</v>
      </c>
      <c r="D187" t="s">
        <v>88</v>
      </c>
      <c r="E187" t="s">
        <v>179</v>
      </c>
      <c r="F187">
        <v>27</v>
      </c>
      <c r="G187" t="s">
        <v>90</v>
      </c>
      <c r="H187" t="s">
        <v>91</v>
      </c>
      <c r="I187" t="s">
        <v>224</v>
      </c>
      <c r="J187">
        <v>0</v>
      </c>
    </row>
    <row r="188" spans="1:10" x14ac:dyDescent="0.25">
      <c r="A188" s="1" t="s">
        <v>27</v>
      </c>
      <c r="B188">
        <v>401754375</v>
      </c>
      <c r="C188" t="s">
        <v>85</v>
      </c>
      <c r="D188" t="s">
        <v>88</v>
      </c>
      <c r="E188" t="s">
        <v>179</v>
      </c>
      <c r="F188">
        <v>27</v>
      </c>
      <c r="G188" t="s">
        <v>90</v>
      </c>
      <c r="H188" t="s">
        <v>91</v>
      </c>
      <c r="I188" t="s">
        <v>225</v>
      </c>
      <c r="J188">
        <v>1</v>
      </c>
    </row>
    <row r="189" spans="1:10" x14ac:dyDescent="0.25">
      <c r="A189" s="1" t="s">
        <v>27</v>
      </c>
      <c r="B189">
        <v>401754375</v>
      </c>
      <c r="C189" t="s">
        <v>85</v>
      </c>
      <c r="D189" t="s">
        <v>88</v>
      </c>
      <c r="E189" t="s">
        <v>179</v>
      </c>
      <c r="F189">
        <v>27</v>
      </c>
      <c r="G189" t="s">
        <v>90</v>
      </c>
      <c r="H189" t="s">
        <v>91</v>
      </c>
      <c r="I189" t="s">
        <v>226</v>
      </c>
      <c r="J189">
        <v>1</v>
      </c>
    </row>
    <row r="190" spans="1:10" x14ac:dyDescent="0.25">
      <c r="A190" s="1" t="s">
        <v>27</v>
      </c>
      <c r="B190">
        <v>401754375</v>
      </c>
      <c r="C190" t="s">
        <v>85</v>
      </c>
      <c r="D190" t="s">
        <v>88</v>
      </c>
      <c r="E190" t="s">
        <v>179</v>
      </c>
      <c r="F190">
        <v>27</v>
      </c>
      <c r="G190" t="s">
        <v>90</v>
      </c>
      <c r="H190" t="s">
        <v>230</v>
      </c>
      <c r="I190" t="s">
        <v>207</v>
      </c>
      <c r="J190">
        <v>0</v>
      </c>
    </row>
    <row r="191" spans="1:10" x14ac:dyDescent="0.25">
      <c r="A191" s="1" t="s">
        <v>27</v>
      </c>
      <c r="B191">
        <v>401754375</v>
      </c>
      <c r="C191" t="s">
        <v>85</v>
      </c>
      <c r="D191" t="s">
        <v>88</v>
      </c>
      <c r="E191" t="s">
        <v>179</v>
      </c>
      <c r="F191">
        <v>27</v>
      </c>
      <c r="G191" t="s">
        <v>90</v>
      </c>
      <c r="H191" t="s">
        <v>230</v>
      </c>
      <c r="I191" t="s">
        <v>208</v>
      </c>
      <c r="J191">
        <v>0</v>
      </c>
    </row>
    <row r="192" spans="1:10" x14ac:dyDescent="0.25">
      <c r="A192" s="1" t="s">
        <v>27</v>
      </c>
      <c r="B192">
        <v>401754375</v>
      </c>
      <c r="C192" t="s">
        <v>85</v>
      </c>
      <c r="D192" t="s">
        <v>88</v>
      </c>
      <c r="E192" t="s">
        <v>179</v>
      </c>
      <c r="F192">
        <v>27</v>
      </c>
      <c r="G192" t="s">
        <v>90</v>
      </c>
      <c r="H192" t="s">
        <v>230</v>
      </c>
      <c r="I192" t="s">
        <v>209</v>
      </c>
      <c r="J192">
        <v>0</v>
      </c>
    </row>
    <row r="193" spans="1:10" x14ac:dyDescent="0.25">
      <c r="A193" s="1" t="s">
        <v>27</v>
      </c>
      <c r="B193">
        <v>401754375</v>
      </c>
      <c r="C193" t="s">
        <v>85</v>
      </c>
      <c r="D193" t="s">
        <v>88</v>
      </c>
      <c r="E193" t="s">
        <v>179</v>
      </c>
      <c r="F193">
        <v>27</v>
      </c>
      <c r="G193" t="s">
        <v>90</v>
      </c>
      <c r="H193" t="s">
        <v>230</v>
      </c>
      <c r="I193" t="s">
        <v>210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85</v>
      </c>
      <c r="D194" t="s">
        <v>88</v>
      </c>
      <c r="E194" t="s">
        <v>179</v>
      </c>
      <c r="F194">
        <v>27</v>
      </c>
      <c r="G194" t="s">
        <v>90</v>
      </c>
      <c r="H194" t="s">
        <v>230</v>
      </c>
      <c r="I194" t="s">
        <v>211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85</v>
      </c>
      <c r="D195" t="s">
        <v>88</v>
      </c>
      <c r="E195" t="s">
        <v>179</v>
      </c>
      <c r="F195">
        <v>27</v>
      </c>
      <c r="G195" t="s">
        <v>90</v>
      </c>
      <c r="H195" t="s">
        <v>230</v>
      </c>
      <c r="I195" t="s">
        <v>212</v>
      </c>
      <c r="J195">
        <v>0</v>
      </c>
    </row>
    <row r="196" spans="1:10" x14ac:dyDescent="0.25">
      <c r="A196" s="1" t="s">
        <v>27</v>
      </c>
      <c r="B196">
        <v>401754375</v>
      </c>
      <c r="C196" t="s">
        <v>85</v>
      </c>
      <c r="D196" t="s">
        <v>88</v>
      </c>
      <c r="E196" t="s">
        <v>179</v>
      </c>
      <c r="F196">
        <v>27</v>
      </c>
      <c r="G196" t="s">
        <v>90</v>
      </c>
      <c r="H196" t="s">
        <v>230</v>
      </c>
      <c r="I196" t="s">
        <v>213</v>
      </c>
      <c r="J196">
        <v>0</v>
      </c>
    </row>
    <row r="197" spans="1:10" x14ac:dyDescent="0.25">
      <c r="A197" s="1" t="s">
        <v>27</v>
      </c>
      <c r="B197">
        <v>401754375</v>
      </c>
      <c r="C197" t="s">
        <v>85</v>
      </c>
      <c r="D197" t="s">
        <v>88</v>
      </c>
      <c r="E197" t="s">
        <v>179</v>
      </c>
      <c r="F197">
        <v>27</v>
      </c>
      <c r="G197" t="s">
        <v>90</v>
      </c>
      <c r="H197" t="s">
        <v>230</v>
      </c>
      <c r="I197" t="s">
        <v>214</v>
      </c>
      <c r="J197">
        <v>0</v>
      </c>
    </row>
    <row r="198" spans="1:10" x14ac:dyDescent="0.25">
      <c r="A198" s="1" t="s">
        <v>27</v>
      </c>
      <c r="B198">
        <v>401754375</v>
      </c>
      <c r="C198" t="s">
        <v>85</v>
      </c>
      <c r="D198" t="s">
        <v>88</v>
      </c>
      <c r="E198" t="s">
        <v>179</v>
      </c>
      <c r="F198">
        <v>27</v>
      </c>
      <c r="G198" t="s">
        <v>90</v>
      </c>
      <c r="H198" t="s">
        <v>230</v>
      </c>
      <c r="I198" t="s">
        <v>215</v>
      </c>
      <c r="J198">
        <v>0</v>
      </c>
    </row>
    <row r="199" spans="1:10" x14ac:dyDescent="0.25">
      <c r="A199" s="1" t="s">
        <v>27</v>
      </c>
      <c r="B199">
        <v>401754375</v>
      </c>
      <c r="C199" t="s">
        <v>85</v>
      </c>
      <c r="D199" t="s">
        <v>88</v>
      </c>
      <c r="E199" t="s">
        <v>179</v>
      </c>
      <c r="F199">
        <v>27</v>
      </c>
      <c r="G199" t="s">
        <v>90</v>
      </c>
      <c r="H199" t="s">
        <v>230</v>
      </c>
      <c r="I199" t="s">
        <v>216</v>
      </c>
      <c r="J199">
        <v>0</v>
      </c>
    </row>
    <row r="200" spans="1:10" x14ac:dyDescent="0.25">
      <c r="A200" s="1" t="s">
        <v>27</v>
      </c>
      <c r="B200">
        <v>401754375</v>
      </c>
      <c r="C200" t="s">
        <v>85</v>
      </c>
      <c r="D200" t="s">
        <v>88</v>
      </c>
      <c r="E200" t="s">
        <v>179</v>
      </c>
      <c r="F200">
        <v>27</v>
      </c>
      <c r="G200" t="s">
        <v>90</v>
      </c>
      <c r="H200" t="s">
        <v>230</v>
      </c>
      <c r="I200" t="s">
        <v>217</v>
      </c>
      <c r="J200">
        <v>0</v>
      </c>
    </row>
    <row r="201" spans="1:10" x14ac:dyDescent="0.25">
      <c r="A201" s="1" t="s">
        <v>27</v>
      </c>
      <c r="B201">
        <v>401754375</v>
      </c>
      <c r="C201" t="s">
        <v>85</v>
      </c>
      <c r="D201" t="s">
        <v>88</v>
      </c>
      <c r="E201" t="s">
        <v>179</v>
      </c>
      <c r="F201">
        <v>27</v>
      </c>
      <c r="G201" t="s">
        <v>90</v>
      </c>
      <c r="H201" t="s">
        <v>230</v>
      </c>
      <c r="I201" t="s">
        <v>218</v>
      </c>
      <c r="J201">
        <v>0</v>
      </c>
    </row>
    <row r="202" spans="1:10" x14ac:dyDescent="0.25">
      <c r="A202" s="1" t="s">
        <v>27</v>
      </c>
      <c r="B202">
        <v>401754375</v>
      </c>
      <c r="C202" t="s">
        <v>85</v>
      </c>
      <c r="D202" t="s">
        <v>88</v>
      </c>
      <c r="E202" t="s">
        <v>179</v>
      </c>
      <c r="F202">
        <v>27</v>
      </c>
      <c r="G202" t="s">
        <v>90</v>
      </c>
      <c r="H202" t="s">
        <v>230</v>
      </c>
      <c r="I202" t="s">
        <v>219</v>
      </c>
      <c r="J202">
        <v>0</v>
      </c>
    </row>
    <row r="203" spans="1:10" x14ac:dyDescent="0.25">
      <c r="A203" s="1" t="s">
        <v>27</v>
      </c>
      <c r="B203">
        <v>401754375</v>
      </c>
      <c r="C203" t="s">
        <v>85</v>
      </c>
      <c r="D203" t="s">
        <v>88</v>
      </c>
      <c r="E203" t="s">
        <v>179</v>
      </c>
      <c r="F203">
        <v>27</v>
      </c>
      <c r="G203" t="s">
        <v>90</v>
      </c>
      <c r="H203" t="s">
        <v>230</v>
      </c>
      <c r="I203" t="s">
        <v>220</v>
      </c>
      <c r="J203">
        <v>1</v>
      </c>
    </row>
    <row r="204" spans="1:10" x14ac:dyDescent="0.25">
      <c r="A204" s="1" t="s">
        <v>27</v>
      </c>
      <c r="B204">
        <v>401754375</v>
      </c>
      <c r="C204" t="s">
        <v>85</v>
      </c>
      <c r="D204" t="s">
        <v>88</v>
      </c>
      <c r="E204" t="s">
        <v>179</v>
      </c>
      <c r="F204">
        <v>27</v>
      </c>
      <c r="G204" t="s">
        <v>90</v>
      </c>
      <c r="H204" t="s">
        <v>230</v>
      </c>
      <c r="I204" t="s">
        <v>221</v>
      </c>
      <c r="J204">
        <v>0</v>
      </c>
    </row>
    <row r="205" spans="1:10" x14ac:dyDescent="0.25">
      <c r="A205" s="1" t="s">
        <v>27</v>
      </c>
      <c r="B205">
        <v>401754375</v>
      </c>
      <c r="C205" t="s">
        <v>85</v>
      </c>
      <c r="D205" t="s">
        <v>88</v>
      </c>
      <c r="E205" t="s">
        <v>179</v>
      </c>
      <c r="F205">
        <v>27</v>
      </c>
      <c r="G205" t="s">
        <v>90</v>
      </c>
      <c r="H205" t="s">
        <v>230</v>
      </c>
      <c r="I205" t="s">
        <v>222</v>
      </c>
      <c r="J205">
        <v>0</v>
      </c>
    </row>
    <row r="206" spans="1:10" x14ac:dyDescent="0.25">
      <c r="A206" s="1" t="s">
        <v>27</v>
      </c>
      <c r="B206">
        <v>401754375</v>
      </c>
      <c r="C206" t="s">
        <v>85</v>
      </c>
      <c r="D206" t="s">
        <v>88</v>
      </c>
      <c r="E206" t="s">
        <v>179</v>
      </c>
      <c r="F206">
        <v>27</v>
      </c>
      <c r="G206" t="s">
        <v>90</v>
      </c>
      <c r="H206" t="s">
        <v>230</v>
      </c>
      <c r="I206" t="s">
        <v>223</v>
      </c>
      <c r="J206">
        <v>0</v>
      </c>
    </row>
    <row r="207" spans="1:10" x14ac:dyDescent="0.25">
      <c r="A207" s="1" t="s">
        <v>27</v>
      </c>
      <c r="B207">
        <v>401754375</v>
      </c>
      <c r="C207" t="s">
        <v>85</v>
      </c>
      <c r="D207" t="s">
        <v>88</v>
      </c>
      <c r="E207" t="s">
        <v>179</v>
      </c>
      <c r="F207">
        <v>27</v>
      </c>
      <c r="G207" t="s">
        <v>90</v>
      </c>
      <c r="H207" t="s">
        <v>230</v>
      </c>
      <c r="I207" t="s">
        <v>224</v>
      </c>
      <c r="J207">
        <v>0</v>
      </c>
    </row>
    <row r="208" spans="1:10" x14ac:dyDescent="0.25">
      <c r="A208" s="1" t="s">
        <v>27</v>
      </c>
      <c r="B208">
        <v>401754375</v>
      </c>
      <c r="C208" t="s">
        <v>85</v>
      </c>
      <c r="D208" t="s">
        <v>88</v>
      </c>
      <c r="E208" t="s">
        <v>179</v>
      </c>
      <c r="F208">
        <v>27</v>
      </c>
      <c r="G208" t="s">
        <v>90</v>
      </c>
      <c r="H208" t="s">
        <v>230</v>
      </c>
      <c r="I208" t="s">
        <v>225</v>
      </c>
      <c r="J208">
        <v>0</v>
      </c>
    </row>
    <row r="209" spans="1:10" x14ac:dyDescent="0.25">
      <c r="A209" s="1" t="s">
        <v>27</v>
      </c>
      <c r="B209">
        <v>401754375</v>
      </c>
      <c r="C209" t="s">
        <v>85</v>
      </c>
      <c r="D209" t="s">
        <v>88</v>
      </c>
      <c r="E209" t="s">
        <v>179</v>
      </c>
      <c r="F209">
        <v>27</v>
      </c>
      <c r="G209" t="s">
        <v>90</v>
      </c>
      <c r="H209" t="s">
        <v>230</v>
      </c>
      <c r="I209" t="s">
        <v>226</v>
      </c>
      <c r="J209">
        <v>0</v>
      </c>
    </row>
    <row r="210" spans="1:10" x14ac:dyDescent="0.25">
      <c r="A210" s="1" t="s">
        <v>27</v>
      </c>
      <c r="B210">
        <v>401754375</v>
      </c>
      <c r="C210" t="s">
        <v>85</v>
      </c>
      <c r="D210" t="s">
        <v>88</v>
      </c>
      <c r="E210" t="s">
        <v>179</v>
      </c>
      <c r="F210">
        <v>27</v>
      </c>
      <c r="G210" t="s">
        <v>90</v>
      </c>
      <c r="H210" t="s">
        <v>188</v>
      </c>
      <c r="I210" t="s">
        <v>207</v>
      </c>
      <c r="J210">
        <v>0</v>
      </c>
    </row>
    <row r="211" spans="1:10" x14ac:dyDescent="0.25">
      <c r="A211" s="1" t="s">
        <v>27</v>
      </c>
      <c r="B211">
        <v>401754375</v>
      </c>
      <c r="C211" t="s">
        <v>85</v>
      </c>
      <c r="D211" t="s">
        <v>88</v>
      </c>
      <c r="E211" t="s">
        <v>179</v>
      </c>
      <c r="F211">
        <v>27</v>
      </c>
      <c r="G211" t="s">
        <v>90</v>
      </c>
      <c r="H211" t="s">
        <v>188</v>
      </c>
      <c r="I211" t="s">
        <v>208</v>
      </c>
      <c r="J211">
        <v>0</v>
      </c>
    </row>
    <row r="212" spans="1:10" x14ac:dyDescent="0.25">
      <c r="A212" s="1" t="s">
        <v>27</v>
      </c>
      <c r="B212">
        <v>401754375</v>
      </c>
      <c r="C212" t="s">
        <v>85</v>
      </c>
      <c r="D212" t="s">
        <v>88</v>
      </c>
      <c r="E212" t="s">
        <v>179</v>
      </c>
      <c r="F212">
        <v>27</v>
      </c>
      <c r="G212" t="s">
        <v>90</v>
      </c>
      <c r="H212" t="s">
        <v>188</v>
      </c>
      <c r="I212" t="s">
        <v>209</v>
      </c>
      <c r="J212">
        <v>0</v>
      </c>
    </row>
    <row r="213" spans="1:10" x14ac:dyDescent="0.25">
      <c r="A213" s="1" t="s">
        <v>27</v>
      </c>
      <c r="B213">
        <v>401754375</v>
      </c>
      <c r="C213" t="s">
        <v>85</v>
      </c>
      <c r="D213" t="s">
        <v>88</v>
      </c>
      <c r="E213" t="s">
        <v>179</v>
      </c>
      <c r="F213">
        <v>27</v>
      </c>
      <c r="G213" t="s">
        <v>90</v>
      </c>
      <c r="H213" t="s">
        <v>188</v>
      </c>
      <c r="I213" t="s">
        <v>210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85</v>
      </c>
      <c r="D214" t="s">
        <v>88</v>
      </c>
      <c r="E214" t="s">
        <v>179</v>
      </c>
      <c r="F214">
        <v>27</v>
      </c>
      <c r="G214" t="s">
        <v>90</v>
      </c>
      <c r="H214" t="s">
        <v>188</v>
      </c>
      <c r="I214" t="s">
        <v>211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85</v>
      </c>
      <c r="D215" t="s">
        <v>88</v>
      </c>
      <c r="E215" t="s">
        <v>179</v>
      </c>
      <c r="F215">
        <v>27</v>
      </c>
      <c r="G215" t="s">
        <v>90</v>
      </c>
      <c r="H215" t="s">
        <v>188</v>
      </c>
      <c r="I215" t="s">
        <v>212</v>
      </c>
      <c r="J215">
        <v>0</v>
      </c>
    </row>
    <row r="216" spans="1:10" x14ac:dyDescent="0.25">
      <c r="A216" s="1" t="s">
        <v>27</v>
      </c>
      <c r="B216">
        <v>401754375</v>
      </c>
      <c r="C216" t="s">
        <v>85</v>
      </c>
      <c r="D216" t="s">
        <v>88</v>
      </c>
      <c r="E216" t="s">
        <v>179</v>
      </c>
      <c r="F216">
        <v>27</v>
      </c>
      <c r="G216" t="s">
        <v>90</v>
      </c>
      <c r="H216" t="s">
        <v>188</v>
      </c>
      <c r="I216" t="s">
        <v>213</v>
      </c>
      <c r="J216">
        <v>0</v>
      </c>
    </row>
    <row r="217" spans="1:10" x14ac:dyDescent="0.25">
      <c r="A217" s="1" t="s">
        <v>27</v>
      </c>
      <c r="B217">
        <v>401754375</v>
      </c>
      <c r="C217" t="s">
        <v>85</v>
      </c>
      <c r="D217" t="s">
        <v>88</v>
      </c>
      <c r="E217" t="s">
        <v>179</v>
      </c>
      <c r="F217">
        <v>27</v>
      </c>
      <c r="G217" t="s">
        <v>90</v>
      </c>
      <c r="H217" t="s">
        <v>188</v>
      </c>
      <c r="I217" t="s">
        <v>214</v>
      </c>
      <c r="J217">
        <v>0</v>
      </c>
    </row>
    <row r="218" spans="1:10" x14ac:dyDescent="0.25">
      <c r="A218" s="1" t="s">
        <v>27</v>
      </c>
      <c r="B218">
        <v>401754375</v>
      </c>
      <c r="C218" t="s">
        <v>85</v>
      </c>
      <c r="D218" t="s">
        <v>88</v>
      </c>
      <c r="E218" t="s">
        <v>179</v>
      </c>
      <c r="F218">
        <v>27</v>
      </c>
      <c r="G218" t="s">
        <v>90</v>
      </c>
      <c r="H218" t="s">
        <v>188</v>
      </c>
      <c r="I218" t="s">
        <v>215</v>
      </c>
      <c r="J218">
        <v>0</v>
      </c>
    </row>
    <row r="219" spans="1:10" x14ac:dyDescent="0.25">
      <c r="A219" s="1" t="s">
        <v>27</v>
      </c>
      <c r="B219">
        <v>401754375</v>
      </c>
      <c r="C219" t="s">
        <v>85</v>
      </c>
      <c r="D219" t="s">
        <v>88</v>
      </c>
      <c r="E219" t="s">
        <v>179</v>
      </c>
      <c r="F219">
        <v>27</v>
      </c>
      <c r="G219" t="s">
        <v>90</v>
      </c>
      <c r="H219" t="s">
        <v>188</v>
      </c>
      <c r="I219" t="s">
        <v>216</v>
      </c>
      <c r="J219">
        <v>0</v>
      </c>
    </row>
    <row r="220" spans="1:10" x14ac:dyDescent="0.25">
      <c r="A220" s="1" t="s">
        <v>27</v>
      </c>
      <c r="B220">
        <v>401754375</v>
      </c>
      <c r="C220" t="s">
        <v>85</v>
      </c>
      <c r="D220" t="s">
        <v>88</v>
      </c>
      <c r="E220" t="s">
        <v>179</v>
      </c>
      <c r="F220">
        <v>27</v>
      </c>
      <c r="G220" t="s">
        <v>90</v>
      </c>
      <c r="H220" t="s">
        <v>188</v>
      </c>
      <c r="I220" t="s">
        <v>217</v>
      </c>
      <c r="J220">
        <v>0</v>
      </c>
    </row>
    <row r="221" spans="1:10" x14ac:dyDescent="0.25">
      <c r="A221" s="1" t="s">
        <v>27</v>
      </c>
      <c r="B221">
        <v>401754375</v>
      </c>
      <c r="C221" t="s">
        <v>85</v>
      </c>
      <c r="D221" t="s">
        <v>88</v>
      </c>
      <c r="E221" t="s">
        <v>179</v>
      </c>
      <c r="F221">
        <v>27</v>
      </c>
      <c r="G221" t="s">
        <v>90</v>
      </c>
      <c r="H221" t="s">
        <v>188</v>
      </c>
      <c r="I221" t="s">
        <v>218</v>
      </c>
      <c r="J221">
        <v>0</v>
      </c>
    </row>
    <row r="222" spans="1:10" x14ac:dyDescent="0.25">
      <c r="A222" s="1" t="s">
        <v>27</v>
      </c>
      <c r="B222">
        <v>401754375</v>
      </c>
      <c r="C222" t="s">
        <v>85</v>
      </c>
      <c r="D222" t="s">
        <v>88</v>
      </c>
      <c r="E222" t="s">
        <v>179</v>
      </c>
      <c r="F222">
        <v>27</v>
      </c>
      <c r="G222" t="s">
        <v>90</v>
      </c>
      <c r="H222" t="s">
        <v>188</v>
      </c>
      <c r="I222" t="s">
        <v>219</v>
      </c>
      <c r="J222">
        <v>0</v>
      </c>
    </row>
    <row r="223" spans="1:10" x14ac:dyDescent="0.25">
      <c r="A223" s="1" t="s">
        <v>27</v>
      </c>
      <c r="B223">
        <v>401754375</v>
      </c>
      <c r="C223" t="s">
        <v>85</v>
      </c>
      <c r="D223" t="s">
        <v>88</v>
      </c>
      <c r="E223" t="s">
        <v>179</v>
      </c>
      <c r="F223">
        <v>27</v>
      </c>
      <c r="G223" t="s">
        <v>90</v>
      </c>
      <c r="H223" t="s">
        <v>188</v>
      </c>
      <c r="I223" t="s">
        <v>220</v>
      </c>
      <c r="J223">
        <v>0</v>
      </c>
    </row>
    <row r="224" spans="1:10" x14ac:dyDescent="0.25">
      <c r="A224" s="1" t="s">
        <v>27</v>
      </c>
      <c r="B224">
        <v>401754375</v>
      </c>
      <c r="C224" t="s">
        <v>85</v>
      </c>
      <c r="D224" t="s">
        <v>88</v>
      </c>
      <c r="E224" t="s">
        <v>179</v>
      </c>
      <c r="F224">
        <v>27</v>
      </c>
      <c r="G224" t="s">
        <v>90</v>
      </c>
      <c r="H224" t="s">
        <v>188</v>
      </c>
      <c r="I224" t="s">
        <v>221</v>
      </c>
      <c r="J224">
        <v>0</v>
      </c>
    </row>
    <row r="225" spans="1:10" x14ac:dyDescent="0.25">
      <c r="A225" s="1" t="s">
        <v>27</v>
      </c>
      <c r="B225">
        <v>401754375</v>
      </c>
      <c r="C225" t="s">
        <v>85</v>
      </c>
      <c r="D225" t="s">
        <v>88</v>
      </c>
      <c r="E225" t="s">
        <v>179</v>
      </c>
      <c r="F225">
        <v>27</v>
      </c>
      <c r="G225" t="s">
        <v>90</v>
      </c>
      <c r="H225" t="s">
        <v>188</v>
      </c>
      <c r="I225" t="s">
        <v>222</v>
      </c>
      <c r="J225">
        <v>0</v>
      </c>
    </row>
    <row r="226" spans="1:10" x14ac:dyDescent="0.25">
      <c r="A226" s="1" t="s">
        <v>27</v>
      </c>
      <c r="B226">
        <v>401754375</v>
      </c>
      <c r="C226" t="s">
        <v>85</v>
      </c>
      <c r="D226" t="s">
        <v>88</v>
      </c>
      <c r="E226" t="s">
        <v>179</v>
      </c>
      <c r="F226">
        <v>27</v>
      </c>
      <c r="G226" t="s">
        <v>90</v>
      </c>
      <c r="H226" t="s">
        <v>188</v>
      </c>
      <c r="I226" t="s">
        <v>223</v>
      </c>
      <c r="J226">
        <v>0</v>
      </c>
    </row>
    <row r="227" spans="1:10" x14ac:dyDescent="0.25">
      <c r="A227" s="1" t="s">
        <v>27</v>
      </c>
      <c r="B227">
        <v>401754375</v>
      </c>
      <c r="C227" t="s">
        <v>85</v>
      </c>
      <c r="D227" t="s">
        <v>88</v>
      </c>
      <c r="E227" t="s">
        <v>179</v>
      </c>
      <c r="F227">
        <v>27</v>
      </c>
      <c r="G227" t="s">
        <v>90</v>
      </c>
      <c r="H227" t="s">
        <v>188</v>
      </c>
      <c r="I227" t="s">
        <v>224</v>
      </c>
      <c r="J227">
        <v>0</v>
      </c>
    </row>
    <row r="228" spans="1:10" x14ac:dyDescent="0.25">
      <c r="A228" s="1" t="s">
        <v>27</v>
      </c>
      <c r="B228">
        <v>401754375</v>
      </c>
      <c r="C228" t="s">
        <v>85</v>
      </c>
      <c r="D228" t="s">
        <v>88</v>
      </c>
      <c r="E228" t="s">
        <v>179</v>
      </c>
      <c r="F228">
        <v>27</v>
      </c>
      <c r="G228" t="s">
        <v>90</v>
      </c>
      <c r="H228" t="s">
        <v>188</v>
      </c>
      <c r="I228" t="s">
        <v>225</v>
      </c>
      <c r="J228">
        <v>0</v>
      </c>
    </row>
    <row r="229" spans="1:10" x14ac:dyDescent="0.25">
      <c r="A229" s="1" t="s">
        <v>27</v>
      </c>
      <c r="B229">
        <v>401754375</v>
      </c>
      <c r="C229" t="s">
        <v>85</v>
      </c>
      <c r="D229" t="s">
        <v>88</v>
      </c>
      <c r="E229" t="s">
        <v>179</v>
      </c>
      <c r="F229">
        <v>27</v>
      </c>
      <c r="G229" t="s">
        <v>90</v>
      </c>
      <c r="H229" t="s">
        <v>188</v>
      </c>
      <c r="I229" t="s">
        <v>226</v>
      </c>
      <c r="J229">
        <v>0</v>
      </c>
    </row>
    <row r="230" spans="1:10" x14ac:dyDescent="0.25">
      <c r="A230" s="1" t="s">
        <v>27</v>
      </c>
      <c r="B230">
        <v>401754375</v>
      </c>
      <c r="C230" t="s">
        <v>85</v>
      </c>
      <c r="D230" t="s">
        <v>88</v>
      </c>
      <c r="E230" t="s">
        <v>179</v>
      </c>
      <c r="F230">
        <v>27</v>
      </c>
      <c r="G230" t="s">
        <v>231</v>
      </c>
      <c r="H230" t="s">
        <v>232</v>
      </c>
      <c r="I230" t="s">
        <v>151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85</v>
      </c>
      <c r="D231" t="s">
        <v>88</v>
      </c>
      <c r="E231" t="s">
        <v>179</v>
      </c>
      <c r="F231">
        <v>27</v>
      </c>
      <c r="G231" t="s">
        <v>231</v>
      </c>
      <c r="H231" t="s">
        <v>186</v>
      </c>
      <c r="I231" t="s">
        <v>151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85</v>
      </c>
      <c r="D232" t="s">
        <v>88</v>
      </c>
      <c r="E232" t="s">
        <v>179</v>
      </c>
      <c r="F232">
        <v>27</v>
      </c>
      <c r="G232" t="s">
        <v>231</v>
      </c>
      <c r="H232" t="s">
        <v>187</v>
      </c>
      <c r="I232" t="s">
        <v>151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85</v>
      </c>
      <c r="D233" t="s">
        <v>88</v>
      </c>
      <c r="E233" t="s">
        <v>179</v>
      </c>
      <c r="F233">
        <v>27</v>
      </c>
      <c r="G233" t="s">
        <v>231</v>
      </c>
      <c r="H233" t="s">
        <v>198</v>
      </c>
      <c r="I233" t="s">
        <v>151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85</v>
      </c>
      <c r="D234" t="s">
        <v>88</v>
      </c>
      <c r="E234" t="s">
        <v>179</v>
      </c>
      <c r="F234">
        <v>27</v>
      </c>
      <c r="G234" t="s">
        <v>231</v>
      </c>
      <c r="H234" t="s">
        <v>188</v>
      </c>
      <c r="I234" t="s">
        <v>151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85</v>
      </c>
      <c r="D235" t="s">
        <v>88</v>
      </c>
      <c r="E235" t="s">
        <v>179</v>
      </c>
      <c r="F235">
        <v>27</v>
      </c>
      <c r="G235" t="s">
        <v>233</v>
      </c>
      <c r="H235" t="s">
        <v>234</v>
      </c>
      <c r="I235" t="s">
        <v>235</v>
      </c>
      <c r="J235" s="73">
        <v>45690</v>
      </c>
    </row>
    <row r="236" spans="1:10" x14ac:dyDescent="0.25">
      <c r="A236" s="1" t="s">
        <v>27</v>
      </c>
      <c r="B236">
        <v>401754375</v>
      </c>
      <c r="C236" t="s">
        <v>85</v>
      </c>
      <c r="D236" t="s">
        <v>88</v>
      </c>
      <c r="E236" t="s">
        <v>179</v>
      </c>
      <c r="F236">
        <v>27</v>
      </c>
      <c r="G236" t="s">
        <v>233</v>
      </c>
      <c r="H236" t="s">
        <v>236</v>
      </c>
      <c r="I236" t="s">
        <v>235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85</v>
      </c>
      <c r="D237" t="s">
        <v>88</v>
      </c>
      <c r="E237" t="s">
        <v>179</v>
      </c>
      <c r="F237">
        <v>27</v>
      </c>
      <c r="G237" t="s">
        <v>233</v>
      </c>
      <c r="H237" t="s">
        <v>198</v>
      </c>
      <c r="I237" t="s">
        <v>235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85</v>
      </c>
      <c r="D238" t="s">
        <v>88</v>
      </c>
      <c r="E238" t="s">
        <v>179</v>
      </c>
      <c r="F238">
        <v>27</v>
      </c>
      <c r="G238" t="s">
        <v>233</v>
      </c>
      <c r="H238" t="s">
        <v>237</v>
      </c>
      <c r="I238" t="s">
        <v>235</v>
      </c>
      <c r="J238" s="73">
        <v>45719</v>
      </c>
    </row>
    <row r="239" spans="1:10" x14ac:dyDescent="0.25">
      <c r="A239" s="1" t="s">
        <v>27</v>
      </c>
      <c r="B239">
        <v>401754375</v>
      </c>
      <c r="C239" t="s">
        <v>85</v>
      </c>
      <c r="D239" t="s">
        <v>88</v>
      </c>
      <c r="E239" t="s">
        <v>179</v>
      </c>
      <c r="F239">
        <v>27</v>
      </c>
      <c r="G239" t="s">
        <v>233</v>
      </c>
      <c r="H239" t="s">
        <v>238</v>
      </c>
      <c r="I239" t="s">
        <v>235</v>
      </c>
      <c r="J239">
        <v>9</v>
      </c>
    </row>
    <row r="240" spans="1:10" x14ac:dyDescent="0.25">
      <c r="A240" s="1" t="s">
        <v>27</v>
      </c>
      <c r="B240">
        <v>401754375</v>
      </c>
      <c r="C240" t="s">
        <v>85</v>
      </c>
      <c r="D240" t="s">
        <v>88</v>
      </c>
      <c r="E240" t="s">
        <v>179</v>
      </c>
      <c r="F240">
        <v>27</v>
      </c>
      <c r="G240" t="s">
        <v>239</v>
      </c>
      <c r="H240" t="s">
        <v>232</v>
      </c>
      <c r="I240" t="s">
        <v>240</v>
      </c>
      <c r="J240">
        <v>2</v>
      </c>
    </row>
    <row r="241" spans="1:10" x14ac:dyDescent="0.25">
      <c r="A241" s="1" t="s">
        <v>27</v>
      </c>
      <c r="B241">
        <v>401754375</v>
      </c>
      <c r="C241" t="s">
        <v>85</v>
      </c>
      <c r="D241" t="s">
        <v>88</v>
      </c>
      <c r="E241" t="s">
        <v>179</v>
      </c>
      <c r="F241">
        <v>27</v>
      </c>
      <c r="G241" t="s">
        <v>239</v>
      </c>
      <c r="H241" t="s">
        <v>186</v>
      </c>
      <c r="I241" t="s">
        <v>240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85</v>
      </c>
      <c r="D242" t="s">
        <v>88</v>
      </c>
      <c r="E242" t="s">
        <v>179</v>
      </c>
      <c r="F242">
        <v>27</v>
      </c>
      <c r="G242" t="s">
        <v>239</v>
      </c>
      <c r="H242" t="s">
        <v>187</v>
      </c>
      <c r="I242" t="s">
        <v>240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85</v>
      </c>
      <c r="D243" t="s">
        <v>88</v>
      </c>
      <c r="E243" t="s">
        <v>179</v>
      </c>
      <c r="F243">
        <v>27</v>
      </c>
      <c r="G243" t="s">
        <v>239</v>
      </c>
      <c r="H243" t="s">
        <v>241</v>
      </c>
      <c r="I243" t="s">
        <v>240</v>
      </c>
      <c r="J243">
        <v>0</v>
      </c>
    </row>
    <row r="244" spans="1:10" x14ac:dyDescent="0.25">
      <c r="A244" s="1" t="s">
        <v>27</v>
      </c>
      <c r="B244">
        <v>401754375</v>
      </c>
      <c r="C244" t="s">
        <v>85</v>
      </c>
      <c r="D244" t="s">
        <v>88</v>
      </c>
      <c r="E244" t="s">
        <v>179</v>
      </c>
      <c r="F244">
        <v>27</v>
      </c>
      <c r="G244" t="s">
        <v>239</v>
      </c>
      <c r="H244" t="s">
        <v>242</v>
      </c>
      <c r="I244" t="s">
        <v>240</v>
      </c>
      <c r="J244">
        <v>1</v>
      </c>
    </row>
    <row r="245" spans="1:10" x14ac:dyDescent="0.25">
      <c r="A245" s="1" t="s">
        <v>27</v>
      </c>
      <c r="B245">
        <v>401754375</v>
      </c>
      <c r="C245" t="s">
        <v>85</v>
      </c>
      <c r="D245" t="s">
        <v>88</v>
      </c>
      <c r="E245" t="s">
        <v>179</v>
      </c>
      <c r="F245">
        <v>27</v>
      </c>
      <c r="G245" t="s">
        <v>239</v>
      </c>
      <c r="H245" t="s">
        <v>198</v>
      </c>
      <c r="I245" t="s">
        <v>240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110</v>
      </c>
      <c r="D246" t="s">
        <v>243</v>
      </c>
      <c r="E246" t="s">
        <v>179</v>
      </c>
      <c r="F246">
        <v>20</v>
      </c>
      <c r="G246" t="s">
        <v>180</v>
      </c>
      <c r="H246" t="s">
        <v>181</v>
      </c>
      <c r="I246" t="s">
        <v>109</v>
      </c>
      <c r="J246" t="s">
        <v>244</v>
      </c>
    </row>
    <row r="247" spans="1:10" x14ac:dyDescent="0.25">
      <c r="A247" s="1" t="s">
        <v>27</v>
      </c>
      <c r="B247">
        <v>401752796</v>
      </c>
      <c r="C247" t="s">
        <v>110</v>
      </c>
      <c r="D247" t="s">
        <v>243</v>
      </c>
      <c r="E247" t="s">
        <v>179</v>
      </c>
      <c r="F247">
        <v>20</v>
      </c>
      <c r="G247" t="s">
        <v>180</v>
      </c>
      <c r="H247" t="s">
        <v>186</v>
      </c>
      <c r="I247" t="s">
        <v>109</v>
      </c>
      <c r="J247">
        <v>243</v>
      </c>
    </row>
    <row r="248" spans="1:10" x14ac:dyDescent="0.25">
      <c r="A248" s="1" t="s">
        <v>27</v>
      </c>
      <c r="B248">
        <v>401752796</v>
      </c>
      <c r="C248" t="s">
        <v>110</v>
      </c>
      <c r="D248" t="s">
        <v>243</v>
      </c>
      <c r="E248" t="s">
        <v>179</v>
      </c>
      <c r="F248">
        <v>20</v>
      </c>
      <c r="G248" t="s">
        <v>180</v>
      </c>
      <c r="H248" t="s">
        <v>187</v>
      </c>
      <c r="I248" t="s">
        <v>109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110</v>
      </c>
      <c r="D249" t="s">
        <v>243</v>
      </c>
      <c r="E249" t="s">
        <v>179</v>
      </c>
      <c r="F249">
        <v>20</v>
      </c>
      <c r="G249" t="s">
        <v>180</v>
      </c>
      <c r="H249" t="s">
        <v>188</v>
      </c>
      <c r="I249" t="s">
        <v>109</v>
      </c>
      <c r="J249">
        <v>2</v>
      </c>
    </row>
    <row r="250" spans="1:10" x14ac:dyDescent="0.25">
      <c r="A250" s="1" t="s">
        <v>27</v>
      </c>
      <c r="B250">
        <v>401752796</v>
      </c>
      <c r="C250" t="s">
        <v>110</v>
      </c>
      <c r="D250" t="s">
        <v>243</v>
      </c>
      <c r="E250" t="s">
        <v>179</v>
      </c>
      <c r="F250">
        <v>20</v>
      </c>
      <c r="G250" t="s">
        <v>180</v>
      </c>
      <c r="H250" t="s">
        <v>189</v>
      </c>
      <c r="I250" t="s">
        <v>109</v>
      </c>
      <c r="J250">
        <v>0</v>
      </c>
    </row>
    <row r="251" spans="1:10" x14ac:dyDescent="0.25">
      <c r="A251" s="1" t="s">
        <v>27</v>
      </c>
      <c r="B251">
        <v>401752796</v>
      </c>
      <c r="C251" t="s">
        <v>110</v>
      </c>
      <c r="D251" t="s">
        <v>243</v>
      </c>
      <c r="E251" t="s">
        <v>179</v>
      </c>
      <c r="F251">
        <v>20</v>
      </c>
      <c r="G251" t="s">
        <v>180</v>
      </c>
      <c r="H251" t="s">
        <v>190</v>
      </c>
      <c r="I251" t="s">
        <v>109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110</v>
      </c>
      <c r="D252" t="s">
        <v>243</v>
      </c>
      <c r="E252" t="s">
        <v>179</v>
      </c>
      <c r="F252">
        <v>20</v>
      </c>
      <c r="G252" t="s">
        <v>192</v>
      </c>
      <c r="H252" t="s">
        <v>193</v>
      </c>
      <c r="I252" t="s">
        <v>245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110</v>
      </c>
      <c r="D253" t="s">
        <v>243</v>
      </c>
      <c r="E253" t="s">
        <v>179</v>
      </c>
      <c r="F253">
        <v>20</v>
      </c>
      <c r="G253" t="s">
        <v>192</v>
      </c>
      <c r="H253" t="s">
        <v>193</v>
      </c>
      <c r="I253" t="s">
        <v>246</v>
      </c>
      <c r="J253">
        <v>2</v>
      </c>
    </row>
    <row r="254" spans="1:10" x14ac:dyDescent="0.25">
      <c r="A254" s="1" t="s">
        <v>27</v>
      </c>
      <c r="B254">
        <v>401752796</v>
      </c>
      <c r="C254" t="s">
        <v>110</v>
      </c>
      <c r="D254" t="s">
        <v>243</v>
      </c>
      <c r="E254" t="s">
        <v>179</v>
      </c>
      <c r="F254">
        <v>20</v>
      </c>
      <c r="G254" t="s">
        <v>192</v>
      </c>
      <c r="H254" t="s">
        <v>193</v>
      </c>
      <c r="I254" t="s">
        <v>247</v>
      </c>
      <c r="J254">
        <v>2</v>
      </c>
    </row>
    <row r="255" spans="1:10" x14ac:dyDescent="0.25">
      <c r="A255" s="1" t="s">
        <v>27</v>
      </c>
      <c r="B255">
        <v>401752796</v>
      </c>
      <c r="C255" t="s">
        <v>110</v>
      </c>
      <c r="D255" t="s">
        <v>243</v>
      </c>
      <c r="E255" t="s">
        <v>179</v>
      </c>
      <c r="F255">
        <v>20</v>
      </c>
      <c r="G255" t="s">
        <v>192</v>
      </c>
      <c r="H255" t="s">
        <v>193</v>
      </c>
      <c r="I255" t="s">
        <v>248</v>
      </c>
      <c r="J255">
        <v>1</v>
      </c>
    </row>
    <row r="256" spans="1:10" x14ac:dyDescent="0.25">
      <c r="A256" s="1" t="s">
        <v>27</v>
      </c>
      <c r="B256">
        <v>401752796</v>
      </c>
      <c r="C256" t="s">
        <v>110</v>
      </c>
      <c r="D256" t="s">
        <v>243</v>
      </c>
      <c r="E256" t="s">
        <v>179</v>
      </c>
      <c r="F256">
        <v>20</v>
      </c>
      <c r="G256" t="s">
        <v>192</v>
      </c>
      <c r="H256" t="s">
        <v>193</v>
      </c>
      <c r="I256" t="s">
        <v>109</v>
      </c>
      <c r="J256">
        <v>4</v>
      </c>
    </row>
    <row r="257" spans="1:10" x14ac:dyDescent="0.25">
      <c r="A257" s="1" t="s">
        <v>27</v>
      </c>
      <c r="B257">
        <v>401752796</v>
      </c>
      <c r="C257" t="s">
        <v>110</v>
      </c>
      <c r="D257" t="s">
        <v>243</v>
      </c>
      <c r="E257" t="s">
        <v>179</v>
      </c>
      <c r="F257">
        <v>20</v>
      </c>
      <c r="G257" t="s">
        <v>192</v>
      </c>
      <c r="H257" t="s">
        <v>193</v>
      </c>
      <c r="I257" t="s">
        <v>249</v>
      </c>
      <c r="J257">
        <v>1</v>
      </c>
    </row>
    <row r="258" spans="1:10" x14ac:dyDescent="0.25">
      <c r="A258" s="1" t="s">
        <v>27</v>
      </c>
      <c r="B258">
        <v>401752796</v>
      </c>
      <c r="C258" t="s">
        <v>110</v>
      </c>
      <c r="D258" t="s">
        <v>243</v>
      </c>
      <c r="E258" t="s">
        <v>179</v>
      </c>
      <c r="F258">
        <v>20</v>
      </c>
      <c r="G258" t="s">
        <v>192</v>
      </c>
      <c r="H258" t="s">
        <v>186</v>
      </c>
      <c r="I258" t="s">
        <v>245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110</v>
      </c>
      <c r="D259" t="s">
        <v>243</v>
      </c>
      <c r="E259" t="s">
        <v>179</v>
      </c>
      <c r="F259">
        <v>20</v>
      </c>
      <c r="G259" t="s">
        <v>192</v>
      </c>
      <c r="H259" t="s">
        <v>186</v>
      </c>
      <c r="I259" t="s">
        <v>246</v>
      </c>
      <c r="J259">
        <v>4</v>
      </c>
    </row>
    <row r="260" spans="1:10" x14ac:dyDescent="0.25">
      <c r="A260" s="1" t="s">
        <v>27</v>
      </c>
      <c r="B260">
        <v>401752796</v>
      </c>
      <c r="C260" t="s">
        <v>110</v>
      </c>
      <c r="D260" t="s">
        <v>243</v>
      </c>
      <c r="E260" t="s">
        <v>179</v>
      </c>
      <c r="F260">
        <v>20</v>
      </c>
      <c r="G260" t="s">
        <v>192</v>
      </c>
      <c r="H260" t="s">
        <v>186</v>
      </c>
      <c r="I260" t="s">
        <v>247</v>
      </c>
      <c r="J260">
        <v>4</v>
      </c>
    </row>
    <row r="261" spans="1:10" x14ac:dyDescent="0.25">
      <c r="A261" s="1" t="s">
        <v>27</v>
      </c>
      <c r="B261">
        <v>401752796</v>
      </c>
      <c r="C261" t="s">
        <v>110</v>
      </c>
      <c r="D261" t="s">
        <v>243</v>
      </c>
      <c r="E261" t="s">
        <v>179</v>
      </c>
      <c r="F261">
        <v>20</v>
      </c>
      <c r="G261" t="s">
        <v>192</v>
      </c>
      <c r="H261" t="s">
        <v>186</v>
      </c>
      <c r="I261" t="s">
        <v>248</v>
      </c>
      <c r="J261">
        <v>0</v>
      </c>
    </row>
    <row r="262" spans="1:10" x14ac:dyDescent="0.25">
      <c r="A262" s="1" t="s">
        <v>27</v>
      </c>
      <c r="B262">
        <v>401752796</v>
      </c>
      <c r="C262" t="s">
        <v>110</v>
      </c>
      <c r="D262" t="s">
        <v>243</v>
      </c>
      <c r="E262" t="s">
        <v>179</v>
      </c>
      <c r="F262">
        <v>20</v>
      </c>
      <c r="G262" t="s">
        <v>192</v>
      </c>
      <c r="H262" t="s">
        <v>186</v>
      </c>
      <c r="I262" t="s">
        <v>109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110</v>
      </c>
      <c r="D263" t="s">
        <v>243</v>
      </c>
      <c r="E263" t="s">
        <v>179</v>
      </c>
      <c r="F263">
        <v>20</v>
      </c>
      <c r="G263" t="s">
        <v>192</v>
      </c>
      <c r="H263" t="s">
        <v>186</v>
      </c>
      <c r="I263" t="s">
        <v>249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110</v>
      </c>
      <c r="D264" t="s">
        <v>243</v>
      </c>
      <c r="E264" t="s">
        <v>179</v>
      </c>
      <c r="F264">
        <v>20</v>
      </c>
      <c r="G264" t="s">
        <v>192</v>
      </c>
      <c r="H264" t="s">
        <v>187</v>
      </c>
      <c r="I264" t="s">
        <v>245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110</v>
      </c>
      <c r="D265" t="s">
        <v>243</v>
      </c>
      <c r="E265" t="s">
        <v>179</v>
      </c>
      <c r="F265">
        <v>20</v>
      </c>
      <c r="G265" t="s">
        <v>192</v>
      </c>
      <c r="H265" t="s">
        <v>187</v>
      </c>
      <c r="I265" t="s">
        <v>246</v>
      </c>
      <c r="J265">
        <v>2</v>
      </c>
    </row>
    <row r="266" spans="1:10" x14ac:dyDescent="0.25">
      <c r="A266" s="1" t="s">
        <v>27</v>
      </c>
      <c r="B266">
        <v>401752796</v>
      </c>
      <c r="C266" t="s">
        <v>110</v>
      </c>
      <c r="D266" t="s">
        <v>243</v>
      </c>
      <c r="E266" t="s">
        <v>179</v>
      </c>
      <c r="F266">
        <v>20</v>
      </c>
      <c r="G266" t="s">
        <v>192</v>
      </c>
      <c r="H266" t="s">
        <v>187</v>
      </c>
      <c r="I266" t="s">
        <v>247</v>
      </c>
      <c r="J266">
        <v>2</v>
      </c>
    </row>
    <row r="267" spans="1:10" x14ac:dyDescent="0.25">
      <c r="A267" s="1" t="s">
        <v>27</v>
      </c>
      <c r="B267">
        <v>401752796</v>
      </c>
      <c r="C267" t="s">
        <v>110</v>
      </c>
      <c r="D267" t="s">
        <v>243</v>
      </c>
      <c r="E267" t="s">
        <v>179</v>
      </c>
      <c r="F267">
        <v>20</v>
      </c>
      <c r="G267" t="s">
        <v>192</v>
      </c>
      <c r="H267" t="s">
        <v>187</v>
      </c>
      <c r="I267" t="s">
        <v>248</v>
      </c>
      <c r="J267">
        <v>0</v>
      </c>
    </row>
    <row r="268" spans="1:10" x14ac:dyDescent="0.25">
      <c r="A268" s="1" t="s">
        <v>27</v>
      </c>
      <c r="B268">
        <v>401752796</v>
      </c>
      <c r="C268" t="s">
        <v>110</v>
      </c>
      <c r="D268" t="s">
        <v>243</v>
      </c>
      <c r="E268" t="s">
        <v>179</v>
      </c>
      <c r="F268">
        <v>20</v>
      </c>
      <c r="G268" t="s">
        <v>192</v>
      </c>
      <c r="H268" t="s">
        <v>187</v>
      </c>
      <c r="I268" t="s">
        <v>109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110</v>
      </c>
      <c r="D269" t="s">
        <v>243</v>
      </c>
      <c r="E269" t="s">
        <v>179</v>
      </c>
      <c r="F269">
        <v>20</v>
      </c>
      <c r="G269" t="s">
        <v>192</v>
      </c>
      <c r="H269" t="s">
        <v>187</v>
      </c>
      <c r="I269" t="s">
        <v>249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110</v>
      </c>
      <c r="D270" t="s">
        <v>243</v>
      </c>
      <c r="E270" t="s">
        <v>179</v>
      </c>
      <c r="F270">
        <v>20</v>
      </c>
      <c r="G270" t="s">
        <v>192</v>
      </c>
      <c r="H270" t="s">
        <v>188</v>
      </c>
      <c r="I270" t="s">
        <v>245</v>
      </c>
      <c r="J270">
        <v>0</v>
      </c>
    </row>
    <row r="271" spans="1:10" x14ac:dyDescent="0.25">
      <c r="A271" s="1" t="s">
        <v>27</v>
      </c>
      <c r="B271">
        <v>401752796</v>
      </c>
      <c r="C271" t="s">
        <v>110</v>
      </c>
      <c r="D271" t="s">
        <v>243</v>
      </c>
      <c r="E271" t="s">
        <v>179</v>
      </c>
      <c r="F271">
        <v>20</v>
      </c>
      <c r="G271" t="s">
        <v>192</v>
      </c>
      <c r="H271" t="s">
        <v>188</v>
      </c>
      <c r="I271" t="s">
        <v>246</v>
      </c>
      <c r="J271">
        <v>0</v>
      </c>
    </row>
    <row r="272" spans="1:10" x14ac:dyDescent="0.25">
      <c r="A272" s="1" t="s">
        <v>27</v>
      </c>
      <c r="B272">
        <v>401752796</v>
      </c>
      <c r="C272" t="s">
        <v>110</v>
      </c>
      <c r="D272" t="s">
        <v>243</v>
      </c>
      <c r="E272" t="s">
        <v>179</v>
      </c>
      <c r="F272">
        <v>20</v>
      </c>
      <c r="G272" t="s">
        <v>192</v>
      </c>
      <c r="H272" t="s">
        <v>188</v>
      </c>
      <c r="I272" t="s">
        <v>247</v>
      </c>
      <c r="J272">
        <v>0</v>
      </c>
    </row>
    <row r="273" spans="1:10" x14ac:dyDescent="0.25">
      <c r="A273" s="1" t="s">
        <v>27</v>
      </c>
      <c r="B273">
        <v>401752796</v>
      </c>
      <c r="C273" t="s">
        <v>110</v>
      </c>
      <c r="D273" t="s">
        <v>243</v>
      </c>
      <c r="E273" t="s">
        <v>179</v>
      </c>
      <c r="F273">
        <v>20</v>
      </c>
      <c r="G273" t="s">
        <v>192</v>
      </c>
      <c r="H273" t="s">
        <v>188</v>
      </c>
      <c r="I273" t="s">
        <v>248</v>
      </c>
      <c r="J273">
        <v>0</v>
      </c>
    </row>
    <row r="274" spans="1:10" x14ac:dyDescent="0.25">
      <c r="A274" s="1" t="s">
        <v>27</v>
      </c>
      <c r="B274">
        <v>401752796</v>
      </c>
      <c r="C274" t="s">
        <v>110</v>
      </c>
      <c r="D274" t="s">
        <v>243</v>
      </c>
      <c r="E274" t="s">
        <v>179</v>
      </c>
      <c r="F274">
        <v>20</v>
      </c>
      <c r="G274" t="s">
        <v>192</v>
      </c>
      <c r="H274" t="s">
        <v>188</v>
      </c>
      <c r="I274" t="s">
        <v>109</v>
      </c>
      <c r="J274">
        <v>0</v>
      </c>
    </row>
    <row r="275" spans="1:10" x14ac:dyDescent="0.25">
      <c r="A275" s="1" t="s">
        <v>27</v>
      </c>
      <c r="B275">
        <v>401752796</v>
      </c>
      <c r="C275" t="s">
        <v>110</v>
      </c>
      <c r="D275" t="s">
        <v>243</v>
      </c>
      <c r="E275" t="s">
        <v>179</v>
      </c>
      <c r="F275">
        <v>20</v>
      </c>
      <c r="G275" t="s">
        <v>192</v>
      </c>
      <c r="H275" t="s">
        <v>188</v>
      </c>
      <c r="I275" t="s">
        <v>249</v>
      </c>
      <c r="J275">
        <v>0</v>
      </c>
    </row>
    <row r="276" spans="1:10" x14ac:dyDescent="0.25">
      <c r="A276" s="1" t="s">
        <v>27</v>
      </c>
      <c r="B276">
        <v>401752796</v>
      </c>
      <c r="C276" t="s">
        <v>110</v>
      </c>
      <c r="D276" t="s">
        <v>243</v>
      </c>
      <c r="E276" t="s">
        <v>179</v>
      </c>
      <c r="F276">
        <v>20</v>
      </c>
      <c r="G276" t="s">
        <v>192</v>
      </c>
      <c r="H276" t="s">
        <v>198</v>
      </c>
      <c r="I276" t="s">
        <v>245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110</v>
      </c>
      <c r="D277" t="s">
        <v>243</v>
      </c>
      <c r="E277" t="s">
        <v>179</v>
      </c>
      <c r="F277">
        <v>20</v>
      </c>
      <c r="G277" t="s">
        <v>192</v>
      </c>
      <c r="H277" t="s">
        <v>198</v>
      </c>
      <c r="I277" t="s">
        <v>246</v>
      </c>
      <c r="J277">
        <v>2</v>
      </c>
    </row>
    <row r="278" spans="1:10" x14ac:dyDescent="0.25">
      <c r="A278" s="1" t="s">
        <v>27</v>
      </c>
      <c r="B278">
        <v>401752796</v>
      </c>
      <c r="C278" t="s">
        <v>110</v>
      </c>
      <c r="D278" t="s">
        <v>243</v>
      </c>
      <c r="E278" t="s">
        <v>179</v>
      </c>
      <c r="F278">
        <v>20</v>
      </c>
      <c r="G278" t="s">
        <v>192</v>
      </c>
      <c r="H278" t="s">
        <v>198</v>
      </c>
      <c r="I278" t="s">
        <v>247</v>
      </c>
      <c r="J278">
        <v>3</v>
      </c>
    </row>
    <row r="279" spans="1:10" x14ac:dyDescent="0.25">
      <c r="A279" s="1" t="s">
        <v>27</v>
      </c>
      <c r="B279">
        <v>401752796</v>
      </c>
      <c r="C279" t="s">
        <v>110</v>
      </c>
      <c r="D279" t="s">
        <v>243</v>
      </c>
      <c r="E279" t="s">
        <v>179</v>
      </c>
      <c r="F279">
        <v>20</v>
      </c>
      <c r="G279" t="s">
        <v>192</v>
      </c>
      <c r="H279" t="s">
        <v>198</v>
      </c>
      <c r="I279" t="s">
        <v>248</v>
      </c>
      <c r="J279">
        <v>0</v>
      </c>
    </row>
    <row r="280" spans="1:10" x14ac:dyDescent="0.25">
      <c r="A280" s="1" t="s">
        <v>27</v>
      </c>
      <c r="B280">
        <v>401752796</v>
      </c>
      <c r="C280" t="s">
        <v>110</v>
      </c>
      <c r="D280" t="s">
        <v>243</v>
      </c>
      <c r="E280" t="s">
        <v>179</v>
      </c>
      <c r="F280">
        <v>20</v>
      </c>
      <c r="G280" t="s">
        <v>192</v>
      </c>
      <c r="H280" t="s">
        <v>198</v>
      </c>
      <c r="I280" t="s">
        <v>109</v>
      </c>
      <c r="J280">
        <v>9</v>
      </c>
    </row>
    <row r="281" spans="1:10" x14ac:dyDescent="0.25">
      <c r="A281" s="1" t="s">
        <v>27</v>
      </c>
      <c r="B281">
        <v>401752796</v>
      </c>
      <c r="C281" t="s">
        <v>110</v>
      </c>
      <c r="D281" t="s">
        <v>243</v>
      </c>
      <c r="E281" t="s">
        <v>179</v>
      </c>
      <c r="F281">
        <v>20</v>
      </c>
      <c r="G281" t="s">
        <v>192</v>
      </c>
      <c r="H281" t="s">
        <v>198</v>
      </c>
      <c r="I281" t="s">
        <v>249</v>
      </c>
      <c r="J281">
        <v>0</v>
      </c>
    </row>
    <row r="282" spans="1:10" x14ac:dyDescent="0.25">
      <c r="A282" s="1" t="s">
        <v>27</v>
      </c>
      <c r="B282">
        <v>401752796</v>
      </c>
      <c r="C282" t="s">
        <v>110</v>
      </c>
      <c r="D282" t="s">
        <v>243</v>
      </c>
      <c r="E282" t="s">
        <v>179</v>
      </c>
      <c r="F282">
        <v>20</v>
      </c>
      <c r="G282" t="s">
        <v>199</v>
      </c>
      <c r="H282" t="s">
        <v>0</v>
      </c>
      <c r="I282" t="s">
        <v>250</v>
      </c>
      <c r="J282">
        <v>6</v>
      </c>
    </row>
    <row r="283" spans="1:10" x14ac:dyDescent="0.25">
      <c r="A283" s="1" t="s">
        <v>27</v>
      </c>
      <c r="B283">
        <v>401752796</v>
      </c>
      <c r="C283" t="s">
        <v>110</v>
      </c>
      <c r="D283" t="s">
        <v>243</v>
      </c>
      <c r="E283" t="s">
        <v>179</v>
      </c>
      <c r="F283">
        <v>20</v>
      </c>
      <c r="G283" t="s">
        <v>199</v>
      </c>
      <c r="H283" t="s">
        <v>0</v>
      </c>
      <c r="I283" t="s">
        <v>251</v>
      </c>
      <c r="J283">
        <v>6</v>
      </c>
    </row>
    <row r="284" spans="1:10" x14ac:dyDescent="0.25">
      <c r="A284" s="1" t="s">
        <v>27</v>
      </c>
      <c r="B284">
        <v>401752796</v>
      </c>
      <c r="C284" t="s">
        <v>110</v>
      </c>
      <c r="D284" t="s">
        <v>243</v>
      </c>
      <c r="E284" t="s">
        <v>179</v>
      </c>
      <c r="F284">
        <v>20</v>
      </c>
      <c r="G284" t="s">
        <v>199</v>
      </c>
      <c r="H284" t="s">
        <v>0</v>
      </c>
      <c r="I284" t="s">
        <v>252</v>
      </c>
      <c r="J284">
        <v>5</v>
      </c>
    </row>
    <row r="285" spans="1:10" x14ac:dyDescent="0.25">
      <c r="A285" s="1" t="s">
        <v>27</v>
      </c>
      <c r="B285">
        <v>401752796</v>
      </c>
      <c r="C285" t="s">
        <v>110</v>
      </c>
      <c r="D285" t="s">
        <v>243</v>
      </c>
      <c r="E285" t="s">
        <v>179</v>
      </c>
      <c r="F285">
        <v>20</v>
      </c>
      <c r="G285" t="s">
        <v>199</v>
      </c>
      <c r="H285" t="s">
        <v>0</v>
      </c>
      <c r="I285" t="s">
        <v>253</v>
      </c>
      <c r="J285">
        <v>5</v>
      </c>
    </row>
    <row r="286" spans="1:10" x14ac:dyDescent="0.25">
      <c r="A286" s="1" t="s">
        <v>27</v>
      </c>
      <c r="B286">
        <v>401752796</v>
      </c>
      <c r="C286" t="s">
        <v>110</v>
      </c>
      <c r="D286" t="s">
        <v>243</v>
      </c>
      <c r="E286" t="s">
        <v>179</v>
      </c>
      <c r="F286">
        <v>20</v>
      </c>
      <c r="G286" t="s">
        <v>199</v>
      </c>
      <c r="H286" t="s">
        <v>0</v>
      </c>
      <c r="I286" t="s">
        <v>245</v>
      </c>
      <c r="J286">
        <v>7</v>
      </c>
    </row>
    <row r="287" spans="1:10" x14ac:dyDescent="0.25">
      <c r="A287" s="1" t="s">
        <v>27</v>
      </c>
      <c r="B287">
        <v>401752796</v>
      </c>
      <c r="C287" t="s">
        <v>110</v>
      </c>
      <c r="D287" t="s">
        <v>243</v>
      </c>
      <c r="E287" t="s">
        <v>179</v>
      </c>
      <c r="F287">
        <v>20</v>
      </c>
      <c r="G287" t="s">
        <v>199</v>
      </c>
      <c r="H287" t="s">
        <v>0</v>
      </c>
      <c r="I287" t="s">
        <v>254</v>
      </c>
      <c r="J287">
        <v>1</v>
      </c>
    </row>
    <row r="288" spans="1:10" x14ac:dyDescent="0.25">
      <c r="A288" s="1" t="s">
        <v>27</v>
      </c>
      <c r="B288">
        <v>401752796</v>
      </c>
      <c r="C288" t="s">
        <v>110</v>
      </c>
      <c r="D288" t="s">
        <v>243</v>
      </c>
      <c r="E288" t="s">
        <v>179</v>
      </c>
      <c r="F288">
        <v>20</v>
      </c>
      <c r="G288" t="s">
        <v>199</v>
      </c>
      <c r="H288" t="s">
        <v>0</v>
      </c>
      <c r="I288" t="s">
        <v>255</v>
      </c>
      <c r="J288">
        <v>1</v>
      </c>
    </row>
    <row r="289" spans="1:10" x14ac:dyDescent="0.25">
      <c r="A289" s="1" t="s">
        <v>27</v>
      </c>
      <c r="B289">
        <v>401752796</v>
      </c>
      <c r="C289" t="s">
        <v>110</v>
      </c>
      <c r="D289" t="s">
        <v>243</v>
      </c>
      <c r="E289" t="s">
        <v>179</v>
      </c>
      <c r="F289">
        <v>20</v>
      </c>
      <c r="G289" t="s">
        <v>199</v>
      </c>
      <c r="H289" t="s">
        <v>0</v>
      </c>
      <c r="I289" t="s">
        <v>247</v>
      </c>
      <c r="J289">
        <v>1</v>
      </c>
    </row>
    <row r="290" spans="1:10" x14ac:dyDescent="0.25">
      <c r="A290" s="1" t="s">
        <v>27</v>
      </c>
      <c r="B290">
        <v>401752796</v>
      </c>
      <c r="C290" t="s">
        <v>110</v>
      </c>
      <c r="D290" t="s">
        <v>243</v>
      </c>
      <c r="E290" t="s">
        <v>179</v>
      </c>
      <c r="F290">
        <v>20</v>
      </c>
      <c r="G290" t="s">
        <v>199</v>
      </c>
      <c r="H290" t="s">
        <v>0</v>
      </c>
      <c r="I290" t="s">
        <v>249</v>
      </c>
      <c r="J290">
        <v>1</v>
      </c>
    </row>
    <row r="291" spans="1:10" x14ac:dyDescent="0.25">
      <c r="A291" s="1" t="s">
        <v>27</v>
      </c>
      <c r="B291">
        <v>401752796</v>
      </c>
      <c r="C291" t="s">
        <v>110</v>
      </c>
      <c r="D291" t="s">
        <v>243</v>
      </c>
      <c r="E291" t="s">
        <v>179</v>
      </c>
      <c r="F291">
        <v>20</v>
      </c>
      <c r="G291" t="s">
        <v>199</v>
      </c>
      <c r="H291" t="s">
        <v>186</v>
      </c>
      <c r="I291" t="s">
        <v>250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110</v>
      </c>
      <c r="D292" t="s">
        <v>243</v>
      </c>
      <c r="E292" t="s">
        <v>179</v>
      </c>
      <c r="F292">
        <v>20</v>
      </c>
      <c r="G292" t="s">
        <v>199</v>
      </c>
      <c r="H292" t="s">
        <v>186</v>
      </c>
      <c r="I292" t="s">
        <v>251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110</v>
      </c>
      <c r="D293" t="s">
        <v>243</v>
      </c>
      <c r="E293" t="s">
        <v>179</v>
      </c>
      <c r="F293">
        <v>20</v>
      </c>
      <c r="G293" t="s">
        <v>199</v>
      </c>
      <c r="H293" t="s">
        <v>186</v>
      </c>
      <c r="I293" t="s">
        <v>252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110</v>
      </c>
      <c r="D294" t="s">
        <v>243</v>
      </c>
      <c r="E294" t="s">
        <v>179</v>
      </c>
      <c r="F294">
        <v>20</v>
      </c>
      <c r="G294" t="s">
        <v>199</v>
      </c>
      <c r="H294" t="s">
        <v>186</v>
      </c>
      <c r="I294" t="s">
        <v>253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110</v>
      </c>
      <c r="D295" t="s">
        <v>243</v>
      </c>
      <c r="E295" t="s">
        <v>179</v>
      </c>
      <c r="F295">
        <v>20</v>
      </c>
      <c r="G295" t="s">
        <v>199</v>
      </c>
      <c r="H295" t="s">
        <v>186</v>
      </c>
      <c r="I295" t="s">
        <v>245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110</v>
      </c>
      <c r="D296" t="s">
        <v>243</v>
      </c>
      <c r="E296" t="s">
        <v>179</v>
      </c>
      <c r="F296">
        <v>20</v>
      </c>
      <c r="G296" t="s">
        <v>199</v>
      </c>
      <c r="H296" t="s">
        <v>186</v>
      </c>
      <c r="I296" t="s">
        <v>254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110</v>
      </c>
      <c r="D297" t="s">
        <v>243</v>
      </c>
      <c r="E297" t="s">
        <v>179</v>
      </c>
      <c r="F297">
        <v>20</v>
      </c>
      <c r="G297" t="s">
        <v>199</v>
      </c>
      <c r="H297" t="s">
        <v>186</v>
      </c>
      <c r="I297" t="s">
        <v>255</v>
      </c>
      <c r="J297">
        <v>7</v>
      </c>
    </row>
    <row r="298" spans="1:10" x14ac:dyDescent="0.25">
      <c r="A298" s="1" t="s">
        <v>27</v>
      </c>
      <c r="B298">
        <v>401752796</v>
      </c>
      <c r="C298" t="s">
        <v>110</v>
      </c>
      <c r="D298" t="s">
        <v>243</v>
      </c>
      <c r="E298" t="s">
        <v>179</v>
      </c>
      <c r="F298">
        <v>20</v>
      </c>
      <c r="G298" t="s">
        <v>199</v>
      </c>
      <c r="H298" t="s">
        <v>186</v>
      </c>
      <c r="I298" t="s">
        <v>247</v>
      </c>
      <c r="J298">
        <v>4</v>
      </c>
    </row>
    <row r="299" spans="1:10" x14ac:dyDescent="0.25">
      <c r="A299" s="1" t="s">
        <v>27</v>
      </c>
      <c r="B299">
        <v>401752796</v>
      </c>
      <c r="C299" t="s">
        <v>110</v>
      </c>
      <c r="D299" t="s">
        <v>243</v>
      </c>
      <c r="E299" t="s">
        <v>179</v>
      </c>
      <c r="F299">
        <v>20</v>
      </c>
      <c r="G299" t="s">
        <v>199</v>
      </c>
      <c r="H299" t="s">
        <v>186</v>
      </c>
      <c r="I299" t="s">
        <v>249</v>
      </c>
      <c r="J299">
        <v>2</v>
      </c>
    </row>
    <row r="300" spans="1:10" x14ac:dyDescent="0.25">
      <c r="A300" s="1" t="s">
        <v>27</v>
      </c>
      <c r="B300">
        <v>401752796</v>
      </c>
      <c r="C300" t="s">
        <v>110</v>
      </c>
      <c r="D300" t="s">
        <v>243</v>
      </c>
      <c r="E300" t="s">
        <v>179</v>
      </c>
      <c r="F300">
        <v>20</v>
      </c>
      <c r="G300" t="s">
        <v>199</v>
      </c>
      <c r="H300" t="s">
        <v>187</v>
      </c>
      <c r="I300" t="s">
        <v>250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110</v>
      </c>
      <c r="D301" t="s">
        <v>243</v>
      </c>
      <c r="E301" t="s">
        <v>179</v>
      </c>
      <c r="F301">
        <v>20</v>
      </c>
      <c r="G301" t="s">
        <v>199</v>
      </c>
      <c r="H301" t="s">
        <v>187</v>
      </c>
      <c r="I301" t="s">
        <v>251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110</v>
      </c>
      <c r="D302" t="s">
        <v>243</v>
      </c>
      <c r="E302" t="s">
        <v>179</v>
      </c>
      <c r="F302">
        <v>20</v>
      </c>
      <c r="G302" t="s">
        <v>199</v>
      </c>
      <c r="H302" t="s">
        <v>187</v>
      </c>
      <c r="I302" t="s">
        <v>252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110</v>
      </c>
      <c r="D303" t="s">
        <v>243</v>
      </c>
      <c r="E303" t="s">
        <v>179</v>
      </c>
      <c r="F303">
        <v>20</v>
      </c>
      <c r="G303" t="s">
        <v>199</v>
      </c>
      <c r="H303" t="s">
        <v>187</v>
      </c>
      <c r="I303" t="s">
        <v>253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110</v>
      </c>
      <c r="D304" t="s">
        <v>243</v>
      </c>
      <c r="E304" t="s">
        <v>179</v>
      </c>
      <c r="F304">
        <v>20</v>
      </c>
      <c r="G304" t="s">
        <v>199</v>
      </c>
      <c r="H304" t="s">
        <v>187</v>
      </c>
      <c r="I304" t="s">
        <v>245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110</v>
      </c>
      <c r="D305" t="s">
        <v>243</v>
      </c>
      <c r="E305" t="s">
        <v>179</v>
      </c>
      <c r="F305">
        <v>20</v>
      </c>
      <c r="G305" t="s">
        <v>199</v>
      </c>
      <c r="H305" t="s">
        <v>187</v>
      </c>
      <c r="I305" t="s">
        <v>254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110</v>
      </c>
      <c r="D306" t="s">
        <v>243</v>
      </c>
      <c r="E306" t="s">
        <v>179</v>
      </c>
      <c r="F306">
        <v>20</v>
      </c>
      <c r="G306" t="s">
        <v>199</v>
      </c>
      <c r="H306" t="s">
        <v>187</v>
      </c>
      <c r="I306" t="s">
        <v>255</v>
      </c>
      <c r="J306">
        <v>7</v>
      </c>
    </row>
    <row r="307" spans="1:10" x14ac:dyDescent="0.25">
      <c r="A307" s="1" t="s">
        <v>27</v>
      </c>
      <c r="B307">
        <v>401752796</v>
      </c>
      <c r="C307" t="s">
        <v>110</v>
      </c>
      <c r="D307" t="s">
        <v>243</v>
      </c>
      <c r="E307" t="s">
        <v>179</v>
      </c>
      <c r="F307">
        <v>20</v>
      </c>
      <c r="G307" t="s">
        <v>199</v>
      </c>
      <c r="H307" t="s">
        <v>187</v>
      </c>
      <c r="I307" t="s">
        <v>247</v>
      </c>
      <c r="J307">
        <v>4</v>
      </c>
    </row>
    <row r="308" spans="1:10" x14ac:dyDescent="0.25">
      <c r="A308" s="1" t="s">
        <v>27</v>
      </c>
      <c r="B308">
        <v>401752796</v>
      </c>
      <c r="C308" t="s">
        <v>110</v>
      </c>
      <c r="D308" t="s">
        <v>243</v>
      </c>
      <c r="E308" t="s">
        <v>179</v>
      </c>
      <c r="F308">
        <v>20</v>
      </c>
      <c r="G308" t="s">
        <v>199</v>
      </c>
      <c r="H308" t="s">
        <v>187</v>
      </c>
      <c r="I308" t="s">
        <v>249</v>
      </c>
      <c r="J308">
        <v>2</v>
      </c>
    </row>
    <row r="309" spans="1:10" x14ac:dyDescent="0.25">
      <c r="A309" s="1" t="s">
        <v>27</v>
      </c>
      <c r="B309">
        <v>401752796</v>
      </c>
      <c r="C309" t="s">
        <v>110</v>
      </c>
      <c r="D309" t="s">
        <v>243</v>
      </c>
      <c r="E309" t="s">
        <v>179</v>
      </c>
      <c r="F309">
        <v>20</v>
      </c>
      <c r="G309" t="s">
        <v>199</v>
      </c>
      <c r="H309" t="s">
        <v>188</v>
      </c>
      <c r="I309" t="s">
        <v>250</v>
      </c>
      <c r="J309">
        <v>1</v>
      </c>
    </row>
    <row r="310" spans="1:10" x14ac:dyDescent="0.25">
      <c r="A310" s="1" t="s">
        <v>27</v>
      </c>
      <c r="B310">
        <v>401752796</v>
      </c>
      <c r="C310" t="s">
        <v>110</v>
      </c>
      <c r="D310" t="s">
        <v>243</v>
      </c>
      <c r="E310" t="s">
        <v>179</v>
      </c>
      <c r="F310">
        <v>20</v>
      </c>
      <c r="G310" t="s">
        <v>199</v>
      </c>
      <c r="H310" t="s">
        <v>188</v>
      </c>
      <c r="I310" t="s">
        <v>251</v>
      </c>
      <c r="J310">
        <v>1</v>
      </c>
    </row>
    <row r="311" spans="1:10" x14ac:dyDescent="0.25">
      <c r="A311" s="1" t="s">
        <v>27</v>
      </c>
      <c r="B311">
        <v>401752796</v>
      </c>
      <c r="C311" t="s">
        <v>110</v>
      </c>
      <c r="D311" t="s">
        <v>243</v>
      </c>
      <c r="E311" t="s">
        <v>179</v>
      </c>
      <c r="F311">
        <v>20</v>
      </c>
      <c r="G311" t="s">
        <v>199</v>
      </c>
      <c r="H311" t="s">
        <v>188</v>
      </c>
      <c r="I311" t="s">
        <v>252</v>
      </c>
      <c r="J311">
        <v>0</v>
      </c>
    </row>
    <row r="312" spans="1:10" x14ac:dyDescent="0.25">
      <c r="A312" s="1" t="s">
        <v>27</v>
      </c>
      <c r="B312">
        <v>401752796</v>
      </c>
      <c r="C312" t="s">
        <v>110</v>
      </c>
      <c r="D312" t="s">
        <v>243</v>
      </c>
      <c r="E312" t="s">
        <v>179</v>
      </c>
      <c r="F312">
        <v>20</v>
      </c>
      <c r="G312" t="s">
        <v>199</v>
      </c>
      <c r="H312" t="s">
        <v>188</v>
      </c>
      <c r="I312" t="s">
        <v>253</v>
      </c>
      <c r="J312">
        <v>0</v>
      </c>
    </row>
    <row r="313" spans="1:10" x14ac:dyDescent="0.25">
      <c r="A313" s="1" t="s">
        <v>27</v>
      </c>
      <c r="B313">
        <v>401752796</v>
      </c>
      <c r="C313" t="s">
        <v>110</v>
      </c>
      <c r="D313" t="s">
        <v>243</v>
      </c>
      <c r="E313" t="s">
        <v>179</v>
      </c>
      <c r="F313">
        <v>20</v>
      </c>
      <c r="G313" t="s">
        <v>199</v>
      </c>
      <c r="H313" t="s">
        <v>188</v>
      </c>
      <c r="I313" t="s">
        <v>245</v>
      </c>
      <c r="J313">
        <v>0</v>
      </c>
    </row>
    <row r="314" spans="1:10" x14ac:dyDescent="0.25">
      <c r="A314" s="1" t="s">
        <v>27</v>
      </c>
      <c r="B314">
        <v>401752796</v>
      </c>
      <c r="C314" t="s">
        <v>110</v>
      </c>
      <c r="D314" t="s">
        <v>243</v>
      </c>
      <c r="E314" t="s">
        <v>179</v>
      </c>
      <c r="F314">
        <v>20</v>
      </c>
      <c r="G314" t="s">
        <v>199</v>
      </c>
      <c r="H314" t="s">
        <v>188</v>
      </c>
      <c r="I314" t="s">
        <v>254</v>
      </c>
      <c r="J314">
        <v>0</v>
      </c>
    </row>
    <row r="315" spans="1:10" x14ac:dyDescent="0.25">
      <c r="A315" s="1" t="s">
        <v>27</v>
      </c>
      <c r="B315">
        <v>401752796</v>
      </c>
      <c r="C315" t="s">
        <v>110</v>
      </c>
      <c r="D315" t="s">
        <v>243</v>
      </c>
      <c r="E315" t="s">
        <v>179</v>
      </c>
      <c r="F315">
        <v>20</v>
      </c>
      <c r="G315" t="s">
        <v>199</v>
      </c>
      <c r="H315" t="s">
        <v>188</v>
      </c>
      <c r="I315" t="s">
        <v>255</v>
      </c>
      <c r="J315">
        <v>0</v>
      </c>
    </row>
    <row r="316" spans="1:10" x14ac:dyDescent="0.25">
      <c r="A316" s="1" t="s">
        <v>27</v>
      </c>
      <c r="B316">
        <v>401752796</v>
      </c>
      <c r="C316" t="s">
        <v>110</v>
      </c>
      <c r="D316" t="s">
        <v>243</v>
      </c>
      <c r="E316" t="s">
        <v>179</v>
      </c>
      <c r="F316">
        <v>20</v>
      </c>
      <c r="G316" t="s">
        <v>199</v>
      </c>
      <c r="H316" t="s">
        <v>188</v>
      </c>
      <c r="I316" t="s">
        <v>247</v>
      </c>
      <c r="J316">
        <v>0</v>
      </c>
    </row>
    <row r="317" spans="1:10" x14ac:dyDescent="0.25">
      <c r="A317" s="1" t="s">
        <v>27</v>
      </c>
      <c r="B317">
        <v>401752796</v>
      </c>
      <c r="C317" t="s">
        <v>110</v>
      </c>
      <c r="D317" t="s">
        <v>243</v>
      </c>
      <c r="E317" t="s">
        <v>179</v>
      </c>
      <c r="F317">
        <v>20</v>
      </c>
      <c r="G317" t="s">
        <v>199</v>
      </c>
      <c r="H317" t="s">
        <v>188</v>
      </c>
      <c r="I317" t="s">
        <v>249</v>
      </c>
      <c r="J317">
        <v>0</v>
      </c>
    </row>
    <row r="318" spans="1:10" x14ac:dyDescent="0.25">
      <c r="A318" s="1" t="s">
        <v>27</v>
      </c>
      <c r="B318">
        <v>401752796</v>
      </c>
      <c r="C318" t="s">
        <v>110</v>
      </c>
      <c r="D318" t="s">
        <v>243</v>
      </c>
      <c r="E318" t="s">
        <v>179</v>
      </c>
      <c r="F318">
        <v>20</v>
      </c>
      <c r="G318" t="s">
        <v>199</v>
      </c>
      <c r="H318" t="s">
        <v>198</v>
      </c>
      <c r="I318" t="s">
        <v>250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110</v>
      </c>
      <c r="D319" t="s">
        <v>243</v>
      </c>
      <c r="E319" t="s">
        <v>179</v>
      </c>
      <c r="F319">
        <v>20</v>
      </c>
      <c r="G319" t="s">
        <v>199</v>
      </c>
      <c r="H319" t="s">
        <v>198</v>
      </c>
      <c r="I319" t="s">
        <v>251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110</v>
      </c>
      <c r="D320" t="s">
        <v>243</v>
      </c>
      <c r="E320" t="s">
        <v>179</v>
      </c>
      <c r="F320">
        <v>20</v>
      </c>
      <c r="G320" t="s">
        <v>199</v>
      </c>
      <c r="H320" t="s">
        <v>198</v>
      </c>
      <c r="I320" t="s">
        <v>252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110</v>
      </c>
      <c r="D321" t="s">
        <v>243</v>
      </c>
      <c r="E321" t="s">
        <v>179</v>
      </c>
      <c r="F321">
        <v>20</v>
      </c>
      <c r="G321" t="s">
        <v>199</v>
      </c>
      <c r="H321" t="s">
        <v>198</v>
      </c>
      <c r="I321" t="s">
        <v>253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110</v>
      </c>
      <c r="D322" t="s">
        <v>243</v>
      </c>
      <c r="E322" t="s">
        <v>179</v>
      </c>
      <c r="F322">
        <v>20</v>
      </c>
      <c r="G322" t="s">
        <v>199</v>
      </c>
      <c r="H322" t="s">
        <v>198</v>
      </c>
      <c r="I322" t="s">
        <v>245</v>
      </c>
      <c r="J322">
        <v>9</v>
      </c>
    </row>
    <row r="323" spans="1:10" x14ac:dyDescent="0.25">
      <c r="A323" s="1" t="s">
        <v>27</v>
      </c>
      <c r="B323">
        <v>401752796</v>
      </c>
      <c r="C323" t="s">
        <v>110</v>
      </c>
      <c r="D323" t="s">
        <v>243</v>
      </c>
      <c r="E323" t="s">
        <v>179</v>
      </c>
      <c r="F323">
        <v>20</v>
      </c>
      <c r="G323" t="s">
        <v>199</v>
      </c>
      <c r="H323" t="s">
        <v>198</v>
      </c>
      <c r="I323" t="s">
        <v>254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110</v>
      </c>
      <c r="D324" t="s">
        <v>243</v>
      </c>
      <c r="E324" t="s">
        <v>179</v>
      </c>
      <c r="F324">
        <v>20</v>
      </c>
      <c r="G324" t="s">
        <v>199</v>
      </c>
      <c r="H324" t="s">
        <v>198</v>
      </c>
      <c r="I324" t="s">
        <v>255</v>
      </c>
      <c r="J324">
        <v>7</v>
      </c>
    </row>
    <row r="325" spans="1:10" x14ac:dyDescent="0.25">
      <c r="A325" s="1" t="s">
        <v>27</v>
      </c>
      <c r="B325">
        <v>401752796</v>
      </c>
      <c r="C325" t="s">
        <v>110</v>
      </c>
      <c r="D325" t="s">
        <v>243</v>
      </c>
      <c r="E325" t="s">
        <v>179</v>
      </c>
      <c r="F325">
        <v>20</v>
      </c>
      <c r="G325" t="s">
        <v>199</v>
      </c>
      <c r="H325" t="s">
        <v>198</v>
      </c>
      <c r="I325" t="s">
        <v>247</v>
      </c>
      <c r="J325">
        <v>4</v>
      </c>
    </row>
    <row r="326" spans="1:10" x14ac:dyDescent="0.25">
      <c r="A326" s="1" t="s">
        <v>27</v>
      </c>
      <c r="B326">
        <v>401752796</v>
      </c>
      <c r="C326" t="s">
        <v>110</v>
      </c>
      <c r="D326" t="s">
        <v>243</v>
      </c>
      <c r="E326" t="s">
        <v>179</v>
      </c>
      <c r="F326">
        <v>20</v>
      </c>
      <c r="G326" t="s">
        <v>199</v>
      </c>
      <c r="H326" t="s">
        <v>198</v>
      </c>
      <c r="I326" t="s">
        <v>249</v>
      </c>
      <c r="J326">
        <v>2</v>
      </c>
    </row>
    <row r="327" spans="1:10" x14ac:dyDescent="0.25">
      <c r="A327" s="1" t="s">
        <v>27</v>
      </c>
      <c r="B327">
        <v>401752796</v>
      </c>
      <c r="C327" t="s">
        <v>110</v>
      </c>
      <c r="D327" t="s">
        <v>243</v>
      </c>
      <c r="E327" t="s">
        <v>179</v>
      </c>
      <c r="F327">
        <v>20</v>
      </c>
      <c r="G327" t="s">
        <v>203</v>
      </c>
      <c r="H327" t="s">
        <v>204</v>
      </c>
      <c r="I327" t="s">
        <v>247</v>
      </c>
      <c r="J327">
        <v>1</v>
      </c>
    </row>
    <row r="328" spans="1:10" x14ac:dyDescent="0.25">
      <c r="A328" s="1" t="s">
        <v>27</v>
      </c>
      <c r="B328">
        <v>401752796</v>
      </c>
      <c r="C328" t="s">
        <v>110</v>
      </c>
      <c r="D328" t="s">
        <v>243</v>
      </c>
      <c r="E328" t="s">
        <v>179</v>
      </c>
      <c r="F328">
        <v>20</v>
      </c>
      <c r="G328" t="s">
        <v>203</v>
      </c>
      <c r="H328" t="s">
        <v>204</v>
      </c>
      <c r="I328" t="s">
        <v>109</v>
      </c>
      <c r="J328">
        <v>1</v>
      </c>
    </row>
    <row r="329" spans="1:10" x14ac:dyDescent="0.25">
      <c r="A329" s="1" t="s">
        <v>27</v>
      </c>
      <c r="B329">
        <v>401752796</v>
      </c>
      <c r="C329" t="s">
        <v>110</v>
      </c>
      <c r="D329" t="s">
        <v>243</v>
      </c>
      <c r="E329" t="s">
        <v>179</v>
      </c>
      <c r="F329">
        <v>20</v>
      </c>
      <c r="G329" t="s">
        <v>203</v>
      </c>
      <c r="H329" t="s">
        <v>204</v>
      </c>
      <c r="I329" t="s">
        <v>256</v>
      </c>
      <c r="J329">
        <v>0</v>
      </c>
    </row>
    <row r="330" spans="1:10" x14ac:dyDescent="0.25">
      <c r="A330" s="1" t="s">
        <v>27</v>
      </c>
      <c r="B330">
        <v>401752796</v>
      </c>
      <c r="C330" t="s">
        <v>110</v>
      </c>
      <c r="D330" t="s">
        <v>243</v>
      </c>
      <c r="E330" t="s">
        <v>179</v>
      </c>
      <c r="F330">
        <v>20</v>
      </c>
      <c r="G330" t="s">
        <v>203</v>
      </c>
      <c r="H330" t="s">
        <v>205</v>
      </c>
      <c r="I330" t="s">
        <v>247</v>
      </c>
      <c r="J330">
        <v>0</v>
      </c>
    </row>
    <row r="331" spans="1:10" x14ac:dyDescent="0.25">
      <c r="A331" s="1" t="s">
        <v>27</v>
      </c>
      <c r="B331">
        <v>401752796</v>
      </c>
      <c r="C331" t="s">
        <v>110</v>
      </c>
      <c r="D331" t="s">
        <v>243</v>
      </c>
      <c r="E331" t="s">
        <v>179</v>
      </c>
      <c r="F331">
        <v>20</v>
      </c>
      <c r="G331" t="s">
        <v>203</v>
      </c>
      <c r="H331" t="s">
        <v>205</v>
      </c>
      <c r="I331" t="s">
        <v>109</v>
      </c>
      <c r="J331">
        <v>0</v>
      </c>
    </row>
    <row r="332" spans="1:10" x14ac:dyDescent="0.25">
      <c r="A332" s="1" t="s">
        <v>27</v>
      </c>
      <c r="B332">
        <v>401752796</v>
      </c>
      <c r="C332" t="s">
        <v>110</v>
      </c>
      <c r="D332" t="s">
        <v>243</v>
      </c>
      <c r="E332" t="s">
        <v>179</v>
      </c>
      <c r="F332">
        <v>20</v>
      </c>
      <c r="G332" t="s">
        <v>203</v>
      </c>
      <c r="H332" t="s">
        <v>205</v>
      </c>
      <c r="I332" t="s">
        <v>256</v>
      </c>
      <c r="J332">
        <v>0</v>
      </c>
    </row>
    <row r="333" spans="1:10" x14ac:dyDescent="0.25">
      <c r="A333" s="1" t="s">
        <v>27</v>
      </c>
      <c r="B333">
        <v>401752796</v>
      </c>
      <c r="C333" t="s">
        <v>110</v>
      </c>
      <c r="D333" t="s">
        <v>243</v>
      </c>
      <c r="E333" t="s">
        <v>179</v>
      </c>
      <c r="F333">
        <v>20</v>
      </c>
      <c r="G333" t="s">
        <v>203</v>
      </c>
      <c r="H333" t="s">
        <v>0</v>
      </c>
      <c r="I333" t="s">
        <v>247</v>
      </c>
      <c r="J333">
        <v>0</v>
      </c>
    </row>
    <row r="334" spans="1:10" x14ac:dyDescent="0.25">
      <c r="A334" s="1" t="s">
        <v>27</v>
      </c>
      <c r="B334">
        <v>401752796</v>
      </c>
      <c r="C334" t="s">
        <v>110</v>
      </c>
      <c r="D334" t="s">
        <v>243</v>
      </c>
      <c r="E334" t="s">
        <v>179</v>
      </c>
      <c r="F334">
        <v>20</v>
      </c>
      <c r="G334" t="s">
        <v>203</v>
      </c>
      <c r="H334" t="s">
        <v>0</v>
      </c>
      <c r="I334" t="s">
        <v>109</v>
      </c>
      <c r="J334">
        <v>0</v>
      </c>
    </row>
    <row r="335" spans="1:10" x14ac:dyDescent="0.25">
      <c r="A335" s="1" t="s">
        <v>27</v>
      </c>
      <c r="B335">
        <v>401752796</v>
      </c>
      <c r="C335" t="s">
        <v>110</v>
      </c>
      <c r="D335" t="s">
        <v>243</v>
      </c>
      <c r="E335" t="s">
        <v>179</v>
      </c>
      <c r="F335">
        <v>20</v>
      </c>
      <c r="G335" t="s">
        <v>203</v>
      </c>
      <c r="H335" t="s">
        <v>0</v>
      </c>
      <c r="I335" t="s">
        <v>256</v>
      </c>
      <c r="J335">
        <v>1</v>
      </c>
    </row>
    <row r="336" spans="1:10" x14ac:dyDescent="0.25">
      <c r="A336" s="1" t="s">
        <v>27</v>
      </c>
      <c r="B336">
        <v>401752796</v>
      </c>
      <c r="C336" t="s">
        <v>110</v>
      </c>
      <c r="D336" t="s">
        <v>243</v>
      </c>
      <c r="E336" t="s">
        <v>179</v>
      </c>
      <c r="F336">
        <v>20</v>
      </c>
      <c r="G336" t="s">
        <v>90</v>
      </c>
      <c r="H336" t="s">
        <v>206</v>
      </c>
      <c r="I336" t="s">
        <v>257</v>
      </c>
      <c r="J336">
        <v>7</v>
      </c>
    </row>
    <row r="337" spans="1:10" x14ac:dyDescent="0.25">
      <c r="A337" s="1" t="s">
        <v>27</v>
      </c>
      <c r="B337">
        <v>401752796</v>
      </c>
      <c r="C337" t="s">
        <v>110</v>
      </c>
      <c r="D337" t="s">
        <v>243</v>
      </c>
      <c r="E337" t="s">
        <v>179</v>
      </c>
      <c r="F337">
        <v>20</v>
      </c>
      <c r="G337" t="s">
        <v>90</v>
      </c>
      <c r="H337" t="s">
        <v>206</v>
      </c>
      <c r="I337" t="s">
        <v>256</v>
      </c>
      <c r="J337">
        <v>6</v>
      </c>
    </row>
    <row r="338" spans="1:10" x14ac:dyDescent="0.25">
      <c r="A338" s="1" t="s">
        <v>27</v>
      </c>
      <c r="B338">
        <v>401752796</v>
      </c>
      <c r="C338" t="s">
        <v>110</v>
      </c>
      <c r="D338" t="s">
        <v>243</v>
      </c>
      <c r="E338" t="s">
        <v>179</v>
      </c>
      <c r="F338">
        <v>20</v>
      </c>
      <c r="G338" t="s">
        <v>90</v>
      </c>
      <c r="H338" t="s">
        <v>206</v>
      </c>
      <c r="I338" t="s">
        <v>258</v>
      </c>
      <c r="J338">
        <v>5</v>
      </c>
    </row>
    <row r="339" spans="1:10" x14ac:dyDescent="0.25">
      <c r="A339" s="1" t="s">
        <v>27</v>
      </c>
      <c r="B339">
        <v>401752796</v>
      </c>
      <c r="C339" t="s">
        <v>110</v>
      </c>
      <c r="D339" t="s">
        <v>243</v>
      </c>
      <c r="E339" t="s">
        <v>179</v>
      </c>
      <c r="F339">
        <v>20</v>
      </c>
      <c r="G339" t="s">
        <v>90</v>
      </c>
      <c r="H339" t="s">
        <v>206</v>
      </c>
      <c r="I339" t="s">
        <v>259</v>
      </c>
      <c r="J339">
        <v>5</v>
      </c>
    </row>
    <row r="340" spans="1:10" x14ac:dyDescent="0.25">
      <c r="A340" s="1" t="s">
        <v>27</v>
      </c>
      <c r="B340">
        <v>401752796</v>
      </c>
      <c r="C340" t="s">
        <v>110</v>
      </c>
      <c r="D340" t="s">
        <v>243</v>
      </c>
      <c r="E340" t="s">
        <v>179</v>
      </c>
      <c r="F340">
        <v>20</v>
      </c>
      <c r="G340" t="s">
        <v>90</v>
      </c>
      <c r="H340" t="s">
        <v>206</v>
      </c>
      <c r="I340" t="s">
        <v>260</v>
      </c>
      <c r="J340">
        <v>5</v>
      </c>
    </row>
    <row r="341" spans="1:10" x14ac:dyDescent="0.25">
      <c r="A341" s="1" t="s">
        <v>27</v>
      </c>
      <c r="B341">
        <v>401752796</v>
      </c>
      <c r="C341" t="s">
        <v>110</v>
      </c>
      <c r="D341" t="s">
        <v>243</v>
      </c>
      <c r="E341" t="s">
        <v>179</v>
      </c>
      <c r="F341">
        <v>20</v>
      </c>
      <c r="G341" t="s">
        <v>90</v>
      </c>
      <c r="H341" t="s">
        <v>206</v>
      </c>
      <c r="I341" t="s">
        <v>261</v>
      </c>
      <c r="J341">
        <v>4</v>
      </c>
    </row>
    <row r="342" spans="1:10" x14ac:dyDescent="0.25">
      <c r="A342" s="1" t="s">
        <v>27</v>
      </c>
      <c r="B342">
        <v>401752796</v>
      </c>
      <c r="C342" t="s">
        <v>110</v>
      </c>
      <c r="D342" t="s">
        <v>243</v>
      </c>
      <c r="E342" t="s">
        <v>179</v>
      </c>
      <c r="F342">
        <v>20</v>
      </c>
      <c r="G342" t="s">
        <v>90</v>
      </c>
      <c r="H342" t="s">
        <v>206</v>
      </c>
      <c r="I342" t="s">
        <v>262</v>
      </c>
      <c r="J342">
        <v>3</v>
      </c>
    </row>
    <row r="343" spans="1:10" x14ac:dyDescent="0.25">
      <c r="A343" s="1" t="s">
        <v>27</v>
      </c>
      <c r="B343">
        <v>401752796</v>
      </c>
      <c r="C343" t="s">
        <v>110</v>
      </c>
      <c r="D343" t="s">
        <v>243</v>
      </c>
      <c r="E343" t="s">
        <v>179</v>
      </c>
      <c r="F343">
        <v>20</v>
      </c>
      <c r="G343" t="s">
        <v>90</v>
      </c>
      <c r="H343" t="s">
        <v>206</v>
      </c>
      <c r="I343" t="s">
        <v>263</v>
      </c>
      <c r="J343">
        <v>3</v>
      </c>
    </row>
    <row r="344" spans="1:10" x14ac:dyDescent="0.25">
      <c r="A344" s="1" t="s">
        <v>27</v>
      </c>
      <c r="B344">
        <v>401752796</v>
      </c>
      <c r="C344" t="s">
        <v>110</v>
      </c>
      <c r="D344" t="s">
        <v>243</v>
      </c>
      <c r="E344" t="s">
        <v>179</v>
      </c>
      <c r="F344">
        <v>20</v>
      </c>
      <c r="G344" t="s">
        <v>90</v>
      </c>
      <c r="H344" t="s">
        <v>206</v>
      </c>
      <c r="I344" t="s">
        <v>264</v>
      </c>
      <c r="J344">
        <v>3</v>
      </c>
    </row>
    <row r="345" spans="1:10" x14ac:dyDescent="0.25">
      <c r="A345" s="1" t="s">
        <v>27</v>
      </c>
      <c r="B345">
        <v>401752796</v>
      </c>
      <c r="C345" t="s">
        <v>110</v>
      </c>
      <c r="D345" t="s">
        <v>243</v>
      </c>
      <c r="E345" t="s">
        <v>179</v>
      </c>
      <c r="F345">
        <v>20</v>
      </c>
      <c r="G345" t="s">
        <v>90</v>
      </c>
      <c r="H345" t="s">
        <v>206</v>
      </c>
      <c r="I345" t="s">
        <v>265</v>
      </c>
      <c r="J345">
        <v>3</v>
      </c>
    </row>
    <row r="346" spans="1:10" x14ac:dyDescent="0.25">
      <c r="A346" s="1" t="s">
        <v>27</v>
      </c>
      <c r="B346">
        <v>401752796</v>
      </c>
      <c r="C346" t="s">
        <v>110</v>
      </c>
      <c r="D346" t="s">
        <v>243</v>
      </c>
      <c r="E346" t="s">
        <v>179</v>
      </c>
      <c r="F346">
        <v>20</v>
      </c>
      <c r="G346" t="s">
        <v>90</v>
      </c>
      <c r="H346" t="s">
        <v>206</v>
      </c>
      <c r="I346" t="s">
        <v>266</v>
      </c>
      <c r="J346">
        <v>3</v>
      </c>
    </row>
    <row r="347" spans="1:10" x14ac:dyDescent="0.25">
      <c r="A347" s="1" t="s">
        <v>27</v>
      </c>
      <c r="B347">
        <v>401752796</v>
      </c>
      <c r="C347" t="s">
        <v>110</v>
      </c>
      <c r="D347" t="s">
        <v>243</v>
      </c>
      <c r="E347" t="s">
        <v>179</v>
      </c>
      <c r="F347">
        <v>20</v>
      </c>
      <c r="G347" t="s">
        <v>90</v>
      </c>
      <c r="H347" t="s">
        <v>206</v>
      </c>
      <c r="I347" t="s">
        <v>267</v>
      </c>
      <c r="J347">
        <v>2</v>
      </c>
    </row>
    <row r="348" spans="1:10" x14ac:dyDescent="0.25">
      <c r="A348" s="1" t="s">
        <v>27</v>
      </c>
      <c r="B348">
        <v>401752796</v>
      </c>
      <c r="C348" t="s">
        <v>110</v>
      </c>
      <c r="D348" t="s">
        <v>243</v>
      </c>
      <c r="E348" t="s">
        <v>179</v>
      </c>
      <c r="F348">
        <v>20</v>
      </c>
      <c r="G348" t="s">
        <v>90</v>
      </c>
      <c r="H348" t="s">
        <v>206</v>
      </c>
      <c r="I348" t="s">
        <v>268</v>
      </c>
      <c r="J348">
        <v>1</v>
      </c>
    </row>
    <row r="349" spans="1:10" x14ac:dyDescent="0.25">
      <c r="A349" s="1" t="s">
        <v>27</v>
      </c>
      <c r="B349">
        <v>401752796</v>
      </c>
      <c r="C349" t="s">
        <v>110</v>
      </c>
      <c r="D349" t="s">
        <v>243</v>
      </c>
      <c r="E349" t="s">
        <v>179</v>
      </c>
      <c r="F349">
        <v>20</v>
      </c>
      <c r="G349" t="s">
        <v>90</v>
      </c>
      <c r="H349" t="s">
        <v>206</v>
      </c>
      <c r="I349" t="s">
        <v>269</v>
      </c>
      <c r="J349">
        <v>1</v>
      </c>
    </row>
    <row r="350" spans="1:10" x14ac:dyDescent="0.25">
      <c r="A350" s="1" t="s">
        <v>27</v>
      </c>
      <c r="B350">
        <v>401752796</v>
      </c>
      <c r="C350" t="s">
        <v>110</v>
      </c>
      <c r="D350" t="s">
        <v>243</v>
      </c>
      <c r="E350" t="s">
        <v>179</v>
      </c>
      <c r="F350">
        <v>20</v>
      </c>
      <c r="G350" t="s">
        <v>90</v>
      </c>
      <c r="H350" t="s">
        <v>206</v>
      </c>
      <c r="I350" t="s">
        <v>270</v>
      </c>
      <c r="J350">
        <v>1</v>
      </c>
    </row>
    <row r="351" spans="1:10" x14ac:dyDescent="0.25">
      <c r="A351" s="1" t="s">
        <v>27</v>
      </c>
      <c r="B351">
        <v>401752796</v>
      </c>
      <c r="C351" t="s">
        <v>110</v>
      </c>
      <c r="D351" t="s">
        <v>243</v>
      </c>
      <c r="E351" t="s">
        <v>179</v>
      </c>
      <c r="F351">
        <v>20</v>
      </c>
      <c r="G351" t="s">
        <v>90</v>
      </c>
      <c r="H351" t="s">
        <v>227</v>
      </c>
      <c r="I351" t="s">
        <v>257</v>
      </c>
      <c r="J351">
        <v>3</v>
      </c>
    </row>
    <row r="352" spans="1:10" x14ac:dyDescent="0.25">
      <c r="A352" s="1" t="s">
        <v>27</v>
      </c>
      <c r="B352">
        <v>401752796</v>
      </c>
      <c r="C352" t="s">
        <v>110</v>
      </c>
      <c r="D352" t="s">
        <v>243</v>
      </c>
      <c r="E352" t="s">
        <v>179</v>
      </c>
      <c r="F352">
        <v>20</v>
      </c>
      <c r="G352" t="s">
        <v>90</v>
      </c>
      <c r="H352" t="s">
        <v>227</v>
      </c>
      <c r="I352" t="s">
        <v>256</v>
      </c>
      <c r="J352">
        <v>2</v>
      </c>
    </row>
    <row r="353" spans="1:10" x14ac:dyDescent="0.25">
      <c r="A353" s="1" t="s">
        <v>27</v>
      </c>
      <c r="B353">
        <v>401752796</v>
      </c>
      <c r="C353" t="s">
        <v>110</v>
      </c>
      <c r="D353" t="s">
        <v>243</v>
      </c>
      <c r="E353" t="s">
        <v>179</v>
      </c>
      <c r="F353">
        <v>20</v>
      </c>
      <c r="G353" t="s">
        <v>90</v>
      </c>
      <c r="H353" t="s">
        <v>227</v>
      </c>
      <c r="I353" t="s">
        <v>258</v>
      </c>
      <c r="J353">
        <v>5</v>
      </c>
    </row>
    <row r="354" spans="1:10" x14ac:dyDescent="0.25">
      <c r="A354" s="1" t="s">
        <v>27</v>
      </c>
      <c r="B354">
        <v>401752796</v>
      </c>
      <c r="C354" t="s">
        <v>110</v>
      </c>
      <c r="D354" t="s">
        <v>243</v>
      </c>
      <c r="E354" t="s">
        <v>179</v>
      </c>
      <c r="F354">
        <v>20</v>
      </c>
      <c r="G354" t="s">
        <v>90</v>
      </c>
      <c r="H354" t="s">
        <v>227</v>
      </c>
      <c r="I354" t="s">
        <v>259</v>
      </c>
      <c r="J354">
        <v>2</v>
      </c>
    </row>
    <row r="355" spans="1:10" x14ac:dyDescent="0.25">
      <c r="A355" s="1" t="s">
        <v>27</v>
      </c>
      <c r="B355">
        <v>401752796</v>
      </c>
      <c r="C355" t="s">
        <v>110</v>
      </c>
      <c r="D355" t="s">
        <v>243</v>
      </c>
      <c r="E355" t="s">
        <v>179</v>
      </c>
      <c r="F355">
        <v>20</v>
      </c>
      <c r="G355" t="s">
        <v>90</v>
      </c>
      <c r="H355" t="s">
        <v>227</v>
      </c>
      <c r="I355" t="s">
        <v>260</v>
      </c>
      <c r="J355">
        <v>1</v>
      </c>
    </row>
    <row r="356" spans="1:10" x14ac:dyDescent="0.25">
      <c r="A356" s="1" t="s">
        <v>27</v>
      </c>
      <c r="B356">
        <v>401752796</v>
      </c>
      <c r="C356" t="s">
        <v>110</v>
      </c>
      <c r="D356" t="s">
        <v>243</v>
      </c>
      <c r="E356" t="s">
        <v>179</v>
      </c>
      <c r="F356">
        <v>20</v>
      </c>
      <c r="G356" t="s">
        <v>90</v>
      </c>
      <c r="H356" t="s">
        <v>227</v>
      </c>
      <c r="I356" t="s">
        <v>261</v>
      </c>
      <c r="J356">
        <v>1</v>
      </c>
    </row>
    <row r="357" spans="1:10" x14ac:dyDescent="0.25">
      <c r="A357" s="1" t="s">
        <v>27</v>
      </c>
      <c r="B357">
        <v>401752796</v>
      </c>
      <c r="C357" t="s">
        <v>110</v>
      </c>
      <c r="D357" t="s">
        <v>243</v>
      </c>
      <c r="E357" t="s">
        <v>179</v>
      </c>
      <c r="F357">
        <v>20</v>
      </c>
      <c r="G357" t="s">
        <v>90</v>
      </c>
      <c r="H357" t="s">
        <v>227</v>
      </c>
      <c r="I357" t="s">
        <v>262</v>
      </c>
      <c r="J357">
        <v>2</v>
      </c>
    </row>
    <row r="358" spans="1:10" x14ac:dyDescent="0.25">
      <c r="A358" s="1" t="s">
        <v>27</v>
      </c>
      <c r="B358">
        <v>401752796</v>
      </c>
      <c r="C358" t="s">
        <v>110</v>
      </c>
      <c r="D358" t="s">
        <v>243</v>
      </c>
      <c r="E358" t="s">
        <v>179</v>
      </c>
      <c r="F358">
        <v>20</v>
      </c>
      <c r="G358" t="s">
        <v>90</v>
      </c>
      <c r="H358" t="s">
        <v>227</v>
      </c>
      <c r="I358" t="s">
        <v>263</v>
      </c>
      <c r="J358">
        <v>1</v>
      </c>
    </row>
    <row r="359" spans="1:10" x14ac:dyDescent="0.25">
      <c r="A359" s="1" t="s">
        <v>27</v>
      </c>
      <c r="B359">
        <v>401752796</v>
      </c>
      <c r="C359" t="s">
        <v>110</v>
      </c>
      <c r="D359" t="s">
        <v>243</v>
      </c>
      <c r="E359" t="s">
        <v>179</v>
      </c>
      <c r="F359">
        <v>20</v>
      </c>
      <c r="G359" t="s">
        <v>90</v>
      </c>
      <c r="H359" t="s">
        <v>227</v>
      </c>
      <c r="I359" t="s">
        <v>264</v>
      </c>
      <c r="J359">
        <v>1</v>
      </c>
    </row>
    <row r="360" spans="1:10" x14ac:dyDescent="0.25">
      <c r="A360" s="1" t="s">
        <v>27</v>
      </c>
      <c r="B360">
        <v>401752796</v>
      </c>
      <c r="C360" t="s">
        <v>110</v>
      </c>
      <c r="D360" t="s">
        <v>243</v>
      </c>
      <c r="E360" t="s">
        <v>179</v>
      </c>
      <c r="F360">
        <v>20</v>
      </c>
      <c r="G360" t="s">
        <v>90</v>
      </c>
      <c r="H360" t="s">
        <v>227</v>
      </c>
      <c r="I360" t="s">
        <v>265</v>
      </c>
      <c r="J360">
        <v>0</v>
      </c>
    </row>
    <row r="361" spans="1:10" x14ac:dyDescent="0.25">
      <c r="A361" s="1" t="s">
        <v>27</v>
      </c>
      <c r="B361">
        <v>401752796</v>
      </c>
      <c r="C361" t="s">
        <v>110</v>
      </c>
      <c r="D361" t="s">
        <v>243</v>
      </c>
      <c r="E361" t="s">
        <v>179</v>
      </c>
      <c r="F361">
        <v>20</v>
      </c>
      <c r="G361" t="s">
        <v>90</v>
      </c>
      <c r="H361" t="s">
        <v>227</v>
      </c>
      <c r="I361" t="s">
        <v>266</v>
      </c>
      <c r="J361">
        <v>0</v>
      </c>
    </row>
    <row r="362" spans="1:10" x14ac:dyDescent="0.25">
      <c r="A362" s="1" t="s">
        <v>27</v>
      </c>
      <c r="B362">
        <v>401752796</v>
      </c>
      <c r="C362" t="s">
        <v>110</v>
      </c>
      <c r="D362" t="s">
        <v>243</v>
      </c>
      <c r="E362" t="s">
        <v>179</v>
      </c>
      <c r="F362">
        <v>20</v>
      </c>
      <c r="G362" t="s">
        <v>90</v>
      </c>
      <c r="H362" t="s">
        <v>227</v>
      </c>
      <c r="I362" t="s">
        <v>267</v>
      </c>
      <c r="J362">
        <v>0</v>
      </c>
    </row>
    <row r="363" spans="1:10" x14ac:dyDescent="0.25">
      <c r="A363" s="1" t="s">
        <v>27</v>
      </c>
      <c r="B363">
        <v>401752796</v>
      </c>
      <c r="C363" t="s">
        <v>110</v>
      </c>
      <c r="D363" t="s">
        <v>243</v>
      </c>
      <c r="E363" t="s">
        <v>179</v>
      </c>
      <c r="F363">
        <v>20</v>
      </c>
      <c r="G363" t="s">
        <v>90</v>
      </c>
      <c r="H363" t="s">
        <v>227</v>
      </c>
      <c r="I363" t="s">
        <v>268</v>
      </c>
      <c r="J363">
        <v>1</v>
      </c>
    </row>
    <row r="364" spans="1:10" x14ac:dyDescent="0.25">
      <c r="A364" s="1" t="s">
        <v>27</v>
      </c>
      <c r="B364">
        <v>401752796</v>
      </c>
      <c r="C364" t="s">
        <v>110</v>
      </c>
      <c r="D364" t="s">
        <v>243</v>
      </c>
      <c r="E364" t="s">
        <v>179</v>
      </c>
      <c r="F364">
        <v>20</v>
      </c>
      <c r="G364" t="s">
        <v>90</v>
      </c>
      <c r="H364" t="s">
        <v>227</v>
      </c>
      <c r="I364" t="s">
        <v>269</v>
      </c>
      <c r="J364">
        <v>1</v>
      </c>
    </row>
    <row r="365" spans="1:10" x14ac:dyDescent="0.25">
      <c r="A365" s="1" t="s">
        <v>27</v>
      </c>
      <c r="B365">
        <v>401752796</v>
      </c>
      <c r="C365" t="s">
        <v>110</v>
      </c>
      <c r="D365" t="s">
        <v>243</v>
      </c>
      <c r="E365" t="s">
        <v>179</v>
      </c>
      <c r="F365">
        <v>20</v>
      </c>
      <c r="G365" t="s">
        <v>90</v>
      </c>
      <c r="H365" t="s">
        <v>227</v>
      </c>
      <c r="I365" t="s">
        <v>270</v>
      </c>
      <c r="J365">
        <v>0</v>
      </c>
    </row>
    <row r="366" spans="1:10" x14ac:dyDescent="0.25">
      <c r="A366" s="1" t="s">
        <v>27</v>
      </c>
      <c r="B366">
        <v>401752796</v>
      </c>
      <c r="C366" t="s">
        <v>110</v>
      </c>
      <c r="D366" t="s">
        <v>243</v>
      </c>
      <c r="E366" t="s">
        <v>179</v>
      </c>
      <c r="F366">
        <v>20</v>
      </c>
      <c r="G366" t="s">
        <v>90</v>
      </c>
      <c r="H366" t="s">
        <v>228</v>
      </c>
      <c r="I366" t="s">
        <v>257</v>
      </c>
      <c r="J366">
        <v>0</v>
      </c>
    </row>
    <row r="367" spans="1:10" x14ac:dyDescent="0.25">
      <c r="A367" s="1" t="s">
        <v>27</v>
      </c>
      <c r="B367">
        <v>401752796</v>
      </c>
      <c r="C367" t="s">
        <v>110</v>
      </c>
      <c r="D367" t="s">
        <v>243</v>
      </c>
      <c r="E367" t="s">
        <v>179</v>
      </c>
      <c r="F367">
        <v>20</v>
      </c>
      <c r="G367" t="s">
        <v>90</v>
      </c>
      <c r="H367" t="s">
        <v>228</v>
      </c>
      <c r="I367" t="s">
        <v>256</v>
      </c>
      <c r="J367">
        <v>0</v>
      </c>
    </row>
    <row r="368" spans="1:10" x14ac:dyDescent="0.25">
      <c r="A368" s="1" t="s">
        <v>27</v>
      </c>
      <c r="B368">
        <v>401752796</v>
      </c>
      <c r="C368" t="s">
        <v>110</v>
      </c>
      <c r="D368" t="s">
        <v>243</v>
      </c>
      <c r="E368" t="s">
        <v>179</v>
      </c>
      <c r="F368">
        <v>20</v>
      </c>
      <c r="G368" t="s">
        <v>90</v>
      </c>
      <c r="H368" t="s">
        <v>228</v>
      </c>
      <c r="I368" t="s">
        <v>258</v>
      </c>
      <c r="J368">
        <v>0</v>
      </c>
    </row>
    <row r="369" spans="1:10" x14ac:dyDescent="0.25">
      <c r="A369" s="1" t="s">
        <v>27</v>
      </c>
      <c r="B369">
        <v>401752796</v>
      </c>
      <c r="C369" t="s">
        <v>110</v>
      </c>
      <c r="D369" t="s">
        <v>243</v>
      </c>
      <c r="E369" t="s">
        <v>179</v>
      </c>
      <c r="F369">
        <v>20</v>
      </c>
      <c r="G369" t="s">
        <v>90</v>
      </c>
      <c r="H369" t="s">
        <v>228</v>
      </c>
      <c r="I369" t="s">
        <v>259</v>
      </c>
      <c r="J369">
        <v>0</v>
      </c>
    </row>
    <row r="370" spans="1:10" x14ac:dyDescent="0.25">
      <c r="A370" s="1" t="s">
        <v>27</v>
      </c>
      <c r="B370">
        <v>401752796</v>
      </c>
      <c r="C370" t="s">
        <v>110</v>
      </c>
      <c r="D370" t="s">
        <v>243</v>
      </c>
      <c r="E370" t="s">
        <v>179</v>
      </c>
      <c r="F370">
        <v>20</v>
      </c>
      <c r="G370" t="s">
        <v>90</v>
      </c>
      <c r="H370" t="s">
        <v>228</v>
      </c>
      <c r="I370" t="s">
        <v>260</v>
      </c>
      <c r="J370">
        <v>0</v>
      </c>
    </row>
    <row r="371" spans="1:10" x14ac:dyDescent="0.25">
      <c r="A371" s="1" t="s">
        <v>27</v>
      </c>
      <c r="B371">
        <v>401752796</v>
      </c>
      <c r="C371" t="s">
        <v>110</v>
      </c>
      <c r="D371" t="s">
        <v>243</v>
      </c>
      <c r="E371" t="s">
        <v>179</v>
      </c>
      <c r="F371">
        <v>20</v>
      </c>
      <c r="G371" t="s">
        <v>90</v>
      </c>
      <c r="H371" t="s">
        <v>228</v>
      </c>
      <c r="I371" t="s">
        <v>261</v>
      </c>
      <c r="J371">
        <v>0</v>
      </c>
    </row>
    <row r="372" spans="1:10" x14ac:dyDescent="0.25">
      <c r="A372" s="1" t="s">
        <v>27</v>
      </c>
      <c r="B372">
        <v>401752796</v>
      </c>
      <c r="C372" t="s">
        <v>110</v>
      </c>
      <c r="D372" t="s">
        <v>243</v>
      </c>
      <c r="E372" t="s">
        <v>179</v>
      </c>
      <c r="F372">
        <v>20</v>
      </c>
      <c r="G372" t="s">
        <v>90</v>
      </c>
      <c r="H372" t="s">
        <v>228</v>
      </c>
      <c r="I372" t="s">
        <v>262</v>
      </c>
      <c r="J372">
        <v>0</v>
      </c>
    </row>
    <row r="373" spans="1:10" x14ac:dyDescent="0.25">
      <c r="A373" s="1" t="s">
        <v>27</v>
      </c>
      <c r="B373">
        <v>401752796</v>
      </c>
      <c r="C373" t="s">
        <v>110</v>
      </c>
      <c r="D373" t="s">
        <v>243</v>
      </c>
      <c r="E373" t="s">
        <v>179</v>
      </c>
      <c r="F373">
        <v>20</v>
      </c>
      <c r="G373" t="s">
        <v>90</v>
      </c>
      <c r="H373" t="s">
        <v>228</v>
      </c>
      <c r="I373" t="s">
        <v>263</v>
      </c>
      <c r="J373">
        <v>0</v>
      </c>
    </row>
    <row r="374" spans="1:10" x14ac:dyDescent="0.25">
      <c r="A374" s="1" t="s">
        <v>27</v>
      </c>
      <c r="B374">
        <v>401752796</v>
      </c>
      <c r="C374" t="s">
        <v>110</v>
      </c>
      <c r="D374" t="s">
        <v>243</v>
      </c>
      <c r="E374" t="s">
        <v>179</v>
      </c>
      <c r="F374">
        <v>20</v>
      </c>
      <c r="G374" t="s">
        <v>90</v>
      </c>
      <c r="H374" t="s">
        <v>228</v>
      </c>
      <c r="I374" t="s">
        <v>264</v>
      </c>
      <c r="J374">
        <v>0</v>
      </c>
    </row>
    <row r="375" spans="1:10" x14ac:dyDescent="0.25">
      <c r="A375" s="1" t="s">
        <v>27</v>
      </c>
      <c r="B375">
        <v>401752796</v>
      </c>
      <c r="C375" t="s">
        <v>110</v>
      </c>
      <c r="D375" t="s">
        <v>243</v>
      </c>
      <c r="E375" t="s">
        <v>179</v>
      </c>
      <c r="F375">
        <v>20</v>
      </c>
      <c r="G375" t="s">
        <v>90</v>
      </c>
      <c r="H375" t="s">
        <v>228</v>
      </c>
      <c r="I375" t="s">
        <v>265</v>
      </c>
      <c r="J375">
        <v>0</v>
      </c>
    </row>
    <row r="376" spans="1:10" x14ac:dyDescent="0.25">
      <c r="A376" s="1" t="s">
        <v>27</v>
      </c>
      <c r="B376">
        <v>401752796</v>
      </c>
      <c r="C376" t="s">
        <v>110</v>
      </c>
      <c r="D376" t="s">
        <v>243</v>
      </c>
      <c r="E376" t="s">
        <v>179</v>
      </c>
      <c r="F376">
        <v>20</v>
      </c>
      <c r="G376" t="s">
        <v>90</v>
      </c>
      <c r="H376" t="s">
        <v>228</v>
      </c>
      <c r="I376" t="s">
        <v>266</v>
      </c>
      <c r="J376">
        <v>0</v>
      </c>
    </row>
    <row r="377" spans="1:10" x14ac:dyDescent="0.25">
      <c r="A377" s="1" t="s">
        <v>27</v>
      </c>
      <c r="B377">
        <v>401752796</v>
      </c>
      <c r="C377" t="s">
        <v>110</v>
      </c>
      <c r="D377" t="s">
        <v>243</v>
      </c>
      <c r="E377" t="s">
        <v>179</v>
      </c>
      <c r="F377">
        <v>20</v>
      </c>
      <c r="G377" t="s">
        <v>90</v>
      </c>
      <c r="H377" t="s">
        <v>228</v>
      </c>
      <c r="I377" t="s">
        <v>267</v>
      </c>
      <c r="J377">
        <v>0</v>
      </c>
    </row>
    <row r="378" spans="1:10" x14ac:dyDescent="0.25">
      <c r="A378" s="1" t="s">
        <v>27</v>
      </c>
      <c r="B378">
        <v>401752796</v>
      </c>
      <c r="C378" t="s">
        <v>110</v>
      </c>
      <c r="D378" t="s">
        <v>243</v>
      </c>
      <c r="E378" t="s">
        <v>179</v>
      </c>
      <c r="F378">
        <v>20</v>
      </c>
      <c r="G378" t="s">
        <v>90</v>
      </c>
      <c r="H378" t="s">
        <v>228</v>
      </c>
      <c r="I378" t="s">
        <v>268</v>
      </c>
      <c r="J378">
        <v>0</v>
      </c>
    </row>
    <row r="379" spans="1:10" x14ac:dyDescent="0.25">
      <c r="A379" s="1" t="s">
        <v>27</v>
      </c>
      <c r="B379">
        <v>401752796</v>
      </c>
      <c r="C379" t="s">
        <v>110</v>
      </c>
      <c r="D379" t="s">
        <v>243</v>
      </c>
      <c r="E379" t="s">
        <v>179</v>
      </c>
      <c r="F379">
        <v>20</v>
      </c>
      <c r="G379" t="s">
        <v>90</v>
      </c>
      <c r="H379" t="s">
        <v>228</v>
      </c>
      <c r="I379" t="s">
        <v>269</v>
      </c>
      <c r="J379">
        <v>0</v>
      </c>
    </row>
    <row r="380" spans="1:10" x14ac:dyDescent="0.25">
      <c r="A380" s="1" t="s">
        <v>27</v>
      </c>
      <c r="B380">
        <v>401752796</v>
      </c>
      <c r="C380" t="s">
        <v>110</v>
      </c>
      <c r="D380" t="s">
        <v>243</v>
      </c>
      <c r="E380" t="s">
        <v>179</v>
      </c>
      <c r="F380">
        <v>20</v>
      </c>
      <c r="G380" t="s">
        <v>90</v>
      </c>
      <c r="H380" t="s">
        <v>228</v>
      </c>
      <c r="I380" t="s">
        <v>270</v>
      </c>
      <c r="J380">
        <v>0</v>
      </c>
    </row>
    <row r="381" spans="1:10" x14ac:dyDescent="0.25">
      <c r="A381" s="1" t="s">
        <v>27</v>
      </c>
      <c r="B381">
        <v>401752796</v>
      </c>
      <c r="C381" t="s">
        <v>110</v>
      </c>
      <c r="D381" t="s">
        <v>243</v>
      </c>
      <c r="E381" t="s">
        <v>179</v>
      </c>
      <c r="F381">
        <v>20</v>
      </c>
      <c r="G381" t="s">
        <v>90</v>
      </c>
      <c r="H381" t="s">
        <v>229</v>
      </c>
      <c r="I381" t="s">
        <v>257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110</v>
      </c>
      <c r="D382" t="s">
        <v>243</v>
      </c>
      <c r="E382" t="s">
        <v>179</v>
      </c>
      <c r="F382">
        <v>20</v>
      </c>
      <c r="G382" t="s">
        <v>90</v>
      </c>
      <c r="H382" t="s">
        <v>229</v>
      </c>
      <c r="I382" t="s">
        <v>256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110</v>
      </c>
      <c r="D383" t="s">
        <v>243</v>
      </c>
      <c r="E383" t="s">
        <v>179</v>
      </c>
      <c r="F383">
        <v>20</v>
      </c>
      <c r="G383" t="s">
        <v>90</v>
      </c>
      <c r="H383" t="s">
        <v>229</v>
      </c>
      <c r="I383" t="s">
        <v>258</v>
      </c>
      <c r="J383">
        <v>0</v>
      </c>
    </row>
    <row r="384" spans="1:10" x14ac:dyDescent="0.25">
      <c r="A384" s="1" t="s">
        <v>27</v>
      </c>
      <c r="B384">
        <v>401752796</v>
      </c>
      <c r="C384" t="s">
        <v>110</v>
      </c>
      <c r="D384" t="s">
        <v>243</v>
      </c>
      <c r="E384" t="s">
        <v>179</v>
      </c>
      <c r="F384">
        <v>20</v>
      </c>
      <c r="G384" t="s">
        <v>90</v>
      </c>
      <c r="H384" t="s">
        <v>229</v>
      </c>
      <c r="I384" t="s">
        <v>259</v>
      </c>
      <c r="J384">
        <v>0</v>
      </c>
    </row>
    <row r="385" spans="1:10" x14ac:dyDescent="0.25">
      <c r="A385" s="1" t="s">
        <v>27</v>
      </c>
      <c r="B385">
        <v>401752796</v>
      </c>
      <c r="C385" t="s">
        <v>110</v>
      </c>
      <c r="D385" t="s">
        <v>243</v>
      </c>
      <c r="E385" t="s">
        <v>179</v>
      </c>
      <c r="F385">
        <v>20</v>
      </c>
      <c r="G385" t="s">
        <v>90</v>
      </c>
      <c r="H385" t="s">
        <v>229</v>
      </c>
      <c r="I385" t="s">
        <v>260</v>
      </c>
      <c r="J385">
        <v>1</v>
      </c>
    </row>
    <row r="386" spans="1:10" x14ac:dyDescent="0.25">
      <c r="A386" s="1" t="s">
        <v>27</v>
      </c>
      <c r="B386">
        <v>401752796</v>
      </c>
      <c r="C386" t="s">
        <v>110</v>
      </c>
      <c r="D386" t="s">
        <v>243</v>
      </c>
      <c r="E386" t="s">
        <v>179</v>
      </c>
      <c r="F386">
        <v>20</v>
      </c>
      <c r="G386" t="s">
        <v>90</v>
      </c>
      <c r="H386" t="s">
        <v>229</v>
      </c>
      <c r="I386" t="s">
        <v>261</v>
      </c>
      <c r="J386">
        <v>0</v>
      </c>
    </row>
    <row r="387" spans="1:10" x14ac:dyDescent="0.25">
      <c r="A387" s="1" t="s">
        <v>27</v>
      </c>
      <c r="B387">
        <v>401752796</v>
      </c>
      <c r="C387" t="s">
        <v>110</v>
      </c>
      <c r="D387" t="s">
        <v>243</v>
      </c>
      <c r="E387" t="s">
        <v>179</v>
      </c>
      <c r="F387">
        <v>20</v>
      </c>
      <c r="G387" t="s">
        <v>90</v>
      </c>
      <c r="H387" t="s">
        <v>229</v>
      </c>
      <c r="I387" t="s">
        <v>262</v>
      </c>
      <c r="J387">
        <v>0</v>
      </c>
    </row>
    <row r="388" spans="1:10" x14ac:dyDescent="0.25">
      <c r="A388" s="1" t="s">
        <v>27</v>
      </c>
      <c r="B388">
        <v>401752796</v>
      </c>
      <c r="C388" t="s">
        <v>110</v>
      </c>
      <c r="D388" t="s">
        <v>243</v>
      </c>
      <c r="E388" t="s">
        <v>179</v>
      </c>
      <c r="F388">
        <v>20</v>
      </c>
      <c r="G388" t="s">
        <v>90</v>
      </c>
      <c r="H388" t="s">
        <v>229</v>
      </c>
      <c r="I388" t="s">
        <v>263</v>
      </c>
      <c r="J388">
        <v>0</v>
      </c>
    </row>
    <row r="389" spans="1:10" x14ac:dyDescent="0.25">
      <c r="A389" s="1" t="s">
        <v>27</v>
      </c>
      <c r="B389">
        <v>401752796</v>
      </c>
      <c r="C389" t="s">
        <v>110</v>
      </c>
      <c r="D389" t="s">
        <v>243</v>
      </c>
      <c r="E389" t="s">
        <v>179</v>
      </c>
      <c r="F389">
        <v>20</v>
      </c>
      <c r="G389" t="s">
        <v>90</v>
      </c>
      <c r="H389" t="s">
        <v>229</v>
      </c>
      <c r="I389" t="s">
        <v>264</v>
      </c>
      <c r="J389">
        <v>0</v>
      </c>
    </row>
    <row r="390" spans="1:10" x14ac:dyDescent="0.25">
      <c r="A390" s="1" t="s">
        <v>27</v>
      </c>
      <c r="B390">
        <v>401752796</v>
      </c>
      <c r="C390" t="s">
        <v>110</v>
      </c>
      <c r="D390" t="s">
        <v>243</v>
      </c>
      <c r="E390" t="s">
        <v>179</v>
      </c>
      <c r="F390">
        <v>20</v>
      </c>
      <c r="G390" t="s">
        <v>90</v>
      </c>
      <c r="H390" t="s">
        <v>229</v>
      </c>
      <c r="I390" t="s">
        <v>265</v>
      </c>
      <c r="J390">
        <v>0</v>
      </c>
    </row>
    <row r="391" spans="1:10" x14ac:dyDescent="0.25">
      <c r="A391" s="1" t="s">
        <v>27</v>
      </c>
      <c r="B391">
        <v>401752796</v>
      </c>
      <c r="C391" t="s">
        <v>110</v>
      </c>
      <c r="D391" t="s">
        <v>243</v>
      </c>
      <c r="E391" t="s">
        <v>179</v>
      </c>
      <c r="F391">
        <v>20</v>
      </c>
      <c r="G391" t="s">
        <v>90</v>
      </c>
      <c r="H391" t="s">
        <v>229</v>
      </c>
      <c r="I391" t="s">
        <v>266</v>
      </c>
      <c r="J391">
        <v>0</v>
      </c>
    </row>
    <row r="392" spans="1:10" x14ac:dyDescent="0.25">
      <c r="A392" s="1" t="s">
        <v>27</v>
      </c>
      <c r="B392">
        <v>401752796</v>
      </c>
      <c r="C392" t="s">
        <v>110</v>
      </c>
      <c r="D392" t="s">
        <v>243</v>
      </c>
      <c r="E392" t="s">
        <v>179</v>
      </c>
      <c r="F392">
        <v>20</v>
      </c>
      <c r="G392" t="s">
        <v>90</v>
      </c>
      <c r="H392" t="s">
        <v>229</v>
      </c>
      <c r="I392" t="s">
        <v>267</v>
      </c>
      <c r="J392">
        <v>0</v>
      </c>
    </row>
    <row r="393" spans="1:10" x14ac:dyDescent="0.25">
      <c r="A393" s="1" t="s">
        <v>27</v>
      </c>
      <c r="B393">
        <v>401752796</v>
      </c>
      <c r="C393" t="s">
        <v>110</v>
      </c>
      <c r="D393" t="s">
        <v>243</v>
      </c>
      <c r="E393" t="s">
        <v>179</v>
      </c>
      <c r="F393">
        <v>20</v>
      </c>
      <c r="G393" t="s">
        <v>90</v>
      </c>
      <c r="H393" t="s">
        <v>229</v>
      </c>
      <c r="I393" t="s">
        <v>268</v>
      </c>
      <c r="J393">
        <v>0</v>
      </c>
    </row>
    <row r="394" spans="1:10" x14ac:dyDescent="0.25">
      <c r="A394" s="1" t="s">
        <v>27</v>
      </c>
      <c r="B394">
        <v>401752796</v>
      </c>
      <c r="C394" t="s">
        <v>110</v>
      </c>
      <c r="D394" t="s">
        <v>243</v>
      </c>
      <c r="E394" t="s">
        <v>179</v>
      </c>
      <c r="F394">
        <v>20</v>
      </c>
      <c r="G394" t="s">
        <v>90</v>
      </c>
      <c r="H394" t="s">
        <v>229</v>
      </c>
      <c r="I394" t="s">
        <v>269</v>
      </c>
      <c r="J394">
        <v>0</v>
      </c>
    </row>
    <row r="395" spans="1:10" x14ac:dyDescent="0.25">
      <c r="A395" s="1" t="s">
        <v>27</v>
      </c>
      <c r="B395">
        <v>401752796</v>
      </c>
      <c r="C395" t="s">
        <v>110</v>
      </c>
      <c r="D395" t="s">
        <v>243</v>
      </c>
      <c r="E395" t="s">
        <v>179</v>
      </c>
      <c r="F395">
        <v>20</v>
      </c>
      <c r="G395" t="s">
        <v>90</v>
      </c>
      <c r="H395" t="s">
        <v>229</v>
      </c>
      <c r="I395" t="s">
        <v>270</v>
      </c>
      <c r="J395">
        <v>0</v>
      </c>
    </row>
    <row r="396" spans="1:10" x14ac:dyDescent="0.25">
      <c r="A396" s="1" t="s">
        <v>27</v>
      </c>
      <c r="B396">
        <v>401752796</v>
      </c>
      <c r="C396" t="s">
        <v>110</v>
      </c>
      <c r="D396" t="s">
        <v>243</v>
      </c>
      <c r="E396" t="s">
        <v>179</v>
      </c>
      <c r="F396">
        <v>20</v>
      </c>
      <c r="G396" t="s">
        <v>90</v>
      </c>
      <c r="H396" t="s">
        <v>91</v>
      </c>
      <c r="I396" t="s">
        <v>257</v>
      </c>
      <c r="J396">
        <v>0</v>
      </c>
    </row>
    <row r="397" spans="1:10" x14ac:dyDescent="0.25">
      <c r="A397" s="1" t="s">
        <v>27</v>
      </c>
      <c r="B397">
        <v>401752796</v>
      </c>
      <c r="C397" t="s">
        <v>110</v>
      </c>
      <c r="D397" t="s">
        <v>243</v>
      </c>
      <c r="E397" t="s">
        <v>179</v>
      </c>
      <c r="F397">
        <v>20</v>
      </c>
      <c r="G397" t="s">
        <v>90</v>
      </c>
      <c r="H397" t="s">
        <v>91</v>
      </c>
      <c r="I397" t="s">
        <v>256</v>
      </c>
      <c r="J397">
        <v>1</v>
      </c>
    </row>
    <row r="398" spans="1:10" x14ac:dyDescent="0.25">
      <c r="A398" s="1" t="s">
        <v>27</v>
      </c>
      <c r="B398">
        <v>401752796</v>
      </c>
      <c r="C398" t="s">
        <v>110</v>
      </c>
      <c r="D398" t="s">
        <v>243</v>
      </c>
      <c r="E398" t="s">
        <v>179</v>
      </c>
      <c r="F398">
        <v>20</v>
      </c>
      <c r="G398" t="s">
        <v>90</v>
      </c>
      <c r="H398" t="s">
        <v>91</v>
      </c>
      <c r="I398" t="s">
        <v>258</v>
      </c>
      <c r="J398">
        <v>0</v>
      </c>
    </row>
    <row r="399" spans="1:10" x14ac:dyDescent="0.25">
      <c r="A399" s="1" t="s">
        <v>27</v>
      </c>
      <c r="B399">
        <v>401752796</v>
      </c>
      <c r="C399" t="s">
        <v>110</v>
      </c>
      <c r="D399" t="s">
        <v>243</v>
      </c>
      <c r="E399" t="s">
        <v>179</v>
      </c>
      <c r="F399">
        <v>20</v>
      </c>
      <c r="G399" t="s">
        <v>90</v>
      </c>
      <c r="H399" t="s">
        <v>91</v>
      </c>
      <c r="I399" t="s">
        <v>259</v>
      </c>
      <c r="J399">
        <v>1</v>
      </c>
    </row>
    <row r="400" spans="1:10" x14ac:dyDescent="0.25">
      <c r="A400" s="1" t="s">
        <v>27</v>
      </c>
      <c r="B400">
        <v>401752796</v>
      </c>
      <c r="C400" t="s">
        <v>110</v>
      </c>
      <c r="D400" t="s">
        <v>243</v>
      </c>
      <c r="E400" t="s">
        <v>179</v>
      </c>
      <c r="F400">
        <v>20</v>
      </c>
      <c r="G400" t="s">
        <v>90</v>
      </c>
      <c r="H400" t="s">
        <v>91</v>
      </c>
      <c r="I400" t="s">
        <v>260</v>
      </c>
      <c r="J400">
        <v>0</v>
      </c>
    </row>
    <row r="401" spans="1:10" x14ac:dyDescent="0.25">
      <c r="A401" s="1" t="s">
        <v>27</v>
      </c>
      <c r="B401">
        <v>401752796</v>
      </c>
      <c r="C401" t="s">
        <v>110</v>
      </c>
      <c r="D401" t="s">
        <v>243</v>
      </c>
      <c r="E401" t="s">
        <v>179</v>
      </c>
      <c r="F401">
        <v>20</v>
      </c>
      <c r="G401" t="s">
        <v>90</v>
      </c>
      <c r="H401" t="s">
        <v>91</v>
      </c>
      <c r="I401" t="s">
        <v>261</v>
      </c>
      <c r="J401">
        <v>1</v>
      </c>
    </row>
    <row r="402" spans="1:10" x14ac:dyDescent="0.25">
      <c r="A402" s="1" t="s">
        <v>27</v>
      </c>
      <c r="B402">
        <v>401752796</v>
      </c>
      <c r="C402" t="s">
        <v>110</v>
      </c>
      <c r="D402" t="s">
        <v>243</v>
      </c>
      <c r="E402" t="s">
        <v>179</v>
      </c>
      <c r="F402">
        <v>20</v>
      </c>
      <c r="G402" t="s">
        <v>90</v>
      </c>
      <c r="H402" t="s">
        <v>91</v>
      </c>
      <c r="I402" t="s">
        <v>262</v>
      </c>
      <c r="J402">
        <v>1</v>
      </c>
    </row>
    <row r="403" spans="1:10" x14ac:dyDescent="0.25">
      <c r="A403" s="1" t="s">
        <v>27</v>
      </c>
      <c r="B403">
        <v>401752796</v>
      </c>
      <c r="C403" t="s">
        <v>110</v>
      </c>
      <c r="D403" t="s">
        <v>243</v>
      </c>
      <c r="E403" t="s">
        <v>179</v>
      </c>
      <c r="F403">
        <v>20</v>
      </c>
      <c r="G403" t="s">
        <v>90</v>
      </c>
      <c r="H403" t="s">
        <v>91</v>
      </c>
      <c r="I403" t="s">
        <v>263</v>
      </c>
      <c r="J403">
        <v>0</v>
      </c>
    </row>
    <row r="404" spans="1:10" x14ac:dyDescent="0.25">
      <c r="A404" s="1" t="s">
        <v>27</v>
      </c>
      <c r="B404">
        <v>401752796</v>
      </c>
      <c r="C404" t="s">
        <v>110</v>
      </c>
      <c r="D404" t="s">
        <v>243</v>
      </c>
      <c r="E404" t="s">
        <v>179</v>
      </c>
      <c r="F404">
        <v>20</v>
      </c>
      <c r="G404" t="s">
        <v>90</v>
      </c>
      <c r="H404" t="s">
        <v>91</v>
      </c>
      <c r="I404" t="s">
        <v>264</v>
      </c>
      <c r="J404">
        <v>0</v>
      </c>
    </row>
    <row r="405" spans="1:10" x14ac:dyDescent="0.25">
      <c r="A405" s="1" t="s">
        <v>27</v>
      </c>
      <c r="B405">
        <v>401752796</v>
      </c>
      <c r="C405" t="s">
        <v>110</v>
      </c>
      <c r="D405" t="s">
        <v>243</v>
      </c>
      <c r="E405" t="s">
        <v>179</v>
      </c>
      <c r="F405">
        <v>20</v>
      </c>
      <c r="G405" t="s">
        <v>90</v>
      </c>
      <c r="H405" t="s">
        <v>91</v>
      </c>
      <c r="I405" t="s">
        <v>265</v>
      </c>
      <c r="J405">
        <v>0</v>
      </c>
    </row>
    <row r="406" spans="1:10" x14ac:dyDescent="0.25">
      <c r="A406" s="1" t="s">
        <v>27</v>
      </c>
      <c r="B406">
        <v>401752796</v>
      </c>
      <c r="C406" t="s">
        <v>110</v>
      </c>
      <c r="D406" t="s">
        <v>243</v>
      </c>
      <c r="E406" t="s">
        <v>179</v>
      </c>
      <c r="F406">
        <v>20</v>
      </c>
      <c r="G406" t="s">
        <v>90</v>
      </c>
      <c r="H406" t="s">
        <v>91</v>
      </c>
      <c r="I406" t="s">
        <v>266</v>
      </c>
      <c r="J406">
        <v>0</v>
      </c>
    </row>
    <row r="407" spans="1:10" x14ac:dyDescent="0.25">
      <c r="A407" s="1" t="s">
        <v>27</v>
      </c>
      <c r="B407">
        <v>401752796</v>
      </c>
      <c r="C407" t="s">
        <v>110</v>
      </c>
      <c r="D407" t="s">
        <v>243</v>
      </c>
      <c r="E407" t="s">
        <v>179</v>
      </c>
      <c r="F407">
        <v>20</v>
      </c>
      <c r="G407" t="s">
        <v>90</v>
      </c>
      <c r="H407" t="s">
        <v>91</v>
      </c>
      <c r="I407" t="s">
        <v>267</v>
      </c>
      <c r="J407">
        <v>0</v>
      </c>
    </row>
    <row r="408" spans="1:10" x14ac:dyDescent="0.25">
      <c r="A408" s="1" t="s">
        <v>27</v>
      </c>
      <c r="B408">
        <v>401752796</v>
      </c>
      <c r="C408" t="s">
        <v>110</v>
      </c>
      <c r="D408" t="s">
        <v>243</v>
      </c>
      <c r="E408" t="s">
        <v>179</v>
      </c>
      <c r="F408">
        <v>20</v>
      </c>
      <c r="G408" t="s">
        <v>90</v>
      </c>
      <c r="H408" t="s">
        <v>91</v>
      </c>
      <c r="I408" t="s">
        <v>268</v>
      </c>
      <c r="J408">
        <v>0</v>
      </c>
    </row>
    <row r="409" spans="1:10" x14ac:dyDescent="0.25">
      <c r="A409" s="1" t="s">
        <v>27</v>
      </c>
      <c r="B409">
        <v>401752796</v>
      </c>
      <c r="C409" t="s">
        <v>110</v>
      </c>
      <c r="D409" t="s">
        <v>243</v>
      </c>
      <c r="E409" t="s">
        <v>179</v>
      </c>
      <c r="F409">
        <v>20</v>
      </c>
      <c r="G409" t="s">
        <v>90</v>
      </c>
      <c r="H409" t="s">
        <v>91</v>
      </c>
      <c r="I409" t="s">
        <v>269</v>
      </c>
      <c r="J409">
        <v>1</v>
      </c>
    </row>
    <row r="410" spans="1:10" x14ac:dyDescent="0.25">
      <c r="A410" s="1" t="s">
        <v>27</v>
      </c>
      <c r="B410">
        <v>401752796</v>
      </c>
      <c r="C410" t="s">
        <v>110</v>
      </c>
      <c r="D410" t="s">
        <v>243</v>
      </c>
      <c r="E410" t="s">
        <v>179</v>
      </c>
      <c r="F410">
        <v>20</v>
      </c>
      <c r="G410" t="s">
        <v>90</v>
      </c>
      <c r="H410" t="s">
        <v>91</v>
      </c>
      <c r="I410" t="s">
        <v>270</v>
      </c>
      <c r="J410">
        <v>0</v>
      </c>
    </row>
    <row r="411" spans="1:10" x14ac:dyDescent="0.25">
      <c r="A411" s="1" t="s">
        <v>27</v>
      </c>
      <c r="B411">
        <v>401752796</v>
      </c>
      <c r="C411" t="s">
        <v>110</v>
      </c>
      <c r="D411" t="s">
        <v>243</v>
      </c>
      <c r="E411" t="s">
        <v>179</v>
      </c>
      <c r="F411">
        <v>20</v>
      </c>
      <c r="G411" t="s">
        <v>90</v>
      </c>
      <c r="H411" t="s">
        <v>230</v>
      </c>
      <c r="I411" t="s">
        <v>257</v>
      </c>
      <c r="J411">
        <v>0</v>
      </c>
    </row>
    <row r="412" spans="1:10" x14ac:dyDescent="0.25">
      <c r="A412" s="1" t="s">
        <v>27</v>
      </c>
      <c r="B412">
        <v>401752796</v>
      </c>
      <c r="C412" t="s">
        <v>110</v>
      </c>
      <c r="D412" t="s">
        <v>243</v>
      </c>
      <c r="E412" t="s">
        <v>179</v>
      </c>
      <c r="F412">
        <v>20</v>
      </c>
      <c r="G412" t="s">
        <v>90</v>
      </c>
      <c r="H412" t="s">
        <v>230</v>
      </c>
      <c r="I412" t="s">
        <v>256</v>
      </c>
      <c r="J412">
        <v>1</v>
      </c>
    </row>
    <row r="413" spans="1:10" x14ac:dyDescent="0.25">
      <c r="A413" s="1" t="s">
        <v>27</v>
      </c>
      <c r="B413">
        <v>401752796</v>
      </c>
      <c r="C413" t="s">
        <v>110</v>
      </c>
      <c r="D413" t="s">
        <v>243</v>
      </c>
      <c r="E413" t="s">
        <v>179</v>
      </c>
      <c r="F413">
        <v>20</v>
      </c>
      <c r="G413" t="s">
        <v>90</v>
      </c>
      <c r="H413" t="s">
        <v>230</v>
      </c>
      <c r="I413" t="s">
        <v>258</v>
      </c>
      <c r="J413">
        <v>0</v>
      </c>
    </row>
    <row r="414" spans="1:10" x14ac:dyDescent="0.25">
      <c r="A414" s="1" t="s">
        <v>27</v>
      </c>
      <c r="B414">
        <v>401752796</v>
      </c>
      <c r="C414" t="s">
        <v>110</v>
      </c>
      <c r="D414" t="s">
        <v>243</v>
      </c>
      <c r="E414" t="s">
        <v>179</v>
      </c>
      <c r="F414">
        <v>20</v>
      </c>
      <c r="G414" t="s">
        <v>90</v>
      </c>
      <c r="H414" t="s">
        <v>230</v>
      </c>
      <c r="I414" t="s">
        <v>259</v>
      </c>
      <c r="J414">
        <v>0</v>
      </c>
    </row>
    <row r="415" spans="1:10" x14ac:dyDescent="0.25">
      <c r="A415" s="1" t="s">
        <v>27</v>
      </c>
      <c r="B415">
        <v>401752796</v>
      </c>
      <c r="C415" t="s">
        <v>110</v>
      </c>
      <c r="D415" t="s">
        <v>243</v>
      </c>
      <c r="E415" t="s">
        <v>179</v>
      </c>
      <c r="F415">
        <v>20</v>
      </c>
      <c r="G415" t="s">
        <v>90</v>
      </c>
      <c r="H415" t="s">
        <v>230</v>
      </c>
      <c r="I415" t="s">
        <v>260</v>
      </c>
      <c r="J415">
        <v>0</v>
      </c>
    </row>
    <row r="416" spans="1:10" x14ac:dyDescent="0.25">
      <c r="A416" s="1" t="s">
        <v>27</v>
      </c>
      <c r="B416">
        <v>401752796</v>
      </c>
      <c r="C416" t="s">
        <v>110</v>
      </c>
      <c r="D416" t="s">
        <v>243</v>
      </c>
      <c r="E416" t="s">
        <v>179</v>
      </c>
      <c r="F416">
        <v>20</v>
      </c>
      <c r="G416" t="s">
        <v>90</v>
      </c>
      <c r="H416" t="s">
        <v>230</v>
      </c>
      <c r="I416" t="s">
        <v>261</v>
      </c>
      <c r="J416">
        <v>0</v>
      </c>
    </row>
    <row r="417" spans="1:10" x14ac:dyDescent="0.25">
      <c r="A417" s="1" t="s">
        <v>27</v>
      </c>
      <c r="B417">
        <v>401752796</v>
      </c>
      <c r="C417" t="s">
        <v>110</v>
      </c>
      <c r="D417" t="s">
        <v>243</v>
      </c>
      <c r="E417" t="s">
        <v>179</v>
      </c>
      <c r="F417">
        <v>20</v>
      </c>
      <c r="G417" t="s">
        <v>90</v>
      </c>
      <c r="H417" t="s">
        <v>230</v>
      </c>
      <c r="I417" t="s">
        <v>262</v>
      </c>
      <c r="J417">
        <v>0</v>
      </c>
    </row>
    <row r="418" spans="1:10" x14ac:dyDescent="0.25">
      <c r="A418" s="1" t="s">
        <v>27</v>
      </c>
      <c r="B418">
        <v>401752796</v>
      </c>
      <c r="C418" t="s">
        <v>110</v>
      </c>
      <c r="D418" t="s">
        <v>243</v>
      </c>
      <c r="E418" t="s">
        <v>179</v>
      </c>
      <c r="F418">
        <v>20</v>
      </c>
      <c r="G418" t="s">
        <v>90</v>
      </c>
      <c r="H418" t="s">
        <v>230</v>
      </c>
      <c r="I418" t="s">
        <v>263</v>
      </c>
      <c r="J418">
        <v>0</v>
      </c>
    </row>
    <row r="419" spans="1:10" x14ac:dyDescent="0.25">
      <c r="A419" s="1" t="s">
        <v>27</v>
      </c>
      <c r="B419">
        <v>401752796</v>
      </c>
      <c r="C419" t="s">
        <v>110</v>
      </c>
      <c r="D419" t="s">
        <v>243</v>
      </c>
      <c r="E419" t="s">
        <v>179</v>
      </c>
      <c r="F419">
        <v>20</v>
      </c>
      <c r="G419" t="s">
        <v>90</v>
      </c>
      <c r="H419" t="s">
        <v>230</v>
      </c>
      <c r="I419" t="s">
        <v>264</v>
      </c>
      <c r="J419">
        <v>0</v>
      </c>
    </row>
    <row r="420" spans="1:10" x14ac:dyDescent="0.25">
      <c r="A420" s="1" t="s">
        <v>27</v>
      </c>
      <c r="B420">
        <v>401752796</v>
      </c>
      <c r="C420" t="s">
        <v>110</v>
      </c>
      <c r="D420" t="s">
        <v>243</v>
      </c>
      <c r="E420" t="s">
        <v>179</v>
      </c>
      <c r="F420">
        <v>20</v>
      </c>
      <c r="G420" t="s">
        <v>90</v>
      </c>
      <c r="H420" t="s">
        <v>230</v>
      </c>
      <c r="I420" t="s">
        <v>265</v>
      </c>
      <c r="J420">
        <v>0</v>
      </c>
    </row>
    <row r="421" spans="1:10" x14ac:dyDescent="0.25">
      <c r="A421" s="1" t="s">
        <v>27</v>
      </c>
      <c r="B421">
        <v>401752796</v>
      </c>
      <c r="C421" t="s">
        <v>110</v>
      </c>
      <c r="D421" t="s">
        <v>243</v>
      </c>
      <c r="E421" t="s">
        <v>179</v>
      </c>
      <c r="F421">
        <v>20</v>
      </c>
      <c r="G421" t="s">
        <v>90</v>
      </c>
      <c r="H421" t="s">
        <v>230</v>
      </c>
      <c r="I421" t="s">
        <v>266</v>
      </c>
      <c r="J421">
        <v>0</v>
      </c>
    </row>
    <row r="422" spans="1:10" x14ac:dyDescent="0.25">
      <c r="A422" s="1" t="s">
        <v>27</v>
      </c>
      <c r="B422">
        <v>401752796</v>
      </c>
      <c r="C422" t="s">
        <v>110</v>
      </c>
      <c r="D422" t="s">
        <v>243</v>
      </c>
      <c r="E422" t="s">
        <v>179</v>
      </c>
      <c r="F422">
        <v>20</v>
      </c>
      <c r="G422" t="s">
        <v>90</v>
      </c>
      <c r="H422" t="s">
        <v>230</v>
      </c>
      <c r="I422" t="s">
        <v>267</v>
      </c>
      <c r="J422">
        <v>0</v>
      </c>
    </row>
    <row r="423" spans="1:10" x14ac:dyDescent="0.25">
      <c r="A423" s="1" t="s">
        <v>27</v>
      </c>
      <c r="B423">
        <v>401752796</v>
      </c>
      <c r="C423" t="s">
        <v>110</v>
      </c>
      <c r="D423" t="s">
        <v>243</v>
      </c>
      <c r="E423" t="s">
        <v>179</v>
      </c>
      <c r="F423">
        <v>20</v>
      </c>
      <c r="G423" t="s">
        <v>90</v>
      </c>
      <c r="H423" t="s">
        <v>230</v>
      </c>
      <c r="I423" t="s">
        <v>268</v>
      </c>
      <c r="J423">
        <v>0</v>
      </c>
    </row>
    <row r="424" spans="1:10" x14ac:dyDescent="0.25">
      <c r="A424" s="1" t="s">
        <v>27</v>
      </c>
      <c r="B424">
        <v>401752796</v>
      </c>
      <c r="C424" t="s">
        <v>110</v>
      </c>
      <c r="D424" t="s">
        <v>243</v>
      </c>
      <c r="E424" t="s">
        <v>179</v>
      </c>
      <c r="F424">
        <v>20</v>
      </c>
      <c r="G424" t="s">
        <v>90</v>
      </c>
      <c r="H424" t="s">
        <v>230</v>
      </c>
      <c r="I424" t="s">
        <v>269</v>
      </c>
      <c r="J424">
        <v>0</v>
      </c>
    </row>
    <row r="425" spans="1:10" x14ac:dyDescent="0.25">
      <c r="A425" s="1" t="s">
        <v>27</v>
      </c>
      <c r="B425">
        <v>401752796</v>
      </c>
      <c r="C425" t="s">
        <v>110</v>
      </c>
      <c r="D425" t="s">
        <v>243</v>
      </c>
      <c r="E425" t="s">
        <v>179</v>
      </c>
      <c r="F425">
        <v>20</v>
      </c>
      <c r="G425" t="s">
        <v>90</v>
      </c>
      <c r="H425" t="s">
        <v>230</v>
      </c>
      <c r="I425" t="s">
        <v>270</v>
      </c>
      <c r="J425">
        <v>0</v>
      </c>
    </row>
    <row r="426" spans="1:10" x14ac:dyDescent="0.25">
      <c r="A426" s="1" t="s">
        <v>27</v>
      </c>
      <c r="B426">
        <v>401752796</v>
      </c>
      <c r="C426" t="s">
        <v>110</v>
      </c>
      <c r="D426" t="s">
        <v>243</v>
      </c>
      <c r="E426" t="s">
        <v>179</v>
      </c>
      <c r="F426">
        <v>20</v>
      </c>
      <c r="G426" t="s">
        <v>90</v>
      </c>
      <c r="H426" t="s">
        <v>188</v>
      </c>
      <c r="I426" t="s">
        <v>257</v>
      </c>
      <c r="J426">
        <v>0</v>
      </c>
    </row>
    <row r="427" spans="1:10" x14ac:dyDescent="0.25">
      <c r="A427" s="1" t="s">
        <v>27</v>
      </c>
      <c r="B427">
        <v>401752796</v>
      </c>
      <c r="C427" t="s">
        <v>110</v>
      </c>
      <c r="D427" t="s">
        <v>243</v>
      </c>
      <c r="E427" t="s">
        <v>179</v>
      </c>
      <c r="F427">
        <v>20</v>
      </c>
      <c r="G427" t="s">
        <v>90</v>
      </c>
      <c r="H427" t="s">
        <v>188</v>
      </c>
      <c r="I427" t="s">
        <v>256</v>
      </c>
      <c r="J427">
        <v>0</v>
      </c>
    </row>
    <row r="428" spans="1:10" x14ac:dyDescent="0.25">
      <c r="A428" s="1" t="s">
        <v>27</v>
      </c>
      <c r="B428">
        <v>401752796</v>
      </c>
      <c r="C428" t="s">
        <v>110</v>
      </c>
      <c r="D428" t="s">
        <v>243</v>
      </c>
      <c r="E428" t="s">
        <v>179</v>
      </c>
      <c r="F428">
        <v>20</v>
      </c>
      <c r="G428" t="s">
        <v>90</v>
      </c>
      <c r="H428" t="s">
        <v>188</v>
      </c>
      <c r="I428" t="s">
        <v>258</v>
      </c>
      <c r="J428">
        <v>0</v>
      </c>
    </row>
    <row r="429" spans="1:10" x14ac:dyDescent="0.25">
      <c r="A429" s="1" t="s">
        <v>27</v>
      </c>
      <c r="B429">
        <v>401752796</v>
      </c>
      <c r="C429" t="s">
        <v>110</v>
      </c>
      <c r="D429" t="s">
        <v>243</v>
      </c>
      <c r="E429" t="s">
        <v>179</v>
      </c>
      <c r="F429">
        <v>20</v>
      </c>
      <c r="G429" t="s">
        <v>90</v>
      </c>
      <c r="H429" t="s">
        <v>188</v>
      </c>
      <c r="I429" t="s">
        <v>259</v>
      </c>
      <c r="J429">
        <v>0</v>
      </c>
    </row>
    <row r="430" spans="1:10" x14ac:dyDescent="0.25">
      <c r="A430" s="1" t="s">
        <v>27</v>
      </c>
      <c r="B430">
        <v>401752796</v>
      </c>
      <c r="C430" t="s">
        <v>110</v>
      </c>
      <c r="D430" t="s">
        <v>243</v>
      </c>
      <c r="E430" t="s">
        <v>179</v>
      </c>
      <c r="F430">
        <v>20</v>
      </c>
      <c r="G430" t="s">
        <v>90</v>
      </c>
      <c r="H430" t="s">
        <v>188</v>
      </c>
      <c r="I430" t="s">
        <v>260</v>
      </c>
      <c r="J430">
        <v>0</v>
      </c>
    </row>
    <row r="431" spans="1:10" x14ac:dyDescent="0.25">
      <c r="A431" s="1" t="s">
        <v>27</v>
      </c>
      <c r="B431">
        <v>401752796</v>
      </c>
      <c r="C431" t="s">
        <v>110</v>
      </c>
      <c r="D431" t="s">
        <v>243</v>
      </c>
      <c r="E431" t="s">
        <v>179</v>
      </c>
      <c r="F431">
        <v>20</v>
      </c>
      <c r="G431" t="s">
        <v>90</v>
      </c>
      <c r="H431" t="s">
        <v>188</v>
      </c>
      <c r="I431" t="s">
        <v>261</v>
      </c>
      <c r="J431">
        <v>0</v>
      </c>
    </row>
    <row r="432" spans="1:10" x14ac:dyDescent="0.25">
      <c r="A432" s="1" t="s">
        <v>27</v>
      </c>
      <c r="B432">
        <v>401752796</v>
      </c>
      <c r="C432" t="s">
        <v>110</v>
      </c>
      <c r="D432" t="s">
        <v>243</v>
      </c>
      <c r="E432" t="s">
        <v>179</v>
      </c>
      <c r="F432">
        <v>20</v>
      </c>
      <c r="G432" t="s">
        <v>90</v>
      </c>
      <c r="H432" t="s">
        <v>188</v>
      </c>
      <c r="I432" t="s">
        <v>262</v>
      </c>
      <c r="J432">
        <v>0</v>
      </c>
    </row>
    <row r="433" spans="1:10" x14ac:dyDescent="0.25">
      <c r="A433" s="1" t="s">
        <v>27</v>
      </c>
      <c r="B433">
        <v>401752796</v>
      </c>
      <c r="C433" t="s">
        <v>110</v>
      </c>
      <c r="D433" t="s">
        <v>243</v>
      </c>
      <c r="E433" t="s">
        <v>179</v>
      </c>
      <c r="F433">
        <v>20</v>
      </c>
      <c r="G433" t="s">
        <v>90</v>
      </c>
      <c r="H433" t="s">
        <v>188</v>
      </c>
      <c r="I433" t="s">
        <v>263</v>
      </c>
      <c r="J433">
        <v>0</v>
      </c>
    </row>
    <row r="434" spans="1:10" x14ac:dyDescent="0.25">
      <c r="A434" s="1" t="s">
        <v>27</v>
      </c>
      <c r="B434">
        <v>401752796</v>
      </c>
      <c r="C434" t="s">
        <v>110</v>
      </c>
      <c r="D434" t="s">
        <v>243</v>
      </c>
      <c r="E434" t="s">
        <v>179</v>
      </c>
      <c r="F434">
        <v>20</v>
      </c>
      <c r="G434" t="s">
        <v>90</v>
      </c>
      <c r="H434" t="s">
        <v>188</v>
      </c>
      <c r="I434" t="s">
        <v>264</v>
      </c>
      <c r="J434">
        <v>0</v>
      </c>
    </row>
    <row r="435" spans="1:10" x14ac:dyDescent="0.25">
      <c r="A435" s="1" t="s">
        <v>27</v>
      </c>
      <c r="B435">
        <v>401752796</v>
      </c>
      <c r="C435" t="s">
        <v>110</v>
      </c>
      <c r="D435" t="s">
        <v>243</v>
      </c>
      <c r="E435" t="s">
        <v>179</v>
      </c>
      <c r="F435">
        <v>20</v>
      </c>
      <c r="G435" t="s">
        <v>90</v>
      </c>
      <c r="H435" t="s">
        <v>188</v>
      </c>
      <c r="I435" t="s">
        <v>265</v>
      </c>
      <c r="J435">
        <v>0</v>
      </c>
    </row>
    <row r="436" spans="1:10" x14ac:dyDescent="0.25">
      <c r="A436" s="1" t="s">
        <v>27</v>
      </c>
      <c r="B436">
        <v>401752796</v>
      </c>
      <c r="C436" t="s">
        <v>110</v>
      </c>
      <c r="D436" t="s">
        <v>243</v>
      </c>
      <c r="E436" t="s">
        <v>179</v>
      </c>
      <c r="F436">
        <v>20</v>
      </c>
      <c r="G436" t="s">
        <v>90</v>
      </c>
      <c r="H436" t="s">
        <v>188</v>
      </c>
      <c r="I436" t="s">
        <v>266</v>
      </c>
      <c r="J436">
        <v>0</v>
      </c>
    </row>
    <row r="437" spans="1:10" x14ac:dyDescent="0.25">
      <c r="A437" s="1" t="s">
        <v>27</v>
      </c>
      <c r="B437">
        <v>401752796</v>
      </c>
      <c r="C437" t="s">
        <v>110</v>
      </c>
      <c r="D437" t="s">
        <v>243</v>
      </c>
      <c r="E437" t="s">
        <v>179</v>
      </c>
      <c r="F437">
        <v>20</v>
      </c>
      <c r="G437" t="s">
        <v>90</v>
      </c>
      <c r="H437" t="s">
        <v>188</v>
      </c>
      <c r="I437" t="s">
        <v>267</v>
      </c>
      <c r="J437">
        <v>0</v>
      </c>
    </row>
    <row r="438" spans="1:10" x14ac:dyDescent="0.25">
      <c r="A438" s="1" t="s">
        <v>27</v>
      </c>
      <c r="B438">
        <v>401752796</v>
      </c>
      <c r="C438" t="s">
        <v>110</v>
      </c>
      <c r="D438" t="s">
        <v>243</v>
      </c>
      <c r="E438" t="s">
        <v>179</v>
      </c>
      <c r="F438">
        <v>20</v>
      </c>
      <c r="G438" t="s">
        <v>90</v>
      </c>
      <c r="H438" t="s">
        <v>188</v>
      </c>
      <c r="I438" t="s">
        <v>268</v>
      </c>
      <c r="J438">
        <v>0</v>
      </c>
    </row>
    <row r="439" spans="1:10" x14ac:dyDescent="0.25">
      <c r="A439" s="1" t="s">
        <v>27</v>
      </c>
      <c r="B439">
        <v>401752796</v>
      </c>
      <c r="C439" t="s">
        <v>110</v>
      </c>
      <c r="D439" t="s">
        <v>243</v>
      </c>
      <c r="E439" t="s">
        <v>179</v>
      </c>
      <c r="F439">
        <v>20</v>
      </c>
      <c r="G439" t="s">
        <v>90</v>
      </c>
      <c r="H439" t="s">
        <v>188</v>
      </c>
      <c r="I439" t="s">
        <v>269</v>
      </c>
      <c r="J439">
        <v>0</v>
      </c>
    </row>
    <row r="440" spans="1:10" x14ac:dyDescent="0.25">
      <c r="A440" s="1" t="s">
        <v>27</v>
      </c>
      <c r="B440">
        <v>401752796</v>
      </c>
      <c r="C440" t="s">
        <v>110</v>
      </c>
      <c r="D440" t="s">
        <v>243</v>
      </c>
      <c r="E440" t="s">
        <v>179</v>
      </c>
      <c r="F440">
        <v>20</v>
      </c>
      <c r="G440" t="s">
        <v>90</v>
      </c>
      <c r="H440" t="s">
        <v>188</v>
      </c>
      <c r="I440" t="s">
        <v>270</v>
      </c>
      <c r="J440">
        <v>0</v>
      </c>
    </row>
    <row r="441" spans="1:10" x14ac:dyDescent="0.25">
      <c r="A441" s="1" t="s">
        <v>27</v>
      </c>
      <c r="B441">
        <v>401752796</v>
      </c>
      <c r="C441" t="s">
        <v>110</v>
      </c>
      <c r="D441" t="s">
        <v>243</v>
      </c>
      <c r="E441" t="s">
        <v>179</v>
      </c>
      <c r="F441">
        <v>20</v>
      </c>
      <c r="G441" t="s">
        <v>271</v>
      </c>
      <c r="H441" t="s">
        <v>189</v>
      </c>
      <c r="I441" t="s">
        <v>269</v>
      </c>
      <c r="J441">
        <v>1</v>
      </c>
    </row>
    <row r="442" spans="1:10" x14ac:dyDescent="0.25">
      <c r="A442" s="1" t="s">
        <v>27</v>
      </c>
      <c r="B442">
        <v>401752796</v>
      </c>
      <c r="C442" t="s">
        <v>110</v>
      </c>
      <c r="D442" t="s">
        <v>243</v>
      </c>
      <c r="E442" t="s">
        <v>179</v>
      </c>
      <c r="F442">
        <v>20</v>
      </c>
      <c r="G442" t="s">
        <v>271</v>
      </c>
      <c r="H442" t="s">
        <v>186</v>
      </c>
      <c r="I442" t="s">
        <v>269</v>
      </c>
      <c r="J442">
        <v>0</v>
      </c>
    </row>
    <row r="443" spans="1:10" x14ac:dyDescent="0.25">
      <c r="A443" s="1" t="s">
        <v>27</v>
      </c>
      <c r="B443">
        <v>401752796</v>
      </c>
      <c r="C443" t="s">
        <v>110</v>
      </c>
      <c r="D443" t="s">
        <v>243</v>
      </c>
      <c r="E443" t="s">
        <v>179</v>
      </c>
      <c r="F443">
        <v>20</v>
      </c>
      <c r="G443" t="s">
        <v>271</v>
      </c>
      <c r="H443" t="s">
        <v>188</v>
      </c>
      <c r="I443" t="s">
        <v>269</v>
      </c>
      <c r="J443">
        <v>0</v>
      </c>
    </row>
    <row r="444" spans="1:10" x14ac:dyDescent="0.25">
      <c r="A444" s="1" t="s">
        <v>27</v>
      </c>
      <c r="B444">
        <v>401752796</v>
      </c>
      <c r="C444" t="s">
        <v>110</v>
      </c>
      <c r="D444" t="s">
        <v>243</v>
      </c>
      <c r="E444" t="s">
        <v>179</v>
      </c>
      <c r="F444">
        <v>20</v>
      </c>
      <c r="G444" t="s">
        <v>272</v>
      </c>
      <c r="H444" t="s">
        <v>232</v>
      </c>
      <c r="I444" t="s">
        <v>273</v>
      </c>
      <c r="J444">
        <v>2</v>
      </c>
    </row>
    <row r="445" spans="1:10" x14ac:dyDescent="0.25">
      <c r="A445" s="1" t="s">
        <v>27</v>
      </c>
      <c r="B445">
        <v>401752796</v>
      </c>
      <c r="C445" t="s">
        <v>110</v>
      </c>
      <c r="D445" t="s">
        <v>243</v>
      </c>
      <c r="E445" t="s">
        <v>179</v>
      </c>
      <c r="F445">
        <v>20</v>
      </c>
      <c r="G445" t="s">
        <v>272</v>
      </c>
      <c r="H445" t="s">
        <v>186</v>
      </c>
      <c r="I445" t="s">
        <v>273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110</v>
      </c>
      <c r="D446" t="s">
        <v>243</v>
      </c>
      <c r="E446" t="s">
        <v>179</v>
      </c>
      <c r="F446">
        <v>20</v>
      </c>
      <c r="G446" t="s">
        <v>272</v>
      </c>
      <c r="H446" t="s">
        <v>187</v>
      </c>
      <c r="I446" t="s">
        <v>273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110</v>
      </c>
      <c r="D447" t="s">
        <v>243</v>
      </c>
      <c r="E447" t="s">
        <v>179</v>
      </c>
      <c r="F447">
        <v>20</v>
      </c>
      <c r="G447" t="s">
        <v>272</v>
      </c>
      <c r="H447" t="s">
        <v>198</v>
      </c>
      <c r="I447" t="s">
        <v>273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110</v>
      </c>
      <c r="D448" t="s">
        <v>243</v>
      </c>
      <c r="E448" t="s">
        <v>179</v>
      </c>
      <c r="F448">
        <v>20</v>
      </c>
      <c r="G448" t="s">
        <v>272</v>
      </c>
      <c r="H448" t="s">
        <v>188</v>
      </c>
      <c r="I448" t="s">
        <v>273</v>
      </c>
      <c r="J448">
        <v>0</v>
      </c>
    </row>
    <row r="449" spans="1:10" x14ac:dyDescent="0.25">
      <c r="A449" s="1" t="s">
        <v>27</v>
      </c>
      <c r="B449">
        <v>401752796</v>
      </c>
      <c r="C449" t="s">
        <v>110</v>
      </c>
      <c r="D449" t="s">
        <v>243</v>
      </c>
      <c r="E449" t="s">
        <v>179</v>
      </c>
      <c r="F449">
        <v>20</v>
      </c>
      <c r="G449" t="s">
        <v>231</v>
      </c>
      <c r="H449" t="s">
        <v>232</v>
      </c>
      <c r="I449" t="s">
        <v>253</v>
      </c>
      <c r="J449">
        <v>2</v>
      </c>
    </row>
    <row r="450" spans="1:10" x14ac:dyDescent="0.25">
      <c r="A450" s="1" t="s">
        <v>27</v>
      </c>
      <c r="B450">
        <v>401752796</v>
      </c>
      <c r="C450" t="s">
        <v>110</v>
      </c>
      <c r="D450" t="s">
        <v>243</v>
      </c>
      <c r="E450" t="s">
        <v>179</v>
      </c>
      <c r="F450">
        <v>20</v>
      </c>
      <c r="G450" t="s">
        <v>231</v>
      </c>
      <c r="H450" t="s">
        <v>186</v>
      </c>
      <c r="I450" t="s">
        <v>253</v>
      </c>
      <c r="J450">
        <v>3</v>
      </c>
    </row>
    <row r="451" spans="1:10" x14ac:dyDescent="0.25">
      <c r="A451" s="1" t="s">
        <v>27</v>
      </c>
      <c r="B451">
        <v>401752796</v>
      </c>
      <c r="C451" t="s">
        <v>110</v>
      </c>
      <c r="D451" t="s">
        <v>243</v>
      </c>
      <c r="E451" t="s">
        <v>179</v>
      </c>
      <c r="F451">
        <v>20</v>
      </c>
      <c r="G451" t="s">
        <v>231</v>
      </c>
      <c r="H451" t="s">
        <v>187</v>
      </c>
      <c r="I451" t="s">
        <v>253</v>
      </c>
      <c r="J451">
        <v>1.5</v>
      </c>
    </row>
    <row r="452" spans="1:10" x14ac:dyDescent="0.25">
      <c r="A452" s="1" t="s">
        <v>27</v>
      </c>
      <c r="B452">
        <v>401752796</v>
      </c>
      <c r="C452" t="s">
        <v>110</v>
      </c>
      <c r="D452" t="s">
        <v>243</v>
      </c>
      <c r="E452" t="s">
        <v>179</v>
      </c>
      <c r="F452">
        <v>20</v>
      </c>
      <c r="G452" t="s">
        <v>231</v>
      </c>
      <c r="H452" t="s">
        <v>198</v>
      </c>
      <c r="I452" t="s">
        <v>253</v>
      </c>
      <c r="J452">
        <v>3</v>
      </c>
    </row>
    <row r="453" spans="1:10" x14ac:dyDescent="0.25">
      <c r="A453" s="1" t="s">
        <v>27</v>
      </c>
      <c r="B453">
        <v>401752796</v>
      </c>
      <c r="C453" t="s">
        <v>110</v>
      </c>
      <c r="D453" t="s">
        <v>243</v>
      </c>
      <c r="E453" t="s">
        <v>179</v>
      </c>
      <c r="F453">
        <v>20</v>
      </c>
      <c r="G453" t="s">
        <v>231</v>
      </c>
      <c r="H453" t="s">
        <v>188</v>
      </c>
      <c r="I453" t="s">
        <v>253</v>
      </c>
      <c r="J453">
        <v>0</v>
      </c>
    </row>
    <row r="454" spans="1:10" x14ac:dyDescent="0.25">
      <c r="A454" s="1" t="s">
        <v>27</v>
      </c>
      <c r="B454">
        <v>401752796</v>
      </c>
      <c r="C454" t="s">
        <v>110</v>
      </c>
      <c r="D454" t="s">
        <v>243</v>
      </c>
      <c r="E454" t="s">
        <v>179</v>
      </c>
      <c r="F454">
        <v>20</v>
      </c>
      <c r="G454" t="s">
        <v>233</v>
      </c>
      <c r="H454" t="s">
        <v>234</v>
      </c>
      <c r="I454" t="s">
        <v>274</v>
      </c>
      <c r="J454" s="73">
        <v>45690</v>
      </c>
    </row>
    <row r="455" spans="1:10" x14ac:dyDescent="0.25">
      <c r="A455" s="1" t="s">
        <v>27</v>
      </c>
      <c r="B455">
        <v>401752796</v>
      </c>
      <c r="C455" t="s">
        <v>110</v>
      </c>
      <c r="D455" t="s">
        <v>243</v>
      </c>
      <c r="E455" t="s">
        <v>179</v>
      </c>
      <c r="F455">
        <v>20</v>
      </c>
      <c r="G455" t="s">
        <v>233</v>
      </c>
      <c r="H455" t="s">
        <v>236</v>
      </c>
      <c r="I455" t="s">
        <v>274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110</v>
      </c>
      <c r="D456" t="s">
        <v>243</v>
      </c>
      <c r="E456" t="s">
        <v>179</v>
      </c>
      <c r="F456">
        <v>20</v>
      </c>
      <c r="G456" t="s">
        <v>233</v>
      </c>
      <c r="H456" t="s">
        <v>198</v>
      </c>
      <c r="I456" t="s">
        <v>274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110</v>
      </c>
      <c r="D457" t="s">
        <v>243</v>
      </c>
      <c r="E457" t="s">
        <v>179</v>
      </c>
      <c r="F457">
        <v>20</v>
      </c>
      <c r="G457" t="s">
        <v>233</v>
      </c>
      <c r="H457" t="s">
        <v>237</v>
      </c>
      <c r="I457" t="s">
        <v>274</v>
      </c>
      <c r="J457" s="73">
        <v>45690</v>
      </c>
    </row>
    <row r="458" spans="1:10" x14ac:dyDescent="0.25">
      <c r="A458" s="1" t="s">
        <v>27</v>
      </c>
      <c r="B458">
        <v>401752796</v>
      </c>
      <c r="C458" t="s">
        <v>110</v>
      </c>
      <c r="D458" t="s">
        <v>243</v>
      </c>
      <c r="E458" t="s">
        <v>179</v>
      </c>
      <c r="F458">
        <v>20</v>
      </c>
      <c r="G458" t="s">
        <v>233</v>
      </c>
      <c r="H458" t="s">
        <v>238</v>
      </c>
      <c r="I458" t="s">
        <v>274</v>
      </c>
      <c r="J458">
        <v>8</v>
      </c>
    </row>
    <row r="459" spans="1:10" x14ac:dyDescent="0.25">
      <c r="A459" s="1" t="s">
        <v>27</v>
      </c>
      <c r="B459">
        <v>401752796</v>
      </c>
      <c r="C459" t="s">
        <v>110</v>
      </c>
      <c r="D459" t="s">
        <v>243</v>
      </c>
      <c r="E459" t="s">
        <v>179</v>
      </c>
      <c r="F459">
        <v>20</v>
      </c>
      <c r="G459" t="s">
        <v>239</v>
      </c>
      <c r="H459" t="s">
        <v>232</v>
      </c>
      <c r="I459" t="s">
        <v>275</v>
      </c>
      <c r="J459">
        <v>4</v>
      </c>
    </row>
    <row r="460" spans="1:10" x14ac:dyDescent="0.25">
      <c r="A460" s="1" t="s">
        <v>27</v>
      </c>
      <c r="B460">
        <v>401752796</v>
      </c>
      <c r="C460" t="s">
        <v>110</v>
      </c>
      <c r="D460" t="s">
        <v>243</v>
      </c>
      <c r="E460" t="s">
        <v>179</v>
      </c>
      <c r="F460">
        <v>20</v>
      </c>
      <c r="G460" t="s">
        <v>239</v>
      </c>
      <c r="H460" t="s">
        <v>186</v>
      </c>
      <c r="I460" t="s">
        <v>275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110</v>
      </c>
      <c r="D461" t="s">
        <v>243</v>
      </c>
      <c r="E461" t="s">
        <v>179</v>
      </c>
      <c r="F461">
        <v>20</v>
      </c>
      <c r="G461" t="s">
        <v>239</v>
      </c>
      <c r="H461" t="s">
        <v>187</v>
      </c>
      <c r="I461" t="s">
        <v>275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110</v>
      </c>
      <c r="D462" t="s">
        <v>243</v>
      </c>
      <c r="E462" t="s">
        <v>179</v>
      </c>
      <c r="F462">
        <v>20</v>
      </c>
      <c r="G462" t="s">
        <v>239</v>
      </c>
      <c r="H462" t="s">
        <v>241</v>
      </c>
      <c r="I462" t="s">
        <v>275</v>
      </c>
      <c r="J462">
        <v>0</v>
      </c>
    </row>
    <row r="463" spans="1:10" x14ac:dyDescent="0.25">
      <c r="A463" s="1" t="s">
        <v>27</v>
      </c>
      <c r="B463">
        <v>401752796</v>
      </c>
      <c r="C463" t="s">
        <v>110</v>
      </c>
      <c r="D463" t="s">
        <v>243</v>
      </c>
      <c r="E463" t="s">
        <v>179</v>
      </c>
      <c r="F463">
        <v>20</v>
      </c>
      <c r="G463" t="s">
        <v>239</v>
      </c>
      <c r="H463" t="s">
        <v>242</v>
      </c>
      <c r="I463" t="s">
        <v>275</v>
      </c>
      <c r="J463">
        <v>3</v>
      </c>
    </row>
    <row r="464" spans="1:10" x14ac:dyDescent="0.25">
      <c r="A464" s="1" t="s">
        <v>27</v>
      </c>
      <c r="B464">
        <v>401752796</v>
      </c>
      <c r="C464" t="s">
        <v>110</v>
      </c>
      <c r="D464" t="s">
        <v>243</v>
      </c>
      <c r="E464" t="s">
        <v>179</v>
      </c>
      <c r="F464">
        <v>20</v>
      </c>
      <c r="G464" t="s">
        <v>239</v>
      </c>
      <c r="H464" t="s">
        <v>198</v>
      </c>
      <c r="I464" t="s">
        <v>275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95</v>
      </c>
      <c r="D465" t="s">
        <v>88</v>
      </c>
      <c r="E465" t="s">
        <v>89</v>
      </c>
      <c r="F465">
        <v>10</v>
      </c>
      <c r="G465" t="s">
        <v>180</v>
      </c>
      <c r="H465" t="s">
        <v>181</v>
      </c>
      <c r="I465" t="s">
        <v>276</v>
      </c>
      <c r="J465" t="s">
        <v>277</v>
      </c>
    </row>
    <row r="466" spans="1:10" x14ac:dyDescent="0.25">
      <c r="A466" s="1" t="s">
        <v>27</v>
      </c>
      <c r="B466">
        <v>401754374</v>
      </c>
      <c r="C466" t="s">
        <v>95</v>
      </c>
      <c r="D466" t="s">
        <v>88</v>
      </c>
      <c r="E466" t="s">
        <v>89</v>
      </c>
      <c r="F466">
        <v>10</v>
      </c>
      <c r="G466" t="s">
        <v>180</v>
      </c>
      <c r="H466" t="s">
        <v>186</v>
      </c>
      <c r="I466" t="s">
        <v>276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95</v>
      </c>
      <c r="D467" t="s">
        <v>88</v>
      </c>
      <c r="E467" t="s">
        <v>89</v>
      </c>
      <c r="F467">
        <v>10</v>
      </c>
      <c r="G467" t="s">
        <v>180</v>
      </c>
      <c r="H467" t="s">
        <v>187</v>
      </c>
      <c r="I467" t="s">
        <v>276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95</v>
      </c>
      <c r="D468" t="s">
        <v>88</v>
      </c>
      <c r="E468" t="s">
        <v>89</v>
      </c>
      <c r="F468">
        <v>10</v>
      </c>
      <c r="G468" t="s">
        <v>180</v>
      </c>
      <c r="H468" t="s">
        <v>188</v>
      </c>
      <c r="I468" t="s">
        <v>276</v>
      </c>
      <c r="J468">
        <v>0</v>
      </c>
    </row>
    <row r="469" spans="1:10" x14ac:dyDescent="0.25">
      <c r="A469" s="1" t="s">
        <v>27</v>
      </c>
      <c r="B469">
        <v>401754374</v>
      </c>
      <c r="C469" t="s">
        <v>95</v>
      </c>
      <c r="D469" t="s">
        <v>88</v>
      </c>
      <c r="E469" t="s">
        <v>89</v>
      </c>
      <c r="F469">
        <v>10</v>
      </c>
      <c r="G469" t="s">
        <v>180</v>
      </c>
      <c r="H469" t="s">
        <v>189</v>
      </c>
      <c r="I469" t="s">
        <v>276</v>
      </c>
      <c r="J469">
        <v>0</v>
      </c>
    </row>
    <row r="470" spans="1:10" x14ac:dyDescent="0.25">
      <c r="A470" s="1" t="s">
        <v>27</v>
      </c>
      <c r="B470">
        <v>401754374</v>
      </c>
      <c r="C470" t="s">
        <v>95</v>
      </c>
      <c r="D470" t="s">
        <v>88</v>
      </c>
      <c r="E470" t="s">
        <v>89</v>
      </c>
      <c r="F470">
        <v>10</v>
      </c>
      <c r="G470" t="s">
        <v>180</v>
      </c>
      <c r="H470" t="s">
        <v>190</v>
      </c>
      <c r="I470" t="s">
        <v>276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95</v>
      </c>
      <c r="D471" t="s">
        <v>88</v>
      </c>
      <c r="E471" t="s">
        <v>89</v>
      </c>
      <c r="F471">
        <v>10</v>
      </c>
      <c r="G471" t="s">
        <v>192</v>
      </c>
      <c r="H471" t="s">
        <v>193</v>
      </c>
      <c r="I471" t="s">
        <v>276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95</v>
      </c>
      <c r="D472" t="s">
        <v>88</v>
      </c>
      <c r="E472" t="s">
        <v>89</v>
      </c>
      <c r="F472">
        <v>10</v>
      </c>
      <c r="G472" t="s">
        <v>192</v>
      </c>
      <c r="H472" t="s">
        <v>193</v>
      </c>
      <c r="I472" t="s">
        <v>278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95</v>
      </c>
      <c r="D473" t="s">
        <v>88</v>
      </c>
      <c r="E473" t="s">
        <v>89</v>
      </c>
      <c r="F473">
        <v>10</v>
      </c>
      <c r="G473" t="s">
        <v>192</v>
      </c>
      <c r="H473" t="s">
        <v>193</v>
      </c>
      <c r="I473" t="s">
        <v>279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95</v>
      </c>
      <c r="D474" t="s">
        <v>88</v>
      </c>
      <c r="E474" t="s">
        <v>89</v>
      </c>
      <c r="F474">
        <v>10</v>
      </c>
      <c r="G474" t="s">
        <v>192</v>
      </c>
      <c r="H474" t="s">
        <v>193</v>
      </c>
      <c r="I474" t="s">
        <v>280</v>
      </c>
      <c r="J474">
        <v>3</v>
      </c>
    </row>
    <row r="475" spans="1:10" x14ac:dyDescent="0.25">
      <c r="A475" s="1" t="s">
        <v>27</v>
      </c>
      <c r="B475">
        <v>401754374</v>
      </c>
      <c r="C475" t="s">
        <v>95</v>
      </c>
      <c r="D475" t="s">
        <v>88</v>
      </c>
      <c r="E475" t="s">
        <v>89</v>
      </c>
      <c r="F475">
        <v>10</v>
      </c>
      <c r="G475" t="s">
        <v>192</v>
      </c>
      <c r="H475" t="s">
        <v>193</v>
      </c>
      <c r="I475" t="s">
        <v>281</v>
      </c>
      <c r="J475">
        <v>1</v>
      </c>
    </row>
    <row r="476" spans="1:10" x14ac:dyDescent="0.25">
      <c r="A476" s="1" t="s">
        <v>27</v>
      </c>
      <c r="B476">
        <v>401754374</v>
      </c>
      <c r="C476" t="s">
        <v>95</v>
      </c>
      <c r="D476" t="s">
        <v>88</v>
      </c>
      <c r="E476" t="s">
        <v>89</v>
      </c>
      <c r="F476">
        <v>10</v>
      </c>
      <c r="G476" t="s">
        <v>192</v>
      </c>
      <c r="H476" t="s">
        <v>193</v>
      </c>
      <c r="I476" t="s">
        <v>184</v>
      </c>
      <c r="J476">
        <v>3</v>
      </c>
    </row>
    <row r="477" spans="1:10" x14ac:dyDescent="0.25">
      <c r="A477" s="1" t="s">
        <v>27</v>
      </c>
      <c r="B477">
        <v>401754374</v>
      </c>
      <c r="C477" t="s">
        <v>95</v>
      </c>
      <c r="D477" t="s">
        <v>88</v>
      </c>
      <c r="E477" t="s">
        <v>89</v>
      </c>
      <c r="F477">
        <v>10</v>
      </c>
      <c r="G477" t="s">
        <v>192</v>
      </c>
      <c r="H477" t="s">
        <v>186</v>
      </c>
      <c r="I477" t="s">
        <v>276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95</v>
      </c>
      <c r="D478" t="s">
        <v>88</v>
      </c>
      <c r="E478" t="s">
        <v>89</v>
      </c>
      <c r="F478">
        <v>10</v>
      </c>
      <c r="G478" t="s">
        <v>192</v>
      </c>
      <c r="H478" t="s">
        <v>186</v>
      </c>
      <c r="I478" t="s">
        <v>278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95</v>
      </c>
      <c r="D479" t="s">
        <v>88</v>
      </c>
      <c r="E479" t="s">
        <v>89</v>
      </c>
      <c r="F479">
        <v>10</v>
      </c>
      <c r="G479" t="s">
        <v>192</v>
      </c>
      <c r="H479" t="s">
        <v>186</v>
      </c>
      <c r="I479" t="s">
        <v>279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95</v>
      </c>
      <c r="D480" t="s">
        <v>88</v>
      </c>
      <c r="E480" t="s">
        <v>89</v>
      </c>
      <c r="F480">
        <v>10</v>
      </c>
      <c r="G480" t="s">
        <v>192</v>
      </c>
      <c r="H480" t="s">
        <v>186</v>
      </c>
      <c r="I480" t="s">
        <v>280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95</v>
      </c>
      <c r="D481" t="s">
        <v>88</v>
      </c>
      <c r="E481" t="s">
        <v>89</v>
      </c>
      <c r="F481">
        <v>10</v>
      </c>
      <c r="G481" t="s">
        <v>192</v>
      </c>
      <c r="H481" t="s">
        <v>186</v>
      </c>
      <c r="I481" t="s">
        <v>281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95</v>
      </c>
      <c r="D482" t="s">
        <v>88</v>
      </c>
      <c r="E482" t="s">
        <v>89</v>
      </c>
      <c r="F482">
        <v>10</v>
      </c>
      <c r="G482" t="s">
        <v>192</v>
      </c>
      <c r="H482" t="s">
        <v>186</v>
      </c>
      <c r="I482" t="s">
        <v>184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95</v>
      </c>
      <c r="D483" t="s">
        <v>88</v>
      </c>
      <c r="E483" t="s">
        <v>89</v>
      </c>
      <c r="F483">
        <v>10</v>
      </c>
      <c r="G483" t="s">
        <v>192</v>
      </c>
      <c r="H483" t="s">
        <v>187</v>
      </c>
      <c r="I483" t="s">
        <v>276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95</v>
      </c>
      <c r="D484" t="s">
        <v>88</v>
      </c>
      <c r="E484" t="s">
        <v>89</v>
      </c>
      <c r="F484">
        <v>10</v>
      </c>
      <c r="G484" t="s">
        <v>192</v>
      </c>
      <c r="H484" t="s">
        <v>187</v>
      </c>
      <c r="I484" t="s">
        <v>278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95</v>
      </c>
      <c r="D485" t="s">
        <v>88</v>
      </c>
      <c r="E485" t="s">
        <v>89</v>
      </c>
      <c r="F485">
        <v>10</v>
      </c>
      <c r="G485" t="s">
        <v>192</v>
      </c>
      <c r="H485" t="s">
        <v>187</v>
      </c>
      <c r="I485" t="s">
        <v>279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95</v>
      </c>
      <c r="D486" t="s">
        <v>88</v>
      </c>
      <c r="E486" t="s">
        <v>89</v>
      </c>
      <c r="F486">
        <v>10</v>
      </c>
      <c r="G486" t="s">
        <v>192</v>
      </c>
      <c r="H486" t="s">
        <v>187</v>
      </c>
      <c r="I486" t="s">
        <v>280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95</v>
      </c>
      <c r="D487" t="s">
        <v>88</v>
      </c>
      <c r="E487" t="s">
        <v>89</v>
      </c>
      <c r="F487">
        <v>10</v>
      </c>
      <c r="G487" t="s">
        <v>192</v>
      </c>
      <c r="H487" t="s">
        <v>187</v>
      </c>
      <c r="I487" t="s">
        <v>281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95</v>
      </c>
      <c r="D488" t="s">
        <v>88</v>
      </c>
      <c r="E488" t="s">
        <v>89</v>
      </c>
      <c r="F488">
        <v>10</v>
      </c>
      <c r="G488" t="s">
        <v>192</v>
      </c>
      <c r="H488" t="s">
        <v>187</v>
      </c>
      <c r="I488" t="s">
        <v>184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95</v>
      </c>
      <c r="D489" t="s">
        <v>88</v>
      </c>
      <c r="E489" t="s">
        <v>89</v>
      </c>
      <c r="F489">
        <v>10</v>
      </c>
      <c r="G489" t="s">
        <v>192</v>
      </c>
      <c r="H489" t="s">
        <v>188</v>
      </c>
      <c r="I489" t="s">
        <v>276</v>
      </c>
      <c r="J489">
        <v>1</v>
      </c>
    </row>
    <row r="490" spans="1:10" x14ac:dyDescent="0.25">
      <c r="A490" s="1" t="s">
        <v>27</v>
      </c>
      <c r="B490">
        <v>401754374</v>
      </c>
      <c r="C490" t="s">
        <v>95</v>
      </c>
      <c r="D490" t="s">
        <v>88</v>
      </c>
      <c r="E490" t="s">
        <v>89</v>
      </c>
      <c r="F490">
        <v>10</v>
      </c>
      <c r="G490" t="s">
        <v>192</v>
      </c>
      <c r="H490" t="s">
        <v>188</v>
      </c>
      <c r="I490" t="s">
        <v>278</v>
      </c>
      <c r="J490">
        <v>0</v>
      </c>
    </row>
    <row r="491" spans="1:10" x14ac:dyDescent="0.25">
      <c r="A491" s="1" t="s">
        <v>27</v>
      </c>
      <c r="B491">
        <v>401754374</v>
      </c>
      <c r="C491" t="s">
        <v>95</v>
      </c>
      <c r="D491" t="s">
        <v>88</v>
      </c>
      <c r="E491" t="s">
        <v>89</v>
      </c>
      <c r="F491">
        <v>10</v>
      </c>
      <c r="G491" t="s">
        <v>192</v>
      </c>
      <c r="H491" t="s">
        <v>188</v>
      </c>
      <c r="I491" t="s">
        <v>279</v>
      </c>
      <c r="J491">
        <v>0</v>
      </c>
    </row>
    <row r="492" spans="1:10" x14ac:dyDescent="0.25">
      <c r="A492" s="1" t="s">
        <v>27</v>
      </c>
      <c r="B492">
        <v>401754374</v>
      </c>
      <c r="C492" t="s">
        <v>95</v>
      </c>
      <c r="D492" t="s">
        <v>88</v>
      </c>
      <c r="E492" t="s">
        <v>89</v>
      </c>
      <c r="F492">
        <v>10</v>
      </c>
      <c r="G492" t="s">
        <v>192</v>
      </c>
      <c r="H492" t="s">
        <v>188</v>
      </c>
      <c r="I492" t="s">
        <v>280</v>
      </c>
      <c r="J492">
        <v>0</v>
      </c>
    </row>
    <row r="493" spans="1:10" x14ac:dyDescent="0.25">
      <c r="A493" s="1" t="s">
        <v>27</v>
      </c>
      <c r="B493">
        <v>401754374</v>
      </c>
      <c r="C493" t="s">
        <v>95</v>
      </c>
      <c r="D493" t="s">
        <v>88</v>
      </c>
      <c r="E493" t="s">
        <v>89</v>
      </c>
      <c r="F493">
        <v>10</v>
      </c>
      <c r="G493" t="s">
        <v>192</v>
      </c>
      <c r="H493" t="s">
        <v>188</v>
      </c>
      <c r="I493" t="s">
        <v>281</v>
      </c>
      <c r="J493">
        <v>0</v>
      </c>
    </row>
    <row r="494" spans="1:10" x14ac:dyDescent="0.25">
      <c r="A494" s="1" t="s">
        <v>27</v>
      </c>
      <c r="B494">
        <v>401754374</v>
      </c>
      <c r="C494" t="s">
        <v>95</v>
      </c>
      <c r="D494" t="s">
        <v>88</v>
      </c>
      <c r="E494" t="s">
        <v>89</v>
      </c>
      <c r="F494">
        <v>10</v>
      </c>
      <c r="G494" t="s">
        <v>192</v>
      </c>
      <c r="H494" t="s">
        <v>188</v>
      </c>
      <c r="I494" t="s">
        <v>184</v>
      </c>
      <c r="J494">
        <v>0</v>
      </c>
    </row>
    <row r="495" spans="1:10" x14ac:dyDescent="0.25">
      <c r="A495" s="1" t="s">
        <v>27</v>
      </c>
      <c r="B495">
        <v>401754374</v>
      </c>
      <c r="C495" t="s">
        <v>95</v>
      </c>
      <c r="D495" t="s">
        <v>88</v>
      </c>
      <c r="E495" t="s">
        <v>89</v>
      </c>
      <c r="F495">
        <v>10</v>
      </c>
      <c r="G495" t="s">
        <v>192</v>
      </c>
      <c r="H495" t="s">
        <v>198</v>
      </c>
      <c r="I495" t="s">
        <v>276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95</v>
      </c>
      <c r="D496" t="s">
        <v>88</v>
      </c>
      <c r="E496" t="s">
        <v>89</v>
      </c>
      <c r="F496">
        <v>10</v>
      </c>
      <c r="G496" t="s">
        <v>192</v>
      </c>
      <c r="H496" t="s">
        <v>198</v>
      </c>
      <c r="I496" t="s">
        <v>278</v>
      </c>
      <c r="J496">
        <v>6</v>
      </c>
    </row>
    <row r="497" spans="1:10" x14ac:dyDescent="0.25">
      <c r="A497" s="1" t="s">
        <v>27</v>
      </c>
      <c r="B497">
        <v>401754374</v>
      </c>
      <c r="C497" t="s">
        <v>95</v>
      </c>
      <c r="D497" t="s">
        <v>88</v>
      </c>
      <c r="E497" t="s">
        <v>89</v>
      </c>
      <c r="F497">
        <v>10</v>
      </c>
      <c r="G497" t="s">
        <v>192</v>
      </c>
      <c r="H497" t="s">
        <v>198</v>
      </c>
      <c r="I497" t="s">
        <v>279</v>
      </c>
      <c r="J497">
        <v>9</v>
      </c>
    </row>
    <row r="498" spans="1:10" x14ac:dyDescent="0.25">
      <c r="A498" s="1" t="s">
        <v>27</v>
      </c>
      <c r="B498">
        <v>401754374</v>
      </c>
      <c r="C498" t="s">
        <v>95</v>
      </c>
      <c r="D498" t="s">
        <v>88</v>
      </c>
      <c r="E498" t="s">
        <v>89</v>
      </c>
      <c r="F498">
        <v>10</v>
      </c>
      <c r="G498" t="s">
        <v>192</v>
      </c>
      <c r="H498" t="s">
        <v>198</v>
      </c>
      <c r="I498" t="s">
        <v>280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95</v>
      </c>
      <c r="D499" t="s">
        <v>88</v>
      </c>
      <c r="E499" t="s">
        <v>89</v>
      </c>
      <c r="F499">
        <v>10</v>
      </c>
      <c r="G499" t="s">
        <v>192</v>
      </c>
      <c r="H499" t="s">
        <v>198</v>
      </c>
      <c r="I499" t="s">
        <v>281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95</v>
      </c>
      <c r="D500" t="s">
        <v>88</v>
      </c>
      <c r="E500" t="s">
        <v>89</v>
      </c>
      <c r="F500">
        <v>10</v>
      </c>
      <c r="G500" t="s">
        <v>192</v>
      </c>
      <c r="H500" t="s">
        <v>198</v>
      </c>
      <c r="I500" t="s">
        <v>184</v>
      </c>
      <c r="J500">
        <v>0</v>
      </c>
    </row>
    <row r="501" spans="1:10" x14ac:dyDescent="0.25">
      <c r="A501" s="1" t="s">
        <v>27</v>
      </c>
      <c r="B501">
        <v>401754374</v>
      </c>
      <c r="C501" t="s">
        <v>95</v>
      </c>
      <c r="D501" t="s">
        <v>88</v>
      </c>
      <c r="E501" t="s">
        <v>89</v>
      </c>
      <c r="F501">
        <v>10</v>
      </c>
      <c r="G501" t="s">
        <v>199</v>
      </c>
      <c r="H501" t="s">
        <v>0</v>
      </c>
      <c r="I501" t="s">
        <v>282</v>
      </c>
      <c r="J501">
        <v>4</v>
      </c>
    </row>
    <row r="502" spans="1:10" x14ac:dyDescent="0.25">
      <c r="A502" s="1" t="s">
        <v>27</v>
      </c>
      <c r="B502">
        <v>401754374</v>
      </c>
      <c r="C502" t="s">
        <v>95</v>
      </c>
      <c r="D502" t="s">
        <v>88</v>
      </c>
      <c r="E502" t="s">
        <v>89</v>
      </c>
      <c r="F502">
        <v>10</v>
      </c>
      <c r="G502" t="s">
        <v>199</v>
      </c>
      <c r="H502" t="s">
        <v>0</v>
      </c>
      <c r="I502" t="s">
        <v>283</v>
      </c>
      <c r="J502">
        <v>1</v>
      </c>
    </row>
    <row r="503" spans="1:10" x14ac:dyDescent="0.25">
      <c r="A503" s="1" t="s">
        <v>27</v>
      </c>
      <c r="B503">
        <v>401754374</v>
      </c>
      <c r="C503" t="s">
        <v>95</v>
      </c>
      <c r="D503" t="s">
        <v>88</v>
      </c>
      <c r="E503" t="s">
        <v>89</v>
      </c>
      <c r="F503">
        <v>10</v>
      </c>
      <c r="G503" t="s">
        <v>199</v>
      </c>
      <c r="H503" t="s">
        <v>0</v>
      </c>
      <c r="I503" t="s">
        <v>284</v>
      </c>
      <c r="J503">
        <v>3</v>
      </c>
    </row>
    <row r="504" spans="1:10" x14ac:dyDescent="0.25">
      <c r="A504" s="1" t="s">
        <v>27</v>
      </c>
      <c r="B504">
        <v>401754374</v>
      </c>
      <c r="C504" t="s">
        <v>95</v>
      </c>
      <c r="D504" t="s">
        <v>88</v>
      </c>
      <c r="E504" t="s">
        <v>89</v>
      </c>
      <c r="F504">
        <v>10</v>
      </c>
      <c r="G504" t="s">
        <v>199</v>
      </c>
      <c r="H504" t="s">
        <v>0</v>
      </c>
      <c r="I504" t="s">
        <v>285</v>
      </c>
      <c r="J504">
        <v>3</v>
      </c>
    </row>
    <row r="505" spans="1:10" x14ac:dyDescent="0.25">
      <c r="A505" s="1" t="s">
        <v>27</v>
      </c>
      <c r="B505">
        <v>401754374</v>
      </c>
      <c r="C505" t="s">
        <v>95</v>
      </c>
      <c r="D505" t="s">
        <v>88</v>
      </c>
      <c r="E505" t="s">
        <v>89</v>
      </c>
      <c r="F505">
        <v>10</v>
      </c>
      <c r="G505" t="s">
        <v>199</v>
      </c>
      <c r="H505" t="s">
        <v>0</v>
      </c>
      <c r="I505" t="s">
        <v>281</v>
      </c>
      <c r="J505">
        <v>3</v>
      </c>
    </row>
    <row r="506" spans="1:10" x14ac:dyDescent="0.25">
      <c r="A506" s="1" t="s">
        <v>27</v>
      </c>
      <c r="B506">
        <v>401754374</v>
      </c>
      <c r="C506" t="s">
        <v>95</v>
      </c>
      <c r="D506" t="s">
        <v>88</v>
      </c>
      <c r="E506" t="s">
        <v>89</v>
      </c>
      <c r="F506">
        <v>10</v>
      </c>
      <c r="G506" t="s">
        <v>199</v>
      </c>
      <c r="H506" t="s">
        <v>0</v>
      </c>
      <c r="I506" t="s">
        <v>286</v>
      </c>
      <c r="J506">
        <v>3</v>
      </c>
    </row>
    <row r="507" spans="1:10" x14ac:dyDescent="0.25">
      <c r="A507" s="1" t="s">
        <v>27</v>
      </c>
      <c r="B507">
        <v>401754374</v>
      </c>
      <c r="C507" t="s">
        <v>95</v>
      </c>
      <c r="D507" t="s">
        <v>88</v>
      </c>
      <c r="E507" t="s">
        <v>89</v>
      </c>
      <c r="F507">
        <v>10</v>
      </c>
      <c r="G507" t="s">
        <v>199</v>
      </c>
      <c r="H507" t="s">
        <v>0</v>
      </c>
      <c r="I507" t="s">
        <v>278</v>
      </c>
      <c r="J507">
        <v>2</v>
      </c>
    </row>
    <row r="508" spans="1:10" x14ac:dyDescent="0.25">
      <c r="A508" s="1" t="s">
        <v>27</v>
      </c>
      <c r="B508">
        <v>401754374</v>
      </c>
      <c r="C508" t="s">
        <v>95</v>
      </c>
      <c r="D508" t="s">
        <v>88</v>
      </c>
      <c r="E508" t="s">
        <v>89</v>
      </c>
      <c r="F508">
        <v>10</v>
      </c>
      <c r="G508" t="s">
        <v>199</v>
      </c>
      <c r="H508" t="s">
        <v>0</v>
      </c>
      <c r="I508" t="s">
        <v>279</v>
      </c>
      <c r="J508">
        <v>1</v>
      </c>
    </row>
    <row r="509" spans="1:10" x14ac:dyDescent="0.25">
      <c r="A509" s="1" t="s">
        <v>27</v>
      </c>
      <c r="B509">
        <v>401754374</v>
      </c>
      <c r="C509" t="s">
        <v>95</v>
      </c>
      <c r="D509" t="s">
        <v>88</v>
      </c>
      <c r="E509" t="s">
        <v>89</v>
      </c>
      <c r="F509">
        <v>10</v>
      </c>
      <c r="G509" t="s">
        <v>199</v>
      </c>
      <c r="H509" t="s">
        <v>186</v>
      </c>
      <c r="I509" t="s">
        <v>282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95</v>
      </c>
      <c r="D510" t="s">
        <v>88</v>
      </c>
      <c r="E510" t="s">
        <v>89</v>
      </c>
      <c r="F510">
        <v>10</v>
      </c>
      <c r="G510" t="s">
        <v>199</v>
      </c>
      <c r="H510" t="s">
        <v>186</v>
      </c>
      <c r="I510" t="s">
        <v>283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95</v>
      </c>
      <c r="D511" t="s">
        <v>88</v>
      </c>
      <c r="E511" t="s">
        <v>89</v>
      </c>
      <c r="F511">
        <v>10</v>
      </c>
      <c r="G511" t="s">
        <v>199</v>
      </c>
      <c r="H511" t="s">
        <v>186</v>
      </c>
      <c r="I511" t="s">
        <v>284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95</v>
      </c>
      <c r="D512" t="s">
        <v>88</v>
      </c>
      <c r="E512" t="s">
        <v>89</v>
      </c>
      <c r="F512">
        <v>10</v>
      </c>
      <c r="G512" t="s">
        <v>199</v>
      </c>
      <c r="H512" t="s">
        <v>186</v>
      </c>
      <c r="I512" t="s">
        <v>285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95</v>
      </c>
      <c r="D513" t="s">
        <v>88</v>
      </c>
      <c r="E513" t="s">
        <v>89</v>
      </c>
      <c r="F513">
        <v>10</v>
      </c>
      <c r="G513" t="s">
        <v>199</v>
      </c>
      <c r="H513" t="s">
        <v>186</v>
      </c>
      <c r="I513" t="s">
        <v>281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95</v>
      </c>
      <c r="D514" t="s">
        <v>88</v>
      </c>
      <c r="E514" t="s">
        <v>89</v>
      </c>
      <c r="F514">
        <v>10</v>
      </c>
      <c r="G514" t="s">
        <v>199</v>
      </c>
      <c r="H514" t="s">
        <v>186</v>
      </c>
      <c r="I514" t="s">
        <v>286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95</v>
      </c>
      <c r="D515" t="s">
        <v>88</v>
      </c>
      <c r="E515" t="s">
        <v>89</v>
      </c>
      <c r="F515">
        <v>10</v>
      </c>
      <c r="G515" t="s">
        <v>199</v>
      </c>
      <c r="H515" t="s">
        <v>186</v>
      </c>
      <c r="I515" t="s">
        <v>278</v>
      </c>
      <c r="J515">
        <v>8</v>
      </c>
    </row>
    <row r="516" spans="1:10" x14ac:dyDescent="0.25">
      <c r="A516" s="1" t="s">
        <v>27</v>
      </c>
      <c r="B516">
        <v>401754374</v>
      </c>
      <c r="C516" t="s">
        <v>95</v>
      </c>
      <c r="D516" t="s">
        <v>88</v>
      </c>
      <c r="E516" t="s">
        <v>89</v>
      </c>
      <c r="F516">
        <v>10</v>
      </c>
      <c r="G516" t="s">
        <v>199</v>
      </c>
      <c r="H516" t="s">
        <v>186</v>
      </c>
      <c r="I516" t="s">
        <v>279</v>
      </c>
      <c r="J516">
        <v>7</v>
      </c>
    </row>
    <row r="517" spans="1:10" x14ac:dyDescent="0.25">
      <c r="A517" s="1" t="s">
        <v>27</v>
      </c>
      <c r="B517">
        <v>401754374</v>
      </c>
      <c r="C517" t="s">
        <v>95</v>
      </c>
      <c r="D517" t="s">
        <v>88</v>
      </c>
      <c r="E517" t="s">
        <v>89</v>
      </c>
      <c r="F517">
        <v>10</v>
      </c>
      <c r="G517" t="s">
        <v>199</v>
      </c>
      <c r="H517" t="s">
        <v>187</v>
      </c>
      <c r="I517" t="s">
        <v>282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95</v>
      </c>
      <c r="D518" t="s">
        <v>88</v>
      </c>
      <c r="E518" t="s">
        <v>89</v>
      </c>
      <c r="F518">
        <v>10</v>
      </c>
      <c r="G518" t="s">
        <v>199</v>
      </c>
      <c r="H518" t="s">
        <v>187</v>
      </c>
      <c r="I518" t="s">
        <v>283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95</v>
      </c>
      <c r="D519" t="s">
        <v>88</v>
      </c>
      <c r="E519" t="s">
        <v>89</v>
      </c>
      <c r="F519">
        <v>10</v>
      </c>
      <c r="G519" t="s">
        <v>199</v>
      </c>
      <c r="H519" t="s">
        <v>187</v>
      </c>
      <c r="I519" t="s">
        <v>284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95</v>
      </c>
      <c r="D520" t="s">
        <v>88</v>
      </c>
      <c r="E520" t="s">
        <v>89</v>
      </c>
      <c r="F520">
        <v>10</v>
      </c>
      <c r="G520" t="s">
        <v>199</v>
      </c>
      <c r="H520" t="s">
        <v>187</v>
      </c>
      <c r="I520" t="s">
        <v>285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95</v>
      </c>
      <c r="D521" t="s">
        <v>88</v>
      </c>
      <c r="E521" t="s">
        <v>89</v>
      </c>
      <c r="F521">
        <v>10</v>
      </c>
      <c r="G521" t="s">
        <v>199</v>
      </c>
      <c r="H521" t="s">
        <v>187</v>
      </c>
      <c r="I521" t="s">
        <v>281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95</v>
      </c>
      <c r="D522" t="s">
        <v>88</v>
      </c>
      <c r="E522" t="s">
        <v>89</v>
      </c>
      <c r="F522">
        <v>10</v>
      </c>
      <c r="G522" t="s">
        <v>199</v>
      </c>
      <c r="H522" t="s">
        <v>187</v>
      </c>
      <c r="I522" t="s">
        <v>286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95</v>
      </c>
      <c r="D523" t="s">
        <v>88</v>
      </c>
      <c r="E523" t="s">
        <v>89</v>
      </c>
      <c r="F523">
        <v>10</v>
      </c>
      <c r="G523" t="s">
        <v>199</v>
      </c>
      <c r="H523" t="s">
        <v>187</v>
      </c>
      <c r="I523" t="s">
        <v>278</v>
      </c>
      <c r="J523">
        <v>4</v>
      </c>
    </row>
    <row r="524" spans="1:10" x14ac:dyDescent="0.25">
      <c r="A524" s="1" t="s">
        <v>27</v>
      </c>
      <c r="B524">
        <v>401754374</v>
      </c>
      <c r="C524" t="s">
        <v>95</v>
      </c>
      <c r="D524" t="s">
        <v>88</v>
      </c>
      <c r="E524" t="s">
        <v>89</v>
      </c>
      <c r="F524">
        <v>10</v>
      </c>
      <c r="G524" t="s">
        <v>199</v>
      </c>
      <c r="H524" t="s">
        <v>187</v>
      </c>
      <c r="I524" t="s">
        <v>279</v>
      </c>
      <c r="J524">
        <v>7</v>
      </c>
    </row>
    <row r="525" spans="1:10" x14ac:dyDescent="0.25">
      <c r="A525" s="1" t="s">
        <v>27</v>
      </c>
      <c r="B525">
        <v>401754374</v>
      </c>
      <c r="C525" t="s">
        <v>95</v>
      </c>
      <c r="D525" t="s">
        <v>88</v>
      </c>
      <c r="E525" t="s">
        <v>89</v>
      </c>
      <c r="F525">
        <v>10</v>
      </c>
      <c r="G525" t="s">
        <v>199</v>
      </c>
      <c r="H525" t="s">
        <v>188</v>
      </c>
      <c r="I525" t="s">
        <v>282</v>
      </c>
      <c r="J525">
        <v>0</v>
      </c>
    </row>
    <row r="526" spans="1:10" x14ac:dyDescent="0.25">
      <c r="A526" s="1" t="s">
        <v>27</v>
      </c>
      <c r="B526">
        <v>401754374</v>
      </c>
      <c r="C526" t="s">
        <v>95</v>
      </c>
      <c r="D526" t="s">
        <v>88</v>
      </c>
      <c r="E526" t="s">
        <v>89</v>
      </c>
      <c r="F526">
        <v>10</v>
      </c>
      <c r="G526" t="s">
        <v>199</v>
      </c>
      <c r="H526" t="s">
        <v>188</v>
      </c>
      <c r="I526" t="s">
        <v>283</v>
      </c>
      <c r="J526">
        <v>0</v>
      </c>
    </row>
    <row r="527" spans="1:10" x14ac:dyDescent="0.25">
      <c r="A527" s="1" t="s">
        <v>27</v>
      </c>
      <c r="B527">
        <v>401754374</v>
      </c>
      <c r="C527" t="s">
        <v>95</v>
      </c>
      <c r="D527" t="s">
        <v>88</v>
      </c>
      <c r="E527" t="s">
        <v>89</v>
      </c>
      <c r="F527">
        <v>10</v>
      </c>
      <c r="G527" t="s">
        <v>199</v>
      </c>
      <c r="H527" t="s">
        <v>188</v>
      </c>
      <c r="I527" t="s">
        <v>284</v>
      </c>
      <c r="J527">
        <v>0</v>
      </c>
    </row>
    <row r="528" spans="1:10" x14ac:dyDescent="0.25">
      <c r="A528" s="1" t="s">
        <v>27</v>
      </c>
      <c r="B528">
        <v>401754374</v>
      </c>
      <c r="C528" t="s">
        <v>95</v>
      </c>
      <c r="D528" t="s">
        <v>88</v>
      </c>
      <c r="E528" t="s">
        <v>89</v>
      </c>
      <c r="F528">
        <v>10</v>
      </c>
      <c r="G528" t="s">
        <v>199</v>
      </c>
      <c r="H528" t="s">
        <v>188</v>
      </c>
      <c r="I528" t="s">
        <v>285</v>
      </c>
      <c r="J528">
        <v>0</v>
      </c>
    </row>
    <row r="529" spans="1:10" x14ac:dyDescent="0.25">
      <c r="A529" s="1" t="s">
        <v>27</v>
      </c>
      <c r="B529">
        <v>401754374</v>
      </c>
      <c r="C529" t="s">
        <v>95</v>
      </c>
      <c r="D529" t="s">
        <v>88</v>
      </c>
      <c r="E529" t="s">
        <v>89</v>
      </c>
      <c r="F529">
        <v>10</v>
      </c>
      <c r="G529" t="s">
        <v>199</v>
      </c>
      <c r="H529" t="s">
        <v>188</v>
      </c>
      <c r="I529" t="s">
        <v>281</v>
      </c>
      <c r="J529">
        <v>0</v>
      </c>
    </row>
    <row r="530" spans="1:10" x14ac:dyDescent="0.25">
      <c r="A530" s="1" t="s">
        <v>27</v>
      </c>
      <c r="B530">
        <v>401754374</v>
      </c>
      <c r="C530" t="s">
        <v>95</v>
      </c>
      <c r="D530" t="s">
        <v>88</v>
      </c>
      <c r="E530" t="s">
        <v>89</v>
      </c>
      <c r="F530">
        <v>10</v>
      </c>
      <c r="G530" t="s">
        <v>199</v>
      </c>
      <c r="H530" t="s">
        <v>188</v>
      </c>
      <c r="I530" t="s">
        <v>286</v>
      </c>
      <c r="J530">
        <v>0</v>
      </c>
    </row>
    <row r="531" spans="1:10" x14ac:dyDescent="0.25">
      <c r="A531" s="1" t="s">
        <v>27</v>
      </c>
      <c r="B531">
        <v>401754374</v>
      </c>
      <c r="C531" t="s">
        <v>95</v>
      </c>
      <c r="D531" t="s">
        <v>88</v>
      </c>
      <c r="E531" t="s">
        <v>89</v>
      </c>
      <c r="F531">
        <v>10</v>
      </c>
      <c r="G531" t="s">
        <v>199</v>
      </c>
      <c r="H531" t="s">
        <v>188</v>
      </c>
      <c r="I531" t="s">
        <v>278</v>
      </c>
      <c r="J531">
        <v>0</v>
      </c>
    </row>
    <row r="532" spans="1:10" x14ac:dyDescent="0.25">
      <c r="A532" s="1" t="s">
        <v>27</v>
      </c>
      <c r="B532">
        <v>401754374</v>
      </c>
      <c r="C532" t="s">
        <v>95</v>
      </c>
      <c r="D532" t="s">
        <v>88</v>
      </c>
      <c r="E532" t="s">
        <v>89</v>
      </c>
      <c r="F532">
        <v>10</v>
      </c>
      <c r="G532" t="s">
        <v>199</v>
      </c>
      <c r="H532" t="s">
        <v>188</v>
      </c>
      <c r="I532" t="s">
        <v>279</v>
      </c>
      <c r="J532">
        <v>0</v>
      </c>
    </row>
    <row r="533" spans="1:10" x14ac:dyDescent="0.25">
      <c r="A533" s="1" t="s">
        <v>27</v>
      </c>
      <c r="B533">
        <v>401754374</v>
      </c>
      <c r="C533" t="s">
        <v>95</v>
      </c>
      <c r="D533" t="s">
        <v>88</v>
      </c>
      <c r="E533" t="s">
        <v>89</v>
      </c>
      <c r="F533">
        <v>10</v>
      </c>
      <c r="G533" t="s">
        <v>199</v>
      </c>
      <c r="H533" t="s">
        <v>198</v>
      </c>
      <c r="I533" t="s">
        <v>282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95</v>
      </c>
      <c r="D534" t="s">
        <v>88</v>
      </c>
      <c r="E534" t="s">
        <v>89</v>
      </c>
      <c r="F534">
        <v>10</v>
      </c>
      <c r="G534" t="s">
        <v>199</v>
      </c>
      <c r="H534" t="s">
        <v>198</v>
      </c>
      <c r="I534" t="s">
        <v>283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95</v>
      </c>
      <c r="D535" t="s">
        <v>88</v>
      </c>
      <c r="E535" t="s">
        <v>89</v>
      </c>
      <c r="F535">
        <v>10</v>
      </c>
      <c r="G535" t="s">
        <v>199</v>
      </c>
      <c r="H535" t="s">
        <v>198</v>
      </c>
      <c r="I535" t="s">
        <v>284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95</v>
      </c>
      <c r="D536" t="s">
        <v>88</v>
      </c>
      <c r="E536" t="s">
        <v>89</v>
      </c>
      <c r="F536">
        <v>10</v>
      </c>
      <c r="G536" t="s">
        <v>199</v>
      </c>
      <c r="H536" t="s">
        <v>198</v>
      </c>
      <c r="I536" t="s">
        <v>285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95</v>
      </c>
      <c r="D537" t="s">
        <v>88</v>
      </c>
      <c r="E537" t="s">
        <v>89</v>
      </c>
      <c r="F537">
        <v>10</v>
      </c>
      <c r="G537" t="s">
        <v>199</v>
      </c>
      <c r="H537" t="s">
        <v>198</v>
      </c>
      <c r="I537" t="s">
        <v>281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95</v>
      </c>
      <c r="D538" t="s">
        <v>88</v>
      </c>
      <c r="E538" t="s">
        <v>89</v>
      </c>
      <c r="F538">
        <v>10</v>
      </c>
      <c r="G538" t="s">
        <v>199</v>
      </c>
      <c r="H538" t="s">
        <v>198</v>
      </c>
      <c r="I538" t="s">
        <v>286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95</v>
      </c>
      <c r="D539" t="s">
        <v>88</v>
      </c>
      <c r="E539" t="s">
        <v>89</v>
      </c>
      <c r="F539">
        <v>10</v>
      </c>
      <c r="G539" t="s">
        <v>199</v>
      </c>
      <c r="H539" t="s">
        <v>198</v>
      </c>
      <c r="I539" t="s">
        <v>278</v>
      </c>
      <c r="J539">
        <v>7</v>
      </c>
    </row>
    <row r="540" spans="1:10" x14ac:dyDescent="0.25">
      <c r="A540" s="1" t="s">
        <v>27</v>
      </c>
      <c r="B540">
        <v>401754374</v>
      </c>
      <c r="C540" t="s">
        <v>95</v>
      </c>
      <c r="D540" t="s">
        <v>88</v>
      </c>
      <c r="E540" t="s">
        <v>89</v>
      </c>
      <c r="F540">
        <v>10</v>
      </c>
      <c r="G540" t="s">
        <v>199</v>
      </c>
      <c r="H540" t="s">
        <v>198</v>
      </c>
      <c r="I540" t="s">
        <v>279</v>
      </c>
      <c r="J540">
        <v>7</v>
      </c>
    </row>
    <row r="541" spans="1:10" x14ac:dyDescent="0.25">
      <c r="A541" s="1" t="s">
        <v>27</v>
      </c>
      <c r="B541">
        <v>401754374</v>
      </c>
      <c r="C541" t="s">
        <v>95</v>
      </c>
      <c r="D541" t="s">
        <v>88</v>
      </c>
      <c r="E541" t="s">
        <v>89</v>
      </c>
      <c r="F541">
        <v>10</v>
      </c>
      <c r="G541" t="s">
        <v>90</v>
      </c>
      <c r="H541" t="s">
        <v>206</v>
      </c>
      <c r="I541" t="s">
        <v>94</v>
      </c>
      <c r="J541">
        <v>9</v>
      </c>
    </row>
    <row r="542" spans="1:10" x14ac:dyDescent="0.25">
      <c r="A542" s="1" t="s">
        <v>27</v>
      </c>
      <c r="B542">
        <v>401754374</v>
      </c>
      <c r="C542" t="s">
        <v>95</v>
      </c>
      <c r="D542" t="s">
        <v>88</v>
      </c>
      <c r="E542" t="s">
        <v>89</v>
      </c>
      <c r="F542">
        <v>10</v>
      </c>
      <c r="G542" t="s">
        <v>90</v>
      </c>
      <c r="H542" t="s">
        <v>206</v>
      </c>
      <c r="I542" t="s">
        <v>287</v>
      </c>
      <c r="J542">
        <v>5</v>
      </c>
    </row>
    <row r="543" spans="1:10" x14ac:dyDescent="0.25">
      <c r="A543" s="1" t="s">
        <v>27</v>
      </c>
      <c r="B543">
        <v>401754374</v>
      </c>
      <c r="C543" t="s">
        <v>95</v>
      </c>
      <c r="D543" t="s">
        <v>88</v>
      </c>
      <c r="E543" t="s">
        <v>89</v>
      </c>
      <c r="F543">
        <v>10</v>
      </c>
      <c r="G543" t="s">
        <v>90</v>
      </c>
      <c r="H543" t="s">
        <v>206</v>
      </c>
      <c r="I543" t="s">
        <v>288</v>
      </c>
      <c r="J543">
        <v>5</v>
      </c>
    </row>
    <row r="544" spans="1:10" x14ac:dyDescent="0.25">
      <c r="A544" s="1" t="s">
        <v>27</v>
      </c>
      <c r="B544">
        <v>401754374</v>
      </c>
      <c r="C544" t="s">
        <v>95</v>
      </c>
      <c r="D544" t="s">
        <v>88</v>
      </c>
      <c r="E544" t="s">
        <v>89</v>
      </c>
      <c r="F544">
        <v>10</v>
      </c>
      <c r="G544" t="s">
        <v>90</v>
      </c>
      <c r="H544" t="s">
        <v>206</v>
      </c>
      <c r="I544" t="s">
        <v>289</v>
      </c>
      <c r="J544">
        <v>5</v>
      </c>
    </row>
    <row r="545" spans="1:10" x14ac:dyDescent="0.25">
      <c r="A545" s="1" t="s">
        <v>27</v>
      </c>
      <c r="B545">
        <v>401754374</v>
      </c>
      <c r="C545" t="s">
        <v>95</v>
      </c>
      <c r="D545" t="s">
        <v>88</v>
      </c>
      <c r="E545" t="s">
        <v>89</v>
      </c>
      <c r="F545">
        <v>10</v>
      </c>
      <c r="G545" t="s">
        <v>90</v>
      </c>
      <c r="H545" t="s">
        <v>206</v>
      </c>
      <c r="I545" t="s">
        <v>290</v>
      </c>
      <c r="J545">
        <v>4</v>
      </c>
    </row>
    <row r="546" spans="1:10" x14ac:dyDescent="0.25">
      <c r="A546" s="1" t="s">
        <v>27</v>
      </c>
      <c r="B546">
        <v>401754374</v>
      </c>
      <c r="C546" t="s">
        <v>95</v>
      </c>
      <c r="D546" t="s">
        <v>88</v>
      </c>
      <c r="E546" t="s">
        <v>89</v>
      </c>
      <c r="F546">
        <v>10</v>
      </c>
      <c r="G546" t="s">
        <v>90</v>
      </c>
      <c r="H546" t="s">
        <v>206</v>
      </c>
      <c r="I546" t="s">
        <v>291</v>
      </c>
      <c r="J546">
        <v>4</v>
      </c>
    </row>
    <row r="547" spans="1:10" x14ac:dyDescent="0.25">
      <c r="A547" s="1" t="s">
        <v>27</v>
      </c>
      <c r="B547">
        <v>401754374</v>
      </c>
      <c r="C547" t="s">
        <v>95</v>
      </c>
      <c r="D547" t="s">
        <v>88</v>
      </c>
      <c r="E547" t="s">
        <v>89</v>
      </c>
      <c r="F547">
        <v>10</v>
      </c>
      <c r="G547" t="s">
        <v>90</v>
      </c>
      <c r="H547" t="s">
        <v>206</v>
      </c>
      <c r="I547" t="s">
        <v>292</v>
      </c>
      <c r="J547">
        <v>4</v>
      </c>
    </row>
    <row r="548" spans="1:10" x14ac:dyDescent="0.25">
      <c r="A548" s="1" t="s">
        <v>27</v>
      </c>
      <c r="B548">
        <v>401754374</v>
      </c>
      <c r="C548" t="s">
        <v>95</v>
      </c>
      <c r="D548" t="s">
        <v>88</v>
      </c>
      <c r="E548" t="s">
        <v>89</v>
      </c>
      <c r="F548">
        <v>10</v>
      </c>
      <c r="G548" t="s">
        <v>90</v>
      </c>
      <c r="H548" t="s">
        <v>206</v>
      </c>
      <c r="I548" t="s">
        <v>293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95</v>
      </c>
      <c r="D549" t="s">
        <v>88</v>
      </c>
      <c r="E549" t="s">
        <v>89</v>
      </c>
      <c r="F549">
        <v>10</v>
      </c>
      <c r="G549" t="s">
        <v>90</v>
      </c>
      <c r="H549" t="s">
        <v>206</v>
      </c>
      <c r="I549" t="s">
        <v>294</v>
      </c>
      <c r="J549">
        <v>3</v>
      </c>
    </row>
    <row r="550" spans="1:10" x14ac:dyDescent="0.25">
      <c r="A550" s="1" t="s">
        <v>27</v>
      </c>
      <c r="B550">
        <v>401754374</v>
      </c>
      <c r="C550" t="s">
        <v>95</v>
      </c>
      <c r="D550" t="s">
        <v>88</v>
      </c>
      <c r="E550" t="s">
        <v>89</v>
      </c>
      <c r="F550">
        <v>10</v>
      </c>
      <c r="G550" t="s">
        <v>90</v>
      </c>
      <c r="H550" t="s">
        <v>206</v>
      </c>
      <c r="I550" t="s">
        <v>295</v>
      </c>
      <c r="J550">
        <v>3</v>
      </c>
    </row>
    <row r="551" spans="1:10" x14ac:dyDescent="0.25">
      <c r="A551" s="1" t="s">
        <v>27</v>
      </c>
      <c r="B551">
        <v>401754374</v>
      </c>
      <c r="C551" t="s">
        <v>95</v>
      </c>
      <c r="D551" t="s">
        <v>88</v>
      </c>
      <c r="E551" t="s">
        <v>89</v>
      </c>
      <c r="F551">
        <v>10</v>
      </c>
      <c r="G551" t="s">
        <v>90</v>
      </c>
      <c r="H551" t="s">
        <v>206</v>
      </c>
      <c r="I551" t="s">
        <v>296</v>
      </c>
      <c r="J551">
        <v>3</v>
      </c>
    </row>
    <row r="552" spans="1:10" x14ac:dyDescent="0.25">
      <c r="A552" s="1" t="s">
        <v>27</v>
      </c>
      <c r="B552">
        <v>401754374</v>
      </c>
      <c r="C552" t="s">
        <v>95</v>
      </c>
      <c r="D552" t="s">
        <v>88</v>
      </c>
      <c r="E552" t="s">
        <v>89</v>
      </c>
      <c r="F552">
        <v>10</v>
      </c>
      <c r="G552" t="s">
        <v>90</v>
      </c>
      <c r="H552" t="s">
        <v>206</v>
      </c>
      <c r="I552" t="s">
        <v>297</v>
      </c>
      <c r="J552">
        <v>2</v>
      </c>
    </row>
    <row r="553" spans="1:10" x14ac:dyDescent="0.25">
      <c r="A553" s="1" t="s">
        <v>27</v>
      </c>
      <c r="B553">
        <v>401754374</v>
      </c>
      <c r="C553" t="s">
        <v>95</v>
      </c>
      <c r="D553" t="s">
        <v>88</v>
      </c>
      <c r="E553" t="s">
        <v>89</v>
      </c>
      <c r="F553">
        <v>10</v>
      </c>
      <c r="G553" t="s">
        <v>90</v>
      </c>
      <c r="H553" t="s">
        <v>206</v>
      </c>
      <c r="I553" t="s">
        <v>298</v>
      </c>
      <c r="J553">
        <v>2</v>
      </c>
    </row>
    <row r="554" spans="1:10" x14ac:dyDescent="0.25">
      <c r="A554" s="1" t="s">
        <v>27</v>
      </c>
      <c r="B554">
        <v>401754374</v>
      </c>
      <c r="C554" t="s">
        <v>95</v>
      </c>
      <c r="D554" t="s">
        <v>88</v>
      </c>
      <c r="E554" t="s">
        <v>89</v>
      </c>
      <c r="F554">
        <v>10</v>
      </c>
      <c r="G554" t="s">
        <v>90</v>
      </c>
      <c r="H554" t="s">
        <v>206</v>
      </c>
      <c r="I554" t="s">
        <v>299</v>
      </c>
      <c r="J554">
        <v>2</v>
      </c>
    </row>
    <row r="555" spans="1:10" x14ac:dyDescent="0.25">
      <c r="A555" s="1" t="s">
        <v>27</v>
      </c>
      <c r="B555">
        <v>401754374</v>
      </c>
      <c r="C555" t="s">
        <v>95</v>
      </c>
      <c r="D555" t="s">
        <v>88</v>
      </c>
      <c r="E555" t="s">
        <v>89</v>
      </c>
      <c r="F555">
        <v>10</v>
      </c>
      <c r="G555" t="s">
        <v>90</v>
      </c>
      <c r="H555" t="s">
        <v>206</v>
      </c>
      <c r="I555" t="s">
        <v>300</v>
      </c>
      <c r="J555">
        <v>2</v>
      </c>
    </row>
    <row r="556" spans="1:10" x14ac:dyDescent="0.25">
      <c r="A556" s="1" t="s">
        <v>27</v>
      </c>
      <c r="B556">
        <v>401754374</v>
      </c>
      <c r="C556" t="s">
        <v>95</v>
      </c>
      <c r="D556" t="s">
        <v>88</v>
      </c>
      <c r="E556" t="s">
        <v>89</v>
      </c>
      <c r="F556">
        <v>10</v>
      </c>
      <c r="G556" t="s">
        <v>90</v>
      </c>
      <c r="H556" t="s">
        <v>206</v>
      </c>
      <c r="I556" t="s">
        <v>301</v>
      </c>
      <c r="J556">
        <v>1</v>
      </c>
    </row>
    <row r="557" spans="1:10" x14ac:dyDescent="0.25">
      <c r="A557" s="1" t="s">
        <v>27</v>
      </c>
      <c r="B557">
        <v>401754374</v>
      </c>
      <c r="C557" t="s">
        <v>95</v>
      </c>
      <c r="D557" t="s">
        <v>88</v>
      </c>
      <c r="E557" t="s">
        <v>89</v>
      </c>
      <c r="F557">
        <v>10</v>
      </c>
      <c r="G557" t="s">
        <v>90</v>
      </c>
      <c r="H557" t="s">
        <v>206</v>
      </c>
      <c r="I557" t="s">
        <v>302</v>
      </c>
      <c r="J557">
        <v>1</v>
      </c>
    </row>
    <row r="558" spans="1:10" x14ac:dyDescent="0.25">
      <c r="A558" s="1" t="s">
        <v>27</v>
      </c>
      <c r="B558">
        <v>401754374</v>
      </c>
      <c r="C558" t="s">
        <v>95</v>
      </c>
      <c r="D558" t="s">
        <v>88</v>
      </c>
      <c r="E558" t="s">
        <v>89</v>
      </c>
      <c r="F558">
        <v>10</v>
      </c>
      <c r="G558" t="s">
        <v>90</v>
      </c>
      <c r="H558" t="s">
        <v>206</v>
      </c>
      <c r="I558" t="s">
        <v>303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95</v>
      </c>
      <c r="D559" t="s">
        <v>88</v>
      </c>
      <c r="E559" t="s">
        <v>89</v>
      </c>
      <c r="F559">
        <v>10</v>
      </c>
      <c r="G559" t="s">
        <v>90</v>
      </c>
      <c r="H559" t="s">
        <v>206</v>
      </c>
      <c r="I559" t="s">
        <v>304</v>
      </c>
      <c r="J559">
        <v>1</v>
      </c>
    </row>
    <row r="560" spans="1:10" x14ac:dyDescent="0.25">
      <c r="A560" s="1" t="s">
        <v>27</v>
      </c>
      <c r="B560">
        <v>401754374</v>
      </c>
      <c r="C560" t="s">
        <v>95</v>
      </c>
      <c r="D560" t="s">
        <v>88</v>
      </c>
      <c r="E560" t="s">
        <v>89</v>
      </c>
      <c r="F560">
        <v>10</v>
      </c>
      <c r="G560" t="s">
        <v>90</v>
      </c>
      <c r="H560" t="s">
        <v>206</v>
      </c>
      <c r="I560" t="s">
        <v>305</v>
      </c>
      <c r="J560">
        <v>1</v>
      </c>
    </row>
    <row r="561" spans="1:10" x14ac:dyDescent="0.25">
      <c r="A561" s="1" t="s">
        <v>27</v>
      </c>
      <c r="B561">
        <v>401754374</v>
      </c>
      <c r="C561" t="s">
        <v>95</v>
      </c>
      <c r="D561" t="s">
        <v>88</v>
      </c>
      <c r="E561" t="s">
        <v>89</v>
      </c>
      <c r="F561">
        <v>10</v>
      </c>
      <c r="G561" t="s">
        <v>90</v>
      </c>
      <c r="H561" t="s">
        <v>206</v>
      </c>
      <c r="I561" t="s">
        <v>306</v>
      </c>
      <c r="J561">
        <v>1</v>
      </c>
    </row>
    <row r="562" spans="1:10" x14ac:dyDescent="0.25">
      <c r="A562" s="1" t="s">
        <v>27</v>
      </c>
      <c r="B562">
        <v>401754374</v>
      </c>
      <c r="C562" t="s">
        <v>95</v>
      </c>
      <c r="D562" t="s">
        <v>88</v>
      </c>
      <c r="E562" t="s">
        <v>89</v>
      </c>
      <c r="F562">
        <v>10</v>
      </c>
      <c r="G562" t="s">
        <v>90</v>
      </c>
      <c r="H562" t="s">
        <v>206</v>
      </c>
      <c r="I562" t="s">
        <v>307</v>
      </c>
      <c r="J562">
        <v>1</v>
      </c>
    </row>
    <row r="563" spans="1:10" x14ac:dyDescent="0.25">
      <c r="A563" s="1" t="s">
        <v>27</v>
      </c>
      <c r="B563">
        <v>401754374</v>
      </c>
      <c r="C563" t="s">
        <v>95</v>
      </c>
      <c r="D563" t="s">
        <v>88</v>
      </c>
      <c r="E563" t="s">
        <v>89</v>
      </c>
      <c r="F563">
        <v>10</v>
      </c>
      <c r="G563" t="s">
        <v>90</v>
      </c>
      <c r="H563" t="s">
        <v>227</v>
      </c>
      <c r="I563" t="s">
        <v>94</v>
      </c>
      <c r="J563">
        <v>3</v>
      </c>
    </row>
    <row r="564" spans="1:10" x14ac:dyDescent="0.25">
      <c r="A564" s="1" t="s">
        <v>27</v>
      </c>
      <c r="B564">
        <v>401754374</v>
      </c>
      <c r="C564" t="s">
        <v>95</v>
      </c>
      <c r="D564" t="s">
        <v>88</v>
      </c>
      <c r="E564" t="s">
        <v>89</v>
      </c>
      <c r="F564">
        <v>10</v>
      </c>
      <c r="G564" t="s">
        <v>90</v>
      </c>
      <c r="H564" t="s">
        <v>227</v>
      </c>
      <c r="I564" t="s">
        <v>287</v>
      </c>
      <c r="J564">
        <v>4</v>
      </c>
    </row>
    <row r="565" spans="1:10" x14ac:dyDescent="0.25">
      <c r="A565" s="1" t="s">
        <v>27</v>
      </c>
      <c r="B565">
        <v>401754374</v>
      </c>
      <c r="C565" t="s">
        <v>95</v>
      </c>
      <c r="D565" t="s">
        <v>88</v>
      </c>
      <c r="E565" t="s">
        <v>89</v>
      </c>
      <c r="F565">
        <v>10</v>
      </c>
      <c r="G565" t="s">
        <v>90</v>
      </c>
      <c r="H565" t="s">
        <v>227</v>
      </c>
      <c r="I565" t="s">
        <v>288</v>
      </c>
      <c r="J565">
        <v>3</v>
      </c>
    </row>
    <row r="566" spans="1:10" x14ac:dyDescent="0.25">
      <c r="A566" s="1" t="s">
        <v>27</v>
      </c>
      <c r="B566">
        <v>401754374</v>
      </c>
      <c r="C566" t="s">
        <v>95</v>
      </c>
      <c r="D566" t="s">
        <v>88</v>
      </c>
      <c r="E566" t="s">
        <v>89</v>
      </c>
      <c r="F566">
        <v>10</v>
      </c>
      <c r="G566" t="s">
        <v>90</v>
      </c>
      <c r="H566" t="s">
        <v>227</v>
      </c>
      <c r="I566" t="s">
        <v>289</v>
      </c>
      <c r="J566">
        <v>3</v>
      </c>
    </row>
    <row r="567" spans="1:10" x14ac:dyDescent="0.25">
      <c r="A567" s="1" t="s">
        <v>27</v>
      </c>
      <c r="B567">
        <v>401754374</v>
      </c>
      <c r="C567" t="s">
        <v>95</v>
      </c>
      <c r="D567" t="s">
        <v>88</v>
      </c>
      <c r="E567" t="s">
        <v>89</v>
      </c>
      <c r="F567">
        <v>10</v>
      </c>
      <c r="G567" t="s">
        <v>90</v>
      </c>
      <c r="H567" t="s">
        <v>227</v>
      </c>
      <c r="I567" t="s">
        <v>290</v>
      </c>
      <c r="J567">
        <v>3</v>
      </c>
    </row>
    <row r="568" spans="1:10" x14ac:dyDescent="0.25">
      <c r="A568" s="1" t="s">
        <v>27</v>
      </c>
      <c r="B568">
        <v>401754374</v>
      </c>
      <c r="C568" t="s">
        <v>95</v>
      </c>
      <c r="D568" t="s">
        <v>88</v>
      </c>
      <c r="E568" t="s">
        <v>89</v>
      </c>
      <c r="F568">
        <v>10</v>
      </c>
      <c r="G568" t="s">
        <v>90</v>
      </c>
      <c r="H568" t="s">
        <v>227</v>
      </c>
      <c r="I568" t="s">
        <v>291</v>
      </c>
      <c r="J568">
        <v>2</v>
      </c>
    </row>
    <row r="569" spans="1:10" x14ac:dyDescent="0.25">
      <c r="A569" s="1" t="s">
        <v>27</v>
      </c>
      <c r="B569">
        <v>401754374</v>
      </c>
      <c r="C569" t="s">
        <v>95</v>
      </c>
      <c r="D569" t="s">
        <v>88</v>
      </c>
      <c r="E569" t="s">
        <v>89</v>
      </c>
      <c r="F569">
        <v>10</v>
      </c>
      <c r="G569" t="s">
        <v>90</v>
      </c>
      <c r="H569" t="s">
        <v>227</v>
      </c>
      <c r="I569" t="s">
        <v>292</v>
      </c>
      <c r="J569">
        <v>1</v>
      </c>
    </row>
    <row r="570" spans="1:10" x14ac:dyDescent="0.25">
      <c r="A570" s="1" t="s">
        <v>27</v>
      </c>
      <c r="B570">
        <v>401754374</v>
      </c>
      <c r="C570" t="s">
        <v>95</v>
      </c>
      <c r="D570" t="s">
        <v>88</v>
      </c>
      <c r="E570" t="s">
        <v>89</v>
      </c>
      <c r="F570">
        <v>10</v>
      </c>
      <c r="G570" t="s">
        <v>90</v>
      </c>
      <c r="H570" t="s">
        <v>227</v>
      </c>
      <c r="I570" t="s">
        <v>293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95</v>
      </c>
      <c r="D571" t="s">
        <v>88</v>
      </c>
      <c r="E571" t="s">
        <v>89</v>
      </c>
      <c r="F571">
        <v>10</v>
      </c>
      <c r="G571" t="s">
        <v>90</v>
      </c>
      <c r="H571" t="s">
        <v>227</v>
      </c>
      <c r="I571" t="s">
        <v>294</v>
      </c>
      <c r="J571">
        <v>2</v>
      </c>
    </row>
    <row r="572" spans="1:10" x14ac:dyDescent="0.25">
      <c r="A572" s="1" t="s">
        <v>27</v>
      </c>
      <c r="B572">
        <v>401754374</v>
      </c>
      <c r="C572" t="s">
        <v>95</v>
      </c>
      <c r="D572" t="s">
        <v>88</v>
      </c>
      <c r="E572" t="s">
        <v>89</v>
      </c>
      <c r="F572">
        <v>10</v>
      </c>
      <c r="G572" t="s">
        <v>90</v>
      </c>
      <c r="H572" t="s">
        <v>227</v>
      </c>
      <c r="I572" t="s">
        <v>295</v>
      </c>
      <c r="J572">
        <v>1</v>
      </c>
    </row>
    <row r="573" spans="1:10" x14ac:dyDescent="0.25">
      <c r="A573" s="1" t="s">
        <v>27</v>
      </c>
      <c r="B573">
        <v>401754374</v>
      </c>
      <c r="C573" t="s">
        <v>95</v>
      </c>
      <c r="D573" t="s">
        <v>88</v>
      </c>
      <c r="E573" t="s">
        <v>89</v>
      </c>
      <c r="F573">
        <v>10</v>
      </c>
      <c r="G573" t="s">
        <v>90</v>
      </c>
      <c r="H573" t="s">
        <v>227</v>
      </c>
      <c r="I573" t="s">
        <v>296</v>
      </c>
      <c r="J573">
        <v>0</v>
      </c>
    </row>
    <row r="574" spans="1:10" x14ac:dyDescent="0.25">
      <c r="A574" s="1" t="s">
        <v>27</v>
      </c>
      <c r="B574">
        <v>401754374</v>
      </c>
      <c r="C574" t="s">
        <v>95</v>
      </c>
      <c r="D574" t="s">
        <v>88</v>
      </c>
      <c r="E574" t="s">
        <v>89</v>
      </c>
      <c r="F574">
        <v>10</v>
      </c>
      <c r="G574" t="s">
        <v>90</v>
      </c>
      <c r="H574" t="s">
        <v>227</v>
      </c>
      <c r="I574" t="s">
        <v>297</v>
      </c>
      <c r="J574">
        <v>2</v>
      </c>
    </row>
    <row r="575" spans="1:10" x14ac:dyDescent="0.25">
      <c r="A575" s="1" t="s">
        <v>27</v>
      </c>
      <c r="B575">
        <v>401754374</v>
      </c>
      <c r="C575" t="s">
        <v>95</v>
      </c>
      <c r="D575" t="s">
        <v>88</v>
      </c>
      <c r="E575" t="s">
        <v>89</v>
      </c>
      <c r="F575">
        <v>10</v>
      </c>
      <c r="G575" t="s">
        <v>90</v>
      </c>
      <c r="H575" t="s">
        <v>227</v>
      </c>
      <c r="I575" t="s">
        <v>298</v>
      </c>
      <c r="J575">
        <v>2</v>
      </c>
    </row>
    <row r="576" spans="1:10" x14ac:dyDescent="0.25">
      <c r="A576" s="1" t="s">
        <v>27</v>
      </c>
      <c r="B576">
        <v>401754374</v>
      </c>
      <c r="C576" t="s">
        <v>95</v>
      </c>
      <c r="D576" t="s">
        <v>88</v>
      </c>
      <c r="E576" t="s">
        <v>89</v>
      </c>
      <c r="F576">
        <v>10</v>
      </c>
      <c r="G576" t="s">
        <v>90</v>
      </c>
      <c r="H576" t="s">
        <v>227</v>
      </c>
      <c r="I576" t="s">
        <v>299</v>
      </c>
      <c r="J576">
        <v>2</v>
      </c>
    </row>
    <row r="577" spans="1:10" x14ac:dyDescent="0.25">
      <c r="A577" s="1" t="s">
        <v>27</v>
      </c>
      <c r="B577">
        <v>401754374</v>
      </c>
      <c r="C577" t="s">
        <v>95</v>
      </c>
      <c r="D577" t="s">
        <v>88</v>
      </c>
      <c r="E577" t="s">
        <v>89</v>
      </c>
      <c r="F577">
        <v>10</v>
      </c>
      <c r="G577" t="s">
        <v>90</v>
      </c>
      <c r="H577" t="s">
        <v>227</v>
      </c>
      <c r="I577" t="s">
        <v>300</v>
      </c>
      <c r="J577">
        <v>1</v>
      </c>
    </row>
    <row r="578" spans="1:10" x14ac:dyDescent="0.25">
      <c r="A578" s="1" t="s">
        <v>27</v>
      </c>
      <c r="B578">
        <v>401754374</v>
      </c>
      <c r="C578" t="s">
        <v>95</v>
      </c>
      <c r="D578" t="s">
        <v>88</v>
      </c>
      <c r="E578" t="s">
        <v>89</v>
      </c>
      <c r="F578">
        <v>10</v>
      </c>
      <c r="G578" t="s">
        <v>90</v>
      </c>
      <c r="H578" t="s">
        <v>227</v>
      </c>
      <c r="I578" t="s">
        <v>301</v>
      </c>
      <c r="J578">
        <v>1</v>
      </c>
    </row>
    <row r="579" spans="1:10" x14ac:dyDescent="0.25">
      <c r="A579" s="1" t="s">
        <v>27</v>
      </c>
      <c r="B579">
        <v>401754374</v>
      </c>
      <c r="C579" t="s">
        <v>95</v>
      </c>
      <c r="D579" t="s">
        <v>88</v>
      </c>
      <c r="E579" t="s">
        <v>89</v>
      </c>
      <c r="F579">
        <v>10</v>
      </c>
      <c r="G579" t="s">
        <v>90</v>
      </c>
      <c r="H579" t="s">
        <v>227</v>
      </c>
      <c r="I579" t="s">
        <v>302</v>
      </c>
      <c r="J579">
        <v>1</v>
      </c>
    </row>
    <row r="580" spans="1:10" x14ac:dyDescent="0.25">
      <c r="A580" s="1" t="s">
        <v>27</v>
      </c>
      <c r="B580">
        <v>401754374</v>
      </c>
      <c r="C580" t="s">
        <v>95</v>
      </c>
      <c r="D580" t="s">
        <v>88</v>
      </c>
      <c r="E580" t="s">
        <v>89</v>
      </c>
      <c r="F580">
        <v>10</v>
      </c>
      <c r="G580" t="s">
        <v>90</v>
      </c>
      <c r="H580" t="s">
        <v>227</v>
      </c>
      <c r="I580" t="s">
        <v>303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95</v>
      </c>
      <c r="D581" t="s">
        <v>88</v>
      </c>
      <c r="E581" t="s">
        <v>89</v>
      </c>
      <c r="F581">
        <v>10</v>
      </c>
      <c r="G581" t="s">
        <v>90</v>
      </c>
      <c r="H581" t="s">
        <v>227</v>
      </c>
      <c r="I581" t="s">
        <v>304</v>
      </c>
      <c r="J581">
        <v>1</v>
      </c>
    </row>
    <row r="582" spans="1:10" x14ac:dyDescent="0.25">
      <c r="A582" s="1" t="s">
        <v>27</v>
      </c>
      <c r="B582">
        <v>401754374</v>
      </c>
      <c r="C582" t="s">
        <v>95</v>
      </c>
      <c r="D582" t="s">
        <v>88</v>
      </c>
      <c r="E582" t="s">
        <v>89</v>
      </c>
      <c r="F582">
        <v>10</v>
      </c>
      <c r="G582" t="s">
        <v>90</v>
      </c>
      <c r="H582" t="s">
        <v>227</v>
      </c>
      <c r="I582" t="s">
        <v>305</v>
      </c>
      <c r="J582">
        <v>0</v>
      </c>
    </row>
    <row r="583" spans="1:10" x14ac:dyDescent="0.25">
      <c r="A583" s="1" t="s">
        <v>27</v>
      </c>
      <c r="B583">
        <v>401754374</v>
      </c>
      <c r="C583" t="s">
        <v>95</v>
      </c>
      <c r="D583" t="s">
        <v>88</v>
      </c>
      <c r="E583" t="s">
        <v>89</v>
      </c>
      <c r="F583">
        <v>10</v>
      </c>
      <c r="G583" t="s">
        <v>90</v>
      </c>
      <c r="H583" t="s">
        <v>227</v>
      </c>
      <c r="I583" t="s">
        <v>306</v>
      </c>
      <c r="J583">
        <v>0</v>
      </c>
    </row>
    <row r="584" spans="1:10" x14ac:dyDescent="0.25">
      <c r="A584" s="1" t="s">
        <v>27</v>
      </c>
      <c r="B584">
        <v>401754374</v>
      </c>
      <c r="C584" t="s">
        <v>95</v>
      </c>
      <c r="D584" t="s">
        <v>88</v>
      </c>
      <c r="E584" t="s">
        <v>89</v>
      </c>
      <c r="F584">
        <v>10</v>
      </c>
      <c r="G584" t="s">
        <v>90</v>
      </c>
      <c r="H584" t="s">
        <v>227</v>
      </c>
      <c r="I584" t="s">
        <v>307</v>
      </c>
      <c r="J584">
        <v>0</v>
      </c>
    </row>
    <row r="585" spans="1:10" x14ac:dyDescent="0.25">
      <c r="A585" s="1" t="s">
        <v>27</v>
      </c>
      <c r="B585">
        <v>401754374</v>
      </c>
      <c r="C585" t="s">
        <v>95</v>
      </c>
      <c r="D585" t="s">
        <v>88</v>
      </c>
      <c r="E585" t="s">
        <v>89</v>
      </c>
      <c r="F585">
        <v>10</v>
      </c>
      <c r="G585" t="s">
        <v>90</v>
      </c>
      <c r="H585" t="s">
        <v>228</v>
      </c>
      <c r="I585" t="s">
        <v>94</v>
      </c>
      <c r="J585">
        <v>0</v>
      </c>
    </row>
    <row r="586" spans="1:10" x14ac:dyDescent="0.25">
      <c r="A586" s="1" t="s">
        <v>27</v>
      </c>
      <c r="B586">
        <v>401754374</v>
      </c>
      <c r="C586" t="s">
        <v>95</v>
      </c>
      <c r="D586" t="s">
        <v>88</v>
      </c>
      <c r="E586" t="s">
        <v>89</v>
      </c>
      <c r="F586">
        <v>10</v>
      </c>
      <c r="G586" t="s">
        <v>90</v>
      </c>
      <c r="H586" t="s">
        <v>228</v>
      </c>
      <c r="I586" t="s">
        <v>287</v>
      </c>
      <c r="J586">
        <v>0</v>
      </c>
    </row>
    <row r="587" spans="1:10" x14ac:dyDescent="0.25">
      <c r="A587" s="1" t="s">
        <v>27</v>
      </c>
      <c r="B587">
        <v>401754374</v>
      </c>
      <c r="C587" t="s">
        <v>95</v>
      </c>
      <c r="D587" t="s">
        <v>88</v>
      </c>
      <c r="E587" t="s">
        <v>89</v>
      </c>
      <c r="F587">
        <v>10</v>
      </c>
      <c r="G587" t="s">
        <v>90</v>
      </c>
      <c r="H587" t="s">
        <v>228</v>
      </c>
      <c r="I587" t="s">
        <v>288</v>
      </c>
      <c r="J587">
        <v>0</v>
      </c>
    </row>
    <row r="588" spans="1:10" x14ac:dyDescent="0.25">
      <c r="A588" s="1" t="s">
        <v>27</v>
      </c>
      <c r="B588">
        <v>401754374</v>
      </c>
      <c r="C588" t="s">
        <v>95</v>
      </c>
      <c r="D588" t="s">
        <v>88</v>
      </c>
      <c r="E588" t="s">
        <v>89</v>
      </c>
      <c r="F588">
        <v>10</v>
      </c>
      <c r="G588" t="s">
        <v>90</v>
      </c>
      <c r="H588" t="s">
        <v>228</v>
      </c>
      <c r="I588" t="s">
        <v>289</v>
      </c>
      <c r="J588">
        <v>0</v>
      </c>
    </row>
    <row r="589" spans="1:10" x14ac:dyDescent="0.25">
      <c r="A589" s="1" t="s">
        <v>27</v>
      </c>
      <c r="B589">
        <v>401754374</v>
      </c>
      <c r="C589" t="s">
        <v>95</v>
      </c>
      <c r="D589" t="s">
        <v>88</v>
      </c>
      <c r="E589" t="s">
        <v>89</v>
      </c>
      <c r="F589">
        <v>10</v>
      </c>
      <c r="G589" t="s">
        <v>90</v>
      </c>
      <c r="H589" t="s">
        <v>228</v>
      </c>
      <c r="I589" t="s">
        <v>290</v>
      </c>
      <c r="J589">
        <v>0</v>
      </c>
    </row>
    <row r="590" spans="1:10" x14ac:dyDescent="0.25">
      <c r="A590" s="1" t="s">
        <v>27</v>
      </c>
      <c r="B590">
        <v>401754374</v>
      </c>
      <c r="C590" t="s">
        <v>95</v>
      </c>
      <c r="D590" t="s">
        <v>88</v>
      </c>
      <c r="E590" t="s">
        <v>89</v>
      </c>
      <c r="F590">
        <v>10</v>
      </c>
      <c r="G590" t="s">
        <v>90</v>
      </c>
      <c r="H590" t="s">
        <v>228</v>
      </c>
      <c r="I590" t="s">
        <v>291</v>
      </c>
      <c r="J590">
        <v>0</v>
      </c>
    </row>
    <row r="591" spans="1:10" x14ac:dyDescent="0.25">
      <c r="A591" s="1" t="s">
        <v>27</v>
      </c>
      <c r="B591">
        <v>401754374</v>
      </c>
      <c r="C591" t="s">
        <v>95</v>
      </c>
      <c r="D591" t="s">
        <v>88</v>
      </c>
      <c r="E591" t="s">
        <v>89</v>
      </c>
      <c r="F591">
        <v>10</v>
      </c>
      <c r="G591" t="s">
        <v>90</v>
      </c>
      <c r="H591" t="s">
        <v>228</v>
      </c>
      <c r="I591" t="s">
        <v>292</v>
      </c>
      <c r="J591">
        <v>0</v>
      </c>
    </row>
    <row r="592" spans="1:10" x14ac:dyDescent="0.25">
      <c r="A592" s="1" t="s">
        <v>27</v>
      </c>
      <c r="B592">
        <v>401754374</v>
      </c>
      <c r="C592" t="s">
        <v>95</v>
      </c>
      <c r="D592" t="s">
        <v>88</v>
      </c>
      <c r="E592" t="s">
        <v>89</v>
      </c>
      <c r="F592">
        <v>10</v>
      </c>
      <c r="G592" t="s">
        <v>90</v>
      </c>
      <c r="H592" t="s">
        <v>228</v>
      </c>
      <c r="I592" t="s">
        <v>293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95</v>
      </c>
      <c r="D593" t="s">
        <v>88</v>
      </c>
      <c r="E593" t="s">
        <v>89</v>
      </c>
      <c r="F593">
        <v>10</v>
      </c>
      <c r="G593" t="s">
        <v>90</v>
      </c>
      <c r="H593" t="s">
        <v>228</v>
      </c>
      <c r="I593" t="s">
        <v>294</v>
      </c>
      <c r="J593">
        <v>0</v>
      </c>
    </row>
    <row r="594" spans="1:10" x14ac:dyDescent="0.25">
      <c r="A594" s="1" t="s">
        <v>27</v>
      </c>
      <c r="B594">
        <v>401754374</v>
      </c>
      <c r="C594" t="s">
        <v>95</v>
      </c>
      <c r="D594" t="s">
        <v>88</v>
      </c>
      <c r="E594" t="s">
        <v>89</v>
      </c>
      <c r="F594">
        <v>10</v>
      </c>
      <c r="G594" t="s">
        <v>90</v>
      </c>
      <c r="H594" t="s">
        <v>228</v>
      </c>
      <c r="I594" t="s">
        <v>295</v>
      </c>
      <c r="J594">
        <v>0</v>
      </c>
    </row>
    <row r="595" spans="1:10" x14ac:dyDescent="0.25">
      <c r="A595" s="1" t="s">
        <v>27</v>
      </c>
      <c r="B595">
        <v>401754374</v>
      </c>
      <c r="C595" t="s">
        <v>95</v>
      </c>
      <c r="D595" t="s">
        <v>88</v>
      </c>
      <c r="E595" t="s">
        <v>89</v>
      </c>
      <c r="F595">
        <v>10</v>
      </c>
      <c r="G595" t="s">
        <v>90</v>
      </c>
      <c r="H595" t="s">
        <v>228</v>
      </c>
      <c r="I595" t="s">
        <v>296</v>
      </c>
      <c r="J595">
        <v>0</v>
      </c>
    </row>
    <row r="596" spans="1:10" x14ac:dyDescent="0.25">
      <c r="A596" s="1" t="s">
        <v>27</v>
      </c>
      <c r="B596">
        <v>401754374</v>
      </c>
      <c r="C596" t="s">
        <v>95</v>
      </c>
      <c r="D596" t="s">
        <v>88</v>
      </c>
      <c r="E596" t="s">
        <v>89</v>
      </c>
      <c r="F596">
        <v>10</v>
      </c>
      <c r="G596" t="s">
        <v>90</v>
      </c>
      <c r="H596" t="s">
        <v>228</v>
      </c>
      <c r="I596" t="s">
        <v>297</v>
      </c>
      <c r="J596">
        <v>1</v>
      </c>
    </row>
    <row r="597" spans="1:10" x14ac:dyDescent="0.25">
      <c r="A597" s="1" t="s">
        <v>27</v>
      </c>
      <c r="B597">
        <v>401754374</v>
      </c>
      <c r="C597" t="s">
        <v>95</v>
      </c>
      <c r="D597" t="s">
        <v>88</v>
      </c>
      <c r="E597" t="s">
        <v>89</v>
      </c>
      <c r="F597">
        <v>10</v>
      </c>
      <c r="G597" t="s">
        <v>90</v>
      </c>
      <c r="H597" t="s">
        <v>228</v>
      </c>
      <c r="I597" t="s">
        <v>298</v>
      </c>
      <c r="J597">
        <v>0</v>
      </c>
    </row>
    <row r="598" spans="1:10" x14ac:dyDescent="0.25">
      <c r="A598" s="1" t="s">
        <v>27</v>
      </c>
      <c r="B598">
        <v>401754374</v>
      </c>
      <c r="C598" t="s">
        <v>95</v>
      </c>
      <c r="D598" t="s">
        <v>88</v>
      </c>
      <c r="E598" t="s">
        <v>89</v>
      </c>
      <c r="F598">
        <v>10</v>
      </c>
      <c r="G598" t="s">
        <v>90</v>
      </c>
      <c r="H598" t="s">
        <v>228</v>
      </c>
      <c r="I598" t="s">
        <v>299</v>
      </c>
      <c r="J598">
        <v>0</v>
      </c>
    </row>
    <row r="599" spans="1:10" x14ac:dyDescent="0.25">
      <c r="A599" s="1" t="s">
        <v>27</v>
      </c>
      <c r="B599">
        <v>401754374</v>
      </c>
      <c r="C599" t="s">
        <v>95</v>
      </c>
      <c r="D599" t="s">
        <v>88</v>
      </c>
      <c r="E599" t="s">
        <v>89</v>
      </c>
      <c r="F599">
        <v>10</v>
      </c>
      <c r="G599" t="s">
        <v>90</v>
      </c>
      <c r="H599" t="s">
        <v>228</v>
      </c>
      <c r="I599" t="s">
        <v>300</v>
      </c>
      <c r="J599">
        <v>0</v>
      </c>
    </row>
    <row r="600" spans="1:10" x14ac:dyDescent="0.25">
      <c r="A600" s="1" t="s">
        <v>27</v>
      </c>
      <c r="B600">
        <v>401754374</v>
      </c>
      <c r="C600" t="s">
        <v>95</v>
      </c>
      <c r="D600" t="s">
        <v>88</v>
      </c>
      <c r="E600" t="s">
        <v>89</v>
      </c>
      <c r="F600">
        <v>10</v>
      </c>
      <c r="G600" t="s">
        <v>90</v>
      </c>
      <c r="H600" t="s">
        <v>228</v>
      </c>
      <c r="I600" t="s">
        <v>301</v>
      </c>
      <c r="J600">
        <v>0</v>
      </c>
    </row>
    <row r="601" spans="1:10" x14ac:dyDescent="0.25">
      <c r="A601" s="1" t="s">
        <v>27</v>
      </c>
      <c r="B601">
        <v>401754374</v>
      </c>
      <c r="C601" t="s">
        <v>95</v>
      </c>
      <c r="D601" t="s">
        <v>88</v>
      </c>
      <c r="E601" t="s">
        <v>89</v>
      </c>
      <c r="F601">
        <v>10</v>
      </c>
      <c r="G601" t="s">
        <v>90</v>
      </c>
      <c r="H601" t="s">
        <v>228</v>
      </c>
      <c r="I601" t="s">
        <v>302</v>
      </c>
      <c r="J601">
        <v>0</v>
      </c>
    </row>
    <row r="602" spans="1:10" x14ac:dyDescent="0.25">
      <c r="A602" s="1" t="s">
        <v>27</v>
      </c>
      <c r="B602">
        <v>401754374</v>
      </c>
      <c r="C602" t="s">
        <v>95</v>
      </c>
      <c r="D602" t="s">
        <v>88</v>
      </c>
      <c r="E602" t="s">
        <v>89</v>
      </c>
      <c r="F602">
        <v>10</v>
      </c>
      <c r="G602" t="s">
        <v>90</v>
      </c>
      <c r="H602" t="s">
        <v>228</v>
      </c>
      <c r="I602" t="s">
        <v>303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95</v>
      </c>
      <c r="D603" t="s">
        <v>88</v>
      </c>
      <c r="E603" t="s">
        <v>89</v>
      </c>
      <c r="F603">
        <v>10</v>
      </c>
      <c r="G603" t="s">
        <v>90</v>
      </c>
      <c r="H603" t="s">
        <v>228</v>
      </c>
      <c r="I603" t="s">
        <v>304</v>
      </c>
      <c r="J603">
        <v>0</v>
      </c>
    </row>
    <row r="604" spans="1:10" x14ac:dyDescent="0.25">
      <c r="A604" s="1" t="s">
        <v>27</v>
      </c>
      <c r="B604">
        <v>401754374</v>
      </c>
      <c r="C604" t="s">
        <v>95</v>
      </c>
      <c r="D604" t="s">
        <v>88</v>
      </c>
      <c r="E604" t="s">
        <v>89</v>
      </c>
      <c r="F604">
        <v>10</v>
      </c>
      <c r="G604" t="s">
        <v>90</v>
      </c>
      <c r="H604" t="s">
        <v>228</v>
      </c>
      <c r="I604" t="s">
        <v>305</v>
      </c>
      <c r="J604">
        <v>0</v>
      </c>
    </row>
    <row r="605" spans="1:10" x14ac:dyDescent="0.25">
      <c r="A605" s="1" t="s">
        <v>27</v>
      </c>
      <c r="B605">
        <v>401754374</v>
      </c>
      <c r="C605" t="s">
        <v>95</v>
      </c>
      <c r="D605" t="s">
        <v>88</v>
      </c>
      <c r="E605" t="s">
        <v>89</v>
      </c>
      <c r="F605">
        <v>10</v>
      </c>
      <c r="G605" t="s">
        <v>90</v>
      </c>
      <c r="H605" t="s">
        <v>228</v>
      </c>
      <c r="I605" t="s">
        <v>306</v>
      </c>
      <c r="J605">
        <v>0</v>
      </c>
    </row>
    <row r="606" spans="1:10" x14ac:dyDescent="0.25">
      <c r="A606" s="1" t="s">
        <v>27</v>
      </c>
      <c r="B606">
        <v>401754374</v>
      </c>
      <c r="C606" t="s">
        <v>95</v>
      </c>
      <c r="D606" t="s">
        <v>88</v>
      </c>
      <c r="E606" t="s">
        <v>89</v>
      </c>
      <c r="F606">
        <v>10</v>
      </c>
      <c r="G606" t="s">
        <v>90</v>
      </c>
      <c r="H606" t="s">
        <v>228</v>
      </c>
      <c r="I606" t="s">
        <v>307</v>
      </c>
      <c r="J606">
        <v>0</v>
      </c>
    </row>
    <row r="607" spans="1:10" x14ac:dyDescent="0.25">
      <c r="A607" s="1" t="s">
        <v>27</v>
      </c>
      <c r="B607">
        <v>401754374</v>
      </c>
      <c r="C607" t="s">
        <v>95</v>
      </c>
      <c r="D607" t="s">
        <v>88</v>
      </c>
      <c r="E607" t="s">
        <v>89</v>
      </c>
      <c r="F607">
        <v>10</v>
      </c>
      <c r="G607" t="s">
        <v>90</v>
      </c>
      <c r="H607" t="s">
        <v>229</v>
      </c>
      <c r="I607" t="s">
        <v>94</v>
      </c>
      <c r="J607">
        <v>0</v>
      </c>
    </row>
    <row r="608" spans="1:10" x14ac:dyDescent="0.25">
      <c r="A608" s="1" t="s">
        <v>27</v>
      </c>
      <c r="B608">
        <v>401754374</v>
      </c>
      <c r="C608" t="s">
        <v>95</v>
      </c>
      <c r="D608" t="s">
        <v>88</v>
      </c>
      <c r="E608" t="s">
        <v>89</v>
      </c>
      <c r="F608">
        <v>10</v>
      </c>
      <c r="G608" t="s">
        <v>90</v>
      </c>
      <c r="H608" t="s">
        <v>229</v>
      </c>
      <c r="I608" t="s">
        <v>287</v>
      </c>
      <c r="J608">
        <v>0</v>
      </c>
    </row>
    <row r="609" spans="1:10" x14ac:dyDescent="0.25">
      <c r="A609" s="1" t="s">
        <v>27</v>
      </c>
      <c r="B609">
        <v>401754374</v>
      </c>
      <c r="C609" t="s">
        <v>95</v>
      </c>
      <c r="D609" t="s">
        <v>88</v>
      </c>
      <c r="E609" t="s">
        <v>89</v>
      </c>
      <c r="F609">
        <v>10</v>
      </c>
      <c r="G609" t="s">
        <v>90</v>
      </c>
      <c r="H609" t="s">
        <v>229</v>
      </c>
      <c r="I609" t="s">
        <v>288</v>
      </c>
      <c r="J609">
        <v>0</v>
      </c>
    </row>
    <row r="610" spans="1:10" x14ac:dyDescent="0.25">
      <c r="A610" s="1" t="s">
        <v>27</v>
      </c>
      <c r="B610">
        <v>401754374</v>
      </c>
      <c r="C610" t="s">
        <v>95</v>
      </c>
      <c r="D610" t="s">
        <v>88</v>
      </c>
      <c r="E610" t="s">
        <v>89</v>
      </c>
      <c r="F610">
        <v>10</v>
      </c>
      <c r="G610" t="s">
        <v>90</v>
      </c>
      <c r="H610" t="s">
        <v>229</v>
      </c>
      <c r="I610" t="s">
        <v>289</v>
      </c>
      <c r="J610">
        <v>0</v>
      </c>
    </row>
    <row r="611" spans="1:10" x14ac:dyDescent="0.25">
      <c r="A611" s="1" t="s">
        <v>27</v>
      </c>
      <c r="B611">
        <v>401754374</v>
      </c>
      <c r="C611" t="s">
        <v>95</v>
      </c>
      <c r="D611" t="s">
        <v>88</v>
      </c>
      <c r="E611" t="s">
        <v>89</v>
      </c>
      <c r="F611">
        <v>10</v>
      </c>
      <c r="G611" t="s">
        <v>90</v>
      </c>
      <c r="H611" t="s">
        <v>229</v>
      </c>
      <c r="I611" t="s">
        <v>290</v>
      </c>
      <c r="J611">
        <v>0</v>
      </c>
    </row>
    <row r="612" spans="1:10" x14ac:dyDescent="0.25">
      <c r="A612" s="1" t="s">
        <v>27</v>
      </c>
      <c r="B612">
        <v>401754374</v>
      </c>
      <c r="C612" t="s">
        <v>95</v>
      </c>
      <c r="D612" t="s">
        <v>88</v>
      </c>
      <c r="E612" t="s">
        <v>89</v>
      </c>
      <c r="F612">
        <v>10</v>
      </c>
      <c r="G612" t="s">
        <v>90</v>
      </c>
      <c r="H612" t="s">
        <v>229</v>
      </c>
      <c r="I612" t="s">
        <v>291</v>
      </c>
      <c r="J612">
        <v>0</v>
      </c>
    </row>
    <row r="613" spans="1:10" x14ac:dyDescent="0.25">
      <c r="A613" s="1" t="s">
        <v>27</v>
      </c>
      <c r="B613">
        <v>401754374</v>
      </c>
      <c r="C613" t="s">
        <v>95</v>
      </c>
      <c r="D613" t="s">
        <v>88</v>
      </c>
      <c r="E613" t="s">
        <v>89</v>
      </c>
      <c r="F613">
        <v>10</v>
      </c>
      <c r="G613" t="s">
        <v>90</v>
      </c>
      <c r="H613" t="s">
        <v>229</v>
      </c>
      <c r="I613" t="s">
        <v>292</v>
      </c>
      <c r="J613">
        <v>0</v>
      </c>
    </row>
    <row r="614" spans="1:10" x14ac:dyDescent="0.25">
      <c r="A614" s="1" t="s">
        <v>27</v>
      </c>
      <c r="B614">
        <v>401754374</v>
      </c>
      <c r="C614" t="s">
        <v>95</v>
      </c>
      <c r="D614" t="s">
        <v>88</v>
      </c>
      <c r="E614" t="s">
        <v>89</v>
      </c>
      <c r="F614">
        <v>10</v>
      </c>
      <c r="G614" t="s">
        <v>90</v>
      </c>
      <c r="H614" t="s">
        <v>229</v>
      </c>
      <c r="I614" t="s">
        <v>293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95</v>
      </c>
      <c r="D615" t="s">
        <v>88</v>
      </c>
      <c r="E615" t="s">
        <v>89</v>
      </c>
      <c r="F615">
        <v>10</v>
      </c>
      <c r="G615" t="s">
        <v>90</v>
      </c>
      <c r="H615" t="s">
        <v>229</v>
      </c>
      <c r="I615" t="s">
        <v>294</v>
      </c>
      <c r="J615">
        <v>0</v>
      </c>
    </row>
    <row r="616" spans="1:10" x14ac:dyDescent="0.25">
      <c r="A616" s="1" t="s">
        <v>27</v>
      </c>
      <c r="B616">
        <v>401754374</v>
      </c>
      <c r="C616" t="s">
        <v>95</v>
      </c>
      <c r="D616" t="s">
        <v>88</v>
      </c>
      <c r="E616" t="s">
        <v>89</v>
      </c>
      <c r="F616">
        <v>10</v>
      </c>
      <c r="G616" t="s">
        <v>90</v>
      </c>
      <c r="H616" t="s">
        <v>229</v>
      </c>
      <c r="I616" t="s">
        <v>295</v>
      </c>
      <c r="J616">
        <v>0</v>
      </c>
    </row>
    <row r="617" spans="1:10" x14ac:dyDescent="0.25">
      <c r="A617" s="1" t="s">
        <v>27</v>
      </c>
      <c r="B617">
        <v>401754374</v>
      </c>
      <c r="C617" t="s">
        <v>95</v>
      </c>
      <c r="D617" t="s">
        <v>88</v>
      </c>
      <c r="E617" t="s">
        <v>89</v>
      </c>
      <c r="F617">
        <v>10</v>
      </c>
      <c r="G617" t="s">
        <v>90</v>
      </c>
      <c r="H617" t="s">
        <v>229</v>
      </c>
      <c r="I617" t="s">
        <v>296</v>
      </c>
      <c r="J617">
        <v>0</v>
      </c>
    </row>
    <row r="618" spans="1:10" x14ac:dyDescent="0.25">
      <c r="A618" s="1" t="s">
        <v>27</v>
      </c>
      <c r="B618">
        <v>401754374</v>
      </c>
      <c r="C618" t="s">
        <v>95</v>
      </c>
      <c r="D618" t="s">
        <v>88</v>
      </c>
      <c r="E618" t="s">
        <v>89</v>
      </c>
      <c r="F618">
        <v>10</v>
      </c>
      <c r="G618" t="s">
        <v>90</v>
      </c>
      <c r="H618" t="s">
        <v>229</v>
      </c>
      <c r="I618" t="s">
        <v>297</v>
      </c>
      <c r="J618">
        <v>2</v>
      </c>
    </row>
    <row r="619" spans="1:10" x14ac:dyDescent="0.25">
      <c r="A619" s="1" t="s">
        <v>27</v>
      </c>
      <c r="B619">
        <v>401754374</v>
      </c>
      <c r="C619" t="s">
        <v>95</v>
      </c>
      <c r="D619" t="s">
        <v>88</v>
      </c>
      <c r="E619" t="s">
        <v>89</v>
      </c>
      <c r="F619">
        <v>10</v>
      </c>
      <c r="G619" t="s">
        <v>90</v>
      </c>
      <c r="H619" t="s">
        <v>229</v>
      </c>
      <c r="I619" t="s">
        <v>298</v>
      </c>
      <c r="J619">
        <v>0</v>
      </c>
    </row>
    <row r="620" spans="1:10" x14ac:dyDescent="0.25">
      <c r="A620" s="1" t="s">
        <v>27</v>
      </c>
      <c r="B620">
        <v>401754374</v>
      </c>
      <c r="C620" t="s">
        <v>95</v>
      </c>
      <c r="D620" t="s">
        <v>88</v>
      </c>
      <c r="E620" t="s">
        <v>89</v>
      </c>
      <c r="F620">
        <v>10</v>
      </c>
      <c r="G620" t="s">
        <v>90</v>
      </c>
      <c r="H620" t="s">
        <v>229</v>
      </c>
      <c r="I620" t="s">
        <v>299</v>
      </c>
      <c r="J620">
        <v>0</v>
      </c>
    </row>
    <row r="621" spans="1:10" x14ac:dyDescent="0.25">
      <c r="A621" s="1" t="s">
        <v>27</v>
      </c>
      <c r="B621">
        <v>401754374</v>
      </c>
      <c r="C621" t="s">
        <v>95</v>
      </c>
      <c r="D621" t="s">
        <v>88</v>
      </c>
      <c r="E621" t="s">
        <v>89</v>
      </c>
      <c r="F621">
        <v>10</v>
      </c>
      <c r="G621" t="s">
        <v>90</v>
      </c>
      <c r="H621" t="s">
        <v>229</v>
      </c>
      <c r="I621" t="s">
        <v>300</v>
      </c>
      <c r="J621">
        <v>0</v>
      </c>
    </row>
    <row r="622" spans="1:10" x14ac:dyDescent="0.25">
      <c r="A622" s="1" t="s">
        <v>27</v>
      </c>
      <c r="B622">
        <v>401754374</v>
      </c>
      <c r="C622" t="s">
        <v>95</v>
      </c>
      <c r="D622" t="s">
        <v>88</v>
      </c>
      <c r="E622" t="s">
        <v>89</v>
      </c>
      <c r="F622">
        <v>10</v>
      </c>
      <c r="G622" t="s">
        <v>90</v>
      </c>
      <c r="H622" t="s">
        <v>229</v>
      </c>
      <c r="I622" t="s">
        <v>301</v>
      </c>
      <c r="J622">
        <v>0</v>
      </c>
    </row>
    <row r="623" spans="1:10" x14ac:dyDescent="0.25">
      <c r="A623" s="1" t="s">
        <v>27</v>
      </c>
      <c r="B623">
        <v>401754374</v>
      </c>
      <c r="C623" t="s">
        <v>95</v>
      </c>
      <c r="D623" t="s">
        <v>88</v>
      </c>
      <c r="E623" t="s">
        <v>89</v>
      </c>
      <c r="F623">
        <v>10</v>
      </c>
      <c r="G623" t="s">
        <v>90</v>
      </c>
      <c r="H623" t="s">
        <v>229</v>
      </c>
      <c r="I623" t="s">
        <v>302</v>
      </c>
      <c r="J623">
        <v>0</v>
      </c>
    </row>
    <row r="624" spans="1:10" x14ac:dyDescent="0.25">
      <c r="A624" s="1" t="s">
        <v>27</v>
      </c>
      <c r="B624">
        <v>401754374</v>
      </c>
      <c r="C624" t="s">
        <v>95</v>
      </c>
      <c r="D624" t="s">
        <v>88</v>
      </c>
      <c r="E624" t="s">
        <v>89</v>
      </c>
      <c r="F624">
        <v>10</v>
      </c>
      <c r="G624" t="s">
        <v>90</v>
      </c>
      <c r="H624" t="s">
        <v>229</v>
      </c>
      <c r="I624" t="s">
        <v>303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95</v>
      </c>
      <c r="D625" t="s">
        <v>88</v>
      </c>
      <c r="E625" t="s">
        <v>89</v>
      </c>
      <c r="F625">
        <v>10</v>
      </c>
      <c r="G625" t="s">
        <v>90</v>
      </c>
      <c r="H625" t="s">
        <v>229</v>
      </c>
      <c r="I625" t="s">
        <v>304</v>
      </c>
      <c r="J625">
        <v>0</v>
      </c>
    </row>
    <row r="626" spans="1:10" x14ac:dyDescent="0.25">
      <c r="A626" s="1" t="s">
        <v>27</v>
      </c>
      <c r="B626">
        <v>401754374</v>
      </c>
      <c r="C626" t="s">
        <v>95</v>
      </c>
      <c r="D626" t="s">
        <v>88</v>
      </c>
      <c r="E626" t="s">
        <v>89</v>
      </c>
      <c r="F626">
        <v>10</v>
      </c>
      <c r="G626" t="s">
        <v>90</v>
      </c>
      <c r="H626" t="s">
        <v>229</v>
      </c>
      <c r="I626" t="s">
        <v>305</v>
      </c>
      <c r="J626">
        <v>0</v>
      </c>
    </row>
    <row r="627" spans="1:10" x14ac:dyDescent="0.25">
      <c r="A627" s="1" t="s">
        <v>27</v>
      </c>
      <c r="B627">
        <v>401754374</v>
      </c>
      <c r="C627" t="s">
        <v>95</v>
      </c>
      <c r="D627" t="s">
        <v>88</v>
      </c>
      <c r="E627" t="s">
        <v>89</v>
      </c>
      <c r="F627">
        <v>10</v>
      </c>
      <c r="G627" t="s">
        <v>90</v>
      </c>
      <c r="H627" t="s">
        <v>229</v>
      </c>
      <c r="I627" t="s">
        <v>306</v>
      </c>
      <c r="J627">
        <v>0</v>
      </c>
    </row>
    <row r="628" spans="1:10" x14ac:dyDescent="0.25">
      <c r="A628" s="1" t="s">
        <v>27</v>
      </c>
      <c r="B628">
        <v>401754374</v>
      </c>
      <c r="C628" t="s">
        <v>95</v>
      </c>
      <c r="D628" t="s">
        <v>88</v>
      </c>
      <c r="E628" t="s">
        <v>89</v>
      </c>
      <c r="F628">
        <v>10</v>
      </c>
      <c r="G628" t="s">
        <v>90</v>
      </c>
      <c r="H628" t="s">
        <v>229</v>
      </c>
      <c r="I628" t="s">
        <v>307</v>
      </c>
      <c r="J628">
        <v>0</v>
      </c>
    </row>
    <row r="629" spans="1:10" x14ac:dyDescent="0.25">
      <c r="A629" s="1" t="s">
        <v>27</v>
      </c>
      <c r="B629">
        <v>401754374</v>
      </c>
      <c r="C629" t="s">
        <v>95</v>
      </c>
      <c r="D629" t="s">
        <v>88</v>
      </c>
      <c r="E629" t="s">
        <v>89</v>
      </c>
      <c r="F629">
        <v>10</v>
      </c>
      <c r="G629" t="s">
        <v>90</v>
      </c>
      <c r="H629" t="s">
        <v>91</v>
      </c>
      <c r="I629" t="s">
        <v>94</v>
      </c>
      <c r="J629">
        <v>2</v>
      </c>
    </row>
    <row r="630" spans="1:10" x14ac:dyDescent="0.25">
      <c r="A630" s="1" t="s">
        <v>27</v>
      </c>
      <c r="B630">
        <v>401754374</v>
      </c>
      <c r="C630" t="s">
        <v>95</v>
      </c>
      <c r="D630" t="s">
        <v>88</v>
      </c>
      <c r="E630" t="s">
        <v>89</v>
      </c>
      <c r="F630">
        <v>10</v>
      </c>
      <c r="G630" t="s">
        <v>90</v>
      </c>
      <c r="H630" t="s">
        <v>91</v>
      </c>
      <c r="I630" t="s">
        <v>287</v>
      </c>
      <c r="J630">
        <v>0</v>
      </c>
    </row>
    <row r="631" spans="1:10" x14ac:dyDescent="0.25">
      <c r="A631" s="1" t="s">
        <v>27</v>
      </c>
      <c r="B631">
        <v>401754374</v>
      </c>
      <c r="C631" t="s">
        <v>95</v>
      </c>
      <c r="D631" t="s">
        <v>88</v>
      </c>
      <c r="E631" t="s">
        <v>89</v>
      </c>
      <c r="F631">
        <v>10</v>
      </c>
      <c r="G631" t="s">
        <v>90</v>
      </c>
      <c r="H631" t="s">
        <v>91</v>
      </c>
      <c r="I631" t="s">
        <v>288</v>
      </c>
      <c r="J631">
        <v>0</v>
      </c>
    </row>
    <row r="632" spans="1:10" x14ac:dyDescent="0.25">
      <c r="A632" s="1" t="s">
        <v>27</v>
      </c>
      <c r="B632">
        <v>401754374</v>
      </c>
      <c r="C632" t="s">
        <v>95</v>
      </c>
      <c r="D632" t="s">
        <v>88</v>
      </c>
      <c r="E632" t="s">
        <v>89</v>
      </c>
      <c r="F632">
        <v>10</v>
      </c>
      <c r="G632" t="s">
        <v>90</v>
      </c>
      <c r="H632" t="s">
        <v>91</v>
      </c>
      <c r="I632" t="s">
        <v>289</v>
      </c>
      <c r="J632">
        <v>0</v>
      </c>
    </row>
    <row r="633" spans="1:10" x14ac:dyDescent="0.25">
      <c r="A633" s="1" t="s">
        <v>27</v>
      </c>
      <c r="B633">
        <v>401754374</v>
      </c>
      <c r="C633" t="s">
        <v>95</v>
      </c>
      <c r="D633" t="s">
        <v>88</v>
      </c>
      <c r="E633" t="s">
        <v>89</v>
      </c>
      <c r="F633">
        <v>10</v>
      </c>
      <c r="G633" t="s">
        <v>90</v>
      </c>
      <c r="H633" t="s">
        <v>91</v>
      </c>
      <c r="I633" t="s">
        <v>290</v>
      </c>
      <c r="J633">
        <v>0</v>
      </c>
    </row>
    <row r="634" spans="1:10" x14ac:dyDescent="0.25">
      <c r="A634" s="1" t="s">
        <v>27</v>
      </c>
      <c r="B634">
        <v>401754374</v>
      </c>
      <c r="C634" t="s">
        <v>95</v>
      </c>
      <c r="D634" t="s">
        <v>88</v>
      </c>
      <c r="E634" t="s">
        <v>89</v>
      </c>
      <c r="F634">
        <v>10</v>
      </c>
      <c r="G634" t="s">
        <v>90</v>
      </c>
      <c r="H634" t="s">
        <v>91</v>
      </c>
      <c r="I634" t="s">
        <v>291</v>
      </c>
      <c r="J634">
        <v>0</v>
      </c>
    </row>
    <row r="635" spans="1:10" x14ac:dyDescent="0.25">
      <c r="A635" s="1" t="s">
        <v>27</v>
      </c>
      <c r="B635">
        <v>401754374</v>
      </c>
      <c r="C635" t="s">
        <v>95</v>
      </c>
      <c r="D635" t="s">
        <v>88</v>
      </c>
      <c r="E635" t="s">
        <v>89</v>
      </c>
      <c r="F635">
        <v>10</v>
      </c>
      <c r="G635" t="s">
        <v>90</v>
      </c>
      <c r="H635" t="s">
        <v>91</v>
      </c>
      <c r="I635" t="s">
        <v>292</v>
      </c>
      <c r="J635">
        <v>0</v>
      </c>
    </row>
    <row r="636" spans="1:10" x14ac:dyDescent="0.25">
      <c r="A636" s="1" t="s">
        <v>27</v>
      </c>
      <c r="B636">
        <v>401754374</v>
      </c>
      <c r="C636" t="s">
        <v>95</v>
      </c>
      <c r="D636" t="s">
        <v>88</v>
      </c>
      <c r="E636" t="s">
        <v>89</v>
      </c>
      <c r="F636">
        <v>10</v>
      </c>
      <c r="G636" t="s">
        <v>90</v>
      </c>
      <c r="H636" t="s">
        <v>91</v>
      </c>
      <c r="I636" t="s">
        <v>293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95</v>
      </c>
      <c r="D637" t="s">
        <v>88</v>
      </c>
      <c r="E637" t="s">
        <v>89</v>
      </c>
      <c r="F637">
        <v>10</v>
      </c>
      <c r="G637" t="s">
        <v>90</v>
      </c>
      <c r="H637" t="s">
        <v>91</v>
      </c>
      <c r="I637" t="s">
        <v>294</v>
      </c>
      <c r="J637">
        <v>1</v>
      </c>
    </row>
    <row r="638" spans="1:10" x14ac:dyDescent="0.25">
      <c r="A638" s="1" t="s">
        <v>27</v>
      </c>
      <c r="B638">
        <v>401754374</v>
      </c>
      <c r="C638" t="s">
        <v>95</v>
      </c>
      <c r="D638" t="s">
        <v>88</v>
      </c>
      <c r="E638" t="s">
        <v>89</v>
      </c>
      <c r="F638">
        <v>10</v>
      </c>
      <c r="G638" t="s">
        <v>90</v>
      </c>
      <c r="H638" t="s">
        <v>91</v>
      </c>
      <c r="I638" t="s">
        <v>295</v>
      </c>
      <c r="J638">
        <v>0</v>
      </c>
    </row>
    <row r="639" spans="1:10" x14ac:dyDescent="0.25">
      <c r="A639" s="1" t="s">
        <v>27</v>
      </c>
      <c r="B639">
        <v>401754374</v>
      </c>
      <c r="C639" t="s">
        <v>95</v>
      </c>
      <c r="D639" t="s">
        <v>88</v>
      </c>
      <c r="E639" t="s">
        <v>89</v>
      </c>
      <c r="F639">
        <v>10</v>
      </c>
      <c r="G639" t="s">
        <v>90</v>
      </c>
      <c r="H639" t="s">
        <v>91</v>
      </c>
      <c r="I639" t="s">
        <v>296</v>
      </c>
      <c r="J639">
        <v>0</v>
      </c>
    </row>
    <row r="640" spans="1:10" x14ac:dyDescent="0.25">
      <c r="A640" s="1" t="s">
        <v>27</v>
      </c>
      <c r="B640">
        <v>401754374</v>
      </c>
      <c r="C640" t="s">
        <v>95</v>
      </c>
      <c r="D640" t="s">
        <v>88</v>
      </c>
      <c r="E640" t="s">
        <v>89</v>
      </c>
      <c r="F640">
        <v>10</v>
      </c>
      <c r="G640" t="s">
        <v>90</v>
      </c>
      <c r="H640" t="s">
        <v>91</v>
      </c>
      <c r="I640" t="s">
        <v>297</v>
      </c>
      <c r="J640">
        <v>0</v>
      </c>
    </row>
    <row r="641" spans="1:10" x14ac:dyDescent="0.25">
      <c r="A641" s="1" t="s">
        <v>27</v>
      </c>
      <c r="B641">
        <v>401754374</v>
      </c>
      <c r="C641" t="s">
        <v>95</v>
      </c>
      <c r="D641" t="s">
        <v>88</v>
      </c>
      <c r="E641" t="s">
        <v>89</v>
      </c>
      <c r="F641">
        <v>10</v>
      </c>
      <c r="G641" t="s">
        <v>90</v>
      </c>
      <c r="H641" t="s">
        <v>91</v>
      </c>
      <c r="I641" t="s">
        <v>298</v>
      </c>
      <c r="J641">
        <v>0</v>
      </c>
    </row>
    <row r="642" spans="1:10" x14ac:dyDescent="0.25">
      <c r="A642" s="1" t="s">
        <v>27</v>
      </c>
      <c r="B642">
        <v>401754374</v>
      </c>
      <c r="C642" t="s">
        <v>95</v>
      </c>
      <c r="D642" t="s">
        <v>88</v>
      </c>
      <c r="E642" t="s">
        <v>89</v>
      </c>
      <c r="F642">
        <v>10</v>
      </c>
      <c r="G642" t="s">
        <v>90</v>
      </c>
      <c r="H642" t="s">
        <v>91</v>
      </c>
      <c r="I642" t="s">
        <v>299</v>
      </c>
      <c r="J642">
        <v>0</v>
      </c>
    </row>
    <row r="643" spans="1:10" x14ac:dyDescent="0.25">
      <c r="A643" s="1" t="s">
        <v>27</v>
      </c>
      <c r="B643">
        <v>401754374</v>
      </c>
      <c r="C643" t="s">
        <v>95</v>
      </c>
      <c r="D643" t="s">
        <v>88</v>
      </c>
      <c r="E643" t="s">
        <v>89</v>
      </c>
      <c r="F643">
        <v>10</v>
      </c>
      <c r="G643" t="s">
        <v>90</v>
      </c>
      <c r="H643" t="s">
        <v>91</v>
      </c>
      <c r="I643" t="s">
        <v>300</v>
      </c>
      <c r="J643">
        <v>1</v>
      </c>
    </row>
    <row r="644" spans="1:10" x14ac:dyDescent="0.25">
      <c r="A644" s="1" t="s">
        <v>27</v>
      </c>
      <c r="B644">
        <v>401754374</v>
      </c>
      <c r="C644" t="s">
        <v>95</v>
      </c>
      <c r="D644" t="s">
        <v>88</v>
      </c>
      <c r="E644" t="s">
        <v>89</v>
      </c>
      <c r="F644">
        <v>10</v>
      </c>
      <c r="G644" t="s">
        <v>90</v>
      </c>
      <c r="H644" t="s">
        <v>91</v>
      </c>
      <c r="I644" t="s">
        <v>301</v>
      </c>
      <c r="J644">
        <v>0</v>
      </c>
    </row>
    <row r="645" spans="1:10" x14ac:dyDescent="0.25">
      <c r="A645" s="1" t="s">
        <v>27</v>
      </c>
      <c r="B645">
        <v>401754374</v>
      </c>
      <c r="C645" t="s">
        <v>95</v>
      </c>
      <c r="D645" t="s">
        <v>88</v>
      </c>
      <c r="E645" t="s">
        <v>89</v>
      </c>
      <c r="F645">
        <v>10</v>
      </c>
      <c r="G645" t="s">
        <v>90</v>
      </c>
      <c r="H645" t="s">
        <v>91</v>
      </c>
      <c r="I645" t="s">
        <v>302</v>
      </c>
      <c r="J645">
        <v>0</v>
      </c>
    </row>
    <row r="646" spans="1:10" x14ac:dyDescent="0.25">
      <c r="A646" s="1" t="s">
        <v>27</v>
      </c>
      <c r="B646">
        <v>401754374</v>
      </c>
      <c r="C646" t="s">
        <v>95</v>
      </c>
      <c r="D646" t="s">
        <v>88</v>
      </c>
      <c r="E646" t="s">
        <v>89</v>
      </c>
      <c r="F646">
        <v>10</v>
      </c>
      <c r="G646" t="s">
        <v>90</v>
      </c>
      <c r="H646" t="s">
        <v>91</v>
      </c>
      <c r="I646" t="s">
        <v>303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95</v>
      </c>
      <c r="D647" t="s">
        <v>88</v>
      </c>
      <c r="E647" t="s">
        <v>89</v>
      </c>
      <c r="F647">
        <v>10</v>
      </c>
      <c r="G647" t="s">
        <v>90</v>
      </c>
      <c r="H647" t="s">
        <v>91</v>
      </c>
      <c r="I647" t="s">
        <v>304</v>
      </c>
      <c r="J647">
        <v>0</v>
      </c>
    </row>
    <row r="648" spans="1:10" x14ac:dyDescent="0.25">
      <c r="A648" s="1" t="s">
        <v>27</v>
      </c>
      <c r="B648">
        <v>401754374</v>
      </c>
      <c r="C648" t="s">
        <v>95</v>
      </c>
      <c r="D648" t="s">
        <v>88</v>
      </c>
      <c r="E648" t="s">
        <v>89</v>
      </c>
      <c r="F648">
        <v>10</v>
      </c>
      <c r="G648" t="s">
        <v>90</v>
      </c>
      <c r="H648" t="s">
        <v>91</v>
      </c>
      <c r="I648" t="s">
        <v>305</v>
      </c>
      <c r="J648">
        <v>0</v>
      </c>
    </row>
    <row r="649" spans="1:10" x14ac:dyDescent="0.25">
      <c r="A649" s="1" t="s">
        <v>27</v>
      </c>
      <c r="B649">
        <v>401754374</v>
      </c>
      <c r="C649" t="s">
        <v>95</v>
      </c>
      <c r="D649" t="s">
        <v>88</v>
      </c>
      <c r="E649" t="s">
        <v>89</v>
      </c>
      <c r="F649">
        <v>10</v>
      </c>
      <c r="G649" t="s">
        <v>90</v>
      </c>
      <c r="H649" t="s">
        <v>91</v>
      </c>
      <c r="I649" t="s">
        <v>306</v>
      </c>
      <c r="J649">
        <v>0</v>
      </c>
    </row>
    <row r="650" spans="1:10" x14ac:dyDescent="0.25">
      <c r="A650" s="1" t="s">
        <v>27</v>
      </c>
      <c r="B650">
        <v>401754374</v>
      </c>
      <c r="C650" t="s">
        <v>95</v>
      </c>
      <c r="D650" t="s">
        <v>88</v>
      </c>
      <c r="E650" t="s">
        <v>89</v>
      </c>
      <c r="F650">
        <v>10</v>
      </c>
      <c r="G650" t="s">
        <v>90</v>
      </c>
      <c r="H650" t="s">
        <v>91</v>
      </c>
      <c r="I650" t="s">
        <v>307</v>
      </c>
      <c r="J650">
        <v>0</v>
      </c>
    </row>
    <row r="651" spans="1:10" x14ac:dyDescent="0.25">
      <c r="A651" s="1" t="s">
        <v>27</v>
      </c>
      <c r="B651">
        <v>401754374</v>
      </c>
      <c r="C651" t="s">
        <v>95</v>
      </c>
      <c r="D651" t="s">
        <v>88</v>
      </c>
      <c r="E651" t="s">
        <v>89</v>
      </c>
      <c r="F651">
        <v>10</v>
      </c>
      <c r="G651" t="s">
        <v>90</v>
      </c>
      <c r="H651" t="s">
        <v>230</v>
      </c>
      <c r="I651" t="s">
        <v>94</v>
      </c>
      <c r="J651">
        <v>0</v>
      </c>
    </row>
    <row r="652" spans="1:10" x14ac:dyDescent="0.25">
      <c r="A652" s="1" t="s">
        <v>27</v>
      </c>
      <c r="B652">
        <v>401754374</v>
      </c>
      <c r="C652" t="s">
        <v>95</v>
      </c>
      <c r="D652" t="s">
        <v>88</v>
      </c>
      <c r="E652" t="s">
        <v>89</v>
      </c>
      <c r="F652">
        <v>10</v>
      </c>
      <c r="G652" t="s">
        <v>90</v>
      </c>
      <c r="H652" t="s">
        <v>230</v>
      </c>
      <c r="I652" t="s">
        <v>287</v>
      </c>
      <c r="J652">
        <v>1</v>
      </c>
    </row>
    <row r="653" spans="1:10" x14ac:dyDescent="0.25">
      <c r="A653" s="1" t="s">
        <v>27</v>
      </c>
      <c r="B653">
        <v>401754374</v>
      </c>
      <c r="C653" t="s">
        <v>95</v>
      </c>
      <c r="D653" t="s">
        <v>88</v>
      </c>
      <c r="E653" t="s">
        <v>89</v>
      </c>
      <c r="F653">
        <v>10</v>
      </c>
      <c r="G653" t="s">
        <v>90</v>
      </c>
      <c r="H653" t="s">
        <v>230</v>
      </c>
      <c r="I653" t="s">
        <v>288</v>
      </c>
      <c r="J653">
        <v>0</v>
      </c>
    </row>
    <row r="654" spans="1:10" x14ac:dyDescent="0.25">
      <c r="A654" s="1" t="s">
        <v>27</v>
      </c>
      <c r="B654">
        <v>401754374</v>
      </c>
      <c r="C654" t="s">
        <v>95</v>
      </c>
      <c r="D654" t="s">
        <v>88</v>
      </c>
      <c r="E654" t="s">
        <v>89</v>
      </c>
      <c r="F654">
        <v>10</v>
      </c>
      <c r="G654" t="s">
        <v>90</v>
      </c>
      <c r="H654" t="s">
        <v>230</v>
      </c>
      <c r="I654" t="s">
        <v>289</v>
      </c>
      <c r="J654">
        <v>0</v>
      </c>
    </row>
    <row r="655" spans="1:10" x14ac:dyDescent="0.25">
      <c r="A655" s="1" t="s">
        <v>27</v>
      </c>
      <c r="B655">
        <v>401754374</v>
      </c>
      <c r="C655" t="s">
        <v>95</v>
      </c>
      <c r="D655" t="s">
        <v>88</v>
      </c>
      <c r="E655" t="s">
        <v>89</v>
      </c>
      <c r="F655">
        <v>10</v>
      </c>
      <c r="G655" t="s">
        <v>90</v>
      </c>
      <c r="H655" t="s">
        <v>230</v>
      </c>
      <c r="I655" t="s">
        <v>290</v>
      </c>
      <c r="J655">
        <v>0</v>
      </c>
    </row>
    <row r="656" spans="1:10" x14ac:dyDescent="0.25">
      <c r="A656" s="1" t="s">
        <v>27</v>
      </c>
      <c r="B656">
        <v>401754374</v>
      </c>
      <c r="C656" t="s">
        <v>95</v>
      </c>
      <c r="D656" t="s">
        <v>88</v>
      </c>
      <c r="E656" t="s">
        <v>89</v>
      </c>
      <c r="F656">
        <v>10</v>
      </c>
      <c r="G656" t="s">
        <v>90</v>
      </c>
      <c r="H656" t="s">
        <v>230</v>
      </c>
      <c r="I656" t="s">
        <v>291</v>
      </c>
      <c r="J656">
        <v>1</v>
      </c>
    </row>
    <row r="657" spans="1:10" x14ac:dyDescent="0.25">
      <c r="A657" s="1" t="s">
        <v>27</v>
      </c>
      <c r="B657">
        <v>401754374</v>
      </c>
      <c r="C657" t="s">
        <v>95</v>
      </c>
      <c r="D657" t="s">
        <v>88</v>
      </c>
      <c r="E657" t="s">
        <v>89</v>
      </c>
      <c r="F657">
        <v>10</v>
      </c>
      <c r="G657" t="s">
        <v>90</v>
      </c>
      <c r="H657" t="s">
        <v>230</v>
      </c>
      <c r="I657" t="s">
        <v>292</v>
      </c>
      <c r="J657">
        <v>0</v>
      </c>
    </row>
    <row r="658" spans="1:10" x14ac:dyDescent="0.25">
      <c r="A658" s="1" t="s">
        <v>27</v>
      </c>
      <c r="B658">
        <v>401754374</v>
      </c>
      <c r="C658" t="s">
        <v>95</v>
      </c>
      <c r="D658" t="s">
        <v>88</v>
      </c>
      <c r="E658" t="s">
        <v>89</v>
      </c>
      <c r="F658">
        <v>10</v>
      </c>
      <c r="G658" t="s">
        <v>90</v>
      </c>
      <c r="H658" t="s">
        <v>230</v>
      </c>
      <c r="I658" t="s">
        <v>293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95</v>
      </c>
      <c r="D659" t="s">
        <v>88</v>
      </c>
      <c r="E659" t="s">
        <v>89</v>
      </c>
      <c r="F659">
        <v>10</v>
      </c>
      <c r="G659" t="s">
        <v>90</v>
      </c>
      <c r="H659" t="s">
        <v>230</v>
      </c>
      <c r="I659" t="s">
        <v>294</v>
      </c>
      <c r="J659">
        <v>0</v>
      </c>
    </row>
    <row r="660" spans="1:10" x14ac:dyDescent="0.25">
      <c r="A660" s="1" t="s">
        <v>27</v>
      </c>
      <c r="B660">
        <v>401754374</v>
      </c>
      <c r="C660" t="s">
        <v>95</v>
      </c>
      <c r="D660" t="s">
        <v>88</v>
      </c>
      <c r="E660" t="s">
        <v>89</v>
      </c>
      <c r="F660">
        <v>10</v>
      </c>
      <c r="G660" t="s">
        <v>90</v>
      </c>
      <c r="H660" t="s">
        <v>230</v>
      </c>
      <c r="I660" t="s">
        <v>295</v>
      </c>
      <c r="J660">
        <v>0</v>
      </c>
    </row>
    <row r="661" spans="1:10" x14ac:dyDescent="0.25">
      <c r="A661" s="1" t="s">
        <v>27</v>
      </c>
      <c r="B661">
        <v>401754374</v>
      </c>
      <c r="C661" t="s">
        <v>95</v>
      </c>
      <c r="D661" t="s">
        <v>88</v>
      </c>
      <c r="E661" t="s">
        <v>89</v>
      </c>
      <c r="F661">
        <v>10</v>
      </c>
      <c r="G661" t="s">
        <v>90</v>
      </c>
      <c r="H661" t="s">
        <v>230</v>
      </c>
      <c r="I661" t="s">
        <v>296</v>
      </c>
      <c r="J661">
        <v>0</v>
      </c>
    </row>
    <row r="662" spans="1:10" x14ac:dyDescent="0.25">
      <c r="A662" s="1" t="s">
        <v>27</v>
      </c>
      <c r="B662">
        <v>401754374</v>
      </c>
      <c r="C662" t="s">
        <v>95</v>
      </c>
      <c r="D662" t="s">
        <v>88</v>
      </c>
      <c r="E662" t="s">
        <v>89</v>
      </c>
      <c r="F662">
        <v>10</v>
      </c>
      <c r="G662" t="s">
        <v>90</v>
      </c>
      <c r="H662" t="s">
        <v>230</v>
      </c>
      <c r="I662" t="s">
        <v>297</v>
      </c>
      <c r="J662">
        <v>0</v>
      </c>
    </row>
    <row r="663" spans="1:10" x14ac:dyDescent="0.25">
      <c r="A663" s="1" t="s">
        <v>27</v>
      </c>
      <c r="B663">
        <v>401754374</v>
      </c>
      <c r="C663" t="s">
        <v>95</v>
      </c>
      <c r="D663" t="s">
        <v>88</v>
      </c>
      <c r="E663" t="s">
        <v>89</v>
      </c>
      <c r="F663">
        <v>10</v>
      </c>
      <c r="G663" t="s">
        <v>90</v>
      </c>
      <c r="H663" t="s">
        <v>230</v>
      </c>
      <c r="I663" t="s">
        <v>298</v>
      </c>
      <c r="J663">
        <v>0</v>
      </c>
    </row>
    <row r="664" spans="1:10" x14ac:dyDescent="0.25">
      <c r="A664" s="1" t="s">
        <v>27</v>
      </c>
      <c r="B664">
        <v>401754374</v>
      </c>
      <c r="C664" t="s">
        <v>95</v>
      </c>
      <c r="D664" t="s">
        <v>88</v>
      </c>
      <c r="E664" t="s">
        <v>89</v>
      </c>
      <c r="F664">
        <v>10</v>
      </c>
      <c r="G664" t="s">
        <v>90</v>
      </c>
      <c r="H664" t="s">
        <v>230</v>
      </c>
      <c r="I664" t="s">
        <v>299</v>
      </c>
      <c r="J664">
        <v>1</v>
      </c>
    </row>
    <row r="665" spans="1:10" x14ac:dyDescent="0.25">
      <c r="A665" s="1" t="s">
        <v>27</v>
      </c>
      <c r="B665">
        <v>401754374</v>
      </c>
      <c r="C665" t="s">
        <v>95</v>
      </c>
      <c r="D665" t="s">
        <v>88</v>
      </c>
      <c r="E665" t="s">
        <v>89</v>
      </c>
      <c r="F665">
        <v>10</v>
      </c>
      <c r="G665" t="s">
        <v>90</v>
      </c>
      <c r="H665" t="s">
        <v>230</v>
      </c>
      <c r="I665" t="s">
        <v>300</v>
      </c>
      <c r="J665">
        <v>0</v>
      </c>
    </row>
    <row r="666" spans="1:10" x14ac:dyDescent="0.25">
      <c r="A666" s="1" t="s">
        <v>27</v>
      </c>
      <c r="B666">
        <v>401754374</v>
      </c>
      <c r="C666" t="s">
        <v>95</v>
      </c>
      <c r="D666" t="s">
        <v>88</v>
      </c>
      <c r="E666" t="s">
        <v>89</v>
      </c>
      <c r="F666">
        <v>10</v>
      </c>
      <c r="G666" t="s">
        <v>90</v>
      </c>
      <c r="H666" t="s">
        <v>230</v>
      </c>
      <c r="I666" t="s">
        <v>301</v>
      </c>
      <c r="J666">
        <v>0</v>
      </c>
    </row>
    <row r="667" spans="1:10" x14ac:dyDescent="0.25">
      <c r="A667" s="1" t="s">
        <v>27</v>
      </c>
      <c r="B667">
        <v>401754374</v>
      </c>
      <c r="C667" t="s">
        <v>95</v>
      </c>
      <c r="D667" t="s">
        <v>88</v>
      </c>
      <c r="E667" t="s">
        <v>89</v>
      </c>
      <c r="F667">
        <v>10</v>
      </c>
      <c r="G667" t="s">
        <v>90</v>
      </c>
      <c r="H667" t="s">
        <v>230</v>
      </c>
      <c r="I667" t="s">
        <v>302</v>
      </c>
      <c r="J667">
        <v>0</v>
      </c>
    </row>
    <row r="668" spans="1:10" x14ac:dyDescent="0.25">
      <c r="A668" s="1" t="s">
        <v>27</v>
      </c>
      <c r="B668">
        <v>401754374</v>
      </c>
      <c r="C668" t="s">
        <v>95</v>
      </c>
      <c r="D668" t="s">
        <v>88</v>
      </c>
      <c r="E668" t="s">
        <v>89</v>
      </c>
      <c r="F668">
        <v>10</v>
      </c>
      <c r="G668" t="s">
        <v>90</v>
      </c>
      <c r="H668" t="s">
        <v>230</v>
      </c>
      <c r="I668" t="s">
        <v>303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95</v>
      </c>
      <c r="D669" t="s">
        <v>88</v>
      </c>
      <c r="E669" t="s">
        <v>89</v>
      </c>
      <c r="F669">
        <v>10</v>
      </c>
      <c r="G669" t="s">
        <v>90</v>
      </c>
      <c r="H669" t="s">
        <v>230</v>
      </c>
      <c r="I669" t="s">
        <v>304</v>
      </c>
      <c r="J669">
        <v>0</v>
      </c>
    </row>
    <row r="670" spans="1:10" x14ac:dyDescent="0.25">
      <c r="A670" s="1" t="s">
        <v>27</v>
      </c>
      <c r="B670">
        <v>401754374</v>
      </c>
      <c r="C670" t="s">
        <v>95</v>
      </c>
      <c r="D670" t="s">
        <v>88</v>
      </c>
      <c r="E670" t="s">
        <v>89</v>
      </c>
      <c r="F670">
        <v>10</v>
      </c>
      <c r="G670" t="s">
        <v>90</v>
      </c>
      <c r="H670" t="s">
        <v>230</v>
      </c>
      <c r="I670" t="s">
        <v>305</v>
      </c>
      <c r="J670">
        <v>0</v>
      </c>
    </row>
    <row r="671" spans="1:10" x14ac:dyDescent="0.25">
      <c r="A671" s="1" t="s">
        <v>27</v>
      </c>
      <c r="B671">
        <v>401754374</v>
      </c>
      <c r="C671" t="s">
        <v>95</v>
      </c>
      <c r="D671" t="s">
        <v>88</v>
      </c>
      <c r="E671" t="s">
        <v>89</v>
      </c>
      <c r="F671">
        <v>10</v>
      </c>
      <c r="G671" t="s">
        <v>90</v>
      </c>
      <c r="H671" t="s">
        <v>230</v>
      </c>
      <c r="I671" t="s">
        <v>306</v>
      </c>
      <c r="J671">
        <v>1</v>
      </c>
    </row>
    <row r="672" spans="1:10" x14ac:dyDescent="0.25">
      <c r="A672" s="1" t="s">
        <v>27</v>
      </c>
      <c r="B672">
        <v>401754374</v>
      </c>
      <c r="C672" t="s">
        <v>95</v>
      </c>
      <c r="D672" t="s">
        <v>88</v>
      </c>
      <c r="E672" t="s">
        <v>89</v>
      </c>
      <c r="F672">
        <v>10</v>
      </c>
      <c r="G672" t="s">
        <v>90</v>
      </c>
      <c r="H672" t="s">
        <v>230</v>
      </c>
      <c r="I672" t="s">
        <v>307</v>
      </c>
      <c r="J672">
        <v>2</v>
      </c>
    </row>
    <row r="673" spans="1:10" x14ac:dyDescent="0.25">
      <c r="A673" s="1" t="s">
        <v>27</v>
      </c>
      <c r="B673">
        <v>401754374</v>
      </c>
      <c r="C673" t="s">
        <v>95</v>
      </c>
      <c r="D673" t="s">
        <v>88</v>
      </c>
      <c r="E673" t="s">
        <v>89</v>
      </c>
      <c r="F673">
        <v>10</v>
      </c>
      <c r="G673" t="s">
        <v>90</v>
      </c>
      <c r="H673" t="s">
        <v>188</v>
      </c>
      <c r="I673" t="s">
        <v>94</v>
      </c>
      <c r="J673">
        <v>0</v>
      </c>
    </row>
    <row r="674" spans="1:10" x14ac:dyDescent="0.25">
      <c r="A674" s="1" t="s">
        <v>27</v>
      </c>
      <c r="B674">
        <v>401754374</v>
      </c>
      <c r="C674" t="s">
        <v>95</v>
      </c>
      <c r="D674" t="s">
        <v>88</v>
      </c>
      <c r="E674" t="s">
        <v>89</v>
      </c>
      <c r="F674">
        <v>10</v>
      </c>
      <c r="G674" t="s">
        <v>90</v>
      </c>
      <c r="H674" t="s">
        <v>188</v>
      </c>
      <c r="I674" t="s">
        <v>287</v>
      </c>
      <c r="J674">
        <v>0</v>
      </c>
    </row>
    <row r="675" spans="1:10" x14ac:dyDescent="0.25">
      <c r="A675" s="1" t="s">
        <v>27</v>
      </c>
      <c r="B675">
        <v>401754374</v>
      </c>
      <c r="C675" t="s">
        <v>95</v>
      </c>
      <c r="D675" t="s">
        <v>88</v>
      </c>
      <c r="E675" t="s">
        <v>89</v>
      </c>
      <c r="F675">
        <v>10</v>
      </c>
      <c r="G675" t="s">
        <v>90</v>
      </c>
      <c r="H675" t="s">
        <v>188</v>
      </c>
      <c r="I675" t="s">
        <v>288</v>
      </c>
      <c r="J675">
        <v>0</v>
      </c>
    </row>
    <row r="676" spans="1:10" x14ac:dyDescent="0.25">
      <c r="A676" s="1" t="s">
        <v>27</v>
      </c>
      <c r="B676">
        <v>401754374</v>
      </c>
      <c r="C676" t="s">
        <v>95</v>
      </c>
      <c r="D676" t="s">
        <v>88</v>
      </c>
      <c r="E676" t="s">
        <v>89</v>
      </c>
      <c r="F676">
        <v>10</v>
      </c>
      <c r="G676" t="s">
        <v>90</v>
      </c>
      <c r="H676" t="s">
        <v>188</v>
      </c>
      <c r="I676" t="s">
        <v>289</v>
      </c>
      <c r="J676">
        <v>0</v>
      </c>
    </row>
    <row r="677" spans="1:10" x14ac:dyDescent="0.25">
      <c r="A677" s="1" t="s">
        <v>27</v>
      </c>
      <c r="B677">
        <v>401754374</v>
      </c>
      <c r="C677" t="s">
        <v>95</v>
      </c>
      <c r="D677" t="s">
        <v>88</v>
      </c>
      <c r="E677" t="s">
        <v>89</v>
      </c>
      <c r="F677">
        <v>10</v>
      </c>
      <c r="G677" t="s">
        <v>90</v>
      </c>
      <c r="H677" t="s">
        <v>188</v>
      </c>
      <c r="I677" t="s">
        <v>290</v>
      </c>
      <c r="J677">
        <v>0</v>
      </c>
    </row>
    <row r="678" spans="1:10" x14ac:dyDescent="0.25">
      <c r="A678" s="1" t="s">
        <v>27</v>
      </c>
      <c r="B678">
        <v>401754374</v>
      </c>
      <c r="C678" t="s">
        <v>95</v>
      </c>
      <c r="D678" t="s">
        <v>88</v>
      </c>
      <c r="E678" t="s">
        <v>89</v>
      </c>
      <c r="F678">
        <v>10</v>
      </c>
      <c r="G678" t="s">
        <v>90</v>
      </c>
      <c r="H678" t="s">
        <v>188</v>
      </c>
      <c r="I678" t="s">
        <v>291</v>
      </c>
      <c r="J678">
        <v>0</v>
      </c>
    </row>
    <row r="679" spans="1:10" x14ac:dyDescent="0.25">
      <c r="A679" s="1" t="s">
        <v>27</v>
      </c>
      <c r="B679">
        <v>401754374</v>
      </c>
      <c r="C679" t="s">
        <v>95</v>
      </c>
      <c r="D679" t="s">
        <v>88</v>
      </c>
      <c r="E679" t="s">
        <v>89</v>
      </c>
      <c r="F679">
        <v>10</v>
      </c>
      <c r="G679" t="s">
        <v>90</v>
      </c>
      <c r="H679" t="s">
        <v>188</v>
      </c>
      <c r="I679" t="s">
        <v>292</v>
      </c>
      <c r="J679">
        <v>0</v>
      </c>
    </row>
    <row r="680" spans="1:10" x14ac:dyDescent="0.25">
      <c r="A680" s="1" t="s">
        <v>27</v>
      </c>
      <c r="B680">
        <v>401754374</v>
      </c>
      <c r="C680" t="s">
        <v>95</v>
      </c>
      <c r="D680" t="s">
        <v>88</v>
      </c>
      <c r="E680" t="s">
        <v>89</v>
      </c>
      <c r="F680">
        <v>10</v>
      </c>
      <c r="G680" t="s">
        <v>90</v>
      </c>
      <c r="H680" t="s">
        <v>188</v>
      </c>
      <c r="I680" t="s">
        <v>293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95</v>
      </c>
      <c r="D681" t="s">
        <v>88</v>
      </c>
      <c r="E681" t="s">
        <v>89</v>
      </c>
      <c r="F681">
        <v>10</v>
      </c>
      <c r="G681" t="s">
        <v>90</v>
      </c>
      <c r="H681" t="s">
        <v>188</v>
      </c>
      <c r="I681" t="s">
        <v>294</v>
      </c>
      <c r="J681">
        <v>0</v>
      </c>
    </row>
    <row r="682" spans="1:10" x14ac:dyDescent="0.25">
      <c r="A682" s="1" t="s">
        <v>27</v>
      </c>
      <c r="B682">
        <v>401754374</v>
      </c>
      <c r="C682" t="s">
        <v>95</v>
      </c>
      <c r="D682" t="s">
        <v>88</v>
      </c>
      <c r="E682" t="s">
        <v>89</v>
      </c>
      <c r="F682">
        <v>10</v>
      </c>
      <c r="G682" t="s">
        <v>90</v>
      </c>
      <c r="H682" t="s">
        <v>188</v>
      </c>
      <c r="I682" t="s">
        <v>295</v>
      </c>
      <c r="J682">
        <v>0</v>
      </c>
    </row>
    <row r="683" spans="1:10" x14ac:dyDescent="0.25">
      <c r="A683" s="1" t="s">
        <v>27</v>
      </c>
      <c r="B683">
        <v>401754374</v>
      </c>
      <c r="C683" t="s">
        <v>95</v>
      </c>
      <c r="D683" t="s">
        <v>88</v>
      </c>
      <c r="E683" t="s">
        <v>89</v>
      </c>
      <c r="F683">
        <v>10</v>
      </c>
      <c r="G683" t="s">
        <v>90</v>
      </c>
      <c r="H683" t="s">
        <v>188</v>
      </c>
      <c r="I683" t="s">
        <v>296</v>
      </c>
      <c r="J683">
        <v>0</v>
      </c>
    </row>
    <row r="684" spans="1:10" x14ac:dyDescent="0.25">
      <c r="A684" s="1" t="s">
        <v>27</v>
      </c>
      <c r="B684">
        <v>401754374</v>
      </c>
      <c r="C684" t="s">
        <v>95</v>
      </c>
      <c r="D684" t="s">
        <v>88</v>
      </c>
      <c r="E684" t="s">
        <v>89</v>
      </c>
      <c r="F684">
        <v>10</v>
      </c>
      <c r="G684" t="s">
        <v>90</v>
      </c>
      <c r="H684" t="s">
        <v>188</v>
      </c>
      <c r="I684" t="s">
        <v>297</v>
      </c>
      <c r="J684">
        <v>0</v>
      </c>
    </row>
    <row r="685" spans="1:10" x14ac:dyDescent="0.25">
      <c r="A685" s="1" t="s">
        <v>27</v>
      </c>
      <c r="B685">
        <v>401754374</v>
      </c>
      <c r="C685" t="s">
        <v>95</v>
      </c>
      <c r="D685" t="s">
        <v>88</v>
      </c>
      <c r="E685" t="s">
        <v>89</v>
      </c>
      <c r="F685">
        <v>10</v>
      </c>
      <c r="G685" t="s">
        <v>90</v>
      </c>
      <c r="H685" t="s">
        <v>188</v>
      </c>
      <c r="I685" t="s">
        <v>298</v>
      </c>
      <c r="J685">
        <v>0</v>
      </c>
    </row>
    <row r="686" spans="1:10" x14ac:dyDescent="0.25">
      <c r="A686" s="1" t="s">
        <v>27</v>
      </c>
      <c r="B686">
        <v>401754374</v>
      </c>
      <c r="C686" t="s">
        <v>95</v>
      </c>
      <c r="D686" t="s">
        <v>88</v>
      </c>
      <c r="E686" t="s">
        <v>89</v>
      </c>
      <c r="F686">
        <v>10</v>
      </c>
      <c r="G686" t="s">
        <v>90</v>
      </c>
      <c r="H686" t="s">
        <v>188</v>
      </c>
      <c r="I686" t="s">
        <v>299</v>
      </c>
      <c r="J686">
        <v>0</v>
      </c>
    </row>
    <row r="687" spans="1:10" x14ac:dyDescent="0.25">
      <c r="A687" s="1" t="s">
        <v>27</v>
      </c>
      <c r="B687">
        <v>401754374</v>
      </c>
      <c r="C687" t="s">
        <v>95</v>
      </c>
      <c r="D687" t="s">
        <v>88</v>
      </c>
      <c r="E687" t="s">
        <v>89</v>
      </c>
      <c r="F687">
        <v>10</v>
      </c>
      <c r="G687" t="s">
        <v>90</v>
      </c>
      <c r="H687" t="s">
        <v>188</v>
      </c>
      <c r="I687" t="s">
        <v>300</v>
      </c>
      <c r="J687">
        <v>0</v>
      </c>
    </row>
    <row r="688" spans="1:10" x14ac:dyDescent="0.25">
      <c r="A688" s="1" t="s">
        <v>27</v>
      </c>
      <c r="B688">
        <v>401754374</v>
      </c>
      <c r="C688" t="s">
        <v>95</v>
      </c>
      <c r="D688" t="s">
        <v>88</v>
      </c>
      <c r="E688" t="s">
        <v>89</v>
      </c>
      <c r="F688">
        <v>10</v>
      </c>
      <c r="G688" t="s">
        <v>90</v>
      </c>
      <c r="H688" t="s">
        <v>188</v>
      </c>
      <c r="I688" t="s">
        <v>301</v>
      </c>
      <c r="J688">
        <v>0</v>
      </c>
    </row>
    <row r="689" spans="1:10" x14ac:dyDescent="0.25">
      <c r="A689" s="1" t="s">
        <v>27</v>
      </c>
      <c r="B689">
        <v>401754374</v>
      </c>
      <c r="C689" t="s">
        <v>95</v>
      </c>
      <c r="D689" t="s">
        <v>88</v>
      </c>
      <c r="E689" t="s">
        <v>89</v>
      </c>
      <c r="F689">
        <v>10</v>
      </c>
      <c r="G689" t="s">
        <v>90</v>
      </c>
      <c r="H689" t="s">
        <v>188</v>
      </c>
      <c r="I689" t="s">
        <v>302</v>
      </c>
      <c r="J689">
        <v>0</v>
      </c>
    </row>
    <row r="690" spans="1:10" x14ac:dyDescent="0.25">
      <c r="A690" s="1" t="s">
        <v>27</v>
      </c>
      <c r="B690">
        <v>401754374</v>
      </c>
      <c r="C690" t="s">
        <v>95</v>
      </c>
      <c r="D690" t="s">
        <v>88</v>
      </c>
      <c r="E690" t="s">
        <v>89</v>
      </c>
      <c r="F690">
        <v>10</v>
      </c>
      <c r="G690" t="s">
        <v>90</v>
      </c>
      <c r="H690" t="s">
        <v>188</v>
      </c>
      <c r="I690" t="s">
        <v>303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95</v>
      </c>
      <c r="D691" t="s">
        <v>88</v>
      </c>
      <c r="E691" t="s">
        <v>89</v>
      </c>
      <c r="F691">
        <v>10</v>
      </c>
      <c r="G691" t="s">
        <v>90</v>
      </c>
      <c r="H691" t="s">
        <v>188</v>
      </c>
      <c r="I691" t="s">
        <v>304</v>
      </c>
      <c r="J691">
        <v>0</v>
      </c>
    </row>
    <row r="692" spans="1:10" x14ac:dyDescent="0.25">
      <c r="A692" s="1" t="s">
        <v>27</v>
      </c>
      <c r="B692">
        <v>401754374</v>
      </c>
      <c r="C692" t="s">
        <v>95</v>
      </c>
      <c r="D692" t="s">
        <v>88</v>
      </c>
      <c r="E692" t="s">
        <v>89</v>
      </c>
      <c r="F692">
        <v>10</v>
      </c>
      <c r="G692" t="s">
        <v>90</v>
      </c>
      <c r="H692" t="s">
        <v>188</v>
      </c>
      <c r="I692" t="s">
        <v>305</v>
      </c>
      <c r="J692">
        <v>0</v>
      </c>
    </row>
    <row r="693" spans="1:10" x14ac:dyDescent="0.25">
      <c r="A693" s="1" t="s">
        <v>27</v>
      </c>
      <c r="B693">
        <v>401754374</v>
      </c>
      <c r="C693" t="s">
        <v>95</v>
      </c>
      <c r="D693" t="s">
        <v>88</v>
      </c>
      <c r="E693" t="s">
        <v>89</v>
      </c>
      <c r="F693">
        <v>10</v>
      </c>
      <c r="G693" t="s">
        <v>90</v>
      </c>
      <c r="H693" t="s">
        <v>188</v>
      </c>
      <c r="I693" t="s">
        <v>306</v>
      </c>
      <c r="J693">
        <v>0</v>
      </c>
    </row>
    <row r="694" spans="1:10" x14ac:dyDescent="0.25">
      <c r="A694" s="1" t="s">
        <v>27</v>
      </c>
      <c r="B694">
        <v>401754374</v>
      </c>
      <c r="C694" t="s">
        <v>95</v>
      </c>
      <c r="D694" t="s">
        <v>88</v>
      </c>
      <c r="E694" t="s">
        <v>89</v>
      </c>
      <c r="F694">
        <v>10</v>
      </c>
      <c r="G694" t="s">
        <v>90</v>
      </c>
      <c r="H694" t="s">
        <v>188</v>
      </c>
      <c r="I694" t="s">
        <v>307</v>
      </c>
      <c r="J694">
        <v>0</v>
      </c>
    </row>
    <row r="695" spans="1:10" x14ac:dyDescent="0.25">
      <c r="A695" s="1" t="s">
        <v>27</v>
      </c>
      <c r="B695">
        <v>401754374</v>
      </c>
      <c r="C695" t="s">
        <v>95</v>
      </c>
      <c r="D695" t="s">
        <v>88</v>
      </c>
      <c r="E695" t="s">
        <v>89</v>
      </c>
      <c r="F695">
        <v>10</v>
      </c>
      <c r="G695" t="s">
        <v>272</v>
      </c>
      <c r="H695" t="s">
        <v>232</v>
      </c>
      <c r="I695" t="s">
        <v>281</v>
      </c>
      <c r="J695">
        <v>2</v>
      </c>
    </row>
    <row r="696" spans="1:10" x14ac:dyDescent="0.25">
      <c r="A696" s="1" t="s">
        <v>27</v>
      </c>
      <c r="B696">
        <v>401754374</v>
      </c>
      <c r="C696" t="s">
        <v>95</v>
      </c>
      <c r="D696" t="s">
        <v>88</v>
      </c>
      <c r="E696" t="s">
        <v>89</v>
      </c>
      <c r="F696">
        <v>10</v>
      </c>
      <c r="G696" t="s">
        <v>272</v>
      </c>
      <c r="H696" t="s">
        <v>186</v>
      </c>
      <c r="I696" t="s">
        <v>281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95</v>
      </c>
      <c r="D697" t="s">
        <v>88</v>
      </c>
      <c r="E697" t="s">
        <v>89</v>
      </c>
      <c r="F697">
        <v>10</v>
      </c>
      <c r="G697" t="s">
        <v>272</v>
      </c>
      <c r="H697" t="s">
        <v>187</v>
      </c>
      <c r="I697" t="s">
        <v>281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95</v>
      </c>
      <c r="D698" t="s">
        <v>88</v>
      </c>
      <c r="E698" t="s">
        <v>89</v>
      </c>
      <c r="F698">
        <v>10</v>
      </c>
      <c r="G698" t="s">
        <v>272</v>
      </c>
      <c r="H698" t="s">
        <v>198</v>
      </c>
      <c r="I698" t="s">
        <v>281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95</v>
      </c>
      <c r="D699" t="s">
        <v>88</v>
      </c>
      <c r="E699" t="s">
        <v>89</v>
      </c>
      <c r="F699">
        <v>10</v>
      </c>
      <c r="G699" t="s">
        <v>272</v>
      </c>
      <c r="H699" t="s">
        <v>188</v>
      </c>
      <c r="I699" t="s">
        <v>281</v>
      </c>
      <c r="J699">
        <v>0</v>
      </c>
    </row>
    <row r="700" spans="1:10" x14ac:dyDescent="0.25">
      <c r="A700" s="1" t="s">
        <v>27</v>
      </c>
      <c r="B700">
        <v>401754374</v>
      </c>
      <c r="C700" t="s">
        <v>95</v>
      </c>
      <c r="D700" t="s">
        <v>88</v>
      </c>
      <c r="E700" t="s">
        <v>89</v>
      </c>
      <c r="F700">
        <v>10</v>
      </c>
      <c r="G700" t="s">
        <v>233</v>
      </c>
      <c r="H700" t="s">
        <v>234</v>
      </c>
      <c r="I700" t="s">
        <v>308</v>
      </c>
      <c r="J700" s="73">
        <v>45659</v>
      </c>
    </row>
    <row r="701" spans="1:10" x14ac:dyDescent="0.25">
      <c r="A701" s="1" t="s">
        <v>27</v>
      </c>
      <c r="B701">
        <v>401754374</v>
      </c>
      <c r="C701" t="s">
        <v>95</v>
      </c>
      <c r="D701" t="s">
        <v>88</v>
      </c>
      <c r="E701" t="s">
        <v>89</v>
      </c>
      <c r="F701">
        <v>10</v>
      </c>
      <c r="G701" t="s">
        <v>233</v>
      </c>
      <c r="H701" t="s">
        <v>236</v>
      </c>
      <c r="I701" t="s">
        <v>308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95</v>
      </c>
      <c r="D702" t="s">
        <v>88</v>
      </c>
      <c r="E702" t="s">
        <v>89</v>
      </c>
      <c r="F702">
        <v>10</v>
      </c>
      <c r="G702" t="s">
        <v>233</v>
      </c>
      <c r="H702" t="s">
        <v>198</v>
      </c>
      <c r="I702" t="s">
        <v>308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95</v>
      </c>
      <c r="D703" t="s">
        <v>88</v>
      </c>
      <c r="E703" t="s">
        <v>89</v>
      </c>
      <c r="F703">
        <v>10</v>
      </c>
      <c r="G703" t="s">
        <v>233</v>
      </c>
      <c r="H703" t="s">
        <v>237</v>
      </c>
      <c r="I703" t="s">
        <v>308</v>
      </c>
      <c r="J703" s="73">
        <v>45658</v>
      </c>
    </row>
    <row r="704" spans="1:10" x14ac:dyDescent="0.25">
      <c r="A704" s="1" t="s">
        <v>27</v>
      </c>
      <c r="B704">
        <v>401754374</v>
      </c>
      <c r="C704" t="s">
        <v>95</v>
      </c>
      <c r="D704" t="s">
        <v>88</v>
      </c>
      <c r="E704" t="s">
        <v>89</v>
      </c>
      <c r="F704">
        <v>10</v>
      </c>
      <c r="G704" t="s">
        <v>233</v>
      </c>
      <c r="H704" t="s">
        <v>238</v>
      </c>
      <c r="I704" t="s">
        <v>308</v>
      </c>
      <c r="J704">
        <v>4</v>
      </c>
    </row>
    <row r="705" spans="1:10" x14ac:dyDescent="0.25">
      <c r="A705" s="1" t="s">
        <v>27</v>
      </c>
      <c r="B705">
        <v>401754374</v>
      </c>
      <c r="C705" t="s">
        <v>95</v>
      </c>
      <c r="D705" t="s">
        <v>88</v>
      </c>
      <c r="E705" t="s">
        <v>89</v>
      </c>
      <c r="F705">
        <v>10</v>
      </c>
      <c r="G705" t="s">
        <v>239</v>
      </c>
      <c r="H705" t="s">
        <v>232</v>
      </c>
      <c r="I705" t="s">
        <v>309</v>
      </c>
      <c r="J705">
        <v>7</v>
      </c>
    </row>
    <row r="706" spans="1:10" x14ac:dyDescent="0.25">
      <c r="A706" s="1" t="s">
        <v>27</v>
      </c>
      <c r="B706">
        <v>401754374</v>
      </c>
      <c r="C706" t="s">
        <v>95</v>
      </c>
      <c r="D706" t="s">
        <v>88</v>
      </c>
      <c r="E706" t="s">
        <v>89</v>
      </c>
      <c r="F706">
        <v>10</v>
      </c>
      <c r="G706" t="s">
        <v>239</v>
      </c>
      <c r="H706" t="s">
        <v>186</v>
      </c>
      <c r="I706" t="s">
        <v>309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95</v>
      </c>
      <c r="D707" t="s">
        <v>88</v>
      </c>
      <c r="E707" t="s">
        <v>89</v>
      </c>
      <c r="F707">
        <v>10</v>
      </c>
      <c r="G707" t="s">
        <v>239</v>
      </c>
      <c r="H707" t="s">
        <v>187</v>
      </c>
      <c r="I707" t="s">
        <v>309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95</v>
      </c>
      <c r="D708" t="s">
        <v>88</v>
      </c>
      <c r="E708" t="s">
        <v>89</v>
      </c>
      <c r="F708">
        <v>10</v>
      </c>
      <c r="G708" t="s">
        <v>239</v>
      </c>
      <c r="H708" t="s">
        <v>241</v>
      </c>
      <c r="I708" t="s">
        <v>309</v>
      </c>
      <c r="J708">
        <v>0</v>
      </c>
    </row>
    <row r="709" spans="1:10" x14ac:dyDescent="0.25">
      <c r="A709" s="1" t="s">
        <v>27</v>
      </c>
      <c r="B709">
        <v>401754374</v>
      </c>
      <c r="C709" t="s">
        <v>95</v>
      </c>
      <c r="D709" t="s">
        <v>88</v>
      </c>
      <c r="E709" t="s">
        <v>89</v>
      </c>
      <c r="F709">
        <v>10</v>
      </c>
      <c r="G709" t="s">
        <v>239</v>
      </c>
      <c r="H709" t="s">
        <v>242</v>
      </c>
      <c r="I709" t="s">
        <v>309</v>
      </c>
      <c r="J709">
        <v>4</v>
      </c>
    </row>
    <row r="710" spans="1:10" x14ac:dyDescent="0.25">
      <c r="A710" s="1" t="s">
        <v>27</v>
      </c>
      <c r="B710">
        <v>401754374</v>
      </c>
      <c r="C710" t="s">
        <v>95</v>
      </c>
      <c r="D710" t="s">
        <v>88</v>
      </c>
      <c r="E710" t="s">
        <v>89</v>
      </c>
      <c r="F710">
        <v>10</v>
      </c>
      <c r="G710" t="s">
        <v>239</v>
      </c>
      <c r="H710" t="s">
        <v>198</v>
      </c>
      <c r="I710" t="s">
        <v>309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124</v>
      </c>
      <c r="D711" t="s">
        <v>243</v>
      </c>
      <c r="E711" t="s">
        <v>89</v>
      </c>
      <c r="F711">
        <v>27</v>
      </c>
      <c r="G711" t="s">
        <v>180</v>
      </c>
      <c r="H711" t="s">
        <v>181</v>
      </c>
      <c r="I711" t="s">
        <v>310</v>
      </c>
      <c r="J711" t="s">
        <v>311</v>
      </c>
    </row>
    <row r="712" spans="1:10" x14ac:dyDescent="0.25">
      <c r="A712" s="1" t="s">
        <v>27</v>
      </c>
      <c r="B712">
        <v>401752806</v>
      </c>
      <c r="C712" t="s">
        <v>124</v>
      </c>
      <c r="D712" t="s">
        <v>243</v>
      </c>
      <c r="E712" t="s">
        <v>89</v>
      </c>
      <c r="F712">
        <v>27</v>
      </c>
      <c r="G712" t="s">
        <v>180</v>
      </c>
      <c r="H712" t="s">
        <v>181</v>
      </c>
      <c r="I712" t="s">
        <v>184</v>
      </c>
      <c r="J712" t="s">
        <v>185</v>
      </c>
    </row>
    <row r="713" spans="1:10" x14ac:dyDescent="0.25">
      <c r="A713" s="1" t="s">
        <v>27</v>
      </c>
      <c r="B713">
        <v>401752806</v>
      </c>
      <c r="C713" t="s">
        <v>124</v>
      </c>
      <c r="D713" t="s">
        <v>243</v>
      </c>
      <c r="E713" t="s">
        <v>89</v>
      </c>
      <c r="F713">
        <v>27</v>
      </c>
      <c r="G713" t="s">
        <v>180</v>
      </c>
      <c r="H713" t="s">
        <v>186</v>
      </c>
      <c r="I713" t="s">
        <v>310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124</v>
      </c>
      <c r="D714" t="s">
        <v>243</v>
      </c>
      <c r="E714" t="s">
        <v>89</v>
      </c>
      <c r="F714">
        <v>27</v>
      </c>
      <c r="G714" t="s">
        <v>180</v>
      </c>
      <c r="H714" t="s">
        <v>186</v>
      </c>
      <c r="I714" t="s">
        <v>184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124</v>
      </c>
      <c r="D715" t="s">
        <v>243</v>
      </c>
      <c r="E715" t="s">
        <v>89</v>
      </c>
      <c r="F715">
        <v>27</v>
      </c>
      <c r="G715" t="s">
        <v>180</v>
      </c>
      <c r="H715" t="s">
        <v>187</v>
      </c>
      <c r="I715" t="s">
        <v>310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124</v>
      </c>
      <c r="D716" t="s">
        <v>243</v>
      </c>
      <c r="E716" t="s">
        <v>89</v>
      </c>
      <c r="F716">
        <v>27</v>
      </c>
      <c r="G716" t="s">
        <v>180</v>
      </c>
      <c r="H716" t="s">
        <v>187</v>
      </c>
      <c r="I716" t="s">
        <v>184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124</v>
      </c>
      <c r="D717" t="s">
        <v>243</v>
      </c>
      <c r="E717" t="s">
        <v>89</v>
      </c>
      <c r="F717">
        <v>27</v>
      </c>
      <c r="G717" t="s">
        <v>180</v>
      </c>
      <c r="H717" t="s">
        <v>188</v>
      </c>
      <c r="I717" t="s">
        <v>310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124</v>
      </c>
      <c r="D718" t="s">
        <v>243</v>
      </c>
      <c r="E718" t="s">
        <v>89</v>
      </c>
      <c r="F718">
        <v>27</v>
      </c>
      <c r="G718" t="s">
        <v>180</v>
      </c>
      <c r="H718" t="s">
        <v>188</v>
      </c>
      <c r="I718" t="s">
        <v>184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124</v>
      </c>
      <c r="D719" t="s">
        <v>243</v>
      </c>
      <c r="E719" t="s">
        <v>89</v>
      </c>
      <c r="F719">
        <v>27</v>
      </c>
      <c r="G719" t="s">
        <v>180</v>
      </c>
      <c r="H719" t="s">
        <v>189</v>
      </c>
      <c r="I719" t="s">
        <v>310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124</v>
      </c>
      <c r="D720" t="s">
        <v>243</v>
      </c>
      <c r="E720" t="s">
        <v>89</v>
      </c>
      <c r="F720">
        <v>27</v>
      </c>
      <c r="G720" t="s">
        <v>180</v>
      </c>
      <c r="H720" t="s">
        <v>189</v>
      </c>
      <c r="I720" t="s">
        <v>184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124</v>
      </c>
      <c r="D721" t="s">
        <v>243</v>
      </c>
      <c r="E721" t="s">
        <v>89</v>
      </c>
      <c r="F721">
        <v>27</v>
      </c>
      <c r="G721" t="s">
        <v>180</v>
      </c>
      <c r="H721" t="s">
        <v>190</v>
      </c>
      <c r="I721" t="s">
        <v>310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124</v>
      </c>
      <c r="D722" t="s">
        <v>243</v>
      </c>
      <c r="E722" t="s">
        <v>89</v>
      </c>
      <c r="F722">
        <v>27</v>
      </c>
      <c r="G722" t="s">
        <v>180</v>
      </c>
      <c r="H722" t="s">
        <v>190</v>
      </c>
      <c r="I722" t="s">
        <v>184</v>
      </c>
      <c r="J722" t="s">
        <v>191</v>
      </c>
    </row>
    <row r="723" spans="1:10" x14ac:dyDescent="0.25">
      <c r="A723" s="1" t="s">
        <v>27</v>
      </c>
      <c r="B723">
        <v>401752806</v>
      </c>
      <c r="C723" t="s">
        <v>124</v>
      </c>
      <c r="D723" t="s">
        <v>243</v>
      </c>
      <c r="E723" t="s">
        <v>89</v>
      </c>
      <c r="F723">
        <v>27</v>
      </c>
      <c r="G723" t="s">
        <v>192</v>
      </c>
      <c r="H723" t="s">
        <v>193</v>
      </c>
      <c r="I723" t="s">
        <v>312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124</v>
      </c>
      <c r="D724" t="s">
        <v>243</v>
      </c>
      <c r="E724" t="s">
        <v>89</v>
      </c>
      <c r="F724">
        <v>27</v>
      </c>
      <c r="G724" t="s">
        <v>192</v>
      </c>
      <c r="H724" t="s">
        <v>193</v>
      </c>
      <c r="I724" t="s">
        <v>313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124</v>
      </c>
      <c r="D725" t="s">
        <v>243</v>
      </c>
      <c r="E725" t="s">
        <v>89</v>
      </c>
      <c r="F725">
        <v>27</v>
      </c>
      <c r="G725" t="s">
        <v>192</v>
      </c>
      <c r="H725" t="s">
        <v>193</v>
      </c>
      <c r="I725" t="s">
        <v>314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124</v>
      </c>
      <c r="D726" t="s">
        <v>243</v>
      </c>
      <c r="E726" t="s">
        <v>89</v>
      </c>
      <c r="F726">
        <v>27</v>
      </c>
      <c r="G726" t="s">
        <v>192</v>
      </c>
      <c r="H726" t="s">
        <v>193</v>
      </c>
      <c r="I726" t="s">
        <v>310</v>
      </c>
      <c r="J726">
        <v>6</v>
      </c>
    </row>
    <row r="727" spans="1:10" x14ac:dyDescent="0.25">
      <c r="A727" s="1" t="s">
        <v>27</v>
      </c>
      <c r="B727">
        <v>401752806</v>
      </c>
      <c r="C727" t="s">
        <v>124</v>
      </c>
      <c r="D727" t="s">
        <v>243</v>
      </c>
      <c r="E727" t="s">
        <v>89</v>
      </c>
      <c r="F727">
        <v>27</v>
      </c>
      <c r="G727" t="s">
        <v>192</v>
      </c>
      <c r="H727" t="s">
        <v>186</v>
      </c>
      <c r="I727" t="s">
        <v>312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124</v>
      </c>
      <c r="D728" t="s">
        <v>243</v>
      </c>
      <c r="E728" t="s">
        <v>89</v>
      </c>
      <c r="F728">
        <v>27</v>
      </c>
      <c r="G728" t="s">
        <v>192</v>
      </c>
      <c r="H728" t="s">
        <v>186</v>
      </c>
      <c r="I728" t="s">
        <v>313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124</v>
      </c>
      <c r="D729" t="s">
        <v>243</v>
      </c>
      <c r="E729" t="s">
        <v>89</v>
      </c>
      <c r="F729">
        <v>27</v>
      </c>
      <c r="G729" t="s">
        <v>192</v>
      </c>
      <c r="H729" t="s">
        <v>186</v>
      </c>
      <c r="I729" t="s">
        <v>314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124</v>
      </c>
      <c r="D730" t="s">
        <v>243</v>
      </c>
      <c r="E730" t="s">
        <v>89</v>
      </c>
      <c r="F730">
        <v>27</v>
      </c>
      <c r="G730" t="s">
        <v>192</v>
      </c>
      <c r="H730" t="s">
        <v>186</v>
      </c>
      <c r="I730" t="s">
        <v>310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124</v>
      </c>
      <c r="D731" t="s">
        <v>243</v>
      </c>
      <c r="E731" t="s">
        <v>89</v>
      </c>
      <c r="F731">
        <v>27</v>
      </c>
      <c r="G731" t="s">
        <v>192</v>
      </c>
      <c r="H731" t="s">
        <v>187</v>
      </c>
      <c r="I731" t="s">
        <v>312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124</v>
      </c>
      <c r="D732" t="s">
        <v>243</v>
      </c>
      <c r="E732" t="s">
        <v>89</v>
      </c>
      <c r="F732">
        <v>27</v>
      </c>
      <c r="G732" t="s">
        <v>192</v>
      </c>
      <c r="H732" t="s">
        <v>187</v>
      </c>
      <c r="I732" t="s">
        <v>313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124</v>
      </c>
      <c r="D733" t="s">
        <v>243</v>
      </c>
      <c r="E733" t="s">
        <v>89</v>
      </c>
      <c r="F733">
        <v>27</v>
      </c>
      <c r="G733" t="s">
        <v>192</v>
      </c>
      <c r="H733" t="s">
        <v>187</v>
      </c>
      <c r="I733" t="s">
        <v>314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124</v>
      </c>
      <c r="D734" t="s">
        <v>243</v>
      </c>
      <c r="E734" t="s">
        <v>89</v>
      </c>
      <c r="F734">
        <v>27</v>
      </c>
      <c r="G734" t="s">
        <v>192</v>
      </c>
      <c r="H734" t="s">
        <v>187</v>
      </c>
      <c r="I734" t="s">
        <v>310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124</v>
      </c>
      <c r="D735" t="s">
        <v>243</v>
      </c>
      <c r="E735" t="s">
        <v>89</v>
      </c>
      <c r="F735">
        <v>27</v>
      </c>
      <c r="G735" t="s">
        <v>192</v>
      </c>
      <c r="H735" t="s">
        <v>188</v>
      </c>
      <c r="I735" t="s">
        <v>312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124</v>
      </c>
      <c r="D736" t="s">
        <v>243</v>
      </c>
      <c r="E736" t="s">
        <v>89</v>
      </c>
      <c r="F736">
        <v>27</v>
      </c>
      <c r="G736" t="s">
        <v>192</v>
      </c>
      <c r="H736" t="s">
        <v>188</v>
      </c>
      <c r="I736" t="s">
        <v>313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124</v>
      </c>
      <c r="D737" t="s">
        <v>243</v>
      </c>
      <c r="E737" t="s">
        <v>89</v>
      </c>
      <c r="F737">
        <v>27</v>
      </c>
      <c r="G737" t="s">
        <v>192</v>
      </c>
      <c r="H737" t="s">
        <v>188</v>
      </c>
      <c r="I737" t="s">
        <v>314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124</v>
      </c>
      <c r="D738" t="s">
        <v>243</v>
      </c>
      <c r="E738" t="s">
        <v>89</v>
      </c>
      <c r="F738">
        <v>27</v>
      </c>
      <c r="G738" t="s">
        <v>192</v>
      </c>
      <c r="H738" t="s">
        <v>188</v>
      </c>
      <c r="I738" t="s">
        <v>310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124</v>
      </c>
      <c r="D739" t="s">
        <v>243</v>
      </c>
      <c r="E739" t="s">
        <v>89</v>
      </c>
      <c r="F739">
        <v>27</v>
      </c>
      <c r="G739" t="s">
        <v>192</v>
      </c>
      <c r="H739" t="s">
        <v>198</v>
      </c>
      <c r="I739" t="s">
        <v>312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124</v>
      </c>
      <c r="D740" t="s">
        <v>243</v>
      </c>
      <c r="E740" t="s">
        <v>89</v>
      </c>
      <c r="F740">
        <v>27</v>
      </c>
      <c r="G740" t="s">
        <v>192</v>
      </c>
      <c r="H740" t="s">
        <v>198</v>
      </c>
      <c r="I740" t="s">
        <v>313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124</v>
      </c>
      <c r="D741" t="s">
        <v>243</v>
      </c>
      <c r="E741" t="s">
        <v>89</v>
      </c>
      <c r="F741">
        <v>27</v>
      </c>
      <c r="G741" t="s">
        <v>192</v>
      </c>
      <c r="H741" t="s">
        <v>198</v>
      </c>
      <c r="I741" t="s">
        <v>314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124</v>
      </c>
      <c r="D742" t="s">
        <v>243</v>
      </c>
      <c r="E742" t="s">
        <v>89</v>
      </c>
      <c r="F742">
        <v>27</v>
      </c>
      <c r="G742" t="s">
        <v>192</v>
      </c>
      <c r="H742" t="s">
        <v>198</v>
      </c>
      <c r="I742" t="s">
        <v>310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124</v>
      </c>
      <c r="D743" t="s">
        <v>243</v>
      </c>
      <c r="E743" t="s">
        <v>89</v>
      </c>
      <c r="F743">
        <v>27</v>
      </c>
      <c r="G743" t="s">
        <v>199</v>
      </c>
      <c r="H743" t="s">
        <v>0</v>
      </c>
      <c r="I743" t="s">
        <v>123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124</v>
      </c>
      <c r="D744" t="s">
        <v>243</v>
      </c>
      <c r="E744" t="s">
        <v>89</v>
      </c>
      <c r="F744">
        <v>27</v>
      </c>
      <c r="G744" t="s">
        <v>199</v>
      </c>
      <c r="H744" t="s">
        <v>0</v>
      </c>
      <c r="I744" t="s">
        <v>315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124</v>
      </c>
      <c r="D745" t="s">
        <v>243</v>
      </c>
      <c r="E745" t="s">
        <v>89</v>
      </c>
      <c r="F745">
        <v>27</v>
      </c>
      <c r="G745" t="s">
        <v>199</v>
      </c>
      <c r="H745" t="s">
        <v>0</v>
      </c>
      <c r="I745" t="s">
        <v>146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124</v>
      </c>
      <c r="D746" t="s">
        <v>243</v>
      </c>
      <c r="E746" t="s">
        <v>89</v>
      </c>
      <c r="F746">
        <v>27</v>
      </c>
      <c r="G746" t="s">
        <v>199</v>
      </c>
      <c r="H746" t="s">
        <v>0</v>
      </c>
      <c r="I746" t="s">
        <v>316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124</v>
      </c>
      <c r="D747" t="s">
        <v>243</v>
      </c>
      <c r="E747" t="s">
        <v>89</v>
      </c>
      <c r="F747">
        <v>27</v>
      </c>
      <c r="G747" t="s">
        <v>199</v>
      </c>
      <c r="H747" t="s">
        <v>0</v>
      </c>
      <c r="I747" t="s">
        <v>317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124</v>
      </c>
      <c r="D748" t="s">
        <v>243</v>
      </c>
      <c r="E748" t="s">
        <v>89</v>
      </c>
      <c r="F748">
        <v>27</v>
      </c>
      <c r="G748" t="s">
        <v>199</v>
      </c>
      <c r="H748" t="s">
        <v>0</v>
      </c>
      <c r="I748" t="s">
        <v>312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124</v>
      </c>
      <c r="D749" t="s">
        <v>243</v>
      </c>
      <c r="E749" t="s">
        <v>89</v>
      </c>
      <c r="F749">
        <v>27</v>
      </c>
      <c r="G749" t="s">
        <v>199</v>
      </c>
      <c r="H749" t="s">
        <v>0</v>
      </c>
      <c r="I749" t="s">
        <v>318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124</v>
      </c>
      <c r="D750" t="s">
        <v>243</v>
      </c>
      <c r="E750" t="s">
        <v>89</v>
      </c>
      <c r="F750">
        <v>27</v>
      </c>
      <c r="G750" t="s">
        <v>199</v>
      </c>
      <c r="H750" t="s">
        <v>0</v>
      </c>
      <c r="I750" t="s">
        <v>319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124</v>
      </c>
      <c r="D751" t="s">
        <v>243</v>
      </c>
      <c r="E751" t="s">
        <v>89</v>
      </c>
      <c r="F751">
        <v>27</v>
      </c>
      <c r="G751" t="s">
        <v>199</v>
      </c>
      <c r="H751" t="s">
        <v>0</v>
      </c>
      <c r="I751" t="s">
        <v>320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124</v>
      </c>
      <c r="D752" t="s">
        <v>243</v>
      </c>
      <c r="E752" t="s">
        <v>89</v>
      </c>
      <c r="F752">
        <v>27</v>
      </c>
      <c r="G752" t="s">
        <v>199</v>
      </c>
      <c r="H752" t="s">
        <v>186</v>
      </c>
      <c r="I752" t="s">
        <v>123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124</v>
      </c>
      <c r="D753" t="s">
        <v>243</v>
      </c>
      <c r="E753" t="s">
        <v>89</v>
      </c>
      <c r="F753">
        <v>27</v>
      </c>
      <c r="G753" t="s">
        <v>199</v>
      </c>
      <c r="H753" t="s">
        <v>186</v>
      </c>
      <c r="I753" t="s">
        <v>315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124</v>
      </c>
      <c r="D754" t="s">
        <v>243</v>
      </c>
      <c r="E754" t="s">
        <v>89</v>
      </c>
      <c r="F754">
        <v>27</v>
      </c>
      <c r="G754" t="s">
        <v>199</v>
      </c>
      <c r="H754" t="s">
        <v>186</v>
      </c>
      <c r="I754" t="s">
        <v>146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124</v>
      </c>
      <c r="D755" t="s">
        <v>243</v>
      </c>
      <c r="E755" t="s">
        <v>89</v>
      </c>
      <c r="F755">
        <v>27</v>
      </c>
      <c r="G755" t="s">
        <v>199</v>
      </c>
      <c r="H755" t="s">
        <v>186</v>
      </c>
      <c r="I755" t="s">
        <v>316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124</v>
      </c>
      <c r="D756" t="s">
        <v>243</v>
      </c>
      <c r="E756" t="s">
        <v>89</v>
      </c>
      <c r="F756">
        <v>27</v>
      </c>
      <c r="G756" t="s">
        <v>199</v>
      </c>
      <c r="H756" t="s">
        <v>186</v>
      </c>
      <c r="I756" t="s">
        <v>317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124</v>
      </c>
      <c r="D757" t="s">
        <v>243</v>
      </c>
      <c r="E757" t="s">
        <v>89</v>
      </c>
      <c r="F757">
        <v>27</v>
      </c>
      <c r="G757" t="s">
        <v>199</v>
      </c>
      <c r="H757" t="s">
        <v>186</v>
      </c>
      <c r="I757" t="s">
        <v>312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124</v>
      </c>
      <c r="D758" t="s">
        <v>243</v>
      </c>
      <c r="E758" t="s">
        <v>89</v>
      </c>
      <c r="F758">
        <v>27</v>
      </c>
      <c r="G758" t="s">
        <v>199</v>
      </c>
      <c r="H758" t="s">
        <v>186</v>
      </c>
      <c r="I758" t="s">
        <v>318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124</v>
      </c>
      <c r="D759" t="s">
        <v>243</v>
      </c>
      <c r="E759" t="s">
        <v>89</v>
      </c>
      <c r="F759">
        <v>27</v>
      </c>
      <c r="G759" t="s">
        <v>199</v>
      </c>
      <c r="H759" t="s">
        <v>186</v>
      </c>
      <c r="I759" t="s">
        <v>319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124</v>
      </c>
      <c r="D760" t="s">
        <v>243</v>
      </c>
      <c r="E760" t="s">
        <v>89</v>
      </c>
      <c r="F760">
        <v>27</v>
      </c>
      <c r="G760" t="s">
        <v>199</v>
      </c>
      <c r="H760" t="s">
        <v>186</v>
      </c>
      <c r="I760" t="s">
        <v>320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124</v>
      </c>
      <c r="D761" t="s">
        <v>243</v>
      </c>
      <c r="E761" t="s">
        <v>89</v>
      </c>
      <c r="F761">
        <v>27</v>
      </c>
      <c r="G761" t="s">
        <v>199</v>
      </c>
      <c r="H761" t="s">
        <v>187</v>
      </c>
      <c r="I761" t="s">
        <v>123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124</v>
      </c>
      <c r="D762" t="s">
        <v>243</v>
      </c>
      <c r="E762" t="s">
        <v>89</v>
      </c>
      <c r="F762">
        <v>27</v>
      </c>
      <c r="G762" t="s">
        <v>199</v>
      </c>
      <c r="H762" t="s">
        <v>187</v>
      </c>
      <c r="I762" t="s">
        <v>315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124</v>
      </c>
      <c r="D763" t="s">
        <v>243</v>
      </c>
      <c r="E763" t="s">
        <v>89</v>
      </c>
      <c r="F763">
        <v>27</v>
      </c>
      <c r="G763" t="s">
        <v>199</v>
      </c>
      <c r="H763" t="s">
        <v>187</v>
      </c>
      <c r="I763" t="s">
        <v>146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124</v>
      </c>
      <c r="D764" t="s">
        <v>243</v>
      </c>
      <c r="E764" t="s">
        <v>89</v>
      </c>
      <c r="F764">
        <v>27</v>
      </c>
      <c r="G764" t="s">
        <v>199</v>
      </c>
      <c r="H764" t="s">
        <v>187</v>
      </c>
      <c r="I764" t="s">
        <v>316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124</v>
      </c>
      <c r="D765" t="s">
        <v>243</v>
      </c>
      <c r="E765" t="s">
        <v>89</v>
      </c>
      <c r="F765">
        <v>27</v>
      </c>
      <c r="G765" t="s">
        <v>199</v>
      </c>
      <c r="H765" t="s">
        <v>187</v>
      </c>
      <c r="I765" t="s">
        <v>317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124</v>
      </c>
      <c r="D766" t="s">
        <v>243</v>
      </c>
      <c r="E766" t="s">
        <v>89</v>
      </c>
      <c r="F766">
        <v>27</v>
      </c>
      <c r="G766" t="s">
        <v>199</v>
      </c>
      <c r="H766" t="s">
        <v>187</v>
      </c>
      <c r="I766" t="s">
        <v>312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124</v>
      </c>
      <c r="D767" t="s">
        <v>243</v>
      </c>
      <c r="E767" t="s">
        <v>89</v>
      </c>
      <c r="F767">
        <v>27</v>
      </c>
      <c r="G767" t="s">
        <v>199</v>
      </c>
      <c r="H767" t="s">
        <v>187</v>
      </c>
      <c r="I767" t="s">
        <v>318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124</v>
      </c>
      <c r="D768" t="s">
        <v>243</v>
      </c>
      <c r="E768" t="s">
        <v>89</v>
      </c>
      <c r="F768">
        <v>27</v>
      </c>
      <c r="G768" t="s">
        <v>199</v>
      </c>
      <c r="H768" t="s">
        <v>187</v>
      </c>
      <c r="I768" t="s">
        <v>319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124</v>
      </c>
      <c r="D769" t="s">
        <v>243</v>
      </c>
      <c r="E769" t="s">
        <v>89</v>
      </c>
      <c r="F769">
        <v>27</v>
      </c>
      <c r="G769" t="s">
        <v>199</v>
      </c>
      <c r="H769" t="s">
        <v>187</v>
      </c>
      <c r="I769" t="s">
        <v>320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124</v>
      </c>
      <c r="D770" t="s">
        <v>243</v>
      </c>
      <c r="E770" t="s">
        <v>89</v>
      </c>
      <c r="F770">
        <v>27</v>
      </c>
      <c r="G770" t="s">
        <v>199</v>
      </c>
      <c r="H770" t="s">
        <v>188</v>
      </c>
      <c r="I770" t="s">
        <v>123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124</v>
      </c>
      <c r="D771" t="s">
        <v>243</v>
      </c>
      <c r="E771" t="s">
        <v>89</v>
      </c>
      <c r="F771">
        <v>27</v>
      </c>
      <c r="G771" t="s">
        <v>199</v>
      </c>
      <c r="H771" t="s">
        <v>188</v>
      </c>
      <c r="I771" t="s">
        <v>315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124</v>
      </c>
      <c r="D772" t="s">
        <v>243</v>
      </c>
      <c r="E772" t="s">
        <v>89</v>
      </c>
      <c r="F772">
        <v>27</v>
      </c>
      <c r="G772" t="s">
        <v>199</v>
      </c>
      <c r="H772" t="s">
        <v>188</v>
      </c>
      <c r="I772" t="s">
        <v>146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124</v>
      </c>
      <c r="D773" t="s">
        <v>243</v>
      </c>
      <c r="E773" t="s">
        <v>89</v>
      </c>
      <c r="F773">
        <v>27</v>
      </c>
      <c r="G773" t="s">
        <v>199</v>
      </c>
      <c r="H773" t="s">
        <v>188</v>
      </c>
      <c r="I773" t="s">
        <v>316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124</v>
      </c>
      <c r="D774" t="s">
        <v>243</v>
      </c>
      <c r="E774" t="s">
        <v>89</v>
      </c>
      <c r="F774">
        <v>27</v>
      </c>
      <c r="G774" t="s">
        <v>199</v>
      </c>
      <c r="H774" t="s">
        <v>188</v>
      </c>
      <c r="I774" t="s">
        <v>317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124</v>
      </c>
      <c r="D775" t="s">
        <v>243</v>
      </c>
      <c r="E775" t="s">
        <v>89</v>
      </c>
      <c r="F775">
        <v>27</v>
      </c>
      <c r="G775" t="s">
        <v>199</v>
      </c>
      <c r="H775" t="s">
        <v>188</v>
      </c>
      <c r="I775" t="s">
        <v>312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124</v>
      </c>
      <c r="D776" t="s">
        <v>243</v>
      </c>
      <c r="E776" t="s">
        <v>89</v>
      </c>
      <c r="F776">
        <v>27</v>
      </c>
      <c r="G776" t="s">
        <v>199</v>
      </c>
      <c r="H776" t="s">
        <v>188</v>
      </c>
      <c r="I776" t="s">
        <v>318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124</v>
      </c>
      <c r="D777" t="s">
        <v>243</v>
      </c>
      <c r="E777" t="s">
        <v>89</v>
      </c>
      <c r="F777">
        <v>27</v>
      </c>
      <c r="G777" t="s">
        <v>199</v>
      </c>
      <c r="H777" t="s">
        <v>188</v>
      </c>
      <c r="I777" t="s">
        <v>319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124</v>
      </c>
      <c r="D778" t="s">
        <v>243</v>
      </c>
      <c r="E778" t="s">
        <v>89</v>
      </c>
      <c r="F778">
        <v>27</v>
      </c>
      <c r="G778" t="s">
        <v>199</v>
      </c>
      <c r="H778" t="s">
        <v>188</v>
      </c>
      <c r="I778" t="s">
        <v>320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124</v>
      </c>
      <c r="D779" t="s">
        <v>243</v>
      </c>
      <c r="E779" t="s">
        <v>89</v>
      </c>
      <c r="F779">
        <v>27</v>
      </c>
      <c r="G779" t="s">
        <v>199</v>
      </c>
      <c r="H779" t="s">
        <v>198</v>
      </c>
      <c r="I779" t="s">
        <v>123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124</v>
      </c>
      <c r="D780" t="s">
        <v>243</v>
      </c>
      <c r="E780" t="s">
        <v>89</v>
      </c>
      <c r="F780">
        <v>27</v>
      </c>
      <c r="G780" t="s">
        <v>199</v>
      </c>
      <c r="H780" t="s">
        <v>198</v>
      </c>
      <c r="I780" t="s">
        <v>315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124</v>
      </c>
      <c r="D781" t="s">
        <v>243</v>
      </c>
      <c r="E781" t="s">
        <v>89</v>
      </c>
      <c r="F781">
        <v>27</v>
      </c>
      <c r="G781" t="s">
        <v>199</v>
      </c>
      <c r="H781" t="s">
        <v>198</v>
      </c>
      <c r="I781" t="s">
        <v>146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124</v>
      </c>
      <c r="D782" t="s">
        <v>243</v>
      </c>
      <c r="E782" t="s">
        <v>89</v>
      </c>
      <c r="F782">
        <v>27</v>
      </c>
      <c r="G782" t="s">
        <v>199</v>
      </c>
      <c r="H782" t="s">
        <v>198</v>
      </c>
      <c r="I782" t="s">
        <v>316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124</v>
      </c>
      <c r="D783" t="s">
        <v>243</v>
      </c>
      <c r="E783" t="s">
        <v>89</v>
      </c>
      <c r="F783">
        <v>27</v>
      </c>
      <c r="G783" t="s">
        <v>199</v>
      </c>
      <c r="H783" t="s">
        <v>198</v>
      </c>
      <c r="I783" t="s">
        <v>317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124</v>
      </c>
      <c r="D784" t="s">
        <v>243</v>
      </c>
      <c r="E784" t="s">
        <v>89</v>
      </c>
      <c r="F784">
        <v>27</v>
      </c>
      <c r="G784" t="s">
        <v>199</v>
      </c>
      <c r="H784" t="s">
        <v>198</v>
      </c>
      <c r="I784" t="s">
        <v>312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124</v>
      </c>
      <c r="D785" t="s">
        <v>243</v>
      </c>
      <c r="E785" t="s">
        <v>89</v>
      </c>
      <c r="F785">
        <v>27</v>
      </c>
      <c r="G785" t="s">
        <v>199</v>
      </c>
      <c r="H785" t="s">
        <v>198</v>
      </c>
      <c r="I785" t="s">
        <v>318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124</v>
      </c>
      <c r="D786" t="s">
        <v>243</v>
      </c>
      <c r="E786" t="s">
        <v>89</v>
      </c>
      <c r="F786">
        <v>27</v>
      </c>
      <c r="G786" t="s">
        <v>199</v>
      </c>
      <c r="H786" t="s">
        <v>198</v>
      </c>
      <c r="I786" t="s">
        <v>319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124</v>
      </c>
      <c r="D787" t="s">
        <v>243</v>
      </c>
      <c r="E787" t="s">
        <v>89</v>
      </c>
      <c r="F787">
        <v>27</v>
      </c>
      <c r="G787" t="s">
        <v>199</v>
      </c>
      <c r="H787" t="s">
        <v>198</v>
      </c>
      <c r="I787" t="s">
        <v>320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124</v>
      </c>
      <c r="D788" t="s">
        <v>243</v>
      </c>
      <c r="E788" t="s">
        <v>89</v>
      </c>
      <c r="F788">
        <v>27</v>
      </c>
      <c r="G788" t="s">
        <v>203</v>
      </c>
      <c r="H788" t="s">
        <v>204</v>
      </c>
      <c r="I788" t="s">
        <v>314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124</v>
      </c>
      <c r="D789" t="s">
        <v>243</v>
      </c>
      <c r="E789" t="s">
        <v>89</v>
      </c>
      <c r="F789">
        <v>27</v>
      </c>
      <c r="G789" t="s">
        <v>203</v>
      </c>
      <c r="H789" t="s">
        <v>205</v>
      </c>
      <c r="I789" t="s">
        <v>314</v>
      </c>
      <c r="J789">
        <v>1</v>
      </c>
    </row>
    <row r="790" spans="1:10" x14ac:dyDescent="0.25">
      <c r="A790" s="1" t="s">
        <v>27</v>
      </c>
      <c r="B790">
        <v>401752806</v>
      </c>
      <c r="C790" t="s">
        <v>124</v>
      </c>
      <c r="D790" t="s">
        <v>243</v>
      </c>
      <c r="E790" t="s">
        <v>89</v>
      </c>
      <c r="F790">
        <v>27</v>
      </c>
      <c r="G790" t="s">
        <v>203</v>
      </c>
      <c r="H790" t="s">
        <v>0</v>
      </c>
      <c r="I790" t="s">
        <v>314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124</v>
      </c>
      <c r="D791" t="s">
        <v>243</v>
      </c>
      <c r="E791" t="s">
        <v>89</v>
      </c>
      <c r="F791">
        <v>27</v>
      </c>
      <c r="G791" t="s">
        <v>90</v>
      </c>
      <c r="H791" t="s">
        <v>206</v>
      </c>
      <c r="I791" t="s">
        <v>321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124</v>
      </c>
      <c r="D792" t="s">
        <v>243</v>
      </c>
      <c r="E792" t="s">
        <v>89</v>
      </c>
      <c r="F792">
        <v>27</v>
      </c>
      <c r="G792" t="s">
        <v>90</v>
      </c>
      <c r="H792" t="s">
        <v>206</v>
      </c>
      <c r="I792" t="s">
        <v>322</v>
      </c>
      <c r="J792">
        <v>5</v>
      </c>
    </row>
    <row r="793" spans="1:10" x14ac:dyDescent="0.25">
      <c r="A793" s="1" t="s">
        <v>27</v>
      </c>
      <c r="B793">
        <v>401752806</v>
      </c>
      <c r="C793" t="s">
        <v>124</v>
      </c>
      <c r="D793" t="s">
        <v>243</v>
      </c>
      <c r="E793" t="s">
        <v>89</v>
      </c>
      <c r="F793">
        <v>27</v>
      </c>
      <c r="G793" t="s">
        <v>90</v>
      </c>
      <c r="H793" t="s">
        <v>206</v>
      </c>
      <c r="I793" t="s">
        <v>323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124</v>
      </c>
      <c r="D794" t="s">
        <v>243</v>
      </c>
      <c r="E794" t="s">
        <v>89</v>
      </c>
      <c r="F794">
        <v>27</v>
      </c>
      <c r="G794" t="s">
        <v>90</v>
      </c>
      <c r="H794" t="s">
        <v>206</v>
      </c>
      <c r="I794" t="s">
        <v>324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124</v>
      </c>
      <c r="D795" t="s">
        <v>243</v>
      </c>
      <c r="E795" t="s">
        <v>89</v>
      </c>
      <c r="F795">
        <v>27</v>
      </c>
      <c r="G795" t="s">
        <v>90</v>
      </c>
      <c r="H795" t="s">
        <v>206</v>
      </c>
      <c r="I795" t="s">
        <v>325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124</v>
      </c>
      <c r="D796" t="s">
        <v>243</v>
      </c>
      <c r="E796" t="s">
        <v>89</v>
      </c>
      <c r="F796">
        <v>27</v>
      </c>
      <c r="G796" t="s">
        <v>90</v>
      </c>
      <c r="H796" t="s">
        <v>206</v>
      </c>
      <c r="I796" t="s">
        <v>326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124</v>
      </c>
      <c r="D797" t="s">
        <v>243</v>
      </c>
      <c r="E797" t="s">
        <v>89</v>
      </c>
      <c r="F797">
        <v>27</v>
      </c>
      <c r="G797" t="s">
        <v>90</v>
      </c>
      <c r="H797" t="s">
        <v>206</v>
      </c>
      <c r="I797" t="s">
        <v>327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124</v>
      </c>
      <c r="D798" t="s">
        <v>243</v>
      </c>
      <c r="E798" t="s">
        <v>89</v>
      </c>
      <c r="F798">
        <v>27</v>
      </c>
      <c r="G798" t="s">
        <v>90</v>
      </c>
      <c r="H798" t="s">
        <v>206</v>
      </c>
      <c r="I798" t="s">
        <v>328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124</v>
      </c>
      <c r="D799" t="s">
        <v>243</v>
      </c>
      <c r="E799" t="s">
        <v>89</v>
      </c>
      <c r="F799">
        <v>27</v>
      </c>
      <c r="G799" t="s">
        <v>90</v>
      </c>
      <c r="H799" t="s">
        <v>206</v>
      </c>
      <c r="I799" t="s">
        <v>329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124</v>
      </c>
      <c r="D800" t="s">
        <v>243</v>
      </c>
      <c r="E800" t="s">
        <v>89</v>
      </c>
      <c r="F800">
        <v>27</v>
      </c>
      <c r="G800" t="s">
        <v>90</v>
      </c>
      <c r="H800" t="s">
        <v>206</v>
      </c>
      <c r="I800" t="s">
        <v>330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124</v>
      </c>
      <c r="D801" t="s">
        <v>243</v>
      </c>
      <c r="E801" t="s">
        <v>89</v>
      </c>
      <c r="F801">
        <v>27</v>
      </c>
      <c r="G801" t="s">
        <v>90</v>
      </c>
      <c r="H801" t="s">
        <v>206</v>
      </c>
      <c r="I801" t="s">
        <v>320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124</v>
      </c>
      <c r="D802" t="s">
        <v>243</v>
      </c>
      <c r="E802" t="s">
        <v>89</v>
      </c>
      <c r="F802">
        <v>27</v>
      </c>
      <c r="G802" t="s">
        <v>90</v>
      </c>
      <c r="H802" t="s">
        <v>206</v>
      </c>
      <c r="I802" t="s">
        <v>331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124</v>
      </c>
      <c r="D803" t="s">
        <v>243</v>
      </c>
      <c r="E803" t="s">
        <v>89</v>
      </c>
      <c r="F803">
        <v>27</v>
      </c>
      <c r="G803" t="s">
        <v>90</v>
      </c>
      <c r="H803" t="s">
        <v>206</v>
      </c>
      <c r="I803" t="s">
        <v>318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124</v>
      </c>
      <c r="D804" t="s">
        <v>243</v>
      </c>
      <c r="E804" t="s">
        <v>89</v>
      </c>
      <c r="F804">
        <v>27</v>
      </c>
      <c r="G804" t="s">
        <v>90</v>
      </c>
      <c r="H804" t="s">
        <v>206</v>
      </c>
      <c r="I804" t="s">
        <v>332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124</v>
      </c>
      <c r="D805" t="s">
        <v>243</v>
      </c>
      <c r="E805" t="s">
        <v>89</v>
      </c>
      <c r="F805">
        <v>27</v>
      </c>
      <c r="G805" t="s">
        <v>90</v>
      </c>
      <c r="H805" t="s">
        <v>227</v>
      </c>
      <c r="I805" t="s">
        <v>321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124</v>
      </c>
      <c r="D806" t="s">
        <v>243</v>
      </c>
      <c r="E806" t="s">
        <v>89</v>
      </c>
      <c r="F806">
        <v>27</v>
      </c>
      <c r="G806" t="s">
        <v>90</v>
      </c>
      <c r="H806" t="s">
        <v>227</v>
      </c>
      <c r="I806" t="s">
        <v>322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124</v>
      </c>
      <c r="D807" t="s">
        <v>243</v>
      </c>
      <c r="E807" t="s">
        <v>89</v>
      </c>
      <c r="F807">
        <v>27</v>
      </c>
      <c r="G807" t="s">
        <v>90</v>
      </c>
      <c r="H807" t="s">
        <v>227</v>
      </c>
      <c r="I807" t="s">
        <v>323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124</v>
      </c>
      <c r="D808" t="s">
        <v>243</v>
      </c>
      <c r="E808" t="s">
        <v>89</v>
      </c>
      <c r="F808">
        <v>27</v>
      </c>
      <c r="G808" t="s">
        <v>90</v>
      </c>
      <c r="H808" t="s">
        <v>227</v>
      </c>
      <c r="I808" t="s">
        <v>324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124</v>
      </c>
      <c r="D809" t="s">
        <v>243</v>
      </c>
      <c r="E809" t="s">
        <v>89</v>
      </c>
      <c r="F809">
        <v>27</v>
      </c>
      <c r="G809" t="s">
        <v>90</v>
      </c>
      <c r="H809" t="s">
        <v>227</v>
      </c>
      <c r="I809" t="s">
        <v>325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124</v>
      </c>
      <c r="D810" t="s">
        <v>243</v>
      </c>
      <c r="E810" t="s">
        <v>89</v>
      </c>
      <c r="F810">
        <v>27</v>
      </c>
      <c r="G810" t="s">
        <v>90</v>
      </c>
      <c r="H810" t="s">
        <v>227</v>
      </c>
      <c r="I810" t="s">
        <v>326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124</v>
      </c>
      <c r="D811" t="s">
        <v>243</v>
      </c>
      <c r="E811" t="s">
        <v>89</v>
      </c>
      <c r="F811">
        <v>27</v>
      </c>
      <c r="G811" t="s">
        <v>90</v>
      </c>
      <c r="H811" t="s">
        <v>227</v>
      </c>
      <c r="I811" t="s">
        <v>327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124</v>
      </c>
      <c r="D812" t="s">
        <v>243</v>
      </c>
      <c r="E812" t="s">
        <v>89</v>
      </c>
      <c r="F812">
        <v>27</v>
      </c>
      <c r="G812" t="s">
        <v>90</v>
      </c>
      <c r="H812" t="s">
        <v>227</v>
      </c>
      <c r="I812" t="s">
        <v>328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124</v>
      </c>
      <c r="D813" t="s">
        <v>243</v>
      </c>
      <c r="E813" t="s">
        <v>89</v>
      </c>
      <c r="F813">
        <v>27</v>
      </c>
      <c r="G813" t="s">
        <v>90</v>
      </c>
      <c r="H813" t="s">
        <v>227</v>
      </c>
      <c r="I813" t="s">
        <v>329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124</v>
      </c>
      <c r="D814" t="s">
        <v>243</v>
      </c>
      <c r="E814" t="s">
        <v>89</v>
      </c>
      <c r="F814">
        <v>27</v>
      </c>
      <c r="G814" t="s">
        <v>90</v>
      </c>
      <c r="H814" t="s">
        <v>227</v>
      </c>
      <c r="I814" t="s">
        <v>330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124</v>
      </c>
      <c r="D815" t="s">
        <v>243</v>
      </c>
      <c r="E815" t="s">
        <v>89</v>
      </c>
      <c r="F815">
        <v>27</v>
      </c>
      <c r="G815" t="s">
        <v>90</v>
      </c>
      <c r="H815" t="s">
        <v>227</v>
      </c>
      <c r="I815" t="s">
        <v>320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124</v>
      </c>
      <c r="D816" t="s">
        <v>243</v>
      </c>
      <c r="E816" t="s">
        <v>89</v>
      </c>
      <c r="F816">
        <v>27</v>
      </c>
      <c r="G816" t="s">
        <v>90</v>
      </c>
      <c r="H816" t="s">
        <v>227</v>
      </c>
      <c r="I816" t="s">
        <v>331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124</v>
      </c>
      <c r="D817" t="s">
        <v>243</v>
      </c>
      <c r="E817" t="s">
        <v>89</v>
      </c>
      <c r="F817">
        <v>27</v>
      </c>
      <c r="G817" t="s">
        <v>90</v>
      </c>
      <c r="H817" t="s">
        <v>227</v>
      </c>
      <c r="I817" t="s">
        <v>318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124</v>
      </c>
      <c r="D818" t="s">
        <v>243</v>
      </c>
      <c r="E818" t="s">
        <v>89</v>
      </c>
      <c r="F818">
        <v>27</v>
      </c>
      <c r="G818" t="s">
        <v>90</v>
      </c>
      <c r="H818" t="s">
        <v>227</v>
      </c>
      <c r="I818" t="s">
        <v>332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124</v>
      </c>
      <c r="D819" t="s">
        <v>243</v>
      </c>
      <c r="E819" t="s">
        <v>89</v>
      </c>
      <c r="F819">
        <v>27</v>
      </c>
      <c r="G819" t="s">
        <v>90</v>
      </c>
      <c r="H819" t="s">
        <v>228</v>
      </c>
      <c r="I819" t="s">
        <v>321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124</v>
      </c>
      <c r="D820" t="s">
        <v>243</v>
      </c>
      <c r="E820" t="s">
        <v>89</v>
      </c>
      <c r="F820">
        <v>27</v>
      </c>
      <c r="G820" t="s">
        <v>90</v>
      </c>
      <c r="H820" t="s">
        <v>228</v>
      </c>
      <c r="I820" t="s">
        <v>322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124</v>
      </c>
      <c r="D821" t="s">
        <v>243</v>
      </c>
      <c r="E821" t="s">
        <v>89</v>
      </c>
      <c r="F821">
        <v>27</v>
      </c>
      <c r="G821" t="s">
        <v>90</v>
      </c>
      <c r="H821" t="s">
        <v>228</v>
      </c>
      <c r="I821" t="s">
        <v>323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124</v>
      </c>
      <c r="D822" t="s">
        <v>243</v>
      </c>
      <c r="E822" t="s">
        <v>89</v>
      </c>
      <c r="F822">
        <v>27</v>
      </c>
      <c r="G822" t="s">
        <v>90</v>
      </c>
      <c r="H822" t="s">
        <v>228</v>
      </c>
      <c r="I822" t="s">
        <v>324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124</v>
      </c>
      <c r="D823" t="s">
        <v>243</v>
      </c>
      <c r="E823" t="s">
        <v>89</v>
      </c>
      <c r="F823">
        <v>27</v>
      </c>
      <c r="G823" t="s">
        <v>90</v>
      </c>
      <c r="H823" t="s">
        <v>228</v>
      </c>
      <c r="I823" t="s">
        <v>325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124</v>
      </c>
      <c r="D824" t="s">
        <v>243</v>
      </c>
      <c r="E824" t="s">
        <v>89</v>
      </c>
      <c r="F824">
        <v>27</v>
      </c>
      <c r="G824" t="s">
        <v>90</v>
      </c>
      <c r="H824" t="s">
        <v>228</v>
      </c>
      <c r="I824" t="s">
        <v>326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124</v>
      </c>
      <c r="D825" t="s">
        <v>243</v>
      </c>
      <c r="E825" t="s">
        <v>89</v>
      </c>
      <c r="F825">
        <v>27</v>
      </c>
      <c r="G825" t="s">
        <v>90</v>
      </c>
      <c r="H825" t="s">
        <v>228</v>
      </c>
      <c r="I825" t="s">
        <v>327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124</v>
      </c>
      <c r="D826" t="s">
        <v>243</v>
      </c>
      <c r="E826" t="s">
        <v>89</v>
      </c>
      <c r="F826">
        <v>27</v>
      </c>
      <c r="G826" t="s">
        <v>90</v>
      </c>
      <c r="H826" t="s">
        <v>228</v>
      </c>
      <c r="I826" t="s">
        <v>328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124</v>
      </c>
      <c r="D827" t="s">
        <v>243</v>
      </c>
      <c r="E827" t="s">
        <v>89</v>
      </c>
      <c r="F827">
        <v>27</v>
      </c>
      <c r="G827" t="s">
        <v>90</v>
      </c>
      <c r="H827" t="s">
        <v>228</v>
      </c>
      <c r="I827" t="s">
        <v>329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124</v>
      </c>
      <c r="D828" t="s">
        <v>243</v>
      </c>
      <c r="E828" t="s">
        <v>89</v>
      </c>
      <c r="F828">
        <v>27</v>
      </c>
      <c r="G828" t="s">
        <v>90</v>
      </c>
      <c r="H828" t="s">
        <v>228</v>
      </c>
      <c r="I828" t="s">
        <v>330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124</v>
      </c>
      <c r="D829" t="s">
        <v>243</v>
      </c>
      <c r="E829" t="s">
        <v>89</v>
      </c>
      <c r="F829">
        <v>27</v>
      </c>
      <c r="G829" t="s">
        <v>90</v>
      </c>
      <c r="H829" t="s">
        <v>228</v>
      </c>
      <c r="I829" t="s">
        <v>320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124</v>
      </c>
      <c r="D830" t="s">
        <v>243</v>
      </c>
      <c r="E830" t="s">
        <v>89</v>
      </c>
      <c r="F830">
        <v>27</v>
      </c>
      <c r="G830" t="s">
        <v>90</v>
      </c>
      <c r="H830" t="s">
        <v>228</v>
      </c>
      <c r="I830" t="s">
        <v>331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124</v>
      </c>
      <c r="D831" t="s">
        <v>243</v>
      </c>
      <c r="E831" t="s">
        <v>89</v>
      </c>
      <c r="F831">
        <v>27</v>
      </c>
      <c r="G831" t="s">
        <v>90</v>
      </c>
      <c r="H831" t="s">
        <v>228</v>
      </c>
      <c r="I831" t="s">
        <v>318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124</v>
      </c>
      <c r="D832" t="s">
        <v>243</v>
      </c>
      <c r="E832" t="s">
        <v>89</v>
      </c>
      <c r="F832">
        <v>27</v>
      </c>
      <c r="G832" t="s">
        <v>90</v>
      </c>
      <c r="H832" t="s">
        <v>228</v>
      </c>
      <c r="I832" t="s">
        <v>332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124</v>
      </c>
      <c r="D833" t="s">
        <v>243</v>
      </c>
      <c r="E833" t="s">
        <v>89</v>
      </c>
      <c r="F833">
        <v>27</v>
      </c>
      <c r="G833" t="s">
        <v>90</v>
      </c>
      <c r="H833" t="s">
        <v>229</v>
      </c>
      <c r="I833" t="s">
        <v>321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124</v>
      </c>
      <c r="D834" t="s">
        <v>243</v>
      </c>
      <c r="E834" t="s">
        <v>89</v>
      </c>
      <c r="F834">
        <v>27</v>
      </c>
      <c r="G834" t="s">
        <v>90</v>
      </c>
      <c r="H834" t="s">
        <v>229</v>
      </c>
      <c r="I834" t="s">
        <v>322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124</v>
      </c>
      <c r="D835" t="s">
        <v>243</v>
      </c>
      <c r="E835" t="s">
        <v>89</v>
      </c>
      <c r="F835">
        <v>27</v>
      </c>
      <c r="G835" t="s">
        <v>90</v>
      </c>
      <c r="H835" t="s">
        <v>229</v>
      </c>
      <c r="I835" t="s">
        <v>323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124</v>
      </c>
      <c r="D836" t="s">
        <v>243</v>
      </c>
      <c r="E836" t="s">
        <v>89</v>
      </c>
      <c r="F836">
        <v>27</v>
      </c>
      <c r="G836" t="s">
        <v>90</v>
      </c>
      <c r="H836" t="s">
        <v>229</v>
      </c>
      <c r="I836" t="s">
        <v>324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124</v>
      </c>
      <c r="D837" t="s">
        <v>243</v>
      </c>
      <c r="E837" t="s">
        <v>89</v>
      </c>
      <c r="F837">
        <v>27</v>
      </c>
      <c r="G837" t="s">
        <v>90</v>
      </c>
      <c r="H837" t="s">
        <v>229</v>
      </c>
      <c r="I837" t="s">
        <v>325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124</v>
      </c>
      <c r="D838" t="s">
        <v>243</v>
      </c>
      <c r="E838" t="s">
        <v>89</v>
      </c>
      <c r="F838">
        <v>27</v>
      </c>
      <c r="G838" t="s">
        <v>90</v>
      </c>
      <c r="H838" t="s">
        <v>229</v>
      </c>
      <c r="I838" t="s">
        <v>326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124</v>
      </c>
      <c r="D839" t="s">
        <v>243</v>
      </c>
      <c r="E839" t="s">
        <v>89</v>
      </c>
      <c r="F839">
        <v>27</v>
      </c>
      <c r="G839" t="s">
        <v>90</v>
      </c>
      <c r="H839" t="s">
        <v>229</v>
      </c>
      <c r="I839" t="s">
        <v>327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124</v>
      </c>
      <c r="D840" t="s">
        <v>243</v>
      </c>
      <c r="E840" t="s">
        <v>89</v>
      </c>
      <c r="F840">
        <v>27</v>
      </c>
      <c r="G840" t="s">
        <v>90</v>
      </c>
      <c r="H840" t="s">
        <v>229</v>
      </c>
      <c r="I840" t="s">
        <v>328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124</v>
      </c>
      <c r="D841" t="s">
        <v>243</v>
      </c>
      <c r="E841" t="s">
        <v>89</v>
      </c>
      <c r="F841">
        <v>27</v>
      </c>
      <c r="G841" t="s">
        <v>90</v>
      </c>
      <c r="H841" t="s">
        <v>229</v>
      </c>
      <c r="I841" t="s">
        <v>329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124</v>
      </c>
      <c r="D842" t="s">
        <v>243</v>
      </c>
      <c r="E842" t="s">
        <v>89</v>
      </c>
      <c r="F842">
        <v>27</v>
      </c>
      <c r="G842" t="s">
        <v>90</v>
      </c>
      <c r="H842" t="s">
        <v>229</v>
      </c>
      <c r="I842" t="s">
        <v>330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124</v>
      </c>
      <c r="D843" t="s">
        <v>243</v>
      </c>
      <c r="E843" t="s">
        <v>89</v>
      </c>
      <c r="F843">
        <v>27</v>
      </c>
      <c r="G843" t="s">
        <v>90</v>
      </c>
      <c r="H843" t="s">
        <v>229</v>
      </c>
      <c r="I843" t="s">
        <v>320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124</v>
      </c>
      <c r="D844" t="s">
        <v>243</v>
      </c>
      <c r="E844" t="s">
        <v>89</v>
      </c>
      <c r="F844">
        <v>27</v>
      </c>
      <c r="G844" t="s">
        <v>90</v>
      </c>
      <c r="H844" t="s">
        <v>229</v>
      </c>
      <c r="I844" t="s">
        <v>331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124</v>
      </c>
      <c r="D845" t="s">
        <v>243</v>
      </c>
      <c r="E845" t="s">
        <v>89</v>
      </c>
      <c r="F845">
        <v>27</v>
      </c>
      <c r="G845" t="s">
        <v>90</v>
      </c>
      <c r="H845" t="s">
        <v>229</v>
      </c>
      <c r="I845" t="s">
        <v>318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124</v>
      </c>
      <c r="D846" t="s">
        <v>243</v>
      </c>
      <c r="E846" t="s">
        <v>89</v>
      </c>
      <c r="F846">
        <v>27</v>
      </c>
      <c r="G846" t="s">
        <v>90</v>
      </c>
      <c r="H846" t="s">
        <v>229</v>
      </c>
      <c r="I846" t="s">
        <v>332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124</v>
      </c>
      <c r="D847" t="s">
        <v>243</v>
      </c>
      <c r="E847" t="s">
        <v>89</v>
      </c>
      <c r="F847">
        <v>27</v>
      </c>
      <c r="G847" t="s">
        <v>90</v>
      </c>
      <c r="H847" t="s">
        <v>91</v>
      </c>
      <c r="I847" t="s">
        <v>321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124</v>
      </c>
      <c r="D848" t="s">
        <v>243</v>
      </c>
      <c r="E848" t="s">
        <v>89</v>
      </c>
      <c r="F848">
        <v>27</v>
      </c>
      <c r="G848" t="s">
        <v>90</v>
      </c>
      <c r="H848" t="s">
        <v>91</v>
      </c>
      <c r="I848" t="s">
        <v>322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124</v>
      </c>
      <c r="D849" t="s">
        <v>243</v>
      </c>
      <c r="E849" t="s">
        <v>89</v>
      </c>
      <c r="F849">
        <v>27</v>
      </c>
      <c r="G849" t="s">
        <v>90</v>
      </c>
      <c r="H849" t="s">
        <v>91</v>
      </c>
      <c r="I849" t="s">
        <v>323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124</v>
      </c>
      <c r="D850" t="s">
        <v>243</v>
      </c>
      <c r="E850" t="s">
        <v>89</v>
      </c>
      <c r="F850">
        <v>27</v>
      </c>
      <c r="G850" t="s">
        <v>90</v>
      </c>
      <c r="H850" t="s">
        <v>91</v>
      </c>
      <c r="I850" t="s">
        <v>324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124</v>
      </c>
      <c r="D851" t="s">
        <v>243</v>
      </c>
      <c r="E851" t="s">
        <v>89</v>
      </c>
      <c r="F851">
        <v>27</v>
      </c>
      <c r="G851" t="s">
        <v>90</v>
      </c>
      <c r="H851" t="s">
        <v>91</v>
      </c>
      <c r="I851" t="s">
        <v>325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124</v>
      </c>
      <c r="D852" t="s">
        <v>243</v>
      </c>
      <c r="E852" t="s">
        <v>89</v>
      </c>
      <c r="F852">
        <v>27</v>
      </c>
      <c r="G852" t="s">
        <v>90</v>
      </c>
      <c r="H852" t="s">
        <v>91</v>
      </c>
      <c r="I852" t="s">
        <v>326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124</v>
      </c>
      <c r="D853" t="s">
        <v>243</v>
      </c>
      <c r="E853" t="s">
        <v>89</v>
      </c>
      <c r="F853">
        <v>27</v>
      </c>
      <c r="G853" t="s">
        <v>90</v>
      </c>
      <c r="H853" t="s">
        <v>91</v>
      </c>
      <c r="I853" t="s">
        <v>327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124</v>
      </c>
      <c r="D854" t="s">
        <v>243</v>
      </c>
      <c r="E854" t="s">
        <v>89</v>
      </c>
      <c r="F854">
        <v>27</v>
      </c>
      <c r="G854" t="s">
        <v>90</v>
      </c>
      <c r="H854" t="s">
        <v>91</v>
      </c>
      <c r="I854" t="s">
        <v>328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124</v>
      </c>
      <c r="D855" t="s">
        <v>243</v>
      </c>
      <c r="E855" t="s">
        <v>89</v>
      </c>
      <c r="F855">
        <v>27</v>
      </c>
      <c r="G855" t="s">
        <v>90</v>
      </c>
      <c r="H855" t="s">
        <v>91</v>
      </c>
      <c r="I855" t="s">
        <v>329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124</v>
      </c>
      <c r="D856" t="s">
        <v>243</v>
      </c>
      <c r="E856" t="s">
        <v>89</v>
      </c>
      <c r="F856">
        <v>27</v>
      </c>
      <c r="G856" t="s">
        <v>90</v>
      </c>
      <c r="H856" t="s">
        <v>91</v>
      </c>
      <c r="I856" t="s">
        <v>330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124</v>
      </c>
      <c r="D857" t="s">
        <v>243</v>
      </c>
      <c r="E857" t="s">
        <v>89</v>
      </c>
      <c r="F857">
        <v>27</v>
      </c>
      <c r="G857" t="s">
        <v>90</v>
      </c>
      <c r="H857" t="s">
        <v>91</v>
      </c>
      <c r="I857" t="s">
        <v>320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124</v>
      </c>
      <c r="D858" t="s">
        <v>243</v>
      </c>
      <c r="E858" t="s">
        <v>89</v>
      </c>
      <c r="F858">
        <v>27</v>
      </c>
      <c r="G858" t="s">
        <v>90</v>
      </c>
      <c r="H858" t="s">
        <v>91</v>
      </c>
      <c r="I858" t="s">
        <v>331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124</v>
      </c>
      <c r="D859" t="s">
        <v>243</v>
      </c>
      <c r="E859" t="s">
        <v>89</v>
      </c>
      <c r="F859">
        <v>27</v>
      </c>
      <c r="G859" t="s">
        <v>90</v>
      </c>
      <c r="H859" t="s">
        <v>91</v>
      </c>
      <c r="I859" t="s">
        <v>318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124</v>
      </c>
      <c r="D860" t="s">
        <v>243</v>
      </c>
      <c r="E860" t="s">
        <v>89</v>
      </c>
      <c r="F860">
        <v>27</v>
      </c>
      <c r="G860" t="s">
        <v>90</v>
      </c>
      <c r="H860" t="s">
        <v>91</v>
      </c>
      <c r="I860" t="s">
        <v>332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124</v>
      </c>
      <c r="D861" t="s">
        <v>243</v>
      </c>
      <c r="E861" t="s">
        <v>89</v>
      </c>
      <c r="F861">
        <v>27</v>
      </c>
      <c r="G861" t="s">
        <v>90</v>
      </c>
      <c r="H861" t="s">
        <v>230</v>
      </c>
      <c r="I861" t="s">
        <v>321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124</v>
      </c>
      <c r="D862" t="s">
        <v>243</v>
      </c>
      <c r="E862" t="s">
        <v>89</v>
      </c>
      <c r="F862">
        <v>27</v>
      </c>
      <c r="G862" t="s">
        <v>90</v>
      </c>
      <c r="H862" t="s">
        <v>230</v>
      </c>
      <c r="I862" t="s">
        <v>322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124</v>
      </c>
      <c r="D863" t="s">
        <v>243</v>
      </c>
      <c r="E863" t="s">
        <v>89</v>
      </c>
      <c r="F863">
        <v>27</v>
      </c>
      <c r="G863" t="s">
        <v>90</v>
      </c>
      <c r="H863" t="s">
        <v>230</v>
      </c>
      <c r="I863" t="s">
        <v>323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124</v>
      </c>
      <c r="D864" t="s">
        <v>243</v>
      </c>
      <c r="E864" t="s">
        <v>89</v>
      </c>
      <c r="F864">
        <v>27</v>
      </c>
      <c r="G864" t="s">
        <v>90</v>
      </c>
      <c r="H864" t="s">
        <v>230</v>
      </c>
      <c r="I864" t="s">
        <v>324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124</v>
      </c>
      <c r="D865" t="s">
        <v>243</v>
      </c>
      <c r="E865" t="s">
        <v>89</v>
      </c>
      <c r="F865">
        <v>27</v>
      </c>
      <c r="G865" t="s">
        <v>90</v>
      </c>
      <c r="H865" t="s">
        <v>230</v>
      </c>
      <c r="I865" t="s">
        <v>325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124</v>
      </c>
      <c r="D866" t="s">
        <v>243</v>
      </c>
      <c r="E866" t="s">
        <v>89</v>
      </c>
      <c r="F866">
        <v>27</v>
      </c>
      <c r="G866" t="s">
        <v>90</v>
      </c>
      <c r="H866" t="s">
        <v>230</v>
      </c>
      <c r="I866" t="s">
        <v>326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124</v>
      </c>
      <c r="D867" t="s">
        <v>243</v>
      </c>
      <c r="E867" t="s">
        <v>89</v>
      </c>
      <c r="F867">
        <v>27</v>
      </c>
      <c r="G867" t="s">
        <v>90</v>
      </c>
      <c r="H867" t="s">
        <v>230</v>
      </c>
      <c r="I867" t="s">
        <v>327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124</v>
      </c>
      <c r="D868" t="s">
        <v>243</v>
      </c>
      <c r="E868" t="s">
        <v>89</v>
      </c>
      <c r="F868">
        <v>27</v>
      </c>
      <c r="G868" t="s">
        <v>90</v>
      </c>
      <c r="H868" t="s">
        <v>230</v>
      </c>
      <c r="I868" t="s">
        <v>328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124</v>
      </c>
      <c r="D869" t="s">
        <v>243</v>
      </c>
      <c r="E869" t="s">
        <v>89</v>
      </c>
      <c r="F869">
        <v>27</v>
      </c>
      <c r="G869" t="s">
        <v>90</v>
      </c>
      <c r="H869" t="s">
        <v>230</v>
      </c>
      <c r="I869" t="s">
        <v>329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124</v>
      </c>
      <c r="D870" t="s">
        <v>243</v>
      </c>
      <c r="E870" t="s">
        <v>89</v>
      </c>
      <c r="F870">
        <v>27</v>
      </c>
      <c r="G870" t="s">
        <v>90</v>
      </c>
      <c r="H870" t="s">
        <v>230</v>
      </c>
      <c r="I870" t="s">
        <v>330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124</v>
      </c>
      <c r="D871" t="s">
        <v>243</v>
      </c>
      <c r="E871" t="s">
        <v>89</v>
      </c>
      <c r="F871">
        <v>27</v>
      </c>
      <c r="G871" t="s">
        <v>90</v>
      </c>
      <c r="H871" t="s">
        <v>230</v>
      </c>
      <c r="I871" t="s">
        <v>320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124</v>
      </c>
      <c r="D872" t="s">
        <v>243</v>
      </c>
      <c r="E872" t="s">
        <v>89</v>
      </c>
      <c r="F872">
        <v>27</v>
      </c>
      <c r="G872" t="s">
        <v>90</v>
      </c>
      <c r="H872" t="s">
        <v>230</v>
      </c>
      <c r="I872" t="s">
        <v>331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124</v>
      </c>
      <c r="D873" t="s">
        <v>243</v>
      </c>
      <c r="E873" t="s">
        <v>89</v>
      </c>
      <c r="F873">
        <v>27</v>
      </c>
      <c r="G873" t="s">
        <v>90</v>
      </c>
      <c r="H873" t="s">
        <v>230</v>
      </c>
      <c r="I873" t="s">
        <v>318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124</v>
      </c>
      <c r="D874" t="s">
        <v>243</v>
      </c>
      <c r="E874" t="s">
        <v>89</v>
      </c>
      <c r="F874">
        <v>27</v>
      </c>
      <c r="G874" t="s">
        <v>90</v>
      </c>
      <c r="H874" t="s">
        <v>230</v>
      </c>
      <c r="I874" t="s">
        <v>332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124</v>
      </c>
      <c r="D875" t="s">
        <v>243</v>
      </c>
      <c r="E875" t="s">
        <v>89</v>
      </c>
      <c r="F875">
        <v>27</v>
      </c>
      <c r="G875" t="s">
        <v>90</v>
      </c>
      <c r="H875" t="s">
        <v>188</v>
      </c>
      <c r="I875" t="s">
        <v>321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124</v>
      </c>
      <c r="D876" t="s">
        <v>243</v>
      </c>
      <c r="E876" t="s">
        <v>89</v>
      </c>
      <c r="F876">
        <v>27</v>
      </c>
      <c r="G876" t="s">
        <v>90</v>
      </c>
      <c r="H876" t="s">
        <v>188</v>
      </c>
      <c r="I876" t="s">
        <v>322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124</v>
      </c>
      <c r="D877" t="s">
        <v>243</v>
      </c>
      <c r="E877" t="s">
        <v>89</v>
      </c>
      <c r="F877">
        <v>27</v>
      </c>
      <c r="G877" t="s">
        <v>90</v>
      </c>
      <c r="H877" t="s">
        <v>188</v>
      </c>
      <c r="I877" t="s">
        <v>323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124</v>
      </c>
      <c r="D878" t="s">
        <v>243</v>
      </c>
      <c r="E878" t="s">
        <v>89</v>
      </c>
      <c r="F878">
        <v>27</v>
      </c>
      <c r="G878" t="s">
        <v>90</v>
      </c>
      <c r="H878" t="s">
        <v>188</v>
      </c>
      <c r="I878" t="s">
        <v>324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124</v>
      </c>
      <c r="D879" t="s">
        <v>243</v>
      </c>
      <c r="E879" t="s">
        <v>89</v>
      </c>
      <c r="F879">
        <v>27</v>
      </c>
      <c r="G879" t="s">
        <v>90</v>
      </c>
      <c r="H879" t="s">
        <v>188</v>
      </c>
      <c r="I879" t="s">
        <v>325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124</v>
      </c>
      <c r="D880" t="s">
        <v>243</v>
      </c>
      <c r="E880" t="s">
        <v>89</v>
      </c>
      <c r="F880">
        <v>27</v>
      </c>
      <c r="G880" t="s">
        <v>90</v>
      </c>
      <c r="H880" t="s">
        <v>188</v>
      </c>
      <c r="I880" t="s">
        <v>326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124</v>
      </c>
      <c r="D881" t="s">
        <v>243</v>
      </c>
      <c r="E881" t="s">
        <v>89</v>
      </c>
      <c r="F881">
        <v>27</v>
      </c>
      <c r="G881" t="s">
        <v>90</v>
      </c>
      <c r="H881" t="s">
        <v>188</v>
      </c>
      <c r="I881" t="s">
        <v>327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124</v>
      </c>
      <c r="D882" t="s">
        <v>243</v>
      </c>
      <c r="E882" t="s">
        <v>89</v>
      </c>
      <c r="F882">
        <v>27</v>
      </c>
      <c r="G882" t="s">
        <v>90</v>
      </c>
      <c r="H882" t="s">
        <v>188</v>
      </c>
      <c r="I882" t="s">
        <v>328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124</v>
      </c>
      <c r="D883" t="s">
        <v>243</v>
      </c>
      <c r="E883" t="s">
        <v>89</v>
      </c>
      <c r="F883">
        <v>27</v>
      </c>
      <c r="G883" t="s">
        <v>90</v>
      </c>
      <c r="H883" t="s">
        <v>188</v>
      </c>
      <c r="I883" t="s">
        <v>329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124</v>
      </c>
      <c r="D884" t="s">
        <v>243</v>
      </c>
      <c r="E884" t="s">
        <v>89</v>
      </c>
      <c r="F884">
        <v>27</v>
      </c>
      <c r="G884" t="s">
        <v>90</v>
      </c>
      <c r="H884" t="s">
        <v>188</v>
      </c>
      <c r="I884" t="s">
        <v>330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124</v>
      </c>
      <c r="D885" t="s">
        <v>243</v>
      </c>
      <c r="E885" t="s">
        <v>89</v>
      </c>
      <c r="F885">
        <v>27</v>
      </c>
      <c r="G885" t="s">
        <v>90</v>
      </c>
      <c r="H885" t="s">
        <v>188</v>
      </c>
      <c r="I885" t="s">
        <v>320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124</v>
      </c>
      <c r="D886" t="s">
        <v>243</v>
      </c>
      <c r="E886" t="s">
        <v>89</v>
      </c>
      <c r="F886">
        <v>27</v>
      </c>
      <c r="G886" t="s">
        <v>90</v>
      </c>
      <c r="H886" t="s">
        <v>188</v>
      </c>
      <c r="I886" t="s">
        <v>331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124</v>
      </c>
      <c r="D887" t="s">
        <v>243</v>
      </c>
      <c r="E887" t="s">
        <v>89</v>
      </c>
      <c r="F887">
        <v>27</v>
      </c>
      <c r="G887" t="s">
        <v>90</v>
      </c>
      <c r="H887" t="s">
        <v>188</v>
      </c>
      <c r="I887" t="s">
        <v>318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124</v>
      </c>
      <c r="D888" t="s">
        <v>243</v>
      </c>
      <c r="E888" t="s">
        <v>89</v>
      </c>
      <c r="F888">
        <v>27</v>
      </c>
      <c r="G888" t="s">
        <v>90</v>
      </c>
      <c r="H888" t="s">
        <v>188</v>
      </c>
      <c r="I888" t="s">
        <v>332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124</v>
      </c>
      <c r="D889" t="s">
        <v>243</v>
      </c>
      <c r="E889" t="s">
        <v>89</v>
      </c>
      <c r="F889">
        <v>27</v>
      </c>
      <c r="G889" t="s">
        <v>271</v>
      </c>
      <c r="H889" t="s">
        <v>189</v>
      </c>
      <c r="I889" t="s">
        <v>321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124</v>
      </c>
      <c r="D890" t="s">
        <v>243</v>
      </c>
      <c r="E890" t="s">
        <v>89</v>
      </c>
      <c r="F890">
        <v>27</v>
      </c>
      <c r="G890" t="s">
        <v>271</v>
      </c>
      <c r="H890" t="s">
        <v>189</v>
      </c>
      <c r="I890" t="s">
        <v>329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124</v>
      </c>
      <c r="D891" t="s">
        <v>243</v>
      </c>
      <c r="E891" t="s">
        <v>89</v>
      </c>
      <c r="F891">
        <v>27</v>
      </c>
      <c r="G891" t="s">
        <v>271</v>
      </c>
      <c r="H891" t="s">
        <v>189</v>
      </c>
      <c r="I891" t="s">
        <v>324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124</v>
      </c>
      <c r="D892" t="s">
        <v>243</v>
      </c>
      <c r="E892" t="s">
        <v>89</v>
      </c>
      <c r="F892">
        <v>27</v>
      </c>
      <c r="G892" t="s">
        <v>271</v>
      </c>
      <c r="H892" t="s">
        <v>186</v>
      </c>
      <c r="I892" t="s">
        <v>321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124</v>
      </c>
      <c r="D893" t="s">
        <v>243</v>
      </c>
      <c r="E893" t="s">
        <v>89</v>
      </c>
      <c r="F893">
        <v>27</v>
      </c>
      <c r="G893" t="s">
        <v>271</v>
      </c>
      <c r="H893" t="s">
        <v>186</v>
      </c>
      <c r="I893" t="s">
        <v>329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124</v>
      </c>
      <c r="D894" t="s">
        <v>243</v>
      </c>
      <c r="E894" t="s">
        <v>89</v>
      </c>
      <c r="F894">
        <v>27</v>
      </c>
      <c r="G894" t="s">
        <v>271</v>
      </c>
      <c r="H894" t="s">
        <v>186</v>
      </c>
      <c r="I894" t="s">
        <v>324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124</v>
      </c>
      <c r="D895" t="s">
        <v>243</v>
      </c>
      <c r="E895" t="s">
        <v>89</v>
      </c>
      <c r="F895">
        <v>27</v>
      </c>
      <c r="G895" t="s">
        <v>271</v>
      </c>
      <c r="H895" t="s">
        <v>188</v>
      </c>
      <c r="I895" t="s">
        <v>321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124</v>
      </c>
      <c r="D896" t="s">
        <v>243</v>
      </c>
      <c r="E896" t="s">
        <v>89</v>
      </c>
      <c r="F896">
        <v>27</v>
      </c>
      <c r="G896" t="s">
        <v>271</v>
      </c>
      <c r="H896" t="s">
        <v>188</v>
      </c>
      <c r="I896" t="s">
        <v>329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124</v>
      </c>
      <c r="D897" t="s">
        <v>243</v>
      </c>
      <c r="E897" t="s">
        <v>89</v>
      </c>
      <c r="F897">
        <v>27</v>
      </c>
      <c r="G897" t="s">
        <v>271</v>
      </c>
      <c r="H897" t="s">
        <v>188</v>
      </c>
      <c r="I897" t="s">
        <v>324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124</v>
      </c>
      <c r="D898" t="s">
        <v>243</v>
      </c>
      <c r="E898" t="s">
        <v>89</v>
      </c>
      <c r="F898">
        <v>27</v>
      </c>
      <c r="G898" t="s">
        <v>272</v>
      </c>
      <c r="H898" t="s">
        <v>232</v>
      </c>
      <c r="I898" t="s">
        <v>312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124</v>
      </c>
      <c r="D899" t="s">
        <v>243</v>
      </c>
      <c r="E899" t="s">
        <v>89</v>
      </c>
      <c r="F899">
        <v>27</v>
      </c>
      <c r="G899" t="s">
        <v>272</v>
      </c>
      <c r="H899" t="s">
        <v>186</v>
      </c>
      <c r="I899" t="s">
        <v>312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124</v>
      </c>
      <c r="D900" t="s">
        <v>243</v>
      </c>
      <c r="E900" t="s">
        <v>89</v>
      </c>
      <c r="F900">
        <v>27</v>
      </c>
      <c r="G900" t="s">
        <v>272</v>
      </c>
      <c r="H900" t="s">
        <v>187</v>
      </c>
      <c r="I900" t="s">
        <v>312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124</v>
      </c>
      <c r="D901" t="s">
        <v>243</v>
      </c>
      <c r="E901" t="s">
        <v>89</v>
      </c>
      <c r="F901">
        <v>27</v>
      </c>
      <c r="G901" t="s">
        <v>272</v>
      </c>
      <c r="H901" t="s">
        <v>198</v>
      </c>
      <c r="I901" t="s">
        <v>312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124</v>
      </c>
      <c r="D902" t="s">
        <v>243</v>
      </c>
      <c r="E902" t="s">
        <v>89</v>
      </c>
      <c r="F902">
        <v>27</v>
      </c>
      <c r="G902" t="s">
        <v>272</v>
      </c>
      <c r="H902" t="s">
        <v>188</v>
      </c>
      <c r="I902" t="s">
        <v>312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124</v>
      </c>
      <c r="D903" t="s">
        <v>243</v>
      </c>
      <c r="E903" t="s">
        <v>89</v>
      </c>
      <c r="F903">
        <v>27</v>
      </c>
      <c r="G903" t="s">
        <v>231</v>
      </c>
      <c r="H903" t="s">
        <v>232</v>
      </c>
      <c r="I903" t="s">
        <v>318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124</v>
      </c>
      <c r="D904" t="s">
        <v>243</v>
      </c>
      <c r="E904" t="s">
        <v>89</v>
      </c>
      <c r="F904">
        <v>27</v>
      </c>
      <c r="G904" t="s">
        <v>231</v>
      </c>
      <c r="H904" t="s">
        <v>186</v>
      </c>
      <c r="I904" t="s">
        <v>318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124</v>
      </c>
      <c r="D905" t="s">
        <v>243</v>
      </c>
      <c r="E905" t="s">
        <v>89</v>
      </c>
      <c r="F905">
        <v>27</v>
      </c>
      <c r="G905" t="s">
        <v>231</v>
      </c>
      <c r="H905" t="s">
        <v>187</v>
      </c>
      <c r="I905" t="s">
        <v>318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124</v>
      </c>
      <c r="D906" t="s">
        <v>243</v>
      </c>
      <c r="E906" t="s">
        <v>89</v>
      </c>
      <c r="F906">
        <v>27</v>
      </c>
      <c r="G906" t="s">
        <v>231</v>
      </c>
      <c r="H906" t="s">
        <v>198</v>
      </c>
      <c r="I906" t="s">
        <v>318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124</v>
      </c>
      <c r="D907" t="s">
        <v>243</v>
      </c>
      <c r="E907" t="s">
        <v>89</v>
      </c>
      <c r="F907">
        <v>27</v>
      </c>
      <c r="G907" t="s">
        <v>231</v>
      </c>
      <c r="H907" t="s">
        <v>188</v>
      </c>
      <c r="I907" t="s">
        <v>318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124</v>
      </c>
      <c r="D908" t="s">
        <v>243</v>
      </c>
      <c r="E908" t="s">
        <v>89</v>
      </c>
      <c r="F908">
        <v>27</v>
      </c>
      <c r="G908" t="s">
        <v>233</v>
      </c>
      <c r="H908" t="s">
        <v>234</v>
      </c>
      <c r="I908" t="s">
        <v>333</v>
      </c>
      <c r="J908" s="73">
        <v>45691</v>
      </c>
    </row>
    <row r="909" spans="1:10" x14ac:dyDescent="0.25">
      <c r="A909" s="1" t="s">
        <v>27</v>
      </c>
      <c r="B909">
        <v>401752806</v>
      </c>
      <c r="C909" t="s">
        <v>124</v>
      </c>
      <c r="D909" t="s">
        <v>243</v>
      </c>
      <c r="E909" t="s">
        <v>89</v>
      </c>
      <c r="F909">
        <v>27</v>
      </c>
      <c r="G909" t="s">
        <v>233</v>
      </c>
      <c r="H909" t="s">
        <v>236</v>
      </c>
      <c r="I909" t="s">
        <v>333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124</v>
      </c>
      <c r="D910" t="s">
        <v>243</v>
      </c>
      <c r="E910" t="s">
        <v>89</v>
      </c>
      <c r="F910">
        <v>27</v>
      </c>
      <c r="G910" t="s">
        <v>233</v>
      </c>
      <c r="H910" t="s">
        <v>198</v>
      </c>
      <c r="I910" t="s">
        <v>333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124</v>
      </c>
      <c r="D911" t="s">
        <v>243</v>
      </c>
      <c r="E911" t="s">
        <v>89</v>
      </c>
      <c r="F911">
        <v>27</v>
      </c>
      <c r="G911" t="s">
        <v>233</v>
      </c>
      <c r="H911" t="s">
        <v>237</v>
      </c>
      <c r="I911" t="s">
        <v>333</v>
      </c>
      <c r="J911" s="73">
        <v>45719</v>
      </c>
    </row>
    <row r="912" spans="1:10" x14ac:dyDescent="0.25">
      <c r="A912" s="1" t="s">
        <v>27</v>
      </c>
      <c r="B912">
        <v>401752806</v>
      </c>
      <c r="C912" t="s">
        <v>124</v>
      </c>
      <c r="D912" t="s">
        <v>243</v>
      </c>
      <c r="E912" t="s">
        <v>89</v>
      </c>
      <c r="F912">
        <v>27</v>
      </c>
      <c r="G912" t="s">
        <v>233</v>
      </c>
      <c r="H912" t="s">
        <v>238</v>
      </c>
      <c r="I912" t="s">
        <v>333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124</v>
      </c>
      <c r="D913" t="s">
        <v>243</v>
      </c>
      <c r="E913" t="s">
        <v>89</v>
      </c>
      <c r="F913">
        <v>27</v>
      </c>
      <c r="G913" t="s">
        <v>239</v>
      </c>
      <c r="H913" t="s">
        <v>232</v>
      </c>
      <c r="I913" t="s">
        <v>334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124</v>
      </c>
      <c r="D914" t="s">
        <v>243</v>
      </c>
      <c r="E914" t="s">
        <v>89</v>
      </c>
      <c r="F914">
        <v>27</v>
      </c>
      <c r="G914" t="s">
        <v>239</v>
      </c>
      <c r="H914" t="s">
        <v>232</v>
      </c>
      <c r="I914" t="s">
        <v>335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124</v>
      </c>
      <c r="D915" t="s">
        <v>243</v>
      </c>
      <c r="E915" t="s">
        <v>89</v>
      </c>
      <c r="F915">
        <v>27</v>
      </c>
      <c r="G915" t="s">
        <v>239</v>
      </c>
      <c r="H915" t="s">
        <v>186</v>
      </c>
      <c r="I915" t="s">
        <v>334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124</v>
      </c>
      <c r="D916" t="s">
        <v>243</v>
      </c>
      <c r="E916" t="s">
        <v>89</v>
      </c>
      <c r="F916">
        <v>27</v>
      </c>
      <c r="G916" t="s">
        <v>239</v>
      </c>
      <c r="H916" t="s">
        <v>186</v>
      </c>
      <c r="I916" t="s">
        <v>335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124</v>
      </c>
      <c r="D917" t="s">
        <v>243</v>
      </c>
      <c r="E917" t="s">
        <v>89</v>
      </c>
      <c r="F917">
        <v>27</v>
      </c>
      <c r="G917" t="s">
        <v>239</v>
      </c>
      <c r="H917" t="s">
        <v>187</v>
      </c>
      <c r="I917" t="s">
        <v>334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124</v>
      </c>
      <c r="D918" t="s">
        <v>243</v>
      </c>
      <c r="E918" t="s">
        <v>89</v>
      </c>
      <c r="F918">
        <v>27</v>
      </c>
      <c r="G918" t="s">
        <v>239</v>
      </c>
      <c r="H918" t="s">
        <v>187</v>
      </c>
      <c r="I918" t="s">
        <v>335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124</v>
      </c>
      <c r="D919" t="s">
        <v>243</v>
      </c>
      <c r="E919" t="s">
        <v>89</v>
      </c>
      <c r="F919">
        <v>27</v>
      </c>
      <c r="G919" t="s">
        <v>239</v>
      </c>
      <c r="H919" t="s">
        <v>241</v>
      </c>
      <c r="I919" t="s">
        <v>334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124</v>
      </c>
      <c r="D920" t="s">
        <v>243</v>
      </c>
      <c r="E920" t="s">
        <v>89</v>
      </c>
      <c r="F920">
        <v>27</v>
      </c>
      <c r="G920" t="s">
        <v>239</v>
      </c>
      <c r="H920" t="s">
        <v>241</v>
      </c>
      <c r="I920" t="s">
        <v>335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124</v>
      </c>
      <c r="D921" t="s">
        <v>243</v>
      </c>
      <c r="E921" t="s">
        <v>89</v>
      </c>
      <c r="F921">
        <v>27</v>
      </c>
      <c r="G921" t="s">
        <v>239</v>
      </c>
      <c r="H921" t="s">
        <v>242</v>
      </c>
      <c r="I921" t="s">
        <v>334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124</v>
      </c>
      <c r="D922" t="s">
        <v>243</v>
      </c>
      <c r="E922" t="s">
        <v>89</v>
      </c>
      <c r="F922">
        <v>27</v>
      </c>
      <c r="G922" t="s">
        <v>239</v>
      </c>
      <c r="H922" t="s">
        <v>242</v>
      </c>
      <c r="I922" t="s">
        <v>335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124</v>
      </c>
      <c r="D923" t="s">
        <v>243</v>
      </c>
      <c r="E923" t="s">
        <v>89</v>
      </c>
      <c r="F923">
        <v>27</v>
      </c>
      <c r="G923" t="s">
        <v>239</v>
      </c>
      <c r="H923" t="s">
        <v>198</v>
      </c>
      <c r="I923" t="s">
        <v>334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124</v>
      </c>
      <c r="D924" t="s">
        <v>243</v>
      </c>
      <c r="E924" t="s">
        <v>89</v>
      </c>
      <c r="F924">
        <v>27</v>
      </c>
      <c r="G924" t="s">
        <v>239</v>
      </c>
      <c r="H924" t="s">
        <v>198</v>
      </c>
      <c r="I924" t="s">
        <v>335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125</v>
      </c>
      <c r="D925" t="s">
        <v>336</v>
      </c>
      <c r="E925" t="s">
        <v>179</v>
      </c>
      <c r="F925">
        <v>14</v>
      </c>
      <c r="G925" t="s">
        <v>180</v>
      </c>
      <c r="H925" t="s">
        <v>181</v>
      </c>
      <c r="I925" t="s">
        <v>337</v>
      </c>
      <c r="J925" s="73">
        <v>45983</v>
      </c>
    </row>
    <row r="926" spans="1:10" x14ac:dyDescent="0.25">
      <c r="A926" s="1" t="s">
        <v>27</v>
      </c>
      <c r="B926">
        <v>401752806</v>
      </c>
      <c r="C926" t="s">
        <v>125</v>
      </c>
      <c r="D926" t="s">
        <v>336</v>
      </c>
      <c r="E926" t="s">
        <v>179</v>
      </c>
      <c r="F926">
        <v>14</v>
      </c>
      <c r="G926" t="s">
        <v>180</v>
      </c>
      <c r="H926" t="s">
        <v>186</v>
      </c>
      <c r="I926" t="s">
        <v>337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125</v>
      </c>
      <c r="D927" t="s">
        <v>336</v>
      </c>
      <c r="E927" t="s">
        <v>179</v>
      </c>
      <c r="F927">
        <v>14</v>
      </c>
      <c r="G927" t="s">
        <v>180</v>
      </c>
      <c r="H927" t="s">
        <v>187</v>
      </c>
      <c r="I927" t="s">
        <v>337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125</v>
      </c>
      <c r="D928" t="s">
        <v>336</v>
      </c>
      <c r="E928" t="s">
        <v>179</v>
      </c>
      <c r="F928">
        <v>14</v>
      </c>
      <c r="G928" t="s">
        <v>180</v>
      </c>
      <c r="H928" t="s">
        <v>188</v>
      </c>
      <c r="I928" t="s">
        <v>337</v>
      </c>
      <c r="J928">
        <v>0</v>
      </c>
    </row>
    <row r="929" spans="1:10" x14ac:dyDescent="0.25">
      <c r="A929" s="1" t="s">
        <v>27</v>
      </c>
      <c r="B929">
        <v>401752806</v>
      </c>
      <c r="C929" t="s">
        <v>125</v>
      </c>
      <c r="D929" t="s">
        <v>336</v>
      </c>
      <c r="E929" t="s">
        <v>179</v>
      </c>
      <c r="F929">
        <v>14</v>
      </c>
      <c r="G929" t="s">
        <v>180</v>
      </c>
      <c r="H929" t="s">
        <v>189</v>
      </c>
      <c r="I929" t="s">
        <v>337</v>
      </c>
      <c r="J929">
        <v>3</v>
      </c>
    </row>
    <row r="930" spans="1:10" x14ac:dyDescent="0.25">
      <c r="A930" s="1" t="s">
        <v>27</v>
      </c>
      <c r="B930">
        <v>401752806</v>
      </c>
      <c r="C930" t="s">
        <v>125</v>
      </c>
      <c r="D930" t="s">
        <v>336</v>
      </c>
      <c r="E930" t="s">
        <v>179</v>
      </c>
      <c r="F930">
        <v>14</v>
      </c>
      <c r="G930" t="s">
        <v>180</v>
      </c>
      <c r="H930" t="s">
        <v>190</v>
      </c>
      <c r="I930" t="s">
        <v>337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125</v>
      </c>
      <c r="D931" t="s">
        <v>336</v>
      </c>
      <c r="E931" t="s">
        <v>179</v>
      </c>
      <c r="F931">
        <v>14</v>
      </c>
      <c r="G931" t="s">
        <v>192</v>
      </c>
      <c r="H931" t="s">
        <v>193</v>
      </c>
      <c r="I931" t="s">
        <v>337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125</v>
      </c>
      <c r="D932" t="s">
        <v>336</v>
      </c>
      <c r="E932" t="s">
        <v>179</v>
      </c>
      <c r="F932">
        <v>14</v>
      </c>
      <c r="G932" t="s">
        <v>192</v>
      </c>
      <c r="H932" t="s">
        <v>193</v>
      </c>
      <c r="I932" t="s">
        <v>338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125</v>
      </c>
      <c r="D933" t="s">
        <v>336</v>
      </c>
      <c r="E933" t="s">
        <v>179</v>
      </c>
      <c r="F933">
        <v>14</v>
      </c>
      <c r="G933" t="s">
        <v>192</v>
      </c>
      <c r="H933" t="s">
        <v>193</v>
      </c>
      <c r="I933" t="s">
        <v>339</v>
      </c>
      <c r="J933">
        <v>3</v>
      </c>
    </row>
    <row r="934" spans="1:10" x14ac:dyDescent="0.25">
      <c r="A934" s="1" t="s">
        <v>27</v>
      </c>
      <c r="B934">
        <v>401752806</v>
      </c>
      <c r="C934" t="s">
        <v>125</v>
      </c>
      <c r="D934" t="s">
        <v>336</v>
      </c>
      <c r="E934" t="s">
        <v>179</v>
      </c>
      <c r="F934">
        <v>14</v>
      </c>
      <c r="G934" t="s">
        <v>192</v>
      </c>
      <c r="H934" t="s">
        <v>186</v>
      </c>
      <c r="I934" t="s">
        <v>337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125</v>
      </c>
      <c r="D935" t="s">
        <v>336</v>
      </c>
      <c r="E935" t="s">
        <v>179</v>
      </c>
      <c r="F935">
        <v>14</v>
      </c>
      <c r="G935" t="s">
        <v>192</v>
      </c>
      <c r="H935" t="s">
        <v>186</v>
      </c>
      <c r="I935" t="s">
        <v>338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125</v>
      </c>
      <c r="D936" t="s">
        <v>336</v>
      </c>
      <c r="E936" t="s">
        <v>179</v>
      </c>
      <c r="F936">
        <v>14</v>
      </c>
      <c r="G936" t="s">
        <v>192</v>
      </c>
      <c r="H936" t="s">
        <v>186</v>
      </c>
      <c r="I936" t="s">
        <v>339</v>
      </c>
      <c r="J936">
        <v>7</v>
      </c>
    </row>
    <row r="937" spans="1:10" x14ac:dyDescent="0.25">
      <c r="A937" s="1" t="s">
        <v>27</v>
      </c>
      <c r="B937">
        <v>401752806</v>
      </c>
      <c r="C937" t="s">
        <v>125</v>
      </c>
      <c r="D937" t="s">
        <v>336</v>
      </c>
      <c r="E937" t="s">
        <v>179</v>
      </c>
      <c r="F937">
        <v>14</v>
      </c>
      <c r="G937" t="s">
        <v>192</v>
      </c>
      <c r="H937" t="s">
        <v>187</v>
      </c>
      <c r="I937" t="s">
        <v>337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125</v>
      </c>
      <c r="D938" t="s">
        <v>336</v>
      </c>
      <c r="E938" t="s">
        <v>179</v>
      </c>
      <c r="F938">
        <v>14</v>
      </c>
      <c r="G938" t="s">
        <v>192</v>
      </c>
      <c r="H938" t="s">
        <v>187</v>
      </c>
      <c r="I938" t="s">
        <v>338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125</v>
      </c>
      <c r="D939" t="s">
        <v>336</v>
      </c>
      <c r="E939" t="s">
        <v>179</v>
      </c>
      <c r="F939">
        <v>14</v>
      </c>
      <c r="G939" t="s">
        <v>192</v>
      </c>
      <c r="H939" t="s">
        <v>187</v>
      </c>
      <c r="I939" t="s">
        <v>339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125</v>
      </c>
      <c r="D940" t="s">
        <v>336</v>
      </c>
      <c r="E940" t="s">
        <v>179</v>
      </c>
      <c r="F940">
        <v>14</v>
      </c>
      <c r="G940" t="s">
        <v>192</v>
      </c>
      <c r="H940" t="s">
        <v>188</v>
      </c>
      <c r="I940" t="s">
        <v>337</v>
      </c>
      <c r="J940">
        <v>2</v>
      </c>
    </row>
    <row r="941" spans="1:10" x14ac:dyDescent="0.25">
      <c r="A941" s="1" t="s">
        <v>27</v>
      </c>
      <c r="B941">
        <v>401752806</v>
      </c>
      <c r="C941" t="s">
        <v>125</v>
      </c>
      <c r="D941" t="s">
        <v>336</v>
      </c>
      <c r="E941" t="s">
        <v>179</v>
      </c>
      <c r="F941">
        <v>14</v>
      </c>
      <c r="G941" t="s">
        <v>192</v>
      </c>
      <c r="H941" t="s">
        <v>188</v>
      </c>
      <c r="I941" t="s">
        <v>338</v>
      </c>
      <c r="J941">
        <v>0</v>
      </c>
    </row>
    <row r="942" spans="1:10" x14ac:dyDescent="0.25">
      <c r="A942" s="1" t="s">
        <v>27</v>
      </c>
      <c r="B942">
        <v>401752806</v>
      </c>
      <c r="C942" t="s">
        <v>125</v>
      </c>
      <c r="D942" t="s">
        <v>336</v>
      </c>
      <c r="E942" t="s">
        <v>179</v>
      </c>
      <c r="F942">
        <v>14</v>
      </c>
      <c r="G942" t="s">
        <v>192</v>
      </c>
      <c r="H942" t="s">
        <v>188</v>
      </c>
      <c r="I942" t="s">
        <v>339</v>
      </c>
      <c r="J942">
        <v>0</v>
      </c>
    </row>
    <row r="943" spans="1:10" x14ac:dyDescent="0.25">
      <c r="A943" s="1" t="s">
        <v>27</v>
      </c>
      <c r="B943">
        <v>401752806</v>
      </c>
      <c r="C943" t="s">
        <v>125</v>
      </c>
      <c r="D943" t="s">
        <v>336</v>
      </c>
      <c r="E943" t="s">
        <v>179</v>
      </c>
      <c r="F943">
        <v>14</v>
      </c>
      <c r="G943" t="s">
        <v>192</v>
      </c>
      <c r="H943" t="s">
        <v>198</v>
      </c>
      <c r="I943" t="s">
        <v>337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125</v>
      </c>
      <c r="D944" t="s">
        <v>336</v>
      </c>
      <c r="E944" t="s">
        <v>179</v>
      </c>
      <c r="F944">
        <v>14</v>
      </c>
      <c r="G944" t="s">
        <v>192</v>
      </c>
      <c r="H944" t="s">
        <v>198</v>
      </c>
      <c r="I944" t="s">
        <v>338</v>
      </c>
      <c r="J944">
        <v>9</v>
      </c>
    </row>
    <row r="945" spans="1:10" x14ac:dyDescent="0.25">
      <c r="A945" s="1" t="s">
        <v>27</v>
      </c>
      <c r="B945">
        <v>401752806</v>
      </c>
      <c r="C945" t="s">
        <v>125</v>
      </c>
      <c r="D945" t="s">
        <v>336</v>
      </c>
      <c r="E945" t="s">
        <v>179</v>
      </c>
      <c r="F945">
        <v>14</v>
      </c>
      <c r="G945" t="s">
        <v>192</v>
      </c>
      <c r="H945" t="s">
        <v>198</v>
      </c>
      <c r="I945" t="s">
        <v>339</v>
      </c>
      <c r="J945">
        <v>5</v>
      </c>
    </row>
    <row r="946" spans="1:10" x14ac:dyDescent="0.25">
      <c r="A946" s="1" t="s">
        <v>27</v>
      </c>
      <c r="B946">
        <v>401752806</v>
      </c>
      <c r="C946" t="s">
        <v>125</v>
      </c>
      <c r="D946" t="s">
        <v>336</v>
      </c>
      <c r="E946" t="s">
        <v>179</v>
      </c>
      <c r="F946">
        <v>14</v>
      </c>
      <c r="G946" t="s">
        <v>199</v>
      </c>
      <c r="H946" t="s">
        <v>0</v>
      </c>
      <c r="I946" t="s">
        <v>340</v>
      </c>
      <c r="J946">
        <v>4</v>
      </c>
    </row>
    <row r="947" spans="1:10" x14ac:dyDescent="0.25">
      <c r="A947" s="1" t="s">
        <v>27</v>
      </c>
      <c r="B947">
        <v>401752806</v>
      </c>
      <c r="C947" t="s">
        <v>125</v>
      </c>
      <c r="D947" t="s">
        <v>336</v>
      </c>
      <c r="E947" t="s">
        <v>179</v>
      </c>
      <c r="F947">
        <v>14</v>
      </c>
      <c r="G947" t="s">
        <v>199</v>
      </c>
      <c r="H947" t="s">
        <v>0</v>
      </c>
      <c r="I947" t="s">
        <v>341</v>
      </c>
      <c r="J947">
        <v>3</v>
      </c>
    </row>
    <row r="948" spans="1:10" x14ac:dyDescent="0.25">
      <c r="A948" s="1" t="s">
        <v>27</v>
      </c>
      <c r="B948">
        <v>401752806</v>
      </c>
      <c r="C948" t="s">
        <v>125</v>
      </c>
      <c r="D948" t="s">
        <v>336</v>
      </c>
      <c r="E948" t="s">
        <v>179</v>
      </c>
      <c r="F948">
        <v>14</v>
      </c>
      <c r="G948" t="s">
        <v>199</v>
      </c>
      <c r="H948" t="s">
        <v>0</v>
      </c>
      <c r="I948" t="s">
        <v>342</v>
      </c>
      <c r="J948">
        <v>2</v>
      </c>
    </row>
    <row r="949" spans="1:10" x14ac:dyDescent="0.25">
      <c r="A949" s="1" t="s">
        <v>27</v>
      </c>
      <c r="B949">
        <v>401752806</v>
      </c>
      <c r="C949" t="s">
        <v>125</v>
      </c>
      <c r="D949" t="s">
        <v>336</v>
      </c>
      <c r="E949" t="s">
        <v>179</v>
      </c>
      <c r="F949">
        <v>14</v>
      </c>
      <c r="G949" t="s">
        <v>199</v>
      </c>
      <c r="H949" t="s">
        <v>0</v>
      </c>
      <c r="I949" t="s">
        <v>343</v>
      </c>
      <c r="J949">
        <v>1</v>
      </c>
    </row>
    <row r="950" spans="1:10" x14ac:dyDescent="0.25">
      <c r="A950" s="1" t="s">
        <v>27</v>
      </c>
      <c r="B950">
        <v>401752806</v>
      </c>
      <c r="C950" t="s">
        <v>125</v>
      </c>
      <c r="D950" t="s">
        <v>336</v>
      </c>
      <c r="E950" t="s">
        <v>179</v>
      </c>
      <c r="F950">
        <v>14</v>
      </c>
      <c r="G950" t="s">
        <v>199</v>
      </c>
      <c r="H950" t="s">
        <v>0</v>
      </c>
      <c r="I950" t="s">
        <v>344</v>
      </c>
      <c r="J950">
        <v>1</v>
      </c>
    </row>
    <row r="951" spans="1:10" x14ac:dyDescent="0.25">
      <c r="A951" s="1" t="s">
        <v>27</v>
      </c>
      <c r="B951">
        <v>401752806</v>
      </c>
      <c r="C951" t="s">
        <v>125</v>
      </c>
      <c r="D951" t="s">
        <v>336</v>
      </c>
      <c r="E951" t="s">
        <v>179</v>
      </c>
      <c r="F951">
        <v>14</v>
      </c>
      <c r="G951" t="s">
        <v>199</v>
      </c>
      <c r="H951" t="s">
        <v>186</v>
      </c>
      <c r="I951" t="s">
        <v>340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125</v>
      </c>
      <c r="D952" t="s">
        <v>336</v>
      </c>
      <c r="E952" t="s">
        <v>179</v>
      </c>
      <c r="F952">
        <v>14</v>
      </c>
      <c r="G952" t="s">
        <v>199</v>
      </c>
      <c r="H952" t="s">
        <v>186</v>
      </c>
      <c r="I952" t="s">
        <v>341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125</v>
      </c>
      <c r="D953" t="s">
        <v>336</v>
      </c>
      <c r="E953" t="s">
        <v>179</v>
      </c>
      <c r="F953">
        <v>14</v>
      </c>
      <c r="G953" t="s">
        <v>199</v>
      </c>
      <c r="H953" t="s">
        <v>186</v>
      </c>
      <c r="I953" t="s">
        <v>342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125</v>
      </c>
      <c r="D954" t="s">
        <v>336</v>
      </c>
      <c r="E954" t="s">
        <v>179</v>
      </c>
      <c r="F954">
        <v>14</v>
      </c>
      <c r="G954" t="s">
        <v>199</v>
      </c>
      <c r="H954" t="s">
        <v>186</v>
      </c>
      <c r="I954" t="s">
        <v>343</v>
      </c>
      <c r="J954">
        <v>6</v>
      </c>
    </row>
    <row r="955" spans="1:10" x14ac:dyDescent="0.25">
      <c r="A955" s="1" t="s">
        <v>27</v>
      </c>
      <c r="B955">
        <v>401752806</v>
      </c>
      <c r="C955" t="s">
        <v>125</v>
      </c>
      <c r="D955" t="s">
        <v>336</v>
      </c>
      <c r="E955" t="s">
        <v>179</v>
      </c>
      <c r="F955">
        <v>14</v>
      </c>
      <c r="G955" t="s">
        <v>199</v>
      </c>
      <c r="H955" t="s">
        <v>186</v>
      </c>
      <c r="I955" t="s">
        <v>344</v>
      </c>
      <c r="J955">
        <v>4</v>
      </c>
    </row>
    <row r="956" spans="1:10" x14ac:dyDescent="0.25">
      <c r="A956" s="1" t="s">
        <v>27</v>
      </c>
      <c r="B956">
        <v>401752806</v>
      </c>
      <c r="C956" t="s">
        <v>125</v>
      </c>
      <c r="D956" t="s">
        <v>336</v>
      </c>
      <c r="E956" t="s">
        <v>179</v>
      </c>
      <c r="F956">
        <v>14</v>
      </c>
      <c r="G956" t="s">
        <v>199</v>
      </c>
      <c r="H956" t="s">
        <v>187</v>
      </c>
      <c r="I956" t="s">
        <v>340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125</v>
      </c>
      <c r="D957" t="s">
        <v>336</v>
      </c>
      <c r="E957" t="s">
        <v>179</v>
      </c>
      <c r="F957">
        <v>14</v>
      </c>
      <c r="G957" t="s">
        <v>199</v>
      </c>
      <c r="H957" t="s">
        <v>187</v>
      </c>
      <c r="I957" t="s">
        <v>341</v>
      </c>
      <c r="J957">
        <v>9</v>
      </c>
    </row>
    <row r="958" spans="1:10" x14ac:dyDescent="0.25">
      <c r="A958" s="1" t="s">
        <v>27</v>
      </c>
      <c r="B958">
        <v>401752806</v>
      </c>
      <c r="C958" t="s">
        <v>125</v>
      </c>
      <c r="D958" t="s">
        <v>336</v>
      </c>
      <c r="E958" t="s">
        <v>179</v>
      </c>
      <c r="F958">
        <v>14</v>
      </c>
      <c r="G958" t="s">
        <v>199</v>
      </c>
      <c r="H958" t="s">
        <v>187</v>
      </c>
      <c r="I958" t="s">
        <v>342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125</v>
      </c>
      <c r="D959" t="s">
        <v>336</v>
      </c>
      <c r="E959" t="s">
        <v>179</v>
      </c>
      <c r="F959">
        <v>14</v>
      </c>
      <c r="G959" t="s">
        <v>199</v>
      </c>
      <c r="H959" t="s">
        <v>187</v>
      </c>
      <c r="I959" t="s">
        <v>343</v>
      </c>
      <c r="J959">
        <v>6</v>
      </c>
    </row>
    <row r="960" spans="1:10" x14ac:dyDescent="0.25">
      <c r="A960" s="1" t="s">
        <v>27</v>
      </c>
      <c r="B960">
        <v>401752806</v>
      </c>
      <c r="C960" t="s">
        <v>125</v>
      </c>
      <c r="D960" t="s">
        <v>336</v>
      </c>
      <c r="E960" t="s">
        <v>179</v>
      </c>
      <c r="F960">
        <v>14</v>
      </c>
      <c r="G960" t="s">
        <v>199</v>
      </c>
      <c r="H960" t="s">
        <v>187</v>
      </c>
      <c r="I960" t="s">
        <v>344</v>
      </c>
      <c r="J960">
        <v>4</v>
      </c>
    </row>
    <row r="961" spans="1:10" x14ac:dyDescent="0.25">
      <c r="A961" s="1" t="s">
        <v>27</v>
      </c>
      <c r="B961">
        <v>401752806</v>
      </c>
      <c r="C961" t="s">
        <v>125</v>
      </c>
      <c r="D961" t="s">
        <v>336</v>
      </c>
      <c r="E961" t="s">
        <v>179</v>
      </c>
      <c r="F961">
        <v>14</v>
      </c>
      <c r="G961" t="s">
        <v>199</v>
      </c>
      <c r="H961" t="s">
        <v>188</v>
      </c>
      <c r="I961" t="s">
        <v>340</v>
      </c>
      <c r="J961">
        <v>0</v>
      </c>
    </row>
    <row r="962" spans="1:10" x14ac:dyDescent="0.25">
      <c r="A962" s="1" t="s">
        <v>27</v>
      </c>
      <c r="B962">
        <v>401752806</v>
      </c>
      <c r="C962" t="s">
        <v>125</v>
      </c>
      <c r="D962" t="s">
        <v>336</v>
      </c>
      <c r="E962" t="s">
        <v>179</v>
      </c>
      <c r="F962">
        <v>14</v>
      </c>
      <c r="G962" t="s">
        <v>199</v>
      </c>
      <c r="H962" t="s">
        <v>188</v>
      </c>
      <c r="I962" t="s">
        <v>341</v>
      </c>
      <c r="J962">
        <v>0</v>
      </c>
    </row>
    <row r="963" spans="1:10" x14ac:dyDescent="0.25">
      <c r="A963" s="1" t="s">
        <v>27</v>
      </c>
      <c r="B963">
        <v>401752806</v>
      </c>
      <c r="C963" t="s">
        <v>125</v>
      </c>
      <c r="D963" t="s">
        <v>336</v>
      </c>
      <c r="E963" t="s">
        <v>179</v>
      </c>
      <c r="F963">
        <v>14</v>
      </c>
      <c r="G963" t="s">
        <v>199</v>
      </c>
      <c r="H963" t="s">
        <v>188</v>
      </c>
      <c r="I963" t="s">
        <v>342</v>
      </c>
      <c r="J963">
        <v>0</v>
      </c>
    </row>
    <row r="964" spans="1:10" x14ac:dyDescent="0.25">
      <c r="A964" s="1" t="s">
        <v>27</v>
      </c>
      <c r="B964">
        <v>401752806</v>
      </c>
      <c r="C964" t="s">
        <v>125</v>
      </c>
      <c r="D964" t="s">
        <v>336</v>
      </c>
      <c r="E964" t="s">
        <v>179</v>
      </c>
      <c r="F964">
        <v>14</v>
      </c>
      <c r="G964" t="s">
        <v>199</v>
      </c>
      <c r="H964" t="s">
        <v>188</v>
      </c>
      <c r="I964" t="s">
        <v>343</v>
      </c>
      <c r="J964">
        <v>0</v>
      </c>
    </row>
    <row r="965" spans="1:10" x14ac:dyDescent="0.25">
      <c r="A965" s="1" t="s">
        <v>27</v>
      </c>
      <c r="B965">
        <v>401752806</v>
      </c>
      <c r="C965" t="s">
        <v>125</v>
      </c>
      <c r="D965" t="s">
        <v>336</v>
      </c>
      <c r="E965" t="s">
        <v>179</v>
      </c>
      <c r="F965">
        <v>14</v>
      </c>
      <c r="G965" t="s">
        <v>199</v>
      </c>
      <c r="H965" t="s">
        <v>188</v>
      </c>
      <c r="I965" t="s">
        <v>344</v>
      </c>
      <c r="J965">
        <v>0</v>
      </c>
    </row>
    <row r="966" spans="1:10" x14ac:dyDescent="0.25">
      <c r="A966" s="1" t="s">
        <v>27</v>
      </c>
      <c r="B966">
        <v>401752806</v>
      </c>
      <c r="C966" t="s">
        <v>125</v>
      </c>
      <c r="D966" t="s">
        <v>336</v>
      </c>
      <c r="E966" t="s">
        <v>179</v>
      </c>
      <c r="F966">
        <v>14</v>
      </c>
      <c r="G966" t="s">
        <v>199</v>
      </c>
      <c r="H966" t="s">
        <v>198</v>
      </c>
      <c r="I966" t="s">
        <v>340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125</v>
      </c>
      <c r="D967" t="s">
        <v>336</v>
      </c>
      <c r="E967" t="s">
        <v>179</v>
      </c>
      <c r="F967">
        <v>14</v>
      </c>
      <c r="G967" t="s">
        <v>199</v>
      </c>
      <c r="H967" t="s">
        <v>198</v>
      </c>
      <c r="I967" t="s">
        <v>341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125</v>
      </c>
      <c r="D968" t="s">
        <v>336</v>
      </c>
      <c r="E968" t="s">
        <v>179</v>
      </c>
      <c r="F968">
        <v>14</v>
      </c>
      <c r="G968" t="s">
        <v>199</v>
      </c>
      <c r="H968" t="s">
        <v>198</v>
      </c>
      <c r="I968" t="s">
        <v>342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125</v>
      </c>
      <c r="D969" t="s">
        <v>336</v>
      </c>
      <c r="E969" t="s">
        <v>179</v>
      </c>
      <c r="F969">
        <v>14</v>
      </c>
      <c r="G969" t="s">
        <v>199</v>
      </c>
      <c r="H969" t="s">
        <v>198</v>
      </c>
      <c r="I969" t="s">
        <v>343</v>
      </c>
      <c r="J969">
        <v>6</v>
      </c>
    </row>
    <row r="970" spans="1:10" x14ac:dyDescent="0.25">
      <c r="A970" s="1" t="s">
        <v>27</v>
      </c>
      <c r="B970">
        <v>401752806</v>
      </c>
      <c r="C970" t="s">
        <v>125</v>
      </c>
      <c r="D970" t="s">
        <v>336</v>
      </c>
      <c r="E970" t="s">
        <v>179</v>
      </c>
      <c r="F970">
        <v>14</v>
      </c>
      <c r="G970" t="s">
        <v>199</v>
      </c>
      <c r="H970" t="s">
        <v>198</v>
      </c>
      <c r="I970" t="s">
        <v>344</v>
      </c>
      <c r="J970">
        <v>4</v>
      </c>
    </row>
    <row r="971" spans="1:10" x14ac:dyDescent="0.25">
      <c r="A971" s="1" t="s">
        <v>27</v>
      </c>
      <c r="B971">
        <v>401752806</v>
      </c>
      <c r="C971" t="s">
        <v>125</v>
      </c>
      <c r="D971" t="s">
        <v>336</v>
      </c>
      <c r="E971" t="s">
        <v>179</v>
      </c>
      <c r="F971">
        <v>14</v>
      </c>
      <c r="G971" t="s">
        <v>203</v>
      </c>
      <c r="H971" t="s">
        <v>204</v>
      </c>
      <c r="I971" t="s">
        <v>345</v>
      </c>
      <c r="J971">
        <v>0</v>
      </c>
    </row>
    <row r="972" spans="1:10" x14ac:dyDescent="0.25">
      <c r="A972" s="1" t="s">
        <v>27</v>
      </c>
      <c r="B972">
        <v>401752806</v>
      </c>
      <c r="C972" t="s">
        <v>125</v>
      </c>
      <c r="D972" t="s">
        <v>336</v>
      </c>
      <c r="E972" t="s">
        <v>179</v>
      </c>
      <c r="F972">
        <v>14</v>
      </c>
      <c r="G972" t="s">
        <v>203</v>
      </c>
      <c r="H972" t="s">
        <v>205</v>
      </c>
      <c r="I972" t="s">
        <v>345</v>
      </c>
      <c r="J972">
        <v>0</v>
      </c>
    </row>
    <row r="973" spans="1:10" x14ac:dyDescent="0.25">
      <c r="A973" s="1" t="s">
        <v>27</v>
      </c>
      <c r="B973">
        <v>401752806</v>
      </c>
      <c r="C973" t="s">
        <v>125</v>
      </c>
      <c r="D973" t="s">
        <v>336</v>
      </c>
      <c r="E973" t="s">
        <v>179</v>
      </c>
      <c r="F973">
        <v>14</v>
      </c>
      <c r="G973" t="s">
        <v>203</v>
      </c>
      <c r="H973" t="s">
        <v>0</v>
      </c>
      <c r="I973" t="s">
        <v>345</v>
      </c>
      <c r="J973">
        <v>1</v>
      </c>
    </row>
    <row r="974" spans="1:10" x14ac:dyDescent="0.25">
      <c r="A974" s="1" t="s">
        <v>27</v>
      </c>
      <c r="B974">
        <v>401752806</v>
      </c>
      <c r="C974" t="s">
        <v>125</v>
      </c>
      <c r="D974" t="s">
        <v>336</v>
      </c>
      <c r="E974" t="s">
        <v>179</v>
      </c>
      <c r="F974">
        <v>14</v>
      </c>
      <c r="G974" t="s">
        <v>90</v>
      </c>
      <c r="H974" t="s">
        <v>206</v>
      </c>
      <c r="I974" t="s">
        <v>346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125</v>
      </c>
      <c r="D975" t="s">
        <v>336</v>
      </c>
      <c r="E975" t="s">
        <v>179</v>
      </c>
      <c r="F975">
        <v>14</v>
      </c>
      <c r="G975" t="s">
        <v>90</v>
      </c>
      <c r="H975" t="s">
        <v>206</v>
      </c>
      <c r="I975" t="s">
        <v>347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125</v>
      </c>
      <c r="D976" t="s">
        <v>336</v>
      </c>
      <c r="E976" t="s">
        <v>179</v>
      </c>
      <c r="F976">
        <v>14</v>
      </c>
      <c r="G976" t="s">
        <v>90</v>
      </c>
      <c r="H976" t="s">
        <v>206</v>
      </c>
      <c r="I976" t="s">
        <v>348</v>
      </c>
      <c r="J976">
        <v>8</v>
      </c>
    </row>
    <row r="977" spans="1:10" x14ac:dyDescent="0.25">
      <c r="A977" s="1" t="s">
        <v>27</v>
      </c>
      <c r="B977">
        <v>401752806</v>
      </c>
      <c r="C977" t="s">
        <v>125</v>
      </c>
      <c r="D977" t="s">
        <v>336</v>
      </c>
      <c r="E977" t="s">
        <v>179</v>
      </c>
      <c r="F977">
        <v>14</v>
      </c>
      <c r="G977" t="s">
        <v>90</v>
      </c>
      <c r="H977" t="s">
        <v>206</v>
      </c>
      <c r="I977" t="s">
        <v>345</v>
      </c>
      <c r="J977">
        <v>7</v>
      </c>
    </row>
    <row r="978" spans="1:10" x14ac:dyDescent="0.25">
      <c r="A978" s="1" t="s">
        <v>27</v>
      </c>
      <c r="B978">
        <v>401752806</v>
      </c>
      <c r="C978" t="s">
        <v>125</v>
      </c>
      <c r="D978" t="s">
        <v>336</v>
      </c>
      <c r="E978" t="s">
        <v>179</v>
      </c>
      <c r="F978">
        <v>14</v>
      </c>
      <c r="G978" t="s">
        <v>90</v>
      </c>
      <c r="H978" t="s">
        <v>206</v>
      </c>
      <c r="I978" t="s">
        <v>349</v>
      </c>
      <c r="J978">
        <v>7</v>
      </c>
    </row>
    <row r="979" spans="1:10" x14ac:dyDescent="0.25">
      <c r="A979" s="1" t="s">
        <v>27</v>
      </c>
      <c r="B979">
        <v>401752806</v>
      </c>
      <c r="C979" t="s">
        <v>125</v>
      </c>
      <c r="D979" t="s">
        <v>336</v>
      </c>
      <c r="E979" t="s">
        <v>179</v>
      </c>
      <c r="F979">
        <v>14</v>
      </c>
      <c r="G979" t="s">
        <v>90</v>
      </c>
      <c r="H979" t="s">
        <v>206</v>
      </c>
      <c r="I979" t="s">
        <v>350</v>
      </c>
      <c r="J979">
        <v>6</v>
      </c>
    </row>
    <row r="980" spans="1:10" x14ac:dyDescent="0.25">
      <c r="A980" s="1" t="s">
        <v>27</v>
      </c>
      <c r="B980">
        <v>401752806</v>
      </c>
      <c r="C980" t="s">
        <v>125</v>
      </c>
      <c r="D980" t="s">
        <v>336</v>
      </c>
      <c r="E980" t="s">
        <v>179</v>
      </c>
      <c r="F980">
        <v>14</v>
      </c>
      <c r="G980" t="s">
        <v>90</v>
      </c>
      <c r="H980" t="s">
        <v>206</v>
      </c>
      <c r="I980" t="s">
        <v>351</v>
      </c>
      <c r="J980">
        <v>6</v>
      </c>
    </row>
    <row r="981" spans="1:10" x14ac:dyDescent="0.25">
      <c r="A981" s="1" t="s">
        <v>27</v>
      </c>
      <c r="B981">
        <v>401752806</v>
      </c>
      <c r="C981" t="s">
        <v>125</v>
      </c>
      <c r="D981" t="s">
        <v>336</v>
      </c>
      <c r="E981" t="s">
        <v>179</v>
      </c>
      <c r="F981">
        <v>14</v>
      </c>
      <c r="G981" t="s">
        <v>90</v>
      </c>
      <c r="H981" t="s">
        <v>206</v>
      </c>
      <c r="I981" t="s">
        <v>165</v>
      </c>
      <c r="J981">
        <v>5</v>
      </c>
    </row>
    <row r="982" spans="1:10" x14ac:dyDescent="0.25">
      <c r="A982" s="1" t="s">
        <v>27</v>
      </c>
      <c r="B982">
        <v>401752806</v>
      </c>
      <c r="C982" t="s">
        <v>125</v>
      </c>
      <c r="D982" t="s">
        <v>336</v>
      </c>
      <c r="E982" t="s">
        <v>179</v>
      </c>
      <c r="F982">
        <v>14</v>
      </c>
      <c r="G982" t="s">
        <v>90</v>
      </c>
      <c r="H982" t="s">
        <v>206</v>
      </c>
      <c r="I982" t="s">
        <v>352</v>
      </c>
      <c r="J982">
        <v>4</v>
      </c>
    </row>
    <row r="983" spans="1:10" x14ac:dyDescent="0.25">
      <c r="A983" s="1" t="s">
        <v>27</v>
      </c>
      <c r="B983">
        <v>401752806</v>
      </c>
      <c r="C983" t="s">
        <v>125</v>
      </c>
      <c r="D983" t="s">
        <v>336</v>
      </c>
      <c r="E983" t="s">
        <v>179</v>
      </c>
      <c r="F983">
        <v>14</v>
      </c>
      <c r="G983" t="s">
        <v>90</v>
      </c>
      <c r="H983" t="s">
        <v>206</v>
      </c>
      <c r="I983" t="s">
        <v>353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125</v>
      </c>
      <c r="D984" t="s">
        <v>336</v>
      </c>
      <c r="E984" t="s">
        <v>179</v>
      </c>
      <c r="F984">
        <v>14</v>
      </c>
      <c r="G984" t="s">
        <v>90</v>
      </c>
      <c r="H984" t="s">
        <v>206</v>
      </c>
      <c r="I984" t="s">
        <v>354</v>
      </c>
      <c r="J984">
        <v>4</v>
      </c>
    </row>
    <row r="985" spans="1:10" x14ac:dyDescent="0.25">
      <c r="A985" s="1" t="s">
        <v>27</v>
      </c>
      <c r="B985">
        <v>401752806</v>
      </c>
      <c r="C985" t="s">
        <v>125</v>
      </c>
      <c r="D985" t="s">
        <v>336</v>
      </c>
      <c r="E985" t="s">
        <v>179</v>
      </c>
      <c r="F985">
        <v>14</v>
      </c>
      <c r="G985" t="s">
        <v>90</v>
      </c>
      <c r="H985" t="s">
        <v>206</v>
      </c>
      <c r="I985" t="s">
        <v>355</v>
      </c>
      <c r="J985">
        <v>4</v>
      </c>
    </row>
    <row r="986" spans="1:10" x14ac:dyDescent="0.25">
      <c r="A986" s="1" t="s">
        <v>27</v>
      </c>
      <c r="B986">
        <v>401752806</v>
      </c>
      <c r="C986" t="s">
        <v>125</v>
      </c>
      <c r="D986" t="s">
        <v>336</v>
      </c>
      <c r="E986" t="s">
        <v>179</v>
      </c>
      <c r="F986">
        <v>14</v>
      </c>
      <c r="G986" t="s">
        <v>90</v>
      </c>
      <c r="H986" t="s">
        <v>206</v>
      </c>
      <c r="I986" t="s">
        <v>356</v>
      </c>
      <c r="J986">
        <v>3</v>
      </c>
    </row>
    <row r="987" spans="1:10" x14ac:dyDescent="0.25">
      <c r="A987" s="1" t="s">
        <v>27</v>
      </c>
      <c r="B987">
        <v>401752806</v>
      </c>
      <c r="C987" t="s">
        <v>125</v>
      </c>
      <c r="D987" t="s">
        <v>336</v>
      </c>
      <c r="E987" t="s">
        <v>179</v>
      </c>
      <c r="F987">
        <v>14</v>
      </c>
      <c r="G987" t="s">
        <v>90</v>
      </c>
      <c r="H987" t="s">
        <v>206</v>
      </c>
      <c r="I987" t="s">
        <v>357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125</v>
      </c>
      <c r="D988" t="s">
        <v>336</v>
      </c>
      <c r="E988" t="s">
        <v>179</v>
      </c>
      <c r="F988">
        <v>14</v>
      </c>
      <c r="G988" t="s">
        <v>90</v>
      </c>
      <c r="H988" t="s">
        <v>206</v>
      </c>
      <c r="I988" t="s">
        <v>358</v>
      </c>
      <c r="J988">
        <v>3</v>
      </c>
    </row>
    <row r="989" spans="1:10" x14ac:dyDescent="0.25">
      <c r="A989" s="1" t="s">
        <v>27</v>
      </c>
      <c r="B989">
        <v>401752806</v>
      </c>
      <c r="C989" t="s">
        <v>125</v>
      </c>
      <c r="D989" t="s">
        <v>336</v>
      </c>
      <c r="E989" t="s">
        <v>179</v>
      </c>
      <c r="F989">
        <v>14</v>
      </c>
      <c r="G989" t="s">
        <v>90</v>
      </c>
      <c r="H989" t="s">
        <v>206</v>
      </c>
      <c r="I989" t="s">
        <v>359</v>
      </c>
      <c r="J989">
        <v>2</v>
      </c>
    </row>
    <row r="990" spans="1:10" x14ac:dyDescent="0.25">
      <c r="A990" s="1" t="s">
        <v>27</v>
      </c>
      <c r="B990">
        <v>401752806</v>
      </c>
      <c r="C990" t="s">
        <v>125</v>
      </c>
      <c r="D990" t="s">
        <v>336</v>
      </c>
      <c r="E990" t="s">
        <v>179</v>
      </c>
      <c r="F990">
        <v>14</v>
      </c>
      <c r="G990" t="s">
        <v>90</v>
      </c>
      <c r="H990" t="s">
        <v>206</v>
      </c>
      <c r="I990" t="s">
        <v>360</v>
      </c>
      <c r="J990">
        <v>2</v>
      </c>
    </row>
    <row r="991" spans="1:10" x14ac:dyDescent="0.25">
      <c r="A991" s="1" t="s">
        <v>27</v>
      </c>
      <c r="B991">
        <v>401752806</v>
      </c>
      <c r="C991" t="s">
        <v>125</v>
      </c>
      <c r="D991" t="s">
        <v>336</v>
      </c>
      <c r="E991" t="s">
        <v>179</v>
      </c>
      <c r="F991">
        <v>14</v>
      </c>
      <c r="G991" t="s">
        <v>90</v>
      </c>
      <c r="H991" t="s">
        <v>206</v>
      </c>
      <c r="I991" t="s">
        <v>361</v>
      </c>
      <c r="J991">
        <v>2</v>
      </c>
    </row>
    <row r="992" spans="1:10" x14ac:dyDescent="0.25">
      <c r="A992" s="1" t="s">
        <v>27</v>
      </c>
      <c r="B992">
        <v>401752806</v>
      </c>
      <c r="C992" t="s">
        <v>125</v>
      </c>
      <c r="D992" t="s">
        <v>336</v>
      </c>
      <c r="E992" t="s">
        <v>179</v>
      </c>
      <c r="F992">
        <v>14</v>
      </c>
      <c r="G992" t="s">
        <v>90</v>
      </c>
      <c r="H992" t="s">
        <v>206</v>
      </c>
      <c r="I992" t="s">
        <v>362</v>
      </c>
      <c r="J992">
        <v>2</v>
      </c>
    </row>
    <row r="993" spans="1:10" x14ac:dyDescent="0.25">
      <c r="A993" s="1" t="s">
        <v>27</v>
      </c>
      <c r="B993">
        <v>401752806</v>
      </c>
      <c r="C993" t="s">
        <v>125</v>
      </c>
      <c r="D993" t="s">
        <v>336</v>
      </c>
      <c r="E993" t="s">
        <v>179</v>
      </c>
      <c r="F993">
        <v>14</v>
      </c>
      <c r="G993" t="s">
        <v>90</v>
      </c>
      <c r="H993" t="s">
        <v>206</v>
      </c>
      <c r="I993" t="s">
        <v>363</v>
      </c>
      <c r="J993">
        <v>1</v>
      </c>
    </row>
    <row r="994" spans="1:10" x14ac:dyDescent="0.25">
      <c r="A994" s="1" t="s">
        <v>27</v>
      </c>
      <c r="B994">
        <v>401752806</v>
      </c>
      <c r="C994" t="s">
        <v>125</v>
      </c>
      <c r="D994" t="s">
        <v>336</v>
      </c>
      <c r="E994" t="s">
        <v>179</v>
      </c>
      <c r="F994">
        <v>14</v>
      </c>
      <c r="G994" t="s">
        <v>90</v>
      </c>
      <c r="H994" t="s">
        <v>206</v>
      </c>
      <c r="I994" t="s">
        <v>364</v>
      </c>
      <c r="J994">
        <v>1</v>
      </c>
    </row>
    <row r="995" spans="1:10" x14ac:dyDescent="0.25">
      <c r="A995" s="1" t="s">
        <v>27</v>
      </c>
      <c r="B995">
        <v>401752806</v>
      </c>
      <c r="C995" t="s">
        <v>125</v>
      </c>
      <c r="D995" t="s">
        <v>336</v>
      </c>
      <c r="E995" t="s">
        <v>179</v>
      </c>
      <c r="F995">
        <v>14</v>
      </c>
      <c r="G995" t="s">
        <v>90</v>
      </c>
      <c r="H995" t="s">
        <v>206</v>
      </c>
      <c r="I995" t="s">
        <v>365</v>
      </c>
      <c r="J995">
        <v>1</v>
      </c>
    </row>
    <row r="996" spans="1:10" x14ac:dyDescent="0.25">
      <c r="A996" s="1" t="s">
        <v>27</v>
      </c>
      <c r="B996">
        <v>401752806</v>
      </c>
      <c r="C996" t="s">
        <v>125</v>
      </c>
      <c r="D996" t="s">
        <v>336</v>
      </c>
      <c r="E996" t="s">
        <v>179</v>
      </c>
      <c r="F996">
        <v>14</v>
      </c>
      <c r="G996" t="s">
        <v>90</v>
      </c>
      <c r="H996" t="s">
        <v>206</v>
      </c>
      <c r="I996" t="s">
        <v>366</v>
      </c>
      <c r="J996">
        <v>1</v>
      </c>
    </row>
    <row r="997" spans="1:10" x14ac:dyDescent="0.25">
      <c r="A997" s="1" t="s">
        <v>27</v>
      </c>
      <c r="B997">
        <v>401752806</v>
      </c>
      <c r="C997" t="s">
        <v>125</v>
      </c>
      <c r="D997" t="s">
        <v>336</v>
      </c>
      <c r="E997" t="s">
        <v>179</v>
      </c>
      <c r="F997">
        <v>14</v>
      </c>
      <c r="G997" t="s">
        <v>90</v>
      </c>
      <c r="H997" t="s">
        <v>227</v>
      </c>
      <c r="I997" t="s">
        <v>346</v>
      </c>
      <c r="J997">
        <v>4</v>
      </c>
    </row>
    <row r="998" spans="1:10" x14ac:dyDescent="0.25">
      <c r="A998" s="1" t="s">
        <v>27</v>
      </c>
      <c r="B998">
        <v>401752806</v>
      </c>
      <c r="C998" t="s">
        <v>125</v>
      </c>
      <c r="D998" t="s">
        <v>336</v>
      </c>
      <c r="E998" t="s">
        <v>179</v>
      </c>
      <c r="F998">
        <v>14</v>
      </c>
      <c r="G998" t="s">
        <v>90</v>
      </c>
      <c r="H998" t="s">
        <v>227</v>
      </c>
      <c r="I998" t="s">
        <v>347</v>
      </c>
      <c r="J998">
        <v>9</v>
      </c>
    </row>
    <row r="999" spans="1:10" x14ac:dyDescent="0.25">
      <c r="A999" s="1" t="s">
        <v>27</v>
      </c>
      <c r="B999">
        <v>401752806</v>
      </c>
      <c r="C999" t="s">
        <v>125</v>
      </c>
      <c r="D999" t="s">
        <v>336</v>
      </c>
      <c r="E999" t="s">
        <v>179</v>
      </c>
      <c r="F999">
        <v>14</v>
      </c>
      <c r="G999" t="s">
        <v>90</v>
      </c>
      <c r="H999" t="s">
        <v>227</v>
      </c>
      <c r="I999" t="s">
        <v>348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125</v>
      </c>
      <c r="D1000" t="s">
        <v>336</v>
      </c>
      <c r="E1000" t="s">
        <v>179</v>
      </c>
      <c r="F1000">
        <v>14</v>
      </c>
      <c r="G1000" t="s">
        <v>90</v>
      </c>
      <c r="H1000" t="s">
        <v>227</v>
      </c>
      <c r="I1000" t="s">
        <v>345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125</v>
      </c>
      <c r="D1001" t="s">
        <v>336</v>
      </c>
      <c r="E1001" t="s">
        <v>179</v>
      </c>
      <c r="F1001">
        <v>14</v>
      </c>
      <c r="G1001" t="s">
        <v>90</v>
      </c>
      <c r="H1001" t="s">
        <v>227</v>
      </c>
      <c r="I1001" t="s">
        <v>349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125</v>
      </c>
      <c r="D1002" t="s">
        <v>336</v>
      </c>
      <c r="E1002" t="s">
        <v>179</v>
      </c>
      <c r="F1002">
        <v>14</v>
      </c>
      <c r="G1002" t="s">
        <v>90</v>
      </c>
      <c r="H1002" t="s">
        <v>227</v>
      </c>
      <c r="I1002" t="s">
        <v>350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125</v>
      </c>
      <c r="D1003" t="s">
        <v>336</v>
      </c>
      <c r="E1003" t="s">
        <v>179</v>
      </c>
      <c r="F1003">
        <v>14</v>
      </c>
      <c r="G1003" t="s">
        <v>90</v>
      </c>
      <c r="H1003" t="s">
        <v>227</v>
      </c>
      <c r="I1003" t="s">
        <v>351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125</v>
      </c>
      <c r="D1004" t="s">
        <v>336</v>
      </c>
      <c r="E1004" t="s">
        <v>179</v>
      </c>
      <c r="F1004">
        <v>14</v>
      </c>
      <c r="G1004" t="s">
        <v>90</v>
      </c>
      <c r="H1004" t="s">
        <v>227</v>
      </c>
      <c r="I1004" t="s">
        <v>165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125</v>
      </c>
      <c r="D1005" t="s">
        <v>336</v>
      </c>
      <c r="E1005" t="s">
        <v>179</v>
      </c>
      <c r="F1005">
        <v>14</v>
      </c>
      <c r="G1005" t="s">
        <v>90</v>
      </c>
      <c r="H1005" t="s">
        <v>227</v>
      </c>
      <c r="I1005" t="s">
        <v>352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125</v>
      </c>
      <c r="D1006" t="s">
        <v>336</v>
      </c>
      <c r="E1006" t="s">
        <v>179</v>
      </c>
      <c r="F1006">
        <v>14</v>
      </c>
      <c r="G1006" t="s">
        <v>90</v>
      </c>
      <c r="H1006" t="s">
        <v>227</v>
      </c>
      <c r="I1006" t="s">
        <v>353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125</v>
      </c>
      <c r="D1007" t="s">
        <v>336</v>
      </c>
      <c r="E1007" t="s">
        <v>179</v>
      </c>
      <c r="F1007">
        <v>14</v>
      </c>
      <c r="G1007" t="s">
        <v>90</v>
      </c>
      <c r="H1007" t="s">
        <v>227</v>
      </c>
      <c r="I1007" t="s">
        <v>354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125</v>
      </c>
      <c r="D1008" t="s">
        <v>336</v>
      </c>
      <c r="E1008" t="s">
        <v>179</v>
      </c>
      <c r="F1008">
        <v>14</v>
      </c>
      <c r="G1008" t="s">
        <v>90</v>
      </c>
      <c r="H1008" t="s">
        <v>227</v>
      </c>
      <c r="I1008" t="s">
        <v>355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125</v>
      </c>
      <c r="D1009" t="s">
        <v>336</v>
      </c>
      <c r="E1009" t="s">
        <v>179</v>
      </c>
      <c r="F1009">
        <v>14</v>
      </c>
      <c r="G1009" t="s">
        <v>90</v>
      </c>
      <c r="H1009" t="s">
        <v>227</v>
      </c>
      <c r="I1009" t="s">
        <v>356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125</v>
      </c>
      <c r="D1010" t="s">
        <v>336</v>
      </c>
      <c r="E1010" t="s">
        <v>179</v>
      </c>
      <c r="F1010">
        <v>14</v>
      </c>
      <c r="G1010" t="s">
        <v>90</v>
      </c>
      <c r="H1010" t="s">
        <v>227</v>
      </c>
      <c r="I1010" t="s">
        <v>357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125</v>
      </c>
      <c r="D1011" t="s">
        <v>336</v>
      </c>
      <c r="E1011" t="s">
        <v>179</v>
      </c>
      <c r="F1011">
        <v>14</v>
      </c>
      <c r="G1011" t="s">
        <v>90</v>
      </c>
      <c r="H1011" t="s">
        <v>227</v>
      </c>
      <c r="I1011" t="s">
        <v>358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125</v>
      </c>
      <c r="D1012" t="s">
        <v>336</v>
      </c>
      <c r="E1012" t="s">
        <v>179</v>
      </c>
      <c r="F1012">
        <v>14</v>
      </c>
      <c r="G1012" t="s">
        <v>90</v>
      </c>
      <c r="H1012" t="s">
        <v>227</v>
      </c>
      <c r="I1012" t="s">
        <v>359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125</v>
      </c>
      <c r="D1013" t="s">
        <v>336</v>
      </c>
      <c r="E1013" t="s">
        <v>179</v>
      </c>
      <c r="F1013">
        <v>14</v>
      </c>
      <c r="G1013" t="s">
        <v>90</v>
      </c>
      <c r="H1013" t="s">
        <v>227</v>
      </c>
      <c r="I1013" t="s">
        <v>360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125</v>
      </c>
      <c r="D1014" t="s">
        <v>336</v>
      </c>
      <c r="E1014" t="s">
        <v>179</v>
      </c>
      <c r="F1014">
        <v>14</v>
      </c>
      <c r="G1014" t="s">
        <v>90</v>
      </c>
      <c r="H1014" t="s">
        <v>227</v>
      </c>
      <c r="I1014" t="s">
        <v>361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125</v>
      </c>
      <c r="D1015" t="s">
        <v>336</v>
      </c>
      <c r="E1015" t="s">
        <v>179</v>
      </c>
      <c r="F1015">
        <v>14</v>
      </c>
      <c r="G1015" t="s">
        <v>90</v>
      </c>
      <c r="H1015" t="s">
        <v>227</v>
      </c>
      <c r="I1015" t="s">
        <v>362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125</v>
      </c>
      <c r="D1016" t="s">
        <v>336</v>
      </c>
      <c r="E1016" t="s">
        <v>179</v>
      </c>
      <c r="F1016">
        <v>14</v>
      </c>
      <c r="G1016" t="s">
        <v>90</v>
      </c>
      <c r="H1016" t="s">
        <v>227</v>
      </c>
      <c r="I1016" t="s">
        <v>363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125</v>
      </c>
      <c r="D1017" t="s">
        <v>336</v>
      </c>
      <c r="E1017" t="s">
        <v>179</v>
      </c>
      <c r="F1017">
        <v>14</v>
      </c>
      <c r="G1017" t="s">
        <v>90</v>
      </c>
      <c r="H1017" t="s">
        <v>227</v>
      </c>
      <c r="I1017" t="s">
        <v>364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125</v>
      </c>
      <c r="D1018" t="s">
        <v>336</v>
      </c>
      <c r="E1018" t="s">
        <v>179</v>
      </c>
      <c r="F1018">
        <v>14</v>
      </c>
      <c r="G1018" t="s">
        <v>90</v>
      </c>
      <c r="H1018" t="s">
        <v>227</v>
      </c>
      <c r="I1018" t="s">
        <v>365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125</v>
      </c>
      <c r="D1019" t="s">
        <v>336</v>
      </c>
      <c r="E1019" t="s">
        <v>179</v>
      </c>
      <c r="F1019">
        <v>14</v>
      </c>
      <c r="G1019" t="s">
        <v>90</v>
      </c>
      <c r="H1019" t="s">
        <v>227</v>
      </c>
      <c r="I1019" t="s">
        <v>366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125</v>
      </c>
      <c r="D1020" t="s">
        <v>336</v>
      </c>
      <c r="E1020" t="s">
        <v>179</v>
      </c>
      <c r="F1020">
        <v>14</v>
      </c>
      <c r="G1020" t="s">
        <v>90</v>
      </c>
      <c r="H1020" t="s">
        <v>228</v>
      </c>
      <c r="I1020" t="s">
        <v>346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125</v>
      </c>
      <c r="D1021" t="s">
        <v>336</v>
      </c>
      <c r="E1021" t="s">
        <v>179</v>
      </c>
      <c r="F1021">
        <v>14</v>
      </c>
      <c r="G1021" t="s">
        <v>90</v>
      </c>
      <c r="H1021" t="s">
        <v>228</v>
      </c>
      <c r="I1021" t="s">
        <v>347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125</v>
      </c>
      <c r="D1022" t="s">
        <v>336</v>
      </c>
      <c r="E1022" t="s">
        <v>179</v>
      </c>
      <c r="F1022">
        <v>14</v>
      </c>
      <c r="G1022" t="s">
        <v>90</v>
      </c>
      <c r="H1022" t="s">
        <v>228</v>
      </c>
      <c r="I1022" t="s">
        <v>348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125</v>
      </c>
      <c r="D1023" t="s">
        <v>336</v>
      </c>
      <c r="E1023" t="s">
        <v>179</v>
      </c>
      <c r="F1023">
        <v>14</v>
      </c>
      <c r="G1023" t="s">
        <v>90</v>
      </c>
      <c r="H1023" t="s">
        <v>228</v>
      </c>
      <c r="I1023" t="s">
        <v>345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125</v>
      </c>
      <c r="D1024" t="s">
        <v>336</v>
      </c>
      <c r="E1024" t="s">
        <v>179</v>
      </c>
      <c r="F1024">
        <v>14</v>
      </c>
      <c r="G1024" t="s">
        <v>90</v>
      </c>
      <c r="H1024" t="s">
        <v>228</v>
      </c>
      <c r="I1024" t="s">
        <v>349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125</v>
      </c>
      <c r="D1025" t="s">
        <v>336</v>
      </c>
      <c r="E1025" t="s">
        <v>179</v>
      </c>
      <c r="F1025">
        <v>14</v>
      </c>
      <c r="G1025" t="s">
        <v>90</v>
      </c>
      <c r="H1025" t="s">
        <v>228</v>
      </c>
      <c r="I1025" t="s">
        <v>350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125</v>
      </c>
      <c r="D1026" t="s">
        <v>336</v>
      </c>
      <c r="E1026" t="s">
        <v>179</v>
      </c>
      <c r="F1026">
        <v>14</v>
      </c>
      <c r="G1026" t="s">
        <v>90</v>
      </c>
      <c r="H1026" t="s">
        <v>228</v>
      </c>
      <c r="I1026" t="s">
        <v>351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125</v>
      </c>
      <c r="D1027" t="s">
        <v>336</v>
      </c>
      <c r="E1027" t="s">
        <v>179</v>
      </c>
      <c r="F1027">
        <v>14</v>
      </c>
      <c r="G1027" t="s">
        <v>90</v>
      </c>
      <c r="H1027" t="s">
        <v>228</v>
      </c>
      <c r="I1027" t="s">
        <v>165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125</v>
      </c>
      <c r="D1028" t="s">
        <v>336</v>
      </c>
      <c r="E1028" t="s">
        <v>179</v>
      </c>
      <c r="F1028">
        <v>14</v>
      </c>
      <c r="G1028" t="s">
        <v>90</v>
      </c>
      <c r="H1028" t="s">
        <v>228</v>
      </c>
      <c r="I1028" t="s">
        <v>352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125</v>
      </c>
      <c r="D1029" t="s">
        <v>336</v>
      </c>
      <c r="E1029" t="s">
        <v>179</v>
      </c>
      <c r="F1029">
        <v>14</v>
      </c>
      <c r="G1029" t="s">
        <v>90</v>
      </c>
      <c r="H1029" t="s">
        <v>228</v>
      </c>
      <c r="I1029" t="s">
        <v>353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125</v>
      </c>
      <c r="D1030" t="s">
        <v>336</v>
      </c>
      <c r="E1030" t="s">
        <v>179</v>
      </c>
      <c r="F1030">
        <v>14</v>
      </c>
      <c r="G1030" t="s">
        <v>90</v>
      </c>
      <c r="H1030" t="s">
        <v>228</v>
      </c>
      <c r="I1030" t="s">
        <v>354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125</v>
      </c>
      <c r="D1031" t="s">
        <v>336</v>
      </c>
      <c r="E1031" t="s">
        <v>179</v>
      </c>
      <c r="F1031">
        <v>14</v>
      </c>
      <c r="G1031" t="s">
        <v>90</v>
      </c>
      <c r="H1031" t="s">
        <v>228</v>
      </c>
      <c r="I1031" t="s">
        <v>355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125</v>
      </c>
      <c r="D1032" t="s">
        <v>336</v>
      </c>
      <c r="E1032" t="s">
        <v>179</v>
      </c>
      <c r="F1032">
        <v>14</v>
      </c>
      <c r="G1032" t="s">
        <v>90</v>
      </c>
      <c r="H1032" t="s">
        <v>228</v>
      </c>
      <c r="I1032" t="s">
        <v>356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125</v>
      </c>
      <c r="D1033" t="s">
        <v>336</v>
      </c>
      <c r="E1033" t="s">
        <v>179</v>
      </c>
      <c r="F1033">
        <v>14</v>
      </c>
      <c r="G1033" t="s">
        <v>90</v>
      </c>
      <c r="H1033" t="s">
        <v>228</v>
      </c>
      <c r="I1033" t="s">
        <v>357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125</v>
      </c>
      <c r="D1034" t="s">
        <v>336</v>
      </c>
      <c r="E1034" t="s">
        <v>179</v>
      </c>
      <c r="F1034">
        <v>14</v>
      </c>
      <c r="G1034" t="s">
        <v>90</v>
      </c>
      <c r="H1034" t="s">
        <v>228</v>
      </c>
      <c r="I1034" t="s">
        <v>358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125</v>
      </c>
      <c r="D1035" t="s">
        <v>336</v>
      </c>
      <c r="E1035" t="s">
        <v>179</v>
      </c>
      <c r="F1035">
        <v>14</v>
      </c>
      <c r="G1035" t="s">
        <v>90</v>
      </c>
      <c r="H1035" t="s">
        <v>228</v>
      </c>
      <c r="I1035" t="s">
        <v>359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125</v>
      </c>
      <c r="D1036" t="s">
        <v>336</v>
      </c>
      <c r="E1036" t="s">
        <v>179</v>
      </c>
      <c r="F1036">
        <v>14</v>
      </c>
      <c r="G1036" t="s">
        <v>90</v>
      </c>
      <c r="H1036" t="s">
        <v>228</v>
      </c>
      <c r="I1036" t="s">
        <v>360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125</v>
      </c>
      <c r="D1037" t="s">
        <v>336</v>
      </c>
      <c r="E1037" t="s">
        <v>179</v>
      </c>
      <c r="F1037">
        <v>14</v>
      </c>
      <c r="G1037" t="s">
        <v>90</v>
      </c>
      <c r="H1037" t="s">
        <v>228</v>
      </c>
      <c r="I1037" t="s">
        <v>361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125</v>
      </c>
      <c r="D1038" t="s">
        <v>336</v>
      </c>
      <c r="E1038" t="s">
        <v>179</v>
      </c>
      <c r="F1038">
        <v>14</v>
      </c>
      <c r="G1038" t="s">
        <v>90</v>
      </c>
      <c r="H1038" t="s">
        <v>228</v>
      </c>
      <c r="I1038" t="s">
        <v>362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125</v>
      </c>
      <c r="D1039" t="s">
        <v>336</v>
      </c>
      <c r="E1039" t="s">
        <v>179</v>
      </c>
      <c r="F1039">
        <v>14</v>
      </c>
      <c r="G1039" t="s">
        <v>90</v>
      </c>
      <c r="H1039" t="s">
        <v>228</v>
      </c>
      <c r="I1039" t="s">
        <v>363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125</v>
      </c>
      <c r="D1040" t="s">
        <v>336</v>
      </c>
      <c r="E1040" t="s">
        <v>179</v>
      </c>
      <c r="F1040">
        <v>14</v>
      </c>
      <c r="G1040" t="s">
        <v>90</v>
      </c>
      <c r="H1040" t="s">
        <v>228</v>
      </c>
      <c r="I1040" t="s">
        <v>364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125</v>
      </c>
      <c r="D1041" t="s">
        <v>336</v>
      </c>
      <c r="E1041" t="s">
        <v>179</v>
      </c>
      <c r="F1041">
        <v>14</v>
      </c>
      <c r="G1041" t="s">
        <v>90</v>
      </c>
      <c r="H1041" t="s">
        <v>228</v>
      </c>
      <c r="I1041" t="s">
        <v>365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125</v>
      </c>
      <c r="D1042" t="s">
        <v>336</v>
      </c>
      <c r="E1042" t="s">
        <v>179</v>
      </c>
      <c r="F1042">
        <v>14</v>
      </c>
      <c r="G1042" t="s">
        <v>90</v>
      </c>
      <c r="H1042" t="s">
        <v>228</v>
      </c>
      <c r="I1042" t="s">
        <v>366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125</v>
      </c>
      <c r="D1043" t="s">
        <v>336</v>
      </c>
      <c r="E1043" t="s">
        <v>179</v>
      </c>
      <c r="F1043">
        <v>14</v>
      </c>
      <c r="G1043" t="s">
        <v>90</v>
      </c>
      <c r="H1043" t="s">
        <v>229</v>
      </c>
      <c r="I1043" t="s">
        <v>346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125</v>
      </c>
      <c r="D1044" t="s">
        <v>336</v>
      </c>
      <c r="E1044" t="s">
        <v>179</v>
      </c>
      <c r="F1044">
        <v>14</v>
      </c>
      <c r="G1044" t="s">
        <v>90</v>
      </c>
      <c r="H1044" t="s">
        <v>229</v>
      </c>
      <c r="I1044" t="s">
        <v>347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125</v>
      </c>
      <c r="D1045" t="s">
        <v>336</v>
      </c>
      <c r="E1045" t="s">
        <v>179</v>
      </c>
      <c r="F1045">
        <v>14</v>
      </c>
      <c r="G1045" t="s">
        <v>90</v>
      </c>
      <c r="H1045" t="s">
        <v>229</v>
      </c>
      <c r="I1045" t="s">
        <v>348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125</v>
      </c>
      <c r="D1046" t="s">
        <v>336</v>
      </c>
      <c r="E1046" t="s">
        <v>179</v>
      </c>
      <c r="F1046">
        <v>14</v>
      </c>
      <c r="G1046" t="s">
        <v>90</v>
      </c>
      <c r="H1046" t="s">
        <v>229</v>
      </c>
      <c r="I1046" t="s">
        <v>345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125</v>
      </c>
      <c r="D1047" t="s">
        <v>336</v>
      </c>
      <c r="E1047" t="s">
        <v>179</v>
      </c>
      <c r="F1047">
        <v>14</v>
      </c>
      <c r="G1047" t="s">
        <v>90</v>
      </c>
      <c r="H1047" t="s">
        <v>229</v>
      </c>
      <c r="I1047" t="s">
        <v>349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125</v>
      </c>
      <c r="D1048" t="s">
        <v>336</v>
      </c>
      <c r="E1048" t="s">
        <v>179</v>
      </c>
      <c r="F1048">
        <v>14</v>
      </c>
      <c r="G1048" t="s">
        <v>90</v>
      </c>
      <c r="H1048" t="s">
        <v>229</v>
      </c>
      <c r="I1048" t="s">
        <v>350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125</v>
      </c>
      <c r="D1049" t="s">
        <v>336</v>
      </c>
      <c r="E1049" t="s">
        <v>179</v>
      </c>
      <c r="F1049">
        <v>14</v>
      </c>
      <c r="G1049" t="s">
        <v>90</v>
      </c>
      <c r="H1049" t="s">
        <v>229</v>
      </c>
      <c r="I1049" t="s">
        <v>351</v>
      </c>
      <c r="J1049">
        <v>1</v>
      </c>
    </row>
    <row r="1050" spans="1:10" x14ac:dyDescent="0.25">
      <c r="A1050" s="1" t="s">
        <v>27</v>
      </c>
      <c r="B1050">
        <v>401752806</v>
      </c>
      <c r="C1050" t="s">
        <v>125</v>
      </c>
      <c r="D1050" t="s">
        <v>336</v>
      </c>
      <c r="E1050" t="s">
        <v>179</v>
      </c>
      <c r="F1050">
        <v>14</v>
      </c>
      <c r="G1050" t="s">
        <v>90</v>
      </c>
      <c r="H1050" t="s">
        <v>229</v>
      </c>
      <c r="I1050" t="s">
        <v>165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125</v>
      </c>
      <c r="D1051" t="s">
        <v>336</v>
      </c>
      <c r="E1051" t="s">
        <v>179</v>
      </c>
      <c r="F1051">
        <v>14</v>
      </c>
      <c r="G1051" t="s">
        <v>90</v>
      </c>
      <c r="H1051" t="s">
        <v>229</v>
      </c>
      <c r="I1051" t="s">
        <v>352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125</v>
      </c>
      <c r="D1052" t="s">
        <v>336</v>
      </c>
      <c r="E1052" t="s">
        <v>179</v>
      </c>
      <c r="F1052">
        <v>14</v>
      </c>
      <c r="G1052" t="s">
        <v>90</v>
      </c>
      <c r="H1052" t="s">
        <v>229</v>
      </c>
      <c r="I1052" t="s">
        <v>353</v>
      </c>
      <c r="J1052">
        <v>0</v>
      </c>
    </row>
    <row r="1053" spans="1:10" x14ac:dyDescent="0.25">
      <c r="A1053" s="1" t="s">
        <v>27</v>
      </c>
      <c r="B1053">
        <v>401752806</v>
      </c>
      <c r="C1053" t="s">
        <v>125</v>
      </c>
      <c r="D1053" t="s">
        <v>336</v>
      </c>
      <c r="E1053" t="s">
        <v>179</v>
      </c>
      <c r="F1053">
        <v>14</v>
      </c>
      <c r="G1053" t="s">
        <v>90</v>
      </c>
      <c r="H1053" t="s">
        <v>229</v>
      </c>
      <c r="I1053" t="s">
        <v>354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125</v>
      </c>
      <c r="D1054" t="s">
        <v>336</v>
      </c>
      <c r="E1054" t="s">
        <v>179</v>
      </c>
      <c r="F1054">
        <v>14</v>
      </c>
      <c r="G1054" t="s">
        <v>90</v>
      </c>
      <c r="H1054" t="s">
        <v>229</v>
      </c>
      <c r="I1054" t="s">
        <v>355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125</v>
      </c>
      <c r="D1055" t="s">
        <v>336</v>
      </c>
      <c r="E1055" t="s">
        <v>179</v>
      </c>
      <c r="F1055">
        <v>14</v>
      </c>
      <c r="G1055" t="s">
        <v>90</v>
      </c>
      <c r="H1055" t="s">
        <v>229</v>
      </c>
      <c r="I1055" t="s">
        <v>356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125</v>
      </c>
      <c r="D1056" t="s">
        <v>336</v>
      </c>
      <c r="E1056" t="s">
        <v>179</v>
      </c>
      <c r="F1056">
        <v>14</v>
      </c>
      <c r="G1056" t="s">
        <v>90</v>
      </c>
      <c r="H1056" t="s">
        <v>229</v>
      </c>
      <c r="I1056" t="s">
        <v>357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125</v>
      </c>
      <c r="D1057" t="s">
        <v>336</v>
      </c>
      <c r="E1057" t="s">
        <v>179</v>
      </c>
      <c r="F1057">
        <v>14</v>
      </c>
      <c r="G1057" t="s">
        <v>90</v>
      </c>
      <c r="H1057" t="s">
        <v>229</v>
      </c>
      <c r="I1057" t="s">
        <v>358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125</v>
      </c>
      <c r="D1058" t="s">
        <v>336</v>
      </c>
      <c r="E1058" t="s">
        <v>179</v>
      </c>
      <c r="F1058">
        <v>14</v>
      </c>
      <c r="G1058" t="s">
        <v>90</v>
      </c>
      <c r="H1058" t="s">
        <v>229</v>
      </c>
      <c r="I1058" t="s">
        <v>359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125</v>
      </c>
      <c r="D1059" t="s">
        <v>336</v>
      </c>
      <c r="E1059" t="s">
        <v>179</v>
      </c>
      <c r="F1059">
        <v>14</v>
      </c>
      <c r="G1059" t="s">
        <v>90</v>
      </c>
      <c r="H1059" t="s">
        <v>229</v>
      </c>
      <c r="I1059" t="s">
        <v>360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125</v>
      </c>
      <c r="D1060" t="s">
        <v>336</v>
      </c>
      <c r="E1060" t="s">
        <v>179</v>
      </c>
      <c r="F1060">
        <v>14</v>
      </c>
      <c r="G1060" t="s">
        <v>90</v>
      </c>
      <c r="H1060" t="s">
        <v>229</v>
      </c>
      <c r="I1060" t="s">
        <v>361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125</v>
      </c>
      <c r="D1061" t="s">
        <v>336</v>
      </c>
      <c r="E1061" t="s">
        <v>179</v>
      </c>
      <c r="F1061">
        <v>14</v>
      </c>
      <c r="G1061" t="s">
        <v>90</v>
      </c>
      <c r="H1061" t="s">
        <v>229</v>
      </c>
      <c r="I1061" t="s">
        <v>362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125</v>
      </c>
      <c r="D1062" t="s">
        <v>336</v>
      </c>
      <c r="E1062" t="s">
        <v>179</v>
      </c>
      <c r="F1062">
        <v>14</v>
      </c>
      <c r="G1062" t="s">
        <v>90</v>
      </c>
      <c r="H1062" t="s">
        <v>229</v>
      </c>
      <c r="I1062" t="s">
        <v>363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125</v>
      </c>
      <c r="D1063" t="s">
        <v>336</v>
      </c>
      <c r="E1063" t="s">
        <v>179</v>
      </c>
      <c r="F1063">
        <v>14</v>
      </c>
      <c r="G1063" t="s">
        <v>90</v>
      </c>
      <c r="H1063" t="s">
        <v>229</v>
      </c>
      <c r="I1063" t="s">
        <v>364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125</v>
      </c>
      <c r="D1064" t="s">
        <v>336</v>
      </c>
      <c r="E1064" t="s">
        <v>179</v>
      </c>
      <c r="F1064">
        <v>14</v>
      </c>
      <c r="G1064" t="s">
        <v>90</v>
      </c>
      <c r="H1064" t="s">
        <v>229</v>
      </c>
      <c r="I1064" t="s">
        <v>365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125</v>
      </c>
      <c r="D1065" t="s">
        <v>336</v>
      </c>
      <c r="E1065" t="s">
        <v>179</v>
      </c>
      <c r="F1065">
        <v>14</v>
      </c>
      <c r="G1065" t="s">
        <v>90</v>
      </c>
      <c r="H1065" t="s">
        <v>229</v>
      </c>
      <c r="I1065" t="s">
        <v>366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125</v>
      </c>
      <c r="D1066" t="s">
        <v>336</v>
      </c>
      <c r="E1066" t="s">
        <v>179</v>
      </c>
      <c r="F1066">
        <v>14</v>
      </c>
      <c r="G1066" t="s">
        <v>90</v>
      </c>
      <c r="H1066" t="s">
        <v>91</v>
      </c>
      <c r="I1066" t="s">
        <v>346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125</v>
      </c>
      <c r="D1067" t="s">
        <v>336</v>
      </c>
      <c r="E1067" t="s">
        <v>179</v>
      </c>
      <c r="F1067">
        <v>14</v>
      </c>
      <c r="G1067" t="s">
        <v>90</v>
      </c>
      <c r="H1067" t="s">
        <v>91</v>
      </c>
      <c r="I1067" t="s">
        <v>347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125</v>
      </c>
      <c r="D1068" t="s">
        <v>336</v>
      </c>
      <c r="E1068" t="s">
        <v>179</v>
      </c>
      <c r="F1068">
        <v>14</v>
      </c>
      <c r="G1068" t="s">
        <v>90</v>
      </c>
      <c r="H1068" t="s">
        <v>91</v>
      </c>
      <c r="I1068" t="s">
        <v>348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125</v>
      </c>
      <c r="D1069" t="s">
        <v>336</v>
      </c>
      <c r="E1069" t="s">
        <v>179</v>
      </c>
      <c r="F1069">
        <v>14</v>
      </c>
      <c r="G1069" t="s">
        <v>90</v>
      </c>
      <c r="H1069" t="s">
        <v>91</v>
      </c>
      <c r="I1069" t="s">
        <v>345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125</v>
      </c>
      <c r="D1070" t="s">
        <v>336</v>
      </c>
      <c r="E1070" t="s">
        <v>179</v>
      </c>
      <c r="F1070">
        <v>14</v>
      </c>
      <c r="G1070" t="s">
        <v>90</v>
      </c>
      <c r="H1070" t="s">
        <v>91</v>
      </c>
      <c r="I1070" t="s">
        <v>349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125</v>
      </c>
      <c r="D1071" t="s">
        <v>336</v>
      </c>
      <c r="E1071" t="s">
        <v>179</v>
      </c>
      <c r="F1071">
        <v>14</v>
      </c>
      <c r="G1071" t="s">
        <v>90</v>
      </c>
      <c r="H1071" t="s">
        <v>91</v>
      </c>
      <c r="I1071" t="s">
        <v>350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125</v>
      </c>
      <c r="D1072" t="s">
        <v>336</v>
      </c>
      <c r="E1072" t="s">
        <v>179</v>
      </c>
      <c r="F1072">
        <v>14</v>
      </c>
      <c r="G1072" t="s">
        <v>90</v>
      </c>
      <c r="H1072" t="s">
        <v>91</v>
      </c>
      <c r="I1072" t="s">
        <v>351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125</v>
      </c>
      <c r="D1073" t="s">
        <v>336</v>
      </c>
      <c r="E1073" t="s">
        <v>179</v>
      </c>
      <c r="F1073">
        <v>14</v>
      </c>
      <c r="G1073" t="s">
        <v>90</v>
      </c>
      <c r="H1073" t="s">
        <v>91</v>
      </c>
      <c r="I1073" t="s">
        <v>165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125</v>
      </c>
      <c r="D1074" t="s">
        <v>336</v>
      </c>
      <c r="E1074" t="s">
        <v>179</v>
      </c>
      <c r="F1074">
        <v>14</v>
      </c>
      <c r="G1074" t="s">
        <v>90</v>
      </c>
      <c r="H1074" t="s">
        <v>91</v>
      </c>
      <c r="I1074" t="s">
        <v>352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125</v>
      </c>
      <c r="D1075" t="s">
        <v>336</v>
      </c>
      <c r="E1075" t="s">
        <v>179</v>
      </c>
      <c r="F1075">
        <v>14</v>
      </c>
      <c r="G1075" t="s">
        <v>90</v>
      </c>
      <c r="H1075" t="s">
        <v>91</v>
      </c>
      <c r="I1075" t="s">
        <v>353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125</v>
      </c>
      <c r="D1076" t="s">
        <v>336</v>
      </c>
      <c r="E1076" t="s">
        <v>179</v>
      </c>
      <c r="F1076">
        <v>14</v>
      </c>
      <c r="G1076" t="s">
        <v>90</v>
      </c>
      <c r="H1076" t="s">
        <v>91</v>
      </c>
      <c r="I1076" t="s">
        <v>354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125</v>
      </c>
      <c r="D1077" t="s">
        <v>336</v>
      </c>
      <c r="E1077" t="s">
        <v>179</v>
      </c>
      <c r="F1077">
        <v>14</v>
      </c>
      <c r="G1077" t="s">
        <v>90</v>
      </c>
      <c r="H1077" t="s">
        <v>91</v>
      </c>
      <c r="I1077" t="s">
        <v>355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125</v>
      </c>
      <c r="D1078" t="s">
        <v>336</v>
      </c>
      <c r="E1078" t="s">
        <v>179</v>
      </c>
      <c r="F1078">
        <v>14</v>
      </c>
      <c r="G1078" t="s">
        <v>90</v>
      </c>
      <c r="H1078" t="s">
        <v>91</v>
      </c>
      <c r="I1078" t="s">
        <v>356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125</v>
      </c>
      <c r="D1079" t="s">
        <v>336</v>
      </c>
      <c r="E1079" t="s">
        <v>179</v>
      </c>
      <c r="F1079">
        <v>14</v>
      </c>
      <c r="G1079" t="s">
        <v>90</v>
      </c>
      <c r="H1079" t="s">
        <v>91</v>
      </c>
      <c r="I1079" t="s">
        <v>357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125</v>
      </c>
      <c r="D1080" t="s">
        <v>336</v>
      </c>
      <c r="E1080" t="s">
        <v>179</v>
      </c>
      <c r="F1080">
        <v>14</v>
      </c>
      <c r="G1080" t="s">
        <v>90</v>
      </c>
      <c r="H1080" t="s">
        <v>91</v>
      </c>
      <c r="I1080" t="s">
        <v>358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125</v>
      </c>
      <c r="D1081" t="s">
        <v>336</v>
      </c>
      <c r="E1081" t="s">
        <v>179</v>
      </c>
      <c r="F1081">
        <v>14</v>
      </c>
      <c r="G1081" t="s">
        <v>90</v>
      </c>
      <c r="H1081" t="s">
        <v>91</v>
      </c>
      <c r="I1081" t="s">
        <v>359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125</v>
      </c>
      <c r="D1082" t="s">
        <v>336</v>
      </c>
      <c r="E1082" t="s">
        <v>179</v>
      </c>
      <c r="F1082">
        <v>14</v>
      </c>
      <c r="G1082" t="s">
        <v>90</v>
      </c>
      <c r="H1082" t="s">
        <v>91</v>
      </c>
      <c r="I1082" t="s">
        <v>360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125</v>
      </c>
      <c r="D1083" t="s">
        <v>336</v>
      </c>
      <c r="E1083" t="s">
        <v>179</v>
      </c>
      <c r="F1083">
        <v>14</v>
      </c>
      <c r="G1083" t="s">
        <v>90</v>
      </c>
      <c r="H1083" t="s">
        <v>91</v>
      </c>
      <c r="I1083" t="s">
        <v>361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125</v>
      </c>
      <c r="D1084" t="s">
        <v>336</v>
      </c>
      <c r="E1084" t="s">
        <v>179</v>
      </c>
      <c r="F1084">
        <v>14</v>
      </c>
      <c r="G1084" t="s">
        <v>90</v>
      </c>
      <c r="H1084" t="s">
        <v>91</v>
      </c>
      <c r="I1084" t="s">
        <v>362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125</v>
      </c>
      <c r="D1085" t="s">
        <v>336</v>
      </c>
      <c r="E1085" t="s">
        <v>179</v>
      </c>
      <c r="F1085">
        <v>14</v>
      </c>
      <c r="G1085" t="s">
        <v>90</v>
      </c>
      <c r="H1085" t="s">
        <v>91</v>
      </c>
      <c r="I1085" t="s">
        <v>363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125</v>
      </c>
      <c r="D1086" t="s">
        <v>336</v>
      </c>
      <c r="E1086" t="s">
        <v>179</v>
      </c>
      <c r="F1086">
        <v>14</v>
      </c>
      <c r="G1086" t="s">
        <v>90</v>
      </c>
      <c r="H1086" t="s">
        <v>91</v>
      </c>
      <c r="I1086" t="s">
        <v>364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125</v>
      </c>
      <c r="D1087" t="s">
        <v>336</v>
      </c>
      <c r="E1087" t="s">
        <v>179</v>
      </c>
      <c r="F1087">
        <v>14</v>
      </c>
      <c r="G1087" t="s">
        <v>90</v>
      </c>
      <c r="H1087" t="s">
        <v>91</v>
      </c>
      <c r="I1087" t="s">
        <v>365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125</v>
      </c>
      <c r="D1088" t="s">
        <v>336</v>
      </c>
      <c r="E1088" t="s">
        <v>179</v>
      </c>
      <c r="F1088">
        <v>14</v>
      </c>
      <c r="G1088" t="s">
        <v>90</v>
      </c>
      <c r="H1088" t="s">
        <v>91</v>
      </c>
      <c r="I1088" t="s">
        <v>366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125</v>
      </c>
      <c r="D1089" t="s">
        <v>336</v>
      </c>
      <c r="E1089" t="s">
        <v>179</v>
      </c>
      <c r="F1089">
        <v>14</v>
      </c>
      <c r="G1089" t="s">
        <v>90</v>
      </c>
      <c r="H1089" t="s">
        <v>230</v>
      </c>
      <c r="I1089" t="s">
        <v>346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125</v>
      </c>
      <c r="D1090" t="s">
        <v>336</v>
      </c>
      <c r="E1090" t="s">
        <v>179</v>
      </c>
      <c r="F1090">
        <v>14</v>
      </c>
      <c r="G1090" t="s">
        <v>90</v>
      </c>
      <c r="H1090" t="s">
        <v>230</v>
      </c>
      <c r="I1090" t="s">
        <v>347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125</v>
      </c>
      <c r="D1091" t="s">
        <v>336</v>
      </c>
      <c r="E1091" t="s">
        <v>179</v>
      </c>
      <c r="F1091">
        <v>14</v>
      </c>
      <c r="G1091" t="s">
        <v>90</v>
      </c>
      <c r="H1091" t="s">
        <v>230</v>
      </c>
      <c r="I1091" t="s">
        <v>348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125</v>
      </c>
      <c r="D1092" t="s">
        <v>336</v>
      </c>
      <c r="E1092" t="s">
        <v>179</v>
      </c>
      <c r="F1092">
        <v>14</v>
      </c>
      <c r="G1092" t="s">
        <v>90</v>
      </c>
      <c r="H1092" t="s">
        <v>230</v>
      </c>
      <c r="I1092" t="s">
        <v>345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125</v>
      </c>
      <c r="D1093" t="s">
        <v>336</v>
      </c>
      <c r="E1093" t="s">
        <v>179</v>
      </c>
      <c r="F1093">
        <v>14</v>
      </c>
      <c r="G1093" t="s">
        <v>90</v>
      </c>
      <c r="H1093" t="s">
        <v>230</v>
      </c>
      <c r="I1093" t="s">
        <v>349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125</v>
      </c>
      <c r="D1094" t="s">
        <v>336</v>
      </c>
      <c r="E1094" t="s">
        <v>179</v>
      </c>
      <c r="F1094">
        <v>14</v>
      </c>
      <c r="G1094" t="s">
        <v>90</v>
      </c>
      <c r="H1094" t="s">
        <v>230</v>
      </c>
      <c r="I1094" t="s">
        <v>350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125</v>
      </c>
      <c r="D1095" t="s">
        <v>336</v>
      </c>
      <c r="E1095" t="s">
        <v>179</v>
      </c>
      <c r="F1095">
        <v>14</v>
      </c>
      <c r="G1095" t="s">
        <v>90</v>
      </c>
      <c r="H1095" t="s">
        <v>230</v>
      </c>
      <c r="I1095" t="s">
        <v>351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125</v>
      </c>
      <c r="D1096" t="s">
        <v>336</v>
      </c>
      <c r="E1096" t="s">
        <v>179</v>
      </c>
      <c r="F1096">
        <v>14</v>
      </c>
      <c r="G1096" t="s">
        <v>90</v>
      </c>
      <c r="H1096" t="s">
        <v>230</v>
      </c>
      <c r="I1096" t="s">
        <v>165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125</v>
      </c>
      <c r="D1097" t="s">
        <v>336</v>
      </c>
      <c r="E1097" t="s">
        <v>179</v>
      </c>
      <c r="F1097">
        <v>14</v>
      </c>
      <c r="G1097" t="s">
        <v>90</v>
      </c>
      <c r="H1097" t="s">
        <v>230</v>
      </c>
      <c r="I1097" t="s">
        <v>352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125</v>
      </c>
      <c r="D1098" t="s">
        <v>336</v>
      </c>
      <c r="E1098" t="s">
        <v>179</v>
      </c>
      <c r="F1098">
        <v>14</v>
      </c>
      <c r="G1098" t="s">
        <v>90</v>
      </c>
      <c r="H1098" t="s">
        <v>230</v>
      </c>
      <c r="I1098" t="s">
        <v>353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125</v>
      </c>
      <c r="D1099" t="s">
        <v>336</v>
      </c>
      <c r="E1099" t="s">
        <v>179</v>
      </c>
      <c r="F1099">
        <v>14</v>
      </c>
      <c r="G1099" t="s">
        <v>90</v>
      </c>
      <c r="H1099" t="s">
        <v>230</v>
      </c>
      <c r="I1099" t="s">
        <v>354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125</v>
      </c>
      <c r="D1100" t="s">
        <v>336</v>
      </c>
      <c r="E1100" t="s">
        <v>179</v>
      </c>
      <c r="F1100">
        <v>14</v>
      </c>
      <c r="G1100" t="s">
        <v>90</v>
      </c>
      <c r="H1100" t="s">
        <v>230</v>
      </c>
      <c r="I1100" t="s">
        <v>355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125</v>
      </c>
      <c r="D1101" t="s">
        <v>336</v>
      </c>
      <c r="E1101" t="s">
        <v>179</v>
      </c>
      <c r="F1101">
        <v>14</v>
      </c>
      <c r="G1101" t="s">
        <v>90</v>
      </c>
      <c r="H1101" t="s">
        <v>230</v>
      </c>
      <c r="I1101" t="s">
        <v>356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125</v>
      </c>
      <c r="D1102" t="s">
        <v>336</v>
      </c>
      <c r="E1102" t="s">
        <v>179</v>
      </c>
      <c r="F1102">
        <v>14</v>
      </c>
      <c r="G1102" t="s">
        <v>90</v>
      </c>
      <c r="H1102" t="s">
        <v>230</v>
      </c>
      <c r="I1102" t="s">
        <v>357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125</v>
      </c>
      <c r="D1103" t="s">
        <v>336</v>
      </c>
      <c r="E1103" t="s">
        <v>179</v>
      </c>
      <c r="F1103">
        <v>14</v>
      </c>
      <c r="G1103" t="s">
        <v>90</v>
      </c>
      <c r="H1103" t="s">
        <v>230</v>
      </c>
      <c r="I1103" t="s">
        <v>358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125</v>
      </c>
      <c r="D1104" t="s">
        <v>336</v>
      </c>
      <c r="E1104" t="s">
        <v>179</v>
      </c>
      <c r="F1104">
        <v>14</v>
      </c>
      <c r="G1104" t="s">
        <v>90</v>
      </c>
      <c r="H1104" t="s">
        <v>230</v>
      </c>
      <c r="I1104" t="s">
        <v>359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125</v>
      </c>
      <c r="D1105" t="s">
        <v>336</v>
      </c>
      <c r="E1105" t="s">
        <v>179</v>
      </c>
      <c r="F1105">
        <v>14</v>
      </c>
      <c r="G1105" t="s">
        <v>90</v>
      </c>
      <c r="H1105" t="s">
        <v>230</v>
      </c>
      <c r="I1105" t="s">
        <v>360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125</v>
      </c>
      <c r="D1106" t="s">
        <v>336</v>
      </c>
      <c r="E1106" t="s">
        <v>179</v>
      </c>
      <c r="F1106">
        <v>14</v>
      </c>
      <c r="G1106" t="s">
        <v>90</v>
      </c>
      <c r="H1106" t="s">
        <v>230</v>
      </c>
      <c r="I1106" t="s">
        <v>361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125</v>
      </c>
      <c r="D1107" t="s">
        <v>336</v>
      </c>
      <c r="E1107" t="s">
        <v>179</v>
      </c>
      <c r="F1107">
        <v>14</v>
      </c>
      <c r="G1107" t="s">
        <v>90</v>
      </c>
      <c r="H1107" t="s">
        <v>230</v>
      </c>
      <c r="I1107" t="s">
        <v>362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125</v>
      </c>
      <c r="D1108" t="s">
        <v>336</v>
      </c>
      <c r="E1108" t="s">
        <v>179</v>
      </c>
      <c r="F1108">
        <v>14</v>
      </c>
      <c r="G1108" t="s">
        <v>90</v>
      </c>
      <c r="H1108" t="s">
        <v>230</v>
      </c>
      <c r="I1108" t="s">
        <v>363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125</v>
      </c>
      <c r="D1109" t="s">
        <v>336</v>
      </c>
      <c r="E1109" t="s">
        <v>179</v>
      </c>
      <c r="F1109">
        <v>14</v>
      </c>
      <c r="G1109" t="s">
        <v>90</v>
      </c>
      <c r="H1109" t="s">
        <v>230</v>
      </c>
      <c r="I1109" t="s">
        <v>364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125</v>
      </c>
      <c r="D1110" t="s">
        <v>336</v>
      </c>
      <c r="E1110" t="s">
        <v>179</v>
      </c>
      <c r="F1110">
        <v>14</v>
      </c>
      <c r="G1110" t="s">
        <v>90</v>
      </c>
      <c r="H1110" t="s">
        <v>230</v>
      </c>
      <c r="I1110" t="s">
        <v>365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125</v>
      </c>
      <c r="D1111" t="s">
        <v>336</v>
      </c>
      <c r="E1111" t="s">
        <v>179</v>
      </c>
      <c r="F1111">
        <v>14</v>
      </c>
      <c r="G1111" t="s">
        <v>90</v>
      </c>
      <c r="H1111" t="s">
        <v>230</v>
      </c>
      <c r="I1111" t="s">
        <v>366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125</v>
      </c>
      <c r="D1112" t="s">
        <v>336</v>
      </c>
      <c r="E1112" t="s">
        <v>179</v>
      </c>
      <c r="F1112">
        <v>14</v>
      </c>
      <c r="G1112" t="s">
        <v>90</v>
      </c>
      <c r="H1112" t="s">
        <v>188</v>
      </c>
      <c r="I1112" t="s">
        <v>346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125</v>
      </c>
      <c r="D1113" t="s">
        <v>336</v>
      </c>
      <c r="E1113" t="s">
        <v>179</v>
      </c>
      <c r="F1113">
        <v>14</v>
      </c>
      <c r="G1113" t="s">
        <v>90</v>
      </c>
      <c r="H1113" t="s">
        <v>188</v>
      </c>
      <c r="I1113" t="s">
        <v>347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125</v>
      </c>
      <c r="D1114" t="s">
        <v>336</v>
      </c>
      <c r="E1114" t="s">
        <v>179</v>
      </c>
      <c r="F1114">
        <v>14</v>
      </c>
      <c r="G1114" t="s">
        <v>90</v>
      </c>
      <c r="H1114" t="s">
        <v>188</v>
      </c>
      <c r="I1114" t="s">
        <v>348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125</v>
      </c>
      <c r="D1115" t="s">
        <v>336</v>
      </c>
      <c r="E1115" t="s">
        <v>179</v>
      </c>
      <c r="F1115">
        <v>14</v>
      </c>
      <c r="G1115" t="s">
        <v>90</v>
      </c>
      <c r="H1115" t="s">
        <v>188</v>
      </c>
      <c r="I1115" t="s">
        <v>345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125</v>
      </c>
      <c r="D1116" t="s">
        <v>336</v>
      </c>
      <c r="E1116" t="s">
        <v>179</v>
      </c>
      <c r="F1116">
        <v>14</v>
      </c>
      <c r="G1116" t="s">
        <v>90</v>
      </c>
      <c r="H1116" t="s">
        <v>188</v>
      </c>
      <c r="I1116" t="s">
        <v>349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125</v>
      </c>
      <c r="D1117" t="s">
        <v>336</v>
      </c>
      <c r="E1117" t="s">
        <v>179</v>
      </c>
      <c r="F1117">
        <v>14</v>
      </c>
      <c r="G1117" t="s">
        <v>90</v>
      </c>
      <c r="H1117" t="s">
        <v>188</v>
      </c>
      <c r="I1117" t="s">
        <v>350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125</v>
      </c>
      <c r="D1118" t="s">
        <v>336</v>
      </c>
      <c r="E1118" t="s">
        <v>179</v>
      </c>
      <c r="F1118">
        <v>14</v>
      </c>
      <c r="G1118" t="s">
        <v>90</v>
      </c>
      <c r="H1118" t="s">
        <v>188</v>
      </c>
      <c r="I1118" t="s">
        <v>351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125</v>
      </c>
      <c r="D1119" t="s">
        <v>336</v>
      </c>
      <c r="E1119" t="s">
        <v>179</v>
      </c>
      <c r="F1119">
        <v>14</v>
      </c>
      <c r="G1119" t="s">
        <v>90</v>
      </c>
      <c r="H1119" t="s">
        <v>188</v>
      </c>
      <c r="I1119" t="s">
        <v>165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125</v>
      </c>
      <c r="D1120" t="s">
        <v>336</v>
      </c>
      <c r="E1120" t="s">
        <v>179</v>
      </c>
      <c r="F1120">
        <v>14</v>
      </c>
      <c r="G1120" t="s">
        <v>90</v>
      </c>
      <c r="H1120" t="s">
        <v>188</v>
      </c>
      <c r="I1120" t="s">
        <v>352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125</v>
      </c>
      <c r="D1121" t="s">
        <v>336</v>
      </c>
      <c r="E1121" t="s">
        <v>179</v>
      </c>
      <c r="F1121">
        <v>14</v>
      </c>
      <c r="G1121" t="s">
        <v>90</v>
      </c>
      <c r="H1121" t="s">
        <v>188</v>
      </c>
      <c r="I1121" t="s">
        <v>353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125</v>
      </c>
      <c r="D1122" t="s">
        <v>336</v>
      </c>
      <c r="E1122" t="s">
        <v>179</v>
      </c>
      <c r="F1122">
        <v>14</v>
      </c>
      <c r="G1122" t="s">
        <v>90</v>
      </c>
      <c r="H1122" t="s">
        <v>188</v>
      </c>
      <c r="I1122" t="s">
        <v>354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125</v>
      </c>
      <c r="D1123" t="s">
        <v>336</v>
      </c>
      <c r="E1123" t="s">
        <v>179</v>
      </c>
      <c r="F1123">
        <v>14</v>
      </c>
      <c r="G1123" t="s">
        <v>90</v>
      </c>
      <c r="H1123" t="s">
        <v>188</v>
      </c>
      <c r="I1123" t="s">
        <v>355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125</v>
      </c>
      <c r="D1124" t="s">
        <v>336</v>
      </c>
      <c r="E1124" t="s">
        <v>179</v>
      </c>
      <c r="F1124">
        <v>14</v>
      </c>
      <c r="G1124" t="s">
        <v>90</v>
      </c>
      <c r="H1124" t="s">
        <v>188</v>
      </c>
      <c r="I1124" t="s">
        <v>356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125</v>
      </c>
      <c r="D1125" t="s">
        <v>336</v>
      </c>
      <c r="E1125" t="s">
        <v>179</v>
      </c>
      <c r="F1125">
        <v>14</v>
      </c>
      <c r="G1125" t="s">
        <v>90</v>
      </c>
      <c r="H1125" t="s">
        <v>188</v>
      </c>
      <c r="I1125" t="s">
        <v>357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125</v>
      </c>
      <c r="D1126" t="s">
        <v>336</v>
      </c>
      <c r="E1126" t="s">
        <v>179</v>
      </c>
      <c r="F1126">
        <v>14</v>
      </c>
      <c r="G1126" t="s">
        <v>90</v>
      </c>
      <c r="H1126" t="s">
        <v>188</v>
      </c>
      <c r="I1126" t="s">
        <v>358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125</v>
      </c>
      <c r="D1127" t="s">
        <v>336</v>
      </c>
      <c r="E1127" t="s">
        <v>179</v>
      </c>
      <c r="F1127">
        <v>14</v>
      </c>
      <c r="G1127" t="s">
        <v>90</v>
      </c>
      <c r="H1127" t="s">
        <v>188</v>
      </c>
      <c r="I1127" t="s">
        <v>359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125</v>
      </c>
      <c r="D1128" t="s">
        <v>336</v>
      </c>
      <c r="E1128" t="s">
        <v>179</v>
      </c>
      <c r="F1128">
        <v>14</v>
      </c>
      <c r="G1128" t="s">
        <v>90</v>
      </c>
      <c r="H1128" t="s">
        <v>188</v>
      </c>
      <c r="I1128" t="s">
        <v>360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125</v>
      </c>
      <c r="D1129" t="s">
        <v>336</v>
      </c>
      <c r="E1129" t="s">
        <v>179</v>
      </c>
      <c r="F1129">
        <v>14</v>
      </c>
      <c r="G1129" t="s">
        <v>90</v>
      </c>
      <c r="H1129" t="s">
        <v>188</v>
      </c>
      <c r="I1129" t="s">
        <v>361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125</v>
      </c>
      <c r="D1130" t="s">
        <v>336</v>
      </c>
      <c r="E1130" t="s">
        <v>179</v>
      </c>
      <c r="F1130">
        <v>14</v>
      </c>
      <c r="G1130" t="s">
        <v>90</v>
      </c>
      <c r="H1130" t="s">
        <v>188</v>
      </c>
      <c r="I1130" t="s">
        <v>362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125</v>
      </c>
      <c r="D1131" t="s">
        <v>336</v>
      </c>
      <c r="E1131" t="s">
        <v>179</v>
      </c>
      <c r="F1131">
        <v>14</v>
      </c>
      <c r="G1131" t="s">
        <v>90</v>
      </c>
      <c r="H1131" t="s">
        <v>188</v>
      </c>
      <c r="I1131" t="s">
        <v>363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125</v>
      </c>
      <c r="D1132" t="s">
        <v>336</v>
      </c>
      <c r="E1132" t="s">
        <v>179</v>
      </c>
      <c r="F1132">
        <v>14</v>
      </c>
      <c r="G1132" t="s">
        <v>90</v>
      </c>
      <c r="H1132" t="s">
        <v>188</v>
      </c>
      <c r="I1132" t="s">
        <v>364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125</v>
      </c>
      <c r="D1133" t="s">
        <v>336</v>
      </c>
      <c r="E1133" t="s">
        <v>179</v>
      </c>
      <c r="F1133">
        <v>14</v>
      </c>
      <c r="G1133" t="s">
        <v>90</v>
      </c>
      <c r="H1133" t="s">
        <v>188</v>
      </c>
      <c r="I1133" t="s">
        <v>365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125</v>
      </c>
      <c r="D1134" t="s">
        <v>336</v>
      </c>
      <c r="E1134" t="s">
        <v>179</v>
      </c>
      <c r="F1134">
        <v>14</v>
      </c>
      <c r="G1134" t="s">
        <v>90</v>
      </c>
      <c r="H1134" t="s">
        <v>188</v>
      </c>
      <c r="I1134" t="s">
        <v>366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125</v>
      </c>
      <c r="D1135" t="s">
        <v>336</v>
      </c>
      <c r="E1135" t="s">
        <v>179</v>
      </c>
      <c r="F1135">
        <v>14</v>
      </c>
      <c r="G1135" t="s">
        <v>231</v>
      </c>
      <c r="H1135" t="s">
        <v>232</v>
      </c>
      <c r="I1135" t="s">
        <v>340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125</v>
      </c>
      <c r="D1136" t="s">
        <v>336</v>
      </c>
      <c r="E1136" t="s">
        <v>179</v>
      </c>
      <c r="F1136">
        <v>14</v>
      </c>
      <c r="G1136" t="s">
        <v>231</v>
      </c>
      <c r="H1136" t="s">
        <v>186</v>
      </c>
      <c r="I1136" t="s">
        <v>340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125</v>
      </c>
      <c r="D1137" t="s">
        <v>336</v>
      </c>
      <c r="E1137" t="s">
        <v>179</v>
      </c>
      <c r="F1137">
        <v>14</v>
      </c>
      <c r="G1137" t="s">
        <v>231</v>
      </c>
      <c r="H1137" t="s">
        <v>187</v>
      </c>
      <c r="I1137" t="s">
        <v>340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125</v>
      </c>
      <c r="D1138" t="s">
        <v>336</v>
      </c>
      <c r="E1138" t="s">
        <v>179</v>
      </c>
      <c r="F1138">
        <v>14</v>
      </c>
      <c r="G1138" t="s">
        <v>231</v>
      </c>
      <c r="H1138" t="s">
        <v>198</v>
      </c>
      <c r="I1138" t="s">
        <v>340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125</v>
      </c>
      <c r="D1139" t="s">
        <v>336</v>
      </c>
      <c r="E1139" t="s">
        <v>179</v>
      </c>
      <c r="F1139">
        <v>14</v>
      </c>
      <c r="G1139" t="s">
        <v>231</v>
      </c>
      <c r="H1139" t="s">
        <v>188</v>
      </c>
      <c r="I1139" t="s">
        <v>340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125</v>
      </c>
      <c r="D1140" t="s">
        <v>336</v>
      </c>
      <c r="E1140" t="s">
        <v>179</v>
      </c>
      <c r="F1140">
        <v>14</v>
      </c>
      <c r="G1140" t="s">
        <v>233</v>
      </c>
      <c r="H1140" t="s">
        <v>234</v>
      </c>
      <c r="I1140" t="s">
        <v>367</v>
      </c>
      <c r="J1140" t="s">
        <v>368</v>
      </c>
    </row>
    <row r="1141" spans="1:10" x14ac:dyDescent="0.25">
      <c r="A1141" s="1" t="s">
        <v>27</v>
      </c>
      <c r="B1141">
        <v>401752806</v>
      </c>
      <c r="C1141" t="s">
        <v>125</v>
      </c>
      <c r="D1141" t="s">
        <v>336</v>
      </c>
      <c r="E1141" t="s">
        <v>179</v>
      </c>
      <c r="F1141">
        <v>14</v>
      </c>
      <c r="G1141" t="s">
        <v>233</v>
      </c>
      <c r="H1141" t="s">
        <v>236</v>
      </c>
      <c r="I1141" t="s">
        <v>367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125</v>
      </c>
      <c r="D1142" t="s">
        <v>336</v>
      </c>
      <c r="E1142" t="s">
        <v>179</v>
      </c>
      <c r="F1142">
        <v>14</v>
      </c>
      <c r="G1142" t="s">
        <v>233</v>
      </c>
      <c r="H1142" t="s">
        <v>198</v>
      </c>
      <c r="I1142" t="s">
        <v>367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125</v>
      </c>
      <c r="D1143" t="s">
        <v>336</v>
      </c>
      <c r="E1143" t="s">
        <v>179</v>
      </c>
      <c r="F1143">
        <v>14</v>
      </c>
      <c r="G1143" t="s">
        <v>233</v>
      </c>
      <c r="H1143" t="s">
        <v>237</v>
      </c>
      <c r="I1143" t="s">
        <v>367</v>
      </c>
      <c r="J1143" s="73">
        <v>45690</v>
      </c>
    </row>
    <row r="1144" spans="1:10" x14ac:dyDescent="0.25">
      <c r="A1144" s="1" t="s">
        <v>27</v>
      </c>
      <c r="B1144">
        <v>401752806</v>
      </c>
      <c r="C1144" t="s">
        <v>125</v>
      </c>
      <c r="D1144" t="s">
        <v>336</v>
      </c>
      <c r="E1144" t="s">
        <v>179</v>
      </c>
      <c r="F1144">
        <v>14</v>
      </c>
      <c r="G1144" t="s">
        <v>233</v>
      </c>
      <c r="H1144" t="s">
        <v>238</v>
      </c>
      <c r="I1144" t="s">
        <v>367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125</v>
      </c>
      <c r="D1145" t="s">
        <v>336</v>
      </c>
      <c r="E1145" t="s">
        <v>179</v>
      </c>
      <c r="F1145">
        <v>14</v>
      </c>
      <c r="G1145" t="s">
        <v>239</v>
      </c>
      <c r="H1145" t="s">
        <v>232</v>
      </c>
      <c r="I1145" t="s">
        <v>369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125</v>
      </c>
      <c r="D1146" t="s">
        <v>336</v>
      </c>
      <c r="E1146" t="s">
        <v>179</v>
      </c>
      <c r="F1146">
        <v>14</v>
      </c>
      <c r="G1146" t="s">
        <v>239</v>
      </c>
      <c r="H1146" t="s">
        <v>186</v>
      </c>
      <c r="I1146" t="s">
        <v>369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125</v>
      </c>
      <c r="D1147" t="s">
        <v>336</v>
      </c>
      <c r="E1147" t="s">
        <v>179</v>
      </c>
      <c r="F1147">
        <v>14</v>
      </c>
      <c r="G1147" t="s">
        <v>239</v>
      </c>
      <c r="H1147" t="s">
        <v>187</v>
      </c>
      <c r="I1147" t="s">
        <v>369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125</v>
      </c>
      <c r="D1148" t="s">
        <v>336</v>
      </c>
      <c r="E1148" t="s">
        <v>179</v>
      </c>
      <c r="F1148">
        <v>14</v>
      </c>
      <c r="G1148" t="s">
        <v>239</v>
      </c>
      <c r="H1148" t="s">
        <v>241</v>
      </c>
      <c r="I1148" t="s">
        <v>369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125</v>
      </c>
      <c r="D1149" t="s">
        <v>336</v>
      </c>
      <c r="E1149" t="s">
        <v>179</v>
      </c>
      <c r="F1149">
        <v>14</v>
      </c>
      <c r="G1149" t="s">
        <v>239</v>
      </c>
      <c r="H1149" t="s">
        <v>242</v>
      </c>
      <c r="I1149" t="s">
        <v>369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125</v>
      </c>
      <c r="D1150" t="s">
        <v>336</v>
      </c>
      <c r="E1150" t="s">
        <v>179</v>
      </c>
      <c r="F1150">
        <v>14</v>
      </c>
      <c r="G1150" t="s">
        <v>239</v>
      </c>
      <c r="H1150" t="s">
        <v>198</v>
      </c>
      <c r="I1150" t="s">
        <v>369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160</v>
      </c>
      <c r="D1151" t="s">
        <v>336</v>
      </c>
      <c r="E1151" t="s">
        <v>89</v>
      </c>
      <c r="F1151">
        <v>52</v>
      </c>
      <c r="G1151" t="s">
        <v>180</v>
      </c>
      <c r="H1151" t="s">
        <v>181</v>
      </c>
      <c r="I1151" t="s">
        <v>174</v>
      </c>
      <c r="J1151" t="s">
        <v>370</v>
      </c>
    </row>
    <row r="1152" spans="1:10" x14ac:dyDescent="0.25">
      <c r="A1152" s="1" t="s">
        <v>27</v>
      </c>
      <c r="B1152">
        <v>401761594</v>
      </c>
      <c r="C1152" t="s">
        <v>160</v>
      </c>
      <c r="D1152" t="s">
        <v>336</v>
      </c>
      <c r="E1152" t="s">
        <v>89</v>
      </c>
      <c r="F1152">
        <v>52</v>
      </c>
      <c r="G1152" t="s">
        <v>180</v>
      </c>
      <c r="H1152" t="s">
        <v>181</v>
      </c>
      <c r="I1152" t="s">
        <v>371</v>
      </c>
      <c r="J1152" t="s">
        <v>185</v>
      </c>
    </row>
    <row r="1153" spans="1:10" x14ac:dyDescent="0.25">
      <c r="A1153" s="1" t="s">
        <v>27</v>
      </c>
      <c r="B1153">
        <v>401761594</v>
      </c>
      <c r="C1153" t="s">
        <v>160</v>
      </c>
      <c r="D1153" t="s">
        <v>336</v>
      </c>
      <c r="E1153" t="s">
        <v>89</v>
      </c>
      <c r="F1153">
        <v>52</v>
      </c>
      <c r="G1153" t="s">
        <v>180</v>
      </c>
      <c r="H1153" t="s">
        <v>186</v>
      </c>
      <c r="I1153" t="s">
        <v>174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160</v>
      </c>
      <c r="D1154" t="s">
        <v>336</v>
      </c>
      <c r="E1154" t="s">
        <v>89</v>
      </c>
      <c r="F1154">
        <v>52</v>
      </c>
      <c r="G1154" t="s">
        <v>180</v>
      </c>
      <c r="H1154" t="s">
        <v>186</v>
      </c>
      <c r="I1154" t="s">
        <v>371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160</v>
      </c>
      <c r="D1155" t="s">
        <v>336</v>
      </c>
      <c r="E1155" t="s">
        <v>89</v>
      </c>
      <c r="F1155">
        <v>52</v>
      </c>
      <c r="G1155" t="s">
        <v>180</v>
      </c>
      <c r="H1155" t="s">
        <v>187</v>
      </c>
      <c r="I1155" t="s">
        <v>174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160</v>
      </c>
      <c r="D1156" t="s">
        <v>336</v>
      </c>
      <c r="E1156" t="s">
        <v>89</v>
      </c>
      <c r="F1156">
        <v>52</v>
      </c>
      <c r="G1156" t="s">
        <v>180</v>
      </c>
      <c r="H1156" t="s">
        <v>187</v>
      </c>
      <c r="I1156" t="s">
        <v>371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160</v>
      </c>
      <c r="D1157" t="s">
        <v>336</v>
      </c>
      <c r="E1157" t="s">
        <v>89</v>
      </c>
      <c r="F1157">
        <v>52</v>
      </c>
      <c r="G1157" t="s">
        <v>180</v>
      </c>
      <c r="H1157" t="s">
        <v>188</v>
      </c>
      <c r="I1157" t="s">
        <v>174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160</v>
      </c>
      <c r="D1158" t="s">
        <v>336</v>
      </c>
      <c r="E1158" t="s">
        <v>89</v>
      </c>
      <c r="F1158">
        <v>52</v>
      </c>
      <c r="G1158" t="s">
        <v>180</v>
      </c>
      <c r="H1158" t="s">
        <v>188</v>
      </c>
      <c r="I1158" t="s">
        <v>371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160</v>
      </c>
      <c r="D1159" t="s">
        <v>336</v>
      </c>
      <c r="E1159" t="s">
        <v>89</v>
      </c>
      <c r="F1159">
        <v>52</v>
      </c>
      <c r="G1159" t="s">
        <v>180</v>
      </c>
      <c r="H1159" t="s">
        <v>189</v>
      </c>
      <c r="I1159" t="s">
        <v>174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160</v>
      </c>
      <c r="D1160" t="s">
        <v>336</v>
      </c>
      <c r="E1160" t="s">
        <v>89</v>
      </c>
      <c r="F1160">
        <v>52</v>
      </c>
      <c r="G1160" t="s">
        <v>180</v>
      </c>
      <c r="H1160" t="s">
        <v>189</v>
      </c>
      <c r="I1160" t="s">
        <v>371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160</v>
      </c>
      <c r="D1161" t="s">
        <v>336</v>
      </c>
      <c r="E1161" t="s">
        <v>89</v>
      </c>
      <c r="F1161">
        <v>52</v>
      </c>
      <c r="G1161" t="s">
        <v>192</v>
      </c>
      <c r="H1161" t="s">
        <v>193</v>
      </c>
      <c r="I1161" t="s">
        <v>372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160</v>
      </c>
      <c r="D1162" t="s">
        <v>336</v>
      </c>
      <c r="E1162" t="s">
        <v>89</v>
      </c>
      <c r="F1162">
        <v>52</v>
      </c>
      <c r="G1162" t="s">
        <v>192</v>
      </c>
      <c r="H1162" t="s">
        <v>193</v>
      </c>
      <c r="I1162" t="s">
        <v>373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160</v>
      </c>
      <c r="D1163" t="s">
        <v>336</v>
      </c>
      <c r="E1163" t="s">
        <v>89</v>
      </c>
      <c r="F1163">
        <v>52</v>
      </c>
      <c r="G1163" t="s">
        <v>192</v>
      </c>
      <c r="H1163" t="s">
        <v>193</v>
      </c>
      <c r="I1163" t="s">
        <v>374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160</v>
      </c>
      <c r="D1164" t="s">
        <v>336</v>
      </c>
      <c r="E1164" t="s">
        <v>89</v>
      </c>
      <c r="F1164">
        <v>52</v>
      </c>
      <c r="G1164" t="s">
        <v>192</v>
      </c>
      <c r="H1164" t="s">
        <v>193</v>
      </c>
      <c r="I1164" t="s">
        <v>174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160</v>
      </c>
      <c r="D1165" t="s">
        <v>336</v>
      </c>
      <c r="E1165" t="s">
        <v>89</v>
      </c>
      <c r="F1165">
        <v>52</v>
      </c>
      <c r="G1165" t="s">
        <v>192</v>
      </c>
      <c r="H1165" t="s">
        <v>193</v>
      </c>
      <c r="I1165" t="s">
        <v>371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160</v>
      </c>
      <c r="D1166" t="s">
        <v>336</v>
      </c>
      <c r="E1166" t="s">
        <v>89</v>
      </c>
      <c r="F1166">
        <v>52</v>
      </c>
      <c r="G1166" t="s">
        <v>192</v>
      </c>
      <c r="H1166" t="s">
        <v>193</v>
      </c>
      <c r="I1166" t="s">
        <v>375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160</v>
      </c>
      <c r="D1167" t="s">
        <v>336</v>
      </c>
      <c r="E1167" t="s">
        <v>89</v>
      </c>
      <c r="F1167">
        <v>52</v>
      </c>
      <c r="G1167" t="s">
        <v>192</v>
      </c>
      <c r="H1167" t="s">
        <v>186</v>
      </c>
      <c r="I1167" t="s">
        <v>372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160</v>
      </c>
      <c r="D1168" t="s">
        <v>336</v>
      </c>
      <c r="E1168" t="s">
        <v>89</v>
      </c>
      <c r="F1168">
        <v>52</v>
      </c>
      <c r="G1168" t="s">
        <v>192</v>
      </c>
      <c r="H1168" t="s">
        <v>186</v>
      </c>
      <c r="I1168" t="s">
        <v>373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160</v>
      </c>
      <c r="D1169" t="s">
        <v>336</v>
      </c>
      <c r="E1169" t="s">
        <v>89</v>
      </c>
      <c r="F1169">
        <v>52</v>
      </c>
      <c r="G1169" t="s">
        <v>192</v>
      </c>
      <c r="H1169" t="s">
        <v>186</v>
      </c>
      <c r="I1169" t="s">
        <v>374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160</v>
      </c>
      <c r="D1170" t="s">
        <v>336</v>
      </c>
      <c r="E1170" t="s">
        <v>89</v>
      </c>
      <c r="F1170">
        <v>52</v>
      </c>
      <c r="G1170" t="s">
        <v>192</v>
      </c>
      <c r="H1170" t="s">
        <v>186</v>
      </c>
      <c r="I1170" t="s">
        <v>174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160</v>
      </c>
      <c r="D1171" t="s">
        <v>336</v>
      </c>
      <c r="E1171" t="s">
        <v>89</v>
      </c>
      <c r="F1171">
        <v>52</v>
      </c>
      <c r="G1171" t="s">
        <v>192</v>
      </c>
      <c r="H1171" t="s">
        <v>186</v>
      </c>
      <c r="I1171" t="s">
        <v>371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160</v>
      </c>
      <c r="D1172" t="s">
        <v>336</v>
      </c>
      <c r="E1172" t="s">
        <v>89</v>
      </c>
      <c r="F1172">
        <v>52</v>
      </c>
      <c r="G1172" t="s">
        <v>192</v>
      </c>
      <c r="H1172" t="s">
        <v>186</v>
      </c>
      <c r="I1172" t="s">
        <v>375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160</v>
      </c>
      <c r="D1173" t="s">
        <v>336</v>
      </c>
      <c r="E1173" t="s">
        <v>89</v>
      </c>
      <c r="F1173">
        <v>52</v>
      </c>
      <c r="G1173" t="s">
        <v>192</v>
      </c>
      <c r="H1173" t="s">
        <v>187</v>
      </c>
      <c r="I1173" t="s">
        <v>372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160</v>
      </c>
      <c r="D1174" t="s">
        <v>336</v>
      </c>
      <c r="E1174" t="s">
        <v>89</v>
      </c>
      <c r="F1174">
        <v>52</v>
      </c>
      <c r="G1174" t="s">
        <v>192</v>
      </c>
      <c r="H1174" t="s">
        <v>187</v>
      </c>
      <c r="I1174" t="s">
        <v>373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160</v>
      </c>
      <c r="D1175" t="s">
        <v>336</v>
      </c>
      <c r="E1175" t="s">
        <v>89</v>
      </c>
      <c r="F1175">
        <v>52</v>
      </c>
      <c r="G1175" t="s">
        <v>192</v>
      </c>
      <c r="H1175" t="s">
        <v>187</v>
      </c>
      <c r="I1175" t="s">
        <v>374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160</v>
      </c>
      <c r="D1176" t="s">
        <v>336</v>
      </c>
      <c r="E1176" t="s">
        <v>89</v>
      </c>
      <c r="F1176">
        <v>52</v>
      </c>
      <c r="G1176" t="s">
        <v>192</v>
      </c>
      <c r="H1176" t="s">
        <v>187</v>
      </c>
      <c r="I1176" t="s">
        <v>174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160</v>
      </c>
      <c r="D1177" t="s">
        <v>336</v>
      </c>
      <c r="E1177" t="s">
        <v>89</v>
      </c>
      <c r="F1177">
        <v>52</v>
      </c>
      <c r="G1177" t="s">
        <v>192</v>
      </c>
      <c r="H1177" t="s">
        <v>187</v>
      </c>
      <c r="I1177" t="s">
        <v>371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160</v>
      </c>
      <c r="D1178" t="s">
        <v>336</v>
      </c>
      <c r="E1178" t="s">
        <v>89</v>
      </c>
      <c r="F1178">
        <v>52</v>
      </c>
      <c r="G1178" t="s">
        <v>192</v>
      </c>
      <c r="H1178" t="s">
        <v>187</v>
      </c>
      <c r="I1178" t="s">
        <v>375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160</v>
      </c>
      <c r="D1179" t="s">
        <v>336</v>
      </c>
      <c r="E1179" t="s">
        <v>89</v>
      </c>
      <c r="F1179">
        <v>52</v>
      </c>
      <c r="G1179" t="s">
        <v>192</v>
      </c>
      <c r="H1179" t="s">
        <v>188</v>
      </c>
      <c r="I1179" t="s">
        <v>372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160</v>
      </c>
      <c r="D1180" t="s">
        <v>336</v>
      </c>
      <c r="E1180" t="s">
        <v>89</v>
      </c>
      <c r="F1180">
        <v>52</v>
      </c>
      <c r="G1180" t="s">
        <v>192</v>
      </c>
      <c r="H1180" t="s">
        <v>188</v>
      </c>
      <c r="I1180" t="s">
        <v>373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160</v>
      </c>
      <c r="D1181" t="s">
        <v>336</v>
      </c>
      <c r="E1181" t="s">
        <v>89</v>
      </c>
      <c r="F1181">
        <v>52</v>
      </c>
      <c r="G1181" t="s">
        <v>192</v>
      </c>
      <c r="H1181" t="s">
        <v>188</v>
      </c>
      <c r="I1181" t="s">
        <v>374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160</v>
      </c>
      <c r="D1182" t="s">
        <v>336</v>
      </c>
      <c r="E1182" t="s">
        <v>89</v>
      </c>
      <c r="F1182">
        <v>52</v>
      </c>
      <c r="G1182" t="s">
        <v>192</v>
      </c>
      <c r="H1182" t="s">
        <v>188</v>
      </c>
      <c r="I1182" t="s">
        <v>174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160</v>
      </c>
      <c r="D1183" t="s">
        <v>336</v>
      </c>
      <c r="E1183" t="s">
        <v>89</v>
      </c>
      <c r="F1183">
        <v>52</v>
      </c>
      <c r="G1183" t="s">
        <v>192</v>
      </c>
      <c r="H1183" t="s">
        <v>188</v>
      </c>
      <c r="I1183" t="s">
        <v>371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160</v>
      </c>
      <c r="D1184" t="s">
        <v>336</v>
      </c>
      <c r="E1184" t="s">
        <v>89</v>
      </c>
      <c r="F1184">
        <v>52</v>
      </c>
      <c r="G1184" t="s">
        <v>192</v>
      </c>
      <c r="H1184" t="s">
        <v>188</v>
      </c>
      <c r="I1184" t="s">
        <v>375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160</v>
      </c>
      <c r="D1185" t="s">
        <v>336</v>
      </c>
      <c r="E1185" t="s">
        <v>89</v>
      </c>
      <c r="F1185">
        <v>52</v>
      </c>
      <c r="G1185" t="s">
        <v>192</v>
      </c>
      <c r="H1185" t="s">
        <v>198</v>
      </c>
      <c r="I1185" t="s">
        <v>372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160</v>
      </c>
      <c r="D1186" t="s">
        <v>336</v>
      </c>
      <c r="E1186" t="s">
        <v>89</v>
      </c>
      <c r="F1186">
        <v>52</v>
      </c>
      <c r="G1186" t="s">
        <v>192</v>
      </c>
      <c r="H1186" t="s">
        <v>198</v>
      </c>
      <c r="I1186" t="s">
        <v>373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160</v>
      </c>
      <c r="D1187" t="s">
        <v>336</v>
      </c>
      <c r="E1187" t="s">
        <v>89</v>
      </c>
      <c r="F1187">
        <v>52</v>
      </c>
      <c r="G1187" t="s">
        <v>192</v>
      </c>
      <c r="H1187" t="s">
        <v>198</v>
      </c>
      <c r="I1187" t="s">
        <v>374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160</v>
      </c>
      <c r="D1188" t="s">
        <v>336</v>
      </c>
      <c r="E1188" t="s">
        <v>89</v>
      </c>
      <c r="F1188">
        <v>52</v>
      </c>
      <c r="G1188" t="s">
        <v>192</v>
      </c>
      <c r="H1188" t="s">
        <v>198</v>
      </c>
      <c r="I1188" t="s">
        <v>174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160</v>
      </c>
      <c r="D1189" t="s">
        <v>336</v>
      </c>
      <c r="E1189" t="s">
        <v>89</v>
      </c>
      <c r="F1189">
        <v>52</v>
      </c>
      <c r="G1189" t="s">
        <v>192</v>
      </c>
      <c r="H1189" t="s">
        <v>198</v>
      </c>
      <c r="I1189" t="s">
        <v>371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160</v>
      </c>
      <c r="D1190" t="s">
        <v>336</v>
      </c>
      <c r="E1190" t="s">
        <v>89</v>
      </c>
      <c r="F1190">
        <v>52</v>
      </c>
      <c r="G1190" t="s">
        <v>192</v>
      </c>
      <c r="H1190" t="s">
        <v>198</v>
      </c>
      <c r="I1190" t="s">
        <v>375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160</v>
      </c>
      <c r="D1191" t="s">
        <v>336</v>
      </c>
      <c r="E1191" t="s">
        <v>89</v>
      </c>
      <c r="F1191">
        <v>52</v>
      </c>
      <c r="G1191" t="s">
        <v>199</v>
      </c>
      <c r="H1191" t="s">
        <v>0</v>
      </c>
      <c r="I1191" t="s">
        <v>376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160</v>
      </c>
      <c r="D1192" t="s">
        <v>336</v>
      </c>
      <c r="E1192" t="s">
        <v>89</v>
      </c>
      <c r="F1192">
        <v>52</v>
      </c>
      <c r="G1192" t="s">
        <v>199</v>
      </c>
      <c r="H1192" t="s">
        <v>0</v>
      </c>
      <c r="I1192" t="s">
        <v>377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160</v>
      </c>
      <c r="D1193" t="s">
        <v>336</v>
      </c>
      <c r="E1193" t="s">
        <v>89</v>
      </c>
      <c r="F1193">
        <v>52</v>
      </c>
      <c r="G1193" t="s">
        <v>199</v>
      </c>
      <c r="H1193" t="s">
        <v>0</v>
      </c>
      <c r="I1193" t="s">
        <v>373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160</v>
      </c>
      <c r="D1194" t="s">
        <v>336</v>
      </c>
      <c r="E1194" t="s">
        <v>89</v>
      </c>
      <c r="F1194">
        <v>52</v>
      </c>
      <c r="G1194" t="s">
        <v>199</v>
      </c>
      <c r="H1194" t="s">
        <v>0</v>
      </c>
      <c r="I1194" t="s">
        <v>372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160</v>
      </c>
      <c r="D1195" t="s">
        <v>336</v>
      </c>
      <c r="E1195" t="s">
        <v>89</v>
      </c>
      <c r="F1195">
        <v>52</v>
      </c>
      <c r="G1195" t="s">
        <v>199</v>
      </c>
      <c r="H1195" t="s">
        <v>0</v>
      </c>
      <c r="I1195" t="s">
        <v>378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160</v>
      </c>
      <c r="D1196" t="s">
        <v>336</v>
      </c>
      <c r="E1196" t="s">
        <v>89</v>
      </c>
      <c r="F1196">
        <v>52</v>
      </c>
      <c r="G1196" t="s">
        <v>199</v>
      </c>
      <c r="H1196" t="s">
        <v>0</v>
      </c>
      <c r="I1196" t="s">
        <v>379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160</v>
      </c>
      <c r="D1197" t="s">
        <v>336</v>
      </c>
      <c r="E1197" t="s">
        <v>89</v>
      </c>
      <c r="F1197">
        <v>52</v>
      </c>
      <c r="G1197" t="s">
        <v>199</v>
      </c>
      <c r="H1197" t="s">
        <v>186</v>
      </c>
      <c r="I1197" t="s">
        <v>376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160</v>
      </c>
      <c r="D1198" t="s">
        <v>336</v>
      </c>
      <c r="E1198" t="s">
        <v>89</v>
      </c>
      <c r="F1198">
        <v>52</v>
      </c>
      <c r="G1198" t="s">
        <v>199</v>
      </c>
      <c r="H1198" t="s">
        <v>186</v>
      </c>
      <c r="I1198" t="s">
        <v>377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160</v>
      </c>
      <c r="D1199" t="s">
        <v>336</v>
      </c>
      <c r="E1199" t="s">
        <v>89</v>
      </c>
      <c r="F1199">
        <v>52</v>
      </c>
      <c r="G1199" t="s">
        <v>199</v>
      </c>
      <c r="H1199" t="s">
        <v>186</v>
      </c>
      <c r="I1199" t="s">
        <v>373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160</v>
      </c>
      <c r="D1200" t="s">
        <v>336</v>
      </c>
      <c r="E1200" t="s">
        <v>89</v>
      </c>
      <c r="F1200">
        <v>52</v>
      </c>
      <c r="G1200" t="s">
        <v>199</v>
      </c>
      <c r="H1200" t="s">
        <v>186</v>
      </c>
      <c r="I1200" t="s">
        <v>372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160</v>
      </c>
      <c r="D1201" t="s">
        <v>336</v>
      </c>
      <c r="E1201" t="s">
        <v>89</v>
      </c>
      <c r="F1201">
        <v>52</v>
      </c>
      <c r="G1201" t="s">
        <v>199</v>
      </c>
      <c r="H1201" t="s">
        <v>186</v>
      </c>
      <c r="I1201" t="s">
        <v>378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160</v>
      </c>
      <c r="D1202" t="s">
        <v>336</v>
      </c>
      <c r="E1202" t="s">
        <v>89</v>
      </c>
      <c r="F1202">
        <v>52</v>
      </c>
      <c r="G1202" t="s">
        <v>199</v>
      </c>
      <c r="H1202" t="s">
        <v>186</v>
      </c>
      <c r="I1202" t="s">
        <v>379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160</v>
      </c>
      <c r="D1203" t="s">
        <v>336</v>
      </c>
      <c r="E1203" t="s">
        <v>89</v>
      </c>
      <c r="F1203">
        <v>52</v>
      </c>
      <c r="G1203" t="s">
        <v>199</v>
      </c>
      <c r="H1203" t="s">
        <v>187</v>
      </c>
      <c r="I1203" t="s">
        <v>376</v>
      </c>
      <c r="J1203">
        <v>11.7</v>
      </c>
    </row>
    <row r="1204" spans="1:10" x14ac:dyDescent="0.25">
      <c r="A1204" s="1" t="s">
        <v>27</v>
      </c>
      <c r="B1204">
        <v>401761594</v>
      </c>
      <c r="C1204" t="s">
        <v>160</v>
      </c>
      <c r="D1204" t="s">
        <v>336</v>
      </c>
      <c r="E1204" t="s">
        <v>89</v>
      </c>
      <c r="F1204">
        <v>52</v>
      </c>
      <c r="G1204" t="s">
        <v>199</v>
      </c>
      <c r="H1204" t="s">
        <v>187</v>
      </c>
      <c r="I1204" t="s">
        <v>377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160</v>
      </c>
      <c r="D1205" t="s">
        <v>336</v>
      </c>
      <c r="E1205" t="s">
        <v>89</v>
      </c>
      <c r="F1205">
        <v>52</v>
      </c>
      <c r="G1205" t="s">
        <v>199</v>
      </c>
      <c r="H1205" t="s">
        <v>187</v>
      </c>
      <c r="I1205" t="s">
        <v>373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160</v>
      </c>
      <c r="D1206" t="s">
        <v>336</v>
      </c>
      <c r="E1206" t="s">
        <v>89</v>
      </c>
      <c r="F1206">
        <v>52</v>
      </c>
      <c r="G1206" t="s">
        <v>199</v>
      </c>
      <c r="H1206" t="s">
        <v>187</v>
      </c>
      <c r="I1206" t="s">
        <v>372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160</v>
      </c>
      <c r="D1207" t="s">
        <v>336</v>
      </c>
      <c r="E1207" t="s">
        <v>89</v>
      </c>
      <c r="F1207">
        <v>52</v>
      </c>
      <c r="G1207" t="s">
        <v>199</v>
      </c>
      <c r="H1207" t="s">
        <v>187</v>
      </c>
      <c r="I1207" t="s">
        <v>378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160</v>
      </c>
      <c r="D1208" t="s">
        <v>336</v>
      </c>
      <c r="E1208" t="s">
        <v>89</v>
      </c>
      <c r="F1208">
        <v>52</v>
      </c>
      <c r="G1208" t="s">
        <v>199</v>
      </c>
      <c r="H1208" t="s">
        <v>187</v>
      </c>
      <c r="I1208" t="s">
        <v>379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160</v>
      </c>
      <c r="D1209" t="s">
        <v>336</v>
      </c>
      <c r="E1209" t="s">
        <v>89</v>
      </c>
      <c r="F1209">
        <v>52</v>
      </c>
      <c r="G1209" t="s">
        <v>199</v>
      </c>
      <c r="H1209" t="s">
        <v>188</v>
      </c>
      <c r="I1209" t="s">
        <v>376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160</v>
      </c>
      <c r="D1210" t="s">
        <v>336</v>
      </c>
      <c r="E1210" t="s">
        <v>89</v>
      </c>
      <c r="F1210">
        <v>52</v>
      </c>
      <c r="G1210" t="s">
        <v>199</v>
      </c>
      <c r="H1210" t="s">
        <v>188</v>
      </c>
      <c r="I1210" t="s">
        <v>377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160</v>
      </c>
      <c r="D1211" t="s">
        <v>336</v>
      </c>
      <c r="E1211" t="s">
        <v>89</v>
      </c>
      <c r="F1211">
        <v>52</v>
      </c>
      <c r="G1211" t="s">
        <v>199</v>
      </c>
      <c r="H1211" t="s">
        <v>188</v>
      </c>
      <c r="I1211" t="s">
        <v>373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160</v>
      </c>
      <c r="D1212" t="s">
        <v>336</v>
      </c>
      <c r="E1212" t="s">
        <v>89</v>
      </c>
      <c r="F1212">
        <v>52</v>
      </c>
      <c r="G1212" t="s">
        <v>199</v>
      </c>
      <c r="H1212" t="s">
        <v>188</v>
      </c>
      <c r="I1212" t="s">
        <v>372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160</v>
      </c>
      <c r="D1213" t="s">
        <v>336</v>
      </c>
      <c r="E1213" t="s">
        <v>89</v>
      </c>
      <c r="F1213">
        <v>52</v>
      </c>
      <c r="G1213" t="s">
        <v>199</v>
      </c>
      <c r="H1213" t="s">
        <v>188</v>
      </c>
      <c r="I1213" t="s">
        <v>378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160</v>
      </c>
      <c r="D1214" t="s">
        <v>336</v>
      </c>
      <c r="E1214" t="s">
        <v>89</v>
      </c>
      <c r="F1214">
        <v>52</v>
      </c>
      <c r="G1214" t="s">
        <v>199</v>
      </c>
      <c r="H1214" t="s">
        <v>188</v>
      </c>
      <c r="I1214" t="s">
        <v>379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160</v>
      </c>
      <c r="D1215" t="s">
        <v>336</v>
      </c>
      <c r="E1215" t="s">
        <v>89</v>
      </c>
      <c r="F1215">
        <v>52</v>
      </c>
      <c r="G1215" t="s">
        <v>199</v>
      </c>
      <c r="H1215" t="s">
        <v>198</v>
      </c>
      <c r="I1215" t="s">
        <v>376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160</v>
      </c>
      <c r="D1216" t="s">
        <v>336</v>
      </c>
      <c r="E1216" t="s">
        <v>89</v>
      </c>
      <c r="F1216">
        <v>52</v>
      </c>
      <c r="G1216" t="s">
        <v>199</v>
      </c>
      <c r="H1216" t="s">
        <v>198</v>
      </c>
      <c r="I1216" t="s">
        <v>377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160</v>
      </c>
      <c r="D1217" t="s">
        <v>336</v>
      </c>
      <c r="E1217" t="s">
        <v>89</v>
      </c>
      <c r="F1217">
        <v>52</v>
      </c>
      <c r="G1217" t="s">
        <v>199</v>
      </c>
      <c r="H1217" t="s">
        <v>198</v>
      </c>
      <c r="I1217" t="s">
        <v>373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160</v>
      </c>
      <c r="D1218" t="s">
        <v>336</v>
      </c>
      <c r="E1218" t="s">
        <v>89</v>
      </c>
      <c r="F1218">
        <v>52</v>
      </c>
      <c r="G1218" t="s">
        <v>199</v>
      </c>
      <c r="H1218" t="s">
        <v>198</v>
      </c>
      <c r="I1218" t="s">
        <v>372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160</v>
      </c>
      <c r="D1219" t="s">
        <v>336</v>
      </c>
      <c r="E1219" t="s">
        <v>89</v>
      </c>
      <c r="F1219">
        <v>52</v>
      </c>
      <c r="G1219" t="s">
        <v>199</v>
      </c>
      <c r="H1219" t="s">
        <v>198</v>
      </c>
      <c r="I1219" t="s">
        <v>378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160</v>
      </c>
      <c r="D1220" t="s">
        <v>336</v>
      </c>
      <c r="E1220" t="s">
        <v>89</v>
      </c>
      <c r="F1220">
        <v>52</v>
      </c>
      <c r="G1220" t="s">
        <v>199</v>
      </c>
      <c r="H1220" t="s">
        <v>198</v>
      </c>
      <c r="I1220" t="s">
        <v>379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160</v>
      </c>
      <c r="D1221" t="s">
        <v>336</v>
      </c>
      <c r="E1221" t="s">
        <v>89</v>
      </c>
      <c r="F1221">
        <v>52</v>
      </c>
      <c r="G1221" t="s">
        <v>203</v>
      </c>
      <c r="H1221" t="s">
        <v>204</v>
      </c>
      <c r="I1221" t="s">
        <v>174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160</v>
      </c>
      <c r="D1222" t="s">
        <v>336</v>
      </c>
      <c r="E1222" t="s">
        <v>89</v>
      </c>
      <c r="F1222">
        <v>52</v>
      </c>
      <c r="G1222" t="s">
        <v>203</v>
      </c>
      <c r="H1222" t="s">
        <v>205</v>
      </c>
      <c r="I1222" t="s">
        <v>174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160</v>
      </c>
      <c r="D1223" t="s">
        <v>336</v>
      </c>
      <c r="E1223" t="s">
        <v>89</v>
      </c>
      <c r="F1223">
        <v>52</v>
      </c>
      <c r="G1223" t="s">
        <v>203</v>
      </c>
      <c r="H1223" t="s">
        <v>0</v>
      </c>
      <c r="I1223" t="s">
        <v>174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160</v>
      </c>
      <c r="D1224" t="s">
        <v>336</v>
      </c>
      <c r="E1224" t="s">
        <v>89</v>
      </c>
      <c r="F1224">
        <v>52</v>
      </c>
      <c r="G1224" t="s">
        <v>90</v>
      </c>
      <c r="H1224" t="s">
        <v>206</v>
      </c>
      <c r="I1224" t="s">
        <v>380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160</v>
      </c>
      <c r="D1225" t="s">
        <v>336</v>
      </c>
      <c r="E1225" t="s">
        <v>89</v>
      </c>
      <c r="F1225">
        <v>52</v>
      </c>
      <c r="G1225" t="s">
        <v>90</v>
      </c>
      <c r="H1225" t="s">
        <v>206</v>
      </c>
      <c r="I1225" t="s">
        <v>381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160</v>
      </c>
      <c r="D1226" t="s">
        <v>336</v>
      </c>
      <c r="E1226" t="s">
        <v>89</v>
      </c>
      <c r="F1226">
        <v>52</v>
      </c>
      <c r="G1226" t="s">
        <v>90</v>
      </c>
      <c r="H1226" t="s">
        <v>206</v>
      </c>
      <c r="I1226" t="s">
        <v>382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160</v>
      </c>
      <c r="D1227" t="s">
        <v>336</v>
      </c>
      <c r="E1227" t="s">
        <v>89</v>
      </c>
      <c r="F1227">
        <v>52</v>
      </c>
      <c r="G1227" t="s">
        <v>90</v>
      </c>
      <c r="H1227" t="s">
        <v>206</v>
      </c>
      <c r="I1227" t="s">
        <v>383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160</v>
      </c>
      <c r="D1228" t="s">
        <v>336</v>
      </c>
      <c r="E1228" t="s">
        <v>89</v>
      </c>
      <c r="F1228">
        <v>52</v>
      </c>
      <c r="G1228" t="s">
        <v>90</v>
      </c>
      <c r="H1228" t="s">
        <v>206</v>
      </c>
      <c r="I1228" t="s">
        <v>384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160</v>
      </c>
      <c r="D1229" t="s">
        <v>336</v>
      </c>
      <c r="E1229" t="s">
        <v>89</v>
      </c>
      <c r="F1229">
        <v>52</v>
      </c>
      <c r="G1229" t="s">
        <v>90</v>
      </c>
      <c r="H1229" t="s">
        <v>206</v>
      </c>
      <c r="I1229" t="s">
        <v>385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160</v>
      </c>
      <c r="D1230" t="s">
        <v>336</v>
      </c>
      <c r="E1230" t="s">
        <v>89</v>
      </c>
      <c r="F1230">
        <v>52</v>
      </c>
      <c r="G1230" t="s">
        <v>90</v>
      </c>
      <c r="H1230" t="s">
        <v>206</v>
      </c>
      <c r="I1230" t="s">
        <v>386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160</v>
      </c>
      <c r="D1231" t="s">
        <v>336</v>
      </c>
      <c r="E1231" t="s">
        <v>89</v>
      </c>
      <c r="F1231">
        <v>52</v>
      </c>
      <c r="G1231" t="s">
        <v>90</v>
      </c>
      <c r="H1231" t="s">
        <v>206</v>
      </c>
      <c r="I1231" t="s">
        <v>387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160</v>
      </c>
      <c r="D1232" t="s">
        <v>336</v>
      </c>
      <c r="E1232" t="s">
        <v>89</v>
      </c>
      <c r="F1232">
        <v>52</v>
      </c>
      <c r="G1232" t="s">
        <v>90</v>
      </c>
      <c r="H1232" t="s">
        <v>206</v>
      </c>
      <c r="I1232" t="s">
        <v>388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160</v>
      </c>
      <c r="D1233" t="s">
        <v>336</v>
      </c>
      <c r="E1233" t="s">
        <v>89</v>
      </c>
      <c r="F1233">
        <v>52</v>
      </c>
      <c r="G1233" t="s">
        <v>90</v>
      </c>
      <c r="H1233" t="s">
        <v>206</v>
      </c>
      <c r="I1233" t="s">
        <v>389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160</v>
      </c>
      <c r="D1234" t="s">
        <v>336</v>
      </c>
      <c r="E1234" t="s">
        <v>89</v>
      </c>
      <c r="F1234">
        <v>52</v>
      </c>
      <c r="G1234" t="s">
        <v>90</v>
      </c>
      <c r="H1234" t="s">
        <v>206</v>
      </c>
      <c r="I1234" t="s">
        <v>390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160</v>
      </c>
      <c r="D1235" t="s">
        <v>336</v>
      </c>
      <c r="E1235" t="s">
        <v>89</v>
      </c>
      <c r="F1235">
        <v>52</v>
      </c>
      <c r="G1235" t="s">
        <v>90</v>
      </c>
      <c r="H1235" t="s">
        <v>206</v>
      </c>
      <c r="I1235" t="s">
        <v>391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160</v>
      </c>
      <c r="D1236" t="s">
        <v>336</v>
      </c>
      <c r="E1236" t="s">
        <v>89</v>
      </c>
      <c r="F1236">
        <v>52</v>
      </c>
      <c r="G1236" t="s">
        <v>90</v>
      </c>
      <c r="H1236" t="s">
        <v>206</v>
      </c>
      <c r="I1236" t="s">
        <v>392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160</v>
      </c>
      <c r="D1237" t="s">
        <v>336</v>
      </c>
      <c r="E1237" t="s">
        <v>89</v>
      </c>
      <c r="F1237">
        <v>52</v>
      </c>
      <c r="G1237" t="s">
        <v>90</v>
      </c>
      <c r="H1237" t="s">
        <v>206</v>
      </c>
      <c r="I1237" t="s">
        <v>393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160</v>
      </c>
      <c r="D1238" t="s">
        <v>336</v>
      </c>
      <c r="E1238" t="s">
        <v>89</v>
      </c>
      <c r="F1238">
        <v>52</v>
      </c>
      <c r="G1238" t="s">
        <v>90</v>
      </c>
      <c r="H1238" t="s">
        <v>206</v>
      </c>
      <c r="I1238" t="s">
        <v>394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160</v>
      </c>
      <c r="D1239" t="s">
        <v>336</v>
      </c>
      <c r="E1239" t="s">
        <v>89</v>
      </c>
      <c r="F1239">
        <v>52</v>
      </c>
      <c r="G1239" t="s">
        <v>90</v>
      </c>
      <c r="H1239" t="s">
        <v>206</v>
      </c>
      <c r="I1239" t="s">
        <v>395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160</v>
      </c>
      <c r="D1240" t="s">
        <v>336</v>
      </c>
      <c r="E1240" t="s">
        <v>89</v>
      </c>
      <c r="F1240">
        <v>52</v>
      </c>
      <c r="G1240" t="s">
        <v>90</v>
      </c>
      <c r="H1240" t="s">
        <v>206</v>
      </c>
      <c r="I1240" t="s">
        <v>396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160</v>
      </c>
      <c r="D1241" t="s">
        <v>336</v>
      </c>
      <c r="E1241" t="s">
        <v>89</v>
      </c>
      <c r="F1241">
        <v>52</v>
      </c>
      <c r="G1241" t="s">
        <v>90</v>
      </c>
      <c r="H1241" t="s">
        <v>206</v>
      </c>
      <c r="I1241" t="s">
        <v>397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160</v>
      </c>
      <c r="D1242" t="s">
        <v>336</v>
      </c>
      <c r="E1242" t="s">
        <v>89</v>
      </c>
      <c r="F1242">
        <v>52</v>
      </c>
      <c r="G1242" t="s">
        <v>90</v>
      </c>
      <c r="H1242" t="s">
        <v>206</v>
      </c>
      <c r="I1242" t="s">
        <v>398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160</v>
      </c>
      <c r="D1243" t="s">
        <v>336</v>
      </c>
      <c r="E1243" t="s">
        <v>89</v>
      </c>
      <c r="F1243">
        <v>52</v>
      </c>
      <c r="G1243" t="s">
        <v>90</v>
      </c>
      <c r="H1243" t="s">
        <v>206</v>
      </c>
      <c r="I1243" t="s">
        <v>399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160</v>
      </c>
      <c r="D1244" t="s">
        <v>336</v>
      </c>
      <c r="E1244" t="s">
        <v>89</v>
      </c>
      <c r="F1244">
        <v>52</v>
      </c>
      <c r="G1244" t="s">
        <v>90</v>
      </c>
      <c r="H1244" t="s">
        <v>206</v>
      </c>
      <c r="I1244" t="s">
        <v>400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160</v>
      </c>
      <c r="D1245" t="s">
        <v>336</v>
      </c>
      <c r="E1245" t="s">
        <v>89</v>
      </c>
      <c r="F1245">
        <v>52</v>
      </c>
      <c r="G1245" t="s">
        <v>90</v>
      </c>
      <c r="H1245" t="s">
        <v>206</v>
      </c>
      <c r="I1245" t="s">
        <v>401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160</v>
      </c>
      <c r="D1246" t="s">
        <v>336</v>
      </c>
      <c r="E1246" t="s">
        <v>89</v>
      </c>
      <c r="F1246">
        <v>52</v>
      </c>
      <c r="G1246" t="s">
        <v>90</v>
      </c>
      <c r="H1246" t="s">
        <v>206</v>
      </c>
      <c r="I1246" t="s">
        <v>372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160</v>
      </c>
      <c r="D1247" t="s">
        <v>336</v>
      </c>
      <c r="E1247" t="s">
        <v>89</v>
      </c>
      <c r="F1247">
        <v>52</v>
      </c>
      <c r="G1247" t="s">
        <v>90</v>
      </c>
      <c r="H1247" t="s">
        <v>206</v>
      </c>
      <c r="I1247" t="s">
        <v>402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160</v>
      </c>
      <c r="D1248" t="s">
        <v>336</v>
      </c>
      <c r="E1248" t="s">
        <v>89</v>
      </c>
      <c r="F1248">
        <v>52</v>
      </c>
      <c r="G1248" t="s">
        <v>90</v>
      </c>
      <c r="H1248" t="s">
        <v>206</v>
      </c>
      <c r="I1248" t="s">
        <v>403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160</v>
      </c>
      <c r="D1249" t="s">
        <v>336</v>
      </c>
      <c r="E1249" t="s">
        <v>89</v>
      </c>
      <c r="F1249">
        <v>52</v>
      </c>
      <c r="G1249" t="s">
        <v>90</v>
      </c>
      <c r="H1249" t="s">
        <v>206</v>
      </c>
      <c r="I1249" t="s">
        <v>404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160</v>
      </c>
      <c r="D1250" t="s">
        <v>336</v>
      </c>
      <c r="E1250" t="s">
        <v>89</v>
      </c>
      <c r="F1250">
        <v>52</v>
      </c>
      <c r="G1250" t="s">
        <v>90</v>
      </c>
      <c r="H1250" t="s">
        <v>227</v>
      </c>
      <c r="I1250" t="s">
        <v>380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160</v>
      </c>
      <c r="D1251" t="s">
        <v>336</v>
      </c>
      <c r="E1251" t="s">
        <v>89</v>
      </c>
      <c r="F1251">
        <v>52</v>
      </c>
      <c r="G1251" t="s">
        <v>90</v>
      </c>
      <c r="H1251" t="s">
        <v>227</v>
      </c>
      <c r="I1251" t="s">
        <v>381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160</v>
      </c>
      <c r="D1252" t="s">
        <v>336</v>
      </c>
      <c r="E1252" t="s">
        <v>89</v>
      </c>
      <c r="F1252">
        <v>52</v>
      </c>
      <c r="G1252" t="s">
        <v>90</v>
      </c>
      <c r="H1252" t="s">
        <v>227</v>
      </c>
      <c r="I1252" t="s">
        <v>382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160</v>
      </c>
      <c r="D1253" t="s">
        <v>336</v>
      </c>
      <c r="E1253" t="s">
        <v>89</v>
      </c>
      <c r="F1253">
        <v>52</v>
      </c>
      <c r="G1253" t="s">
        <v>90</v>
      </c>
      <c r="H1253" t="s">
        <v>227</v>
      </c>
      <c r="I1253" t="s">
        <v>383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160</v>
      </c>
      <c r="D1254" t="s">
        <v>336</v>
      </c>
      <c r="E1254" t="s">
        <v>89</v>
      </c>
      <c r="F1254">
        <v>52</v>
      </c>
      <c r="G1254" t="s">
        <v>90</v>
      </c>
      <c r="H1254" t="s">
        <v>227</v>
      </c>
      <c r="I1254" t="s">
        <v>384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160</v>
      </c>
      <c r="D1255" t="s">
        <v>336</v>
      </c>
      <c r="E1255" t="s">
        <v>89</v>
      </c>
      <c r="F1255">
        <v>52</v>
      </c>
      <c r="G1255" t="s">
        <v>90</v>
      </c>
      <c r="H1255" t="s">
        <v>227</v>
      </c>
      <c r="I1255" t="s">
        <v>385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160</v>
      </c>
      <c r="D1256" t="s">
        <v>336</v>
      </c>
      <c r="E1256" t="s">
        <v>89</v>
      </c>
      <c r="F1256">
        <v>52</v>
      </c>
      <c r="G1256" t="s">
        <v>90</v>
      </c>
      <c r="H1256" t="s">
        <v>227</v>
      </c>
      <c r="I1256" t="s">
        <v>386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160</v>
      </c>
      <c r="D1257" t="s">
        <v>336</v>
      </c>
      <c r="E1257" t="s">
        <v>89</v>
      </c>
      <c r="F1257">
        <v>52</v>
      </c>
      <c r="G1257" t="s">
        <v>90</v>
      </c>
      <c r="H1257" t="s">
        <v>227</v>
      </c>
      <c r="I1257" t="s">
        <v>387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160</v>
      </c>
      <c r="D1258" t="s">
        <v>336</v>
      </c>
      <c r="E1258" t="s">
        <v>89</v>
      </c>
      <c r="F1258">
        <v>52</v>
      </c>
      <c r="G1258" t="s">
        <v>90</v>
      </c>
      <c r="H1258" t="s">
        <v>227</v>
      </c>
      <c r="I1258" t="s">
        <v>388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160</v>
      </c>
      <c r="D1259" t="s">
        <v>336</v>
      </c>
      <c r="E1259" t="s">
        <v>89</v>
      </c>
      <c r="F1259">
        <v>52</v>
      </c>
      <c r="G1259" t="s">
        <v>90</v>
      </c>
      <c r="H1259" t="s">
        <v>227</v>
      </c>
      <c r="I1259" t="s">
        <v>389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160</v>
      </c>
      <c r="D1260" t="s">
        <v>336</v>
      </c>
      <c r="E1260" t="s">
        <v>89</v>
      </c>
      <c r="F1260">
        <v>52</v>
      </c>
      <c r="G1260" t="s">
        <v>90</v>
      </c>
      <c r="H1260" t="s">
        <v>227</v>
      </c>
      <c r="I1260" t="s">
        <v>390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160</v>
      </c>
      <c r="D1261" t="s">
        <v>336</v>
      </c>
      <c r="E1261" t="s">
        <v>89</v>
      </c>
      <c r="F1261">
        <v>52</v>
      </c>
      <c r="G1261" t="s">
        <v>90</v>
      </c>
      <c r="H1261" t="s">
        <v>227</v>
      </c>
      <c r="I1261" t="s">
        <v>391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160</v>
      </c>
      <c r="D1262" t="s">
        <v>336</v>
      </c>
      <c r="E1262" t="s">
        <v>89</v>
      </c>
      <c r="F1262">
        <v>52</v>
      </c>
      <c r="G1262" t="s">
        <v>90</v>
      </c>
      <c r="H1262" t="s">
        <v>227</v>
      </c>
      <c r="I1262" t="s">
        <v>392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160</v>
      </c>
      <c r="D1263" t="s">
        <v>336</v>
      </c>
      <c r="E1263" t="s">
        <v>89</v>
      </c>
      <c r="F1263">
        <v>52</v>
      </c>
      <c r="G1263" t="s">
        <v>90</v>
      </c>
      <c r="H1263" t="s">
        <v>227</v>
      </c>
      <c r="I1263" t="s">
        <v>393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160</v>
      </c>
      <c r="D1264" t="s">
        <v>336</v>
      </c>
      <c r="E1264" t="s">
        <v>89</v>
      </c>
      <c r="F1264">
        <v>52</v>
      </c>
      <c r="G1264" t="s">
        <v>90</v>
      </c>
      <c r="H1264" t="s">
        <v>227</v>
      </c>
      <c r="I1264" t="s">
        <v>394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160</v>
      </c>
      <c r="D1265" t="s">
        <v>336</v>
      </c>
      <c r="E1265" t="s">
        <v>89</v>
      </c>
      <c r="F1265">
        <v>52</v>
      </c>
      <c r="G1265" t="s">
        <v>90</v>
      </c>
      <c r="H1265" t="s">
        <v>227</v>
      </c>
      <c r="I1265" t="s">
        <v>395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160</v>
      </c>
      <c r="D1266" t="s">
        <v>336</v>
      </c>
      <c r="E1266" t="s">
        <v>89</v>
      </c>
      <c r="F1266">
        <v>52</v>
      </c>
      <c r="G1266" t="s">
        <v>90</v>
      </c>
      <c r="H1266" t="s">
        <v>227</v>
      </c>
      <c r="I1266" t="s">
        <v>396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160</v>
      </c>
      <c r="D1267" t="s">
        <v>336</v>
      </c>
      <c r="E1267" t="s">
        <v>89</v>
      </c>
      <c r="F1267">
        <v>52</v>
      </c>
      <c r="G1267" t="s">
        <v>90</v>
      </c>
      <c r="H1267" t="s">
        <v>227</v>
      </c>
      <c r="I1267" t="s">
        <v>397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160</v>
      </c>
      <c r="D1268" t="s">
        <v>336</v>
      </c>
      <c r="E1268" t="s">
        <v>89</v>
      </c>
      <c r="F1268">
        <v>52</v>
      </c>
      <c r="G1268" t="s">
        <v>90</v>
      </c>
      <c r="H1268" t="s">
        <v>227</v>
      </c>
      <c r="I1268" t="s">
        <v>398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160</v>
      </c>
      <c r="D1269" t="s">
        <v>336</v>
      </c>
      <c r="E1269" t="s">
        <v>89</v>
      </c>
      <c r="F1269">
        <v>52</v>
      </c>
      <c r="G1269" t="s">
        <v>90</v>
      </c>
      <c r="H1269" t="s">
        <v>227</v>
      </c>
      <c r="I1269" t="s">
        <v>399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160</v>
      </c>
      <c r="D1270" t="s">
        <v>336</v>
      </c>
      <c r="E1270" t="s">
        <v>89</v>
      </c>
      <c r="F1270">
        <v>52</v>
      </c>
      <c r="G1270" t="s">
        <v>90</v>
      </c>
      <c r="H1270" t="s">
        <v>227</v>
      </c>
      <c r="I1270" t="s">
        <v>400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160</v>
      </c>
      <c r="D1271" t="s">
        <v>336</v>
      </c>
      <c r="E1271" t="s">
        <v>89</v>
      </c>
      <c r="F1271">
        <v>52</v>
      </c>
      <c r="G1271" t="s">
        <v>90</v>
      </c>
      <c r="H1271" t="s">
        <v>227</v>
      </c>
      <c r="I1271" t="s">
        <v>401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160</v>
      </c>
      <c r="D1272" t="s">
        <v>336</v>
      </c>
      <c r="E1272" t="s">
        <v>89</v>
      </c>
      <c r="F1272">
        <v>52</v>
      </c>
      <c r="G1272" t="s">
        <v>90</v>
      </c>
      <c r="H1272" t="s">
        <v>227</v>
      </c>
      <c r="I1272" t="s">
        <v>372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160</v>
      </c>
      <c r="D1273" t="s">
        <v>336</v>
      </c>
      <c r="E1273" t="s">
        <v>89</v>
      </c>
      <c r="F1273">
        <v>52</v>
      </c>
      <c r="G1273" t="s">
        <v>90</v>
      </c>
      <c r="H1273" t="s">
        <v>227</v>
      </c>
      <c r="I1273" t="s">
        <v>402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160</v>
      </c>
      <c r="D1274" t="s">
        <v>336</v>
      </c>
      <c r="E1274" t="s">
        <v>89</v>
      </c>
      <c r="F1274">
        <v>52</v>
      </c>
      <c r="G1274" t="s">
        <v>90</v>
      </c>
      <c r="H1274" t="s">
        <v>227</v>
      </c>
      <c r="I1274" t="s">
        <v>403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160</v>
      </c>
      <c r="D1275" t="s">
        <v>336</v>
      </c>
      <c r="E1275" t="s">
        <v>89</v>
      </c>
      <c r="F1275">
        <v>52</v>
      </c>
      <c r="G1275" t="s">
        <v>90</v>
      </c>
      <c r="H1275" t="s">
        <v>227</v>
      </c>
      <c r="I1275" t="s">
        <v>404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160</v>
      </c>
      <c r="D1276" t="s">
        <v>336</v>
      </c>
      <c r="E1276" t="s">
        <v>89</v>
      </c>
      <c r="F1276">
        <v>52</v>
      </c>
      <c r="G1276" t="s">
        <v>90</v>
      </c>
      <c r="H1276" t="s">
        <v>228</v>
      </c>
      <c r="I1276" t="s">
        <v>380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160</v>
      </c>
      <c r="D1277" t="s">
        <v>336</v>
      </c>
      <c r="E1277" t="s">
        <v>89</v>
      </c>
      <c r="F1277">
        <v>52</v>
      </c>
      <c r="G1277" t="s">
        <v>90</v>
      </c>
      <c r="H1277" t="s">
        <v>228</v>
      </c>
      <c r="I1277" t="s">
        <v>381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160</v>
      </c>
      <c r="D1278" t="s">
        <v>336</v>
      </c>
      <c r="E1278" t="s">
        <v>89</v>
      </c>
      <c r="F1278">
        <v>52</v>
      </c>
      <c r="G1278" t="s">
        <v>90</v>
      </c>
      <c r="H1278" t="s">
        <v>228</v>
      </c>
      <c r="I1278" t="s">
        <v>382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160</v>
      </c>
      <c r="D1279" t="s">
        <v>336</v>
      </c>
      <c r="E1279" t="s">
        <v>89</v>
      </c>
      <c r="F1279">
        <v>52</v>
      </c>
      <c r="G1279" t="s">
        <v>90</v>
      </c>
      <c r="H1279" t="s">
        <v>228</v>
      </c>
      <c r="I1279" t="s">
        <v>383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160</v>
      </c>
      <c r="D1280" t="s">
        <v>336</v>
      </c>
      <c r="E1280" t="s">
        <v>89</v>
      </c>
      <c r="F1280">
        <v>52</v>
      </c>
      <c r="G1280" t="s">
        <v>90</v>
      </c>
      <c r="H1280" t="s">
        <v>228</v>
      </c>
      <c r="I1280" t="s">
        <v>384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160</v>
      </c>
      <c r="D1281" t="s">
        <v>336</v>
      </c>
      <c r="E1281" t="s">
        <v>89</v>
      </c>
      <c r="F1281">
        <v>52</v>
      </c>
      <c r="G1281" t="s">
        <v>90</v>
      </c>
      <c r="H1281" t="s">
        <v>228</v>
      </c>
      <c r="I1281" t="s">
        <v>385</v>
      </c>
      <c r="J1281">
        <v>1</v>
      </c>
    </row>
    <row r="1282" spans="1:10" x14ac:dyDescent="0.25">
      <c r="A1282" s="1" t="s">
        <v>27</v>
      </c>
      <c r="B1282">
        <v>401761594</v>
      </c>
      <c r="C1282" t="s">
        <v>160</v>
      </c>
      <c r="D1282" t="s">
        <v>336</v>
      </c>
      <c r="E1282" t="s">
        <v>89</v>
      </c>
      <c r="F1282">
        <v>52</v>
      </c>
      <c r="G1282" t="s">
        <v>90</v>
      </c>
      <c r="H1282" t="s">
        <v>228</v>
      </c>
      <c r="I1282" t="s">
        <v>386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160</v>
      </c>
      <c r="D1283" t="s">
        <v>336</v>
      </c>
      <c r="E1283" t="s">
        <v>89</v>
      </c>
      <c r="F1283">
        <v>52</v>
      </c>
      <c r="G1283" t="s">
        <v>90</v>
      </c>
      <c r="H1283" t="s">
        <v>228</v>
      </c>
      <c r="I1283" t="s">
        <v>387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160</v>
      </c>
      <c r="D1284" t="s">
        <v>336</v>
      </c>
      <c r="E1284" t="s">
        <v>89</v>
      </c>
      <c r="F1284">
        <v>52</v>
      </c>
      <c r="G1284" t="s">
        <v>90</v>
      </c>
      <c r="H1284" t="s">
        <v>228</v>
      </c>
      <c r="I1284" t="s">
        <v>388</v>
      </c>
      <c r="J1284">
        <v>0</v>
      </c>
    </row>
    <row r="1285" spans="1:10" x14ac:dyDescent="0.25">
      <c r="A1285" s="1" t="s">
        <v>27</v>
      </c>
      <c r="B1285">
        <v>401761594</v>
      </c>
      <c r="C1285" t="s">
        <v>160</v>
      </c>
      <c r="D1285" t="s">
        <v>336</v>
      </c>
      <c r="E1285" t="s">
        <v>89</v>
      </c>
      <c r="F1285">
        <v>52</v>
      </c>
      <c r="G1285" t="s">
        <v>90</v>
      </c>
      <c r="H1285" t="s">
        <v>228</v>
      </c>
      <c r="I1285" t="s">
        <v>389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160</v>
      </c>
      <c r="D1286" t="s">
        <v>336</v>
      </c>
      <c r="E1286" t="s">
        <v>89</v>
      </c>
      <c r="F1286">
        <v>52</v>
      </c>
      <c r="G1286" t="s">
        <v>90</v>
      </c>
      <c r="H1286" t="s">
        <v>228</v>
      </c>
      <c r="I1286" t="s">
        <v>390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160</v>
      </c>
      <c r="D1287" t="s">
        <v>336</v>
      </c>
      <c r="E1287" t="s">
        <v>89</v>
      </c>
      <c r="F1287">
        <v>52</v>
      </c>
      <c r="G1287" t="s">
        <v>90</v>
      </c>
      <c r="H1287" t="s">
        <v>228</v>
      </c>
      <c r="I1287" t="s">
        <v>391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160</v>
      </c>
      <c r="D1288" t="s">
        <v>336</v>
      </c>
      <c r="E1288" t="s">
        <v>89</v>
      </c>
      <c r="F1288">
        <v>52</v>
      </c>
      <c r="G1288" t="s">
        <v>90</v>
      </c>
      <c r="H1288" t="s">
        <v>228</v>
      </c>
      <c r="I1288" t="s">
        <v>392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160</v>
      </c>
      <c r="D1289" t="s">
        <v>336</v>
      </c>
      <c r="E1289" t="s">
        <v>89</v>
      </c>
      <c r="F1289">
        <v>52</v>
      </c>
      <c r="G1289" t="s">
        <v>90</v>
      </c>
      <c r="H1289" t="s">
        <v>228</v>
      </c>
      <c r="I1289" t="s">
        <v>393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160</v>
      </c>
      <c r="D1290" t="s">
        <v>336</v>
      </c>
      <c r="E1290" t="s">
        <v>89</v>
      </c>
      <c r="F1290">
        <v>52</v>
      </c>
      <c r="G1290" t="s">
        <v>90</v>
      </c>
      <c r="H1290" t="s">
        <v>228</v>
      </c>
      <c r="I1290" t="s">
        <v>394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160</v>
      </c>
      <c r="D1291" t="s">
        <v>336</v>
      </c>
      <c r="E1291" t="s">
        <v>89</v>
      </c>
      <c r="F1291">
        <v>52</v>
      </c>
      <c r="G1291" t="s">
        <v>90</v>
      </c>
      <c r="H1291" t="s">
        <v>228</v>
      </c>
      <c r="I1291" t="s">
        <v>395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160</v>
      </c>
      <c r="D1292" t="s">
        <v>336</v>
      </c>
      <c r="E1292" t="s">
        <v>89</v>
      </c>
      <c r="F1292">
        <v>52</v>
      </c>
      <c r="G1292" t="s">
        <v>90</v>
      </c>
      <c r="H1292" t="s">
        <v>228</v>
      </c>
      <c r="I1292" t="s">
        <v>396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160</v>
      </c>
      <c r="D1293" t="s">
        <v>336</v>
      </c>
      <c r="E1293" t="s">
        <v>89</v>
      </c>
      <c r="F1293">
        <v>52</v>
      </c>
      <c r="G1293" t="s">
        <v>90</v>
      </c>
      <c r="H1293" t="s">
        <v>228</v>
      </c>
      <c r="I1293" t="s">
        <v>397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160</v>
      </c>
      <c r="D1294" t="s">
        <v>336</v>
      </c>
      <c r="E1294" t="s">
        <v>89</v>
      </c>
      <c r="F1294">
        <v>52</v>
      </c>
      <c r="G1294" t="s">
        <v>90</v>
      </c>
      <c r="H1294" t="s">
        <v>228</v>
      </c>
      <c r="I1294" t="s">
        <v>398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160</v>
      </c>
      <c r="D1295" t="s">
        <v>336</v>
      </c>
      <c r="E1295" t="s">
        <v>89</v>
      </c>
      <c r="F1295">
        <v>52</v>
      </c>
      <c r="G1295" t="s">
        <v>90</v>
      </c>
      <c r="H1295" t="s">
        <v>228</v>
      </c>
      <c r="I1295" t="s">
        <v>399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160</v>
      </c>
      <c r="D1296" t="s">
        <v>336</v>
      </c>
      <c r="E1296" t="s">
        <v>89</v>
      </c>
      <c r="F1296">
        <v>52</v>
      </c>
      <c r="G1296" t="s">
        <v>90</v>
      </c>
      <c r="H1296" t="s">
        <v>228</v>
      </c>
      <c r="I1296" t="s">
        <v>400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160</v>
      </c>
      <c r="D1297" t="s">
        <v>336</v>
      </c>
      <c r="E1297" t="s">
        <v>89</v>
      </c>
      <c r="F1297">
        <v>52</v>
      </c>
      <c r="G1297" t="s">
        <v>90</v>
      </c>
      <c r="H1297" t="s">
        <v>228</v>
      </c>
      <c r="I1297" t="s">
        <v>401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160</v>
      </c>
      <c r="D1298" t="s">
        <v>336</v>
      </c>
      <c r="E1298" t="s">
        <v>89</v>
      </c>
      <c r="F1298">
        <v>52</v>
      </c>
      <c r="G1298" t="s">
        <v>90</v>
      </c>
      <c r="H1298" t="s">
        <v>228</v>
      </c>
      <c r="I1298" t="s">
        <v>372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160</v>
      </c>
      <c r="D1299" t="s">
        <v>336</v>
      </c>
      <c r="E1299" t="s">
        <v>89</v>
      </c>
      <c r="F1299">
        <v>52</v>
      </c>
      <c r="G1299" t="s">
        <v>90</v>
      </c>
      <c r="H1299" t="s">
        <v>228</v>
      </c>
      <c r="I1299" t="s">
        <v>402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160</v>
      </c>
      <c r="D1300" t="s">
        <v>336</v>
      </c>
      <c r="E1300" t="s">
        <v>89</v>
      </c>
      <c r="F1300">
        <v>52</v>
      </c>
      <c r="G1300" t="s">
        <v>90</v>
      </c>
      <c r="H1300" t="s">
        <v>228</v>
      </c>
      <c r="I1300" t="s">
        <v>403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160</v>
      </c>
      <c r="D1301" t="s">
        <v>336</v>
      </c>
      <c r="E1301" t="s">
        <v>89</v>
      </c>
      <c r="F1301">
        <v>52</v>
      </c>
      <c r="G1301" t="s">
        <v>90</v>
      </c>
      <c r="H1301" t="s">
        <v>228</v>
      </c>
      <c r="I1301" t="s">
        <v>404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160</v>
      </c>
      <c r="D1302" t="s">
        <v>336</v>
      </c>
      <c r="E1302" t="s">
        <v>89</v>
      </c>
      <c r="F1302">
        <v>52</v>
      </c>
      <c r="G1302" t="s">
        <v>90</v>
      </c>
      <c r="H1302" t="s">
        <v>229</v>
      </c>
      <c r="I1302" t="s">
        <v>380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160</v>
      </c>
      <c r="D1303" t="s">
        <v>336</v>
      </c>
      <c r="E1303" t="s">
        <v>89</v>
      </c>
      <c r="F1303">
        <v>52</v>
      </c>
      <c r="G1303" t="s">
        <v>90</v>
      </c>
      <c r="H1303" t="s">
        <v>229</v>
      </c>
      <c r="I1303" t="s">
        <v>381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160</v>
      </c>
      <c r="D1304" t="s">
        <v>336</v>
      </c>
      <c r="E1304" t="s">
        <v>89</v>
      </c>
      <c r="F1304">
        <v>52</v>
      </c>
      <c r="G1304" t="s">
        <v>90</v>
      </c>
      <c r="H1304" t="s">
        <v>229</v>
      </c>
      <c r="I1304" t="s">
        <v>382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160</v>
      </c>
      <c r="D1305" t="s">
        <v>336</v>
      </c>
      <c r="E1305" t="s">
        <v>89</v>
      </c>
      <c r="F1305">
        <v>52</v>
      </c>
      <c r="G1305" t="s">
        <v>90</v>
      </c>
      <c r="H1305" t="s">
        <v>229</v>
      </c>
      <c r="I1305" t="s">
        <v>383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160</v>
      </c>
      <c r="D1306" t="s">
        <v>336</v>
      </c>
      <c r="E1306" t="s">
        <v>89</v>
      </c>
      <c r="F1306">
        <v>52</v>
      </c>
      <c r="G1306" t="s">
        <v>90</v>
      </c>
      <c r="H1306" t="s">
        <v>229</v>
      </c>
      <c r="I1306" t="s">
        <v>384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160</v>
      </c>
      <c r="D1307" t="s">
        <v>336</v>
      </c>
      <c r="E1307" t="s">
        <v>89</v>
      </c>
      <c r="F1307">
        <v>52</v>
      </c>
      <c r="G1307" t="s">
        <v>90</v>
      </c>
      <c r="H1307" t="s">
        <v>229</v>
      </c>
      <c r="I1307" t="s">
        <v>385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160</v>
      </c>
      <c r="D1308" t="s">
        <v>336</v>
      </c>
      <c r="E1308" t="s">
        <v>89</v>
      </c>
      <c r="F1308">
        <v>52</v>
      </c>
      <c r="G1308" t="s">
        <v>90</v>
      </c>
      <c r="H1308" t="s">
        <v>229</v>
      </c>
      <c r="I1308" t="s">
        <v>386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160</v>
      </c>
      <c r="D1309" t="s">
        <v>336</v>
      </c>
      <c r="E1309" t="s">
        <v>89</v>
      </c>
      <c r="F1309">
        <v>52</v>
      </c>
      <c r="G1309" t="s">
        <v>90</v>
      </c>
      <c r="H1309" t="s">
        <v>229</v>
      </c>
      <c r="I1309" t="s">
        <v>387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160</v>
      </c>
      <c r="D1310" t="s">
        <v>336</v>
      </c>
      <c r="E1310" t="s">
        <v>89</v>
      </c>
      <c r="F1310">
        <v>52</v>
      </c>
      <c r="G1310" t="s">
        <v>90</v>
      </c>
      <c r="H1310" t="s">
        <v>229</v>
      </c>
      <c r="I1310" t="s">
        <v>388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160</v>
      </c>
      <c r="D1311" t="s">
        <v>336</v>
      </c>
      <c r="E1311" t="s">
        <v>89</v>
      </c>
      <c r="F1311">
        <v>52</v>
      </c>
      <c r="G1311" t="s">
        <v>90</v>
      </c>
      <c r="H1311" t="s">
        <v>229</v>
      </c>
      <c r="I1311" t="s">
        <v>389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160</v>
      </c>
      <c r="D1312" t="s">
        <v>336</v>
      </c>
      <c r="E1312" t="s">
        <v>89</v>
      </c>
      <c r="F1312">
        <v>52</v>
      </c>
      <c r="G1312" t="s">
        <v>90</v>
      </c>
      <c r="H1312" t="s">
        <v>229</v>
      </c>
      <c r="I1312" t="s">
        <v>390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160</v>
      </c>
      <c r="D1313" t="s">
        <v>336</v>
      </c>
      <c r="E1313" t="s">
        <v>89</v>
      </c>
      <c r="F1313">
        <v>52</v>
      </c>
      <c r="G1313" t="s">
        <v>90</v>
      </c>
      <c r="H1313" t="s">
        <v>229</v>
      </c>
      <c r="I1313" t="s">
        <v>391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160</v>
      </c>
      <c r="D1314" t="s">
        <v>336</v>
      </c>
      <c r="E1314" t="s">
        <v>89</v>
      </c>
      <c r="F1314">
        <v>52</v>
      </c>
      <c r="G1314" t="s">
        <v>90</v>
      </c>
      <c r="H1314" t="s">
        <v>229</v>
      </c>
      <c r="I1314" t="s">
        <v>392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160</v>
      </c>
      <c r="D1315" t="s">
        <v>336</v>
      </c>
      <c r="E1315" t="s">
        <v>89</v>
      </c>
      <c r="F1315">
        <v>52</v>
      </c>
      <c r="G1315" t="s">
        <v>90</v>
      </c>
      <c r="H1315" t="s">
        <v>229</v>
      </c>
      <c r="I1315" t="s">
        <v>393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160</v>
      </c>
      <c r="D1316" t="s">
        <v>336</v>
      </c>
      <c r="E1316" t="s">
        <v>89</v>
      </c>
      <c r="F1316">
        <v>52</v>
      </c>
      <c r="G1316" t="s">
        <v>90</v>
      </c>
      <c r="H1316" t="s">
        <v>229</v>
      </c>
      <c r="I1316" t="s">
        <v>394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160</v>
      </c>
      <c r="D1317" t="s">
        <v>336</v>
      </c>
      <c r="E1317" t="s">
        <v>89</v>
      </c>
      <c r="F1317">
        <v>52</v>
      </c>
      <c r="G1317" t="s">
        <v>90</v>
      </c>
      <c r="H1317" t="s">
        <v>229</v>
      </c>
      <c r="I1317" t="s">
        <v>395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160</v>
      </c>
      <c r="D1318" t="s">
        <v>336</v>
      </c>
      <c r="E1318" t="s">
        <v>89</v>
      </c>
      <c r="F1318">
        <v>52</v>
      </c>
      <c r="G1318" t="s">
        <v>90</v>
      </c>
      <c r="H1318" t="s">
        <v>229</v>
      </c>
      <c r="I1318" t="s">
        <v>396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160</v>
      </c>
      <c r="D1319" t="s">
        <v>336</v>
      </c>
      <c r="E1319" t="s">
        <v>89</v>
      </c>
      <c r="F1319">
        <v>52</v>
      </c>
      <c r="G1319" t="s">
        <v>90</v>
      </c>
      <c r="H1319" t="s">
        <v>229</v>
      </c>
      <c r="I1319" t="s">
        <v>397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160</v>
      </c>
      <c r="D1320" t="s">
        <v>336</v>
      </c>
      <c r="E1320" t="s">
        <v>89</v>
      </c>
      <c r="F1320">
        <v>52</v>
      </c>
      <c r="G1320" t="s">
        <v>90</v>
      </c>
      <c r="H1320" t="s">
        <v>229</v>
      </c>
      <c r="I1320" t="s">
        <v>398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160</v>
      </c>
      <c r="D1321" t="s">
        <v>336</v>
      </c>
      <c r="E1321" t="s">
        <v>89</v>
      </c>
      <c r="F1321">
        <v>52</v>
      </c>
      <c r="G1321" t="s">
        <v>90</v>
      </c>
      <c r="H1321" t="s">
        <v>229</v>
      </c>
      <c r="I1321" t="s">
        <v>399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160</v>
      </c>
      <c r="D1322" t="s">
        <v>336</v>
      </c>
      <c r="E1322" t="s">
        <v>89</v>
      </c>
      <c r="F1322">
        <v>52</v>
      </c>
      <c r="G1322" t="s">
        <v>90</v>
      </c>
      <c r="H1322" t="s">
        <v>229</v>
      </c>
      <c r="I1322" t="s">
        <v>400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160</v>
      </c>
      <c r="D1323" t="s">
        <v>336</v>
      </c>
      <c r="E1323" t="s">
        <v>89</v>
      </c>
      <c r="F1323">
        <v>52</v>
      </c>
      <c r="G1323" t="s">
        <v>90</v>
      </c>
      <c r="H1323" t="s">
        <v>229</v>
      </c>
      <c r="I1323" t="s">
        <v>401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160</v>
      </c>
      <c r="D1324" t="s">
        <v>336</v>
      </c>
      <c r="E1324" t="s">
        <v>89</v>
      </c>
      <c r="F1324">
        <v>52</v>
      </c>
      <c r="G1324" t="s">
        <v>90</v>
      </c>
      <c r="H1324" t="s">
        <v>229</v>
      </c>
      <c r="I1324" t="s">
        <v>372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160</v>
      </c>
      <c r="D1325" t="s">
        <v>336</v>
      </c>
      <c r="E1325" t="s">
        <v>89</v>
      </c>
      <c r="F1325">
        <v>52</v>
      </c>
      <c r="G1325" t="s">
        <v>90</v>
      </c>
      <c r="H1325" t="s">
        <v>229</v>
      </c>
      <c r="I1325" t="s">
        <v>402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160</v>
      </c>
      <c r="D1326" t="s">
        <v>336</v>
      </c>
      <c r="E1326" t="s">
        <v>89</v>
      </c>
      <c r="F1326">
        <v>52</v>
      </c>
      <c r="G1326" t="s">
        <v>90</v>
      </c>
      <c r="H1326" t="s">
        <v>229</v>
      </c>
      <c r="I1326" t="s">
        <v>403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160</v>
      </c>
      <c r="D1327" t="s">
        <v>336</v>
      </c>
      <c r="E1327" t="s">
        <v>89</v>
      </c>
      <c r="F1327">
        <v>52</v>
      </c>
      <c r="G1327" t="s">
        <v>90</v>
      </c>
      <c r="H1327" t="s">
        <v>229</v>
      </c>
      <c r="I1327" t="s">
        <v>404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160</v>
      </c>
      <c r="D1328" t="s">
        <v>336</v>
      </c>
      <c r="E1328" t="s">
        <v>89</v>
      </c>
      <c r="F1328">
        <v>52</v>
      </c>
      <c r="G1328" t="s">
        <v>90</v>
      </c>
      <c r="H1328" t="s">
        <v>91</v>
      </c>
      <c r="I1328" t="s">
        <v>380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160</v>
      </c>
      <c r="D1329" t="s">
        <v>336</v>
      </c>
      <c r="E1329" t="s">
        <v>89</v>
      </c>
      <c r="F1329">
        <v>52</v>
      </c>
      <c r="G1329" t="s">
        <v>90</v>
      </c>
      <c r="H1329" t="s">
        <v>91</v>
      </c>
      <c r="I1329" t="s">
        <v>381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160</v>
      </c>
      <c r="D1330" t="s">
        <v>336</v>
      </c>
      <c r="E1330" t="s">
        <v>89</v>
      </c>
      <c r="F1330">
        <v>52</v>
      </c>
      <c r="G1330" t="s">
        <v>90</v>
      </c>
      <c r="H1330" t="s">
        <v>91</v>
      </c>
      <c r="I1330" t="s">
        <v>382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160</v>
      </c>
      <c r="D1331" t="s">
        <v>336</v>
      </c>
      <c r="E1331" t="s">
        <v>89</v>
      </c>
      <c r="F1331">
        <v>52</v>
      </c>
      <c r="G1331" t="s">
        <v>90</v>
      </c>
      <c r="H1331" t="s">
        <v>91</v>
      </c>
      <c r="I1331" t="s">
        <v>383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160</v>
      </c>
      <c r="D1332" t="s">
        <v>336</v>
      </c>
      <c r="E1332" t="s">
        <v>89</v>
      </c>
      <c r="F1332">
        <v>52</v>
      </c>
      <c r="G1332" t="s">
        <v>90</v>
      </c>
      <c r="H1332" t="s">
        <v>91</v>
      </c>
      <c r="I1332" t="s">
        <v>384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160</v>
      </c>
      <c r="D1333" t="s">
        <v>336</v>
      </c>
      <c r="E1333" t="s">
        <v>89</v>
      </c>
      <c r="F1333">
        <v>52</v>
      </c>
      <c r="G1333" t="s">
        <v>90</v>
      </c>
      <c r="H1333" t="s">
        <v>91</v>
      </c>
      <c r="I1333" t="s">
        <v>385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160</v>
      </c>
      <c r="D1334" t="s">
        <v>336</v>
      </c>
      <c r="E1334" t="s">
        <v>89</v>
      </c>
      <c r="F1334">
        <v>52</v>
      </c>
      <c r="G1334" t="s">
        <v>90</v>
      </c>
      <c r="H1334" t="s">
        <v>91</v>
      </c>
      <c r="I1334" t="s">
        <v>386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160</v>
      </c>
      <c r="D1335" t="s">
        <v>336</v>
      </c>
      <c r="E1335" t="s">
        <v>89</v>
      </c>
      <c r="F1335">
        <v>52</v>
      </c>
      <c r="G1335" t="s">
        <v>90</v>
      </c>
      <c r="H1335" t="s">
        <v>91</v>
      </c>
      <c r="I1335" t="s">
        <v>387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160</v>
      </c>
      <c r="D1336" t="s">
        <v>336</v>
      </c>
      <c r="E1336" t="s">
        <v>89</v>
      </c>
      <c r="F1336">
        <v>52</v>
      </c>
      <c r="G1336" t="s">
        <v>90</v>
      </c>
      <c r="H1336" t="s">
        <v>91</v>
      </c>
      <c r="I1336" t="s">
        <v>388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160</v>
      </c>
      <c r="D1337" t="s">
        <v>336</v>
      </c>
      <c r="E1337" t="s">
        <v>89</v>
      </c>
      <c r="F1337">
        <v>52</v>
      </c>
      <c r="G1337" t="s">
        <v>90</v>
      </c>
      <c r="H1337" t="s">
        <v>91</v>
      </c>
      <c r="I1337" t="s">
        <v>389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160</v>
      </c>
      <c r="D1338" t="s">
        <v>336</v>
      </c>
      <c r="E1338" t="s">
        <v>89</v>
      </c>
      <c r="F1338">
        <v>52</v>
      </c>
      <c r="G1338" t="s">
        <v>90</v>
      </c>
      <c r="H1338" t="s">
        <v>91</v>
      </c>
      <c r="I1338" t="s">
        <v>390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160</v>
      </c>
      <c r="D1339" t="s">
        <v>336</v>
      </c>
      <c r="E1339" t="s">
        <v>89</v>
      </c>
      <c r="F1339">
        <v>52</v>
      </c>
      <c r="G1339" t="s">
        <v>90</v>
      </c>
      <c r="H1339" t="s">
        <v>91</v>
      </c>
      <c r="I1339" t="s">
        <v>391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160</v>
      </c>
      <c r="D1340" t="s">
        <v>336</v>
      </c>
      <c r="E1340" t="s">
        <v>89</v>
      </c>
      <c r="F1340">
        <v>52</v>
      </c>
      <c r="G1340" t="s">
        <v>90</v>
      </c>
      <c r="H1340" t="s">
        <v>91</v>
      </c>
      <c r="I1340" t="s">
        <v>392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160</v>
      </c>
      <c r="D1341" t="s">
        <v>336</v>
      </c>
      <c r="E1341" t="s">
        <v>89</v>
      </c>
      <c r="F1341">
        <v>52</v>
      </c>
      <c r="G1341" t="s">
        <v>90</v>
      </c>
      <c r="H1341" t="s">
        <v>91</v>
      </c>
      <c r="I1341" t="s">
        <v>393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160</v>
      </c>
      <c r="D1342" t="s">
        <v>336</v>
      </c>
      <c r="E1342" t="s">
        <v>89</v>
      </c>
      <c r="F1342">
        <v>52</v>
      </c>
      <c r="G1342" t="s">
        <v>90</v>
      </c>
      <c r="H1342" t="s">
        <v>91</v>
      </c>
      <c r="I1342" t="s">
        <v>394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160</v>
      </c>
      <c r="D1343" t="s">
        <v>336</v>
      </c>
      <c r="E1343" t="s">
        <v>89</v>
      </c>
      <c r="F1343">
        <v>52</v>
      </c>
      <c r="G1343" t="s">
        <v>90</v>
      </c>
      <c r="H1343" t="s">
        <v>91</v>
      </c>
      <c r="I1343" t="s">
        <v>395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160</v>
      </c>
      <c r="D1344" t="s">
        <v>336</v>
      </c>
      <c r="E1344" t="s">
        <v>89</v>
      </c>
      <c r="F1344">
        <v>52</v>
      </c>
      <c r="G1344" t="s">
        <v>90</v>
      </c>
      <c r="H1344" t="s">
        <v>91</v>
      </c>
      <c r="I1344" t="s">
        <v>396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160</v>
      </c>
      <c r="D1345" t="s">
        <v>336</v>
      </c>
      <c r="E1345" t="s">
        <v>89</v>
      </c>
      <c r="F1345">
        <v>52</v>
      </c>
      <c r="G1345" t="s">
        <v>90</v>
      </c>
      <c r="H1345" t="s">
        <v>91</v>
      </c>
      <c r="I1345" t="s">
        <v>397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160</v>
      </c>
      <c r="D1346" t="s">
        <v>336</v>
      </c>
      <c r="E1346" t="s">
        <v>89</v>
      </c>
      <c r="F1346">
        <v>52</v>
      </c>
      <c r="G1346" t="s">
        <v>90</v>
      </c>
      <c r="H1346" t="s">
        <v>91</v>
      </c>
      <c r="I1346" t="s">
        <v>398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160</v>
      </c>
      <c r="D1347" t="s">
        <v>336</v>
      </c>
      <c r="E1347" t="s">
        <v>89</v>
      </c>
      <c r="F1347">
        <v>52</v>
      </c>
      <c r="G1347" t="s">
        <v>90</v>
      </c>
      <c r="H1347" t="s">
        <v>91</v>
      </c>
      <c r="I1347" t="s">
        <v>399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160</v>
      </c>
      <c r="D1348" t="s">
        <v>336</v>
      </c>
      <c r="E1348" t="s">
        <v>89</v>
      </c>
      <c r="F1348">
        <v>52</v>
      </c>
      <c r="G1348" t="s">
        <v>90</v>
      </c>
      <c r="H1348" t="s">
        <v>91</v>
      </c>
      <c r="I1348" t="s">
        <v>400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160</v>
      </c>
      <c r="D1349" t="s">
        <v>336</v>
      </c>
      <c r="E1349" t="s">
        <v>89</v>
      </c>
      <c r="F1349">
        <v>52</v>
      </c>
      <c r="G1349" t="s">
        <v>90</v>
      </c>
      <c r="H1349" t="s">
        <v>91</v>
      </c>
      <c r="I1349" t="s">
        <v>401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160</v>
      </c>
      <c r="D1350" t="s">
        <v>336</v>
      </c>
      <c r="E1350" t="s">
        <v>89</v>
      </c>
      <c r="F1350">
        <v>52</v>
      </c>
      <c r="G1350" t="s">
        <v>90</v>
      </c>
      <c r="H1350" t="s">
        <v>91</v>
      </c>
      <c r="I1350" t="s">
        <v>372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160</v>
      </c>
      <c r="D1351" t="s">
        <v>336</v>
      </c>
      <c r="E1351" t="s">
        <v>89</v>
      </c>
      <c r="F1351">
        <v>52</v>
      </c>
      <c r="G1351" t="s">
        <v>90</v>
      </c>
      <c r="H1351" t="s">
        <v>91</v>
      </c>
      <c r="I1351" t="s">
        <v>402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160</v>
      </c>
      <c r="D1352" t="s">
        <v>336</v>
      </c>
      <c r="E1352" t="s">
        <v>89</v>
      </c>
      <c r="F1352">
        <v>52</v>
      </c>
      <c r="G1352" t="s">
        <v>90</v>
      </c>
      <c r="H1352" t="s">
        <v>91</v>
      </c>
      <c r="I1352" t="s">
        <v>403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160</v>
      </c>
      <c r="D1353" t="s">
        <v>336</v>
      </c>
      <c r="E1353" t="s">
        <v>89</v>
      </c>
      <c r="F1353">
        <v>52</v>
      </c>
      <c r="G1353" t="s">
        <v>90</v>
      </c>
      <c r="H1353" t="s">
        <v>91</v>
      </c>
      <c r="I1353" t="s">
        <v>404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160</v>
      </c>
      <c r="D1354" t="s">
        <v>336</v>
      </c>
      <c r="E1354" t="s">
        <v>89</v>
      </c>
      <c r="F1354">
        <v>52</v>
      </c>
      <c r="G1354" t="s">
        <v>90</v>
      </c>
      <c r="H1354" t="s">
        <v>230</v>
      </c>
      <c r="I1354" t="s">
        <v>380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160</v>
      </c>
      <c r="D1355" t="s">
        <v>336</v>
      </c>
      <c r="E1355" t="s">
        <v>89</v>
      </c>
      <c r="F1355">
        <v>52</v>
      </c>
      <c r="G1355" t="s">
        <v>90</v>
      </c>
      <c r="H1355" t="s">
        <v>230</v>
      </c>
      <c r="I1355" t="s">
        <v>381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160</v>
      </c>
      <c r="D1356" t="s">
        <v>336</v>
      </c>
      <c r="E1356" t="s">
        <v>89</v>
      </c>
      <c r="F1356">
        <v>52</v>
      </c>
      <c r="G1356" t="s">
        <v>90</v>
      </c>
      <c r="H1356" t="s">
        <v>230</v>
      </c>
      <c r="I1356" t="s">
        <v>382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160</v>
      </c>
      <c r="D1357" t="s">
        <v>336</v>
      </c>
      <c r="E1357" t="s">
        <v>89</v>
      </c>
      <c r="F1357">
        <v>52</v>
      </c>
      <c r="G1357" t="s">
        <v>90</v>
      </c>
      <c r="H1357" t="s">
        <v>230</v>
      </c>
      <c r="I1357" t="s">
        <v>383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160</v>
      </c>
      <c r="D1358" t="s">
        <v>336</v>
      </c>
      <c r="E1358" t="s">
        <v>89</v>
      </c>
      <c r="F1358">
        <v>52</v>
      </c>
      <c r="G1358" t="s">
        <v>90</v>
      </c>
      <c r="H1358" t="s">
        <v>230</v>
      </c>
      <c r="I1358" t="s">
        <v>384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160</v>
      </c>
      <c r="D1359" t="s">
        <v>336</v>
      </c>
      <c r="E1359" t="s">
        <v>89</v>
      </c>
      <c r="F1359">
        <v>52</v>
      </c>
      <c r="G1359" t="s">
        <v>90</v>
      </c>
      <c r="H1359" t="s">
        <v>230</v>
      </c>
      <c r="I1359" t="s">
        <v>385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160</v>
      </c>
      <c r="D1360" t="s">
        <v>336</v>
      </c>
      <c r="E1360" t="s">
        <v>89</v>
      </c>
      <c r="F1360">
        <v>52</v>
      </c>
      <c r="G1360" t="s">
        <v>90</v>
      </c>
      <c r="H1360" t="s">
        <v>230</v>
      </c>
      <c r="I1360" t="s">
        <v>386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160</v>
      </c>
      <c r="D1361" t="s">
        <v>336</v>
      </c>
      <c r="E1361" t="s">
        <v>89</v>
      </c>
      <c r="F1361">
        <v>52</v>
      </c>
      <c r="G1361" t="s">
        <v>90</v>
      </c>
      <c r="H1361" t="s">
        <v>230</v>
      </c>
      <c r="I1361" t="s">
        <v>387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160</v>
      </c>
      <c r="D1362" t="s">
        <v>336</v>
      </c>
      <c r="E1362" t="s">
        <v>89</v>
      </c>
      <c r="F1362">
        <v>52</v>
      </c>
      <c r="G1362" t="s">
        <v>90</v>
      </c>
      <c r="H1362" t="s">
        <v>230</v>
      </c>
      <c r="I1362" t="s">
        <v>388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160</v>
      </c>
      <c r="D1363" t="s">
        <v>336</v>
      </c>
      <c r="E1363" t="s">
        <v>89</v>
      </c>
      <c r="F1363">
        <v>52</v>
      </c>
      <c r="G1363" t="s">
        <v>90</v>
      </c>
      <c r="H1363" t="s">
        <v>230</v>
      </c>
      <c r="I1363" t="s">
        <v>389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160</v>
      </c>
      <c r="D1364" t="s">
        <v>336</v>
      </c>
      <c r="E1364" t="s">
        <v>89</v>
      </c>
      <c r="F1364">
        <v>52</v>
      </c>
      <c r="G1364" t="s">
        <v>90</v>
      </c>
      <c r="H1364" t="s">
        <v>230</v>
      </c>
      <c r="I1364" t="s">
        <v>390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160</v>
      </c>
      <c r="D1365" t="s">
        <v>336</v>
      </c>
      <c r="E1365" t="s">
        <v>89</v>
      </c>
      <c r="F1365">
        <v>52</v>
      </c>
      <c r="G1365" t="s">
        <v>90</v>
      </c>
      <c r="H1365" t="s">
        <v>230</v>
      </c>
      <c r="I1365" t="s">
        <v>391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160</v>
      </c>
      <c r="D1366" t="s">
        <v>336</v>
      </c>
      <c r="E1366" t="s">
        <v>89</v>
      </c>
      <c r="F1366">
        <v>52</v>
      </c>
      <c r="G1366" t="s">
        <v>90</v>
      </c>
      <c r="H1366" t="s">
        <v>230</v>
      </c>
      <c r="I1366" t="s">
        <v>392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160</v>
      </c>
      <c r="D1367" t="s">
        <v>336</v>
      </c>
      <c r="E1367" t="s">
        <v>89</v>
      </c>
      <c r="F1367">
        <v>52</v>
      </c>
      <c r="G1367" t="s">
        <v>90</v>
      </c>
      <c r="H1367" t="s">
        <v>230</v>
      </c>
      <c r="I1367" t="s">
        <v>393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160</v>
      </c>
      <c r="D1368" t="s">
        <v>336</v>
      </c>
      <c r="E1368" t="s">
        <v>89</v>
      </c>
      <c r="F1368">
        <v>52</v>
      </c>
      <c r="G1368" t="s">
        <v>90</v>
      </c>
      <c r="H1368" t="s">
        <v>230</v>
      </c>
      <c r="I1368" t="s">
        <v>394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160</v>
      </c>
      <c r="D1369" t="s">
        <v>336</v>
      </c>
      <c r="E1369" t="s">
        <v>89</v>
      </c>
      <c r="F1369">
        <v>52</v>
      </c>
      <c r="G1369" t="s">
        <v>90</v>
      </c>
      <c r="H1369" t="s">
        <v>230</v>
      </c>
      <c r="I1369" t="s">
        <v>395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160</v>
      </c>
      <c r="D1370" t="s">
        <v>336</v>
      </c>
      <c r="E1370" t="s">
        <v>89</v>
      </c>
      <c r="F1370">
        <v>52</v>
      </c>
      <c r="G1370" t="s">
        <v>90</v>
      </c>
      <c r="H1370" t="s">
        <v>230</v>
      </c>
      <c r="I1370" t="s">
        <v>396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160</v>
      </c>
      <c r="D1371" t="s">
        <v>336</v>
      </c>
      <c r="E1371" t="s">
        <v>89</v>
      </c>
      <c r="F1371">
        <v>52</v>
      </c>
      <c r="G1371" t="s">
        <v>90</v>
      </c>
      <c r="H1371" t="s">
        <v>230</v>
      </c>
      <c r="I1371" t="s">
        <v>397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160</v>
      </c>
      <c r="D1372" t="s">
        <v>336</v>
      </c>
      <c r="E1372" t="s">
        <v>89</v>
      </c>
      <c r="F1372">
        <v>52</v>
      </c>
      <c r="G1372" t="s">
        <v>90</v>
      </c>
      <c r="H1372" t="s">
        <v>230</v>
      </c>
      <c r="I1372" t="s">
        <v>398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160</v>
      </c>
      <c r="D1373" t="s">
        <v>336</v>
      </c>
      <c r="E1373" t="s">
        <v>89</v>
      </c>
      <c r="F1373">
        <v>52</v>
      </c>
      <c r="G1373" t="s">
        <v>90</v>
      </c>
      <c r="H1373" t="s">
        <v>230</v>
      </c>
      <c r="I1373" t="s">
        <v>399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160</v>
      </c>
      <c r="D1374" t="s">
        <v>336</v>
      </c>
      <c r="E1374" t="s">
        <v>89</v>
      </c>
      <c r="F1374">
        <v>52</v>
      </c>
      <c r="G1374" t="s">
        <v>90</v>
      </c>
      <c r="H1374" t="s">
        <v>230</v>
      </c>
      <c r="I1374" t="s">
        <v>400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160</v>
      </c>
      <c r="D1375" t="s">
        <v>336</v>
      </c>
      <c r="E1375" t="s">
        <v>89</v>
      </c>
      <c r="F1375">
        <v>52</v>
      </c>
      <c r="G1375" t="s">
        <v>90</v>
      </c>
      <c r="H1375" t="s">
        <v>230</v>
      </c>
      <c r="I1375" t="s">
        <v>401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160</v>
      </c>
      <c r="D1376" t="s">
        <v>336</v>
      </c>
      <c r="E1376" t="s">
        <v>89</v>
      </c>
      <c r="F1376">
        <v>52</v>
      </c>
      <c r="G1376" t="s">
        <v>90</v>
      </c>
      <c r="H1376" t="s">
        <v>230</v>
      </c>
      <c r="I1376" t="s">
        <v>372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160</v>
      </c>
      <c r="D1377" t="s">
        <v>336</v>
      </c>
      <c r="E1377" t="s">
        <v>89</v>
      </c>
      <c r="F1377">
        <v>52</v>
      </c>
      <c r="G1377" t="s">
        <v>90</v>
      </c>
      <c r="H1377" t="s">
        <v>230</v>
      </c>
      <c r="I1377" t="s">
        <v>402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160</v>
      </c>
      <c r="D1378" t="s">
        <v>336</v>
      </c>
      <c r="E1378" t="s">
        <v>89</v>
      </c>
      <c r="F1378">
        <v>52</v>
      </c>
      <c r="G1378" t="s">
        <v>90</v>
      </c>
      <c r="H1378" t="s">
        <v>230</v>
      </c>
      <c r="I1378" t="s">
        <v>403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160</v>
      </c>
      <c r="D1379" t="s">
        <v>336</v>
      </c>
      <c r="E1379" t="s">
        <v>89</v>
      </c>
      <c r="F1379">
        <v>52</v>
      </c>
      <c r="G1379" t="s">
        <v>90</v>
      </c>
      <c r="H1379" t="s">
        <v>230</v>
      </c>
      <c r="I1379" t="s">
        <v>404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160</v>
      </c>
      <c r="D1380" t="s">
        <v>336</v>
      </c>
      <c r="E1380" t="s">
        <v>89</v>
      </c>
      <c r="F1380">
        <v>52</v>
      </c>
      <c r="G1380" t="s">
        <v>90</v>
      </c>
      <c r="H1380" t="s">
        <v>188</v>
      </c>
      <c r="I1380" t="s">
        <v>380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160</v>
      </c>
      <c r="D1381" t="s">
        <v>336</v>
      </c>
      <c r="E1381" t="s">
        <v>89</v>
      </c>
      <c r="F1381">
        <v>52</v>
      </c>
      <c r="G1381" t="s">
        <v>90</v>
      </c>
      <c r="H1381" t="s">
        <v>188</v>
      </c>
      <c r="I1381" t="s">
        <v>381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160</v>
      </c>
      <c r="D1382" t="s">
        <v>336</v>
      </c>
      <c r="E1382" t="s">
        <v>89</v>
      </c>
      <c r="F1382">
        <v>52</v>
      </c>
      <c r="G1382" t="s">
        <v>90</v>
      </c>
      <c r="H1382" t="s">
        <v>188</v>
      </c>
      <c r="I1382" t="s">
        <v>382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160</v>
      </c>
      <c r="D1383" t="s">
        <v>336</v>
      </c>
      <c r="E1383" t="s">
        <v>89</v>
      </c>
      <c r="F1383">
        <v>52</v>
      </c>
      <c r="G1383" t="s">
        <v>90</v>
      </c>
      <c r="H1383" t="s">
        <v>188</v>
      </c>
      <c r="I1383" t="s">
        <v>383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160</v>
      </c>
      <c r="D1384" t="s">
        <v>336</v>
      </c>
      <c r="E1384" t="s">
        <v>89</v>
      </c>
      <c r="F1384">
        <v>52</v>
      </c>
      <c r="G1384" t="s">
        <v>90</v>
      </c>
      <c r="H1384" t="s">
        <v>188</v>
      </c>
      <c r="I1384" t="s">
        <v>384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160</v>
      </c>
      <c r="D1385" t="s">
        <v>336</v>
      </c>
      <c r="E1385" t="s">
        <v>89</v>
      </c>
      <c r="F1385">
        <v>52</v>
      </c>
      <c r="G1385" t="s">
        <v>90</v>
      </c>
      <c r="H1385" t="s">
        <v>188</v>
      </c>
      <c r="I1385" t="s">
        <v>385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160</v>
      </c>
      <c r="D1386" t="s">
        <v>336</v>
      </c>
      <c r="E1386" t="s">
        <v>89</v>
      </c>
      <c r="F1386">
        <v>52</v>
      </c>
      <c r="G1386" t="s">
        <v>90</v>
      </c>
      <c r="H1386" t="s">
        <v>188</v>
      </c>
      <c r="I1386" t="s">
        <v>386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160</v>
      </c>
      <c r="D1387" t="s">
        <v>336</v>
      </c>
      <c r="E1387" t="s">
        <v>89</v>
      </c>
      <c r="F1387">
        <v>52</v>
      </c>
      <c r="G1387" t="s">
        <v>90</v>
      </c>
      <c r="H1387" t="s">
        <v>188</v>
      </c>
      <c r="I1387" t="s">
        <v>387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160</v>
      </c>
      <c r="D1388" t="s">
        <v>336</v>
      </c>
      <c r="E1388" t="s">
        <v>89</v>
      </c>
      <c r="F1388">
        <v>52</v>
      </c>
      <c r="G1388" t="s">
        <v>90</v>
      </c>
      <c r="H1388" t="s">
        <v>188</v>
      </c>
      <c r="I1388" t="s">
        <v>388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160</v>
      </c>
      <c r="D1389" t="s">
        <v>336</v>
      </c>
      <c r="E1389" t="s">
        <v>89</v>
      </c>
      <c r="F1389">
        <v>52</v>
      </c>
      <c r="G1389" t="s">
        <v>90</v>
      </c>
      <c r="H1389" t="s">
        <v>188</v>
      </c>
      <c r="I1389" t="s">
        <v>389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160</v>
      </c>
      <c r="D1390" t="s">
        <v>336</v>
      </c>
      <c r="E1390" t="s">
        <v>89</v>
      </c>
      <c r="F1390">
        <v>52</v>
      </c>
      <c r="G1390" t="s">
        <v>90</v>
      </c>
      <c r="H1390" t="s">
        <v>188</v>
      </c>
      <c r="I1390" t="s">
        <v>390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160</v>
      </c>
      <c r="D1391" t="s">
        <v>336</v>
      </c>
      <c r="E1391" t="s">
        <v>89</v>
      </c>
      <c r="F1391">
        <v>52</v>
      </c>
      <c r="G1391" t="s">
        <v>90</v>
      </c>
      <c r="H1391" t="s">
        <v>188</v>
      </c>
      <c r="I1391" t="s">
        <v>391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160</v>
      </c>
      <c r="D1392" t="s">
        <v>336</v>
      </c>
      <c r="E1392" t="s">
        <v>89</v>
      </c>
      <c r="F1392">
        <v>52</v>
      </c>
      <c r="G1392" t="s">
        <v>90</v>
      </c>
      <c r="H1392" t="s">
        <v>188</v>
      </c>
      <c r="I1392" t="s">
        <v>392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160</v>
      </c>
      <c r="D1393" t="s">
        <v>336</v>
      </c>
      <c r="E1393" t="s">
        <v>89</v>
      </c>
      <c r="F1393">
        <v>52</v>
      </c>
      <c r="G1393" t="s">
        <v>90</v>
      </c>
      <c r="H1393" t="s">
        <v>188</v>
      </c>
      <c r="I1393" t="s">
        <v>393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160</v>
      </c>
      <c r="D1394" t="s">
        <v>336</v>
      </c>
      <c r="E1394" t="s">
        <v>89</v>
      </c>
      <c r="F1394">
        <v>52</v>
      </c>
      <c r="G1394" t="s">
        <v>90</v>
      </c>
      <c r="H1394" t="s">
        <v>188</v>
      </c>
      <c r="I1394" t="s">
        <v>394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160</v>
      </c>
      <c r="D1395" t="s">
        <v>336</v>
      </c>
      <c r="E1395" t="s">
        <v>89</v>
      </c>
      <c r="F1395">
        <v>52</v>
      </c>
      <c r="G1395" t="s">
        <v>90</v>
      </c>
      <c r="H1395" t="s">
        <v>188</v>
      </c>
      <c r="I1395" t="s">
        <v>395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160</v>
      </c>
      <c r="D1396" t="s">
        <v>336</v>
      </c>
      <c r="E1396" t="s">
        <v>89</v>
      </c>
      <c r="F1396">
        <v>52</v>
      </c>
      <c r="G1396" t="s">
        <v>90</v>
      </c>
      <c r="H1396" t="s">
        <v>188</v>
      </c>
      <c r="I1396" t="s">
        <v>396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160</v>
      </c>
      <c r="D1397" t="s">
        <v>336</v>
      </c>
      <c r="E1397" t="s">
        <v>89</v>
      </c>
      <c r="F1397">
        <v>52</v>
      </c>
      <c r="G1397" t="s">
        <v>90</v>
      </c>
      <c r="H1397" t="s">
        <v>188</v>
      </c>
      <c r="I1397" t="s">
        <v>397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160</v>
      </c>
      <c r="D1398" t="s">
        <v>336</v>
      </c>
      <c r="E1398" t="s">
        <v>89</v>
      </c>
      <c r="F1398">
        <v>52</v>
      </c>
      <c r="G1398" t="s">
        <v>90</v>
      </c>
      <c r="H1398" t="s">
        <v>188</v>
      </c>
      <c r="I1398" t="s">
        <v>398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160</v>
      </c>
      <c r="D1399" t="s">
        <v>336</v>
      </c>
      <c r="E1399" t="s">
        <v>89</v>
      </c>
      <c r="F1399">
        <v>52</v>
      </c>
      <c r="G1399" t="s">
        <v>90</v>
      </c>
      <c r="H1399" t="s">
        <v>188</v>
      </c>
      <c r="I1399" t="s">
        <v>399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160</v>
      </c>
      <c r="D1400" t="s">
        <v>336</v>
      </c>
      <c r="E1400" t="s">
        <v>89</v>
      </c>
      <c r="F1400">
        <v>52</v>
      </c>
      <c r="G1400" t="s">
        <v>90</v>
      </c>
      <c r="H1400" t="s">
        <v>188</v>
      </c>
      <c r="I1400" t="s">
        <v>400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160</v>
      </c>
      <c r="D1401" t="s">
        <v>336</v>
      </c>
      <c r="E1401" t="s">
        <v>89</v>
      </c>
      <c r="F1401">
        <v>52</v>
      </c>
      <c r="G1401" t="s">
        <v>90</v>
      </c>
      <c r="H1401" t="s">
        <v>188</v>
      </c>
      <c r="I1401" t="s">
        <v>401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160</v>
      </c>
      <c r="D1402" t="s">
        <v>336</v>
      </c>
      <c r="E1402" t="s">
        <v>89</v>
      </c>
      <c r="F1402">
        <v>52</v>
      </c>
      <c r="G1402" t="s">
        <v>90</v>
      </c>
      <c r="H1402" t="s">
        <v>188</v>
      </c>
      <c r="I1402" t="s">
        <v>372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160</v>
      </c>
      <c r="D1403" t="s">
        <v>336</v>
      </c>
      <c r="E1403" t="s">
        <v>89</v>
      </c>
      <c r="F1403">
        <v>52</v>
      </c>
      <c r="G1403" t="s">
        <v>90</v>
      </c>
      <c r="H1403" t="s">
        <v>188</v>
      </c>
      <c r="I1403" t="s">
        <v>402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160</v>
      </c>
      <c r="D1404" t="s">
        <v>336</v>
      </c>
      <c r="E1404" t="s">
        <v>89</v>
      </c>
      <c r="F1404">
        <v>52</v>
      </c>
      <c r="G1404" t="s">
        <v>90</v>
      </c>
      <c r="H1404" t="s">
        <v>188</v>
      </c>
      <c r="I1404" t="s">
        <v>403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160</v>
      </c>
      <c r="D1405" t="s">
        <v>336</v>
      </c>
      <c r="E1405" t="s">
        <v>89</v>
      </c>
      <c r="F1405">
        <v>52</v>
      </c>
      <c r="G1405" t="s">
        <v>90</v>
      </c>
      <c r="H1405" t="s">
        <v>188</v>
      </c>
      <c r="I1405" t="s">
        <v>404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160</v>
      </c>
      <c r="D1406" t="s">
        <v>336</v>
      </c>
      <c r="E1406" t="s">
        <v>89</v>
      </c>
      <c r="F1406">
        <v>52</v>
      </c>
      <c r="G1406" t="s">
        <v>272</v>
      </c>
      <c r="H1406" t="s">
        <v>232</v>
      </c>
      <c r="I1406" t="s">
        <v>374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160</v>
      </c>
      <c r="D1407" t="s">
        <v>336</v>
      </c>
      <c r="E1407" t="s">
        <v>89</v>
      </c>
      <c r="F1407">
        <v>52</v>
      </c>
      <c r="G1407" t="s">
        <v>272</v>
      </c>
      <c r="H1407" t="s">
        <v>232</v>
      </c>
      <c r="I1407" t="s">
        <v>405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160</v>
      </c>
      <c r="D1408" t="s">
        <v>336</v>
      </c>
      <c r="E1408" t="s">
        <v>89</v>
      </c>
      <c r="F1408">
        <v>52</v>
      </c>
      <c r="G1408" t="s">
        <v>272</v>
      </c>
      <c r="H1408" t="s">
        <v>186</v>
      </c>
      <c r="I1408" t="s">
        <v>374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160</v>
      </c>
      <c r="D1409" t="s">
        <v>336</v>
      </c>
      <c r="E1409" t="s">
        <v>89</v>
      </c>
      <c r="F1409">
        <v>52</v>
      </c>
      <c r="G1409" t="s">
        <v>272</v>
      </c>
      <c r="H1409" t="s">
        <v>186</v>
      </c>
      <c r="I1409" t="s">
        <v>405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160</v>
      </c>
      <c r="D1410" t="s">
        <v>336</v>
      </c>
      <c r="E1410" t="s">
        <v>89</v>
      </c>
      <c r="F1410">
        <v>52</v>
      </c>
      <c r="G1410" t="s">
        <v>272</v>
      </c>
      <c r="H1410" t="s">
        <v>187</v>
      </c>
      <c r="I1410" t="s">
        <v>374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160</v>
      </c>
      <c r="D1411" t="s">
        <v>336</v>
      </c>
      <c r="E1411" t="s">
        <v>89</v>
      </c>
      <c r="F1411">
        <v>52</v>
      </c>
      <c r="G1411" t="s">
        <v>272</v>
      </c>
      <c r="H1411" t="s">
        <v>187</v>
      </c>
      <c r="I1411" t="s">
        <v>405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160</v>
      </c>
      <c r="D1412" t="s">
        <v>336</v>
      </c>
      <c r="E1412" t="s">
        <v>89</v>
      </c>
      <c r="F1412">
        <v>52</v>
      </c>
      <c r="G1412" t="s">
        <v>272</v>
      </c>
      <c r="H1412" t="s">
        <v>198</v>
      </c>
      <c r="I1412" t="s">
        <v>374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160</v>
      </c>
      <c r="D1413" t="s">
        <v>336</v>
      </c>
      <c r="E1413" t="s">
        <v>89</v>
      </c>
      <c r="F1413">
        <v>52</v>
      </c>
      <c r="G1413" t="s">
        <v>272</v>
      </c>
      <c r="H1413" t="s">
        <v>198</v>
      </c>
      <c r="I1413" t="s">
        <v>405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160</v>
      </c>
      <c r="D1414" t="s">
        <v>336</v>
      </c>
      <c r="E1414" t="s">
        <v>89</v>
      </c>
      <c r="F1414">
        <v>52</v>
      </c>
      <c r="G1414" t="s">
        <v>272</v>
      </c>
      <c r="H1414" t="s">
        <v>188</v>
      </c>
      <c r="I1414" t="s">
        <v>374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160</v>
      </c>
      <c r="D1415" t="s">
        <v>336</v>
      </c>
      <c r="E1415" t="s">
        <v>89</v>
      </c>
      <c r="F1415">
        <v>52</v>
      </c>
      <c r="G1415" t="s">
        <v>272</v>
      </c>
      <c r="H1415" t="s">
        <v>188</v>
      </c>
      <c r="I1415" t="s">
        <v>405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160</v>
      </c>
      <c r="D1416" t="s">
        <v>336</v>
      </c>
      <c r="E1416" t="s">
        <v>89</v>
      </c>
      <c r="F1416">
        <v>52</v>
      </c>
      <c r="G1416" t="s">
        <v>231</v>
      </c>
      <c r="H1416" t="s">
        <v>232</v>
      </c>
      <c r="I1416" t="s">
        <v>376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160</v>
      </c>
      <c r="D1417" t="s">
        <v>336</v>
      </c>
      <c r="E1417" t="s">
        <v>89</v>
      </c>
      <c r="F1417">
        <v>52</v>
      </c>
      <c r="G1417" t="s">
        <v>231</v>
      </c>
      <c r="H1417" t="s">
        <v>186</v>
      </c>
      <c r="I1417" t="s">
        <v>376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160</v>
      </c>
      <c r="D1418" t="s">
        <v>336</v>
      </c>
      <c r="E1418" t="s">
        <v>89</v>
      </c>
      <c r="F1418">
        <v>52</v>
      </c>
      <c r="G1418" t="s">
        <v>231</v>
      </c>
      <c r="H1418" t="s">
        <v>187</v>
      </c>
      <c r="I1418" t="s">
        <v>376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160</v>
      </c>
      <c r="D1419" t="s">
        <v>336</v>
      </c>
      <c r="E1419" t="s">
        <v>89</v>
      </c>
      <c r="F1419">
        <v>52</v>
      </c>
      <c r="G1419" t="s">
        <v>231</v>
      </c>
      <c r="H1419" t="s">
        <v>198</v>
      </c>
      <c r="I1419" t="s">
        <v>376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160</v>
      </c>
      <c r="D1420" t="s">
        <v>336</v>
      </c>
      <c r="E1420" t="s">
        <v>89</v>
      </c>
      <c r="F1420">
        <v>52</v>
      </c>
      <c r="G1420" t="s">
        <v>231</v>
      </c>
      <c r="H1420" t="s">
        <v>188</v>
      </c>
      <c r="I1420" t="s">
        <v>376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160</v>
      </c>
      <c r="D1421" t="s">
        <v>336</v>
      </c>
      <c r="E1421" t="s">
        <v>89</v>
      </c>
      <c r="F1421">
        <v>52</v>
      </c>
      <c r="G1421" t="s">
        <v>233</v>
      </c>
      <c r="H1421" t="s">
        <v>234</v>
      </c>
      <c r="I1421" t="s">
        <v>406</v>
      </c>
      <c r="J1421" s="73">
        <v>45658</v>
      </c>
    </row>
    <row r="1422" spans="1:10" x14ac:dyDescent="0.25">
      <c r="A1422" s="1" t="s">
        <v>27</v>
      </c>
      <c r="B1422">
        <v>401761594</v>
      </c>
      <c r="C1422" t="s">
        <v>160</v>
      </c>
      <c r="D1422" t="s">
        <v>336</v>
      </c>
      <c r="E1422" t="s">
        <v>89</v>
      </c>
      <c r="F1422">
        <v>52</v>
      </c>
      <c r="G1422" t="s">
        <v>233</v>
      </c>
      <c r="H1422" t="s">
        <v>236</v>
      </c>
      <c r="I1422" t="s">
        <v>406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160</v>
      </c>
      <c r="D1423" t="s">
        <v>336</v>
      </c>
      <c r="E1423" t="s">
        <v>89</v>
      </c>
      <c r="F1423">
        <v>52</v>
      </c>
      <c r="G1423" t="s">
        <v>233</v>
      </c>
      <c r="H1423" t="s">
        <v>198</v>
      </c>
      <c r="I1423" t="s">
        <v>406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160</v>
      </c>
      <c r="D1424" t="s">
        <v>336</v>
      </c>
      <c r="E1424" t="s">
        <v>89</v>
      </c>
      <c r="F1424">
        <v>52</v>
      </c>
      <c r="G1424" t="s">
        <v>233</v>
      </c>
      <c r="H1424" t="s">
        <v>237</v>
      </c>
      <c r="I1424" t="s">
        <v>406</v>
      </c>
      <c r="J1424" s="73">
        <v>45845</v>
      </c>
    </row>
    <row r="1425" spans="1:10" x14ac:dyDescent="0.25">
      <c r="A1425" s="1" t="s">
        <v>27</v>
      </c>
      <c r="B1425">
        <v>401761594</v>
      </c>
      <c r="C1425" t="s">
        <v>160</v>
      </c>
      <c r="D1425" t="s">
        <v>336</v>
      </c>
      <c r="E1425" t="s">
        <v>89</v>
      </c>
      <c r="F1425">
        <v>52</v>
      </c>
      <c r="G1425" t="s">
        <v>233</v>
      </c>
      <c r="H1425" t="s">
        <v>238</v>
      </c>
      <c r="I1425" t="s">
        <v>406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160</v>
      </c>
      <c r="D1426" t="s">
        <v>336</v>
      </c>
      <c r="E1426" t="s">
        <v>89</v>
      </c>
      <c r="F1426">
        <v>52</v>
      </c>
      <c r="G1426" t="s">
        <v>239</v>
      </c>
      <c r="H1426" t="s">
        <v>232</v>
      </c>
      <c r="I1426" t="s">
        <v>407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160</v>
      </c>
      <c r="D1427" t="s">
        <v>336</v>
      </c>
      <c r="E1427" t="s">
        <v>89</v>
      </c>
      <c r="F1427">
        <v>52</v>
      </c>
      <c r="G1427" t="s">
        <v>239</v>
      </c>
      <c r="H1427" t="s">
        <v>186</v>
      </c>
      <c r="I1427" t="s">
        <v>407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160</v>
      </c>
      <c r="D1428" t="s">
        <v>336</v>
      </c>
      <c r="E1428" t="s">
        <v>89</v>
      </c>
      <c r="F1428">
        <v>52</v>
      </c>
      <c r="G1428" t="s">
        <v>239</v>
      </c>
      <c r="H1428" t="s">
        <v>187</v>
      </c>
      <c r="I1428" t="s">
        <v>407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160</v>
      </c>
      <c r="D1429" t="s">
        <v>336</v>
      </c>
      <c r="E1429" t="s">
        <v>89</v>
      </c>
      <c r="F1429">
        <v>52</v>
      </c>
      <c r="G1429" t="s">
        <v>239</v>
      </c>
      <c r="H1429" t="s">
        <v>241</v>
      </c>
      <c r="I1429" t="s">
        <v>407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160</v>
      </c>
      <c r="D1430" t="s">
        <v>336</v>
      </c>
      <c r="E1430" t="s">
        <v>89</v>
      </c>
      <c r="F1430">
        <v>52</v>
      </c>
      <c r="G1430" t="s">
        <v>239</v>
      </c>
      <c r="H1430" t="s">
        <v>242</v>
      </c>
      <c r="I1430" t="s">
        <v>407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160</v>
      </c>
      <c r="D1431" t="s">
        <v>336</v>
      </c>
      <c r="E1431" t="s">
        <v>89</v>
      </c>
      <c r="F1431">
        <v>52</v>
      </c>
      <c r="G1431" t="s">
        <v>239</v>
      </c>
      <c r="H1431" t="s">
        <v>198</v>
      </c>
      <c r="I1431" t="s">
        <v>407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142</v>
      </c>
      <c r="D1432" t="s">
        <v>408</v>
      </c>
      <c r="E1432" t="s">
        <v>89</v>
      </c>
      <c r="F1432">
        <v>45</v>
      </c>
      <c r="G1432" t="s">
        <v>180</v>
      </c>
      <c r="H1432" t="s">
        <v>181</v>
      </c>
      <c r="I1432" t="s">
        <v>141</v>
      </c>
      <c r="J1432" t="s">
        <v>409</v>
      </c>
    </row>
    <row r="1433" spans="1:10" x14ac:dyDescent="0.25">
      <c r="A1433" s="1" t="s">
        <v>27</v>
      </c>
      <c r="B1433">
        <v>401752669</v>
      </c>
      <c r="C1433" t="s">
        <v>142</v>
      </c>
      <c r="D1433" t="s">
        <v>408</v>
      </c>
      <c r="E1433" t="s">
        <v>89</v>
      </c>
      <c r="F1433">
        <v>45</v>
      </c>
      <c r="G1433" t="s">
        <v>180</v>
      </c>
      <c r="H1433" t="s">
        <v>181</v>
      </c>
      <c r="I1433" t="s">
        <v>410</v>
      </c>
      <c r="J1433" s="73">
        <v>45785</v>
      </c>
    </row>
    <row r="1434" spans="1:10" x14ac:dyDescent="0.25">
      <c r="A1434" s="1" t="s">
        <v>27</v>
      </c>
      <c r="B1434">
        <v>401752669</v>
      </c>
      <c r="C1434" t="s">
        <v>142</v>
      </c>
      <c r="D1434" t="s">
        <v>408</v>
      </c>
      <c r="E1434" t="s">
        <v>89</v>
      </c>
      <c r="F1434">
        <v>45</v>
      </c>
      <c r="G1434" t="s">
        <v>180</v>
      </c>
      <c r="H1434" t="s">
        <v>186</v>
      </c>
      <c r="I1434" t="s">
        <v>141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142</v>
      </c>
      <c r="D1435" t="s">
        <v>408</v>
      </c>
      <c r="E1435" t="s">
        <v>89</v>
      </c>
      <c r="F1435">
        <v>45</v>
      </c>
      <c r="G1435" t="s">
        <v>180</v>
      </c>
      <c r="H1435" t="s">
        <v>186</v>
      </c>
      <c r="I1435" t="s">
        <v>410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142</v>
      </c>
      <c r="D1436" t="s">
        <v>408</v>
      </c>
      <c r="E1436" t="s">
        <v>89</v>
      </c>
      <c r="F1436">
        <v>45</v>
      </c>
      <c r="G1436" t="s">
        <v>180</v>
      </c>
      <c r="H1436" t="s">
        <v>187</v>
      </c>
      <c r="I1436" t="s">
        <v>141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142</v>
      </c>
      <c r="D1437" t="s">
        <v>408</v>
      </c>
      <c r="E1437" t="s">
        <v>89</v>
      </c>
      <c r="F1437">
        <v>45</v>
      </c>
      <c r="G1437" t="s">
        <v>180</v>
      </c>
      <c r="H1437" t="s">
        <v>187</v>
      </c>
      <c r="I1437" t="s">
        <v>410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142</v>
      </c>
      <c r="D1438" t="s">
        <v>408</v>
      </c>
      <c r="E1438" t="s">
        <v>89</v>
      </c>
      <c r="F1438">
        <v>45</v>
      </c>
      <c r="G1438" t="s">
        <v>180</v>
      </c>
      <c r="H1438" t="s">
        <v>188</v>
      </c>
      <c r="I1438" t="s">
        <v>141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142</v>
      </c>
      <c r="D1439" t="s">
        <v>408</v>
      </c>
      <c r="E1439" t="s">
        <v>89</v>
      </c>
      <c r="F1439">
        <v>45</v>
      </c>
      <c r="G1439" t="s">
        <v>180</v>
      </c>
      <c r="H1439" t="s">
        <v>188</v>
      </c>
      <c r="I1439" t="s">
        <v>410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142</v>
      </c>
      <c r="D1440" t="s">
        <v>408</v>
      </c>
      <c r="E1440" t="s">
        <v>89</v>
      </c>
      <c r="F1440">
        <v>45</v>
      </c>
      <c r="G1440" t="s">
        <v>180</v>
      </c>
      <c r="H1440" t="s">
        <v>189</v>
      </c>
      <c r="I1440" t="s">
        <v>141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142</v>
      </c>
      <c r="D1441" t="s">
        <v>408</v>
      </c>
      <c r="E1441" t="s">
        <v>89</v>
      </c>
      <c r="F1441">
        <v>45</v>
      </c>
      <c r="G1441" t="s">
        <v>180</v>
      </c>
      <c r="H1441" t="s">
        <v>189</v>
      </c>
      <c r="I1441" t="s">
        <v>410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142</v>
      </c>
      <c r="D1442" t="s">
        <v>408</v>
      </c>
      <c r="E1442" t="s">
        <v>89</v>
      </c>
      <c r="F1442">
        <v>45</v>
      </c>
      <c r="G1442" t="s">
        <v>180</v>
      </c>
      <c r="H1442" t="s">
        <v>190</v>
      </c>
      <c r="I1442" t="s">
        <v>141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142</v>
      </c>
      <c r="D1443" t="s">
        <v>408</v>
      </c>
      <c r="E1443" t="s">
        <v>89</v>
      </c>
      <c r="F1443">
        <v>45</v>
      </c>
      <c r="G1443" t="s">
        <v>180</v>
      </c>
      <c r="H1443" t="s">
        <v>190</v>
      </c>
      <c r="I1443" t="s">
        <v>410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142</v>
      </c>
      <c r="D1444" t="s">
        <v>408</v>
      </c>
      <c r="E1444" t="s">
        <v>89</v>
      </c>
      <c r="F1444">
        <v>45</v>
      </c>
      <c r="G1444" t="s">
        <v>192</v>
      </c>
      <c r="H1444" t="s">
        <v>193</v>
      </c>
      <c r="I1444" t="s">
        <v>141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142</v>
      </c>
      <c r="D1445" t="s">
        <v>408</v>
      </c>
      <c r="E1445" t="s">
        <v>89</v>
      </c>
      <c r="F1445">
        <v>45</v>
      </c>
      <c r="G1445" t="s">
        <v>192</v>
      </c>
      <c r="H1445" t="s">
        <v>193</v>
      </c>
      <c r="I1445" t="s">
        <v>411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142</v>
      </c>
      <c r="D1446" t="s">
        <v>408</v>
      </c>
      <c r="E1446" t="s">
        <v>89</v>
      </c>
      <c r="F1446">
        <v>45</v>
      </c>
      <c r="G1446" t="s">
        <v>192</v>
      </c>
      <c r="H1446" t="s">
        <v>193</v>
      </c>
      <c r="I1446" t="s">
        <v>149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142</v>
      </c>
      <c r="D1447" t="s">
        <v>408</v>
      </c>
      <c r="E1447" t="s">
        <v>89</v>
      </c>
      <c r="F1447">
        <v>45</v>
      </c>
      <c r="G1447" t="s">
        <v>192</v>
      </c>
      <c r="H1447" t="s">
        <v>193</v>
      </c>
      <c r="I1447" t="s">
        <v>412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142</v>
      </c>
      <c r="D1448" t="s">
        <v>408</v>
      </c>
      <c r="E1448" t="s">
        <v>89</v>
      </c>
      <c r="F1448">
        <v>45</v>
      </c>
      <c r="G1448" t="s">
        <v>192</v>
      </c>
      <c r="H1448" t="s">
        <v>193</v>
      </c>
      <c r="I1448" t="s">
        <v>410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142</v>
      </c>
      <c r="D1449" t="s">
        <v>408</v>
      </c>
      <c r="E1449" t="s">
        <v>89</v>
      </c>
      <c r="F1449">
        <v>45</v>
      </c>
      <c r="G1449" t="s">
        <v>192</v>
      </c>
      <c r="H1449" t="s">
        <v>193</v>
      </c>
      <c r="I1449" t="s">
        <v>413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142</v>
      </c>
      <c r="D1450" t="s">
        <v>408</v>
      </c>
      <c r="E1450" t="s">
        <v>89</v>
      </c>
      <c r="F1450">
        <v>45</v>
      </c>
      <c r="G1450" t="s">
        <v>192</v>
      </c>
      <c r="H1450" t="s">
        <v>193</v>
      </c>
      <c r="I1450" t="s">
        <v>414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142</v>
      </c>
      <c r="D1451" t="s">
        <v>408</v>
      </c>
      <c r="E1451" t="s">
        <v>89</v>
      </c>
      <c r="F1451">
        <v>45</v>
      </c>
      <c r="G1451" t="s">
        <v>192</v>
      </c>
      <c r="H1451" t="s">
        <v>193</v>
      </c>
      <c r="I1451" t="s">
        <v>415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142</v>
      </c>
      <c r="D1452" t="s">
        <v>408</v>
      </c>
      <c r="E1452" t="s">
        <v>89</v>
      </c>
      <c r="F1452">
        <v>45</v>
      </c>
      <c r="G1452" t="s">
        <v>192</v>
      </c>
      <c r="H1452" t="s">
        <v>193</v>
      </c>
      <c r="I1452" t="s">
        <v>416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142</v>
      </c>
      <c r="D1453" t="s">
        <v>408</v>
      </c>
      <c r="E1453" t="s">
        <v>89</v>
      </c>
      <c r="F1453">
        <v>45</v>
      </c>
      <c r="G1453" t="s">
        <v>192</v>
      </c>
      <c r="H1453" t="s">
        <v>186</v>
      </c>
      <c r="I1453" t="s">
        <v>141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142</v>
      </c>
      <c r="D1454" t="s">
        <v>408</v>
      </c>
      <c r="E1454" t="s">
        <v>89</v>
      </c>
      <c r="F1454">
        <v>45</v>
      </c>
      <c r="G1454" t="s">
        <v>192</v>
      </c>
      <c r="H1454" t="s">
        <v>186</v>
      </c>
      <c r="I1454" t="s">
        <v>411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142</v>
      </c>
      <c r="D1455" t="s">
        <v>408</v>
      </c>
      <c r="E1455" t="s">
        <v>89</v>
      </c>
      <c r="F1455">
        <v>45</v>
      </c>
      <c r="G1455" t="s">
        <v>192</v>
      </c>
      <c r="H1455" t="s">
        <v>186</v>
      </c>
      <c r="I1455" t="s">
        <v>149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142</v>
      </c>
      <c r="D1456" t="s">
        <v>408</v>
      </c>
      <c r="E1456" t="s">
        <v>89</v>
      </c>
      <c r="F1456">
        <v>45</v>
      </c>
      <c r="G1456" t="s">
        <v>192</v>
      </c>
      <c r="H1456" t="s">
        <v>186</v>
      </c>
      <c r="I1456" t="s">
        <v>412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142</v>
      </c>
      <c r="D1457" t="s">
        <v>408</v>
      </c>
      <c r="E1457" t="s">
        <v>89</v>
      </c>
      <c r="F1457">
        <v>45</v>
      </c>
      <c r="G1457" t="s">
        <v>192</v>
      </c>
      <c r="H1457" t="s">
        <v>186</v>
      </c>
      <c r="I1457" t="s">
        <v>410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142</v>
      </c>
      <c r="D1458" t="s">
        <v>408</v>
      </c>
      <c r="E1458" t="s">
        <v>89</v>
      </c>
      <c r="F1458">
        <v>45</v>
      </c>
      <c r="G1458" t="s">
        <v>192</v>
      </c>
      <c r="H1458" t="s">
        <v>186</v>
      </c>
      <c r="I1458" t="s">
        <v>413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142</v>
      </c>
      <c r="D1459" t="s">
        <v>408</v>
      </c>
      <c r="E1459" t="s">
        <v>89</v>
      </c>
      <c r="F1459">
        <v>45</v>
      </c>
      <c r="G1459" t="s">
        <v>192</v>
      </c>
      <c r="H1459" t="s">
        <v>186</v>
      </c>
      <c r="I1459" t="s">
        <v>414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142</v>
      </c>
      <c r="D1460" t="s">
        <v>408</v>
      </c>
      <c r="E1460" t="s">
        <v>89</v>
      </c>
      <c r="F1460">
        <v>45</v>
      </c>
      <c r="G1460" t="s">
        <v>192</v>
      </c>
      <c r="H1460" t="s">
        <v>186</v>
      </c>
      <c r="I1460" t="s">
        <v>415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142</v>
      </c>
      <c r="D1461" t="s">
        <v>408</v>
      </c>
      <c r="E1461" t="s">
        <v>89</v>
      </c>
      <c r="F1461">
        <v>45</v>
      </c>
      <c r="G1461" t="s">
        <v>192</v>
      </c>
      <c r="H1461" t="s">
        <v>186</v>
      </c>
      <c r="I1461" t="s">
        <v>416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142</v>
      </c>
      <c r="D1462" t="s">
        <v>408</v>
      </c>
      <c r="E1462" t="s">
        <v>89</v>
      </c>
      <c r="F1462">
        <v>45</v>
      </c>
      <c r="G1462" t="s">
        <v>192</v>
      </c>
      <c r="H1462" t="s">
        <v>187</v>
      </c>
      <c r="I1462" t="s">
        <v>141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142</v>
      </c>
      <c r="D1463" t="s">
        <v>408</v>
      </c>
      <c r="E1463" t="s">
        <v>89</v>
      </c>
      <c r="F1463">
        <v>45</v>
      </c>
      <c r="G1463" t="s">
        <v>192</v>
      </c>
      <c r="H1463" t="s">
        <v>187</v>
      </c>
      <c r="I1463" t="s">
        <v>411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142</v>
      </c>
      <c r="D1464" t="s">
        <v>408</v>
      </c>
      <c r="E1464" t="s">
        <v>89</v>
      </c>
      <c r="F1464">
        <v>45</v>
      </c>
      <c r="G1464" t="s">
        <v>192</v>
      </c>
      <c r="H1464" t="s">
        <v>187</v>
      </c>
      <c r="I1464" t="s">
        <v>149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142</v>
      </c>
      <c r="D1465" t="s">
        <v>408</v>
      </c>
      <c r="E1465" t="s">
        <v>89</v>
      </c>
      <c r="F1465">
        <v>45</v>
      </c>
      <c r="G1465" t="s">
        <v>192</v>
      </c>
      <c r="H1465" t="s">
        <v>187</v>
      </c>
      <c r="I1465" t="s">
        <v>412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142</v>
      </c>
      <c r="D1466" t="s">
        <v>408</v>
      </c>
      <c r="E1466" t="s">
        <v>89</v>
      </c>
      <c r="F1466">
        <v>45</v>
      </c>
      <c r="G1466" t="s">
        <v>192</v>
      </c>
      <c r="H1466" t="s">
        <v>187</v>
      </c>
      <c r="I1466" t="s">
        <v>410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142</v>
      </c>
      <c r="D1467" t="s">
        <v>408</v>
      </c>
      <c r="E1467" t="s">
        <v>89</v>
      </c>
      <c r="F1467">
        <v>45</v>
      </c>
      <c r="G1467" t="s">
        <v>192</v>
      </c>
      <c r="H1467" t="s">
        <v>187</v>
      </c>
      <c r="I1467" t="s">
        <v>413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142</v>
      </c>
      <c r="D1468" t="s">
        <v>408</v>
      </c>
      <c r="E1468" t="s">
        <v>89</v>
      </c>
      <c r="F1468">
        <v>45</v>
      </c>
      <c r="G1468" t="s">
        <v>192</v>
      </c>
      <c r="H1468" t="s">
        <v>187</v>
      </c>
      <c r="I1468" t="s">
        <v>414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142</v>
      </c>
      <c r="D1469" t="s">
        <v>408</v>
      </c>
      <c r="E1469" t="s">
        <v>89</v>
      </c>
      <c r="F1469">
        <v>45</v>
      </c>
      <c r="G1469" t="s">
        <v>192</v>
      </c>
      <c r="H1469" t="s">
        <v>187</v>
      </c>
      <c r="I1469" t="s">
        <v>415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142</v>
      </c>
      <c r="D1470" t="s">
        <v>408</v>
      </c>
      <c r="E1470" t="s">
        <v>89</v>
      </c>
      <c r="F1470">
        <v>45</v>
      </c>
      <c r="G1470" t="s">
        <v>192</v>
      </c>
      <c r="H1470" t="s">
        <v>187</v>
      </c>
      <c r="I1470" t="s">
        <v>416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142</v>
      </c>
      <c r="D1471" t="s">
        <v>408</v>
      </c>
      <c r="E1471" t="s">
        <v>89</v>
      </c>
      <c r="F1471">
        <v>45</v>
      </c>
      <c r="G1471" t="s">
        <v>192</v>
      </c>
      <c r="H1471" t="s">
        <v>188</v>
      </c>
      <c r="I1471" t="s">
        <v>141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142</v>
      </c>
      <c r="D1472" t="s">
        <v>408</v>
      </c>
      <c r="E1472" t="s">
        <v>89</v>
      </c>
      <c r="F1472">
        <v>45</v>
      </c>
      <c r="G1472" t="s">
        <v>192</v>
      </c>
      <c r="H1472" t="s">
        <v>188</v>
      </c>
      <c r="I1472" t="s">
        <v>411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142</v>
      </c>
      <c r="D1473" t="s">
        <v>408</v>
      </c>
      <c r="E1473" t="s">
        <v>89</v>
      </c>
      <c r="F1473">
        <v>45</v>
      </c>
      <c r="G1473" t="s">
        <v>192</v>
      </c>
      <c r="H1473" t="s">
        <v>188</v>
      </c>
      <c r="I1473" t="s">
        <v>149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142</v>
      </c>
      <c r="D1474" t="s">
        <v>408</v>
      </c>
      <c r="E1474" t="s">
        <v>89</v>
      </c>
      <c r="F1474">
        <v>45</v>
      </c>
      <c r="G1474" t="s">
        <v>192</v>
      </c>
      <c r="H1474" t="s">
        <v>188</v>
      </c>
      <c r="I1474" t="s">
        <v>412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142</v>
      </c>
      <c r="D1475" t="s">
        <v>408</v>
      </c>
      <c r="E1475" t="s">
        <v>89</v>
      </c>
      <c r="F1475">
        <v>45</v>
      </c>
      <c r="G1475" t="s">
        <v>192</v>
      </c>
      <c r="H1475" t="s">
        <v>188</v>
      </c>
      <c r="I1475" t="s">
        <v>410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142</v>
      </c>
      <c r="D1476" t="s">
        <v>408</v>
      </c>
      <c r="E1476" t="s">
        <v>89</v>
      </c>
      <c r="F1476">
        <v>45</v>
      </c>
      <c r="G1476" t="s">
        <v>192</v>
      </c>
      <c r="H1476" t="s">
        <v>188</v>
      </c>
      <c r="I1476" t="s">
        <v>413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142</v>
      </c>
      <c r="D1477" t="s">
        <v>408</v>
      </c>
      <c r="E1477" t="s">
        <v>89</v>
      </c>
      <c r="F1477">
        <v>45</v>
      </c>
      <c r="G1477" t="s">
        <v>192</v>
      </c>
      <c r="H1477" t="s">
        <v>188</v>
      </c>
      <c r="I1477" t="s">
        <v>414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142</v>
      </c>
      <c r="D1478" t="s">
        <v>408</v>
      </c>
      <c r="E1478" t="s">
        <v>89</v>
      </c>
      <c r="F1478">
        <v>45</v>
      </c>
      <c r="G1478" t="s">
        <v>192</v>
      </c>
      <c r="H1478" t="s">
        <v>188</v>
      </c>
      <c r="I1478" t="s">
        <v>415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142</v>
      </c>
      <c r="D1479" t="s">
        <v>408</v>
      </c>
      <c r="E1479" t="s">
        <v>89</v>
      </c>
      <c r="F1479">
        <v>45</v>
      </c>
      <c r="G1479" t="s">
        <v>192</v>
      </c>
      <c r="H1479" t="s">
        <v>188</v>
      </c>
      <c r="I1479" t="s">
        <v>416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142</v>
      </c>
      <c r="D1480" t="s">
        <v>408</v>
      </c>
      <c r="E1480" t="s">
        <v>89</v>
      </c>
      <c r="F1480">
        <v>45</v>
      </c>
      <c r="G1480" t="s">
        <v>192</v>
      </c>
      <c r="H1480" t="s">
        <v>198</v>
      </c>
      <c r="I1480" t="s">
        <v>141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142</v>
      </c>
      <c r="D1481" t="s">
        <v>408</v>
      </c>
      <c r="E1481" t="s">
        <v>89</v>
      </c>
      <c r="F1481">
        <v>45</v>
      </c>
      <c r="G1481" t="s">
        <v>192</v>
      </c>
      <c r="H1481" t="s">
        <v>198</v>
      </c>
      <c r="I1481" t="s">
        <v>411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142</v>
      </c>
      <c r="D1482" t="s">
        <v>408</v>
      </c>
      <c r="E1482" t="s">
        <v>89</v>
      </c>
      <c r="F1482">
        <v>45</v>
      </c>
      <c r="G1482" t="s">
        <v>192</v>
      </c>
      <c r="H1482" t="s">
        <v>198</v>
      </c>
      <c r="I1482" t="s">
        <v>149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142</v>
      </c>
      <c r="D1483" t="s">
        <v>408</v>
      </c>
      <c r="E1483" t="s">
        <v>89</v>
      </c>
      <c r="F1483">
        <v>45</v>
      </c>
      <c r="G1483" t="s">
        <v>192</v>
      </c>
      <c r="H1483" t="s">
        <v>198</v>
      </c>
      <c r="I1483" t="s">
        <v>412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142</v>
      </c>
      <c r="D1484" t="s">
        <v>408</v>
      </c>
      <c r="E1484" t="s">
        <v>89</v>
      </c>
      <c r="F1484">
        <v>45</v>
      </c>
      <c r="G1484" t="s">
        <v>192</v>
      </c>
      <c r="H1484" t="s">
        <v>198</v>
      </c>
      <c r="I1484" t="s">
        <v>410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142</v>
      </c>
      <c r="D1485" t="s">
        <v>408</v>
      </c>
      <c r="E1485" t="s">
        <v>89</v>
      </c>
      <c r="F1485">
        <v>45</v>
      </c>
      <c r="G1485" t="s">
        <v>192</v>
      </c>
      <c r="H1485" t="s">
        <v>198</v>
      </c>
      <c r="I1485" t="s">
        <v>413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142</v>
      </c>
      <c r="D1486" t="s">
        <v>408</v>
      </c>
      <c r="E1486" t="s">
        <v>89</v>
      </c>
      <c r="F1486">
        <v>45</v>
      </c>
      <c r="G1486" t="s">
        <v>192</v>
      </c>
      <c r="H1486" t="s">
        <v>198</v>
      </c>
      <c r="I1486" t="s">
        <v>414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142</v>
      </c>
      <c r="D1487" t="s">
        <v>408</v>
      </c>
      <c r="E1487" t="s">
        <v>89</v>
      </c>
      <c r="F1487">
        <v>45</v>
      </c>
      <c r="G1487" t="s">
        <v>192</v>
      </c>
      <c r="H1487" t="s">
        <v>198</v>
      </c>
      <c r="I1487" t="s">
        <v>415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142</v>
      </c>
      <c r="D1488" t="s">
        <v>408</v>
      </c>
      <c r="E1488" t="s">
        <v>89</v>
      </c>
      <c r="F1488">
        <v>45</v>
      </c>
      <c r="G1488" t="s">
        <v>192</v>
      </c>
      <c r="H1488" t="s">
        <v>198</v>
      </c>
      <c r="I1488" t="s">
        <v>416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142</v>
      </c>
      <c r="D1489" t="s">
        <v>408</v>
      </c>
      <c r="E1489" t="s">
        <v>89</v>
      </c>
      <c r="F1489">
        <v>45</v>
      </c>
      <c r="G1489" t="s">
        <v>199</v>
      </c>
      <c r="H1489" t="s">
        <v>0</v>
      </c>
      <c r="I1489" t="s">
        <v>417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142</v>
      </c>
      <c r="D1490" t="s">
        <v>408</v>
      </c>
      <c r="E1490" t="s">
        <v>89</v>
      </c>
      <c r="F1490">
        <v>45</v>
      </c>
      <c r="G1490" t="s">
        <v>199</v>
      </c>
      <c r="H1490" t="s">
        <v>0</v>
      </c>
      <c r="I1490" t="s">
        <v>418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142</v>
      </c>
      <c r="D1491" t="s">
        <v>408</v>
      </c>
      <c r="E1491" t="s">
        <v>89</v>
      </c>
      <c r="F1491">
        <v>45</v>
      </c>
      <c r="G1491" t="s">
        <v>199</v>
      </c>
      <c r="H1491" t="s">
        <v>0</v>
      </c>
      <c r="I1491" t="s">
        <v>419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142</v>
      </c>
      <c r="D1492" t="s">
        <v>408</v>
      </c>
      <c r="E1492" t="s">
        <v>89</v>
      </c>
      <c r="F1492">
        <v>45</v>
      </c>
      <c r="G1492" t="s">
        <v>199</v>
      </c>
      <c r="H1492" t="s">
        <v>0</v>
      </c>
      <c r="I1492" t="s">
        <v>420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142</v>
      </c>
      <c r="D1493" t="s">
        <v>408</v>
      </c>
      <c r="E1493" t="s">
        <v>89</v>
      </c>
      <c r="F1493">
        <v>45</v>
      </c>
      <c r="G1493" t="s">
        <v>199</v>
      </c>
      <c r="H1493" t="s">
        <v>0</v>
      </c>
      <c r="I1493" t="s">
        <v>421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142</v>
      </c>
      <c r="D1494" t="s">
        <v>408</v>
      </c>
      <c r="E1494" t="s">
        <v>89</v>
      </c>
      <c r="F1494">
        <v>45</v>
      </c>
      <c r="G1494" t="s">
        <v>199</v>
      </c>
      <c r="H1494" t="s">
        <v>0</v>
      </c>
      <c r="I1494" t="s">
        <v>415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142</v>
      </c>
      <c r="D1495" t="s">
        <v>408</v>
      </c>
      <c r="E1495" t="s">
        <v>89</v>
      </c>
      <c r="F1495">
        <v>45</v>
      </c>
      <c r="G1495" t="s">
        <v>199</v>
      </c>
      <c r="H1495" t="s">
        <v>0</v>
      </c>
      <c r="I1495" t="s">
        <v>422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142</v>
      </c>
      <c r="D1496" t="s">
        <v>408</v>
      </c>
      <c r="E1496" t="s">
        <v>89</v>
      </c>
      <c r="F1496">
        <v>45</v>
      </c>
      <c r="G1496" t="s">
        <v>199</v>
      </c>
      <c r="H1496" t="s">
        <v>0</v>
      </c>
      <c r="I1496" t="s">
        <v>412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142</v>
      </c>
      <c r="D1497" t="s">
        <v>408</v>
      </c>
      <c r="E1497" t="s">
        <v>89</v>
      </c>
      <c r="F1497">
        <v>45</v>
      </c>
      <c r="G1497" t="s">
        <v>199</v>
      </c>
      <c r="H1497" t="s">
        <v>0</v>
      </c>
      <c r="I1497" t="s">
        <v>423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142</v>
      </c>
      <c r="D1498" t="s">
        <v>408</v>
      </c>
      <c r="E1498" t="s">
        <v>89</v>
      </c>
      <c r="F1498">
        <v>45</v>
      </c>
      <c r="G1498" t="s">
        <v>199</v>
      </c>
      <c r="H1498" t="s">
        <v>0</v>
      </c>
      <c r="I1498" t="s">
        <v>424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142</v>
      </c>
      <c r="D1499" t="s">
        <v>408</v>
      </c>
      <c r="E1499" t="s">
        <v>89</v>
      </c>
      <c r="F1499">
        <v>45</v>
      </c>
      <c r="G1499" t="s">
        <v>199</v>
      </c>
      <c r="H1499" t="s">
        <v>0</v>
      </c>
      <c r="I1499" t="s">
        <v>425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142</v>
      </c>
      <c r="D1500" t="s">
        <v>408</v>
      </c>
      <c r="E1500" t="s">
        <v>89</v>
      </c>
      <c r="F1500">
        <v>45</v>
      </c>
      <c r="G1500" t="s">
        <v>199</v>
      </c>
      <c r="H1500" t="s">
        <v>0</v>
      </c>
      <c r="I1500" t="s">
        <v>416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142</v>
      </c>
      <c r="D1501" t="s">
        <v>408</v>
      </c>
      <c r="E1501" t="s">
        <v>89</v>
      </c>
      <c r="F1501">
        <v>45</v>
      </c>
      <c r="G1501" t="s">
        <v>199</v>
      </c>
      <c r="H1501" t="s">
        <v>186</v>
      </c>
      <c r="I1501" t="s">
        <v>417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142</v>
      </c>
      <c r="D1502" t="s">
        <v>408</v>
      </c>
      <c r="E1502" t="s">
        <v>89</v>
      </c>
      <c r="F1502">
        <v>45</v>
      </c>
      <c r="G1502" t="s">
        <v>199</v>
      </c>
      <c r="H1502" t="s">
        <v>186</v>
      </c>
      <c r="I1502" t="s">
        <v>418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142</v>
      </c>
      <c r="D1503" t="s">
        <v>408</v>
      </c>
      <c r="E1503" t="s">
        <v>89</v>
      </c>
      <c r="F1503">
        <v>45</v>
      </c>
      <c r="G1503" t="s">
        <v>199</v>
      </c>
      <c r="H1503" t="s">
        <v>186</v>
      </c>
      <c r="I1503" t="s">
        <v>419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142</v>
      </c>
      <c r="D1504" t="s">
        <v>408</v>
      </c>
      <c r="E1504" t="s">
        <v>89</v>
      </c>
      <c r="F1504">
        <v>45</v>
      </c>
      <c r="G1504" t="s">
        <v>199</v>
      </c>
      <c r="H1504" t="s">
        <v>186</v>
      </c>
      <c r="I1504" t="s">
        <v>420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142</v>
      </c>
      <c r="D1505" t="s">
        <v>408</v>
      </c>
      <c r="E1505" t="s">
        <v>89</v>
      </c>
      <c r="F1505">
        <v>45</v>
      </c>
      <c r="G1505" t="s">
        <v>199</v>
      </c>
      <c r="H1505" t="s">
        <v>186</v>
      </c>
      <c r="I1505" t="s">
        <v>421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142</v>
      </c>
      <c r="D1506" t="s">
        <v>408</v>
      </c>
      <c r="E1506" t="s">
        <v>89</v>
      </c>
      <c r="F1506">
        <v>45</v>
      </c>
      <c r="G1506" t="s">
        <v>199</v>
      </c>
      <c r="H1506" t="s">
        <v>186</v>
      </c>
      <c r="I1506" t="s">
        <v>415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142</v>
      </c>
      <c r="D1507" t="s">
        <v>408</v>
      </c>
      <c r="E1507" t="s">
        <v>89</v>
      </c>
      <c r="F1507">
        <v>45</v>
      </c>
      <c r="G1507" t="s">
        <v>199</v>
      </c>
      <c r="H1507" t="s">
        <v>186</v>
      </c>
      <c r="I1507" t="s">
        <v>422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142</v>
      </c>
      <c r="D1508" t="s">
        <v>408</v>
      </c>
      <c r="E1508" t="s">
        <v>89</v>
      </c>
      <c r="F1508">
        <v>45</v>
      </c>
      <c r="G1508" t="s">
        <v>199</v>
      </c>
      <c r="H1508" t="s">
        <v>186</v>
      </c>
      <c r="I1508" t="s">
        <v>412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142</v>
      </c>
      <c r="D1509" t="s">
        <v>408</v>
      </c>
      <c r="E1509" t="s">
        <v>89</v>
      </c>
      <c r="F1509">
        <v>45</v>
      </c>
      <c r="G1509" t="s">
        <v>199</v>
      </c>
      <c r="H1509" t="s">
        <v>186</v>
      </c>
      <c r="I1509" t="s">
        <v>423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142</v>
      </c>
      <c r="D1510" t="s">
        <v>408</v>
      </c>
      <c r="E1510" t="s">
        <v>89</v>
      </c>
      <c r="F1510">
        <v>45</v>
      </c>
      <c r="G1510" t="s">
        <v>199</v>
      </c>
      <c r="H1510" t="s">
        <v>186</v>
      </c>
      <c r="I1510" t="s">
        <v>424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142</v>
      </c>
      <c r="D1511" t="s">
        <v>408</v>
      </c>
      <c r="E1511" t="s">
        <v>89</v>
      </c>
      <c r="F1511">
        <v>45</v>
      </c>
      <c r="G1511" t="s">
        <v>199</v>
      </c>
      <c r="H1511" t="s">
        <v>186</v>
      </c>
      <c r="I1511" t="s">
        <v>425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142</v>
      </c>
      <c r="D1512" t="s">
        <v>408</v>
      </c>
      <c r="E1512" t="s">
        <v>89</v>
      </c>
      <c r="F1512">
        <v>45</v>
      </c>
      <c r="G1512" t="s">
        <v>199</v>
      </c>
      <c r="H1512" t="s">
        <v>186</v>
      </c>
      <c r="I1512" t="s">
        <v>416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142</v>
      </c>
      <c r="D1513" t="s">
        <v>408</v>
      </c>
      <c r="E1513" t="s">
        <v>89</v>
      </c>
      <c r="F1513">
        <v>45</v>
      </c>
      <c r="G1513" t="s">
        <v>199</v>
      </c>
      <c r="H1513" t="s">
        <v>187</v>
      </c>
      <c r="I1513" t="s">
        <v>417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142</v>
      </c>
      <c r="D1514" t="s">
        <v>408</v>
      </c>
      <c r="E1514" t="s">
        <v>89</v>
      </c>
      <c r="F1514">
        <v>45</v>
      </c>
      <c r="G1514" t="s">
        <v>199</v>
      </c>
      <c r="H1514" t="s">
        <v>187</v>
      </c>
      <c r="I1514" t="s">
        <v>418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142</v>
      </c>
      <c r="D1515" t="s">
        <v>408</v>
      </c>
      <c r="E1515" t="s">
        <v>89</v>
      </c>
      <c r="F1515">
        <v>45</v>
      </c>
      <c r="G1515" t="s">
        <v>199</v>
      </c>
      <c r="H1515" t="s">
        <v>187</v>
      </c>
      <c r="I1515" t="s">
        <v>419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142</v>
      </c>
      <c r="D1516" t="s">
        <v>408</v>
      </c>
      <c r="E1516" t="s">
        <v>89</v>
      </c>
      <c r="F1516">
        <v>45</v>
      </c>
      <c r="G1516" t="s">
        <v>199</v>
      </c>
      <c r="H1516" t="s">
        <v>187</v>
      </c>
      <c r="I1516" t="s">
        <v>420</v>
      </c>
      <c r="J1516">
        <v>23</v>
      </c>
    </row>
    <row r="1517" spans="1:10" x14ac:dyDescent="0.25">
      <c r="A1517" s="1" t="s">
        <v>27</v>
      </c>
      <c r="B1517">
        <v>401752669</v>
      </c>
      <c r="C1517" t="s">
        <v>142</v>
      </c>
      <c r="D1517" t="s">
        <v>408</v>
      </c>
      <c r="E1517" t="s">
        <v>89</v>
      </c>
      <c r="F1517">
        <v>45</v>
      </c>
      <c r="G1517" t="s">
        <v>199</v>
      </c>
      <c r="H1517" t="s">
        <v>187</v>
      </c>
      <c r="I1517" t="s">
        <v>421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142</v>
      </c>
      <c r="D1518" t="s">
        <v>408</v>
      </c>
      <c r="E1518" t="s">
        <v>89</v>
      </c>
      <c r="F1518">
        <v>45</v>
      </c>
      <c r="G1518" t="s">
        <v>199</v>
      </c>
      <c r="H1518" t="s">
        <v>187</v>
      </c>
      <c r="I1518" t="s">
        <v>415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142</v>
      </c>
      <c r="D1519" t="s">
        <v>408</v>
      </c>
      <c r="E1519" t="s">
        <v>89</v>
      </c>
      <c r="F1519">
        <v>45</v>
      </c>
      <c r="G1519" t="s">
        <v>199</v>
      </c>
      <c r="H1519" t="s">
        <v>187</v>
      </c>
      <c r="I1519" t="s">
        <v>422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142</v>
      </c>
      <c r="D1520" t="s">
        <v>408</v>
      </c>
      <c r="E1520" t="s">
        <v>89</v>
      </c>
      <c r="F1520">
        <v>45</v>
      </c>
      <c r="G1520" t="s">
        <v>199</v>
      </c>
      <c r="H1520" t="s">
        <v>187</v>
      </c>
      <c r="I1520" t="s">
        <v>412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142</v>
      </c>
      <c r="D1521" t="s">
        <v>408</v>
      </c>
      <c r="E1521" t="s">
        <v>89</v>
      </c>
      <c r="F1521">
        <v>45</v>
      </c>
      <c r="G1521" t="s">
        <v>199</v>
      </c>
      <c r="H1521" t="s">
        <v>187</v>
      </c>
      <c r="I1521" t="s">
        <v>423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142</v>
      </c>
      <c r="D1522" t="s">
        <v>408</v>
      </c>
      <c r="E1522" t="s">
        <v>89</v>
      </c>
      <c r="F1522">
        <v>45</v>
      </c>
      <c r="G1522" t="s">
        <v>199</v>
      </c>
      <c r="H1522" t="s">
        <v>187</v>
      </c>
      <c r="I1522" t="s">
        <v>424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142</v>
      </c>
      <c r="D1523" t="s">
        <v>408</v>
      </c>
      <c r="E1523" t="s">
        <v>89</v>
      </c>
      <c r="F1523">
        <v>45</v>
      </c>
      <c r="G1523" t="s">
        <v>199</v>
      </c>
      <c r="H1523" t="s">
        <v>187</v>
      </c>
      <c r="I1523" t="s">
        <v>425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142</v>
      </c>
      <c r="D1524" t="s">
        <v>408</v>
      </c>
      <c r="E1524" t="s">
        <v>89</v>
      </c>
      <c r="F1524">
        <v>45</v>
      </c>
      <c r="G1524" t="s">
        <v>199</v>
      </c>
      <c r="H1524" t="s">
        <v>187</v>
      </c>
      <c r="I1524" t="s">
        <v>416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142</v>
      </c>
      <c r="D1525" t="s">
        <v>408</v>
      </c>
      <c r="E1525" t="s">
        <v>89</v>
      </c>
      <c r="F1525">
        <v>45</v>
      </c>
      <c r="G1525" t="s">
        <v>199</v>
      </c>
      <c r="H1525" t="s">
        <v>188</v>
      </c>
      <c r="I1525" t="s">
        <v>417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142</v>
      </c>
      <c r="D1526" t="s">
        <v>408</v>
      </c>
      <c r="E1526" t="s">
        <v>89</v>
      </c>
      <c r="F1526">
        <v>45</v>
      </c>
      <c r="G1526" t="s">
        <v>199</v>
      </c>
      <c r="H1526" t="s">
        <v>188</v>
      </c>
      <c r="I1526" t="s">
        <v>418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142</v>
      </c>
      <c r="D1527" t="s">
        <v>408</v>
      </c>
      <c r="E1527" t="s">
        <v>89</v>
      </c>
      <c r="F1527">
        <v>45</v>
      </c>
      <c r="G1527" t="s">
        <v>199</v>
      </c>
      <c r="H1527" t="s">
        <v>188</v>
      </c>
      <c r="I1527" t="s">
        <v>419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142</v>
      </c>
      <c r="D1528" t="s">
        <v>408</v>
      </c>
      <c r="E1528" t="s">
        <v>89</v>
      </c>
      <c r="F1528">
        <v>45</v>
      </c>
      <c r="G1528" t="s">
        <v>199</v>
      </c>
      <c r="H1528" t="s">
        <v>188</v>
      </c>
      <c r="I1528" t="s">
        <v>420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142</v>
      </c>
      <c r="D1529" t="s">
        <v>408</v>
      </c>
      <c r="E1529" t="s">
        <v>89</v>
      </c>
      <c r="F1529">
        <v>45</v>
      </c>
      <c r="G1529" t="s">
        <v>199</v>
      </c>
      <c r="H1529" t="s">
        <v>188</v>
      </c>
      <c r="I1529" t="s">
        <v>421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142</v>
      </c>
      <c r="D1530" t="s">
        <v>408</v>
      </c>
      <c r="E1530" t="s">
        <v>89</v>
      </c>
      <c r="F1530">
        <v>45</v>
      </c>
      <c r="G1530" t="s">
        <v>199</v>
      </c>
      <c r="H1530" t="s">
        <v>188</v>
      </c>
      <c r="I1530" t="s">
        <v>415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142</v>
      </c>
      <c r="D1531" t="s">
        <v>408</v>
      </c>
      <c r="E1531" t="s">
        <v>89</v>
      </c>
      <c r="F1531">
        <v>45</v>
      </c>
      <c r="G1531" t="s">
        <v>199</v>
      </c>
      <c r="H1531" t="s">
        <v>188</v>
      </c>
      <c r="I1531" t="s">
        <v>422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142</v>
      </c>
      <c r="D1532" t="s">
        <v>408</v>
      </c>
      <c r="E1532" t="s">
        <v>89</v>
      </c>
      <c r="F1532">
        <v>45</v>
      </c>
      <c r="G1532" t="s">
        <v>199</v>
      </c>
      <c r="H1532" t="s">
        <v>188</v>
      </c>
      <c r="I1532" t="s">
        <v>412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142</v>
      </c>
      <c r="D1533" t="s">
        <v>408</v>
      </c>
      <c r="E1533" t="s">
        <v>89</v>
      </c>
      <c r="F1533">
        <v>45</v>
      </c>
      <c r="G1533" t="s">
        <v>199</v>
      </c>
      <c r="H1533" t="s">
        <v>188</v>
      </c>
      <c r="I1533" t="s">
        <v>423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142</v>
      </c>
      <c r="D1534" t="s">
        <v>408</v>
      </c>
      <c r="E1534" t="s">
        <v>89</v>
      </c>
      <c r="F1534">
        <v>45</v>
      </c>
      <c r="G1534" t="s">
        <v>199</v>
      </c>
      <c r="H1534" t="s">
        <v>188</v>
      </c>
      <c r="I1534" t="s">
        <v>424</v>
      </c>
      <c r="J1534">
        <v>0</v>
      </c>
    </row>
    <row r="1535" spans="1:10" x14ac:dyDescent="0.25">
      <c r="A1535" s="1" t="s">
        <v>27</v>
      </c>
      <c r="B1535">
        <v>401752669</v>
      </c>
      <c r="C1535" t="s">
        <v>142</v>
      </c>
      <c r="D1535" t="s">
        <v>408</v>
      </c>
      <c r="E1535" t="s">
        <v>89</v>
      </c>
      <c r="F1535">
        <v>45</v>
      </c>
      <c r="G1535" t="s">
        <v>199</v>
      </c>
      <c r="H1535" t="s">
        <v>188</v>
      </c>
      <c r="I1535" t="s">
        <v>425</v>
      </c>
      <c r="J1535">
        <v>0</v>
      </c>
    </row>
    <row r="1536" spans="1:10" x14ac:dyDescent="0.25">
      <c r="A1536" s="1" t="s">
        <v>27</v>
      </c>
      <c r="B1536">
        <v>401752669</v>
      </c>
      <c r="C1536" t="s">
        <v>142</v>
      </c>
      <c r="D1536" t="s">
        <v>408</v>
      </c>
      <c r="E1536" t="s">
        <v>89</v>
      </c>
      <c r="F1536">
        <v>45</v>
      </c>
      <c r="G1536" t="s">
        <v>199</v>
      </c>
      <c r="H1536" t="s">
        <v>188</v>
      </c>
      <c r="I1536" t="s">
        <v>416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142</v>
      </c>
      <c r="D1537" t="s">
        <v>408</v>
      </c>
      <c r="E1537" t="s">
        <v>89</v>
      </c>
      <c r="F1537">
        <v>45</v>
      </c>
      <c r="G1537" t="s">
        <v>199</v>
      </c>
      <c r="H1537" t="s">
        <v>198</v>
      </c>
      <c r="I1537" t="s">
        <v>417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142</v>
      </c>
      <c r="D1538" t="s">
        <v>408</v>
      </c>
      <c r="E1538" t="s">
        <v>89</v>
      </c>
      <c r="F1538">
        <v>45</v>
      </c>
      <c r="G1538" t="s">
        <v>199</v>
      </c>
      <c r="H1538" t="s">
        <v>198</v>
      </c>
      <c r="I1538" t="s">
        <v>418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142</v>
      </c>
      <c r="D1539" t="s">
        <v>408</v>
      </c>
      <c r="E1539" t="s">
        <v>89</v>
      </c>
      <c r="F1539">
        <v>45</v>
      </c>
      <c r="G1539" t="s">
        <v>199</v>
      </c>
      <c r="H1539" t="s">
        <v>198</v>
      </c>
      <c r="I1539" t="s">
        <v>419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142</v>
      </c>
      <c r="D1540" t="s">
        <v>408</v>
      </c>
      <c r="E1540" t="s">
        <v>89</v>
      </c>
      <c r="F1540">
        <v>45</v>
      </c>
      <c r="G1540" t="s">
        <v>199</v>
      </c>
      <c r="H1540" t="s">
        <v>198</v>
      </c>
      <c r="I1540" t="s">
        <v>420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142</v>
      </c>
      <c r="D1541" t="s">
        <v>408</v>
      </c>
      <c r="E1541" t="s">
        <v>89</v>
      </c>
      <c r="F1541">
        <v>45</v>
      </c>
      <c r="G1541" t="s">
        <v>199</v>
      </c>
      <c r="H1541" t="s">
        <v>198</v>
      </c>
      <c r="I1541" t="s">
        <v>421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142</v>
      </c>
      <c r="D1542" t="s">
        <v>408</v>
      </c>
      <c r="E1542" t="s">
        <v>89</v>
      </c>
      <c r="F1542">
        <v>45</v>
      </c>
      <c r="G1542" t="s">
        <v>199</v>
      </c>
      <c r="H1542" t="s">
        <v>198</v>
      </c>
      <c r="I1542" t="s">
        <v>415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142</v>
      </c>
      <c r="D1543" t="s">
        <v>408</v>
      </c>
      <c r="E1543" t="s">
        <v>89</v>
      </c>
      <c r="F1543">
        <v>45</v>
      </c>
      <c r="G1543" t="s">
        <v>199</v>
      </c>
      <c r="H1543" t="s">
        <v>198</v>
      </c>
      <c r="I1543" t="s">
        <v>422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142</v>
      </c>
      <c r="D1544" t="s">
        <v>408</v>
      </c>
      <c r="E1544" t="s">
        <v>89</v>
      </c>
      <c r="F1544">
        <v>45</v>
      </c>
      <c r="G1544" t="s">
        <v>199</v>
      </c>
      <c r="H1544" t="s">
        <v>198</v>
      </c>
      <c r="I1544" t="s">
        <v>412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142</v>
      </c>
      <c r="D1545" t="s">
        <v>408</v>
      </c>
      <c r="E1545" t="s">
        <v>89</v>
      </c>
      <c r="F1545">
        <v>45</v>
      </c>
      <c r="G1545" t="s">
        <v>199</v>
      </c>
      <c r="H1545" t="s">
        <v>198</v>
      </c>
      <c r="I1545" t="s">
        <v>423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142</v>
      </c>
      <c r="D1546" t="s">
        <v>408</v>
      </c>
      <c r="E1546" t="s">
        <v>89</v>
      </c>
      <c r="F1546">
        <v>45</v>
      </c>
      <c r="G1546" t="s">
        <v>199</v>
      </c>
      <c r="H1546" t="s">
        <v>198</v>
      </c>
      <c r="I1546" t="s">
        <v>424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142</v>
      </c>
      <c r="D1547" t="s">
        <v>408</v>
      </c>
      <c r="E1547" t="s">
        <v>89</v>
      </c>
      <c r="F1547">
        <v>45</v>
      </c>
      <c r="G1547" t="s">
        <v>199</v>
      </c>
      <c r="H1547" t="s">
        <v>198</v>
      </c>
      <c r="I1547" t="s">
        <v>425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142</v>
      </c>
      <c r="D1548" t="s">
        <v>408</v>
      </c>
      <c r="E1548" t="s">
        <v>89</v>
      </c>
      <c r="F1548">
        <v>45</v>
      </c>
      <c r="G1548" t="s">
        <v>199</v>
      </c>
      <c r="H1548" t="s">
        <v>198</v>
      </c>
      <c r="I1548" t="s">
        <v>416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142</v>
      </c>
      <c r="D1549" t="s">
        <v>408</v>
      </c>
      <c r="E1549" t="s">
        <v>89</v>
      </c>
      <c r="F1549">
        <v>45</v>
      </c>
      <c r="G1549" t="s">
        <v>203</v>
      </c>
      <c r="H1549" t="s">
        <v>204</v>
      </c>
      <c r="I1549" t="s">
        <v>411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142</v>
      </c>
      <c r="D1550" t="s">
        <v>408</v>
      </c>
      <c r="E1550" t="s">
        <v>89</v>
      </c>
      <c r="F1550">
        <v>45</v>
      </c>
      <c r="G1550" t="s">
        <v>203</v>
      </c>
      <c r="H1550" t="s">
        <v>205</v>
      </c>
      <c r="I1550" t="s">
        <v>411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142</v>
      </c>
      <c r="D1551" t="s">
        <v>408</v>
      </c>
      <c r="E1551" t="s">
        <v>89</v>
      </c>
      <c r="F1551">
        <v>45</v>
      </c>
      <c r="G1551" t="s">
        <v>203</v>
      </c>
      <c r="H1551" t="s">
        <v>0</v>
      </c>
      <c r="I1551" t="s">
        <v>411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142</v>
      </c>
      <c r="D1552" t="s">
        <v>408</v>
      </c>
      <c r="E1552" t="s">
        <v>89</v>
      </c>
      <c r="F1552">
        <v>45</v>
      </c>
      <c r="G1552" t="s">
        <v>90</v>
      </c>
      <c r="H1552" t="s">
        <v>206</v>
      </c>
      <c r="I1552" t="s">
        <v>426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142</v>
      </c>
      <c r="D1553" t="s">
        <v>408</v>
      </c>
      <c r="E1553" t="s">
        <v>89</v>
      </c>
      <c r="F1553">
        <v>45</v>
      </c>
      <c r="G1553" t="s">
        <v>90</v>
      </c>
      <c r="H1553" t="s">
        <v>206</v>
      </c>
      <c r="I1553" t="s">
        <v>427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142</v>
      </c>
      <c r="D1554" t="s">
        <v>408</v>
      </c>
      <c r="E1554" t="s">
        <v>89</v>
      </c>
      <c r="F1554">
        <v>45</v>
      </c>
      <c r="G1554" t="s">
        <v>90</v>
      </c>
      <c r="H1554" t="s">
        <v>206</v>
      </c>
      <c r="I1554" t="s">
        <v>428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142</v>
      </c>
      <c r="D1555" t="s">
        <v>408</v>
      </c>
      <c r="E1555" t="s">
        <v>89</v>
      </c>
      <c r="F1555">
        <v>45</v>
      </c>
      <c r="G1555" t="s">
        <v>90</v>
      </c>
      <c r="H1555" t="s">
        <v>206</v>
      </c>
      <c r="I1555" t="s">
        <v>429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142</v>
      </c>
      <c r="D1556" t="s">
        <v>408</v>
      </c>
      <c r="E1556" t="s">
        <v>89</v>
      </c>
      <c r="F1556">
        <v>45</v>
      </c>
      <c r="G1556" t="s">
        <v>90</v>
      </c>
      <c r="H1556" t="s">
        <v>206</v>
      </c>
      <c r="I1556" t="s">
        <v>430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142</v>
      </c>
      <c r="D1557" t="s">
        <v>408</v>
      </c>
      <c r="E1557" t="s">
        <v>89</v>
      </c>
      <c r="F1557">
        <v>45</v>
      </c>
      <c r="G1557" t="s">
        <v>90</v>
      </c>
      <c r="H1557" t="s">
        <v>206</v>
      </c>
      <c r="I1557" t="s">
        <v>431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142</v>
      </c>
      <c r="D1558" t="s">
        <v>408</v>
      </c>
      <c r="E1558" t="s">
        <v>89</v>
      </c>
      <c r="F1558">
        <v>45</v>
      </c>
      <c r="G1558" t="s">
        <v>90</v>
      </c>
      <c r="H1558" t="s">
        <v>206</v>
      </c>
      <c r="I1558" t="s">
        <v>432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142</v>
      </c>
      <c r="D1559" t="s">
        <v>408</v>
      </c>
      <c r="E1559" t="s">
        <v>89</v>
      </c>
      <c r="F1559">
        <v>45</v>
      </c>
      <c r="G1559" t="s">
        <v>90</v>
      </c>
      <c r="H1559" t="s">
        <v>206</v>
      </c>
      <c r="I1559" t="s">
        <v>433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142</v>
      </c>
      <c r="D1560" t="s">
        <v>408</v>
      </c>
      <c r="E1560" t="s">
        <v>89</v>
      </c>
      <c r="F1560">
        <v>45</v>
      </c>
      <c r="G1560" t="s">
        <v>90</v>
      </c>
      <c r="H1560" t="s">
        <v>206</v>
      </c>
      <c r="I1560" t="s">
        <v>434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142</v>
      </c>
      <c r="D1561" t="s">
        <v>408</v>
      </c>
      <c r="E1561" t="s">
        <v>89</v>
      </c>
      <c r="F1561">
        <v>45</v>
      </c>
      <c r="G1561" t="s">
        <v>90</v>
      </c>
      <c r="H1561" t="s">
        <v>206</v>
      </c>
      <c r="I1561" t="s">
        <v>435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142</v>
      </c>
      <c r="D1562" t="s">
        <v>408</v>
      </c>
      <c r="E1562" t="s">
        <v>89</v>
      </c>
      <c r="F1562">
        <v>45</v>
      </c>
      <c r="G1562" t="s">
        <v>90</v>
      </c>
      <c r="H1562" t="s">
        <v>206</v>
      </c>
      <c r="I1562" t="s">
        <v>436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142</v>
      </c>
      <c r="D1563" t="s">
        <v>408</v>
      </c>
      <c r="E1563" t="s">
        <v>89</v>
      </c>
      <c r="F1563">
        <v>45</v>
      </c>
      <c r="G1563" t="s">
        <v>90</v>
      </c>
      <c r="H1563" t="s">
        <v>206</v>
      </c>
      <c r="I1563" t="s">
        <v>437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142</v>
      </c>
      <c r="D1564" t="s">
        <v>408</v>
      </c>
      <c r="E1564" t="s">
        <v>89</v>
      </c>
      <c r="F1564">
        <v>45</v>
      </c>
      <c r="G1564" t="s">
        <v>90</v>
      </c>
      <c r="H1564" t="s">
        <v>206</v>
      </c>
      <c r="I1564" t="s">
        <v>438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142</v>
      </c>
      <c r="D1565" t="s">
        <v>408</v>
      </c>
      <c r="E1565" t="s">
        <v>89</v>
      </c>
      <c r="F1565">
        <v>45</v>
      </c>
      <c r="G1565" t="s">
        <v>90</v>
      </c>
      <c r="H1565" t="s">
        <v>206</v>
      </c>
      <c r="I1565" t="s">
        <v>439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142</v>
      </c>
      <c r="D1566" t="s">
        <v>408</v>
      </c>
      <c r="E1566" t="s">
        <v>89</v>
      </c>
      <c r="F1566">
        <v>45</v>
      </c>
      <c r="G1566" t="s">
        <v>90</v>
      </c>
      <c r="H1566" t="s">
        <v>206</v>
      </c>
      <c r="I1566" t="s">
        <v>440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142</v>
      </c>
      <c r="D1567" t="s">
        <v>408</v>
      </c>
      <c r="E1567" t="s">
        <v>89</v>
      </c>
      <c r="F1567">
        <v>45</v>
      </c>
      <c r="G1567" t="s">
        <v>90</v>
      </c>
      <c r="H1567" t="s">
        <v>206</v>
      </c>
      <c r="I1567" t="s">
        <v>441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142</v>
      </c>
      <c r="D1568" t="s">
        <v>408</v>
      </c>
      <c r="E1568" t="s">
        <v>89</v>
      </c>
      <c r="F1568">
        <v>45</v>
      </c>
      <c r="G1568" t="s">
        <v>90</v>
      </c>
      <c r="H1568" t="s">
        <v>206</v>
      </c>
      <c r="I1568" t="s">
        <v>442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142</v>
      </c>
      <c r="D1569" t="s">
        <v>408</v>
      </c>
      <c r="E1569" t="s">
        <v>89</v>
      </c>
      <c r="F1569">
        <v>45</v>
      </c>
      <c r="G1569" t="s">
        <v>90</v>
      </c>
      <c r="H1569" t="s">
        <v>206</v>
      </c>
      <c r="I1569" t="s">
        <v>443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142</v>
      </c>
      <c r="D1570" t="s">
        <v>408</v>
      </c>
      <c r="E1570" t="s">
        <v>89</v>
      </c>
      <c r="F1570">
        <v>45</v>
      </c>
      <c r="G1570" t="s">
        <v>90</v>
      </c>
      <c r="H1570" t="s">
        <v>206</v>
      </c>
      <c r="I1570" t="s">
        <v>444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142</v>
      </c>
      <c r="D1571" t="s">
        <v>408</v>
      </c>
      <c r="E1571" t="s">
        <v>89</v>
      </c>
      <c r="F1571">
        <v>45</v>
      </c>
      <c r="G1571" t="s">
        <v>90</v>
      </c>
      <c r="H1571" t="s">
        <v>206</v>
      </c>
      <c r="I1571" t="s">
        <v>445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142</v>
      </c>
      <c r="D1572" t="s">
        <v>408</v>
      </c>
      <c r="E1572" t="s">
        <v>89</v>
      </c>
      <c r="F1572">
        <v>45</v>
      </c>
      <c r="G1572" t="s">
        <v>90</v>
      </c>
      <c r="H1572" t="s">
        <v>206</v>
      </c>
      <c r="I1572" t="s">
        <v>446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142</v>
      </c>
      <c r="D1573" t="s">
        <v>408</v>
      </c>
      <c r="E1573" t="s">
        <v>89</v>
      </c>
      <c r="F1573">
        <v>45</v>
      </c>
      <c r="G1573" t="s">
        <v>90</v>
      </c>
      <c r="H1573" t="s">
        <v>206</v>
      </c>
      <c r="I1573" t="s">
        <v>447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142</v>
      </c>
      <c r="D1574" t="s">
        <v>408</v>
      </c>
      <c r="E1574" t="s">
        <v>89</v>
      </c>
      <c r="F1574">
        <v>45</v>
      </c>
      <c r="G1574" t="s">
        <v>90</v>
      </c>
      <c r="H1574" t="s">
        <v>206</v>
      </c>
      <c r="I1574" t="s">
        <v>448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142</v>
      </c>
      <c r="D1575" t="s">
        <v>408</v>
      </c>
      <c r="E1575" t="s">
        <v>89</v>
      </c>
      <c r="F1575">
        <v>45</v>
      </c>
      <c r="G1575" t="s">
        <v>90</v>
      </c>
      <c r="H1575" t="s">
        <v>206</v>
      </c>
      <c r="I1575" t="s">
        <v>449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142</v>
      </c>
      <c r="D1576" t="s">
        <v>408</v>
      </c>
      <c r="E1576" t="s">
        <v>89</v>
      </c>
      <c r="F1576">
        <v>45</v>
      </c>
      <c r="G1576" t="s">
        <v>90</v>
      </c>
      <c r="H1576" t="s">
        <v>206</v>
      </c>
      <c r="I1576" t="s">
        <v>450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142</v>
      </c>
      <c r="D1577" t="s">
        <v>408</v>
      </c>
      <c r="E1577" t="s">
        <v>89</v>
      </c>
      <c r="F1577">
        <v>45</v>
      </c>
      <c r="G1577" t="s">
        <v>90</v>
      </c>
      <c r="H1577" t="s">
        <v>227</v>
      </c>
      <c r="I1577" t="s">
        <v>426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142</v>
      </c>
      <c r="D1578" t="s">
        <v>408</v>
      </c>
      <c r="E1578" t="s">
        <v>89</v>
      </c>
      <c r="F1578">
        <v>45</v>
      </c>
      <c r="G1578" t="s">
        <v>90</v>
      </c>
      <c r="H1578" t="s">
        <v>227</v>
      </c>
      <c r="I1578" t="s">
        <v>427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142</v>
      </c>
      <c r="D1579" t="s">
        <v>408</v>
      </c>
      <c r="E1579" t="s">
        <v>89</v>
      </c>
      <c r="F1579">
        <v>45</v>
      </c>
      <c r="G1579" t="s">
        <v>90</v>
      </c>
      <c r="H1579" t="s">
        <v>227</v>
      </c>
      <c r="I1579" t="s">
        <v>428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142</v>
      </c>
      <c r="D1580" t="s">
        <v>408</v>
      </c>
      <c r="E1580" t="s">
        <v>89</v>
      </c>
      <c r="F1580">
        <v>45</v>
      </c>
      <c r="G1580" t="s">
        <v>90</v>
      </c>
      <c r="H1580" t="s">
        <v>227</v>
      </c>
      <c r="I1580" t="s">
        <v>429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142</v>
      </c>
      <c r="D1581" t="s">
        <v>408</v>
      </c>
      <c r="E1581" t="s">
        <v>89</v>
      </c>
      <c r="F1581">
        <v>45</v>
      </c>
      <c r="G1581" t="s">
        <v>90</v>
      </c>
      <c r="H1581" t="s">
        <v>227</v>
      </c>
      <c r="I1581" t="s">
        <v>430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142</v>
      </c>
      <c r="D1582" t="s">
        <v>408</v>
      </c>
      <c r="E1582" t="s">
        <v>89</v>
      </c>
      <c r="F1582">
        <v>45</v>
      </c>
      <c r="G1582" t="s">
        <v>90</v>
      </c>
      <c r="H1582" t="s">
        <v>227</v>
      </c>
      <c r="I1582" t="s">
        <v>431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142</v>
      </c>
      <c r="D1583" t="s">
        <v>408</v>
      </c>
      <c r="E1583" t="s">
        <v>89</v>
      </c>
      <c r="F1583">
        <v>45</v>
      </c>
      <c r="G1583" t="s">
        <v>90</v>
      </c>
      <c r="H1583" t="s">
        <v>227</v>
      </c>
      <c r="I1583" t="s">
        <v>432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142</v>
      </c>
      <c r="D1584" t="s">
        <v>408</v>
      </c>
      <c r="E1584" t="s">
        <v>89</v>
      </c>
      <c r="F1584">
        <v>45</v>
      </c>
      <c r="G1584" t="s">
        <v>90</v>
      </c>
      <c r="H1584" t="s">
        <v>227</v>
      </c>
      <c r="I1584" t="s">
        <v>433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142</v>
      </c>
      <c r="D1585" t="s">
        <v>408</v>
      </c>
      <c r="E1585" t="s">
        <v>89</v>
      </c>
      <c r="F1585">
        <v>45</v>
      </c>
      <c r="G1585" t="s">
        <v>90</v>
      </c>
      <c r="H1585" t="s">
        <v>227</v>
      </c>
      <c r="I1585" t="s">
        <v>434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142</v>
      </c>
      <c r="D1586" t="s">
        <v>408</v>
      </c>
      <c r="E1586" t="s">
        <v>89</v>
      </c>
      <c r="F1586">
        <v>45</v>
      </c>
      <c r="G1586" t="s">
        <v>90</v>
      </c>
      <c r="H1586" t="s">
        <v>227</v>
      </c>
      <c r="I1586" t="s">
        <v>435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142</v>
      </c>
      <c r="D1587" t="s">
        <v>408</v>
      </c>
      <c r="E1587" t="s">
        <v>89</v>
      </c>
      <c r="F1587">
        <v>45</v>
      </c>
      <c r="G1587" t="s">
        <v>90</v>
      </c>
      <c r="H1587" t="s">
        <v>227</v>
      </c>
      <c r="I1587" t="s">
        <v>436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142</v>
      </c>
      <c r="D1588" t="s">
        <v>408</v>
      </c>
      <c r="E1588" t="s">
        <v>89</v>
      </c>
      <c r="F1588">
        <v>45</v>
      </c>
      <c r="G1588" t="s">
        <v>90</v>
      </c>
      <c r="H1588" t="s">
        <v>227</v>
      </c>
      <c r="I1588" t="s">
        <v>437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142</v>
      </c>
      <c r="D1589" t="s">
        <v>408</v>
      </c>
      <c r="E1589" t="s">
        <v>89</v>
      </c>
      <c r="F1589">
        <v>45</v>
      </c>
      <c r="G1589" t="s">
        <v>90</v>
      </c>
      <c r="H1589" t="s">
        <v>227</v>
      </c>
      <c r="I1589" t="s">
        <v>438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142</v>
      </c>
      <c r="D1590" t="s">
        <v>408</v>
      </c>
      <c r="E1590" t="s">
        <v>89</v>
      </c>
      <c r="F1590">
        <v>45</v>
      </c>
      <c r="G1590" t="s">
        <v>90</v>
      </c>
      <c r="H1590" t="s">
        <v>227</v>
      </c>
      <c r="I1590" t="s">
        <v>439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142</v>
      </c>
      <c r="D1591" t="s">
        <v>408</v>
      </c>
      <c r="E1591" t="s">
        <v>89</v>
      </c>
      <c r="F1591">
        <v>45</v>
      </c>
      <c r="G1591" t="s">
        <v>90</v>
      </c>
      <c r="H1591" t="s">
        <v>227</v>
      </c>
      <c r="I1591" t="s">
        <v>440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142</v>
      </c>
      <c r="D1592" t="s">
        <v>408</v>
      </c>
      <c r="E1592" t="s">
        <v>89</v>
      </c>
      <c r="F1592">
        <v>45</v>
      </c>
      <c r="G1592" t="s">
        <v>90</v>
      </c>
      <c r="H1592" t="s">
        <v>227</v>
      </c>
      <c r="I1592" t="s">
        <v>441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142</v>
      </c>
      <c r="D1593" t="s">
        <v>408</v>
      </c>
      <c r="E1593" t="s">
        <v>89</v>
      </c>
      <c r="F1593">
        <v>45</v>
      </c>
      <c r="G1593" t="s">
        <v>90</v>
      </c>
      <c r="H1593" t="s">
        <v>227</v>
      </c>
      <c r="I1593" t="s">
        <v>442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142</v>
      </c>
      <c r="D1594" t="s">
        <v>408</v>
      </c>
      <c r="E1594" t="s">
        <v>89</v>
      </c>
      <c r="F1594">
        <v>45</v>
      </c>
      <c r="G1594" t="s">
        <v>90</v>
      </c>
      <c r="H1594" t="s">
        <v>227</v>
      </c>
      <c r="I1594" t="s">
        <v>443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142</v>
      </c>
      <c r="D1595" t="s">
        <v>408</v>
      </c>
      <c r="E1595" t="s">
        <v>89</v>
      </c>
      <c r="F1595">
        <v>45</v>
      </c>
      <c r="G1595" t="s">
        <v>90</v>
      </c>
      <c r="H1595" t="s">
        <v>227</v>
      </c>
      <c r="I1595" t="s">
        <v>444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142</v>
      </c>
      <c r="D1596" t="s">
        <v>408</v>
      </c>
      <c r="E1596" t="s">
        <v>89</v>
      </c>
      <c r="F1596">
        <v>45</v>
      </c>
      <c r="G1596" t="s">
        <v>90</v>
      </c>
      <c r="H1596" t="s">
        <v>227</v>
      </c>
      <c r="I1596" t="s">
        <v>445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142</v>
      </c>
      <c r="D1597" t="s">
        <v>408</v>
      </c>
      <c r="E1597" t="s">
        <v>89</v>
      </c>
      <c r="F1597">
        <v>45</v>
      </c>
      <c r="G1597" t="s">
        <v>90</v>
      </c>
      <c r="H1597" t="s">
        <v>227</v>
      </c>
      <c r="I1597" t="s">
        <v>446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142</v>
      </c>
      <c r="D1598" t="s">
        <v>408</v>
      </c>
      <c r="E1598" t="s">
        <v>89</v>
      </c>
      <c r="F1598">
        <v>45</v>
      </c>
      <c r="G1598" t="s">
        <v>90</v>
      </c>
      <c r="H1598" t="s">
        <v>227</v>
      </c>
      <c r="I1598" t="s">
        <v>447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142</v>
      </c>
      <c r="D1599" t="s">
        <v>408</v>
      </c>
      <c r="E1599" t="s">
        <v>89</v>
      </c>
      <c r="F1599">
        <v>45</v>
      </c>
      <c r="G1599" t="s">
        <v>90</v>
      </c>
      <c r="H1599" t="s">
        <v>227</v>
      </c>
      <c r="I1599" t="s">
        <v>448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142</v>
      </c>
      <c r="D1600" t="s">
        <v>408</v>
      </c>
      <c r="E1600" t="s">
        <v>89</v>
      </c>
      <c r="F1600">
        <v>45</v>
      </c>
      <c r="G1600" t="s">
        <v>90</v>
      </c>
      <c r="H1600" t="s">
        <v>227</v>
      </c>
      <c r="I1600" t="s">
        <v>449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142</v>
      </c>
      <c r="D1601" t="s">
        <v>408</v>
      </c>
      <c r="E1601" t="s">
        <v>89</v>
      </c>
      <c r="F1601">
        <v>45</v>
      </c>
      <c r="G1601" t="s">
        <v>90</v>
      </c>
      <c r="H1601" t="s">
        <v>227</v>
      </c>
      <c r="I1601" t="s">
        <v>450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142</v>
      </c>
      <c r="D1602" t="s">
        <v>408</v>
      </c>
      <c r="E1602" t="s">
        <v>89</v>
      </c>
      <c r="F1602">
        <v>45</v>
      </c>
      <c r="G1602" t="s">
        <v>90</v>
      </c>
      <c r="H1602" t="s">
        <v>228</v>
      </c>
      <c r="I1602" t="s">
        <v>426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142</v>
      </c>
      <c r="D1603" t="s">
        <v>408</v>
      </c>
      <c r="E1603" t="s">
        <v>89</v>
      </c>
      <c r="F1603">
        <v>45</v>
      </c>
      <c r="G1603" t="s">
        <v>90</v>
      </c>
      <c r="H1603" t="s">
        <v>228</v>
      </c>
      <c r="I1603" t="s">
        <v>427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142</v>
      </c>
      <c r="D1604" t="s">
        <v>408</v>
      </c>
      <c r="E1604" t="s">
        <v>89</v>
      </c>
      <c r="F1604">
        <v>45</v>
      </c>
      <c r="G1604" t="s">
        <v>90</v>
      </c>
      <c r="H1604" t="s">
        <v>228</v>
      </c>
      <c r="I1604" t="s">
        <v>428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142</v>
      </c>
      <c r="D1605" t="s">
        <v>408</v>
      </c>
      <c r="E1605" t="s">
        <v>89</v>
      </c>
      <c r="F1605">
        <v>45</v>
      </c>
      <c r="G1605" t="s">
        <v>90</v>
      </c>
      <c r="H1605" t="s">
        <v>228</v>
      </c>
      <c r="I1605" t="s">
        <v>429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142</v>
      </c>
      <c r="D1606" t="s">
        <v>408</v>
      </c>
      <c r="E1606" t="s">
        <v>89</v>
      </c>
      <c r="F1606">
        <v>45</v>
      </c>
      <c r="G1606" t="s">
        <v>90</v>
      </c>
      <c r="H1606" t="s">
        <v>228</v>
      </c>
      <c r="I1606" t="s">
        <v>430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142</v>
      </c>
      <c r="D1607" t="s">
        <v>408</v>
      </c>
      <c r="E1607" t="s">
        <v>89</v>
      </c>
      <c r="F1607">
        <v>45</v>
      </c>
      <c r="G1607" t="s">
        <v>90</v>
      </c>
      <c r="H1607" t="s">
        <v>228</v>
      </c>
      <c r="I1607" t="s">
        <v>431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142</v>
      </c>
      <c r="D1608" t="s">
        <v>408</v>
      </c>
      <c r="E1608" t="s">
        <v>89</v>
      </c>
      <c r="F1608">
        <v>45</v>
      </c>
      <c r="G1608" t="s">
        <v>90</v>
      </c>
      <c r="H1608" t="s">
        <v>228</v>
      </c>
      <c r="I1608" t="s">
        <v>432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142</v>
      </c>
      <c r="D1609" t="s">
        <v>408</v>
      </c>
      <c r="E1609" t="s">
        <v>89</v>
      </c>
      <c r="F1609">
        <v>45</v>
      </c>
      <c r="G1609" t="s">
        <v>90</v>
      </c>
      <c r="H1609" t="s">
        <v>228</v>
      </c>
      <c r="I1609" t="s">
        <v>433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142</v>
      </c>
      <c r="D1610" t="s">
        <v>408</v>
      </c>
      <c r="E1610" t="s">
        <v>89</v>
      </c>
      <c r="F1610">
        <v>45</v>
      </c>
      <c r="G1610" t="s">
        <v>90</v>
      </c>
      <c r="H1610" t="s">
        <v>228</v>
      </c>
      <c r="I1610" t="s">
        <v>434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142</v>
      </c>
      <c r="D1611" t="s">
        <v>408</v>
      </c>
      <c r="E1611" t="s">
        <v>89</v>
      </c>
      <c r="F1611">
        <v>45</v>
      </c>
      <c r="G1611" t="s">
        <v>90</v>
      </c>
      <c r="H1611" t="s">
        <v>228</v>
      </c>
      <c r="I1611" t="s">
        <v>435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142</v>
      </c>
      <c r="D1612" t="s">
        <v>408</v>
      </c>
      <c r="E1612" t="s">
        <v>89</v>
      </c>
      <c r="F1612">
        <v>45</v>
      </c>
      <c r="G1612" t="s">
        <v>90</v>
      </c>
      <c r="H1612" t="s">
        <v>228</v>
      </c>
      <c r="I1612" t="s">
        <v>436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142</v>
      </c>
      <c r="D1613" t="s">
        <v>408</v>
      </c>
      <c r="E1613" t="s">
        <v>89</v>
      </c>
      <c r="F1613">
        <v>45</v>
      </c>
      <c r="G1613" t="s">
        <v>90</v>
      </c>
      <c r="H1613" t="s">
        <v>228</v>
      </c>
      <c r="I1613" t="s">
        <v>437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142</v>
      </c>
      <c r="D1614" t="s">
        <v>408</v>
      </c>
      <c r="E1614" t="s">
        <v>89</v>
      </c>
      <c r="F1614">
        <v>45</v>
      </c>
      <c r="G1614" t="s">
        <v>90</v>
      </c>
      <c r="H1614" t="s">
        <v>228</v>
      </c>
      <c r="I1614" t="s">
        <v>438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142</v>
      </c>
      <c r="D1615" t="s">
        <v>408</v>
      </c>
      <c r="E1615" t="s">
        <v>89</v>
      </c>
      <c r="F1615">
        <v>45</v>
      </c>
      <c r="G1615" t="s">
        <v>90</v>
      </c>
      <c r="H1615" t="s">
        <v>228</v>
      </c>
      <c r="I1615" t="s">
        <v>439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142</v>
      </c>
      <c r="D1616" t="s">
        <v>408</v>
      </c>
      <c r="E1616" t="s">
        <v>89</v>
      </c>
      <c r="F1616">
        <v>45</v>
      </c>
      <c r="G1616" t="s">
        <v>90</v>
      </c>
      <c r="H1616" t="s">
        <v>228</v>
      </c>
      <c r="I1616" t="s">
        <v>440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142</v>
      </c>
      <c r="D1617" t="s">
        <v>408</v>
      </c>
      <c r="E1617" t="s">
        <v>89</v>
      </c>
      <c r="F1617">
        <v>45</v>
      </c>
      <c r="G1617" t="s">
        <v>90</v>
      </c>
      <c r="H1617" t="s">
        <v>228</v>
      </c>
      <c r="I1617" t="s">
        <v>441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142</v>
      </c>
      <c r="D1618" t="s">
        <v>408</v>
      </c>
      <c r="E1618" t="s">
        <v>89</v>
      </c>
      <c r="F1618">
        <v>45</v>
      </c>
      <c r="G1618" t="s">
        <v>90</v>
      </c>
      <c r="H1618" t="s">
        <v>228</v>
      </c>
      <c r="I1618" t="s">
        <v>442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142</v>
      </c>
      <c r="D1619" t="s">
        <v>408</v>
      </c>
      <c r="E1619" t="s">
        <v>89</v>
      </c>
      <c r="F1619">
        <v>45</v>
      </c>
      <c r="G1619" t="s">
        <v>90</v>
      </c>
      <c r="H1619" t="s">
        <v>228</v>
      </c>
      <c r="I1619" t="s">
        <v>443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142</v>
      </c>
      <c r="D1620" t="s">
        <v>408</v>
      </c>
      <c r="E1620" t="s">
        <v>89</v>
      </c>
      <c r="F1620">
        <v>45</v>
      </c>
      <c r="G1620" t="s">
        <v>90</v>
      </c>
      <c r="H1620" t="s">
        <v>228</v>
      </c>
      <c r="I1620" t="s">
        <v>444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142</v>
      </c>
      <c r="D1621" t="s">
        <v>408</v>
      </c>
      <c r="E1621" t="s">
        <v>89</v>
      </c>
      <c r="F1621">
        <v>45</v>
      </c>
      <c r="G1621" t="s">
        <v>90</v>
      </c>
      <c r="H1621" t="s">
        <v>228</v>
      </c>
      <c r="I1621" t="s">
        <v>445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142</v>
      </c>
      <c r="D1622" t="s">
        <v>408</v>
      </c>
      <c r="E1622" t="s">
        <v>89</v>
      </c>
      <c r="F1622">
        <v>45</v>
      </c>
      <c r="G1622" t="s">
        <v>90</v>
      </c>
      <c r="H1622" t="s">
        <v>228</v>
      </c>
      <c r="I1622" t="s">
        <v>446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142</v>
      </c>
      <c r="D1623" t="s">
        <v>408</v>
      </c>
      <c r="E1623" t="s">
        <v>89</v>
      </c>
      <c r="F1623">
        <v>45</v>
      </c>
      <c r="G1623" t="s">
        <v>90</v>
      </c>
      <c r="H1623" t="s">
        <v>228</v>
      </c>
      <c r="I1623" t="s">
        <v>447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142</v>
      </c>
      <c r="D1624" t="s">
        <v>408</v>
      </c>
      <c r="E1624" t="s">
        <v>89</v>
      </c>
      <c r="F1624">
        <v>45</v>
      </c>
      <c r="G1624" t="s">
        <v>90</v>
      </c>
      <c r="H1624" t="s">
        <v>228</v>
      </c>
      <c r="I1624" t="s">
        <v>448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142</v>
      </c>
      <c r="D1625" t="s">
        <v>408</v>
      </c>
      <c r="E1625" t="s">
        <v>89</v>
      </c>
      <c r="F1625">
        <v>45</v>
      </c>
      <c r="G1625" t="s">
        <v>90</v>
      </c>
      <c r="H1625" t="s">
        <v>228</v>
      </c>
      <c r="I1625" t="s">
        <v>449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142</v>
      </c>
      <c r="D1626" t="s">
        <v>408</v>
      </c>
      <c r="E1626" t="s">
        <v>89</v>
      </c>
      <c r="F1626">
        <v>45</v>
      </c>
      <c r="G1626" t="s">
        <v>90</v>
      </c>
      <c r="H1626" t="s">
        <v>228</v>
      </c>
      <c r="I1626" t="s">
        <v>450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142</v>
      </c>
      <c r="D1627" t="s">
        <v>408</v>
      </c>
      <c r="E1627" t="s">
        <v>89</v>
      </c>
      <c r="F1627">
        <v>45</v>
      </c>
      <c r="G1627" t="s">
        <v>90</v>
      </c>
      <c r="H1627" t="s">
        <v>229</v>
      </c>
      <c r="I1627" t="s">
        <v>426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142</v>
      </c>
      <c r="D1628" t="s">
        <v>408</v>
      </c>
      <c r="E1628" t="s">
        <v>89</v>
      </c>
      <c r="F1628">
        <v>45</v>
      </c>
      <c r="G1628" t="s">
        <v>90</v>
      </c>
      <c r="H1628" t="s">
        <v>229</v>
      </c>
      <c r="I1628" t="s">
        <v>427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142</v>
      </c>
      <c r="D1629" t="s">
        <v>408</v>
      </c>
      <c r="E1629" t="s">
        <v>89</v>
      </c>
      <c r="F1629">
        <v>45</v>
      </c>
      <c r="G1629" t="s">
        <v>90</v>
      </c>
      <c r="H1629" t="s">
        <v>229</v>
      </c>
      <c r="I1629" t="s">
        <v>428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142</v>
      </c>
      <c r="D1630" t="s">
        <v>408</v>
      </c>
      <c r="E1630" t="s">
        <v>89</v>
      </c>
      <c r="F1630">
        <v>45</v>
      </c>
      <c r="G1630" t="s">
        <v>90</v>
      </c>
      <c r="H1630" t="s">
        <v>229</v>
      </c>
      <c r="I1630" t="s">
        <v>429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142</v>
      </c>
      <c r="D1631" t="s">
        <v>408</v>
      </c>
      <c r="E1631" t="s">
        <v>89</v>
      </c>
      <c r="F1631">
        <v>45</v>
      </c>
      <c r="G1631" t="s">
        <v>90</v>
      </c>
      <c r="H1631" t="s">
        <v>229</v>
      </c>
      <c r="I1631" t="s">
        <v>430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142</v>
      </c>
      <c r="D1632" t="s">
        <v>408</v>
      </c>
      <c r="E1632" t="s">
        <v>89</v>
      </c>
      <c r="F1632">
        <v>45</v>
      </c>
      <c r="G1632" t="s">
        <v>90</v>
      </c>
      <c r="H1632" t="s">
        <v>229</v>
      </c>
      <c r="I1632" t="s">
        <v>431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142</v>
      </c>
      <c r="D1633" t="s">
        <v>408</v>
      </c>
      <c r="E1633" t="s">
        <v>89</v>
      </c>
      <c r="F1633">
        <v>45</v>
      </c>
      <c r="G1633" t="s">
        <v>90</v>
      </c>
      <c r="H1633" t="s">
        <v>229</v>
      </c>
      <c r="I1633" t="s">
        <v>432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142</v>
      </c>
      <c r="D1634" t="s">
        <v>408</v>
      </c>
      <c r="E1634" t="s">
        <v>89</v>
      </c>
      <c r="F1634">
        <v>45</v>
      </c>
      <c r="G1634" t="s">
        <v>90</v>
      </c>
      <c r="H1634" t="s">
        <v>229</v>
      </c>
      <c r="I1634" t="s">
        <v>433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142</v>
      </c>
      <c r="D1635" t="s">
        <v>408</v>
      </c>
      <c r="E1635" t="s">
        <v>89</v>
      </c>
      <c r="F1635">
        <v>45</v>
      </c>
      <c r="G1635" t="s">
        <v>90</v>
      </c>
      <c r="H1635" t="s">
        <v>229</v>
      </c>
      <c r="I1635" t="s">
        <v>434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142</v>
      </c>
      <c r="D1636" t="s">
        <v>408</v>
      </c>
      <c r="E1636" t="s">
        <v>89</v>
      </c>
      <c r="F1636">
        <v>45</v>
      </c>
      <c r="G1636" t="s">
        <v>90</v>
      </c>
      <c r="H1636" t="s">
        <v>229</v>
      </c>
      <c r="I1636" t="s">
        <v>435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142</v>
      </c>
      <c r="D1637" t="s">
        <v>408</v>
      </c>
      <c r="E1637" t="s">
        <v>89</v>
      </c>
      <c r="F1637">
        <v>45</v>
      </c>
      <c r="G1637" t="s">
        <v>90</v>
      </c>
      <c r="H1637" t="s">
        <v>229</v>
      </c>
      <c r="I1637" t="s">
        <v>436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142</v>
      </c>
      <c r="D1638" t="s">
        <v>408</v>
      </c>
      <c r="E1638" t="s">
        <v>89</v>
      </c>
      <c r="F1638">
        <v>45</v>
      </c>
      <c r="G1638" t="s">
        <v>90</v>
      </c>
      <c r="H1638" t="s">
        <v>229</v>
      </c>
      <c r="I1638" t="s">
        <v>437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142</v>
      </c>
      <c r="D1639" t="s">
        <v>408</v>
      </c>
      <c r="E1639" t="s">
        <v>89</v>
      </c>
      <c r="F1639">
        <v>45</v>
      </c>
      <c r="G1639" t="s">
        <v>90</v>
      </c>
      <c r="H1639" t="s">
        <v>229</v>
      </c>
      <c r="I1639" t="s">
        <v>438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142</v>
      </c>
      <c r="D1640" t="s">
        <v>408</v>
      </c>
      <c r="E1640" t="s">
        <v>89</v>
      </c>
      <c r="F1640">
        <v>45</v>
      </c>
      <c r="G1640" t="s">
        <v>90</v>
      </c>
      <c r="H1640" t="s">
        <v>229</v>
      </c>
      <c r="I1640" t="s">
        <v>439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142</v>
      </c>
      <c r="D1641" t="s">
        <v>408</v>
      </c>
      <c r="E1641" t="s">
        <v>89</v>
      </c>
      <c r="F1641">
        <v>45</v>
      </c>
      <c r="G1641" t="s">
        <v>90</v>
      </c>
      <c r="H1641" t="s">
        <v>229</v>
      </c>
      <c r="I1641" t="s">
        <v>440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142</v>
      </c>
      <c r="D1642" t="s">
        <v>408</v>
      </c>
      <c r="E1642" t="s">
        <v>89</v>
      </c>
      <c r="F1642">
        <v>45</v>
      </c>
      <c r="G1642" t="s">
        <v>90</v>
      </c>
      <c r="H1642" t="s">
        <v>229</v>
      </c>
      <c r="I1642" t="s">
        <v>441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142</v>
      </c>
      <c r="D1643" t="s">
        <v>408</v>
      </c>
      <c r="E1643" t="s">
        <v>89</v>
      </c>
      <c r="F1643">
        <v>45</v>
      </c>
      <c r="G1643" t="s">
        <v>90</v>
      </c>
      <c r="H1643" t="s">
        <v>229</v>
      </c>
      <c r="I1643" t="s">
        <v>442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142</v>
      </c>
      <c r="D1644" t="s">
        <v>408</v>
      </c>
      <c r="E1644" t="s">
        <v>89</v>
      </c>
      <c r="F1644">
        <v>45</v>
      </c>
      <c r="G1644" t="s">
        <v>90</v>
      </c>
      <c r="H1644" t="s">
        <v>229</v>
      </c>
      <c r="I1644" t="s">
        <v>443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142</v>
      </c>
      <c r="D1645" t="s">
        <v>408</v>
      </c>
      <c r="E1645" t="s">
        <v>89</v>
      </c>
      <c r="F1645">
        <v>45</v>
      </c>
      <c r="G1645" t="s">
        <v>90</v>
      </c>
      <c r="H1645" t="s">
        <v>229</v>
      </c>
      <c r="I1645" t="s">
        <v>444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142</v>
      </c>
      <c r="D1646" t="s">
        <v>408</v>
      </c>
      <c r="E1646" t="s">
        <v>89</v>
      </c>
      <c r="F1646">
        <v>45</v>
      </c>
      <c r="G1646" t="s">
        <v>90</v>
      </c>
      <c r="H1646" t="s">
        <v>229</v>
      </c>
      <c r="I1646" t="s">
        <v>445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142</v>
      </c>
      <c r="D1647" t="s">
        <v>408</v>
      </c>
      <c r="E1647" t="s">
        <v>89</v>
      </c>
      <c r="F1647">
        <v>45</v>
      </c>
      <c r="G1647" t="s">
        <v>90</v>
      </c>
      <c r="H1647" t="s">
        <v>229</v>
      </c>
      <c r="I1647" t="s">
        <v>446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142</v>
      </c>
      <c r="D1648" t="s">
        <v>408</v>
      </c>
      <c r="E1648" t="s">
        <v>89</v>
      </c>
      <c r="F1648">
        <v>45</v>
      </c>
      <c r="G1648" t="s">
        <v>90</v>
      </c>
      <c r="H1648" t="s">
        <v>229</v>
      </c>
      <c r="I1648" t="s">
        <v>447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142</v>
      </c>
      <c r="D1649" t="s">
        <v>408</v>
      </c>
      <c r="E1649" t="s">
        <v>89</v>
      </c>
      <c r="F1649">
        <v>45</v>
      </c>
      <c r="G1649" t="s">
        <v>90</v>
      </c>
      <c r="H1649" t="s">
        <v>229</v>
      </c>
      <c r="I1649" t="s">
        <v>448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142</v>
      </c>
      <c r="D1650" t="s">
        <v>408</v>
      </c>
      <c r="E1650" t="s">
        <v>89</v>
      </c>
      <c r="F1650">
        <v>45</v>
      </c>
      <c r="G1650" t="s">
        <v>90</v>
      </c>
      <c r="H1650" t="s">
        <v>229</v>
      </c>
      <c r="I1650" t="s">
        <v>449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142</v>
      </c>
      <c r="D1651" t="s">
        <v>408</v>
      </c>
      <c r="E1651" t="s">
        <v>89</v>
      </c>
      <c r="F1651">
        <v>45</v>
      </c>
      <c r="G1651" t="s">
        <v>90</v>
      </c>
      <c r="H1651" t="s">
        <v>229</v>
      </c>
      <c r="I1651" t="s">
        <v>450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142</v>
      </c>
      <c r="D1652" t="s">
        <v>408</v>
      </c>
      <c r="E1652" t="s">
        <v>89</v>
      </c>
      <c r="F1652">
        <v>45</v>
      </c>
      <c r="G1652" t="s">
        <v>90</v>
      </c>
      <c r="H1652" t="s">
        <v>91</v>
      </c>
      <c r="I1652" t="s">
        <v>426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142</v>
      </c>
      <c r="D1653" t="s">
        <v>408</v>
      </c>
      <c r="E1653" t="s">
        <v>89</v>
      </c>
      <c r="F1653">
        <v>45</v>
      </c>
      <c r="G1653" t="s">
        <v>90</v>
      </c>
      <c r="H1653" t="s">
        <v>91</v>
      </c>
      <c r="I1653" t="s">
        <v>427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142</v>
      </c>
      <c r="D1654" t="s">
        <v>408</v>
      </c>
      <c r="E1654" t="s">
        <v>89</v>
      </c>
      <c r="F1654">
        <v>45</v>
      </c>
      <c r="G1654" t="s">
        <v>90</v>
      </c>
      <c r="H1654" t="s">
        <v>91</v>
      </c>
      <c r="I1654" t="s">
        <v>428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142</v>
      </c>
      <c r="D1655" t="s">
        <v>408</v>
      </c>
      <c r="E1655" t="s">
        <v>89</v>
      </c>
      <c r="F1655">
        <v>45</v>
      </c>
      <c r="G1655" t="s">
        <v>90</v>
      </c>
      <c r="H1655" t="s">
        <v>91</v>
      </c>
      <c r="I1655" t="s">
        <v>429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142</v>
      </c>
      <c r="D1656" t="s">
        <v>408</v>
      </c>
      <c r="E1656" t="s">
        <v>89</v>
      </c>
      <c r="F1656">
        <v>45</v>
      </c>
      <c r="G1656" t="s">
        <v>90</v>
      </c>
      <c r="H1656" t="s">
        <v>91</v>
      </c>
      <c r="I1656" t="s">
        <v>430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142</v>
      </c>
      <c r="D1657" t="s">
        <v>408</v>
      </c>
      <c r="E1657" t="s">
        <v>89</v>
      </c>
      <c r="F1657">
        <v>45</v>
      </c>
      <c r="G1657" t="s">
        <v>90</v>
      </c>
      <c r="H1657" t="s">
        <v>91</v>
      </c>
      <c r="I1657" t="s">
        <v>431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142</v>
      </c>
      <c r="D1658" t="s">
        <v>408</v>
      </c>
      <c r="E1658" t="s">
        <v>89</v>
      </c>
      <c r="F1658">
        <v>45</v>
      </c>
      <c r="G1658" t="s">
        <v>90</v>
      </c>
      <c r="H1658" t="s">
        <v>91</v>
      </c>
      <c r="I1658" t="s">
        <v>432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142</v>
      </c>
      <c r="D1659" t="s">
        <v>408</v>
      </c>
      <c r="E1659" t="s">
        <v>89</v>
      </c>
      <c r="F1659">
        <v>45</v>
      </c>
      <c r="G1659" t="s">
        <v>90</v>
      </c>
      <c r="H1659" t="s">
        <v>91</v>
      </c>
      <c r="I1659" t="s">
        <v>433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142</v>
      </c>
      <c r="D1660" t="s">
        <v>408</v>
      </c>
      <c r="E1660" t="s">
        <v>89</v>
      </c>
      <c r="F1660">
        <v>45</v>
      </c>
      <c r="G1660" t="s">
        <v>90</v>
      </c>
      <c r="H1660" t="s">
        <v>91</v>
      </c>
      <c r="I1660" t="s">
        <v>434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142</v>
      </c>
      <c r="D1661" t="s">
        <v>408</v>
      </c>
      <c r="E1661" t="s">
        <v>89</v>
      </c>
      <c r="F1661">
        <v>45</v>
      </c>
      <c r="G1661" t="s">
        <v>90</v>
      </c>
      <c r="H1661" t="s">
        <v>91</v>
      </c>
      <c r="I1661" t="s">
        <v>435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142</v>
      </c>
      <c r="D1662" t="s">
        <v>408</v>
      </c>
      <c r="E1662" t="s">
        <v>89</v>
      </c>
      <c r="F1662">
        <v>45</v>
      </c>
      <c r="G1662" t="s">
        <v>90</v>
      </c>
      <c r="H1662" t="s">
        <v>91</v>
      </c>
      <c r="I1662" t="s">
        <v>436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142</v>
      </c>
      <c r="D1663" t="s">
        <v>408</v>
      </c>
      <c r="E1663" t="s">
        <v>89</v>
      </c>
      <c r="F1663">
        <v>45</v>
      </c>
      <c r="G1663" t="s">
        <v>90</v>
      </c>
      <c r="H1663" t="s">
        <v>91</v>
      </c>
      <c r="I1663" t="s">
        <v>437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142</v>
      </c>
      <c r="D1664" t="s">
        <v>408</v>
      </c>
      <c r="E1664" t="s">
        <v>89</v>
      </c>
      <c r="F1664">
        <v>45</v>
      </c>
      <c r="G1664" t="s">
        <v>90</v>
      </c>
      <c r="H1664" t="s">
        <v>91</v>
      </c>
      <c r="I1664" t="s">
        <v>438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142</v>
      </c>
      <c r="D1665" t="s">
        <v>408</v>
      </c>
      <c r="E1665" t="s">
        <v>89</v>
      </c>
      <c r="F1665">
        <v>45</v>
      </c>
      <c r="G1665" t="s">
        <v>90</v>
      </c>
      <c r="H1665" t="s">
        <v>91</v>
      </c>
      <c r="I1665" t="s">
        <v>439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142</v>
      </c>
      <c r="D1666" t="s">
        <v>408</v>
      </c>
      <c r="E1666" t="s">
        <v>89</v>
      </c>
      <c r="F1666">
        <v>45</v>
      </c>
      <c r="G1666" t="s">
        <v>90</v>
      </c>
      <c r="H1666" t="s">
        <v>91</v>
      </c>
      <c r="I1666" t="s">
        <v>440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142</v>
      </c>
      <c r="D1667" t="s">
        <v>408</v>
      </c>
      <c r="E1667" t="s">
        <v>89</v>
      </c>
      <c r="F1667">
        <v>45</v>
      </c>
      <c r="G1667" t="s">
        <v>90</v>
      </c>
      <c r="H1667" t="s">
        <v>91</v>
      </c>
      <c r="I1667" t="s">
        <v>441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142</v>
      </c>
      <c r="D1668" t="s">
        <v>408</v>
      </c>
      <c r="E1668" t="s">
        <v>89</v>
      </c>
      <c r="F1668">
        <v>45</v>
      </c>
      <c r="G1668" t="s">
        <v>90</v>
      </c>
      <c r="H1668" t="s">
        <v>91</v>
      </c>
      <c r="I1668" t="s">
        <v>442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142</v>
      </c>
      <c r="D1669" t="s">
        <v>408</v>
      </c>
      <c r="E1669" t="s">
        <v>89</v>
      </c>
      <c r="F1669">
        <v>45</v>
      </c>
      <c r="G1669" t="s">
        <v>90</v>
      </c>
      <c r="H1669" t="s">
        <v>91</v>
      </c>
      <c r="I1669" t="s">
        <v>443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142</v>
      </c>
      <c r="D1670" t="s">
        <v>408</v>
      </c>
      <c r="E1670" t="s">
        <v>89</v>
      </c>
      <c r="F1670">
        <v>45</v>
      </c>
      <c r="G1670" t="s">
        <v>90</v>
      </c>
      <c r="H1670" t="s">
        <v>91</v>
      </c>
      <c r="I1670" t="s">
        <v>444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142</v>
      </c>
      <c r="D1671" t="s">
        <v>408</v>
      </c>
      <c r="E1671" t="s">
        <v>89</v>
      </c>
      <c r="F1671">
        <v>45</v>
      </c>
      <c r="G1671" t="s">
        <v>90</v>
      </c>
      <c r="H1671" t="s">
        <v>91</v>
      </c>
      <c r="I1671" t="s">
        <v>445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142</v>
      </c>
      <c r="D1672" t="s">
        <v>408</v>
      </c>
      <c r="E1672" t="s">
        <v>89</v>
      </c>
      <c r="F1672">
        <v>45</v>
      </c>
      <c r="G1672" t="s">
        <v>90</v>
      </c>
      <c r="H1672" t="s">
        <v>91</v>
      </c>
      <c r="I1672" t="s">
        <v>446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142</v>
      </c>
      <c r="D1673" t="s">
        <v>408</v>
      </c>
      <c r="E1673" t="s">
        <v>89</v>
      </c>
      <c r="F1673">
        <v>45</v>
      </c>
      <c r="G1673" t="s">
        <v>90</v>
      </c>
      <c r="H1673" t="s">
        <v>91</v>
      </c>
      <c r="I1673" t="s">
        <v>447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142</v>
      </c>
      <c r="D1674" t="s">
        <v>408</v>
      </c>
      <c r="E1674" t="s">
        <v>89</v>
      </c>
      <c r="F1674">
        <v>45</v>
      </c>
      <c r="G1674" t="s">
        <v>90</v>
      </c>
      <c r="H1674" t="s">
        <v>91</v>
      </c>
      <c r="I1674" t="s">
        <v>448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142</v>
      </c>
      <c r="D1675" t="s">
        <v>408</v>
      </c>
      <c r="E1675" t="s">
        <v>89</v>
      </c>
      <c r="F1675">
        <v>45</v>
      </c>
      <c r="G1675" t="s">
        <v>90</v>
      </c>
      <c r="H1675" t="s">
        <v>91</v>
      </c>
      <c r="I1675" t="s">
        <v>449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142</v>
      </c>
      <c r="D1676" t="s">
        <v>408</v>
      </c>
      <c r="E1676" t="s">
        <v>89</v>
      </c>
      <c r="F1676">
        <v>45</v>
      </c>
      <c r="G1676" t="s">
        <v>90</v>
      </c>
      <c r="H1676" t="s">
        <v>91</v>
      </c>
      <c r="I1676" t="s">
        <v>450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142</v>
      </c>
      <c r="D1677" t="s">
        <v>408</v>
      </c>
      <c r="E1677" t="s">
        <v>89</v>
      </c>
      <c r="F1677">
        <v>45</v>
      </c>
      <c r="G1677" t="s">
        <v>90</v>
      </c>
      <c r="H1677" t="s">
        <v>230</v>
      </c>
      <c r="I1677" t="s">
        <v>426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142</v>
      </c>
      <c r="D1678" t="s">
        <v>408</v>
      </c>
      <c r="E1678" t="s">
        <v>89</v>
      </c>
      <c r="F1678">
        <v>45</v>
      </c>
      <c r="G1678" t="s">
        <v>90</v>
      </c>
      <c r="H1678" t="s">
        <v>230</v>
      </c>
      <c r="I1678" t="s">
        <v>427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142</v>
      </c>
      <c r="D1679" t="s">
        <v>408</v>
      </c>
      <c r="E1679" t="s">
        <v>89</v>
      </c>
      <c r="F1679">
        <v>45</v>
      </c>
      <c r="G1679" t="s">
        <v>90</v>
      </c>
      <c r="H1679" t="s">
        <v>230</v>
      </c>
      <c r="I1679" t="s">
        <v>428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142</v>
      </c>
      <c r="D1680" t="s">
        <v>408</v>
      </c>
      <c r="E1680" t="s">
        <v>89</v>
      </c>
      <c r="F1680">
        <v>45</v>
      </c>
      <c r="G1680" t="s">
        <v>90</v>
      </c>
      <c r="H1680" t="s">
        <v>230</v>
      </c>
      <c r="I1680" t="s">
        <v>429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142</v>
      </c>
      <c r="D1681" t="s">
        <v>408</v>
      </c>
      <c r="E1681" t="s">
        <v>89</v>
      </c>
      <c r="F1681">
        <v>45</v>
      </c>
      <c r="G1681" t="s">
        <v>90</v>
      </c>
      <c r="H1681" t="s">
        <v>230</v>
      </c>
      <c r="I1681" t="s">
        <v>430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142</v>
      </c>
      <c r="D1682" t="s">
        <v>408</v>
      </c>
      <c r="E1682" t="s">
        <v>89</v>
      </c>
      <c r="F1682">
        <v>45</v>
      </c>
      <c r="G1682" t="s">
        <v>90</v>
      </c>
      <c r="H1682" t="s">
        <v>230</v>
      </c>
      <c r="I1682" t="s">
        <v>431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142</v>
      </c>
      <c r="D1683" t="s">
        <v>408</v>
      </c>
      <c r="E1683" t="s">
        <v>89</v>
      </c>
      <c r="F1683">
        <v>45</v>
      </c>
      <c r="G1683" t="s">
        <v>90</v>
      </c>
      <c r="H1683" t="s">
        <v>230</v>
      </c>
      <c r="I1683" t="s">
        <v>432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142</v>
      </c>
      <c r="D1684" t="s">
        <v>408</v>
      </c>
      <c r="E1684" t="s">
        <v>89</v>
      </c>
      <c r="F1684">
        <v>45</v>
      </c>
      <c r="G1684" t="s">
        <v>90</v>
      </c>
      <c r="H1684" t="s">
        <v>230</v>
      </c>
      <c r="I1684" t="s">
        <v>433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142</v>
      </c>
      <c r="D1685" t="s">
        <v>408</v>
      </c>
      <c r="E1685" t="s">
        <v>89</v>
      </c>
      <c r="F1685">
        <v>45</v>
      </c>
      <c r="G1685" t="s">
        <v>90</v>
      </c>
      <c r="H1685" t="s">
        <v>230</v>
      </c>
      <c r="I1685" t="s">
        <v>434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142</v>
      </c>
      <c r="D1686" t="s">
        <v>408</v>
      </c>
      <c r="E1686" t="s">
        <v>89</v>
      </c>
      <c r="F1686">
        <v>45</v>
      </c>
      <c r="G1686" t="s">
        <v>90</v>
      </c>
      <c r="H1686" t="s">
        <v>230</v>
      </c>
      <c r="I1686" t="s">
        <v>435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142</v>
      </c>
      <c r="D1687" t="s">
        <v>408</v>
      </c>
      <c r="E1687" t="s">
        <v>89</v>
      </c>
      <c r="F1687">
        <v>45</v>
      </c>
      <c r="G1687" t="s">
        <v>90</v>
      </c>
      <c r="H1687" t="s">
        <v>230</v>
      </c>
      <c r="I1687" t="s">
        <v>436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142</v>
      </c>
      <c r="D1688" t="s">
        <v>408</v>
      </c>
      <c r="E1688" t="s">
        <v>89</v>
      </c>
      <c r="F1688">
        <v>45</v>
      </c>
      <c r="G1688" t="s">
        <v>90</v>
      </c>
      <c r="H1688" t="s">
        <v>230</v>
      </c>
      <c r="I1688" t="s">
        <v>437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142</v>
      </c>
      <c r="D1689" t="s">
        <v>408</v>
      </c>
      <c r="E1689" t="s">
        <v>89</v>
      </c>
      <c r="F1689">
        <v>45</v>
      </c>
      <c r="G1689" t="s">
        <v>90</v>
      </c>
      <c r="H1689" t="s">
        <v>230</v>
      </c>
      <c r="I1689" t="s">
        <v>438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142</v>
      </c>
      <c r="D1690" t="s">
        <v>408</v>
      </c>
      <c r="E1690" t="s">
        <v>89</v>
      </c>
      <c r="F1690">
        <v>45</v>
      </c>
      <c r="G1690" t="s">
        <v>90</v>
      </c>
      <c r="H1690" t="s">
        <v>230</v>
      </c>
      <c r="I1690" t="s">
        <v>439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142</v>
      </c>
      <c r="D1691" t="s">
        <v>408</v>
      </c>
      <c r="E1691" t="s">
        <v>89</v>
      </c>
      <c r="F1691">
        <v>45</v>
      </c>
      <c r="G1691" t="s">
        <v>90</v>
      </c>
      <c r="H1691" t="s">
        <v>230</v>
      </c>
      <c r="I1691" t="s">
        <v>440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142</v>
      </c>
      <c r="D1692" t="s">
        <v>408</v>
      </c>
      <c r="E1692" t="s">
        <v>89</v>
      </c>
      <c r="F1692">
        <v>45</v>
      </c>
      <c r="G1692" t="s">
        <v>90</v>
      </c>
      <c r="H1692" t="s">
        <v>230</v>
      </c>
      <c r="I1692" t="s">
        <v>441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142</v>
      </c>
      <c r="D1693" t="s">
        <v>408</v>
      </c>
      <c r="E1693" t="s">
        <v>89</v>
      </c>
      <c r="F1693">
        <v>45</v>
      </c>
      <c r="G1693" t="s">
        <v>90</v>
      </c>
      <c r="H1693" t="s">
        <v>230</v>
      </c>
      <c r="I1693" t="s">
        <v>442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142</v>
      </c>
      <c r="D1694" t="s">
        <v>408</v>
      </c>
      <c r="E1694" t="s">
        <v>89</v>
      </c>
      <c r="F1694">
        <v>45</v>
      </c>
      <c r="G1694" t="s">
        <v>90</v>
      </c>
      <c r="H1694" t="s">
        <v>230</v>
      </c>
      <c r="I1694" t="s">
        <v>443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142</v>
      </c>
      <c r="D1695" t="s">
        <v>408</v>
      </c>
      <c r="E1695" t="s">
        <v>89</v>
      </c>
      <c r="F1695">
        <v>45</v>
      </c>
      <c r="G1695" t="s">
        <v>90</v>
      </c>
      <c r="H1695" t="s">
        <v>230</v>
      </c>
      <c r="I1695" t="s">
        <v>444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142</v>
      </c>
      <c r="D1696" t="s">
        <v>408</v>
      </c>
      <c r="E1696" t="s">
        <v>89</v>
      </c>
      <c r="F1696">
        <v>45</v>
      </c>
      <c r="G1696" t="s">
        <v>90</v>
      </c>
      <c r="H1696" t="s">
        <v>230</v>
      </c>
      <c r="I1696" t="s">
        <v>445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142</v>
      </c>
      <c r="D1697" t="s">
        <v>408</v>
      </c>
      <c r="E1697" t="s">
        <v>89</v>
      </c>
      <c r="F1697">
        <v>45</v>
      </c>
      <c r="G1697" t="s">
        <v>90</v>
      </c>
      <c r="H1697" t="s">
        <v>230</v>
      </c>
      <c r="I1697" t="s">
        <v>446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142</v>
      </c>
      <c r="D1698" t="s">
        <v>408</v>
      </c>
      <c r="E1698" t="s">
        <v>89</v>
      </c>
      <c r="F1698">
        <v>45</v>
      </c>
      <c r="G1698" t="s">
        <v>90</v>
      </c>
      <c r="H1698" t="s">
        <v>230</v>
      </c>
      <c r="I1698" t="s">
        <v>447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142</v>
      </c>
      <c r="D1699" t="s">
        <v>408</v>
      </c>
      <c r="E1699" t="s">
        <v>89</v>
      </c>
      <c r="F1699">
        <v>45</v>
      </c>
      <c r="G1699" t="s">
        <v>90</v>
      </c>
      <c r="H1699" t="s">
        <v>230</v>
      </c>
      <c r="I1699" t="s">
        <v>448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142</v>
      </c>
      <c r="D1700" t="s">
        <v>408</v>
      </c>
      <c r="E1700" t="s">
        <v>89</v>
      </c>
      <c r="F1700">
        <v>45</v>
      </c>
      <c r="G1700" t="s">
        <v>90</v>
      </c>
      <c r="H1700" t="s">
        <v>230</v>
      </c>
      <c r="I1700" t="s">
        <v>449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142</v>
      </c>
      <c r="D1701" t="s">
        <v>408</v>
      </c>
      <c r="E1701" t="s">
        <v>89</v>
      </c>
      <c r="F1701">
        <v>45</v>
      </c>
      <c r="G1701" t="s">
        <v>90</v>
      </c>
      <c r="H1701" t="s">
        <v>230</v>
      </c>
      <c r="I1701" t="s">
        <v>450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142</v>
      </c>
      <c r="D1702" t="s">
        <v>408</v>
      </c>
      <c r="E1702" t="s">
        <v>89</v>
      </c>
      <c r="F1702">
        <v>45</v>
      </c>
      <c r="G1702" t="s">
        <v>90</v>
      </c>
      <c r="H1702" t="s">
        <v>188</v>
      </c>
      <c r="I1702" t="s">
        <v>426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142</v>
      </c>
      <c r="D1703" t="s">
        <v>408</v>
      </c>
      <c r="E1703" t="s">
        <v>89</v>
      </c>
      <c r="F1703">
        <v>45</v>
      </c>
      <c r="G1703" t="s">
        <v>90</v>
      </c>
      <c r="H1703" t="s">
        <v>188</v>
      </c>
      <c r="I1703" t="s">
        <v>427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142</v>
      </c>
      <c r="D1704" t="s">
        <v>408</v>
      </c>
      <c r="E1704" t="s">
        <v>89</v>
      </c>
      <c r="F1704">
        <v>45</v>
      </c>
      <c r="G1704" t="s">
        <v>90</v>
      </c>
      <c r="H1704" t="s">
        <v>188</v>
      </c>
      <c r="I1704" t="s">
        <v>428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142</v>
      </c>
      <c r="D1705" t="s">
        <v>408</v>
      </c>
      <c r="E1705" t="s">
        <v>89</v>
      </c>
      <c r="F1705">
        <v>45</v>
      </c>
      <c r="G1705" t="s">
        <v>90</v>
      </c>
      <c r="H1705" t="s">
        <v>188</v>
      </c>
      <c r="I1705" t="s">
        <v>429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142</v>
      </c>
      <c r="D1706" t="s">
        <v>408</v>
      </c>
      <c r="E1706" t="s">
        <v>89</v>
      </c>
      <c r="F1706">
        <v>45</v>
      </c>
      <c r="G1706" t="s">
        <v>90</v>
      </c>
      <c r="H1706" t="s">
        <v>188</v>
      </c>
      <c r="I1706" t="s">
        <v>430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142</v>
      </c>
      <c r="D1707" t="s">
        <v>408</v>
      </c>
      <c r="E1707" t="s">
        <v>89</v>
      </c>
      <c r="F1707">
        <v>45</v>
      </c>
      <c r="G1707" t="s">
        <v>90</v>
      </c>
      <c r="H1707" t="s">
        <v>188</v>
      </c>
      <c r="I1707" t="s">
        <v>431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142</v>
      </c>
      <c r="D1708" t="s">
        <v>408</v>
      </c>
      <c r="E1708" t="s">
        <v>89</v>
      </c>
      <c r="F1708">
        <v>45</v>
      </c>
      <c r="G1708" t="s">
        <v>90</v>
      </c>
      <c r="H1708" t="s">
        <v>188</v>
      </c>
      <c r="I1708" t="s">
        <v>432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142</v>
      </c>
      <c r="D1709" t="s">
        <v>408</v>
      </c>
      <c r="E1709" t="s">
        <v>89</v>
      </c>
      <c r="F1709">
        <v>45</v>
      </c>
      <c r="G1709" t="s">
        <v>90</v>
      </c>
      <c r="H1709" t="s">
        <v>188</v>
      </c>
      <c r="I1709" t="s">
        <v>433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142</v>
      </c>
      <c r="D1710" t="s">
        <v>408</v>
      </c>
      <c r="E1710" t="s">
        <v>89</v>
      </c>
      <c r="F1710">
        <v>45</v>
      </c>
      <c r="G1710" t="s">
        <v>90</v>
      </c>
      <c r="H1710" t="s">
        <v>188</v>
      </c>
      <c r="I1710" t="s">
        <v>434</v>
      </c>
      <c r="J1710">
        <v>0</v>
      </c>
    </row>
    <row r="1711" spans="1:10" x14ac:dyDescent="0.25">
      <c r="A1711" s="1" t="s">
        <v>27</v>
      </c>
      <c r="B1711">
        <v>401752669</v>
      </c>
      <c r="C1711" t="s">
        <v>142</v>
      </c>
      <c r="D1711" t="s">
        <v>408</v>
      </c>
      <c r="E1711" t="s">
        <v>89</v>
      </c>
      <c r="F1711">
        <v>45</v>
      </c>
      <c r="G1711" t="s">
        <v>90</v>
      </c>
      <c r="H1711" t="s">
        <v>188</v>
      </c>
      <c r="I1711" t="s">
        <v>435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142</v>
      </c>
      <c r="D1712" t="s">
        <v>408</v>
      </c>
      <c r="E1712" t="s">
        <v>89</v>
      </c>
      <c r="F1712">
        <v>45</v>
      </c>
      <c r="G1712" t="s">
        <v>90</v>
      </c>
      <c r="H1712" t="s">
        <v>188</v>
      </c>
      <c r="I1712" t="s">
        <v>436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142</v>
      </c>
      <c r="D1713" t="s">
        <v>408</v>
      </c>
      <c r="E1713" t="s">
        <v>89</v>
      </c>
      <c r="F1713">
        <v>45</v>
      </c>
      <c r="G1713" t="s">
        <v>90</v>
      </c>
      <c r="H1713" t="s">
        <v>188</v>
      </c>
      <c r="I1713" t="s">
        <v>437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142</v>
      </c>
      <c r="D1714" t="s">
        <v>408</v>
      </c>
      <c r="E1714" t="s">
        <v>89</v>
      </c>
      <c r="F1714">
        <v>45</v>
      </c>
      <c r="G1714" t="s">
        <v>90</v>
      </c>
      <c r="H1714" t="s">
        <v>188</v>
      </c>
      <c r="I1714" t="s">
        <v>438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142</v>
      </c>
      <c r="D1715" t="s">
        <v>408</v>
      </c>
      <c r="E1715" t="s">
        <v>89</v>
      </c>
      <c r="F1715">
        <v>45</v>
      </c>
      <c r="G1715" t="s">
        <v>90</v>
      </c>
      <c r="H1715" t="s">
        <v>188</v>
      </c>
      <c r="I1715" t="s">
        <v>439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142</v>
      </c>
      <c r="D1716" t="s">
        <v>408</v>
      </c>
      <c r="E1716" t="s">
        <v>89</v>
      </c>
      <c r="F1716">
        <v>45</v>
      </c>
      <c r="G1716" t="s">
        <v>90</v>
      </c>
      <c r="H1716" t="s">
        <v>188</v>
      </c>
      <c r="I1716" t="s">
        <v>440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142</v>
      </c>
      <c r="D1717" t="s">
        <v>408</v>
      </c>
      <c r="E1717" t="s">
        <v>89</v>
      </c>
      <c r="F1717">
        <v>45</v>
      </c>
      <c r="G1717" t="s">
        <v>90</v>
      </c>
      <c r="H1717" t="s">
        <v>188</v>
      </c>
      <c r="I1717" t="s">
        <v>441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142</v>
      </c>
      <c r="D1718" t="s">
        <v>408</v>
      </c>
      <c r="E1718" t="s">
        <v>89</v>
      </c>
      <c r="F1718">
        <v>45</v>
      </c>
      <c r="G1718" t="s">
        <v>90</v>
      </c>
      <c r="H1718" t="s">
        <v>188</v>
      </c>
      <c r="I1718" t="s">
        <v>442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142</v>
      </c>
      <c r="D1719" t="s">
        <v>408</v>
      </c>
      <c r="E1719" t="s">
        <v>89</v>
      </c>
      <c r="F1719">
        <v>45</v>
      </c>
      <c r="G1719" t="s">
        <v>90</v>
      </c>
      <c r="H1719" t="s">
        <v>188</v>
      </c>
      <c r="I1719" t="s">
        <v>443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142</v>
      </c>
      <c r="D1720" t="s">
        <v>408</v>
      </c>
      <c r="E1720" t="s">
        <v>89</v>
      </c>
      <c r="F1720">
        <v>45</v>
      </c>
      <c r="G1720" t="s">
        <v>90</v>
      </c>
      <c r="H1720" t="s">
        <v>188</v>
      </c>
      <c r="I1720" t="s">
        <v>444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142</v>
      </c>
      <c r="D1721" t="s">
        <v>408</v>
      </c>
      <c r="E1721" t="s">
        <v>89</v>
      </c>
      <c r="F1721">
        <v>45</v>
      </c>
      <c r="G1721" t="s">
        <v>90</v>
      </c>
      <c r="H1721" t="s">
        <v>188</v>
      </c>
      <c r="I1721" t="s">
        <v>445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142</v>
      </c>
      <c r="D1722" t="s">
        <v>408</v>
      </c>
      <c r="E1722" t="s">
        <v>89</v>
      </c>
      <c r="F1722">
        <v>45</v>
      </c>
      <c r="G1722" t="s">
        <v>90</v>
      </c>
      <c r="H1722" t="s">
        <v>188</v>
      </c>
      <c r="I1722" t="s">
        <v>446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142</v>
      </c>
      <c r="D1723" t="s">
        <v>408</v>
      </c>
      <c r="E1723" t="s">
        <v>89</v>
      </c>
      <c r="F1723">
        <v>45</v>
      </c>
      <c r="G1723" t="s">
        <v>90</v>
      </c>
      <c r="H1723" t="s">
        <v>188</v>
      </c>
      <c r="I1723" t="s">
        <v>447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142</v>
      </c>
      <c r="D1724" t="s">
        <v>408</v>
      </c>
      <c r="E1724" t="s">
        <v>89</v>
      </c>
      <c r="F1724">
        <v>45</v>
      </c>
      <c r="G1724" t="s">
        <v>90</v>
      </c>
      <c r="H1724" t="s">
        <v>188</v>
      </c>
      <c r="I1724" t="s">
        <v>448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142</v>
      </c>
      <c r="D1725" t="s">
        <v>408</v>
      </c>
      <c r="E1725" t="s">
        <v>89</v>
      </c>
      <c r="F1725">
        <v>45</v>
      </c>
      <c r="G1725" t="s">
        <v>90</v>
      </c>
      <c r="H1725" t="s">
        <v>188</v>
      </c>
      <c r="I1725" t="s">
        <v>449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142</v>
      </c>
      <c r="D1726" t="s">
        <v>408</v>
      </c>
      <c r="E1726" t="s">
        <v>89</v>
      </c>
      <c r="F1726">
        <v>45</v>
      </c>
      <c r="G1726" t="s">
        <v>90</v>
      </c>
      <c r="H1726" t="s">
        <v>188</v>
      </c>
      <c r="I1726" t="s">
        <v>450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142</v>
      </c>
      <c r="D1727" t="s">
        <v>408</v>
      </c>
      <c r="E1727" t="s">
        <v>89</v>
      </c>
      <c r="F1727">
        <v>45</v>
      </c>
      <c r="G1727" t="s">
        <v>231</v>
      </c>
      <c r="H1727" t="s">
        <v>232</v>
      </c>
      <c r="I1727" t="s">
        <v>417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142</v>
      </c>
      <c r="D1728" t="s">
        <v>408</v>
      </c>
      <c r="E1728" t="s">
        <v>89</v>
      </c>
      <c r="F1728">
        <v>45</v>
      </c>
      <c r="G1728" t="s">
        <v>231</v>
      </c>
      <c r="H1728" t="s">
        <v>232</v>
      </c>
      <c r="I1728" t="s">
        <v>430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142</v>
      </c>
      <c r="D1729" t="s">
        <v>408</v>
      </c>
      <c r="E1729" t="s">
        <v>89</v>
      </c>
      <c r="F1729">
        <v>45</v>
      </c>
      <c r="G1729" t="s">
        <v>231</v>
      </c>
      <c r="H1729" t="s">
        <v>186</v>
      </c>
      <c r="I1729" t="s">
        <v>417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142</v>
      </c>
      <c r="D1730" t="s">
        <v>408</v>
      </c>
      <c r="E1730" t="s">
        <v>89</v>
      </c>
      <c r="F1730">
        <v>45</v>
      </c>
      <c r="G1730" t="s">
        <v>231</v>
      </c>
      <c r="H1730" t="s">
        <v>186</v>
      </c>
      <c r="I1730" t="s">
        <v>430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142</v>
      </c>
      <c r="D1731" t="s">
        <v>408</v>
      </c>
      <c r="E1731" t="s">
        <v>89</v>
      </c>
      <c r="F1731">
        <v>45</v>
      </c>
      <c r="G1731" t="s">
        <v>231</v>
      </c>
      <c r="H1731" t="s">
        <v>187</v>
      </c>
      <c r="I1731" t="s">
        <v>417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142</v>
      </c>
      <c r="D1732" t="s">
        <v>408</v>
      </c>
      <c r="E1732" t="s">
        <v>89</v>
      </c>
      <c r="F1732">
        <v>45</v>
      </c>
      <c r="G1732" t="s">
        <v>231</v>
      </c>
      <c r="H1732" t="s">
        <v>187</v>
      </c>
      <c r="I1732" t="s">
        <v>430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142</v>
      </c>
      <c r="D1733" t="s">
        <v>408</v>
      </c>
      <c r="E1733" t="s">
        <v>89</v>
      </c>
      <c r="F1733">
        <v>45</v>
      </c>
      <c r="G1733" t="s">
        <v>231</v>
      </c>
      <c r="H1733" t="s">
        <v>198</v>
      </c>
      <c r="I1733" t="s">
        <v>417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142</v>
      </c>
      <c r="D1734" t="s">
        <v>408</v>
      </c>
      <c r="E1734" t="s">
        <v>89</v>
      </c>
      <c r="F1734">
        <v>45</v>
      </c>
      <c r="G1734" t="s">
        <v>231</v>
      </c>
      <c r="H1734" t="s">
        <v>198</v>
      </c>
      <c r="I1734" t="s">
        <v>430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142</v>
      </c>
      <c r="D1735" t="s">
        <v>408</v>
      </c>
      <c r="E1735" t="s">
        <v>89</v>
      </c>
      <c r="F1735">
        <v>45</v>
      </c>
      <c r="G1735" t="s">
        <v>231</v>
      </c>
      <c r="H1735" t="s">
        <v>188</v>
      </c>
      <c r="I1735" t="s">
        <v>417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142</v>
      </c>
      <c r="D1736" t="s">
        <v>408</v>
      </c>
      <c r="E1736" t="s">
        <v>89</v>
      </c>
      <c r="F1736">
        <v>45</v>
      </c>
      <c r="G1736" t="s">
        <v>231</v>
      </c>
      <c r="H1736" t="s">
        <v>188</v>
      </c>
      <c r="I1736" t="s">
        <v>430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142</v>
      </c>
      <c r="D1737" t="s">
        <v>408</v>
      </c>
      <c r="E1737" t="s">
        <v>89</v>
      </c>
      <c r="F1737">
        <v>45</v>
      </c>
      <c r="G1737" t="s">
        <v>233</v>
      </c>
      <c r="H1737" t="s">
        <v>234</v>
      </c>
      <c r="I1737" t="s">
        <v>451</v>
      </c>
      <c r="J1737" s="73">
        <v>45658</v>
      </c>
    </row>
    <row r="1738" spans="1:10" x14ac:dyDescent="0.25">
      <c r="A1738" s="1" t="s">
        <v>27</v>
      </c>
      <c r="B1738">
        <v>401752669</v>
      </c>
      <c r="C1738" t="s">
        <v>142</v>
      </c>
      <c r="D1738" t="s">
        <v>408</v>
      </c>
      <c r="E1738" t="s">
        <v>89</v>
      </c>
      <c r="F1738">
        <v>45</v>
      </c>
      <c r="G1738" t="s">
        <v>233</v>
      </c>
      <c r="H1738" t="s">
        <v>236</v>
      </c>
      <c r="I1738" t="s">
        <v>451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142</v>
      </c>
      <c r="D1739" t="s">
        <v>408</v>
      </c>
      <c r="E1739" t="s">
        <v>89</v>
      </c>
      <c r="F1739">
        <v>45</v>
      </c>
      <c r="G1739" t="s">
        <v>233</v>
      </c>
      <c r="H1739" t="s">
        <v>198</v>
      </c>
      <c r="I1739" t="s">
        <v>451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142</v>
      </c>
      <c r="D1740" t="s">
        <v>408</v>
      </c>
      <c r="E1740" t="s">
        <v>89</v>
      </c>
      <c r="F1740">
        <v>45</v>
      </c>
      <c r="G1740" t="s">
        <v>233</v>
      </c>
      <c r="H1740" t="s">
        <v>237</v>
      </c>
      <c r="I1740" t="s">
        <v>451</v>
      </c>
      <c r="J1740" s="73">
        <v>45814</v>
      </c>
    </row>
    <row r="1741" spans="1:10" x14ac:dyDescent="0.25">
      <c r="A1741" s="1" t="s">
        <v>27</v>
      </c>
      <c r="B1741">
        <v>401752669</v>
      </c>
      <c r="C1741" t="s">
        <v>142</v>
      </c>
      <c r="D1741" t="s">
        <v>408</v>
      </c>
      <c r="E1741" t="s">
        <v>89</v>
      </c>
      <c r="F1741">
        <v>45</v>
      </c>
      <c r="G1741" t="s">
        <v>233</v>
      </c>
      <c r="H1741" t="s">
        <v>238</v>
      </c>
      <c r="I1741" t="s">
        <v>451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142</v>
      </c>
      <c r="D1742" t="s">
        <v>408</v>
      </c>
      <c r="E1742" t="s">
        <v>89</v>
      </c>
      <c r="F1742">
        <v>45</v>
      </c>
      <c r="G1742" t="s">
        <v>239</v>
      </c>
      <c r="H1742" t="s">
        <v>232</v>
      </c>
      <c r="I1742" t="s">
        <v>452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142</v>
      </c>
      <c r="D1743" t="s">
        <v>408</v>
      </c>
      <c r="E1743" t="s">
        <v>89</v>
      </c>
      <c r="F1743">
        <v>45</v>
      </c>
      <c r="G1743" t="s">
        <v>239</v>
      </c>
      <c r="H1743" t="s">
        <v>186</v>
      </c>
      <c r="I1743" t="s">
        <v>452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142</v>
      </c>
      <c r="D1744" t="s">
        <v>408</v>
      </c>
      <c r="E1744" t="s">
        <v>89</v>
      </c>
      <c r="F1744">
        <v>45</v>
      </c>
      <c r="G1744" t="s">
        <v>239</v>
      </c>
      <c r="H1744" t="s">
        <v>187</v>
      </c>
      <c r="I1744" t="s">
        <v>452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142</v>
      </c>
      <c r="D1745" t="s">
        <v>408</v>
      </c>
      <c r="E1745" t="s">
        <v>89</v>
      </c>
      <c r="F1745">
        <v>45</v>
      </c>
      <c r="G1745" t="s">
        <v>239</v>
      </c>
      <c r="H1745" t="s">
        <v>241</v>
      </c>
      <c r="I1745" t="s">
        <v>452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142</v>
      </c>
      <c r="D1746" t="s">
        <v>408</v>
      </c>
      <c r="E1746" t="s">
        <v>89</v>
      </c>
      <c r="F1746">
        <v>45</v>
      </c>
      <c r="G1746" t="s">
        <v>239</v>
      </c>
      <c r="H1746" t="s">
        <v>242</v>
      </c>
      <c r="I1746" t="s">
        <v>452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142</v>
      </c>
      <c r="D1747" t="s">
        <v>408</v>
      </c>
      <c r="E1747" t="s">
        <v>89</v>
      </c>
      <c r="F1747">
        <v>45</v>
      </c>
      <c r="G1747" t="s">
        <v>239</v>
      </c>
      <c r="H1747" t="s">
        <v>198</v>
      </c>
      <c r="I1747" t="s">
        <v>452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86</v>
      </c>
      <c r="D1748" t="s">
        <v>243</v>
      </c>
      <c r="E1748" t="s">
        <v>89</v>
      </c>
      <c r="F1748">
        <v>14</v>
      </c>
      <c r="G1748" t="s">
        <v>180</v>
      </c>
      <c r="H1748" t="s">
        <v>181</v>
      </c>
      <c r="I1748" t="s">
        <v>103</v>
      </c>
      <c r="J1748" t="s">
        <v>183</v>
      </c>
    </row>
    <row r="1749" spans="1:10" x14ac:dyDescent="0.25">
      <c r="A1749" s="1" t="s">
        <v>27</v>
      </c>
      <c r="B1749">
        <v>401752677</v>
      </c>
      <c r="C1749" t="s">
        <v>86</v>
      </c>
      <c r="D1749" t="s">
        <v>243</v>
      </c>
      <c r="E1749" t="s">
        <v>89</v>
      </c>
      <c r="F1749">
        <v>14</v>
      </c>
      <c r="G1749" t="s">
        <v>180</v>
      </c>
      <c r="H1749" t="s">
        <v>186</v>
      </c>
      <c r="I1749" t="s">
        <v>103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86</v>
      </c>
      <c r="D1750" t="s">
        <v>243</v>
      </c>
      <c r="E1750" t="s">
        <v>89</v>
      </c>
      <c r="F1750">
        <v>14</v>
      </c>
      <c r="G1750" t="s">
        <v>180</v>
      </c>
      <c r="H1750" t="s">
        <v>187</v>
      </c>
      <c r="I1750" t="s">
        <v>103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86</v>
      </c>
      <c r="D1751" t="s">
        <v>243</v>
      </c>
      <c r="E1751" t="s">
        <v>89</v>
      </c>
      <c r="F1751">
        <v>14</v>
      </c>
      <c r="G1751" t="s">
        <v>180</v>
      </c>
      <c r="H1751" t="s">
        <v>188</v>
      </c>
      <c r="I1751" t="s">
        <v>103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86</v>
      </c>
      <c r="D1752" t="s">
        <v>243</v>
      </c>
      <c r="E1752" t="s">
        <v>89</v>
      </c>
      <c r="F1752">
        <v>14</v>
      </c>
      <c r="G1752" t="s">
        <v>180</v>
      </c>
      <c r="H1752" t="s">
        <v>189</v>
      </c>
      <c r="I1752" t="s">
        <v>103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86</v>
      </c>
      <c r="D1753" t="s">
        <v>243</v>
      </c>
      <c r="E1753" t="s">
        <v>89</v>
      </c>
      <c r="F1753">
        <v>14</v>
      </c>
      <c r="G1753" t="s">
        <v>180</v>
      </c>
      <c r="H1753" t="s">
        <v>190</v>
      </c>
      <c r="I1753" t="s">
        <v>103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86</v>
      </c>
      <c r="D1754" t="s">
        <v>243</v>
      </c>
      <c r="E1754" t="s">
        <v>89</v>
      </c>
      <c r="F1754">
        <v>14</v>
      </c>
      <c r="G1754" t="s">
        <v>192</v>
      </c>
      <c r="H1754" t="s">
        <v>193</v>
      </c>
      <c r="I1754" t="s">
        <v>453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86</v>
      </c>
      <c r="D1755" t="s">
        <v>243</v>
      </c>
      <c r="E1755" t="s">
        <v>89</v>
      </c>
      <c r="F1755">
        <v>14</v>
      </c>
      <c r="G1755" t="s">
        <v>192</v>
      </c>
      <c r="H1755" t="s">
        <v>193</v>
      </c>
      <c r="I1755" t="s">
        <v>153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86</v>
      </c>
      <c r="D1756" t="s">
        <v>243</v>
      </c>
      <c r="E1756" t="s">
        <v>89</v>
      </c>
      <c r="F1756">
        <v>14</v>
      </c>
      <c r="G1756" t="s">
        <v>192</v>
      </c>
      <c r="H1756" t="s">
        <v>193</v>
      </c>
      <c r="I1756" t="s">
        <v>103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86</v>
      </c>
      <c r="D1757" t="s">
        <v>243</v>
      </c>
      <c r="E1757" t="s">
        <v>89</v>
      </c>
      <c r="F1757">
        <v>14</v>
      </c>
      <c r="G1757" t="s">
        <v>192</v>
      </c>
      <c r="H1757" t="s">
        <v>193</v>
      </c>
      <c r="I1757" t="s">
        <v>184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86</v>
      </c>
      <c r="D1758" t="s">
        <v>243</v>
      </c>
      <c r="E1758" t="s">
        <v>89</v>
      </c>
      <c r="F1758">
        <v>14</v>
      </c>
      <c r="G1758" t="s">
        <v>192</v>
      </c>
      <c r="H1758" t="s">
        <v>186</v>
      </c>
      <c r="I1758" t="s">
        <v>453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86</v>
      </c>
      <c r="D1759" t="s">
        <v>243</v>
      </c>
      <c r="E1759" t="s">
        <v>89</v>
      </c>
      <c r="F1759">
        <v>14</v>
      </c>
      <c r="G1759" t="s">
        <v>192</v>
      </c>
      <c r="H1759" t="s">
        <v>186</v>
      </c>
      <c r="I1759" t="s">
        <v>153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86</v>
      </c>
      <c r="D1760" t="s">
        <v>243</v>
      </c>
      <c r="E1760" t="s">
        <v>89</v>
      </c>
      <c r="F1760">
        <v>14</v>
      </c>
      <c r="G1760" t="s">
        <v>192</v>
      </c>
      <c r="H1760" t="s">
        <v>186</v>
      </c>
      <c r="I1760" t="s">
        <v>103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86</v>
      </c>
      <c r="D1761" t="s">
        <v>243</v>
      </c>
      <c r="E1761" t="s">
        <v>89</v>
      </c>
      <c r="F1761">
        <v>14</v>
      </c>
      <c r="G1761" t="s">
        <v>192</v>
      </c>
      <c r="H1761" t="s">
        <v>186</v>
      </c>
      <c r="I1761" t="s">
        <v>184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86</v>
      </c>
      <c r="D1762" t="s">
        <v>243</v>
      </c>
      <c r="E1762" t="s">
        <v>89</v>
      </c>
      <c r="F1762">
        <v>14</v>
      </c>
      <c r="G1762" t="s">
        <v>192</v>
      </c>
      <c r="H1762" t="s">
        <v>187</v>
      </c>
      <c r="I1762" t="s">
        <v>453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86</v>
      </c>
      <c r="D1763" t="s">
        <v>243</v>
      </c>
      <c r="E1763" t="s">
        <v>89</v>
      </c>
      <c r="F1763">
        <v>14</v>
      </c>
      <c r="G1763" t="s">
        <v>192</v>
      </c>
      <c r="H1763" t="s">
        <v>187</v>
      </c>
      <c r="I1763" t="s">
        <v>153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86</v>
      </c>
      <c r="D1764" t="s">
        <v>243</v>
      </c>
      <c r="E1764" t="s">
        <v>89</v>
      </c>
      <c r="F1764">
        <v>14</v>
      </c>
      <c r="G1764" t="s">
        <v>192</v>
      </c>
      <c r="H1764" t="s">
        <v>187</v>
      </c>
      <c r="I1764" t="s">
        <v>103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86</v>
      </c>
      <c r="D1765" t="s">
        <v>243</v>
      </c>
      <c r="E1765" t="s">
        <v>89</v>
      </c>
      <c r="F1765">
        <v>14</v>
      </c>
      <c r="G1765" t="s">
        <v>192</v>
      </c>
      <c r="H1765" t="s">
        <v>187</v>
      </c>
      <c r="I1765" t="s">
        <v>184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86</v>
      </c>
      <c r="D1766" t="s">
        <v>243</v>
      </c>
      <c r="E1766" t="s">
        <v>89</v>
      </c>
      <c r="F1766">
        <v>14</v>
      </c>
      <c r="G1766" t="s">
        <v>192</v>
      </c>
      <c r="H1766" t="s">
        <v>188</v>
      </c>
      <c r="I1766" t="s">
        <v>453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86</v>
      </c>
      <c r="D1767" t="s">
        <v>243</v>
      </c>
      <c r="E1767" t="s">
        <v>89</v>
      </c>
      <c r="F1767">
        <v>14</v>
      </c>
      <c r="G1767" t="s">
        <v>192</v>
      </c>
      <c r="H1767" t="s">
        <v>188</v>
      </c>
      <c r="I1767" t="s">
        <v>153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86</v>
      </c>
      <c r="D1768" t="s">
        <v>243</v>
      </c>
      <c r="E1768" t="s">
        <v>89</v>
      </c>
      <c r="F1768">
        <v>14</v>
      </c>
      <c r="G1768" t="s">
        <v>192</v>
      </c>
      <c r="H1768" t="s">
        <v>188</v>
      </c>
      <c r="I1768" t="s">
        <v>103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86</v>
      </c>
      <c r="D1769" t="s">
        <v>243</v>
      </c>
      <c r="E1769" t="s">
        <v>89</v>
      </c>
      <c r="F1769">
        <v>14</v>
      </c>
      <c r="G1769" t="s">
        <v>192</v>
      </c>
      <c r="H1769" t="s">
        <v>188</v>
      </c>
      <c r="I1769" t="s">
        <v>184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86</v>
      </c>
      <c r="D1770" t="s">
        <v>243</v>
      </c>
      <c r="E1770" t="s">
        <v>89</v>
      </c>
      <c r="F1770">
        <v>14</v>
      </c>
      <c r="G1770" t="s">
        <v>192</v>
      </c>
      <c r="H1770" t="s">
        <v>198</v>
      </c>
      <c r="I1770" t="s">
        <v>453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86</v>
      </c>
      <c r="D1771" t="s">
        <v>243</v>
      </c>
      <c r="E1771" t="s">
        <v>89</v>
      </c>
      <c r="F1771">
        <v>14</v>
      </c>
      <c r="G1771" t="s">
        <v>192</v>
      </c>
      <c r="H1771" t="s">
        <v>198</v>
      </c>
      <c r="I1771" t="s">
        <v>153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86</v>
      </c>
      <c r="D1772" t="s">
        <v>243</v>
      </c>
      <c r="E1772" t="s">
        <v>89</v>
      </c>
      <c r="F1772">
        <v>14</v>
      </c>
      <c r="G1772" t="s">
        <v>192</v>
      </c>
      <c r="H1772" t="s">
        <v>198</v>
      </c>
      <c r="I1772" t="s">
        <v>103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86</v>
      </c>
      <c r="D1773" t="s">
        <v>243</v>
      </c>
      <c r="E1773" t="s">
        <v>89</v>
      </c>
      <c r="F1773">
        <v>14</v>
      </c>
      <c r="G1773" t="s">
        <v>192</v>
      </c>
      <c r="H1773" t="s">
        <v>198</v>
      </c>
      <c r="I1773" t="s">
        <v>184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86</v>
      </c>
      <c r="D1774" t="s">
        <v>243</v>
      </c>
      <c r="E1774" t="s">
        <v>89</v>
      </c>
      <c r="F1774">
        <v>14</v>
      </c>
      <c r="G1774" t="s">
        <v>199</v>
      </c>
      <c r="H1774" t="s">
        <v>0</v>
      </c>
      <c r="I1774" t="s">
        <v>454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86</v>
      </c>
      <c r="D1775" t="s">
        <v>243</v>
      </c>
      <c r="E1775" t="s">
        <v>89</v>
      </c>
      <c r="F1775">
        <v>14</v>
      </c>
      <c r="G1775" t="s">
        <v>199</v>
      </c>
      <c r="H1775" t="s">
        <v>0</v>
      </c>
      <c r="I1775" t="s">
        <v>455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86</v>
      </c>
      <c r="D1776" t="s">
        <v>243</v>
      </c>
      <c r="E1776" t="s">
        <v>89</v>
      </c>
      <c r="F1776">
        <v>14</v>
      </c>
      <c r="G1776" t="s">
        <v>199</v>
      </c>
      <c r="H1776" t="s">
        <v>0</v>
      </c>
      <c r="I1776" t="s">
        <v>456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86</v>
      </c>
      <c r="D1777" t="s">
        <v>243</v>
      </c>
      <c r="E1777" t="s">
        <v>89</v>
      </c>
      <c r="F1777">
        <v>14</v>
      </c>
      <c r="G1777" t="s">
        <v>199</v>
      </c>
      <c r="H1777" t="s">
        <v>0</v>
      </c>
      <c r="I1777" t="s">
        <v>453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86</v>
      </c>
      <c r="D1778" t="s">
        <v>243</v>
      </c>
      <c r="E1778" t="s">
        <v>89</v>
      </c>
      <c r="F1778">
        <v>14</v>
      </c>
      <c r="G1778" t="s">
        <v>199</v>
      </c>
      <c r="H1778" t="s">
        <v>0</v>
      </c>
      <c r="I1778" t="s">
        <v>457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86</v>
      </c>
      <c r="D1779" t="s">
        <v>243</v>
      </c>
      <c r="E1779" t="s">
        <v>89</v>
      </c>
      <c r="F1779">
        <v>14</v>
      </c>
      <c r="G1779" t="s">
        <v>199</v>
      </c>
      <c r="H1779" t="s">
        <v>0</v>
      </c>
      <c r="I1779" t="s">
        <v>458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86</v>
      </c>
      <c r="D1780" t="s">
        <v>243</v>
      </c>
      <c r="E1780" t="s">
        <v>89</v>
      </c>
      <c r="F1780">
        <v>14</v>
      </c>
      <c r="G1780" t="s">
        <v>199</v>
      </c>
      <c r="H1780" t="s">
        <v>186</v>
      </c>
      <c r="I1780" t="s">
        <v>454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86</v>
      </c>
      <c r="D1781" t="s">
        <v>243</v>
      </c>
      <c r="E1781" t="s">
        <v>89</v>
      </c>
      <c r="F1781">
        <v>14</v>
      </c>
      <c r="G1781" t="s">
        <v>199</v>
      </c>
      <c r="H1781" t="s">
        <v>186</v>
      </c>
      <c r="I1781" t="s">
        <v>455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86</v>
      </c>
      <c r="D1782" t="s">
        <v>243</v>
      </c>
      <c r="E1782" t="s">
        <v>89</v>
      </c>
      <c r="F1782">
        <v>14</v>
      </c>
      <c r="G1782" t="s">
        <v>199</v>
      </c>
      <c r="H1782" t="s">
        <v>186</v>
      </c>
      <c r="I1782" t="s">
        <v>456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86</v>
      </c>
      <c r="D1783" t="s">
        <v>243</v>
      </c>
      <c r="E1783" t="s">
        <v>89</v>
      </c>
      <c r="F1783">
        <v>14</v>
      </c>
      <c r="G1783" t="s">
        <v>199</v>
      </c>
      <c r="H1783" t="s">
        <v>186</v>
      </c>
      <c r="I1783" t="s">
        <v>453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86</v>
      </c>
      <c r="D1784" t="s">
        <v>243</v>
      </c>
      <c r="E1784" t="s">
        <v>89</v>
      </c>
      <c r="F1784">
        <v>14</v>
      </c>
      <c r="G1784" t="s">
        <v>199</v>
      </c>
      <c r="H1784" t="s">
        <v>186</v>
      </c>
      <c r="I1784" t="s">
        <v>457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86</v>
      </c>
      <c r="D1785" t="s">
        <v>243</v>
      </c>
      <c r="E1785" t="s">
        <v>89</v>
      </c>
      <c r="F1785">
        <v>14</v>
      </c>
      <c r="G1785" t="s">
        <v>199</v>
      </c>
      <c r="H1785" t="s">
        <v>186</v>
      </c>
      <c r="I1785" t="s">
        <v>458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86</v>
      </c>
      <c r="D1786" t="s">
        <v>243</v>
      </c>
      <c r="E1786" t="s">
        <v>89</v>
      </c>
      <c r="F1786">
        <v>14</v>
      </c>
      <c r="G1786" t="s">
        <v>199</v>
      </c>
      <c r="H1786" t="s">
        <v>187</v>
      </c>
      <c r="I1786" t="s">
        <v>454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86</v>
      </c>
      <c r="D1787" t="s">
        <v>243</v>
      </c>
      <c r="E1787" t="s">
        <v>89</v>
      </c>
      <c r="F1787">
        <v>14</v>
      </c>
      <c r="G1787" t="s">
        <v>199</v>
      </c>
      <c r="H1787" t="s">
        <v>187</v>
      </c>
      <c r="I1787" t="s">
        <v>455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86</v>
      </c>
      <c r="D1788" t="s">
        <v>243</v>
      </c>
      <c r="E1788" t="s">
        <v>89</v>
      </c>
      <c r="F1788">
        <v>14</v>
      </c>
      <c r="G1788" t="s">
        <v>199</v>
      </c>
      <c r="H1788" t="s">
        <v>187</v>
      </c>
      <c r="I1788" t="s">
        <v>456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86</v>
      </c>
      <c r="D1789" t="s">
        <v>243</v>
      </c>
      <c r="E1789" t="s">
        <v>89</v>
      </c>
      <c r="F1789">
        <v>14</v>
      </c>
      <c r="G1789" t="s">
        <v>199</v>
      </c>
      <c r="H1789" t="s">
        <v>187</v>
      </c>
      <c r="I1789" t="s">
        <v>453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86</v>
      </c>
      <c r="D1790" t="s">
        <v>243</v>
      </c>
      <c r="E1790" t="s">
        <v>89</v>
      </c>
      <c r="F1790">
        <v>14</v>
      </c>
      <c r="G1790" t="s">
        <v>199</v>
      </c>
      <c r="H1790" t="s">
        <v>187</v>
      </c>
      <c r="I1790" t="s">
        <v>457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86</v>
      </c>
      <c r="D1791" t="s">
        <v>243</v>
      </c>
      <c r="E1791" t="s">
        <v>89</v>
      </c>
      <c r="F1791">
        <v>14</v>
      </c>
      <c r="G1791" t="s">
        <v>199</v>
      </c>
      <c r="H1791" t="s">
        <v>187</v>
      </c>
      <c r="I1791" t="s">
        <v>458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86</v>
      </c>
      <c r="D1792" t="s">
        <v>243</v>
      </c>
      <c r="E1792" t="s">
        <v>89</v>
      </c>
      <c r="F1792">
        <v>14</v>
      </c>
      <c r="G1792" t="s">
        <v>199</v>
      </c>
      <c r="H1792" t="s">
        <v>188</v>
      </c>
      <c r="I1792" t="s">
        <v>454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86</v>
      </c>
      <c r="D1793" t="s">
        <v>243</v>
      </c>
      <c r="E1793" t="s">
        <v>89</v>
      </c>
      <c r="F1793">
        <v>14</v>
      </c>
      <c r="G1793" t="s">
        <v>199</v>
      </c>
      <c r="H1793" t="s">
        <v>188</v>
      </c>
      <c r="I1793" t="s">
        <v>455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86</v>
      </c>
      <c r="D1794" t="s">
        <v>243</v>
      </c>
      <c r="E1794" t="s">
        <v>89</v>
      </c>
      <c r="F1794">
        <v>14</v>
      </c>
      <c r="G1794" t="s">
        <v>199</v>
      </c>
      <c r="H1794" t="s">
        <v>188</v>
      </c>
      <c r="I1794" t="s">
        <v>456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86</v>
      </c>
      <c r="D1795" t="s">
        <v>243</v>
      </c>
      <c r="E1795" t="s">
        <v>89</v>
      </c>
      <c r="F1795">
        <v>14</v>
      </c>
      <c r="G1795" t="s">
        <v>199</v>
      </c>
      <c r="H1795" t="s">
        <v>188</v>
      </c>
      <c r="I1795" t="s">
        <v>453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86</v>
      </c>
      <c r="D1796" t="s">
        <v>243</v>
      </c>
      <c r="E1796" t="s">
        <v>89</v>
      </c>
      <c r="F1796">
        <v>14</v>
      </c>
      <c r="G1796" t="s">
        <v>199</v>
      </c>
      <c r="H1796" t="s">
        <v>188</v>
      </c>
      <c r="I1796" t="s">
        <v>457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86</v>
      </c>
      <c r="D1797" t="s">
        <v>243</v>
      </c>
      <c r="E1797" t="s">
        <v>89</v>
      </c>
      <c r="F1797">
        <v>14</v>
      </c>
      <c r="G1797" t="s">
        <v>199</v>
      </c>
      <c r="H1797" t="s">
        <v>188</v>
      </c>
      <c r="I1797" t="s">
        <v>458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86</v>
      </c>
      <c r="D1798" t="s">
        <v>243</v>
      </c>
      <c r="E1798" t="s">
        <v>89</v>
      </c>
      <c r="F1798">
        <v>14</v>
      </c>
      <c r="G1798" t="s">
        <v>199</v>
      </c>
      <c r="H1798" t="s">
        <v>198</v>
      </c>
      <c r="I1798" t="s">
        <v>454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86</v>
      </c>
      <c r="D1799" t="s">
        <v>243</v>
      </c>
      <c r="E1799" t="s">
        <v>89</v>
      </c>
      <c r="F1799">
        <v>14</v>
      </c>
      <c r="G1799" t="s">
        <v>199</v>
      </c>
      <c r="H1799" t="s">
        <v>198</v>
      </c>
      <c r="I1799" t="s">
        <v>455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86</v>
      </c>
      <c r="D1800" t="s">
        <v>243</v>
      </c>
      <c r="E1800" t="s">
        <v>89</v>
      </c>
      <c r="F1800">
        <v>14</v>
      </c>
      <c r="G1800" t="s">
        <v>199</v>
      </c>
      <c r="H1800" t="s">
        <v>198</v>
      </c>
      <c r="I1800" t="s">
        <v>456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86</v>
      </c>
      <c r="D1801" t="s">
        <v>243</v>
      </c>
      <c r="E1801" t="s">
        <v>89</v>
      </c>
      <c r="F1801">
        <v>14</v>
      </c>
      <c r="G1801" t="s">
        <v>199</v>
      </c>
      <c r="H1801" t="s">
        <v>198</v>
      </c>
      <c r="I1801" t="s">
        <v>453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86</v>
      </c>
      <c r="D1802" t="s">
        <v>243</v>
      </c>
      <c r="E1802" t="s">
        <v>89</v>
      </c>
      <c r="F1802">
        <v>14</v>
      </c>
      <c r="G1802" t="s">
        <v>199</v>
      </c>
      <c r="H1802" t="s">
        <v>198</v>
      </c>
      <c r="I1802" t="s">
        <v>457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86</v>
      </c>
      <c r="D1803" t="s">
        <v>243</v>
      </c>
      <c r="E1803" t="s">
        <v>89</v>
      </c>
      <c r="F1803">
        <v>14</v>
      </c>
      <c r="G1803" t="s">
        <v>199</v>
      </c>
      <c r="H1803" t="s">
        <v>198</v>
      </c>
      <c r="I1803" t="s">
        <v>458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86</v>
      </c>
      <c r="D1804" t="s">
        <v>243</v>
      </c>
      <c r="E1804" t="s">
        <v>89</v>
      </c>
      <c r="F1804">
        <v>14</v>
      </c>
      <c r="G1804" t="s">
        <v>90</v>
      </c>
      <c r="H1804" t="s">
        <v>206</v>
      </c>
      <c r="I1804" t="s">
        <v>459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86</v>
      </c>
      <c r="D1805" t="s">
        <v>243</v>
      </c>
      <c r="E1805" t="s">
        <v>89</v>
      </c>
      <c r="F1805">
        <v>14</v>
      </c>
      <c r="G1805" t="s">
        <v>90</v>
      </c>
      <c r="H1805" t="s">
        <v>206</v>
      </c>
      <c r="I1805" t="s">
        <v>460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86</v>
      </c>
      <c r="D1806" t="s">
        <v>243</v>
      </c>
      <c r="E1806" t="s">
        <v>89</v>
      </c>
      <c r="F1806">
        <v>14</v>
      </c>
      <c r="G1806" t="s">
        <v>90</v>
      </c>
      <c r="H1806" t="s">
        <v>206</v>
      </c>
      <c r="I1806" t="s">
        <v>461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86</v>
      </c>
      <c r="D1807" t="s">
        <v>243</v>
      </c>
      <c r="E1807" t="s">
        <v>89</v>
      </c>
      <c r="F1807">
        <v>14</v>
      </c>
      <c r="G1807" t="s">
        <v>90</v>
      </c>
      <c r="H1807" t="s">
        <v>206</v>
      </c>
      <c r="I1807" t="s">
        <v>462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86</v>
      </c>
      <c r="D1808" t="s">
        <v>243</v>
      </c>
      <c r="E1808" t="s">
        <v>89</v>
      </c>
      <c r="F1808">
        <v>14</v>
      </c>
      <c r="G1808" t="s">
        <v>90</v>
      </c>
      <c r="H1808" t="s">
        <v>206</v>
      </c>
      <c r="I1808" t="s">
        <v>463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86</v>
      </c>
      <c r="D1809" t="s">
        <v>243</v>
      </c>
      <c r="E1809" t="s">
        <v>89</v>
      </c>
      <c r="F1809">
        <v>14</v>
      </c>
      <c r="G1809" t="s">
        <v>90</v>
      </c>
      <c r="H1809" t="s">
        <v>206</v>
      </c>
      <c r="I1809" t="s">
        <v>464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86</v>
      </c>
      <c r="D1810" t="s">
        <v>243</v>
      </c>
      <c r="E1810" t="s">
        <v>89</v>
      </c>
      <c r="F1810">
        <v>14</v>
      </c>
      <c r="G1810" t="s">
        <v>90</v>
      </c>
      <c r="H1810" t="s">
        <v>206</v>
      </c>
      <c r="I1810" t="s">
        <v>140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86</v>
      </c>
      <c r="D1811" t="s">
        <v>243</v>
      </c>
      <c r="E1811" t="s">
        <v>89</v>
      </c>
      <c r="F1811">
        <v>14</v>
      </c>
      <c r="G1811" t="s">
        <v>90</v>
      </c>
      <c r="H1811" t="s">
        <v>206</v>
      </c>
      <c r="I1811" t="s">
        <v>465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86</v>
      </c>
      <c r="D1812" t="s">
        <v>243</v>
      </c>
      <c r="E1812" t="s">
        <v>89</v>
      </c>
      <c r="F1812">
        <v>14</v>
      </c>
      <c r="G1812" t="s">
        <v>90</v>
      </c>
      <c r="H1812" t="s">
        <v>206</v>
      </c>
      <c r="I1812" t="s">
        <v>466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86</v>
      </c>
      <c r="D1813" t="s">
        <v>243</v>
      </c>
      <c r="E1813" t="s">
        <v>89</v>
      </c>
      <c r="F1813">
        <v>14</v>
      </c>
      <c r="G1813" t="s">
        <v>90</v>
      </c>
      <c r="H1813" t="s">
        <v>206</v>
      </c>
      <c r="I1813" t="s">
        <v>467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86</v>
      </c>
      <c r="D1814" t="s">
        <v>243</v>
      </c>
      <c r="E1814" t="s">
        <v>89</v>
      </c>
      <c r="F1814">
        <v>14</v>
      </c>
      <c r="G1814" t="s">
        <v>90</v>
      </c>
      <c r="H1814" t="s">
        <v>206</v>
      </c>
      <c r="I1814" t="s">
        <v>468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86</v>
      </c>
      <c r="D1815" t="s">
        <v>243</v>
      </c>
      <c r="E1815" t="s">
        <v>89</v>
      </c>
      <c r="F1815">
        <v>14</v>
      </c>
      <c r="G1815" t="s">
        <v>90</v>
      </c>
      <c r="H1815" t="s">
        <v>206</v>
      </c>
      <c r="I1815" t="s">
        <v>469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86</v>
      </c>
      <c r="D1816" t="s">
        <v>243</v>
      </c>
      <c r="E1816" t="s">
        <v>89</v>
      </c>
      <c r="F1816">
        <v>14</v>
      </c>
      <c r="G1816" t="s">
        <v>90</v>
      </c>
      <c r="H1816" t="s">
        <v>206</v>
      </c>
      <c r="I1816" t="s">
        <v>470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86</v>
      </c>
      <c r="D1817" t="s">
        <v>243</v>
      </c>
      <c r="E1817" t="s">
        <v>89</v>
      </c>
      <c r="F1817">
        <v>14</v>
      </c>
      <c r="G1817" t="s">
        <v>90</v>
      </c>
      <c r="H1817" t="s">
        <v>206</v>
      </c>
      <c r="I1817" t="s">
        <v>471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86</v>
      </c>
      <c r="D1818" t="s">
        <v>243</v>
      </c>
      <c r="E1818" t="s">
        <v>89</v>
      </c>
      <c r="F1818">
        <v>14</v>
      </c>
      <c r="G1818" t="s">
        <v>90</v>
      </c>
      <c r="H1818" t="s">
        <v>206</v>
      </c>
      <c r="I1818" t="s">
        <v>472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86</v>
      </c>
      <c r="D1819" t="s">
        <v>243</v>
      </c>
      <c r="E1819" t="s">
        <v>89</v>
      </c>
      <c r="F1819">
        <v>14</v>
      </c>
      <c r="G1819" t="s">
        <v>90</v>
      </c>
      <c r="H1819" t="s">
        <v>206</v>
      </c>
      <c r="I1819" t="s">
        <v>473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86</v>
      </c>
      <c r="D1820" t="s">
        <v>243</v>
      </c>
      <c r="E1820" t="s">
        <v>89</v>
      </c>
      <c r="F1820">
        <v>14</v>
      </c>
      <c r="G1820" t="s">
        <v>90</v>
      </c>
      <c r="H1820" t="s">
        <v>206</v>
      </c>
      <c r="I1820" t="s">
        <v>474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86</v>
      </c>
      <c r="D1821" t="s">
        <v>243</v>
      </c>
      <c r="E1821" t="s">
        <v>89</v>
      </c>
      <c r="F1821">
        <v>14</v>
      </c>
      <c r="G1821" t="s">
        <v>90</v>
      </c>
      <c r="H1821" t="s">
        <v>206</v>
      </c>
      <c r="I1821" t="s">
        <v>475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86</v>
      </c>
      <c r="D1822" t="s">
        <v>243</v>
      </c>
      <c r="E1822" t="s">
        <v>89</v>
      </c>
      <c r="F1822">
        <v>14</v>
      </c>
      <c r="G1822" t="s">
        <v>90</v>
      </c>
      <c r="H1822" t="s">
        <v>227</v>
      </c>
      <c r="I1822" t="s">
        <v>459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86</v>
      </c>
      <c r="D1823" t="s">
        <v>243</v>
      </c>
      <c r="E1823" t="s">
        <v>89</v>
      </c>
      <c r="F1823">
        <v>14</v>
      </c>
      <c r="G1823" t="s">
        <v>90</v>
      </c>
      <c r="H1823" t="s">
        <v>227</v>
      </c>
      <c r="I1823" t="s">
        <v>460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86</v>
      </c>
      <c r="D1824" t="s">
        <v>243</v>
      </c>
      <c r="E1824" t="s">
        <v>89</v>
      </c>
      <c r="F1824">
        <v>14</v>
      </c>
      <c r="G1824" t="s">
        <v>90</v>
      </c>
      <c r="H1824" t="s">
        <v>227</v>
      </c>
      <c r="I1824" t="s">
        <v>461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86</v>
      </c>
      <c r="D1825" t="s">
        <v>243</v>
      </c>
      <c r="E1825" t="s">
        <v>89</v>
      </c>
      <c r="F1825">
        <v>14</v>
      </c>
      <c r="G1825" t="s">
        <v>90</v>
      </c>
      <c r="H1825" t="s">
        <v>227</v>
      </c>
      <c r="I1825" t="s">
        <v>462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86</v>
      </c>
      <c r="D1826" t="s">
        <v>243</v>
      </c>
      <c r="E1826" t="s">
        <v>89</v>
      </c>
      <c r="F1826">
        <v>14</v>
      </c>
      <c r="G1826" t="s">
        <v>90</v>
      </c>
      <c r="H1826" t="s">
        <v>227</v>
      </c>
      <c r="I1826" t="s">
        <v>463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86</v>
      </c>
      <c r="D1827" t="s">
        <v>243</v>
      </c>
      <c r="E1827" t="s">
        <v>89</v>
      </c>
      <c r="F1827">
        <v>14</v>
      </c>
      <c r="G1827" t="s">
        <v>90</v>
      </c>
      <c r="H1827" t="s">
        <v>227</v>
      </c>
      <c r="I1827" t="s">
        <v>464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86</v>
      </c>
      <c r="D1828" t="s">
        <v>243</v>
      </c>
      <c r="E1828" t="s">
        <v>89</v>
      </c>
      <c r="F1828">
        <v>14</v>
      </c>
      <c r="G1828" t="s">
        <v>90</v>
      </c>
      <c r="H1828" t="s">
        <v>227</v>
      </c>
      <c r="I1828" t="s">
        <v>140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86</v>
      </c>
      <c r="D1829" t="s">
        <v>243</v>
      </c>
      <c r="E1829" t="s">
        <v>89</v>
      </c>
      <c r="F1829">
        <v>14</v>
      </c>
      <c r="G1829" t="s">
        <v>90</v>
      </c>
      <c r="H1829" t="s">
        <v>227</v>
      </c>
      <c r="I1829" t="s">
        <v>465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86</v>
      </c>
      <c r="D1830" t="s">
        <v>243</v>
      </c>
      <c r="E1830" t="s">
        <v>89</v>
      </c>
      <c r="F1830">
        <v>14</v>
      </c>
      <c r="G1830" t="s">
        <v>90</v>
      </c>
      <c r="H1830" t="s">
        <v>227</v>
      </c>
      <c r="I1830" t="s">
        <v>466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86</v>
      </c>
      <c r="D1831" t="s">
        <v>243</v>
      </c>
      <c r="E1831" t="s">
        <v>89</v>
      </c>
      <c r="F1831">
        <v>14</v>
      </c>
      <c r="G1831" t="s">
        <v>90</v>
      </c>
      <c r="H1831" t="s">
        <v>227</v>
      </c>
      <c r="I1831" t="s">
        <v>467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86</v>
      </c>
      <c r="D1832" t="s">
        <v>243</v>
      </c>
      <c r="E1832" t="s">
        <v>89</v>
      </c>
      <c r="F1832">
        <v>14</v>
      </c>
      <c r="G1832" t="s">
        <v>90</v>
      </c>
      <c r="H1832" t="s">
        <v>227</v>
      </c>
      <c r="I1832" t="s">
        <v>468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86</v>
      </c>
      <c r="D1833" t="s">
        <v>243</v>
      </c>
      <c r="E1833" t="s">
        <v>89</v>
      </c>
      <c r="F1833">
        <v>14</v>
      </c>
      <c r="G1833" t="s">
        <v>90</v>
      </c>
      <c r="H1833" t="s">
        <v>227</v>
      </c>
      <c r="I1833" t="s">
        <v>469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86</v>
      </c>
      <c r="D1834" t="s">
        <v>243</v>
      </c>
      <c r="E1834" t="s">
        <v>89</v>
      </c>
      <c r="F1834">
        <v>14</v>
      </c>
      <c r="G1834" t="s">
        <v>90</v>
      </c>
      <c r="H1834" t="s">
        <v>227</v>
      </c>
      <c r="I1834" t="s">
        <v>470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86</v>
      </c>
      <c r="D1835" t="s">
        <v>243</v>
      </c>
      <c r="E1835" t="s">
        <v>89</v>
      </c>
      <c r="F1835">
        <v>14</v>
      </c>
      <c r="G1835" t="s">
        <v>90</v>
      </c>
      <c r="H1835" t="s">
        <v>227</v>
      </c>
      <c r="I1835" t="s">
        <v>471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86</v>
      </c>
      <c r="D1836" t="s">
        <v>243</v>
      </c>
      <c r="E1836" t="s">
        <v>89</v>
      </c>
      <c r="F1836">
        <v>14</v>
      </c>
      <c r="G1836" t="s">
        <v>90</v>
      </c>
      <c r="H1836" t="s">
        <v>227</v>
      </c>
      <c r="I1836" t="s">
        <v>472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86</v>
      </c>
      <c r="D1837" t="s">
        <v>243</v>
      </c>
      <c r="E1837" t="s">
        <v>89</v>
      </c>
      <c r="F1837">
        <v>14</v>
      </c>
      <c r="G1837" t="s">
        <v>90</v>
      </c>
      <c r="H1837" t="s">
        <v>227</v>
      </c>
      <c r="I1837" t="s">
        <v>473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86</v>
      </c>
      <c r="D1838" t="s">
        <v>243</v>
      </c>
      <c r="E1838" t="s">
        <v>89</v>
      </c>
      <c r="F1838">
        <v>14</v>
      </c>
      <c r="G1838" t="s">
        <v>90</v>
      </c>
      <c r="H1838" t="s">
        <v>227</v>
      </c>
      <c r="I1838" t="s">
        <v>474</v>
      </c>
      <c r="J1838">
        <v>0</v>
      </c>
    </row>
    <row r="1839" spans="1:10" x14ac:dyDescent="0.25">
      <c r="A1839" s="1" t="s">
        <v>27</v>
      </c>
      <c r="B1839">
        <v>401752677</v>
      </c>
      <c r="C1839" t="s">
        <v>86</v>
      </c>
      <c r="D1839" t="s">
        <v>243</v>
      </c>
      <c r="E1839" t="s">
        <v>89</v>
      </c>
      <c r="F1839">
        <v>14</v>
      </c>
      <c r="G1839" t="s">
        <v>90</v>
      </c>
      <c r="H1839" t="s">
        <v>227</v>
      </c>
      <c r="I1839" t="s">
        <v>475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86</v>
      </c>
      <c r="D1840" t="s">
        <v>243</v>
      </c>
      <c r="E1840" t="s">
        <v>89</v>
      </c>
      <c r="F1840">
        <v>14</v>
      </c>
      <c r="G1840" t="s">
        <v>90</v>
      </c>
      <c r="H1840" t="s">
        <v>228</v>
      </c>
      <c r="I1840" t="s">
        <v>459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86</v>
      </c>
      <c r="D1841" t="s">
        <v>243</v>
      </c>
      <c r="E1841" t="s">
        <v>89</v>
      </c>
      <c r="F1841">
        <v>14</v>
      </c>
      <c r="G1841" t="s">
        <v>90</v>
      </c>
      <c r="H1841" t="s">
        <v>228</v>
      </c>
      <c r="I1841" t="s">
        <v>460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86</v>
      </c>
      <c r="D1842" t="s">
        <v>243</v>
      </c>
      <c r="E1842" t="s">
        <v>89</v>
      </c>
      <c r="F1842">
        <v>14</v>
      </c>
      <c r="G1842" t="s">
        <v>90</v>
      </c>
      <c r="H1842" t="s">
        <v>228</v>
      </c>
      <c r="I1842" t="s">
        <v>461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86</v>
      </c>
      <c r="D1843" t="s">
        <v>243</v>
      </c>
      <c r="E1843" t="s">
        <v>89</v>
      </c>
      <c r="F1843">
        <v>14</v>
      </c>
      <c r="G1843" t="s">
        <v>90</v>
      </c>
      <c r="H1843" t="s">
        <v>228</v>
      </c>
      <c r="I1843" t="s">
        <v>462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86</v>
      </c>
      <c r="D1844" t="s">
        <v>243</v>
      </c>
      <c r="E1844" t="s">
        <v>89</v>
      </c>
      <c r="F1844">
        <v>14</v>
      </c>
      <c r="G1844" t="s">
        <v>90</v>
      </c>
      <c r="H1844" t="s">
        <v>228</v>
      </c>
      <c r="I1844" t="s">
        <v>463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86</v>
      </c>
      <c r="D1845" t="s">
        <v>243</v>
      </c>
      <c r="E1845" t="s">
        <v>89</v>
      </c>
      <c r="F1845">
        <v>14</v>
      </c>
      <c r="G1845" t="s">
        <v>90</v>
      </c>
      <c r="H1845" t="s">
        <v>228</v>
      </c>
      <c r="I1845" t="s">
        <v>464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86</v>
      </c>
      <c r="D1846" t="s">
        <v>243</v>
      </c>
      <c r="E1846" t="s">
        <v>89</v>
      </c>
      <c r="F1846">
        <v>14</v>
      </c>
      <c r="G1846" t="s">
        <v>90</v>
      </c>
      <c r="H1846" t="s">
        <v>228</v>
      </c>
      <c r="I1846" t="s">
        <v>140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86</v>
      </c>
      <c r="D1847" t="s">
        <v>243</v>
      </c>
      <c r="E1847" t="s">
        <v>89</v>
      </c>
      <c r="F1847">
        <v>14</v>
      </c>
      <c r="G1847" t="s">
        <v>90</v>
      </c>
      <c r="H1847" t="s">
        <v>228</v>
      </c>
      <c r="I1847" t="s">
        <v>465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86</v>
      </c>
      <c r="D1848" t="s">
        <v>243</v>
      </c>
      <c r="E1848" t="s">
        <v>89</v>
      </c>
      <c r="F1848">
        <v>14</v>
      </c>
      <c r="G1848" t="s">
        <v>90</v>
      </c>
      <c r="H1848" t="s">
        <v>228</v>
      </c>
      <c r="I1848" t="s">
        <v>466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86</v>
      </c>
      <c r="D1849" t="s">
        <v>243</v>
      </c>
      <c r="E1849" t="s">
        <v>89</v>
      </c>
      <c r="F1849">
        <v>14</v>
      </c>
      <c r="G1849" t="s">
        <v>90</v>
      </c>
      <c r="H1849" t="s">
        <v>228</v>
      </c>
      <c r="I1849" t="s">
        <v>467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86</v>
      </c>
      <c r="D1850" t="s">
        <v>243</v>
      </c>
      <c r="E1850" t="s">
        <v>89</v>
      </c>
      <c r="F1850">
        <v>14</v>
      </c>
      <c r="G1850" t="s">
        <v>90</v>
      </c>
      <c r="H1850" t="s">
        <v>228</v>
      </c>
      <c r="I1850" t="s">
        <v>468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86</v>
      </c>
      <c r="D1851" t="s">
        <v>243</v>
      </c>
      <c r="E1851" t="s">
        <v>89</v>
      </c>
      <c r="F1851">
        <v>14</v>
      </c>
      <c r="G1851" t="s">
        <v>90</v>
      </c>
      <c r="H1851" t="s">
        <v>228</v>
      </c>
      <c r="I1851" t="s">
        <v>469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86</v>
      </c>
      <c r="D1852" t="s">
        <v>243</v>
      </c>
      <c r="E1852" t="s">
        <v>89</v>
      </c>
      <c r="F1852">
        <v>14</v>
      </c>
      <c r="G1852" t="s">
        <v>90</v>
      </c>
      <c r="H1852" t="s">
        <v>228</v>
      </c>
      <c r="I1852" t="s">
        <v>470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86</v>
      </c>
      <c r="D1853" t="s">
        <v>243</v>
      </c>
      <c r="E1853" t="s">
        <v>89</v>
      </c>
      <c r="F1853">
        <v>14</v>
      </c>
      <c r="G1853" t="s">
        <v>90</v>
      </c>
      <c r="H1853" t="s">
        <v>228</v>
      </c>
      <c r="I1853" t="s">
        <v>471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86</v>
      </c>
      <c r="D1854" t="s">
        <v>243</v>
      </c>
      <c r="E1854" t="s">
        <v>89</v>
      </c>
      <c r="F1854">
        <v>14</v>
      </c>
      <c r="G1854" t="s">
        <v>90</v>
      </c>
      <c r="H1854" t="s">
        <v>228</v>
      </c>
      <c r="I1854" t="s">
        <v>472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86</v>
      </c>
      <c r="D1855" t="s">
        <v>243</v>
      </c>
      <c r="E1855" t="s">
        <v>89</v>
      </c>
      <c r="F1855">
        <v>14</v>
      </c>
      <c r="G1855" t="s">
        <v>90</v>
      </c>
      <c r="H1855" t="s">
        <v>228</v>
      </c>
      <c r="I1855" t="s">
        <v>473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86</v>
      </c>
      <c r="D1856" t="s">
        <v>243</v>
      </c>
      <c r="E1856" t="s">
        <v>89</v>
      </c>
      <c r="F1856">
        <v>14</v>
      </c>
      <c r="G1856" t="s">
        <v>90</v>
      </c>
      <c r="H1856" t="s">
        <v>228</v>
      </c>
      <c r="I1856" t="s">
        <v>474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86</v>
      </c>
      <c r="D1857" t="s">
        <v>243</v>
      </c>
      <c r="E1857" t="s">
        <v>89</v>
      </c>
      <c r="F1857">
        <v>14</v>
      </c>
      <c r="G1857" t="s">
        <v>90</v>
      </c>
      <c r="H1857" t="s">
        <v>228</v>
      </c>
      <c r="I1857" t="s">
        <v>475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86</v>
      </c>
      <c r="D1858" t="s">
        <v>243</v>
      </c>
      <c r="E1858" t="s">
        <v>89</v>
      </c>
      <c r="F1858">
        <v>14</v>
      </c>
      <c r="G1858" t="s">
        <v>90</v>
      </c>
      <c r="H1858" t="s">
        <v>229</v>
      </c>
      <c r="I1858" t="s">
        <v>459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86</v>
      </c>
      <c r="D1859" t="s">
        <v>243</v>
      </c>
      <c r="E1859" t="s">
        <v>89</v>
      </c>
      <c r="F1859">
        <v>14</v>
      </c>
      <c r="G1859" t="s">
        <v>90</v>
      </c>
      <c r="H1859" t="s">
        <v>229</v>
      </c>
      <c r="I1859" t="s">
        <v>460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86</v>
      </c>
      <c r="D1860" t="s">
        <v>243</v>
      </c>
      <c r="E1860" t="s">
        <v>89</v>
      </c>
      <c r="F1860">
        <v>14</v>
      </c>
      <c r="G1860" t="s">
        <v>90</v>
      </c>
      <c r="H1860" t="s">
        <v>229</v>
      </c>
      <c r="I1860" t="s">
        <v>461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86</v>
      </c>
      <c r="D1861" t="s">
        <v>243</v>
      </c>
      <c r="E1861" t="s">
        <v>89</v>
      </c>
      <c r="F1861">
        <v>14</v>
      </c>
      <c r="G1861" t="s">
        <v>90</v>
      </c>
      <c r="H1861" t="s">
        <v>229</v>
      </c>
      <c r="I1861" t="s">
        <v>462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86</v>
      </c>
      <c r="D1862" t="s">
        <v>243</v>
      </c>
      <c r="E1862" t="s">
        <v>89</v>
      </c>
      <c r="F1862">
        <v>14</v>
      </c>
      <c r="G1862" t="s">
        <v>90</v>
      </c>
      <c r="H1862" t="s">
        <v>229</v>
      </c>
      <c r="I1862" t="s">
        <v>463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86</v>
      </c>
      <c r="D1863" t="s">
        <v>243</v>
      </c>
      <c r="E1863" t="s">
        <v>89</v>
      </c>
      <c r="F1863">
        <v>14</v>
      </c>
      <c r="G1863" t="s">
        <v>90</v>
      </c>
      <c r="H1863" t="s">
        <v>229</v>
      </c>
      <c r="I1863" t="s">
        <v>464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86</v>
      </c>
      <c r="D1864" t="s">
        <v>243</v>
      </c>
      <c r="E1864" t="s">
        <v>89</v>
      </c>
      <c r="F1864">
        <v>14</v>
      </c>
      <c r="G1864" t="s">
        <v>90</v>
      </c>
      <c r="H1864" t="s">
        <v>229</v>
      </c>
      <c r="I1864" t="s">
        <v>140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86</v>
      </c>
      <c r="D1865" t="s">
        <v>243</v>
      </c>
      <c r="E1865" t="s">
        <v>89</v>
      </c>
      <c r="F1865">
        <v>14</v>
      </c>
      <c r="G1865" t="s">
        <v>90</v>
      </c>
      <c r="H1865" t="s">
        <v>229</v>
      </c>
      <c r="I1865" t="s">
        <v>465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86</v>
      </c>
      <c r="D1866" t="s">
        <v>243</v>
      </c>
      <c r="E1866" t="s">
        <v>89</v>
      </c>
      <c r="F1866">
        <v>14</v>
      </c>
      <c r="G1866" t="s">
        <v>90</v>
      </c>
      <c r="H1866" t="s">
        <v>229</v>
      </c>
      <c r="I1866" t="s">
        <v>466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86</v>
      </c>
      <c r="D1867" t="s">
        <v>243</v>
      </c>
      <c r="E1867" t="s">
        <v>89</v>
      </c>
      <c r="F1867">
        <v>14</v>
      </c>
      <c r="G1867" t="s">
        <v>90</v>
      </c>
      <c r="H1867" t="s">
        <v>229</v>
      </c>
      <c r="I1867" t="s">
        <v>467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86</v>
      </c>
      <c r="D1868" t="s">
        <v>243</v>
      </c>
      <c r="E1868" t="s">
        <v>89</v>
      </c>
      <c r="F1868">
        <v>14</v>
      </c>
      <c r="G1868" t="s">
        <v>90</v>
      </c>
      <c r="H1868" t="s">
        <v>229</v>
      </c>
      <c r="I1868" t="s">
        <v>468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86</v>
      </c>
      <c r="D1869" t="s">
        <v>243</v>
      </c>
      <c r="E1869" t="s">
        <v>89</v>
      </c>
      <c r="F1869">
        <v>14</v>
      </c>
      <c r="G1869" t="s">
        <v>90</v>
      </c>
      <c r="H1869" t="s">
        <v>229</v>
      </c>
      <c r="I1869" t="s">
        <v>469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86</v>
      </c>
      <c r="D1870" t="s">
        <v>243</v>
      </c>
      <c r="E1870" t="s">
        <v>89</v>
      </c>
      <c r="F1870">
        <v>14</v>
      </c>
      <c r="G1870" t="s">
        <v>90</v>
      </c>
      <c r="H1870" t="s">
        <v>229</v>
      </c>
      <c r="I1870" t="s">
        <v>470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86</v>
      </c>
      <c r="D1871" t="s">
        <v>243</v>
      </c>
      <c r="E1871" t="s">
        <v>89</v>
      </c>
      <c r="F1871">
        <v>14</v>
      </c>
      <c r="G1871" t="s">
        <v>90</v>
      </c>
      <c r="H1871" t="s">
        <v>229</v>
      </c>
      <c r="I1871" t="s">
        <v>471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86</v>
      </c>
      <c r="D1872" t="s">
        <v>243</v>
      </c>
      <c r="E1872" t="s">
        <v>89</v>
      </c>
      <c r="F1872">
        <v>14</v>
      </c>
      <c r="G1872" t="s">
        <v>90</v>
      </c>
      <c r="H1872" t="s">
        <v>229</v>
      </c>
      <c r="I1872" t="s">
        <v>472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86</v>
      </c>
      <c r="D1873" t="s">
        <v>243</v>
      </c>
      <c r="E1873" t="s">
        <v>89</v>
      </c>
      <c r="F1873">
        <v>14</v>
      </c>
      <c r="G1873" t="s">
        <v>90</v>
      </c>
      <c r="H1873" t="s">
        <v>229</v>
      </c>
      <c r="I1873" t="s">
        <v>473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86</v>
      </c>
      <c r="D1874" t="s">
        <v>243</v>
      </c>
      <c r="E1874" t="s">
        <v>89</v>
      </c>
      <c r="F1874">
        <v>14</v>
      </c>
      <c r="G1874" t="s">
        <v>90</v>
      </c>
      <c r="H1874" t="s">
        <v>229</v>
      </c>
      <c r="I1874" t="s">
        <v>474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86</v>
      </c>
      <c r="D1875" t="s">
        <v>243</v>
      </c>
      <c r="E1875" t="s">
        <v>89</v>
      </c>
      <c r="F1875">
        <v>14</v>
      </c>
      <c r="G1875" t="s">
        <v>90</v>
      </c>
      <c r="H1875" t="s">
        <v>229</v>
      </c>
      <c r="I1875" t="s">
        <v>475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86</v>
      </c>
      <c r="D1876" t="s">
        <v>243</v>
      </c>
      <c r="E1876" t="s">
        <v>89</v>
      </c>
      <c r="F1876">
        <v>14</v>
      </c>
      <c r="G1876" t="s">
        <v>90</v>
      </c>
      <c r="H1876" t="s">
        <v>91</v>
      </c>
      <c r="I1876" t="s">
        <v>459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86</v>
      </c>
      <c r="D1877" t="s">
        <v>243</v>
      </c>
      <c r="E1877" t="s">
        <v>89</v>
      </c>
      <c r="F1877">
        <v>14</v>
      </c>
      <c r="G1877" t="s">
        <v>90</v>
      </c>
      <c r="H1877" t="s">
        <v>91</v>
      </c>
      <c r="I1877" t="s">
        <v>460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86</v>
      </c>
      <c r="D1878" t="s">
        <v>243</v>
      </c>
      <c r="E1878" t="s">
        <v>89</v>
      </c>
      <c r="F1878">
        <v>14</v>
      </c>
      <c r="G1878" t="s">
        <v>90</v>
      </c>
      <c r="H1878" t="s">
        <v>91</v>
      </c>
      <c r="I1878" t="s">
        <v>461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86</v>
      </c>
      <c r="D1879" t="s">
        <v>243</v>
      </c>
      <c r="E1879" t="s">
        <v>89</v>
      </c>
      <c r="F1879">
        <v>14</v>
      </c>
      <c r="G1879" t="s">
        <v>90</v>
      </c>
      <c r="H1879" t="s">
        <v>91</v>
      </c>
      <c r="I1879" t="s">
        <v>462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86</v>
      </c>
      <c r="D1880" t="s">
        <v>243</v>
      </c>
      <c r="E1880" t="s">
        <v>89</v>
      </c>
      <c r="F1880">
        <v>14</v>
      </c>
      <c r="G1880" t="s">
        <v>90</v>
      </c>
      <c r="H1880" t="s">
        <v>91</v>
      </c>
      <c r="I1880" t="s">
        <v>463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86</v>
      </c>
      <c r="D1881" t="s">
        <v>243</v>
      </c>
      <c r="E1881" t="s">
        <v>89</v>
      </c>
      <c r="F1881">
        <v>14</v>
      </c>
      <c r="G1881" t="s">
        <v>90</v>
      </c>
      <c r="H1881" t="s">
        <v>91</v>
      </c>
      <c r="I1881" t="s">
        <v>464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86</v>
      </c>
      <c r="D1882" t="s">
        <v>243</v>
      </c>
      <c r="E1882" t="s">
        <v>89</v>
      </c>
      <c r="F1882">
        <v>14</v>
      </c>
      <c r="G1882" t="s">
        <v>90</v>
      </c>
      <c r="H1882" t="s">
        <v>91</v>
      </c>
      <c r="I1882" t="s">
        <v>140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86</v>
      </c>
      <c r="D1883" t="s">
        <v>243</v>
      </c>
      <c r="E1883" t="s">
        <v>89</v>
      </c>
      <c r="F1883">
        <v>14</v>
      </c>
      <c r="G1883" t="s">
        <v>90</v>
      </c>
      <c r="H1883" t="s">
        <v>91</v>
      </c>
      <c r="I1883" t="s">
        <v>465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86</v>
      </c>
      <c r="D1884" t="s">
        <v>243</v>
      </c>
      <c r="E1884" t="s">
        <v>89</v>
      </c>
      <c r="F1884">
        <v>14</v>
      </c>
      <c r="G1884" t="s">
        <v>90</v>
      </c>
      <c r="H1884" t="s">
        <v>91</v>
      </c>
      <c r="I1884" t="s">
        <v>466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86</v>
      </c>
      <c r="D1885" t="s">
        <v>243</v>
      </c>
      <c r="E1885" t="s">
        <v>89</v>
      </c>
      <c r="F1885">
        <v>14</v>
      </c>
      <c r="G1885" t="s">
        <v>90</v>
      </c>
      <c r="H1885" t="s">
        <v>91</v>
      </c>
      <c r="I1885" t="s">
        <v>467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86</v>
      </c>
      <c r="D1886" t="s">
        <v>243</v>
      </c>
      <c r="E1886" t="s">
        <v>89</v>
      </c>
      <c r="F1886">
        <v>14</v>
      </c>
      <c r="G1886" t="s">
        <v>90</v>
      </c>
      <c r="H1886" t="s">
        <v>91</v>
      </c>
      <c r="I1886" t="s">
        <v>468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86</v>
      </c>
      <c r="D1887" t="s">
        <v>243</v>
      </c>
      <c r="E1887" t="s">
        <v>89</v>
      </c>
      <c r="F1887">
        <v>14</v>
      </c>
      <c r="G1887" t="s">
        <v>90</v>
      </c>
      <c r="H1887" t="s">
        <v>91</v>
      </c>
      <c r="I1887" t="s">
        <v>469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86</v>
      </c>
      <c r="D1888" t="s">
        <v>243</v>
      </c>
      <c r="E1888" t="s">
        <v>89</v>
      </c>
      <c r="F1888">
        <v>14</v>
      </c>
      <c r="G1888" t="s">
        <v>90</v>
      </c>
      <c r="H1888" t="s">
        <v>91</v>
      </c>
      <c r="I1888" t="s">
        <v>470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86</v>
      </c>
      <c r="D1889" t="s">
        <v>243</v>
      </c>
      <c r="E1889" t="s">
        <v>89</v>
      </c>
      <c r="F1889">
        <v>14</v>
      </c>
      <c r="G1889" t="s">
        <v>90</v>
      </c>
      <c r="H1889" t="s">
        <v>91</v>
      </c>
      <c r="I1889" t="s">
        <v>471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86</v>
      </c>
      <c r="D1890" t="s">
        <v>243</v>
      </c>
      <c r="E1890" t="s">
        <v>89</v>
      </c>
      <c r="F1890">
        <v>14</v>
      </c>
      <c r="G1890" t="s">
        <v>90</v>
      </c>
      <c r="H1890" t="s">
        <v>91</v>
      </c>
      <c r="I1890" t="s">
        <v>472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86</v>
      </c>
      <c r="D1891" t="s">
        <v>243</v>
      </c>
      <c r="E1891" t="s">
        <v>89</v>
      </c>
      <c r="F1891">
        <v>14</v>
      </c>
      <c r="G1891" t="s">
        <v>90</v>
      </c>
      <c r="H1891" t="s">
        <v>91</v>
      </c>
      <c r="I1891" t="s">
        <v>473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86</v>
      </c>
      <c r="D1892" t="s">
        <v>243</v>
      </c>
      <c r="E1892" t="s">
        <v>89</v>
      </c>
      <c r="F1892">
        <v>14</v>
      </c>
      <c r="G1892" t="s">
        <v>90</v>
      </c>
      <c r="H1892" t="s">
        <v>91</v>
      </c>
      <c r="I1892" t="s">
        <v>474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86</v>
      </c>
      <c r="D1893" t="s">
        <v>243</v>
      </c>
      <c r="E1893" t="s">
        <v>89</v>
      </c>
      <c r="F1893">
        <v>14</v>
      </c>
      <c r="G1893" t="s">
        <v>90</v>
      </c>
      <c r="H1893" t="s">
        <v>91</v>
      </c>
      <c r="I1893" t="s">
        <v>475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86</v>
      </c>
      <c r="D1894" t="s">
        <v>243</v>
      </c>
      <c r="E1894" t="s">
        <v>89</v>
      </c>
      <c r="F1894">
        <v>14</v>
      </c>
      <c r="G1894" t="s">
        <v>90</v>
      </c>
      <c r="H1894" t="s">
        <v>230</v>
      </c>
      <c r="I1894" t="s">
        <v>459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86</v>
      </c>
      <c r="D1895" t="s">
        <v>243</v>
      </c>
      <c r="E1895" t="s">
        <v>89</v>
      </c>
      <c r="F1895">
        <v>14</v>
      </c>
      <c r="G1895" t="s">
        <v>90</v>
      </c>
      <c r="H1895" t="s">
        <v>230</v>
      </c>
      <c r="I1895" t="s">
        <v>460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86</v>
      </c>
      <c r="D1896" t="s">
        <v>243</v>
      </c>
      <c r="E1896" t="s">
        <v>89</v>
      </c>
      <c r="F1896">
        <v>14</v>
      </c>
      <c r="G1896" t="s">
        <v>90</v>
      </c>
      <c r="H1896" t="s">
        <v>230</v>
      </c>
      <c r="I1896" t="s">
        <v>461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86</v>
      </c>
      <c r="D1897" t="s">
        <v>243</v>
      </c>
      <c r="E1897" t="s">
        <v>89</v>
      </c>
      <c r="F1897">
        <v>14</v>
      </c>
      <c r="G1897" t="s">
        <v>90</v>
      </c>
      <c r="H1897" t="s">
        <v>230</v>
      </c>
      <c r="I1897" t="s">
        <v>462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86</v>
      </c>
      <c r="D1898" t="s">
        <v>243</v>
      </c>
      <c r="E1898" t="s">
        <v>89</v>
      </c>
      <c r="F1898">
        <v>14</v>
      </c>
      <c r="G1898" t="s">
        <v>90</v>
      </c>
      <c r="H1898" t="s">
        <v>230</v>
      </c>
      <c r="I1898" t="s">
        <v>463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86</v>
      </c>
      <c r="D1899" t="s">
        <v>243</v>
      </c>
      <c r="E1899" t="s">
        <v>89</v>
      </c>
      <c r="F1899">
        <v>14</v>
      </c>
      <c r="G1899" t="s">
        <v>90</v>
      </c>
      <c r="H1899" t="s">
        <v>230</v>
      </c>
      <c r="I1899" t="s">
        <v>464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86</v>
      </c>
      <c r="D1900" t="s">
        <v>243</v>
      </c>
      <c r="E1900" t="s">
        <v>89</v>
      </c>
      <c r="F1900">
        <v>14</v>
      </c>
      <c r="G1900" t="s">
        <v>90</v>
      </c>
      <c r="H1900" t="s">
        <v>230</v>
      </c>
      <c r="I1900" t="s">
        <v>140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86</v>
      </c>
      <c r="D1901" t="s">
        <v>243</v>
      </c>
      <c r="E1901" t="s">
        <v>89</v>
      </c>
      <c r="F1901">
        <v>14</v>
      </c>
      <c r="G1901" t="s">
        <v>90</v>
      </c>
      <c r="H1901" t="s">
        <v>230</v>
      </c>
      <c r="I1901" t="s">
        <v>465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86</v>
      </c>
      <c r="D1902" t="s">
        <v>243</v>
      </c>
      <c r="E1902" t="s">
        <v>89</v>
      </c>
      <c r="F1902">
        <v>14</v>
      </c>
      <c r="G1902" t="s">
        <v>90</v>
      </c>
      <c r="H1902" t="s">
        <v>230</v>
      </c>
      <c r="I1902" t="s">
        <v>466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86</v>
      </c>
      <c r="D1903" t="s">
        <v>243</v>
      </c>
      <c r="E1903" t="s">
        <v>89</v>
      </c>
      <c r="F1903">
        <v>14</v>
      </c>
      <c r="G1903" t="s">
        <v>90</v>
      </c>
      <c r="H1903" t="s">
        <v>230</v>
      </c>
      <c r="I1903" t="s">
        <v>467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86</v>
      </c>
      <c r="D1904" t="s">
        <v>243</v>
      </c>
      <c r="E1904" t="s">
        <v>89</v>
      </c>
      <c r="F1904">
        <v>14</v>
      </c>
      <c r="G1904" t="s">
        <v>90</v>
      </c>
      <c r="H1904" t="s">
        <v>230</v>
      </c>
      <c r="I1904" t="s">
        <v>468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86</v>
      </c>
      <c r="D1905" t="s">
        <v>243</v>
      </c>
      <c r="E1905" t="s">
        <v>89</v>
      </c>
      <c r="F1905">
        <v>14</v>
      </c>
      <c r="G1905" t="s">
        <v>90</v>
      </c>
      <c r="H1905" t="s">
        <v>230</v>
      </c>
      <c r="I1905" t="s">
        <v>469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86</v>
      </c>
      <c r="D1906" t="s">
        <v>243</v>
      </c>
      <c r="E1906" t="s">
        <v>89</v>
      </c>
      <c r="F1906">
        <v>14</v>
      </c>
      <c r="G1906" t="s">
        <v>90</v>
      </c>
      <c r="H1906" t="s">
        <v>230</v>
      </c>
      <c r="I1906" t="s">
        <v>470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86</v>
      </c>
      <c r="D1907" t="s">
        <v>243</v>
      </c>
      <c r="E1907" t="s">
        <v>89</v>
      </c>
      <c r="F1907">
        <v>14</v>
      </c>
      <c r="G1907" t="s">
        <v>90</v>
      </c>
      <c r="H1907" t="s">
        <v>230</v>
      </c>
      <c r="I1907" t="s">
        <v>471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86</v>
      </c>
      <c r="D1908" t="s">
        <v>243</v>
      </c>
      <c r="E1908" t="s">
        <v>89</v>
      </c>
      <c r="F1908">
        <v>14</v>
      </c>
      <c r="G1908" t="s">
        <v>90</v>
      </c>
      <c r="H1908" t="s">
        <v>230</v>
      </c>
      <c r="I1908" t="s">
        <v>472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86</v>
      </c>
      <c r="D1909" t="s">
        <v>243</v>
      </c>
      <c r="E1909" t="s">
        <v>89</v>
      </c>
      <c r="F1909">
        <v>14</v>
      </c>
      <c r="G1909" t="s">
        <v>90</v>
      </c>
      <c r="H1909" t="s">
        <v>230</v>
      </c>
      <c r="I1909" t="s">
        <v>473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86</v>
      </c>
      <c r="D1910" t="s">
        <v>243</v>
      </c>
      <c r="E1910" t="s">
        <v>89</v>
      </c>
      <c r="F1910">
        <v>14</v>
      </c>
      <c r="G1910" t="s">
        <v>90</v>
      </c>
      <c r="H1910" t="s">
        <v>230</v>
      </c>
      <c r="I1910" t="s">
        <v>474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86</v>
      </c>
      <c r="D1911" t="s">
        <v>243</v>
      </c>
      <c r="E1911" t="s">
        <v>89</v>
      </c>
      <c r="F1911">
        <v>14</v>
      </c>
      <c r="G1911" t="s">
        <v>90</v>
      </c>
      <c r="H1911" t="s">
        <v>230</v>
      </c>
      <c r="I1911" t="s">
        <v>475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86</v>
      </c>
      <c r="D1912" t="s">
        <v>243</v>
      </c>
      <c r="E1912" t="s">
        <v>89</v>
      </c>
      <c r="F1912">
        <v>14</v>
      </c>
      <c r="G1912" t="s">
        <v>90</v>
      </c>
      <c r="H1912" t="s">
        <v>188</v>
      </c>
      <c r="I1912" t="s">
        <v>459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86</v>
      </c>
      <c r="D1913" t="s">
        <v>243</v>
      </c>
      <c r="E1913" t="s">
        <v>89</v>
      </c>
      <c r="F1913">
        <v>14</v>
      </c>
      <c r="G1913" t="s">
        <v>90</v>
      </c>
      <c r="H1913" t="s">
        <v>188</v>
      </c>
      <c r="I1913" t="s">
        <v>460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86</v>
      </c>
      <c r="D1914" t="s">
        <v>243</v>
      </c>
      <c r="E1914" t="s">
        <v>89</v>
      </c>
      <c r="F1914">
        <v>14</v>
      </c>
      <c r="G1914" t="s">
        <v>90</v>
      </c>
      <c r="H1914" t="s">
        <v>188</v>
      </c>
      <c r="I1914" t="s">
        <v>461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86</v>
      </c>
      <c r="D1915" t="s">
        <v>243</v>
      </c>
      <c r="E1915" t="s">
        <v>89</v>
      </c>
      <c r="F1915">
        <v>14</v>
      </c>
      <c r="G1915" t="s">
        <v>90</v>
      </c>
      <c r="H1915" t="s">
        <v>188</v>
      </c>
      <c r="I1915" t="s">
        <v>462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86</v>
      </c>
      <c r="D1916" t="s">
        <v>243</v>
      </c>
      <c r="E1916" t="s">
        <v>89</v>
      </c>
      <c r="F1916">
        <v>14</v>
      </c>
      <c r="G1916" t="s">
        <v>90</v>
      </c>
      <c r="H1916" t="s">
        <v>188</v>
      </c>
      <c r="I1916" t="s">
        <v>463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86</v>
      </c>
      <c r="D1917" t="s">
        <v>243</v>
      </c>
      <c r="E1917" t="s">
        <v>89</v>
      </c>
      <c r="F1917">
        <v>14</v>
      </c>
      <c r="G1917" t="s">
        <v>90</v>
      </c>
      <c r="H1917" t="s">
        <v>188</v>
      </c>
      <c r="I1917" t="s">
        <v>464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86</v>
      </c>
      <c r="D1918" t="s">
        <v>243</v>
      </c>
      <c r="E1918" t="s">
        <v>89</v>
      </c>
      <c r="F1918">
        <v>14</v>
      </c>
      <c r="G1918" t="s">
        <v>90</v>
      </c>
      <c r="H1918" t="s">
        <v>188</v>
      </c>
      <c r="I1918" t="s">
        <v>140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86</v>
      </c>
      <c r="D1919" t="s">
        <v>243</v>
      </c>
      <c r="E1919" t="s">
        <v>89</v>
      </c>
      <c r="F1919">
        <v>14</v>
      </c>
      <c r="G1919" t="s">
        <v>90</v>
      </c>
      <c r="H1919" t="s">
        <v>188</v>
      </c>
      <c r="I1919" t="s">
        <v>465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86</v>
      </c>
      <c r="D1920" t="s">
        <v>243</v>
      </c>
      <c r="E1920" t="s">
        <v>89</v>
      </c>
      <c r="F1920">
        <v>14</v>
      </c>
      <c r="G1920" t="s">
        <v>90</v>
      </c>
      <c r="H1920" t="s">
        <v>188</v>
      </c>
      <c r="I1920" t="s">
        <v>466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86</v>
      </c>
      <c r="D1921" t="s">
        <v>243</v>
      </c>
      <c r="E1921" t="s">
        <v>89</v>
      </c>
      <c r="F1921">
        <v>14</v>
      </c>
      <c r="G1921" t="s">
        <v>90</v>
      </c>
      <c r="H1921" t="s">
        <v>188</v>
      </c>
      <c r="I1921" t="s">
        <v>467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86</v>
      </c>
      <c r="D1922" t="s">
        <v>243</v>
      </c>
      <c r="E1922" t="s">
        <v>89</v>
      </c>
      <c r="F1922">
        <v>14</v>
      </c>
      <c r="G1922" t="s">
        <v>90</v>
      </c>
      <c r="H1922" t="s">
        <v>188</v>
      </c>
      <c r="I1922" t="s">
        <v>468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86</v>
      </c>
      <c r="D1923" t="s">
        <v>243</v>
      </c>
      <c r="E1923" t="s">
        <v>89</v>
      </c>
      <c r="F1923">
        <v>14</v>
      </c>
      <c r="G1923" t="s">
        <v>90</v>
      </c>
      <c r="H1923" t="s">
        <v>188</v>
      </c>
      <c r="I1923" t="s">
        <v>469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86</v>
      </c>
      <c r="D1924" t="s">
        <v>243</v>
      </c>
      <c r="E1924" t="s">
        <v>89</v>
      </c>
      <c r="F1924">
        <v>14</v>
      </c>
      <c r="G1924" t="s">
        <v>90</v>
      </c>
      <c r="H1924" t="s">
        <v>188</v>
      </c>
      <c r="I1924" t="s">
        <v>470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86</v>
      </c>
      <c r="D1925" t="s">
        <v>243</v>
      </c>
      <c r="E1925" t="s">
        <v>89</v>
      </c>
      <c r="F1925">
        <v>14</v>
      </c>
      <c r="G1925" t="s">
        <v>90</v>
      </c>
      <c r="H1925" t="s">
        <v>188</v>
      </c>
      <c r="I1925" t="s">
        <v>471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86</v>
      </c>
      <c r="D1926" t="s">
        <v>243</v>
      </c>
      <c r="E1926" t="s">
        <v>89</v>
      </c>
      <c r="F1926">
        <v>14</v>
      </c>
      <c r="G1926" t="s">
        <v>90</v>
      </c>
      <c r="H1926" t="s">
        <v>188</v>
      </c>
      <c r="I1926" t="s">
        <v>472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86</v>
      </c>
      <c r="D1927" t="s">
        <v>243</v>
      </c>
      <c r="E1927" t="s">
        <v>89</v>
      </c>
      <c r="F1927">
        <v>14</v>
      </c>
      <c r="G1927" t="s">
        <v>90</v>
      </c>
      <c r="H1927" t="s">
        <v>188</v>
      </c>
      <c r="I1927" t="s">
        <v>473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86</v>
      </c>
      <c r="D1928" t="s">
        <v>243</v>
      </c>
      <c r="E1928" t="s">
        <v>89</v>
      </c>
      <c r="F1928">
        <v>14</v>
      </c>
      <c r="G1928" t="s">
        <v>90</v>
      </c>
      <c r="H1928" t="s">
        <v>188</v>
      </c>
      <c r="I1928" t="s">
        <v>474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86</v>
      </c>
      <c r="D1929" t="s">
        <v>243</v>
      </c>
      <c r="E1929" t="s">
        <v>89</v>
      </c>
      <c r="F1929">
        <v>14</v>
      </c>
      <c r="G1929" t="s">
        <v>90</v>
      </c>
      <c r="H1929" t="s">
        <v>188</v>
      </c>
      <c r="I1929" t="s">
        <v>475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86</v>
      </c>
      <c r="D1930" t="s">
        <v>243</v>
      </c>
      <c r="E1930" t="s">
        <v>89</v>
      </c>
      <c r="F1930">
        <v>14</v>
      </c>
      <c r="G1930" t="s">
        <v>271</v>
      </c>
      <c r="H1930" t="s">
        <v>189</v>
      </c>
      <c r="I1930" t="s">
        <v>466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86</v>
      </c>
      <c r="D1931" t="s">
        <v>243</v>
      </c>
      <c r="E1931" t="s">
        <v>89</v>
      </c>
      <c r="F1931">
        <v>14</v>
      </c>
      <c r="G1931" t="s">
        <v>271</v>
      </c>
      <c r="H1931" t="s">
        <v>186</v>
      </c>
      <c r="I1931" t="s">
        <v>466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86</v>
      </c>
      <c r="D1932" t="s">
        <v>243</v>
      </c>
      <c r="E1932" t="s">
        <v>89</v>
      </c>
      <c r="F1932">
        <v>14</v>
      </c>
      <c r="G1932" t="s">
        <v>271</v>
      </c>
      <c r="H1932" t="s">
        <v>188</v>
      </c>
      <c r="I1932" t="s">
        <v>466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86</v>
      </c>
      <c r="D1933" t="s">
        <v>243</v>
      </c>
      <c r="E1933" t="s">
        <v>89</v>
      </c>
      <c r="F1933">
        <v>14</v>
      </c>
      <c r="G1933" t="s">
        <v>233</v>
      </c>
      <c r="H1933" t="s">
        <v>234</v>
      </c>
      <c r="I1933" t="s">
        <v>476</v>
      </c>
      <c r="J1933" t="s">
        <v>368</v>
      </c>
    </row>
    <row r="1934" spans="1:10" x14ac:dyDescent="0.25">
      <c r="A1934" s="1" t="s">
        <v>27</v>
      </c>
      <c r="B1934">
        <v>401752677</v>
      </c>
      <c r="C1934" t="s">
        <v>86</v>
      </c>
      <c r="D1934" t="s">
        <v>243</v>
      </c>
      <c r="E1934" t="s">
        <v>89</v>
      </c>
      <c r="F1934">
        <v>14</v>
      </c>
      <c r="G1934" t="s">
        <v>233</v>
      </c>
      <c r="H1934" t="s">
        <v>236</v>
      </c>
      <c r="I1934" t="s">
        <v>476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86</v>
      </c>
      <c r="D1935" t="s">
        <v>243</v>
      </c>
      <c r="E1935" t="s">
        <v>89</v>
      </c>
      <c r="F1935">
        <v>14</v>
      </c>
      <c r="G1935" t="s">
        <v>233</v>
      </c>
      <c r="H1935" t="s">
        <v>198</v>
      </c>
      <c r="I1935" t="s">
        <v>476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86</v>
      </c>
      <c r="D1936" t="s">
        <v>243</v>
      </c>
      <c r="E1936" t="s">
        <v>89</v>
      </c>
      <c r="F1936">
        <v>14</v>
      </c>
      <c r="G1936" t="s">
        <v>233</v>
      </c>
      <c r="H1936" t="s">
        <v>237</v>
      </c>
      <c r="I1936" t="s">
        <v>476</v>
      </c>
      <c r="J1936" s="73">
        <v>45690</v>
      </c>
    </row>
    <row r="1937" spans="1:10" x14ac:dyDescent="0.25">
      <c r="A1937" s="1" t="s">
        <v>27</v>
      </c>
      <c r="B1937">
        <v>401752677</v>
      </c>
      <c r="C1937" t="s">
        <v>86</v>
      </c>
      <c r="D1937" t="s">
        <v>243</v>
      </c>
      <c r="E1937" t="s">
        <v>89</v>
      </c>
      <c r="F1937">
        <v>14</v>
      </c>
      <c r="G1937" t="s">
        <v>233</v>
      </c>
      <c r="H1937" t="s">
        <v>238</v>
      </c>
      <c r="I1937" t="s">
        <v>476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86</v>
      </c>
      <c r="D1938" t="s">
        <v>243</v>
      </c>
      <c r="E1938" t="s">
        <v>89</v>
      </c>
      <c r="F1938">
        <v>14</v>
      </c>
      <c r="G1938" t="s">
        <v>239</v>
      </c>
      <c r="H1938" t="s">
        <v>232</v>
      </c>
      <c r="I1938" t="s">
        <v>477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86</v>
      </c>
      <c r="D1939" t="s">
        <v>243</v>
      </c>
      <c r="E1939" t="s">
        <v>89</v>
      </c>
      <c r="F1939">
        <v>14</v>
      </c>
      <c r="G1939" t="s">
        <v>239</v>
      </c>
      <c r="H1939" t="s">
        <v>186</v>
      </c>
      <c r="I1939" t="s">
        <v>477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86</v>
      </c>
      <c r="D1940" t="s">
        <v>243</v>
      </c>
      <c r="E1940" t="s">
        <v>89</v>
      </c>
      <c r="F1940">
        <v>14</v>
      </c>
      <c r="G1940" t="s">
        <v>239</v>
      </c>
      <c r="H1940" t="s">
        <v>187</v>
      </c>
      <c r="I1940" t="s">
        <v>477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86</v>
      </c>
      <c r="D1941" t="s">
        <v>243</v>
      </c>
      <c r="E1941" t="s">
        <v>89</v>
      </c>
      <c r="F1941">
        <v>14</v>
      </c>
      <c r="G1941" t="s">
        <v>239</v>
      </c>
      <c r="H1941" t="s">
        <v>241</v>
      </c>
      <c r="I1941" t="s">
        <v>477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86</v>
      </c>
      <c r="D1942" t="s">
        <v>243</v>
      </c>
      <c r="E1942" t="s">
        <v>89</v>
      </c>
      <c r="F1942">
        <v>14</v>
      </c>
      <c r="G1942" t="s">
        <v>239</v>
      </c>
      <c r="H1942" t="s">
        <v>242</v>
      </c>
      <c r="I1942" t="s">
        <v>477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86</v>
      </c>
      <c r="D1943" t="s">
        <v>243</v>
      </c>
      <c r="E1943" t="s">
        <v>89</v>
      </c>
      <c r="F1943">
        <v>14</v>
      </c>
      <c r="G1943" t="s">
        <v>239</v>
      </c>
      <c r="H1943" t="s">
        <v>198</v>
      </c>
      <c r="I1943" t="s">
        <v>477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84</v>
      </c>
      <c r="D1944" t="s">
        <v>408</v>
      </c>
      <c r="E1944" t="s">
        <v>179</v>
      </c>
      <c r="F1944">
        <v>7</v>
      </c>
      <c r="G1944" t="s">
        <v>180</v>
      </c>
      <c r="H1944" t="s">
        <v>181</v>
      </c>
      <c r="I1944" t="s">
        <v>478</v>
      </c>
      <c r="J1944" t="s">
        <v>479</v>
      </c>
    </row>
    <row r="1945" spans="1:10" x14ac:dyDescent="0.25">
      <c r="A1945" s="1" t="s">
        <v>27</v>
      </c>
      <c r="B1945">
        <v>401752677</v>
      </c>
      <c r="C1945" t="s">
        <v>84</v>
      </c>
      <c r="D1945" t="s">
        <v>408</v>
      </c>
      <c r="E1945" t="s">
        <v>179</v>
      </c>
      <c r="F1945">
        <v>7</v>
      </c>
      <c r="G1945" t="s">
        <v>180</v>
      </c>
      <c r="H1945" t="s">
        <v>186</v>
      </c>
      <c r="I1945" t="s">
        <v>478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84</v>
      </c>
      <c r="D1946" t="s">
        <v>408</v>
      </c>
      <c r="E1946" t="s">
        <v>179</v>
      </c>
      <c r="F1946">
        <v>7</v>
      </c>
      <c r="G1946" t="s">
        <v>180</v>
      </c>
      <c r="H1946" t="s">
        <v>187</v>
      </c>
      <c r="I1946" t="s">
        <v>478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84</v>
      </c>
      <c r="D1947" t="s">
        <v>408</v>
      </c>
      <c r="E1947" t="s">
        <v>179</v>
      </c>
      <c r="F1947">
        <v>7</v>
      </c>
      <c r="G1947" t="s">
        <v>180</v>
      </c>
      <c r="H1947" t="s">
        <v>188</v>
      </c>
      <c r="I1947" t="s">
        <v>478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84</v>
      </c>
      <c r="D1948" t="s">
        <v>408</v>
      </c>
      <c r="E1948" t="s">
        <v>179</v>
      </c>
      <c r="F1948">
        <v>7</v>
      </c>
      <c r="G1948" t="s">
        <v>180</v>
      </c>
      <c r="H1948" t="s">
        <v>189</v>
      </c>
      <c r="I1948" t="s">
        <v>478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84</v>
      </c>
      <c r="D1949" t="s">
        <v>408</v>
      </c>
      <c r="E1949" t="s">
        <v>179</v>
      </c>
      <c r="F1949">
        <v>7</v>
      </c>
      <c r="G1949" t="s">
        <v>180</v>
      </c>
      <c r="H1949" t="s">
        <v>190</v>
      </c>
      <c r="I1949" t="s">
        <v>478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84</v>
      </c>
      <c r="D1950" t="s">
        <v>408</v>
      </c>
      <c r="E1950" t="s">
        <v>179</v>
      </c>
      <c r="F1950">
        <v>7</v>
      </c>
      <c r="G1950" t="s">
        <v>192</v>
      </c>
      <c r="H1950" t="s">
        <v>193</v>
      </c>
      <c r="I1950" t="s">
        <v>480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84</v>
      </c>
      <c r="D1951" t="s">
        <v>408</v>
      </c>
      <c r="E1951" t="s">
        <v>179</v>
      </c>
      <c r="F1951">
        <v>7</v>
      </c>
      <c r="G1951" t="s">
        <v>192</v>
      </c>
      <c r="H1951" t="s">
        <v>193</v>
      </c>
      <c r="I1951" t="s">
        <v>481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84</v>
      </c>
      <c r="D1952" t="s">
        <v>408</v>
      </c>
      <c r="E1952" t="s">
        <v>179</v>
      </c>
      <c r="F1952">
        <v>7</v>
      </c>
      <c r="G1952" t="s">
        <v>192</v>
      </c>
      <c r="H1952" t="s">
        <v>193</v>
      </c>
      <c r="I1952" t="s">
        <v>478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84</v>
      </c>
      <c r="D1953" t="s">
        <v>408</v>
      </c>
      <c r="E1953" t="s">
        <v>179</v>
      </c>
      <c r="F1953">
        <v>7</v>
      </c>
      <c r="G1953" t="s">
        <v>192</v>
      </c>
      <c r="H1953" t="s">
        <v>193</v>
      </c>
      <c r="I1953" t="s">
        <v>482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84</v>
      </c>
      <c r="D1954" t="s">
        <v>408</v>
      </c>
      <c r="E1954" t="s">
        <v>179</v>
      </c>
      <c r="F1954">
        <v>7</v>
      </c>
      <c r="G1954" t="s">
        <v>192</v>
      </c>
      <c r="H1954" t="s">
        <v>186</v>
      </c>
      <c r="I1954" t="s">
        <v>480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84</v>
      </c>
      <c r="D1955" t="s">
        <v>408</v>
      </c>
      <c r="E1955" t="s">
        <v>179</v>
      </c>
      <c r="F1955">
        <v>7</v>
      </c>
      <c r="G1955" t="s">
        <v>192</v>
      </c>
      <c r="H1955" t="s">
        <v>186</v>
      </c>
      <c r="I1955" t="s">
        <v>481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84</v>
      </c>
      <c r="D1956" t="s">
        <v>408</v>
      </c>
      <c r="E1956" t="s">
        <v>179</v>
      </c>
      <c r="F1956">
        <v>7</v>
      </c>
      <c r="G1956" t="s">
        <v>192</v>
      </c>
      <c r="H1956" t="s">
        <v>186</v>
      </c>
      <c r="I1956" t="s">
        <v>478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84</v>
      </c>
      <c r="D1957" t="s">
        <v>408</v>
      </c>
      <c r="E1957" t="s">
        <v>179</v>
      </c>
      <c r="F1957">
        <v>7</v>
      </c>
      <c r="G1957" t="s">
        <v>192</v>
      </c>
      <c r="H1957" t="s">
        <v>186</v>
      </c>
      <c r="I1957" t="s">
        <v>482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84</v>
      </c>
      <c r="D1958" t="s">
        <v>408</v>
      </c>
      <c r="E1958" t="s">
        <v>179</v>
      </c>
      <c r="F1958">
        <v>7</v>
      </c>
      <c r="G1958" t="s">
        <v>192</v>
      </c>
      <c r="H1958" t="s">
        <v>187</v>
      </c>
      <c r="I1958" t="s">
        <v>480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84</v>
      </c>
      <c r="D1959" t="s">
        <v>408</v>
      </c>
      <c r="E1959" t="s">
        <v>179</v>
      </c>
      <c r="F1959">
        <v>7</v>
      </c>
      <c r="G1959" t="s">
        <v>192</v>
      </c>
      <c r="H1959" t="s">
        <v>187</v>
      </c>
      <c r="I1959" t="s">
        <v>481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84</v>
      </c>
      <c r="D1960" t="s">
        <v>408</v>
      </c>
      <c r="E1960" t="s">
        <v>179</v>
      </c>
      <c r="F1960">
        <v>7</v>
      </c>
      <c r="G1960" t="s">
        <v>192</v>
      </c>
      <c r="H1960" t="s">
        <v>187</v>
      </c>
      <c r="I1960" t="s">
        <v>478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84</v>
      </c>
      <c r="D1961" t="s">
        <v>408</v>
      </c>
      <c r="E1961" t="s">
        <v>179</v>
      </c>
      <c r="F1961">
        <v>7</v>
      </c>
      <c r="G1961" t="s">
        <v>192</v>
      </c>
      <c r="H1961" t="s">
        <v>187</v>
      </c>
      <c r="I1961" t="s">
        <v>482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84</v>
      </c>
      <c r="D1962" t="s">
        <v>408</v>
      </c>
      <c r="E1962" t="s">
        <v>179</v>
      </c>
      <c r="F1962">
        <v>7</v>
      </c>
      <c r="G1962" t="s">
        <v>192</v>
      </c>
      <c r="H1962" t="s">
        <v>188</v>
      </c>
      <c r="I1962" t="s">
        <v>480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84</v>
      </c>
      <c r="D1963" t="s">
        <v>408</v>
      </c>
      <c r="E1963" t="s">
        <v>179</v>
      </c>
      <c r="F1963">
        <v>7</v>
      </c>
      <c r="G1963" t="s">
        <v>192</v>
      </c>
      <c r="H1963" t="s">
        <v>188</v>
      </c>
      <c r="I1963" t="s">
        <v>481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84</v>
      </c>
      <c r="D1964" t="s">
        <v>408</v>
      </c>
      <c r="E1964" t="s">
        <v>179</v>
      </c>
      <c r="F1964">
        <v>7</v>
      </c>
      <c r="G1964" t="s">
        <v>192</v>
      </c>
      <c r="H1964" t="s">
        <v>188</v>
      </c>
      <c r="I1964" t="s">
        <v>478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84</v>
      </c>
      <c r="D1965" t="s">
        <v>408</v>
      </c>
      <c r="E1965" t="s">
        <v>179</v>
      </c>
      <c r="F1965">
        <v>7</v>
      </c>
      <c r="G1965" t="s">
        <v>192</v>
      </c>
      <c r="H1965" t="s">
        <v>188</v>
      </c>
      <c r="I1965" t="s">
        <v>482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84</v>
      </c>
      <c r="D1966" t="s">
        <v>408</v>
      </c>
      <c r="E1966" t="s">
        <v>179</v>
      </c>
      <c r="F1966">
        <v>7</v>
      </c>
      <c r="G1966" t="s">
        <v>192</v>
      </c>
      <c r="H1966" t="s">
        <v>198</v>
      </c>
      <c r="I1966" t="s">
        <v>480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84</v>
      </c>
      <c r="D1967" t="s">
        <v>408</v>
      </c>
      <c r="E1967" t="s">
        <v>179</v>
      </c>
      <c r="F1967">
        <v>7</v>
      </c>
      <c r="G1967" t="s">
        <v>192</v>
      </c>
      <c r="H1967" t="s">
        <v>198</v>
      </c>
      <c r="I1967" t="s">
        <v>481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84</v>
      </c>
      <c r="D1968" t="s">
        <v>408</v>
      </c>
      <c r="E1968" t="s">
        <v>179</v>
      </c>
      <c r="F1968">
        <v>7</v>
      </c>
      <c r="G1968" t="s">
        <v>192</v>
      </c>
      <c r="H1968" t="s">
        <v>198</v>
      </c>
      <c r="I1968" t="s">
        <v>478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84</v>
      </c>
      <c r="D1969" t="s">
        <v>408</v>
      </c>
      <c r="E1969" t="s">
        <v>179</v>
      </c>
      <c r="F1969">
        <v>7</v>
      </c>
      <c r="G1969" t="s">
        <v>192</v>
      </c>
      <c r="H1969" t="s">
        <v>198</v>
      </c>
      <c r="I1969" t="s">
        <v>482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84</v>
      </c>
      <c r="D1970" t="s">
        <v>408</v>
      </c>
      <c r="E1970" t="s">
        <v>179</v>
      </c>
      <c r="F1970">
        <v>7</v>
      </c>
      <c r="G1970" t="s">
        <v>199</v>
      </c>
      <c r="H1970" t="s">
        <v>0</v>
      </c>
      <c r="I1970" t="s">
        <v>483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84</v>
      </c>
      <c r="D1971" t="s">
        <v>408</v>
      </c>
      <c r="E1971" t="s">
        <v>179</v>
      </c>
      <c r="F1971">
        <v>7</v>
      </c>
      <c r="G1971" t="s">
        <v>199</v>
      </c>
      <c r="H1971" t="s">
        <v>0</v>
      </c>
      <c r="I1971" t="s">
        <v>484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84</v>
      </c>
      <c r="D1972" t="s">
        <v>408</v>
      </c>
      <c r="E1972" t="s">
        <v>179</v>
      </c>
      <c r="F1972">
        <v>7</v>
      </c>
      <c r="G1972" t="s">
        <v>199</v>
      </c>
      <c r="H1972" t="s">
        <v>0</v>
      </c>
      <c r="I1972" t="s">
        <v>482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84</v>
      </c>
      <c r="D1973" t="s">
        <v>408</v>
      </c>
      <c r="E1973" t="s">
        <v>179</v>
      </c>
      <c r="F1973">
        <v>7</v>
      </c>
      <c r="G1973" t="s">
        <v>199</v>
      </c>
      <c r="H1973" t="s">
        <v>0</v>
      </c>
      <c r="I1973" t="s">
        <v>481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84</v>
      </c>
      <c r="D1974" t="s">
        <v>408</v>
      </c>
      <c r="E1974" t="s">
        <v>179</v>
      </c>
      <c r="F1974">
        <v>7</v>
      </c>
      <c r="G1974" t="s">
        <v>199</v>
      </c>
      <c r="H1974" t="s">
        <v>0</v>
      </c>
      <c r="I1974" t="s">
        <v>485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84</v>
      </c>
      <c r="D1975" t="s">
        <v>408</v>
      </c>
      <c r="E1975" t="s">
        <v>179</v>
      </c>
      <c r="F1975">
        <v>7</v>
      </c>
      <c r="G1975" t="s">
        <v>199</v>
      </c>
      <c r="H1975" t="s">
        <v>0</v>
      </c>
      <c r="I1975" t="s">
        <v>480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84</v>
      </c>
      <c r="D1976" t="s">
        <v>408</v>
      </c>
      <c r="E1976" t="s">
        <v>179</v>
      </c>
      <c r="F1976">
        <v>7</v>
      </c>
      <c r="G1976" t="s">
        <v>199</v>
      </c>
      <c r="H1976" t="s">
        <v>0</v>
      </c>
      <c r="I1976" t="s">
        <v>486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84</v>
      </c>
      <c r="D1977" t="s">
        <v>408</v>
      </c>
      <c r="E1977" t="s">
        <v>179</v>
      </c>
      <c r="F1977">
        <v>7</v>
      </c>
      <c r="G1977" t="s">
        <v>199</v>
      </c>
      <c r="H1977" t="s">
        <v>186</v>
      </c>
      <c r="I1977" t="s">
        <v>483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84</v>
      </c>
      <c r="D1978" t="s">
        <v>408</v>
      </c>
      <c r="E1978" t="s">
        <v>179</v>
      </c>
      <c r="F1978">
        <v>7</v>
      </c>
      <c r="G1978" t="s">
        <v>199</v>
      </c>
      <c r="H1978" t="s">
        <v>186</v>
      </c>
      <c r="I1978" t="s">
        <v>484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84</v>
      </c>
      <c r="D1979" t="s">
        <v>408</v>
      </c>
      <c r="E1979" t="s">
        <v>179</v>
      </c>
      <c r="F1979">
        <v>7</v>
      </c>
      <c r="G1979" t="s">
        <v>199</v>
      </c>
      <c r="H1979" t="s">
        <v>186</v>
      </c>
      <c r="I1979" t="s">
        <v>482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84</v>
      </c>
      <c r="D1980" t="s">
        <v>408</v>
      </c>
      <c r="E1980" t="s">
        <v>179</v>
      </c>
      <c r="F1980">
        <v>7</v>
      </c>
      <c r="G1980" t="s">
        <v>199</v>
      </c>
      <c r="H1980" t="s">
        <v>186</v>
      </c>
      <c r="I1980" t="s">
        <v>481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84</v>
      </c>
      <c r="D1981" t="s">
        <v>408</v>
      </c>
      <c r="E1981" t="s">
        <v>179</v>
      </c>
      <c r="F1981">
        <v>7</v>
      </c>
      <c r="G1981" t="s">
        <v>199</v>
      </c>
      <c r="H1981" t="s">
        <v>186</v>
      </c>
      <c r="I1981" t="s">
        <v>485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84</v>
      </c>
      <c r="D1982" t="s">
        <v>408</v>
      </c>
      <c r="E1982" t="s">
        <v>179</v>
      </c>
      <c r="F1982">
        <v>7</v>
      </c>
      <c r="G1982" t="s">
        <v>199</v>
      </c>
      <c r="H1982" t="s">
        <v>186</v>
      </c>
      <c r="I1982" t="s">
        <v>480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84</v>
      </c>
      <c r="D1983" t="s">
        <v>408</v>
      </c>
      <c r="E1983" t="s">
        <v>179</v>
      </c>
      <c r="F1983">
        <v>7</v>
      </c>
      <c r="G1983" t="s">
        <v>199</v>
      </c>
      <c r="H1983" t="s">
        <v>186</v>
      </c>
      <c r="I1983" t="s">
        <v>486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84</v>
      </c>
      <c r="D1984" t="s">
        <v>408</v>
      </c>
      <c r="E1984" t="s">
        <v>179</v>
      </c>
      <c r="F1984">
        <v>7</v>
      </c>
      <c r="G1984" t="s">
        <v>199</v>
      </c>
      <c r="H1984" t="s">
        <v>187</v>
      </c>
      <c r="I1984" t="s">
        <v>483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84</v>
      </c>
      <c r="D1985" t="s">
        <v>408</v>
      </c>
      <c r="E1985" t="s">
        <v>179</v>
      </c>
      <c r="F1985">
        <v>7</v>
      </c>
      <c r="G1985" t="s">
        <v>199</v>
      </c>
      <c r="H1985" t="s">
        <v>187</v>
      </c>
      <c r="I1985" t="s">
        <v>484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84</v>
      </c>
      <c r="D1986" t="s">
        <v>408</v>
      </c>
      <c r="E1986" t="s">
        <v>179</v>
      </c>
      <c r="F1986">
        <v>7</v>
      </c>
      <c r="G1986" t="s">
        <v>199</v>
      </c>
      <c r="H1986" t="s">
        <v>187</v>
      </c>
      <c r="I1986" t="s">
        <v>482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84</v>
      </c>
      <c r="D1987" t="s">
        <v>408</v>
      </c>
      <c r="E1987" t="s">
        <v>179</v>
      </c>
      <c r="F1987">
        <v>7</v>
      </c>
      <c r="G1987" t="s">
        <v>199</v>
      </c>
      <c r="H1987" t="s">
        <v>187</v>
      </c>
      <c r="I1987" t="s">
        <v>481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84</v>
      </c>
      <c r="D1988" t="s">
        <v>408</v>
      </c>
      <c r="E1988" t="s">
        <v>179</v>
      </c>
      <c r="F1988">
        <v>7</v>
      </c>
      <c r="G1988" t="s">
        <v>199</v>
      </c>
      <c r="H1988" t="s">
        <v>187</v>
      </c>
      <c r="I1988" t="s">
        <v>485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84</v>
      </c>
      <c r="D1989" t="s">
        <v>408</v>
      </c>
      <c r="E1989" t="s">
        <v>179</v>
      </c>
      <c r="F1989">
        <v>7</v>
      </c>
      <c r="G1989" t="s">
        <v>199</v>
      </c>
      <c r="H1989" t="s">
        <v>187</v>
      </c>
      <c r="I1989" t="s">
        <v>480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84</v>
      </c>
      <c r="D1990" t="s">
        <v>408</v>
      </c>
      <c r="E1990" t="s">
        <v>179</v>
      </c>
      <c r="F1990">
        <v>7</v>
      </c>
      <c r="G1990" t="s">
        <v>199</v>
      </c>
      <c r="H1990" t="s">
        <v>187</v>
      </c>
      <c r="I1990" t="s">
        <v>486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84</v>
      </c>
      <c r="D1991" t="s">
        <v>408</v>
      </c>
      <c r="E1991" t="s">
        <v>179</v>
      </c>
      <c r="F1991">
        <v>7</v>
      </c>
      <c r="G1991" t="s">
        <v>199</v>
      </c>
      <c r="H1991" t="s">
        <v>188</v>
      </c>
      <c r="I1991" t="s">
        <v>483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84</v>
      </c>
      <c r="D1992" t="s">
        <v>408</v>
      </c>
      <c r="E1992" t="s">
        <v>179</v>
      </c>
      <c r="F1992">
        <v>7</v>
      </c>
      <c r="G1992" t="s">
        <v>199</v>
      </c>
      <c r="H1992" t="s">
        <v>188</v>
      </c>
      <c r="I1992" t="s">
        <v>484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84</v>
      </c>
      <c r="D1993" t="s">
        <v>408</v>
      </c>
      <c r="E1993" t="s">
        <v>179</v>
      </c>
      <c r="F1993">
        <v>7</v>
      </c>
      <c r="G1993" t="s">
        <v>199</v>
      </c>
      <c r="H1993" t="s">
        <v>188</v>
      </c>
      <c r="I1993" t="s">
        <v>482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84</v>
      </c>
      <c r="D1994" t="s">
        <v>408</v>
      </c>
      <c r="E1994" t="s">
        <v>179</v>
      </c>
      <c r="F1994">
        <v>7</v>
      </c>
      <c r="G1994" t="s">
        <v>199</v>
      </c>
      <c r="H1994" t="s">
        <v>188</v>
      </c>
      <c r="I1994" t="s">
        <v>481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84</v>
      </c>
      <c r="D1995" t="s">
        <v>408</v>
      </c>
      <c r="E1995" t="s">
        <v>179</v>
      </c>
      <c r="F1995">
        <v>7</v>
      </c>
      <c r="G1995" t="s">
        <v>199</v>
      </c>
      <c r="H1995" t="s">
        <v>188</v>
      </c>
      <c r="I1995" t="s">
        <v>485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84</v>
      </c>
      <c r="D1996" t="s">
        <v>408</v>
      </c>
      <c r="E1996" t="s">
        <v>179</v>
      </c>
      <c r="F1996">
        <v>7</v>
      </c>
      <c r="G1996" t="s">
        <v>199</v>
      </c>
      <c r="H1996" t="s">
        <v>188</v>
      </c>
      <c r="I1996" t="s">
        <v>480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84</v>
      </c>
      <c r="D1997" t="s">
        <v>408</v>
      </c>
      <c r="E1997" t="s">
        <v>179</v>
      </c>
      <c r="F1997">
        <v>7</v>
      </c>
      <c r="G1997" t="s">
        <v>199</v>
      </c>
      <c r="H1997" t="s">
        <v>188</v>
      </c>
      <c r="I1997" t="s">
        <v>486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84</v>
      </c>
      <c r="D1998" t="s">
        <v>408</v>
      </c>
      <c r="E1998" t="s">
        <v>179</v>
      </c>
      <c r="F1998">
        <v>7</v>
      </c>
      <c r="G1998" t="s">
        <v>199</v>
      </c>
      <c r="H1998" t="s">
        <v>198</v>
      </c>
      <c r="I1998" t="s">
        <v>483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84</v>
      </c>
      <c r="D1999" t="s">
        <v>408</v>
      </c>
      <c r="E1999" t="s">
        <v>179</v>
      </c>
      <c r="F1999">
        <v>7</v>
      </c>
      <c r="G1999" t="s">
        <v>199</v>
      </c>
      <c r="H1999" t="s">
        <v>198</v>
      </c>
      <c r="I1999" t="s">
        <v>484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84</v>
      </c>
      <c r="D2000" t="s">
        <v>408</v>
      </c>
      <c r="E2000" t="s">
        <v>179</v>
      </c>
      <c r="F2000">
        <v>7</v>
      </c>
      <c r="G2000" t="s">
        <v>199</v>
      </c>
      <c r="H2000" t="s">
        <v>198</v>
      </c>
      <c r="I2000" t="s">
        <v>482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84</v>
      </c>
      <c r="D2001" t="s">
        <v>408</v>
      </c>
      <c r="E2001" t="s">
        <v>179</v>
      </c>
      <c r="F2001">
        <v>7</v>
      </c>
      <c r="G2001" t="s">
        <v>199</v>
      </c>
      <c r="H2001" t="s">
        <v>198</v>
      </c>
      <c r="I2001" t="s">
        <v>481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84</v>
      </c>
      <c r="D2002" t="s">
        <v>408</v>
      </c>
      <c r="E2002" t="s">
        <v>179</v>
      </c>
      <c r="F2002">
        <v>7</v>
      </c>
      <c r="G2002" t="s">
        <v>199</v>
      </c>
      <c r="H2002" t="s">
        <v>198</v>
      </c>
      <c r="I2002" t="s">
        <v>485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84</v>
      </c>
      <c r="D2003" t="s">
        <v>408</v>
      </c>
      <c r="E2003" t="s">
        <v>179</v>
      </c>
      <c r="F2003">
        <v>7</v>
      </c>
      <c r="G2003" t="s">
        <v>199</v>
      </c>
      <c r="H2003" t="s">
        <v>198</v>
      </c>
      <c r="I2003" t="s">
        <v>480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84</v>
      </c>
      <c r="D2004" t="s">
        <v>408</v>
      </c>
      <c r="E2004" t="s">
        <v>179</v>
      </c>
      <c r="F2004">
        <v>7</v>
      </c>
      <c r="G2004" t="s">
        <v>199</v>
      </c>
      <c r="H2004" t="s">
        <v>198</v>
      </c>
      <c r="I2004" t="s">
        <v>486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84</v>
      </c>
      <c r="D2005" t="s">
        <v>408</v>
      </c>
      <c r="E2005" t="s">
        <v>179</v>
      </c>
      <c r="F2005">
        <v>7</v>
      </c>
      <c r="G2005" t="s">
        <v>90</v>
      </c>
      <c r="H2005" t="s">
        <v>206</v>
      </c>
      <c r="I2005" t="s">
        <v>487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84</v>
      </c>
      <c r="D2006" t="s">
        <v>408</v>
      </c>
      <c r="E2006" t="s">
        <v>179</v>
      </c>
      <c r="F2006">
        <v>7</v>
      </c>
      <c r="G2006" t="s">
        <v>90</v>
      </c>
      <c r="H2006" t="s">
        <v>206</v>
      </c>
      <c r="I2006" t="s">
        <v>488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84</v>
      </c>
      <c r="D2007" t="s">
        <v>408</v>
      </c>
      <c r="E2007" t="s">
        <v>179</v>
      </c>
      <c r="F2007">
        <v>7</v>
      </c>
      <c r="G2007" t="s">
        <v>90</v>
      </c>
      <c r="H2007" t="s">
        <v>206</v>
      </c>
      <c r="I2007" t="s">
        <v>489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84</v>
      </c>
      <c r="D2008" t="s">
        <v>408</v>
      </c>
      <c r="E2008" t="s">
        <v>179</v>
      </c>
      <c r="F2008">
        <v>7</v>
      </c>
      <c r="G2008" t="s">
        <v>90</v>
      </c>
      <c r="H2008" t="s">
        <v>206</v>
      </c>
      <c r="I2008" t="s">
        <v>490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84</v>
      </c>
      <c r="D2009" t="s">
        <v>408</v>
      </c>
      <c r="E2009" t="s">
        <v>179</v>
      </c>
      <c r="F2009">
        <v>7</v>
      </c>
      <c r="G2009" t="s">
        <v>90</v>
      </c>
      <c r="H2009" t="s">
        <v>206</v>
      </c>
      <c r="I2009" t="s">
        <v>491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84</v>
      </c>
      <c r="D2010" t="s">
        <v>408</v>
      </c>
      <c r="E2010" t="s">
        <v>179</v>
      </c>
      <c r="F2010">
        <v>7</v>
      </c>
      <c r="G2010" t="s">
        <v>90</v>
      </c>
      <c r="H2010" t="s">
        <v>206</v>
      </c>
      <c r="I2010" t="s">
        <v>492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84</v>
      </c>
      <c r="D2011" t="s">
        <v>408</v>
      </c>
      <c r="E2011" t="s">
        <v>179</v>
      </c>
      <c r="F2011">
        <v>7</v>
      </c>
      <c r="G2011" t="s">
        <v>90</v>
      </c>
      <c r="H2011" t="s">
        <v>206</v>
      </c>
      <c r="I2011" t="s">
        <v>493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84</v>
      </c>
      <c r="D2012" t="s">
        <v>408</v>
      </c>
      <c r="E2012" t="s">
        <v>179</v>
      </c>
      <c r="F2012">
        <v>7</v>
      </c>
      <c r="G2012" t="s">
        <v>90</v>
      </c>
      <c r="H2012" t="s">
        <v>206</v>
      </c>
      <c r="I2012" t="s">
        <v>494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84</v>
      </c>
      <c r="D2013" t="s">
        <v>408</v>
      </c>
      <c r="E2013" t="s">
        <v>179</v>
      </c>
      <c r="F2013">
        <v>7</v>
      </c>
      <c r="G2013" t="s">
        <v>90</v>
      </c>
      <c r="H2013" t="s">
        <v>206</v>
      </c>
      <c r="I2013" t="s">
        <v>495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84</v>
      </c>
      <c r="D2014" t="s">
        <v>408</v>
      </c>
      <c r="E2014" t="s">
        <v>179</v>
      </c>
      <c r="F2014">
        <v>7</v>
      </c>
      <c r="G2014" t="s">
        <v>90</v>
      </c>
      <c r="H2014" t="s">
        <v>206</v>
      </c>
      <c r="I2014" t="s">
        <v>496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84</v>
      </c>
      <c r="D2015" t="s">
        <v>408</v>
      </c>
      <c r="E2015" t="s">
        <v>179</v>
      </c>
      <c r="F2015">
        <v>7</v>
      </c>
      <c r="G2015" t="s">
        <v>90</v>
      </c>
      <c r="H2015" t="s">
        <v>206</v>
      </c>
      <c r="I2015" t="s">
        <v>150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84</v>
      </c>
      <c r="D2016" t="s">
        <v>408</v>
      </c>
      <c r="E2016" t="s">
        <v>179</v>
      </c>
      <c r="F2016">
        <v>7</v>
      </c>
      <c r="G2016" t="s">
        <v>90</v>
      </c>
      <c r="H2016" t="s">
        <v>206</v>
      </c>
      <c r="I2016" t="s">
        <v>497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84</v>
      </c>
      <c r="D2017" t="s">
        <v>408</v>
      </c>
      <c r="E2017" t="s">
        <v>179</v>
      </c>
      <c r="F2017">
        <v>7</v>
      </c>
      <c r="G2017" t="s">
        <v>90</v>
      </c>
      <c r="H2017" t="s">
        <v>206</v>
      </c>
      <c r="I2017" t="s">
        <v>498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84</v>
      </c>
      <c r="D2018" t="s">
        <v>408</v>
      </c>
      <c r="E2018" t="s">
        <v>179</v>
      </c>
      <c r="F2018">
        <v>7</v>
      </c>
      <c r="G2018" t="s">
        <v>90</v>
      </c>
      <c r="H2018" t="s">
        <v>206</v>
      </c>
      <c r="I2018" t="s">
        <v>499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84</v>
      </c>
      <c r="D2019" t="s">
        <v>408</v>
      </c>
      <c r="E2019" t="s">
        <v>179</v>
      </c>
      <c r="F2019">
        <v>7</v>
      </c>
      <c r="G2019" t="s">
        <v>90</v>
      </c>
      <c r="H2019" t="s">
        <v>206</v>
      </c>
      <c r="I2019" t="s">
        <v>485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84</v>
      </c>
      <c r="D2020" t="s">
        <v>408</v>
      </c>
      <c r="E2020" t="s">
        <v>179</v>
      </c>
      <c r="F2020">
        <v>7</v>
      </c>
      <c r="G2020" t="s">
        <v>90</v>
      </c>
      <c r="H2020" t="s">
        <v>206</v>
      </c>
      <c r="I2020" t="s">
        <v>500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84</v>
      </c>
      <c r="D2021" t="s">
        <v>408</v>
      </c>
      <c r="E2021" t="s">
        <v>179</v>
      </c>
      <c r="F2021">
        <v>7</v>
      </c>
      <c r="G2021" t="s">
        <v>90</v>
      </c>
      <c r="H2021" t="s">
        <v>206</v>
      </c>
      <c r="I2021" t="s">
        <v>501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84</v>
      </c>
      <c r="D2022" t="s">
        <v>408</v>
      </c>
      <c r="E2022" t="s">
        <v>179</v>
      </c>
      <c r="F2022">
        <v>7</v>
      </c>
      <c r="G2022" t="s">
        <v>90</v>
      </c>
      <c r="H2022" t="s">
        <v>206</v>
      </c>
      <c r="I2022" t="s">
        <v>502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84</v>
      </c>
      <c r="D2023" t="s">
        <v>408</v>
      </c>
      <c r="E2023" t="s">
        <v>179</v>
      </c>
      <c r="F2023">
        <v>7</v>
      </c>
      <c r="G2023" t="s">
        <v>90</v>
      </c>
      <c r="H2023" t="s">
        <v>206</v>
      </c>
      <c r="I2023" t="s">
        <v>503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84</v>
      </c>
      <c r="D2024" t="s">
        <v>408</v>
      </c>
      <c r="E2024" t="s">
        <v>179</v>
      </c>
      <c r="F2024">
        <v>7</v>
      </c>
      <c r="G2024" t="s">
        <v>90</v>
      </c>
      <c r="H2024" t="s">
        <v>206</v>
      </c>
      <c r="I2024" t="s">
        <v>504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84</v>
      </c>
      <c r="D2025" t="s">
        <v>408</v>
      </c>
      <c r="E2025" t="s">
        <v>179</v>
      </c>
      <c r="F2025">
        <v>7</v>
      </c>
      <c r="G2025" t="s">
        <v>90</v>
      </c>
      <c r="H2025" t="s">
        <v>227</v>
      </c>
      <c r="I2025" t="s">
        <v>487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84</v>
      </c>
      <c r="D2026" t="s">
        <v>408</v>
      </c>
      <c r="E2026" t="s">
        <v>179</v>
      </c>
      <c r="F2026">
        <v>7</v>
      </c>
      <c r="G2026" t="s">
        <v>90</v>
      </c>
      <c r="H2026" t="s">
        <v>227</v>
      </c>
      <c r="I2026" t="s">
        <v>488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84</v>
      </c>
      <c r="D2027" t="s">
        <v>408</v>
      </c>
      <c r="E2027" t="s">
        <v>179</v>
      </c>
      <c r="F2027">
        <v>7</v>
      </c>
      <c r="G2027" t="s">
        <v>90</v>
      </c>
      <c r="H2027" t="s">
        <v>227</v>
      </c>
      <c r="I2027" t="s">
        <v>489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84</v>
      </c>
      <c r="D2028" t="s">
        <v>408</v>
      </c>
      <c r="E2028" t="s">
        <v>179</v>
      </c>
      <c r="F2028">
        <v>7</v>
      </c>
      <c r="G2028" t="s">
        <v>90</v>
      </c>
      <c r="H2028" t="s">
        <v>227</v>
      </c>
      <c r="I2028" t="s">
        <v>490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84</v>
      </c>
      <c r="D2029" t="s">
        <v>408</v>
      </c>
      <c r="E2029" t="s">
        <v>179</v>
      </c>
      <c r="F2029">
        <v>7</v>
      </c>
      <c r="G2029" t="s">
        <v>90</v>
      </c>
      <c r="H2029" t="s">
        <v>227</v>
      </c>
      <c r="I2029" t="s">
        <v>491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84</v>
      </c>
      <c r="D2030" t="s">
        <v>408</v>
      </c>
      <c r="E2030" t="s">
        <v>179</v>
      </c>
      <c r="F2030">
        <v>7</v>
      </c>
      <c r="G2030" t="s">
        <v>90</v>
      </c>
      <c r="H2030" t="s">
        <v>227</v>
      </c>
      <c r="I2030" t="s">
        <v>492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84</v>
      </c>
      <c r="D2031" t="s">
        <v>408</v>
      </c>
      <c r="E2031" t="s">
        <v>179</v>
      </c>
      <c r="F2031">
        <v>7</v>
      </c>
      <c r="G2031" t="s">
        <v>90</v>
      </c>
      <c r="H2031" t="s">
        <v>227</v>
      </c>
      <c r="I2031" t="s">
        <v>493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84</v>
      </c>
      <c r="D2032" t="s">
        <v>408</v>
      </c>
      <c r="E2032" t="s">
        <v>179</v>
      </c>
      <c r="F2032">
        <v>7</v>
      </c>
      <c r="G2032" t="s">
        <v>90</v>
      </c>
      <c r="H2032" t="s">
        <v>227</v>
      </c>
      <c r="I2032" t="s">
        <v>494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84</v>
      </c>
      <c r="D2033" t="s">
        <v>408</v>
      </c>
      <c r="E2033" t="s">
        <v>179</v>
      </c>
      <c r="F2033">
        <v>7</v>
      </c>
      <c r="G2033" t="s">
        <v>90</v>
      </c>
      <c r="H2033" t="s">
        <v>227</v>
      </c>
      <c r="I2033" t="s">
        <v>495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84</v>
      </c>
      <c r="D2034" t="s">
        <v>408</v>
      </c>
      <c r="E2034" t="s">
        <v>179</v>
      </c>
      <c r="F2034">
        <v>7</v>
      </c>
      <c r="G2034" t="s">
        <v>90</v>
      </c>
      <c r="H2034" t="s">
        <v>227</v>
      </c>
      <c r="I2034" t="s">
        <v>496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84</v>
      </c>
      <c r="D2035" t="s">
        <v>408</v>
      </c>
      <c r="E2035" t="s">
        <v>179</v>
      </c>
      <c r="F2035">
        <v>7</v>
      </c>
      <c r="G2035" t="s">
        <v>90</v>
      </c>
      <c r="H2035" t="s">
        <v>227</v>
      </c>
      <c r="I2035" t="s">
        <v>150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84</v>
      </c>
      <c r="D2036" t="s">
        <v>408</v>
      </c>
      <c r="E2036" t="s">
        <v>179</v>
      </c>
      <c r="F2036">
        <v>7</v>
      </c>
      <c r="G2036" t="s">
        <v>90</v>
      </c>
      <c r="H2036" t="s">
        <v>227</v>
      </c>
      <c r="I2036" t="s">
        <v>497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84</v>
      </c>
      <c r="D2037" t="s">
        <v>408</v>
      </c>
      <c r="E2037" t="s">
        <v>179</v>
      </c>
      <c r="F2037">
        <v>7</v>
      </c>
      <c r="G2037" t="s">
        <v>90</v>
      </c>
      <c r="H2037" t="s">
        <v>227</v>
      </c>
      <c r="I2037" t="s">
        <v>498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84</v>
      </c>
      <c r="D2038" t="s">
        <v>408</v>
      </c>
      <c r="E2038" t="s">
        <v>179</v>
      </c>
      <c r="F2038">
        <v>7</v>
      </c>
      <c r="G2038" t="s">
        <v>90</v>
      </c>
      <c r="H2038" t="s">
        <v>227</v>
      </c>
      <c r="I2038" t="s">
        <v>499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84</v>
      </c>
      <c r="D2039" t="s">
        <v>408</v>
      </c>
      <c r="E2039" t="s">
        <v>179</v>
      </c>
      <c r="F2039">
        <v>7</v>
      </c>
      <c r="G2039" t="s">
        <v>90</v>
      </c>
      <c r="H2039" t="s">
        <v>227</v>
      </c>
      <c r="I2039" t="s">
        <v>485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84</v>
      </c>
      <c r="D2040" t="s">
        <v>408</v>
      </c>
      <c r="E2040" t="s">
        <v>179</v>
      </c>
      <c r="F2040">
        <v>7</v>
      </c>
      <c r="G2040" t="s">
        <v>90</v>
      </c>
      <c r="H2040" t="s">
        <v>227</v>
      </c>
      <c r="I2040" t="s">
        <v>500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84</v>
      </c>
      <c r="D2041" t="s">
        <v>408</v>
      </c>
      <c r="E2041" t="s">
        <v>179</v>
      </c>
      <c r="F2041">
        <v>7</v>
      </c>
      <c r="G2041" t="s">
        <v>90</v>
      </c>
      <c r="H2041" t="s">
        <v>227</v>
      </c>
      <c r="I2041" t="s">
        <v>501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84</v>
      </c>
      <c r="D2042" t="s">
        <v>408</v>
      </c>
      <c r="E2042" t="s">
        <v>179</v>
      </c>
      <c r="F2042">
        <v>7</v>
      </c>
      <c r="G2042" t="s">
        <v>90</v>
      </c>
      <c r="H2042" t="s">
        <v>227</v>
      </c>
      <c r="I2042" t="s">
        <v>502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84</v>
      </c>
      <c r="D2043" t="s">
        <v>408</v>
      </c>
      <c r="E2043" t="s">
        <v>179</v>
      </c>
      <c r="F2043">
        <v>7</v>
      </c>
      <c r="G2043" t="s">
        <v>90</v>
      </c>
      <c r="H2043" t="s">
        <v>227</v>
      </c>
      <c r="I2043" t="s">
        <v>503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84</v>
      </c>
      <c r="D2044" t="s">
        <v>408</v>
      </c>
      <c r="E2044" t="s">
        <v>179</v>
      </c>
      <c r="F2044">
        <v>7</v>
      </c>
      <c r="G2044" t="s">
        <v>90</v>
      </c>
      <c r="H2044" t="s">
        <v>227</v>
      </c>
      <c r="I2044" t="s">
        <v>504</v>
      </c>
      <c r="J2044">
        <v>0</v>
      </c>
    </row>
    <row r="2045" spans="1:10" x14ac:dyDescent="0.25">
      <c r="A2045" s="1" t="s">
        <v>27</v>
      </c>
      <c r="B2045">
        <v>401752677</v>
      </c>
      <c r="C2045" t="s">
        <v>84</v>
      </c>
      <c r="D2045" t="s">
        <v>408</v>
      </c>
      <c r="E2045" t="s">
        <v>179</v>
      </c>
      <c r="F2045">
        <v>7</v>
      </c>
      <c r="G2045" t="s">
        <v>90</v>
      </c>
      <c r="H2045" t="s">
        <v>228</v>
      </c>
      <c r="I2045" t="s">
        <v>487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84</v>
      </c>
      <c r="D2046" t="s">
        <v>408</v>
      </c>
      <c r="E2046" t="s">
        <v>179</v>
      </c>
      <c r="F2046">
        <v>7</v>
      </c>
      <c r="G2046" t="s">
        <v>90</v>
      </c>
      <c r="H2046" t="s">
        <v>228</v>
      </c>
      <c r="I2046" t="s">
        <v>488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84</v>
      </c>
      <c r="D2047" t="s">
        <v>408</v>
      </c>
      <c r="E2047" t="s">
        <v>179</v>
      </c>
      <c r="F2047">
        <v>7</v>
      </c>
      <c r="G2047" t="s">
        <v>90</v>
      </c>
      <c r="H2047" t="s">
        <v>228</v>
      </c>
      <c r="I2047" t="s">
        <v>489</v>
      </c>
      <c r="J2047">
        <v>0</v>
      </c>
    </row>
    <row r="2048" spans="1:10" x14ac:dyDescent="0.25">
      <c r="A2048" s="1" t="s">
        <v>27</v>
      </c>
      <c r="B2048">
        <v>401752677</v>
      </c>
      <c r="C2048" t="s">
        <v>84</v>
      </c>
      <c r="D2048" t="s">
        <v>408</v>
      </c>
      <c r="E2048" t="s">
        <v>179</v>
      </c>
      <c r="F2048">
        <v>7</v>
      </c>
      <c r="G2048" t="s">
        <v>90</v>
      </c>
      <c r="H2048" t="s">
        <v>228</v>
      </c>
      <c r="I2048" t="s">
        <v>490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84</v>
      </c>
      <c r="D2049" t="s">
        <v>408</v>
      </c>
      <c r="E2049" t="s">
        <v>179</v>
      </c>
      <c r="F2049">
        <v>7</v>
      </c>
      <c r="G2049" t="s">
        <v>90</v>
      </c>
      <c r="H2049" t="s">
        <v>228</v>
      </c>
      <c r="I2049" t="s">
        <v>491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84</v>
      </c>
      <c r="D2050" t="s">
        <v>408</v>
      </c>
      <c r="E2050" t="s">
        <v>179</v>
      </c>
      <c r="F2050">
        <v>7</v>
      </c>
      <c r="G2050" t="s">
        <v>90</v>
      </c>
      <c r="H2050" t="s">
        <v>228</v>
      </c>
      <c r="I2050" t="s">
        <v>492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84</v>
      </c>
      <c r="D2051" t="s">
        <v>408</v>
      </c>
      <c r="E2051" t="s">
        <v>179</v>
      </c>
      <c r="F2051">
        <v>7</v>
      </c>
      <c r="G2051" t="s">
        <v>90</v>
      </c>
      <c r="H2051" t="s">
        <v>228</v>
      </c>
      <c r="I2051" t="s">
        <v>493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84</v>
      </c>
      <c r="D2052" t="s">
        <v>408</v>
      </c>
      <c r="E2052" t="s">
        <v>179</v>
      </c>
      <c r="F2052">
        <v>7</v>
      </c>
      <c r="G2052" t="s">
        <v>90</v>
      </c>
      <c r="H2052" t="s">
        <v>228</v>
      </c>
      <c r="I2052" t="s">
        <v>494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84</v>
      </c>
      <c r="D2053" t="s">
        <v>408</v>
      </c>
      <c r="E2053" t="s">
        <v>179</v>
      </c>
      <c r="F2053">
        <v>7</v>
      </c>
      <c r="G2053" t="s">
        <v>90</v>
      </c>
      <c r="H2053" t="s">
        <v>228</v>
      </c>
      <c r="I2053" t="s">
        <v>495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84</v>
      </c>
      <c r="D2054" t="s">
        <v>408</v>
      </c>
      <c r="E2054" t="s">
        <v>179</v>
      </c>
      <c r="F2054">
        <v>7</v>
      </c>
      <c r="G2054" t="s">
        <v>90</v>
      </c>
      <c r="H2054" t="s">
        <v>228</v>
      </c>
      <c r="I2054" t="s">
        <v>496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84</v>
      </c>
      <c r="D2055" t="s">
        <v>408</v>
      </c>
      <c r="E2055" t="s">
        <v>179</v>
      </c>
      <c r="F2055">
        <v>7</v>
      </c>
      <c r="G2055" t="s">
        <v>90</v>
      </c>
      <c r="H2055" t="s">
        <v>228</v>
      </c>
      <c r="I2055" t="s">
        <v>150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84</v>
      </c>
      <c r="D2056" t="s">
        <v>408</v>
      </c>
      <c r="E2056" t="s">
        <v>179</v>
      </c>
      <c r="F2056">
        <v>7</v>
      </c>
      <c r="G2056" t="s">
        <v>90</v>
      </c>
      <c r="H2056" t="s">
        <v>228</v>
      </c>
      <c r="I2056" t="s">
        <v>497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84</v>
      </c>
      <c r="D2057" t="s">
        <v>408</v>
      </c>
      <c r="E2057" t="s">
        <v>179</v>
      </c>
      <c r="F2057">
        <v>7</v>
      </c>
      <c r="G2057" t="s">
        <v>90</v>
      </c>
      <c r="H2057" t="s">
        <v>228</v>
      </c>
      <c r="I2057" t="s">
        <v>498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84</v>
      </c>
      <c r="D2058" t="s">
        <v>408</v>
      </c>
      <c r="E2058" t="s">
        <v>179</v>
      </c>
      <c r="F2058">
        <v>7</v>
      </c>
      <c r="G2058" t="s">
        <v>90</v>
      </c>
      <c r="H2058" t="s">
        <v>228</v>
      </c>
      <c r="I2058" t="s">
        <v>499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84</v>
      </c>
      <c r="D2059" t="s">
        <v>408</v>
      </c>
      <c r="E2059" t="s">
        <v>179</v>
      </c>
      <c r="F2059">
        <v>7</v>
      </c>
      <c r="G2059" t="s">
        <v>90</v>
      </c>
      <c r="H2059" t="s">
        <v>228</v>
      </c>
      <c r="I2059" t="s">
        <v>485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84</v>
      </c>
      <c r="D2060" t="s">
        <v>408</v>
      </c>
      <c r="E2060" t="s">
        <v>179</v>
      </c>
      <c r="F2060">
        <v>7</v>
      </c>
      <c r="G2060" t="s">
        <v>90</v>
      </c>
      <c r="H2060" t="s">
        <v>228</v>
      </c>
      <c r="I2060" t="s">
        <v>500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84</v>
      </c>
      <c r="D2061" t="s">
        <v>408</v>
      </c>
      <c r="E2061" t="s">
        <v>179</v>
      </c>
      <c r="F2061">
        <v>7</v>
      </c>
      <c r="G2061" t="s">
        <v>90</v>
      </c>
      <c r="H2061" t="s">
        <v>228</v>
      </c>
      <c r="I2061" t="s">
        <v>501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84</v>
      </c>
      <c r="D2062" t="s">
        <v>408</v>
      </c>
      <c r="E2062" t="s">
        <v>179</v>
      </c>
      <c r="F2062">
        <v>7</v>
      </c>
      <c r="G2062" t="s">
        <v>90</v>
      </c>
      <c r="H2062" t="s">
        <v>228</v>
      </c>
      <c r="I2062" t="s">
        <v>502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84</v>
      </c>
      <c r="D2063" t="s">
        <v>408</v>
      </c>
      <c r="E2063" t="s">
        <v>179</v>
      </c>
      <c r="F2063">
        <v>7</v>
      </c>
      <c r="G2063" t="s">
        <v>90</v>
      </c>
      <c r="H2063" t="s">
        <v>228</v>
      </c>
      <c r="I2063" t="s">
        <v>503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84</v>
      </c>
      <c r="D2064" t="s">
        <v>408</v>
      </c>
      <c r="E2064" t="s">
        <v>179</v>
      </c>
      <c r="F2064">
        <v>7</v>
      </c>
      <c r="G2064" t="s">
        <v>90</v>
      </c>
      <c r="H2064" t="s">
        <v>228</v>
      </c>
      <c r="I2064" t="s">
        <v>504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84</v>
      </c>
      <c r="D2065" t="s">
        <v>408</v>
      </c>
      <c r="E2065" t="s">
        <v>179</v>
      </c>
      <c r="F2065">
        <v>7</v>
      </c>
      <c r="G2065" t="s">
        <v>90</v>
      </c>
      <c r="H2065" t="s">
        <v>229</v>
      </c>
      <c r="I2065" t="s">
        <v>487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84</v>
      </c>
      <c r="D2066" t="s">
        <v>408</v>
      </c>
      <c r="E2066" t="s">
        <v>179</v>
      </c>
      <c r="F2066">
        <v>7</v>
      </c>
      <c r="G2066" t="s">
        <v>90</v>
      </c>
      <c r="H2066" t="s">
        <v>229</v>
      </c>
      <c r="I2066" t="s">
        <v>488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84</v>
      </c>
      <c r="D2067" t="s">
        <v>408</v>
      </c>
      <c r="E2067" t="s">
        <v>179</v>
      </c>
      <c r="F2067">
        <v>7</v>
      </c>
      <c r="G2067" t="s">
        <v>90</v>
      </c>
      <c r="H2067" t="s">
        <v>229</v>
      </c>
      <c r="I2067" t="s">
        <v>489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84</v>
      </c>
      <c r="D2068" t="s">
        <v>408</v>
      </c>
      <c r="E2068" t="s">
        <v>179</v>
      </c>
      <c r="F2068">
        <v>7</v>
      </c>
      <c r="G2068" t="s">
        <v>90</v>
      </c>
      <c r="H2068" t="s">
        <v>229</v>
      </c>
      <c r="I2068" t="s">
        <v>490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84</v>
      </c>
      <c r="D2069" t="s">
        <v>408</v>
      </c>
      <c r="E2069" t="s">
        <v>179</v>
      </c>
      <c r="F2069">
        <v>7</v>
      </c>
      <c r="G2069" t="s">
        <v>90</v>
      </c>
      <c r="H2069" t="s">
        <v>229</v>
      </c>
      <c r="I2069" t="s">
        <v>491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84</v>
      </c>
      <c r="D2070" t="s">
        <v>408</v>
      </c>
      <c r="E2070" t="s">
        <v>179</v>
      </c>
      <c r="F2070">
        <v>7</v>
      </c>
      <c r="G2070" t="s">
        <v>90</v>
      </c>
      <c r="H2070" t="s">
        <v>229</v>
      </c>
      <c r="I2070" t="s">
        <v>492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84</v>
      </c>
      <c r="D2071" t="s">
        <v>408</v>
      </c>
      <c r="E2071" t="s">
        <v>179</v>
      </c>
      <c r="F2071">
        <v>7</v>
      </c>
      <c r="G2071" t="s">
        <v>90</v>
      </c>
      <c r="H2071" t="s">
        <v>229</v>
      </c>
      <c r="I2071" t="s">
        <v>493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84</v>
      </c>
      <c r="D2072" t="s">
        <v>408</v>
      </c>
      <c r="E2072" t="s">
        <v>179</v>
      </c>
      <c r="F2072">
        <v>7</v>
      </c>
      <c r="G2072" t="s">
        <v>90</v>
      </c>
      <c r="H2072" t="s">
        <v>229</v>
      </c>
      <c r="I2072" t="s">
        <v>494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84</v>
      </c>
      <c r="D2073" t="s">
        <v>408</v>
      </c>
      <c r="E2073" t="s">
        <v>179</v>
      </c>
      <c r="F2073">
        <v>7</v>
      </c>
      <c r="G2073" t="s">
        <v>90</v>
      </c>
      <c r="H2073" t="s">
        <v>229</v>
      </c>
      <c r="I2073" t="s">
        <v>495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84</v>
      </c>
      <c r="D2074" t="s">
        <v>408</v>
      </c>
      <c r="E2074" t="s">
        <v>179</v>
      </c>
      <c r="F2074">
        <v>7</v>
      </c>
      <c r="G2074" t="s">
        <v>90</v>
      </c>
      <c r="H2074" t="s">
        <v>229</v>
      </c>
      <c r="I2074" t="s">
        <v>496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84</v>
      </c>
      <c r="D2075" t="s">
        <v>408</v>
      </c>
      <c r="E2075" t="s">
        <v>179</v>
      </c>
      <c r="F2075">
        <v>7</v>
      </c>
      <c r="G2075" t="s">
        <v>90</v>
      </c>
      <c r="H2075" t="s">
        <v>229</v>
      </c>
      <c r="I2075" t="s">
        <v>150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84</v>
      </c>
      <c r="D2076" t="s">
        <v>408</v>
      </c>
      <c r="E2076" t="s">
        <v>179</v>
      </c>
      <c r="F2076">
        <v>7</v>
      </c>
      <c r="G2076" t="s">
        <v>90</v>
      </c>
      <c r="H2076" t="s">
        <v>229</v>
      </c>
      <c r="I2076" t="s">
        <v>497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84</v>
      </c>
      <c r="D2077" t="s">
        <v>408</v>
      </c>
      <c r="E2077" t="s">
        <v>179</v>
      </c>
      <c r="F2077">
        <v>7</v>
      </c>
      <c r="G2077" t="s">
        <v>90</v>
      </c>
      <c r="H2077" t="s">
        <v>229</v>
      </c>
      <c r="I2077" t="s">
        <v>498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84</v>
      </c>
      <c r="D2078" t="s">
        <v>408</v>
      </c>
      <c r="E2078" t="s">
        <v>179</v>
      </c>
      <c r="F2078">
        <v>7</v>
      </c>
      <c r="G2078" t="s">
        <v>90</v>
      </c>
      <c r="H2078" t="s">
        <v>229</v>
      </c>
      <c r="I2078" t="s">
        <v>499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84</v>
      </c>
      <c r="D2079" t="s">
        <v>408</v>
      </c>
      <c r="E2079" t="s">
        <v>179</v>
      </c>
      <c r="F2079">
        <v>7</v>
      </c>
      <c r="G2079" t="s">
        <v>90</v>
      </c>
      <c r="H2079" t="s">
        <v>229</v>
      </c>
      <c r="I2079" t="s">
        <v>485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84</v>
      </c>
      <c r="D2080" t="s">
        <v>408</v>
      </c>
      <c r="E2080" t="s">
        <v>179</v>
      </c>
      <c r="F2080">
        <v>7</v>
      </c>
      <c r="G2080" t="s">
        <v>90</v>
      </c>
      <c r="H2080" t="s">
        <v>229</v>
      </c>
      <c r="I2080" t="s">
        <v>500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84</v>
      </c>
      <c r="D2081" t="s">
        <v>408</v>
      </c>
      <c r="E2081" t="s">
        <v>179</v>
      </c>
      <c r="F2081">
        <v>7</v>
      </c>
      <c r="G2081" t="s">
        <v>90</v>
      </c>
      <c r="H2081" t="s">
        <v>229</v>
      </c>
      <c r="I2081" t="s">
        <v>501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84</v>
      </c>
      <c r="D2082" t="s">
        <v>408</v>
      </c>
      <c r="E2082" t="s">
        <v>179</v>
      </c>
      <c r="F2082">
        <v>7</v>
      </c>
      <c r="G2082" t="s">
        <v>90</v>
      </c>
      <c r="H2082" t="s">
        <v>229</v>
      </c>
      <c r="I2082" t="s">
        <v>502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84</v>
      </c>
      <c r="D2083" t="s">
        <v>408</v>
      </c>
      <c r="E2083" t="s">
        <v>179</v>
      </c>
      <c r="F2083">
        <v>7</v>
      </c>
      <c r="G2083" t="s">
        <v>90</v>
      </c>
      <c r="H2083" t="s">
        <v>229</v>
      </c>
      <c r="I2083" t="s">
        <v>503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84</v>
      </c>
      <c r="D2084" t="s">
        <v>408</v>
      </c>
      <c r="E2084" t="s">
        <v>179</v>
      </c>
      <c r="F2084">
        <v>7</v>
      </c>
      <c r="G2084" t="s">
        <v>90</v>
      </c>
      <c r="H2084" t="s">
        <v>229</v>
      </c>
      <c r="I2084" t="s">
        <v>504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84</v>
      </c>
      <c r="D2085" t="s">
        <v>408</v>
      </c>
      <c r="E2085" t="s">
        <v>179</v>
      </c>
      <c r="F2085">
        <v>7</v>
      </c>
      <c r="G2085" t="s">
        <v>90</v>
      </c>
      <c r="H2085" t="s">
        <v>91</v>
      </c>
      <c r="I2085" t="s">
        <v>487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84</v>
      </c>
      <c r="D2086" t="s">
        <v>408</v>
      </c>
      <c r="E2086" t="s">
        <v>179</v>
      </c>
      <c r="F2086">
        <v>7</v>
      </c>
      <c r="G2086" t="s">
        <v>90</v>
      </c>
      <c r="H2086" t="s">
        <v>91</v>
      </c>
      <c r="I2086" t="s">
        <v>488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84</v>
      </c>
      <c r="D2087" t="s">
        <v>408</v>
      </c>
      <c r="E2087" t="s">
        <v>179</v>
      </c>
      <c r="F2087">
        <v>7</v>
      </c>
      <c r="G2087" t="s">
        <v>90</v>
      </c>
      <c r="H2087" t="s">
        <v>91</v>
      </c>
      <c r="I2087" t="s">
        <v>489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84</v>
      </c>
      <c r="D2088" t="s">
        <v>408</v>
      </c>
      <c r="E2088" t="s">
        <v>179</v>
      </c>
      <c r="F2088">
        <v>7</v>
      </c>
      <c r="G2088" t="s">
        <v>90</v>
      </c>
      <c r="H2088" t="s">
        <v>91</v>
      </c>
      <c r="I2088" t="s">
        <v>490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84</v>
      </c>
      <c r="D2089" t="s">
        <v>408</v>
      </c>
      <c r="E2089" t="s">
        <v>179</v>
      </c>
      <c r="F2089">
        <v>7</v>
      </c>
      <c r="G2089" t="s">
        <v>90</v>
      </c>
      <c r="H2089" t="s">
        <v>91</v>
      </c>
      <c r="I2089" t="s">
        <v>491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84</v>
      </c>
      <c r="D2090" t="s">
        <v>408</v>
      </c>
      <c r="E2090" t="s">
        <v>179</v>
      </c>
      <c r="F2090">
        <v>7</v>
      </c>
      <c r="G2090" t="s">
        <v>90</v>
      </c>
      <c r="H2090" t="s">
        <v>91</v>
      </c>
      <c r="I2090" t="s">
        <v>492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84</v>
      </c>
      <c r="D2091" t="s">
        <v>408</v>
      </c>
      <c r="E2091" t="s">
        <v>179</v>
      </c>
      <c r="F2091">
        <v>7</v>
      </c>
      <c r="G2091" t="s">
        <v>90</v>
      </c>
      <c r="H2091" t="s">
        <v>91</v>
      </c>
      <c r="I2091" t="s">
        <v>493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84</v>
      </c>
      <c r="D2092" t="s">
        <v>408</v>
      </c>
      <c r="E2092" t="s">
        <v>179</v>
      </c>
      <c r="F2092">
        <v>7</v>
      </c>
      <c r="G2092" t="s">
        <v>90</v>
      </c>
      <c r="H2092" t="s">
        <v>91</v>
      </c>
      <c r="I2092" t="s">
        <v>494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84</v>
      </c>
      <c r="D2093" t="s">
        <v>408</v>
      </c>
      <c r="E2093" t="s">
        <v>179</v>
      </c>
      <c r="F2093">
        <v>7</v>
      </c>
      <c r="G2093" t="s">
        <v>90</v>
      </c>
      <c r="H2093" t="s">
        <v>91</v>
      </c>
      <c r="I2093" t="s">
        <v>495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84</v>
      </c>
      <c r="D2094" t="s">
        <v>408</v>
      </c>
      <c r="E2094" t="s">
        <v>179</v>
      </c>
      <c r="F2094">
        <v>7</v>
      </c>
      <c r="G2094" t="s">
        <v>90</v>
      </c>
      <c r="H2094" t="s">
        <v>91</v>
      </c>
      <c r="I2094" t="s">
        <v>496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84</v>
      </c>
      <c r="D2095" t="s">
        <v>408</v>
      </c>
      <c r="E2095" t="s">
        <v>179</v>
      </c>
      <c r="F2095">
        <v>7</v>
      </c>
      <c r="G2095" t="s">
        <v>90</v>
      </c>
      <c r="H2095" t="s">
        <v>91</v>
      </c>
      <c r="I2095" t="s">
        <v>150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84</v>
      </c>
      <c r="D2096" t="s">
        <v>408</v>
      </c>
      <c r="E2096" t="s">
        <v>179</v>
      </c>
      <c r="F2096">
        <v>7</v>
      </c>
      <c r="G2096" t="s">
        <v>90</v>
      </c>
      <c r="H2096" t="s">
        <v>91</v>
      </c>
      <c r="I2096" t="s">
        <v>497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84</v>
      </c>
      <c r="D2097" t="s">
        <v>408</v>
      </c>
      <c r="E2097" t="s">
        <v>179</v>
      </c>
      <c r="F2097">
        <v>7</v>
      </c>
      <c r="G2097" t="s">
        <v>90</v>
      </c>
      <c r="H2097" t="s">
        <v>91</v>
      </c>
      <c r="I2097" t="s">
        <v>498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84</v>
      </c>
      <c r="D2098" t="s">
        <v>408</v>
      </c>
      <c r="E2098" t="s">
        <v>179</v>
      </c>
      <c r="F2098">
        <v>7</v>
      </c>
      <c r="G2098" t="s">
        <v>90</v>
      </c>
      <c r="H2098" t="s">
        <v>91</v>
      </c>
      <c r="I2098" t="s">
        <v>499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84</v>
      </c>
      <c r="D2099" t="s">
        <v>408</v>
      </c>
      <c r="E2099" t="s">
        <v>179</v>
      </c>
      <c r="F2099">
        <v>7</v>
      </c>
      <c r="G2099" t="s">
        <v>90</v>
      </c>
      <c r="H2099" t="s">
        <v>91</v>
      </c>
      <c r="I2099" t="s">
        <v>485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84</v>
      </c>
      <c r="D2100" t="s">
        <v>408</v>
      </c>
      <c r="E2100" t="s">
        <v>179</v>
      </c>
      <c r="F2100">
        <v>7</v>
      </c>
      <c r="G2100" t="s">
        <v>90</v>
      </c>
      <c r="H2100" t="s">
        <v>91</v>
      </c>
      <c r="I2100" t="s">
        <v>500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84</v>
      </c>
      <c r="D2101" t="s">
        <v>408</v>
      </c>
      <c r="E2101" t="s">
        <v>179</v>
      </c>
      <c r="F2101">
        <v>7</v>
      </c>
      <c r="G2101" t="s">
        <v>90</v>
      </c>
      <c r="H2101" t="s">
        <v>91</v>
      </c>
      <c r="I2101" t="s">
        <v>501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84</v>
      </c>
      <c r="D2102" t="s">
        <v>408</v>
      </c>
      <c r="E2102" t="s">
        <v>179</v>
      </c>
      <c r="F2102">
        <v>7</v>
      </c>
      <c r="G2102" t="s">
        <v>90</v>
      </c>
      <c r="H2102" t="s">
        <v>91</v>
      </c>
      <c r="I2102" t="s">
        <v>502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84</v>
      </c>
      <c r="D2103" t="s">
        <v>408</v>
      </c>
      <c r="E2103" t="s">
        <v>179</v>
      </c>
      <c r="F2103">
        <v>7</v>
      </c>
      <c r="G2103" t="s">
        <v>90</v>
      </c>
      <c r="H2103" t="s">
        <v>91</v>
      </c>
      <c r="I2103" t="s">
        <v>503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84</v>
      </c>
      <c r="D2104" t="s">
        <v>408</v>
      </c>
      <c r="E2104" t="s">
        <v>179</v>
      </c>
      <c r="F2104">
        <v>7</v>
      </c>
      <c r="G2104" t="s">
        <v>90</v>
      </c>
      <c r="H2104" t="s">
        <v>91</v>
      </c>
      <c r="I2104" t="s">
        <v>504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84</v>
      </c>
      <c r="D2105" t="s">
        <v>408</v>
      </c>
      <c r="E2105" t="s">
        <v>179</v>
      </c>
      <c r="F2105">
        <v>7</v>
      </c>
      <c r="G2105" t="s">
        <v>90</v>
      </c>
      <c r="H2105" t="s">
        <v>230</v>
      </c>
      <c r="I2105" t="s">
        <v>487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84</v>
      </c>
      <c r="D2106" t="s">
        <v>408</v>
      </c>
      <c r="E2106" t="s">
        <v>179</v>
      </c>
      <c r="F2106">
        <v>7</v>
      </c>
      <c r="G2106" t="s">
        <v>90</v>
      </c>
      <c r="H2106" t="s">
        <v>230</v>
      </c>
      <c r="I2106" t="s">
        <v>488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84</v>
      </c>
      <c r="D2107" t="s">
        <v>408</v>
      </c>
      <c r="E2107" t="s">
        <v>179</v>
      </c>
      <c r="F2107">
        <v>7</v>
      </c>
      <c r="G2107" t="s">
        <v>90</v>
      </c>
      <c r="H2107" t="s">
        <v>230</v>
      </c>
      <c r="I2107" t="s">
        <v>489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84</v>
      </c>
      <c r="D2108" t="s">
        <v>408</v>
      </c>
      <c r="E2108" t="s">
        <v>179</v>
      </c>
      <c r="F2108">
        <v>7</v>
      </c>
      <c r="G2108" t="s">
        <v>90</v>
      </c>
      <c r="H2108" t="s">
        <v>230</v>
      </c>
      <c r="I2108" t="s">
        <v>490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84</v>
      </c>
      <c r="D2109" t="s">
        <v>408</v>
      </c>
      <c r="E2109" t="s">
        <v>179</v>
      </c>
      <c r="F2109">
        <v>7</v>
      </c>
      <c r="G2109" t="s">
        <v>90</v>
      </c>
      <c r="H2109" t="s">
        <v>230</v>
      </c>
      <c r="I2109" t="s">
        <v>491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84</v>
      </c>
      <c r="D2110" t="s">
        <v>408</v>
      </c>
      <c r="E2110" t="s">
        <v>179</v>
      </c>
      <c r="F2110">
        <v>7</v>
      </c>
      <c r="G2110" t="s">
        <v>90</v>
      </c>
      <c r="H2110" t="s">
        <v>230</v>
      </c>
      <c r="I2110" t="s">
        <v>492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84</v>
      </c>
      <c r="D2111" t="s">
        <v>408</v>
      </c>
      <c r="E2111" t="s">
        <v>179</v>
      </c>
      <c r="F2111">
        <v>7</v>
      </c>
      <c r="G2111" t="s">
        <v>90</v>
      </c>
      <c r="H2111" t="s">
        <v>230</v>
      </c>
      <c r="I2111" t="s">
        <v>493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84</v>
      </c>
      <c r="D2112" t="s">
        <v>408</v>
      </c>
      <c r="E2112" t="s">
        <v>179</v>
      </c>
      <c r="F2112">
        <v>7</v>
      </c>
      <c r="G2112" t="s">
        <v>90</v>
      </c>
      <c r="H2112" t="s">
        <v>230</v>
      </c>
      <c r="I2112" t="s">
        <v>494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84</v>
      </c>
      <c r="D2113" t="s">
        <v>408</v>
      </c>
      <c r="E2113" t="s">
        <v>179</v>
      </c>
      <c r="F2113">
        <v>7</v>
      </c>
      <c r="G2113" t="s">
        <v>90</v>
      </c>
      <c r="H2113" t="s">
        <v>230</v>
      </c>
      <c r="I2113" t="s">
        <v>495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84</v>
      </c>
      <c r="D2114" t="s">
        <v>408</v>
      </c>
      <c r="E2114" t="s">
        <v>179</v>
      </c>
      <c r="F2114">
        <v>7</v>
      </c>
      <c r="G2114" t="s">
        <v>90</v>
      </c>
      <c r="H2114" t="s">
        <v>230</v>
      </c>
      <c r="I2114" t="s">
        <v>496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84</v>
      </c>
      <c r="D2115" t="s">
        <v>408</v>
      </c>
      <c r="E2115" t="s">
        <v>179</v>
      </c>
      <c r="F2115">
        <v>7</v>
      </c>
      <c r="G2115" t="s">
        <v>90</v>
      </c>
      <c r="H2115" t="s">
        <v>230</v>
      </c>
      <c r="I2115" t="s">
        <v>150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84</v>
      </c>
      <c r="D2116" t="s">
        <v>408</v>
      </c>
      <c r="E2116" t="s">
        <v>179</v>
      </c>
      <c r="F2116">
        <v>7</v>
      </c>
      <c r="G2116" t="s">
        <v>90</v>
      </c>
      <c r="H2116" t="s">
        <v>230</v>
      </c>
      <c r="I2116" t="s">
        <v>497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84</v>
      </c>
      <c r="D2117" t="s">
        <v>408</v>
      </c>
      <c r="E2117" t="s">
        <v>179</v>
      </c>
      <c r="F2117">
        <v>7</v>
      </c>
      <c r="G2117" t="s">
        <v>90</v>
      </c>
      <c r="H2117" t="s">
        <v>230</v>
      </c>
      <c r="I2117" t="s">
        <v>498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84</v>
      </c>
      <c r="D2118" t="s">
        <v>408</v>
      </c>
      <c r="E2118" t="s">
        <v>179</v>
      </c>
      <c r="F2118">
        <v>7</v>
      </c>
      <c r="G2118" t="s">
        <v>90</v>
      </c>
      <c r="H2118" t="s">
        <v>230</v>
      </c>
      <c r="I2118" t="s">
        <v>499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84</v>
      </c>
      <c r="D2119" t="s">
        <v>408</v>
      </c>
      <c r="E2119" t="s">
        <v>179</v>
      </c>
      <c r="F2119">
        <v>7</v>
      </c>
      <c r="G2119" t="s">
        <v>90</v>
      </c>
      <c r="H2119" t="s">
        <v>230</v>
      </c>
      <c r="I2119" t="s">
        <v>485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84</v>
      </c>
      <c r="D2120" t="s">
        <v>408</v>
      </c>
      <c r="E2120" t="s">
        <v>179</v>
      </c>
      <c r="F2120">
        <v>7</v>
      </c>
      <c r="G2120" t="s">
        <v>90</v>
      </c>
      <c r="H2120" t="s">
        <v>230</v>
      </c>
      <c r="I2120" t="s">
        <v>500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84</v>
      </c>
      <c r="D2121" t="s">
        <v>408</v>
      </c>
      <c r="E2121" t="s">
        <v>179</v>
      </c>
      <c r="F2121">
        <v>7</v>
      </c>
      <c r="G2121" t="s">
        <v>90</v>
      </c>
      <c r="H2121" t="s">
        <v>230</v>
      </c>
      <c r="I2121" t="s">
        <v>501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84</v>
      </c>
      <c r="D2122" t="s">
        <v>408</v>
      </c>
      <c r="E2122" t="s">
        <v>179</v>
      </c>
      <c r="F2122">
        <v>7</v>
      </c>
      <c r="G2122" t="s">
        <v>90</v>
      </c>
      <c r="H2122" t="s">
        <v>230</v>
      </c>
      <c r="I2122" t="s">
        <v>502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84</v>
      </c>
      <c r="D2123" t="s">
        <v>408</v>
      </c>
      <c r="E2123" t="s">
        <v>179</v>
      </c>
      <c r="F2123">
        <v>7</v>
      </c>
      <c r="G2123" t="s">
        <v>90</v>
      </c>
      <c r="H2123" t="s">
        <v>230</v>
      </c>
      <c r="I2123" t="s">
        <v>503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84</v>
      </c>
      <c r="D2124" t="s">
        <v>408</v>
      </c>
      <c r="E2124" t="s">
        <v>179</v>
      </c>
      <c r="F2124">
        <v>7</v>
      </c>
      <c r="G2124" t="s">
        <v>90</v>
      </c>
      <c r="H2124" t="s">
        <v>230</v>
      </c>
      <c r="I2124" t="s">
        <v>504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84</v>
      </c>
      <c r="D2125" t="s">
        <v>408</v>
      </c>
      <c r="E2125" t="s">
        <v>179</v>
      </c>
      <c r="F2125">
        <v>7</v>
      </c>
      <c r="G2125" t="s">
        <v>90</v>
      </c>
      <c r="H2125" t="s">
        <v>188</v>
      </c>
      <c r="I2125" t="s">
        <v>487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84</v>
      </c>
      <c r="D2126" t="s">
        <v>408</v>
      </c>
      <c r="E2126" t="s">
        <v>179</v>
      </c>
      <c r="F2126">
        <v>7</v>
      </c>
      <c r="G2126" t="s">
        <v>90</v>
      </c>
      <c r="H2126" t="s">
        <v>188</v>
      </c>
      <c r="I2126" t="s">
        <v>488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84</v>
      </c>
      <c r="D2127" t="s">
        <v>408</v>
      </c>
      <c r="E2127" t="s">
        <v>179</v>
      </c>
      <c r="F2127">
        <v>7</v>
      </c>
      <c r="G2127" t="s">
        <v>90</v>
      </c>
      <c r="H2127" t="s">
        <v>188</v>
      </c>
      <c r="I2127" t="s">
        <v>489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84</v>
      </c>
      <c r="D2128" t="s">
        <v>408</v>
      </c>
      <c r="E2128" t="s">
        <v>179</v>
      </c>
      <c r="F2128">
        <v>7</v>
      </c>
      <c r="G2128" t="s">
        <v>90</v>
      </c>
      <c r="H2128" t="s">
        <v>188</v>
      </c>
      <c r="I2128" t="s">
        <v>490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84</v>
      </c>
      <c r="D2129" t="s">
        <v>408</v>
      </c>
      <c r="E2129" t="s">
        <v>179</v>
      </c>
      <c r="F2129">
        <v>7</v>
      </c>
      <c r="G2129" t="s">
        <v>90</v>
      </c>
      <c r="H2129" t="s">
        <v>188</v>
      </c>
      <c r="I2129" t="s">
        <v>491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84</v>
      </c>
      <c r="D2130" t="s">
        <v>408</v>
      </c>
      <c r="E2130" t="s">
        <v>179</v>
      </c>
      <c r="F2130">
        <v>7</v>
      </c>
      <c r="G2130" t="s">
        <v>90</v>
      </c>
      <c r="H2130" t="s">
        <v>188</v>
      </c>
      <c r="I2130" t="s">
        <v>492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84</v>
      </c>
      <c r="D2131" t="s">
        <v>408</v>
      </c>
      <c r="E2131" t="s">
        <v>179</v>
      </c>
      <c r="F2131">
        <v>7</v>
      </c>
      <c r="G2131" t="s">
        <v>90</v>
      </c>
      <c r="H2131" t="s">
        <v>188</v>
      </c>
      <c r="I2131" t="s">
        <v>493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84</v>
      </c>
      <c r="D2132" t="s">
        <v>408</v>
      </c>
      <c r="E2132" t="s">
        <v>179</v>
      </c>
      <c r="F2132">
        <v>7</v>
      </c>
      <c r="G2132" t="s">
        <v>90</v>
      </c>
      <c r="H2132" t="s">
        <v>188</v>
      </c>
      <c r="I2132" t="s">
        <v>494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84</v>
      </c>
      <c r="D2133" t="s">
        <v>408</v>
      </c>
      <c r="E2133" t="s">
        <v>179</v>
      </c>
      <c r="F2133">
        <v>7</v>
      </c>
      <c r="G2133" t="s">
        <v>90</v>
      </c>
      <c r="H2133" t="s">
        <v>188</v>
      </c>
      <c r="I2133" t="s">
        <v>495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84</v>
      </c>
      <c r="D2134" t="s">
        <v>408</v>
      </c>
      <c r="E2134" t="s">
        <v>179</v>
      </c>
      <c r="F2134">
        <v>7</v>
      </c>
      <c r="G2134" t="s">
        <v>90</v>
      </c>
      <c r="H2134" t="s">
        <v>188</v>
      </c>
      <c r="I2134" t="s">
        <v>496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84</v>
      </c>
      <c r="D2135" t="s">
        <v>408</v>
      </c>
      <c r="E2135" t="s">
        <v>179</v>
      </c>
      <c r="F2135">
        <v>7</v>
      </c>
      <c r="G2135" t="s">
        <v>90</v>
      </c>
      <c r="H2135" t="s">
        <v>188</v>
      </c>
      <c r="I2135" t="s">
        <v>150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84</v>
      </c>
      <c r="D2136" t="s">
        <v>408</v>
      </c>
      <c r="E2136" t="s">
        <v>179</v>
      </c>
      <c r="F2136">
        <v>7</v>
      </c>
      <c r="G2136" t="s">
        <v>90</v>
      </c>
      <c r="H2136" t="s">
        <v>188</v>
      </c>
      <c r="I2136" t="s">
        <v>497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84</v>
      </c>
      <c r="D2137" t="s">
        <v>408</v>
      </c>
      <c r="E2137" t="s">
        <v>179</v>
      </c>
      <c r="F2137">
        <v>7</v>
      </c>
      <c r="G2137" t="s">
        <v>90</v>
      </c>
      <c r="H2137" t="s">
        <v>188</v>
      </c>
      <c r="I2137" t="s">
        <v>498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84</v>
      </c>
      <c r="D2138" t="s">
        <v>408</v>
      </c>
      <c r="E2138" t="s">
        <v>179</v>
      </c>
      <c r="F2138">
        <v>7</v>
      </c>
      <c r="G2138" t="s">
        <v>90</v>
      </c>
      <c r="H2138" t="s">
        <v>188</v>
      </c>
      <c r="I2138" t="s">
        <v>499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84</v>
      </c>
      <c r="D2139" t="s">
        <v>408</v>
      </c>
      <c r="E2139" t="s">
        <v>179</v>
      </c>
      <c r="F2139">
        <v>7</v>
      </c>
      <c r="G2139" t="s">
        <v>90</v>
      </c>
      <c r="H2139" t="s">
        <v>188</v>
      </c>
      <c r="I2139" t="s">
        <v>485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84</v>
      </c>
      <c r="D2140" t="s">
        <v>408</v>
      </c>
      <c r="E2140" t="s">
        <v>179</v>
      </c>
      <c r="F2140">
        <v>7</v>
      </c>
      <c r="G2140" t="s">
        <v>90</v>
      </c>
      <c r="H2140" t="s">
        <v>188</v>
      </c>
      <c r="I2140" t="s">
        <v>500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84</v>
      </c>
      <c r="D2141" t="s">
        <v>408</v>
      </c>
      <c r="E2141" t="s">
        <v>179</v>
      </c>
      <c r="F2141">
        <v>7</v>
      </c>
      <c r="G2141" t="s">
        <v>90</v>
      </c>
      <c r="H2141" t="s">
        <v>188</v>
      </c>
      <c r="I2141" t="s">
        <v>501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84</v>
      </c>
      <c r="D2142" t="s">
        <v>408</v>
      </c>
      <c r="E2142" t="s">
        <v>179</v>
      </c>
      <c r="F2142">
        <v>7</v>
      </c>
      <c r="G2142" t="s">
        <v>90</v>
      </c>
      <c r="H2142" t="s">
        <v>188</v>
      </c>
      <c r="I2142" t="s">
        <v>502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84</v>
      </c>
      <c r="D2143" t="s">
        <v>408</v>
      </c>
      <c r="E2143" t="s">
        <v>179</v>
      </c>
      <c r="F2143">
        <v>7</v>
      </c>
      <c r="G2143" t="s">
        <v>90</v>
      </c>
      <c r="H2143" t="s">
        <v>188</v>
      </c>
      <c r="I2143" t="s">
        <v>503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84</v>
      </c>
      <c r="D2144" t="s">
        <v>408</v>
      </c>
      <c r="E2144" t="s">
        <v>179</v>
      </c>
      <c r="F2144">
        <v>7</v>
      </c>
      <c r="G2144" t="s">
        <v>90</v>
      </c>
      <c r="H2144" t="s">
        <v>188</v>
      </c>
      <c r="I2144" t="s">
        <v>504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84</v>
      </c>
      <c r="D2145" t="s">
        <v>408</v>
      </c>
      <c r="E2145" t="s">
        <v>179</v>
      </c>
      <c r="F2145">
        <v>7</v>
      </c>
      <c r="G2145" t="s">
        <v>272</v>
      </c>
      <c r="H2145" t="s">
        <v>232</v>
      </c>
      <c r="I2145" t="s">
        <v>480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84</v>
      </c>
      <c r="D2146" t="s">
        <v>408</v>
      </c>
      <c r="E2146" t="s">
        <v>179</v>
      </c>
      <c r="F2146">
        <v>7</v>
      </c>
      <c r="G2146" t="s">
        <v>272</v>
      </c>
      <c r="H2146" t="s">
        <v>186</v>
      </c>
      <c r="I2146" t="s">
        <v>480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84</v>
      </c>
      <c r="D2147" t="s">
        <v>408</v>
      </c>
      <c r="E2147" t="s">
        <v>179</v>
      </c>
      <c r="F2147">
        <v>7</v>
      </c>
      <c r="G2147" t="s">
        <v>272</v>
      </c>
      <c r="H2147" t="s">
        <v>187</v>
      </c>
      <c r="I2147" t="s">
        <v>480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84</v>
      </c>
      <c r="D2148" t="s">
        <v>408</v>
      </c>
      <c r="E2148" t="s">
        <v>179</v>
      </c>
      <c r="F2148">
        <v>7</v>
      </c>
      <c r="G2148" t="s">
        <v>272</v>
      </c>
      <c r="H2148" t="s">
        <v>198</v>
      </c>
      <c r="I2148" t="s">
        <v>480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84</v>
      </c>
      <c r="D2149" t="s">
        <v>408</v>
      </c>
      <c r="E2149" t="s">
        <v>179</v>
      </c>
      <c r="F2149">
        <v>7</v>
      </c>
      <c r="G2149" t="s">
        <v>272</v>
      </c>
      <c r="H2149" t="s">
        <v>188</v>
      </c>
      <c r="I2149" t="s">
        <v>480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84</v>
      </c>
      <c r="D2150" t="s">
        <v>408</v>
      </c>
      <c r="E2150" t="s">
        <v>179</v>
      </c>
      <c r="F2150">
        <v>7</v>
      </c>
      <c r="G2150" t="s">
        <v>231</v>
      </c>
      <c r="H2150" t="s">
        <v>232</v>
      </c>
      <c r="I2150" t="s">
        <v>505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84</v>
      </c>
      <c r="D2151" t="s">
        <v>408</v>
      </c>
      <c r="E2151" t="s">
        <v>179</v>
      </c>
      <c r="F2151">
        <v>7</v>
      </c>
      <c r="G2151" t="s">
        <v>231</v>
      </c>
      <c r="H2151" t="s">
        <v>186</v>
      </c>
      <c r="I2151" t="s">
        <v>505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84</v>
      </c>
      <c r="D2152" t="s">
        <v>408</v>
      </c>
      <c r="E2152" t="s">
        <v>179</v>
      </c>
      <c r="F2152">
        <v>7</v>
      </c>
      <c r="G2152" t="s">
        <v>231</v>
      </c>
      <c r="H2152" t="s">
        <v>187</v>
      </c>
      <c r="I2152" t="s">
        <v>505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84</v>
      </c>
      <c r="D2153" t="s">
        <v>408</v>
      </c>
      <c r="E2153" t="s">
        <v>179</v>
      </c>
      <c r="F2153">
        <v>7</v>
      </c>
      <c r="G2153" t="s">
        <v>231</v>
      </c>
      <c r="H2153" t="s">
        <v>198</v>
      </c>
      <c r="I2153" t="s">
        <v>505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84</v>
      </c>
      <c r="D2154" t="s">
        <v>408</v>
      </c>
      <c r="E2154" t="s">
        <v>179</v>
      </c>
      <c r="F2154">
        <v>7</v>
      </c>
      <c r="G2154" t="s">
        <v>231</v>
      </c>
      <c r="H2154" t="s">
        <v>188</v>
      </c>
      <c r="I2154" t="s">
        <v>505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84</v>
      </c>
      <c r="D2155" t="s">
        <v>408</v>
      </c>
      <c r="E2155" t="s">
        <v>179</v>
      </c>
      <c r="F2155">
        <v>7</v>
      </c>
      <c r="G2155" t="s">
        <v>233</v>
      </c>
      <c r="H2155" t="s">
        <v>234</v>
      </c>
      <c r="I2155" t="s">
        <v>506</v>
      </c>
      <c r="J2155" t="s">
        <v>368</v>
      </c>
    </row>
    <row r="2156" spans="1:10" x14ac:dyDescent="0.25">
      <c r="A2156" s="1" t="s">
        <v>27</v>
      </c>
      <c r="B2156">
        <v>401752677</v>
      </c>
      <c r="C2156" t="s">
        <v>84</v>
      </c>
      <c r="D2156" t="s">
        <v>408</v>
      </c>
      <c r="E2156" t="s">
        <v>179</v>
      </c>
      <c r="F2156">
        <v>7</v>
      </c>
      <c r="G2156" t="s">
        <v>233</v>
      </c>
      <c r="H2156" t="s">
        <v>236</v>
      </c>
      <c r="I2156" t="s">
        <v>506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84</v>
      </c>
      <c r="D2157" t="s">
        <v>408</v>
      </c>
      <c r="E2157" t="s">
        <v>179</v>
      </c>
      <c r="F2157">
        <v>7</v>
      </c>
      <c r="G2157" t="s">
        <v>233</v>
      </c>
      <c r="H2157" t="s">
        <v>198</v>
      </c>
      <c r="I2157" t="s">
        <v>506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84</v>
      </c>
      <c r="D2158" t="s">
        <v>408</v>
      </c>
      <c r="E2158" t="s">
        <v>179</v>
      </c>
      <c r="F2158">
        <v>7</v>
      </c>
      <c r="G2158" t="s">
        <v>233</v>
      </c>
      <c r="H2158" t="s">
        <v>237</v>
      </c>
      <c r="I2158" t="s">
        <v>506</v>
      </c>
      <c r="J2158" s="73">
        <v>45658</v>
      </c>
    </row>
    <row r="2159" spans="1:10" x14ac:dyDescent="0.25">
      <c r="A2159" s="1" t="s">
        <v>27</v>
      </c>
      <c r="B2159">
        <v>401752677</v>
      </c>
      <c r="C2159" t="s">
        <v>84</v>
      </c>
      <c r="D2159" t="s">
        <v>408</v>
      </c>
      <c r="E2159" t="s">
        <v>179</v>
      </c>
      <c r="F2159">
        <v>7</v>
      </c>
      <c r="G2159" t="s">
        <v>233</v>
      </c>
      <c r="H2159" t="s">
        <v>238</v>
      </c>
      <c r="I2159" t="s">
        <v>506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84</v>
      </c>
      <c r="D2160" t="s">
        <v>408</v>
      </c>
      <c r="E2160" t="s">
        <v>179</v>
      </c>
      <c r="F2160">
        <v>7</v>
      </c>
      <c r="G2160" t="s">
        <v>239</v>
      </c>
      <c r="H2160" t="s">
        <v>232</v>
      </c>
      <c r="I2160" t="s">
        <v>507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84</v>
      </c>
      <c r="D2161" t="s">
        <v>408</v>
      </c>
      <c r="E2161" t="s">
        <v>179</v>
      </c>
      <c r="F2161">
        <v>7</v>
      </c>
      <c r="G2161" t="s">
        <v>239</v>
      </c>
      <c r="H2161" t="s">
        <v>186</v>
      </c>
      <c r="I2161" t="s">
        <v>507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84</v>
      </c>
      <c r="D2162" t="s">
        <v>408</v>
      </c>
      <c r="E2162" t="s">
        <v>179</v>
      </c>
      <c r="F2162">
        <v>7</v>
      </c>
      <c r="G2162" t="s">
        <v>239</v>
      </c>
      <c r="H2162" t="s">
        <v>187</v>
      </c>
      <c r="I2162" t="s">
        <v>507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84</v>
      </c>
      <c r="D2163" t="s">
        <v>408</v>
      </c>
      <c r="E2163" t="s">
        <v>179</v>
      </c>
      <c r="F2163">
        <v>7</v>
      </c>
      <c r="G2163" t="s">
        <v>239</v>
      </c>
      <c r="H2163" t="s">
        <v>241</v>
      </c>
      <c r="I2163" t="s">
        <v>507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84</v>
      </c>
      <c r="D2164" t="s">
        <v>408</v>
      </c>
      <c r="E2164" t="s">
        <v>179</v>
      </c>
      <c r="F2164">
        <v>7</v>
      </c>
      <c r="G2164" t="s">
        <v>239</v>
      </c>
      <c r="H2164" t="s">
        <v>242</v>
      </c>
      <c r="I2164" t="s">
        <v>507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84</v>
      </c>
      <c r="D2165" t="s">
        <v>408</v>
      </c>
      <c r="E2165" t="s">
        <v>179</v>
      </c>
      <c r="F2165">
        <v>7</v>
      </c>
      <c r="G2165" t="s">
        <v>239</v>
      </c>
      <c r="H2165" t="s">
        <v>198</v>
      </c>
      <c r="I2165" t="s">
        <v>507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96</v>
      </c>
      <c r="D2166" t="s">
        <v>508</v>
      </c>
      <c r="E2166" t="s">
        <v>89</v>
      </c>
      <c r="F2166">
        <v>24</v>
      </c>
      <c r="G2166" t="s">
        <v>180</v>
      </c>
      <c r="H2166" t="s">
        <v>181</v>
      </c>
      <c r="I2166" t="s">
        <v>509</v>
      </c>
      <c r="J2166" t="s">
        <v>510</v>
      </c>
    </row>
    <row r="2167" spans="1:10" x14ac:dyDescent="0.25">
      <c r="A2167" s="1" t="s">
        <v>27</v>
      </c>
      <c r="B2167">
        <v>401752667</v>
      </c>
      <c r="C2167" t="s">
        <v>96</v>
      </c>
      <c r="D2167" t="s">
        <v>508</v>
      </c>
      <c r="E2167" t="s">
        <v>89</v>
      </c>
      <c r="F2167">
        <v>24</v>
      </c>
      <c r="G2167" t="s">
        <v>180</v>
      </c>
      <c r="H2167" t="s">
        <v>186</v>
      </c>
      <c r="I2167" t="s">
        <v>509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96</v>
      </c>
      <c r="D2168" t="s">
        <v>508</v>
      </c>
      <c r="E2168" t="s">
        <v>89</v>
      </c>
      <c r="F2168">
        <v>24</v>
      </c>
      <c r="G2168" t="s">
        <v>180</v>
      </c>
      <c r="H2168" t="s">
        <v>187</v>
      </c>
      <c r="I2168" t="s">
        <v>509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96</v>
      </c>
      <c r="D2169" t="s">
        <v>508</v>
      </c>
      <c r="E2169" t="s">
        <v>89</v>
      </c>
      <c r="F2169">
        <v>24</v>
      </c>
      <c r="G2169" t="s">
        <v>180</v>
      </c>
      <c r="H2169" t="s">
        <v>188</v>
      </c>
      <c r="I2169" t="s">
        <v>509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96</v>
      </c>
      <c r="D2170" t="s">
        <v>508</v>
      </c>
      <c r="E2170" t="s">
        <v>89</v>
      </c>
      <c r="F2170">
        <v>24</v>
      </c>
      <c r="G2170" t="s">
        <v>180</v>
      </c>
      <c r="H2170" t="s">
        <v>189</v>
      </c>
      <c r="I2170" t="s">
        <v>509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96</v>
      </c>
      <c r="D2171" t="s">
        <v>508</v>
      </c>
      <c r="E2171" t="s">
        <v>89</v>
      </c>
      <c r="F2171">
        <v>24</v>
      </c>
      <c r="G2171" t="s">
        <v>180</v>
      </c>
      <c r="H2171" t="s">
        <v>190</v>
      </c>
      <c r="I2171" t="s">
        <v>509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96</v>
      </c>
      <c r="D2172" t="s">
        <v>508</v>
      </c>
      <c r="E2172" t="s">
        <v>89</v>
      </c>
      <c r="F2172">
        <v>24</v>
      </c>
      <c r="G2172" t="s">
        <v>192</v>
      </c>
      <c r="H2172" t="s">
        <v>193</v>
      </c>
      <c r="I2172" t="s">
        <v>105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96</v>
      </c>
      <c r="D2173" t="s">
        <v>508</v>
      </c>
      <c r="E2173" t="s">
        <v>89</v>
      </c>
      <c r="F2173">
        <v>24</v>
      </c>
      <c r="G2173" t="s">
        <v>192</v>
      </c>
      <c r="H2173" t="s">
        <v>193</v>
      </c>
      <c r="I2173" t="s">
        <v>511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96</v>
      </c>
      <c r="D2174" t="s">
        <v>508</v>
      </c>
      <c r="E2174" t="s">
        <v>89</v>
      </c>
      <c r="F2174">
        <v>24</v>
      </c>
      <c r="G2174" t="s">
        <v>192</v>
      </c>
      <c r="H2174" t="s">
        <v>193</v>
      </c>
      <c r="I2174" t="s">
        <v>509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96</v>
      </c>
      <c r="D2175" t="s">
        <v>508</v>
      </c>
      <c r="E2175" t="s">
        <v>89</v>
      </c>
      <c r="F2175">
        <v>24</v>
      </c>
      <c r="G2175" t="s">
        <v>192</v>
      </c>
      <c r="H2175" t="s">
        <v>186</v>
      </c>
      <c r="I2175" t="s">
        <v>105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96</v>
      </c>
      <c r="D2176" t="s">
        <v>508</v>
      </c>
      <c r="E2176" t="s">
        <v>89</v>
      </c>
      <c r="F2176">
        <v>24</v>
      </c>
      <c r="G2176" t="s">
        <v>192</v>
      </c>
      <c r="H2176" t="s">
        <v>186</v>
      </c>
      <c r="I2176" t="s">
        <v>511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96</v>
      </c>
      <c r="D2177" t="s">
        <v>508</v>
      </c>
      <c r="E2177" t="s">
        <v>89</v>
      </c>
      <c r="F2177">
        <v>24</v>
      </c>
      <c r="G2177" t="s">
        <v>192</v>
      </c>
      <c r="H2177" t="s">
        <v>186</v>
      </c>
      <c r="I2177" t="s">
        <v>509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96</v>
      </c>
      <c r="D2178" t="s">
        <v>508</v>
      </c>
      <c r="E2178" t="s">
        <v>89</v>
      </c>
      <c r="F2178">
        <v>24</v>
      </c>
      <c r="G2178" t="s">
        <v>192</v>
      </c>
      <c r="H2178" t="s">
        <v>187</v>
      </c>
      <c r="I2178" t="s">
        <v>105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96</v>
      </c>
      <c r="D2179" t="s">
        <v>508</v>
      </c>
      <c r="E2179" t="s">
        <v>89</v>
      </c>
      <c r="F2179">
        <v>24</v>
      </c>
      <c r="G2179" t="s">
        <v>192</v>
      </c>
      <c r="H2179" t="s">
        <v>187</v>
      </c>
      <c r="I2179" t="s">
        <v>511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96</v>
      </c>
      <c r="D2180" t="s">
        <v>508</v>
      </c>
      <c r="E2180" t="s">
        <v>89</v>
      </c>
      <c r="F2180">
        <v>24</v>
      </c>
      <c r="G2180" t="s">
        <v>192</v>
      </c>
      <c r="H2180" t="s">
        <v>187</v>
      </c>
      <c r="I2180" t="s">
        <v>509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96</v>
      </c>
      <c r="D2181" t="s">
        <v>508</v>
      </c>
      <c r="E2181" t="s">
        <v>89</v>
      </c>
      <c r="F2181">
        <v>24</v>
      </c>
      <c r="G2181" t="s">
        <v>192</v>
      </c>
      <c r="H2181" t="s">
        <v>188</v>
      </c>
      <c r="I2181" t="s">
        <v>105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96</v>
      </c>
      <c r="D2182" t="s">
        <v>508</v>
      </c>
      <c r="E2182" t="s">
        <v>89</v>
      </c>
      <c r="F2182">
        <v>24</v>
      </c>
      <c r="G2182" t="s">
        <v>192</v>
      </c>
      <c r="H2182" t="s">
        <v>188</v>
      </c>
      <c r="I2182" t="s">
        <v>511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96</v>
      </c>
      <c r="D2183" t="s">
        <v>508</v>
      </c>
      <c r="E2183" t="s">
        <v>89</v>
      </c>
      <c r="F2183">
        <v>24</v>
      </c>
      <c r="G2183" t="s">
        <v>192</v>
      </c>
      <c r="H2183" t="s">
        <v>188</v>
      </c>
      <c r="I2183" t="s">
        <v>509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96</v>
      </c>
      <c r="D2184" t="s">
        <v>508</v>
      </c>
      <c r="E2184" t="s">
        <v>89</v>
      </c>
      <c r="F2184">
        <v>24</v>
      </c>
      <c r="G2184" t="s">
        <v>192</v>
      </c>
      <c r="H2184" t="s">
        <v>198</v>
      </c>
      <c r="I2184" t="s">
        <v>105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96</v>
      </c>
      <c r="D2185" t="s">
        <v>508</v>
      </c>
      <c r="E2185" t="s">
        <v>89</v>
      </c>
      <c r="F2185">
        <v>24</v>
      </c>
      <c r="G2185" t="s">
        <v>192</v>
      </c>
      <c r="H2185" t="s">
        <v>198</v>
      </c>
      <c r="I2185" t="s">
        <v>511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96</v>
      </c>
      <c r="D2186" t="s">
        <v>508</v>
      </c>
      <c r="E2186" t="s">
        <v>89</v>
      </c>
      <c r="F2186">
        <v>24</v>
      </c>
      <c r="G2186" t="s">
        <v>192</v>
      </c>
      <c r="H2186" t="s">
        <v>198</v>
      </c>
      <c r="I2186" t="s">
        <v>509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96</v>
      </c>
      <c r="D2187" t="s">
        <v>508</v>
      </c>
      <c r="E2187" t="s">
        <v>89</v>
      </c>
      <c r="F2187">
        <v>24</v>
      </c>
      <c r="G2187" t="s">
        <v>199</v>
      </c>
      <c r="H2187" t="s">
        <v>0</v>
      </c>
      <c r="I2187" t="s">
        <v>512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96</v>
      </c>
      <c r="D2188" t="s">
        <v>508</v>
      </c>
      <c r="E2188" t="s">
        <v>89</v>
      </c>
      <c r="F2188">
        <v>24</v>
      </c>
      <c r="G2188" t="s">
        <v>199</v>
      </c>
      <c r="H2188" t="s">
        <v>0</v>
      </c>
      <c r="I2188" t="s">
        <v>513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96</v>
      </c>
      <c r="D2189" t="s">
        <v>508</v>
      </c>
      <c r="E2189" t="s">
        <v>89</v>
      </c>
      <c r="F2189">
        <v>24</v>
      </c>
      <c r="G2189" t="s">
        <v>199</v>
      </c>
      <c r="H2189" t="s">
        <v>0</v>
      </c>
      <c r="I2189" t="s">
        <v>514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96</v>
      </c>
      <c r="D2190" t="s">
        <v>508</v>
      </c>
      <c r="E2190" t="s">
        <v>89</v>
      </c>
      <c r="F2190">
        <v>24</v>
      </c>
      <c r="G2190" t="s">
        <v>199</v>
      </c>
      <c r="H2190" t="s">
        <v>0</v>
      </c>
      <c r="I2190" t="s">
        <v>515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96</v>
      </c>
      <c r="D2191" t="s">
        <v>508</v>
      </c>
      <c r="E2191" t="s">
        <v>89</v>
      </c>
      <c r="F2191">
        <v>24</v>
      </c>
      <c r="G2191" t="s">
        <v>199</v>
      </c>
      <c r="H2191" t="s">
        <v>0</v>
      </c>
      <c r="I2191" t="s">
        <v>516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96</v>
      </c>
      <c r="D2192" t="s">
        <v>508</v>
      </c>
      <c r="E2192" t="s">
        <v>89</v>
      </c>
      <c r="F2192">
        <v>24</v>
      </c>
      <c r="G2192" t="s">
        <v>199</v>
      </c>
      <c r="H2192" t="s">
        <v>0</v>
      </c>
      <c r="I2192" t="s">
        <v>517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96</v>
      </c>
      <c r="D2193" t="s">
        <v>508</v>
      </c>
      <c r="E2193" t="s">
        <v>89</v>
      </c>
      <c r="F2193">
        <v>24</v>
      </c>
      <c r="G2193" t="s">
        <v>199</v>
      </c>
      <c r="H2193" t="s">
        <v>0</v>
      </c>
      <c r="I2193" t="s">
        <v>511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96</v>
      </c>
      <c r="D2194" t="s">
        <v>508</v>
      </c>
      <c r="E2194" t="s">
        <v>89</v>
      </c>
      <c r="F2194">
        <v>24</v>
      </c>
      <c r="G2194" t="s">
        <v>199</v>
      </c>
      <c r="H2194" t="s">
        <v>0</v>
      </c>
      <c r="I2194" t="s">
        <v>105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96</v>
      </c>
      <c r="D2195" t="s">
        <v>508</v>
      </c>
      <c r="E2195" t="s">
        <v>89</v>
      </c>
      <c r="F2195">
        <v>24</v>
      </c>
      <c r="G2195" t="s">
        <v>199</v>
      </c>
      <c r="H2195" t="s">
        <v>186</v>
      </c>
      <c r="I2195" t="s">
        <v>512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96</v>
      </c>
      <c r="D2196" t="s">
        <v>508</v>
      </c>
      <c r="E2196" t="s">
        <v>89</v>
      </c>
      <c r="F2196">
        <v>24</v>
      </c>
      <c r="G2196" t="s">
        <v>199</v>
      </c>
      <c r="H2196" t="s">
        <v>186</v>
      </c>
      <c r="I2196" t="s">
        <v>513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96</v>
      </c>
      <c r="D2197" t="s">
        <v>508</v>
      </c>
      <c r="E2197" t="s">
        <v>89</v>
      </c>
      <c r="F2197">
        <v>24</v>
      </c>
      <c r="G2197" t="s">
        <v>199</v>
      </c>
      <c r="H2197" t="s">
        <v>186</v>
      </c>
      <c r="I2197" t="s">
        <v>514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96</v>
      </c>
      <c r="D2198" t="s">
        <v>508</v>
      </c>
      <c r="E2198" t="s">
        <v>89</v>
      </c>
      <c r="F2198">
        <v>24</v>
      </c>
      <c r="G2198" t="s">
        <v>199</v>
      </c>
      <c r="H2198" t="s">
        <v>186</v>
      </c>
      <c r="I2198" t="s">
        <v>515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96</v>
      </c>
      <c r="D2199" t="s">
        <v>508</v>
      </c>
      <c r="E2199" t="s">
        <v>89</v>
      </c>
      <c r="F2199">
        <v>24</v>
      </c>
      <c r="G2199" t="s">
        <v>199</v>
      </c>
      <c r="H2199" t="s">
        <v>186</v>
      </c>
      <c r="I2199" t="s">
        <v>516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96</v>
      </c>
      <c r="D2200" t="s">
        <v>508</v>
      </c>
      <c r="E2200" t="s">
        <v>89</v>
      </c>
      <c r="F2200">
        <v>24</v>
      </c>
      <c r="G2200" t="s">
        <v>199</v>
      </c>
      <c r="H2200" t="s">
        <v>186</v>
      </c>
      <c r="I2200" t="s">
        <v>517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96</v>
      </c>
      <c r="D2201" t="s">
        <v>508</v>
      </c>
      <c r="E2201" t="s">
        <v>89</v>
      </c>
      <c r="F2201">
        <v>24</v>
      </c>
      <c r="G2201" t="s">
        <v>199</v>
      </c>
      <c r="H2201" t="s">
        <v>186</v>
      </c>
      <c r="I2201" t="s">
        <v>511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96</v>
      </c>
      <c r="D2202" t="s">
        <v>508</v>
      </c>
      <c r="E2202" t="s">
        <v>89</v>
      </c>
      <c r="F2202">
        <v>24</v>
      </c>
      <c r="G2202" t="s">
        <v>199</v>
      </c>
      <c r="H2202" t="s">
        <v>186</v>
      </c>
      <c r="I2202" t="s">
        <v>105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96</v>
      </c>
      <c r="D2203" t="s">
        <v>508</v>
      </c>
      <c r="E2203" t="s">
        <v>89</v>
      </c>
      <c r="F2203">
        <v>24</v>
      </c>
      <c r="G2203" t="s">
        <v>199</v>
      </c>
      <c r="H2203" t="s">
        <v>187</v>
      </c>
      <c r="I2203" t="s">
        <v>512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96</v>
      </c>
      <c r="D2204" t="s">
        <v>508</v>
      </c>
      <c r="E2204" t="s">
        <v>89</v>
      </c>
      <c r="F2204">
        <v>24</v>
      </c>
      <c r="G2204" t="s">
        <v>199</v>
      </c>
      <c r="H2204" t="s">
        <v>187</v>
      </c>
      <c r="I2204" t="s">
        <v>513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96</v>
      </c>
      <c r="D2205" t="s">
        <v>508</v>
      </c>
      <c r="E2205" t="s">
        <v>89</v>
      </c>
      <c r="F2205">
        <v>24</v>
      </c>
      <c r="G2205" t="s">
        <v>199</v>
      </c>
      <c r="H2205" t="s">
        <v>187</v>
      </c>
      <c r="I2205" t="s">
        <v>514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96</v>
      </c>
      <c r="D2206" t="s">
        <v>508</v>
      </c>
      <c r="E2206" t="s">
        <v>89</v>
      </c>
      <c r="F2206">
        <v>24</v>
      </c>
      <c r="G2206" t="s">
        <v>199</v>
      </c>
      <c r="H2206" t="s">
        <v>187</v>
      </c>
      <c r="I2206" t="s">
        <v>515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96</v>
      </c>
      <c r="D2207" t="s">
        <v>508</v>
      </c>
      <c r="E2207" t="s">
        <v>89</v>
      </c>
      <c r="F2207">
        <v>24</v>
      </c>
      <c r="G2207" t="s">
        <v>199</v>
      </c>
      <c r="H2207" t="s">
        <v>187</v>
      </c>
      <c r="I2207" t="s">
        <v>516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96</v>
      </c>
      <c r="D2208" t="s">
        <v>508</v>
      </c>
      <c r="E2208" t="s">
        <v>89</v>
      </c>
      <c r="F2208">
        <v>24</v>
      </c>
      <c r="G2208" t="s">
        <v>199</v>
      </c>
      <c r="H2208" t="s">
        <v>187</v>
      </c>
      <c r="I2208" t="s">
        <v>517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96</v>
      </c>
      <c r="D2209" t="s">
        <v>508</v>
      </c>
      <c r="E2209" t="s">
        <v>89</v>
      </c>
      <c r="F2209">
        <v>24</v>
      </c>
      <c r="G2209" t="s">
        <v>199</v>
      </c>
      <c r="H2209" t="s">
        <v>187</v>
      </c>
      <c r="I2209" t="s">
        <v>511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96</v>
      </c>
      <c r="D2210" t="s">
        <v>508</v>
      </c>
      <c r="E2210" t="s">
        <v>89</v>
      </c>
      <c r="F2210">
        <v>24</v>
      </c>
      <c r="G2210" t="s">
        <v>199</v>
      </c>
      <c r="H2210" t="s">
        <v>187</v>
      </c>
      <c r="I2210" t="s">
        <v>105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96</v>
      </c>
      <c r="D2211" t="s">
        <v>508</v>
      </c>
      <c r="E2211" t="s">
        <v>89</v>
      </c>
      <c r="F2211">
        <v>24</v>
      </c>
      <c r="G2211" t="s">
        <v>199</v>
      </c>
      <c r="H2211" t="s">
        <v>188</v>
      </c>
      <c r="I2211" t="s">
        <v>512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96</v>
      </c>
      <c r="D2212" t="s">
        <v>508</v>
      </c>
      <c r="E2212" t="s">
        <v>89</v>
      </c>
      <c r="F2212">
        <v>24</v>
      </c>
      <c r="G2212" t="s">
        <v>199</v>
      </c>
      <c r="H2212" t="s">
        <v>188</v>
      </c>
      <c r="I2212" t="s">
        <v>513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96</v>
      </c>
      <c r="D2213" t="s">
        <v>508</v>
      </c>
      <c r="E2213" t="s">
        <v>89</v>
      </c>
      <c r="F2213">
        <v>24</v>
      </c>
      <c r="G2213" t="s">
        <v>199</v>
      </c>
      <c r="H2213" t="s">
        <v>188</v>
      </c>
      <c r="I2213" t="s">
        <v>514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96</v>
      </c>
      <c r="D2214" t="s">
        <v>508</v>
      </c>
      <c r="E2214" t="s">
        <v>89</v>
      </c>
      <c r="F2214">
        <v>24</v>
      </c>
      <c r="G2214" t="s">
        <v>199</v>
      </c>
      <c r="H2214" t="s">
        <v>188</v>
      </c>
      <c r="I2214" t="s">
        <v>515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96</v>
      </c>
      <c r="D2215" t="s">
        <v>508</v>
      </c>
      <c r="E2215" t="s">
        <v>89</v>
      </c>
      <c r="F2215">
        <v>24</v>
      </c>
      <c r="G2215" t="s">
        <v>199</v>
      </c>
      <c r="H2215" t="s">
        <v>188</v>
      </c>
      <c r="I2215" t="s">
        <v>516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96</v>
      </c>
      <c r="D2216" t="s">
        <v>508</v>
      </c>
      <c r="E2216" t="s">
        <v>89</v>
      </c>
      <c r="F2216">
        <v>24</v>
      </c>
      <c r="G2216" t="s">
        <v>199</v>
      </c>
      <c r="H2216" t="s">
        <v>188</v>
      </c>
      <c r="I2216" t="s">
        <v>517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96</v>
      </c>
      <c r="D2217" t="s">
        <v>508</v>
      </c>
      <c r="E2217" t="s">
        <v>89</v>
      </c>
      <c r="F2217">
        <v>24</v>
      </c>
      <c r="G2217" t="s">
        <v>199</v>
      </c>
      <c r="H2217" t="s">
        <v>188</v>
      </c>
      <c r="I2217" t="s">
        <v>511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96</v>
      </c>
      <c r="D2218" t="s">
        <v>508</v>
      </c>
      <c r="E2218" t="s">
        <v>89</v>
      </c>
      <c r="F2218">
        <v>24</v>
      </c>
      <c r="G2218" t="s">
        <v>199</v>
      </c>
      <c r="H2218" t="s">
        <v>188</v>
      </c>
      <c r="I2218" t="s">
        <v>105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96</v>
      </c>
      <c r="D2219" t="s">
        <v>508</v>
      </c>
      <c r="E2219" t="s">
        <v>89</v>
      </c>
      <c r="F2219">
        <v>24</v>
      </c>
      <c r="G2219" t="s">
        <v>199</v>
      </c>
      <c r="H2219" t="s">
        <v>198</v>
      </c>
      <c r="I2219" t="s">
        <v>512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96</v>
      </c>
      <c r="D2220" t="s">
        <v>508</v>
      </c>
      <c r="E2220" t="s">
        <v>89</v>
      </c>
      <c r="F2220">
        <v>24</v>
      </c>
      <c r="G2220" t="s">
        <v>199</v>
      </c>
      <c r="H2220" t="s">
        <v>198</v>
      </c>
      <c r="I2220" t="s">
        <v>513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96</v>
      </c>
      <c r="D2221" t="s">
        <v>508</v>
      </c>
      <c r="E2221" t="s">
        <v>89</v>
      </c>
      <c r="F2221">
        <v>24</v>
      </c>
      <c r="G2221" t="s">
        <v>199</v>
      </c>
      <c r="H2221" t="s">
        <v>198</v>
      </c>
      <c r="I2221" t="s">
        <v>514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96</v>
      </c>
      <c r="D2222" t="s">
        <v>508</v>
      </c>
      <c r="E2222" t="s">
        <v>89</v>
      </c>
      <c r="F2222">
        <v>24</v>
      </c>
      <c r="G2222" t="s">
        <v>199</v>
      </c>
      <c r="H2222" t="s">
        <v>198</v>
      </c>
      <c r="I2222" t="s">
        <v>515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96</v>
      </c>
      <c r="D2223" t="s">
        <v>508</v>
      </c>
      <c r="E2223" t="s">
        <v>89</v>
      </c>
      <c r="F2223">
        <v>24</v>
      </c>
      <c r="G2223" t="s">
        <v>199</v>
      </c>
      <c r="H2223" t="s">
        <v>198</v>
      </c>
      <c r="I2223" t="s">
        <v>516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96</v>
      </c>
      <c r="D2224" t="s">
        <v>508</v>
      </c>
      <c r="E2224" t="s">
        <v>89</v>
      </c>
      <c r="F2224">
        <v>24</v>
      </c>
      <c r="G2224" t="s">
        <v>199</v>
      </c>
      <c r="H2224" t="s">
        <v>198</v>
      </c>
      <c r="I2224" t="s">
        <v>517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96</v>
      </c>
      <c r="D2225" t="s">
        <v>508</v>
      </c>
      <c r="E2225" t="s">
        <v>89</v>
      </c>
      <c r="F2225">
        <v>24</v>
      </c>
      <c r="G2225" t="s">
        <v>199</v>
      </c>
      <c r="H2225" t="s">
        <v>198</v>
      </c>
      <c r="I2225" t="s">
        <v>511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96</v>
      </c>
      <c r="D2226" t="s">
        <v>508</v>
      </c>
      <c r="E2226" t="s">
        <v>89</v>
      </c>
      <c r="F2226">
        <v>24</v>
      </c>
      <c r="G2226" t="s">
        <v>199</v>
      </c>
      <c r="H2226" t="s">
        <v>198</v>
      </c>
      <c r="I2226" t="s">
        <v>105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96</v>
      </c>
      <c r="D2227" t="s">
        <v>508</v>
      </c>
      <c r="E2227" t="s">
        <v>89</v>
      </c>
      <c r="F2227">
        <v>24</v>
      </c>
      <c r="G2227" t="s">
        <v>90</v>
      </c>
      <c r="H2227" t="s">
        <v>206</v>
      </c>
      <c r="I2227" t="s">
        <v>518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96</v>
      </c>
      <c r="D2228" t="s">
        <v>508</v>
      </c>
      <c r="E2228" t="s">
        <v>89</v>
      </c>
      <c r="F2228">
        <v>24</v>
      </c>
      <c r="G2228" t="s">
        <v>90</v>
      </c>
      <c r="H2228" t="s">
        <v>206</v>
      </c>
      <c r="I2228" t="s">
        <v>519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96</v>
      </c>
      <c r="D2229" t="s">
        <v>508</v>
      </c>
      <c r="E2229" t="s">
        <v>89</v>
      </c>
      <c r="F2229">
        <v>24</v>
      </c>
      <c r="G2229" t="s">
        <v>90</v>
      </c>
      <c r="H2229" t="s">
        <v>206</v>
      </c>
      <c r="I2229" t="s">
        <v>520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96</v>
      </c>
      <c r="D2230" t="s">
        <v>508</v>
      </c>
      <c r="E2230" t="s">
        <v>89</v>
      </c>
      <c r="F2230">
        <v>24</v>
      </c>
      <c r="G2230" t="s">
        <v>90</v>
      </c>
      <c r="H2230" t="s">
        <v>206</v>
      </c>
      <c r="I2230" t="s">
        <v>119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96</v>
      </c>
      <c r="D2231" t="s">
        <v>508</v>
      </c>
      <c r="E2231" t="s">
        <v>89</v>
      </c>
      <c r="F2231">
        <v>24</v>
      </c>
      <c r="G2231" t="s">
        <v>90</v>
      </c>
      <c r="H2231" t="s">
        <v>206</v>
      </c>
      <c r="I2231" t="s">
        <v>521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96</v>
      </c>
      <c r="D2232" t="s">
        <v>508</v>
      </c>
      <c r="E2232" t="s">
        <v>89</v>
      </c>
      <c r="F2232">
        <v>24</v>
      </c>
      <c r="G2232" t="s">
        <v>90</v>
      </c>
      <c r="H2232" t="s">
        <v>206</v>
      </c>
      <c r="I2232" t="s">
        <v>522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96</v>
      </c>
      <c r="D2233" t="s">
        <v>508</v>
      </c>
      <c r="E2233" t="s">
        <v>89</v>
      </c>
      <c r="F2233">
        <v>24</v>
      </c>
      <c r="G2233" t="s">
        <v>90</v>
      </c>
      <c r="H2233" t="s">
        <v>206</v>
      </c>
      <c r="I2233" t="s">
        <v>523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96</v>
      </c>
      <c r="D2234" t="s">
        <v>508</v>
      </c>
      <c r="E2234" t="s">
        <v>89</v>
      </c>
      <c r="F2234">
        <v>24</v>
      </c>
      <c r="G2234" t="s">
        <v>90</v>
      </c>
      <c r="H2234" t="s">
        <v>206</v>
      </c>
      <c r="I2234" t="s">
        <v>524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96</v>
      </c>
      <c r="D2235" t="s">
        <v>508</v>
      </c>
      <c r="E2235" t="s">
        <v>89</v>
      </c>
      <c r="F2235">
        <v>24</v>
      </c>
      <c r="G2235" t="s">
        <v>90</v>
      </c>
      <c r="H2235" t="s">
        <v>206</v>
      </c>
      <c r="I2235" t="s">
        <v>525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96</v>
      </c>
      <c r="D2236" t="s">
        <v>508</v>
      </c>
      <c r="E2236" t="s">
        <v>89</v>
      </c>
      <c r="F2236">
        <v>24</v>
      </c>
      <c r="G2236" t="s">
        <v>90</v>
      </c>
      <c r="H2236" t="s">
        <v>206</v>
      </c>
      <c r="I2236" t="s">
        <v>526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96</v>
      </c>
      <c r="D2237" t="s">
        <v>508</v>
      </c>
      <c r="E2237" t="s">
        <v>89</v>
      </c>
      <c r="F2237">
        <v>24</v>
      </c>
      <c r="G2237" t="s">
        <v>90</v>
      </c>
      <c r="H2237" t="s">
        <v>206</v>
      </c>
      <c r="I2237" t="s">
        <v>527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96</v>
      </c>
      <c r="D2238" t="s">
        <v>508</v>
      </c>
      <c r="E2238" t="s">
        <v>89</v>
      </c>
      <c r="F2238">
        <v>24</v>
      </c>
      <c r="G2238" t="s">
        <v>90</v>
      </c>
      <c r="H2238" t="s">
        <v>206</v>
      </c>
      <c r="I2238" t="s">
        <v>528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96</v>
      </c>
      <c r="D2239" t="s">
        <v>508</v>
      </c>
      <c r="E2239" t="s">
        <v>89</v>
      </c>
      <c r="F2239">
        <v>24</v>
      </c>
      <c r="G2239" t="s">
        <v>90</v>
      </c>
      <c r="H2239" t="s">
        <v>206</v>
      </c>
      <c r="I2239" t="s">
        <v>529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96</v>
      </c>
      <c r="D2240" t="s">
        <v>508</v>
      </c>
      <c r="E2240" t="s">
        <v>89</v>
      </c>
      <c r="F2240">
        <v>24</v>
      </c>
      <c r="G2240" t="s">
        <v>90</v>
      </c>
      <c r="H2240" t="s">
        <v>206</v>
      </c>
      <c r="I2240" t="s">
        <v>530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96</v>
      </c>
      <c r="D2241" t="s">
        <v>508</v>
      </c>
      <c r="E2241" t="s">
        <v>89</v>
      </c>
      <c r="F2241">
        <v>24</v>
      </c>
      <c r="G2241" t="s">
        <v>90</v>
      </c>
      <c r="H2241" t="s">
        <v>206</v>
      </c>
      <c r="I2241" t="s">
        <v>531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96</v>
      </c>
      <c r="D2242" t="s">
        <v>508</v>
      </c>
      <c r="E2242" t="s">
        <v>89</v>
      </c>
      <c r="F2242">
        <v>24</v>
      </c>
      <c r="G2242" t="s">
        <v>90</v>
      </c>
      <c r="H2242" t="s">
        <v>206</v>
      </c>
      <c r="I2242" t="s">
        <v>532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96</v>
      </c>
      <c r="D2243" t="s">
        <v>508</v>
      </c>
      <c r="E2243" t="s">
        <v>89</v>
      </c>
      <c r="F2243">
        <v>24</v>
      </c>
      <c r="G2243" t="s">
        <v>90</v>
      </c>
      <c r="H2243" t="s">
        <v>206</v>
      </c>
      <c r="I2243" t="s">
        <v>533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96</v>
      </c>
      <c r="D2244" t="s">
        <v>508</v>
      </c>
      <c r="E2244" t="s">
        <v>89</v>
      </c>
      <c r="F2244">
        <v>24</v>
      </c>
      <c r="G2244" t="s">
        <v>90</v>
      </c>
      <c r="H2244" t="s">
        <v>206</v>
      </c>
      <c r="I2244" t="s">
        <v>534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96</v>
      </c>
      <c r="D2245" t="s">
        <v>508</v>
      </c>
      <c r="E2245" t="s">
        <v>89</v>
      </c>
      <c r="F2245">
        <v>24</v>
      </c>
      <c r="G2245" t="s">
        <v>90</v>
      </c>
      <c r="H2245" t="s">
        <v>206</v>
      </c>
      <c r="I2245" t="s">
        <v>535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96</v>
      </c>
      <c r="D2246" t="s">
        <v>508</v>
      </c>
      <c r="E2246" t="s">
        <v>89</v>
      </c>
      <c r="F2246">
        <v>24</v>
      </c>
      <c r="G2246" t="s">
        <v>90</v>
      </c>
      <c r="H2246" t="s">
        <v>206</v>
      </c>
      <c r="I2246" t="s">
        <v>536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96</v>
      </c>
      <c r="D2247" t="s">
        <v>508</v>
      </c>
      <c r="E2247" t="s">
        <v>89</v>
      </c>
      <c r="F2247">
        <v>24</v>
      </c>
      <c r="G2247" t="s">
        <v>90</v>
      </c>
      <c r="H2247" t="s">
        <v>227</v>
      </c>
      <c r="I2247" t="s">
        <v>518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96</v>
      </c>
      <c r="D2248" t="s">
        <v>508</v>
      </c>
      <c r="E2248" t="s">
        <v>89</v>
      </c>
      <c r="F2248">
        <v>24</v>
      </c>
      <c r="G2248" t="s">
        <v>90</v>
      </c>
      <c r="H2248" t="s">
        <v>227</v>
      </c>
      <c r="I2248" t="s">
        <v>519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96</v>
      </c>
      <c r="D2249" t="s">
        <v>508</v>
      </c>
      <c r="E2249" t="s">
        <v>89</v>
      </c>
      <c r="F2249">
        <v>24</v>
      </c>
      <c r="G2249" t="s">
        <v>90</v>
      </c>
      <c r="H2249" t="s">
        <v>227</v>
      </c>
      <c r="I2249" t="s">
        <v>520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96</v>
      </c>
      <c r="D2250" t="s">
        <v>508</v>
      </c>
      <c r="E2250" t="s">
        <v>89</v>
      </c>
      <c r="F2250">
        <v>24</v>
      </c>
      <c r="G2250" t="s">
        <v>90</v>
      </c>
      <c r="H2250" t="s">
        <v>227</v>
      </c>
      <c r="I2250" t="s">
        <v>119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96</v>
      </c>
      <c r="D2251" t="s">
        <v>508</v>
      </c>
      <c r="E2251" t="s">
        <v>89</v>
      </c>
      <c r="F2251">
        <v>24</v>
      </c>
      <c r="G2251" t="s">
        <v>90</v>
      </c>
      <c r="H2251" t="s">
        <v>227</v>
      </c>
      <c r="I2251" t="s">
        <v>521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96</v>
      </c>
      <c r="D2252" t="s">
        <v>508</v>
      </c>
      <c r="E2252" t="s">
        <v>89</v>
      </c>
      <c r="F2252">
        <v>24</v>
      </c>
      <c r="G2252" t="s">
        <v>90</v>
      </c>
      <c r="H2252" t="s">
        <v>227</v>
      </c>
      <c r="I2252" t="s">
        <v>522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96</v>
      </c>
      <c r="D2253" t="s">
        <v>508</v>
      </c>
      <c r="E2253" t="s">
        <v>89</v>
      </c>
      <c r="F2253">
        <v>24</v>
      </c>
      <c r="G2253" t="s">
        <v>90</v>
      </c>
      <c r="H2253" t="s">
        <v>227</v>
      </c>
      <c r="I2253" t="s">
        <v>523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96</v>
      </c>
      <c r="D2254" t="s">
        <v>508</v>
      </c>
      <c r="E2254" t="s">
        <v>89</v>
      </c>
      <c r="F2254">
        <v>24</v>
      </c>
      <c r="G2254" t="s">
        <v>90</v>
      </c>
      <c r="H2254" t="s">
        <v>227</v>
      </c>
      <c r="I2254" t="s">
        <v>524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96</v>
      </c>
      <c r="D2255" t="s">
        <v>508</v>
      </c>
      <c r="E2255" t="s">
        <v>89</v>
      </c>
      <c r="F2255">
        <v>24</v>
      </c>
      <c r="G2255" t="s">
        <v>90</v>
      </c>
      <c r="H2255" t="s">
        <v>227</v>
      </c>
      <c r="I2255" t="s">
        <v>525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96</v>
      </c>
      <c r="D2256" t="s">
        <v>508</v>
      </c>
      <c r="E2256" t="s">
        <v>89</v>
      </c>
      <c r="F2256">
        <v>24</v>
      </c>
      <c r="G2256" t="s">
        <v>90</v>
      </c>
      <c r="H2256" t="s">
        <v>227</v>
      </c>
      <c r="I2256" t="s">
        <v>526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96</v>
      </c>
      <c r="D2257" t="s">
        <v>508</v>
      </c>
      <c r="E2257" t="s">
        <v>89</v>
      </c>
      <c r="F2257">
        <v>24</v>
      </c>
      <c r="G2257" t="s">
        <v>90</v>
      </c>
      <c r="H2257" t="s">
        <v>227</v>
      </c>
      <c r="I2257" t="s">
        <v>527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96</v>
      </c>
      <c r="D2258" t="s">
        <v>508</v>
      </c>
      <c r="E2258" t="s">
        <v>89</v>
      </c>
      <c r="F2258">
        <v>24</v>
      </c>
      <c r="G2258" t="s">
        <v>90</v>
      </c>
      <c r="H2258" t="s">
        <v>227</v>
      </c>
      <c r="I2258" t="s">
        <v>528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96</v>
      </c>
      <c r="D2259" t="s">
        <v>508</v>
      </c>
      <c r="E2259" t="s">
        <v>89</v>
      </c>
      <c r="F2259">
        <v>24</v>
      </c>
      <c r="G2259" t="s">
        <v>90</v>
      </c>
      <c r="H2259" t="s">
        <v>227</v>
      </c>
      <c r="I2259" t="s">
        <v>529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96</v>
      </c>
      <c r="D2260" t="s">
        <v>508</v>
      </c>
      <c r="E2260" t="s">
        <v>89</v>
      </c>
      <c r="F2260">
        <v>24</v>
      </c>
      <c r="G2260" t="s">
        <v>90</v>
      </c>
      <c r="H2260" t="s">
        <v>227</v>
      </c>
      <c r="I2260" t="s">
        <v>530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96</v>
      </c>
      <c r="D2261" t="s">
        <v>508</v>
      </c>
      <c r="E2261" t="s">
        <v>89</v>
      </c>
      <c r="F2261">
        <v>24</v>
      </c>
      <c r="G2261" t="s">
        <v>90</v>
      </c>
      <c r="H2261" t="s">
        <v>227</v>
      </c>
      <c r="I2261" t="s">
        <v>531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96</v>
      </c>
      <c r="D2262" t="s">
        <v>508</v>
      </c>
      <c r="E2262" t="s">
        <v>89</v>
      </c>
      <c r="F2262">
        <v>24</v>
      </c>
      <c r="G2262" t="s">
        <v>90</v>
      </c>
      <c r="H2262" t="s">
        <v>227</v>
      </c>
      <c r="I2262" t="s">
        <v>532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96</v>
      </c>
      <c r="D2263" t="s">
        <v>508</v>
      </c>
      <c r="E2263" t="s">
        <v>89</v>
      </c>
      <c r="F2263">
        <v>24</v>
      </c>
      <c r="G2263" t="s">
        <v>90</v>
      </c>
      <c r="H2263" t="s">
        <v>227</v>
      </c>
      <c r="I2263" t="s">
        <v>533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96</v>
      </c>
      <c r="D2264" t="s">
        <v>508</v>
      </c>
      <c r="E2264" t="s">
        <v>89</v>
      </c>
      <c r="F2264">
        <v>24</v>
      </c>
      <c r="G2264" t="s">
        <v>90</v>
      </c>
      <c r="H2264" t="s">
        <v>227</v>
      </c>
      <c r="I2264" t="s">
        <v>534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96</v>
      </c>
      <c r="D2265" t="s">
        <v>508</v>
      </c>
      <c r="E2265" t="s">
        <v>89</v>
      </c>
      <c r="F2265">
        <v>24</v>
      </c>
      <c r="G2265" t="s">
        <v>90</v>
      </c>
      <c r="H2265" t="s">
        <v>227</v>
      </c>
      <c r="I2265" t="s">
        <v>535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96</v>
      </c>
      <c r="D2266" t="s">
        <v>508</v>
      </c>
      <c r="E2266" t="s">
        <v>89</v>
      </c>
      <c r="F2266">
        <v>24</v>
      </c>
      <c r="G2266" t="s">
        <v>90</v>
      </c>
      <c r="H2266" t="s">
        <v>227</v>
      </c>
      <c r="I2266" t="s">
        <v>536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96</v>
      </c>
      <c r="D2267" t="s">
        <v>508</v>
      </c>
      <c r="E2267" t="s">
        <v>89</v>
      </c>
      <c r="F2267">
        <v>24</v>
      </c>
      <c r="G2267" t="s">
        <v>90</v>
      </c>
      <c r="H2267" t="s">
        <v>228</v>
      </c>
      <c r="I2267" t="s">
        <v>518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96</v>
      </c>
      <c r="D2268" t="s">
        <v>508</v>
      </c>
      <c r="E2268" t="s">
        <v>89</v>
      </c>
      <c r="F2268">
        <v>24</v>
      </c>
      <c r="G2268" t="s">
        <v>90</v>
      </c>
      <c r="H2268" t="s">
        <v>228</v>
      </c>
      <c r="I2268" t="s">
        <v>519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96</v>
      </c>
      <c r="D2269" t="s">
        <v>508</v>
      </c>
      <c r="E2269" t="s">
        <v>89</v>
      </c>
      <c r="F2269">
        <v>24</v>
      </c>
      <c r="G2269" t="s">
        <v>90</v>
      </c>
      <c r="H2269" t="s">
        <v>228</v>
      </c>
      <c r="I2269" t="s">
        <v>520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96</v>
      </c>
      <c r="D2270" t="s">
        <v>508</v>
      </c>
      <c r="E2270" t="s">
        <v>89</v>
      </c>
      <c r="F2270">
        <v>24</v>
      </c>
      <c r="G2270" t="s">
        <v>90</v>
      </c>
      <c r="H2270" t="s">
        <v>228</v>
      </c>
      <c r="I2270" t="s">
        <v>119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96</v>
      </c>
      <c r="D2271" t="s">
        <v>508</v>
      </c>
      <c r="E2271" t="s">
        <v>89</v>
      </c>
      <c r="F2271">
        <v>24</v>
      </c>
      <c r="G2271" t="s">
        <v>90</v>
      </c>
      <c r="H2271" t="s">
        <v>228</v>
      </c>
      <c r="I2271" t="s">
        <v>521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96</v>
      </c>
      <c r="D2272" t="s">
        <v>508</v>
      </c>
      <c r="E2272" t="s">
        <v>89</v>
      </c>
      <c r="F2272">
        <v>24</v>
      </c>
      <c r="G2272" t="s">
        <v>90</v>
      </c>
      <c r="H2272" t="s">
        <v>228</v>
      </c>
      <c r="I2272" t="s">
        <v>522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96</v>
      </c>
      <c r="D2273" t="s">
        <v>508</v>
      </c>
      <c r="E2273" t="s">
        <v>89</v>
      </c>
      <c r="F2273">
        <v>24</v>
      </c>
      <c r="G2273" t="s">
        <v>90</v>
      </c>
      <c r="H2273" t="s">
        <v>228</v>
      </c>
      <c r="I2273" t="s">
        <v>523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96</v>
      </c>
      <c r="D2274" t="s">
        <v>508</v>
      </c>
      <c r="E2274" t="s">
        <v>89</v>
      </c>
      <c r="F2274">
        <v>24</v>
      </c>
      <c r="G2274" t="s">
        <v>90</v>
      </c>
      <c r="H2274" t="s">
        <v>228</v>
      </c>
      <c r="I2274" t="s">
        <v>524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96</v>
      </c>
      <c r="D2275" t="s">
        <v>508</v>
      </c>
      <c r="E2275" t="s">
        <v>89</v>
      </c>
      <c r="F2275">
        <v>24</v>
      </c>
      <c r="G2275" t="s">
        <v>90</v>
      </c>
      <c r="H2275" t="s">
        <v>228</v>
      </c>
      <c r="I2275" t="s">
        <v>525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96</v>
      </c>
      <c r="D2276" t="s">
        <v>508</v>
      </c>
      <c r="E2276" t="s">
        <v>89</v>
      </c>
      <c r="F2276">
        <v>24</v>
      </c>
      <c r="G2276" t="s">
        <v>90</v>
      </c>
      <c r="H2276" t="s">
        <v>228</v>
      </c>
      <c r="I2276" t="s">
        <v>526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96</v>
      </c>
      <c r="D2277" t="s">
        <v>508</v>
      </c>
      <c r="E2277" t="s">
        <v>89</v>
      </c>
      <c r="F2277">
        <v>24</v>
      </c>
      <c r="G2277" t="s">
        <v>90</v>
      </c>
      <c r="H2277" t="s">
        <v>228</v>
      </c>
      <c r="I2277" t="s">
        <v>527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96</v>
      </c>
      <c r="D2278" t="s">
        <v>508</v>
      </c>
      <c r="E2278" t="s">
        <v>89</v>
      </c>
      <c r="F2278">
        <v>24</v>
      </c>
      <c r="G2278" t="s">
        <v>90</v>
      </c>
      <c r="H2278" t="s">
        <v>228</v>
      </c>
      <c r="I2278" t="s">
        <v>528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96</v>
      </c>
      <c r="D2279" t="s">
        <v>508</v>
      </c>
      <c r="E2279" t="s">
        <v>89</v>
      </c>
      <c r="F2279">
        <v>24</v>
      </c>
      <c r="G2279" t="s">
        <v>90</v>
      </c>
      <c r="H2279" t="s">
        <v>228</v>
      </c>
      <c r="I2279" t="s">
        <v>529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96</v>
      </c>
      <c r="D2280" t="s">
        <v>508</v>
      </c>
      <c r="E2280" t="s">
        <v>89</v>
      </c>
      <c r="F2280">
        <v>24</v>
      </c>
      <c r="G2280" t="s">
        <v>90</v>
      </c>
      <c r="H2280" t="s">
        <v>228</v>
      </c>
      <c r="I2280" t="s">
        <v>530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96</v>
      </c>
      <c r="D2281" t="s">
        <v>508</v>
      </c>
      <c r="E2281" t="s">
        <v>89</v>
      </c>
      <c r="F2281">
        <v>24</v>
      </c>
      <c r="G2281" t="s">
        <v>90</v>
      </c>
      <c r="H2281" t="s">
        <v>228</v>
      </c>
      <c r="I2281" t="s">
        <v>531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96</v>
      </c>
      <c r="D2282" t="s">
        <v>508</v>
      </c>
      <c r="E2282" t="s">
        <v>89</v>
      </c>
      <c r="F2282">
        <v>24</v>
      </c>
      <c r="G2282" t="s">
        <v>90</v>
      </c>
      <c r="H2282" t="s">
        <v>228</v>
      </c>
      <c r="I2282" t="s">
        <v>532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96</v>
      </c>
      <c r="D2283" t="s">
        <v>508</v>
      </c>
      <c r="E2283" t="s">
        <v>89</v>
      </c>
      <c r="F2283">
        <v>24</v>
      </c>
      <c r="G2283" t="s">
        <v>90</v>
      </c>
      <c r="H2283" t="s">
        <v>228</v>
      </c>
      <c r="I2283" t="s">
        <v>533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96</v>
      </c>
      <c r="D2284" t="s">
        <v>508</v>
      </c>
      <c r="E2284" t="s">
        <v>89</v>
      </c>
      <c r="F2284">
        <v>24</v>
      </c>
      <c r="G2284" t="s">
        <v>90</v>
      </c>
      <c r="H2284" t="s">
        <v>228</v>
      </c>
      <c r="I2284" t="s">
        <v>534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96</v>
      </c>
      <c r="D2285" t="s">
        <v>508</v>
      </c>
      <c r="E2285" t="s">
        <v>89</v>
      </c>
      <c r="F2285">
        <v>24</v>
      </c>
      <c r="G2285" t="s">
        <v>90</v>
      </c>
      <c r="H2285" t="s">
        <v>228</v>
      </c>
      <c r="I2285" t="s">
        <v>535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96</v>
      </c>
      <c r="D2286" t="s">
        <v>508</v>
      </c>
      <c r="E2286" t="s">
        <v>89</v>
      </c>
      <c r="F2286">
        <v>24</v>
      </c>
      <c r="G2286" t="s">
        <v>90</v>
      </c>
      <c r="H2286" t="s">
        <v>228</v>
      </c>
      <c r="I2286" t="s">
        <v>536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96</v>
      </c>
      <c r="D2287" t="s">
        <v>508</v>
      </c>
      <c r="E2287" t="s">
        <v>89</v>
      </c>
      <c r="F2287">
        <v>24</v>
      </c>
      <c r="G2287" t="s">
        <v>90</v>
      </c>
      <c r="H2287" t="s">
        <v>229</v>
      </c>
      <c r="I2287" t="s">
        <v>518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96</v>
      </c>
      <c r="D2288" t="s">
        <v>508</v>
      </c>
      <c r="E2288" t="s">
        <v>89</v>
      </c>
      <c r="F2288">
        <v>24</v>
      </c>
      <c r="G2288" t="s">
        <v>90</v>
      </c>
      <c r="H2288" t="s">
        <v>229</v>
      </c>
      <c r="I2288" t="s">
        <v>519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96</v>
      </c>
      <c r="D2289" t="s">
        <v>508</v>
      </c>
      <c r="E2289" t="s">
        <v>89</v>
      </c>
      <c r="F2289">
        <v>24</v>
      </c>
      <c r="G2289" t="s">
        <v>90</v>
      </c>
      <c r="H2289" t="s">
        <v>229</v>
      </c>
      <c r="I2289" t="s">
        <v>520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96</v>
      </c>
      <c r="D2290" t="s">
        <v>508</v>
      </c>
      <c r="E2290" t="s">
        <v>89</v>
      </c>
      <c r="F2290">
        <v>24</v>
      </c>
      <c r="G2290" t="s">
        <v>90</v>
      </c>
      <c r="H2290" t="s">
        <v>229</v>
      </c>
      <c r="I2290" t="s">
        <v>119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96</v>
      </c>
      <c r="D2291" t="s">
        <v>508</v>
      </c>
      <c r="E2291" t="s">
        <v>89</v>
      </c>
      <c r="F2291">
        <v>24</v>
      </c>
      <c r="G2291" t="s">
        <v>90</v>
      </c>
      <c r="H2291" t="s">
        <v>229</v>
      </c>
      <c r="I2291" t="s">
        <v>521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96</v>
      </c>
      <c r="D2292" t="s">
        <v>508</v>
      </c>
      <c r="E2292" t="s">
        <v>89</v>
      </c>
      <c r="F2292">
        <v>24</v>
      </c>
      <c r="G2292" t="s">
        <v>90</v>
      </c>
      <c r="H2292" t="s">
        <v>229</v>
      </c>
      <c r="I2292" t="s">
        <v>522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96</v>
      </c>
      <c r="D2293" t="s">
        <v>508</v>
      </c>
      <c r="E2293" t="s">
        <v>89</v>
      </c>
      <c r="F2293">
        <v>24</v>
      </c>
      <c r="G2293" t="s">
        <v>90</v>
      </c>
      <c r="H2293" t="s">
        <v>229</v>
      </c>
      <c r="I2293" t="s">
        <v>523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96</v>
      </c>
      <c r="D2294" t="s">
        <v>508</v>
      </c>
      <c r="E2294" t="s">
        <v>89</v>
      </c>
      <c r="F2294">
        <v>24</v>
      </c>
      <c r="G2294" t="s">
        <v>90</v>
      </c>
      <c r="H2294" t="s">
        <v>229</v>
      </c>
      <c r="I2294" t="s">
        <v>524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96</v>
      </c>
      <c r="D2295" t="s">
        <v>508</v>
      </c>
      <c r="E2295" t="s">
        <v>89</v>
      </c>
      <c r="F2295">
        <v>24</v>
      </c>
      <c r="G2295" t="s">
        <v>90</v>
      </c>
      <c r="H2295" t="s">
        <v>229</v>
      </c>
      <c r="I2295" t="s">
        <v>525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96</v>
      </c>
      <c r="D2296" t="s">
        <v>508</v>
      </c>
      <c r="E2296" t="s">
        <v>89</v>
      </c>
      <c r="F2296">
        <v>24</v>
      </c>
      <c r="G2296" t="s">
        <v>90</v>
      </c>
      <c r="H2296" t="s">
        <v>229</v>
      </c>
      <c r="I2296" t="s">
        <v>526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96</v>
      </c>
      <c r="D2297" t="s">
        <v>508</v>
      </c>
      <c r="E2297" t="s">
        <v>89</v>
      </c>
      <c r="F2297">
        <v>24</v>
      </c>
      <c r="G2297" t="s">
        <v>90</v>
      </c>
      <c r="H2297" t="s">
        <v>229</v>
      </c>
      <c r="I2297" t="s">
        <v>527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96</v>
      </c>
      <c r="D2298" t="s">
        <v>508</v>
      </c>
      <c r="E2298" t="s">
        <v>89</v>
      </c>
      <c r="F2298">
        <v>24</v>
      </c>
      <c r="G2298" t="s">
        <v>90</v>
      </c>
      <c r="H2298" t="s">
        <v>229</v>
      </c>
      <c r="I2298" t="s">
        <v>528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96</v>
      </c>
      <c r="D2299" t="s">
        <v>508</v>
      </c>
      <c r="E2299" t="s">
        <v>89</v>
      </c>
      <c r="F2299">
        <v>24</v>
      </c>
      <c r="G2299" t="s">
        <v>90</v>
      </c>
      <c r="H2299" t="s">
        <v>229</v>
      </c>
      <c r="I2299" t="s">
        <v>529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96</v>
      </c>
      <c r="D2300" t="s">
        <v>508</v>
      </c>
      <c r="E2300" t="s">
        <v>89</v>
      </c>
      <c r="F2300">
        <v>24</v>
      </c>
      <c r="G2300" t="s">
        <v>90</v>
      </c>
      <c r="H2300" t="s">
        <v>229</v>
      </c>
      <c r="I2300" t="s">
        <v>530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96</v>
      </c>
      <c r="D2301" t="s">
        <v>508</v>
      </c>
      <c r="E2301" t="s">
        <v>89</v>
      </c>
      <c r="F2301">
        <v>24</v>
      </c>
      <c r="G2301" t="s">
        <v>90</v>
      </c>
      <c r="H2301" t="s">
        <v>229</v>
      </c>
      <c r="I2301" t="s">
        <v>531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96</v>
      </c>
      <c r="D2302" t="s">
        <v>508</v>
      </c>
      <c r="E2302" t="s">
        <v>89</v>
      </c>
      <c r="F2302">
        <v>24</v>
      </c>
      <c r="G2302" t="s">
        <v>90</v>
      </c>
      <c r="H2302" t="s">
        <v>229</v>
      </c>
      <c r="I2302" t="s">
        <v>532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96</v>
      </c>
      <c r="D2303" t="s">
        <v>508</v>
      </c>
      <c r="E2303" t="s">
        <v>89</v>
      </c>
      <c r="F2303">
        <v>24</v>
      </c>
      <c r="G2303" t="s">
        <v>90</v>
      </c>
      <c r="H2303" t="s">
        <v>229</v>
      </c>
      <c r="I2303" t="s">
        <v>533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96</v>
      </c>
      <c r="D2304" t="s">
        <v>508</v>
      </c>
      <c r="E2304" t="s">
        <v>89</v>
      </c>
      <c r="F2304">
        <v>24</v>
      </c>
      <c r="G2304" t="s">
        <v>90</v>
      </c>
      <c r="H2304" t="s">
        <v>229</v>
      </c>
      <c r="I2304" t="s">
        <v>534</v>
      </c>
      <c r="J2304">
        <v>0</v>
      </c>
    </row>
    <row r="2305" spans="1:10" x14ac:dyDescent="0.25">
      <c r="A2305" s="1" t="s">
        <v>27</v>
      </c>
      <c r="B2305">
        <v>401752667</v>
      </c>
      <c r="C2305" t="s">
        <v>96</v>
      </c>
      <c r="D2305" t="s">
        <v>508</v>
      </c>
      <c r="E2305" t="s">
        <v>89</v>
      </c>
      <c r="F2305">
        <v>24</v>
      </c>
      <c r="G2305" t="s">
        <v>90</v>
      </c>
      <c r="H2305" t="s">
        <v>229</v>
      </c>
      <c r="I2305" t="s">
        <v>535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96</v>
      </c>
      <c r="D2306" t="s">
        <v>508</v>
      </c>
      <c r="E2306" t="s">
        <v>89</v>
      </c>
      <c r="F2306">
        <v>24</v>
      </c>
      <c r="G2306" t="s">
        <v>90</v>
      </c>
      <c r="H2306" t="s">
        <v>229</v>
      </c>
      <c r="I2306" t="s">
        <v>536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96</v>
      </c>
      <c r="D2307" t="s">
        <v>508</v>
      </c>
      <c r="E2307" t="s">
        <v>89</v>
      </c>
      <c r="F2307">
        <v>24</v>
      </c>
      <c r="G2307" t="s">
        <v>90</v>
      </c>
      <c r="H2307" t="s">
        <v>91</v>
      </c>
      <c r="I2307" t="s">
        <v>518</v>
      </c>
      <c r="J2307">
        <v>0</v>
      </c>
    </row>
    <row r="2308" spans="1:10" x14ac:dyDescent="0.25">
      <c r="A2308" s="1" t="s">
        <v>27</v>
      </c>
      <c r="B2308">
        <v>401752667</v>
      </c>
      <c r="C2308" t="s">
        <v>96</v>
      </c>
      <c r="D2308" t="s">
        <v>508</v>
      </c>
      <c r="E2308" t="s">
        <v>89</v>
      </c>
      <c r="F2308">
        <v>24</v>
      </c>
      <c r="G2308" t="s">
        <v>90</v>
      </c>
      <c r="H2308" t="s">
        <v>91</v>
      </c>
      <c r="I2308" t="s">
        <v>519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96</v>
      </c>
      <c r="D2309" t="s">
        <v>508</v>
      </c>
      <c r="E2309" t="s">
        <v>89</v>
      </c>
      <c r="F2309">
        <v>24</v>
      </c>
      <c r="G2309" t="s">
        <v>90</v>
      </c>
      <c r="H2309" t="s">
        <v>91</v>
      </c>
      <c r="I2309" t="s">
        <v>520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96</v>
      </c>
      <c r="D2310" t="s">
        <v>508</v>
      </c>
      <c r="E2310" t="s">
        <v>89</v>
      </c>
      <c r="F2310">
        <v>24</v>
      </c>
      <c r="G2310" t="s">
        <v>90</v>
      </c>
      <c r="H2310" t="s">
        <v>91</v>
      </c>
      <c r="I2310" t="s">
        <v>119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96</v>
      </c>
      <c r="D2311" t="s">
        <v>508</v>
      </c>
      <c r="E2311" t="s">
        <v>89</v>
      </c>
      <c r="F2311">
        <v>24</v>
      </c>
      <c r="G2311" t="s">
        <v>90</v>
      </c>
      <c r="H2311" t="s">
        <v>91</v>
      </c>
      <c r="I2311" t="s">
        <v>521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96</v>
      </c>
      <c r="D2312" t="s">
        <v>508</v>
      </c>
      <c r="E2312" t="s">
        <v>89</v>
      </c>
      <c r="F2312">
        <v>24</v>
      </c>
      <c r="G2312" t="s">
        <v>90</v>
      </c>
      <c r="H2312" t="s">
        <v>91</v>
      </c>
      <c r="I2312" t="s">
        <v>522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96</v>
      </c>
      <c r="D2313" t="s">
        <v>508</v>
      </c>
      <c r="E2313" t="s">
        <v>89</v>
      </c>
      <c r="F2313">
        <v>24</v>
      </c>
      <c r="G2313" t="s">
        <v>90</v>
      </c>
      <c r="H2313" t="s">
        <v>91</v>
      </c>
      <c r="I2313" t="s">
        <v>523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96</v>
      </c>
      <c r="D2314" t="s">
        <v>508</v>
      </c>
      <c r="E2314" t="s">
        <v>89</v>
      </c>
      <c r="F2314">
        <v>24</v>
      </c>
      <c r="G2314" t="s">
        <v>90</v>
      </c>
      <c r="H2314" t="s">
        <v>91</v>
      </c>
      <c r="I2314" t="s">
        <v>524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96</v>
      </c>
      <c r="D2315" t="s">
        <v>508</v>
      </c>
      <c r="E2315" t="s">
        <v>89</v>
      </c>
      <c r="F2315">
        <v>24</v>
      </c>
      <c r="G2315" t="s">
        <v>90</v>
      </c>
      <c r="H2315" t="s">
        <v>91</v>
      </c>
      <c r="I2315" t="s">
        <v>525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96</v>
      </c>
      <c r="D2316" t="s">
        <v>508</v>
      </c>
      <c r="E2316" t="s">
        <v>89</v>
      </c>
      <c r="F2316">
        <v>24</v>
      </c>
      <c r="G2316" t="s">
        <v>90</v>
      </c>
      <c r="H2316" t="s">
        <v>91</v>
      </c>
      <c r="I2316" t="s">
        <v>526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96</v>
      </c>
      <c r="D2317" t="s">
        <v>508</v>
      </c>
      <c r="E2317" t="s">
        <v>89</v>
      </c>
      <c r="F2317">
        <v>24</v>
      </c>
      <c r="G2317" t="s">
        <v>90</v>
      </c>
      <c r="H2317" t="s">
        <v>91</v>
      </c>
      <c r="I2317" t="s">
        <v>527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96</v>
      </c>
      <c r="D2318" t="s">
        <v>508</v>
      </c>
      <c r="E2318" t="s">
        <v>89</v>
      </c>
      <c r="F2318">
        <v>24</v>
      </c>
      <c r="G2318" t="s">
        <v>90</v>
      </c>
      <c r="H2318" t="s">
        <v>91</v>
      </c>
      <c r="I2318" t="s">
        <v>528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96</v>
      </c>
      <c r="D2319" t="s">
        <v>508</v>
      </c>
      <c r="E2319" t="s">
        <v>89</v>
      </c>
      <c r="F2319">
        <v>24</v>
      </c>
      <c r="G2319" t="s">
        <v>90</v>
      </c>
      <c r="H2319" t="s">
        <v>91</v>
      </c>
      <c r="I2319" t="s">
        <v>529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96</v>
      </c>
      <c r="D2320" t="s">
        <v>508</v>
      </c>
      <c r="E2320" t="s">
        <v>89</v>
      </c>
      <c r="F2320">
        <v>24</v>
      </c>
      <c r="G2320" t="s">
        <v>90</v>
      </c>
      <c r="H2320" t="s">
        <v>91</v>
      </c>
      <c r="I2320" t="s">
        <v>530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96</v>
      </c>
      <c r="D2321" t="s">
        <v>508</v>
      </c>
      <c r="E2321" t="s">
        <v>89</v>
      </c>
      <c r="F2321">
        <v>24</v>
      </c>
      <c r="G2321" t="s">
        <v>90</v>
      </c>
      <c r="H2321" t="s">
        <v>91</v>
      </c>
      <c r="I2321" t="s">
        <v>531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96</v>
      </c>
      <c r="D2322" t="s">
        <v>508</v>
      </c>
      <c r="E2322" t="s">
        <v>89</v>
      </c>
      <c r="F2322">
        <v>24</v>
      </c>
      <c r="G2322" t="s">
        <v>90</v>
      </c>
      <c r="H2322" t="s">
        <v>91</v>
      </c>
      <c r="I2322" t="s">
        <v>532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96</v>
      </c>
      <c r="D2323" t="s">
        <v>508</v>
      </c>
      <c r="E2323" t="s">
        <v>89</v>
      </c>
      <c r="F2323">
        <v>24</v>
      </c>
      <c r="G2323" t="s">
        <v>90</v>
      </c>
      <c r="H2323" t="s">
        <v>91</v>
      </c>
      <c r="I2323" t="s">
        <v>533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96</v>
      </c>
      <c r="D2324" t="s">
        <v>508</v>
      </c>
      <c r="E2324" t="s">
        <v>89</v>
      </c>
      <c r="F2324">
        <v>24</v>
      </c>
      <c r="G2324" t="s">
        <v>90</v>
      </c>
      <c r="H2324" t="s">
        <v>91</v>
      </c>
      <c r="I2324" t="s">
        <v>534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96</v>
      </c>
      <c r="D2325" t="s">
        <v>508</v>
      </c>
      <c r="E2325" t="s">
        <v>89</v>
      </c>
      <c r="F2325">
        <v>24</v>
      </c>
      <c r="G2325" t="s">
        <v>90</v>
      </c>
      <c r="H2325" t="s">
        <v>91</v>
      </c>
      <c r="I2325" t="s">
        <v>535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96</v>
      </c>
      <c r="D2326" t="s">
        <v>508</v>
      </c>
      <c r="E2326" t="s">
        <v>89</v>
      </c>
      <c r="F2326">
        <v>24</v>
      </c>
      <c r="G2326" t="s">
        <v>90</v>
      </c>
      <c r="H2326" t="s">
        <v>91</v>
      </c>
      <c r="I2326" t="s">
        <v>536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96</v>
      </c>
      <c r="D2327" t="s">
        <v>508</v>
      </c>
      <c r="E2327" t="s">
        <v>89</v>
      </c>
      <c r="F2327">
        <v>24</v>
      </c>
      <c r="G2327" t="s">
        <v>90</v>
      </c>
      <c r="H2327" t="s">
        <v>230</v>
      </c>
      <c r="I2327" t="s">
        <v>518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96</v>
      </c>
      <c r="D2328" t="s">
        <v>508</v>
      </c>
      <c r="E2328" t="s">
        <v>89</v>
      </c>
      <c r="F2328">
        <v>24</v>
      </c>
      <c r="G2328" t="s">
        <v>90</v>
      </c>
      <c r="H2328" t="s">
        <v>230</v>
      </c>
      <c r="I2328" t="s">
        <v>519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96</v>
      </c>
      <c r="D2329" t="s">
        <v>508</v>
      </c>
      <c r="E2329" t="s">
        <v>89</v>
      </c>
      <c r="F2329">
        <v>24</v>
      </c>
      <c r="G2329" t="s">
        <v>90</v>
      </c>
      <c r="H2329" t="s">
        <v>230</v>
      </c>
      <c r="I2329" t="s">
        <v>520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96</v>
      </c>
      <c r="D2330" t="s">
        <v>508</v>
      </c>
      <c r="E2330" t="s">
        <v>89</v>
      </c>
      <c r="F2330">
        <v>24</v>
      </c>
      <c r="G2330" t="s">
        <v>90</v>
      </c>
      <c r="H2330" t="s">
        <v>230</v>
      </c>
      <c r="I2330" t="s">
        <v>119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96</v>
      </c>
      <c r="D2331" t="s">
        <v>508</v>
      </c>
      <c r="E2331" t="s">
        <v>89</v>
      </c>
      <c r="F2331">
        <v>24</v>
      </c>
      <c r="G2331" t="s">
        <v>90</v>
      </c>
      <c r="H2331" t="s">
        <v>230</v>
      </c>
      <c r="I2331" t="s">
        <v>521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96</v>
      </c>
      <c r="D2332" t="s">
        <v>508</v>
      </c>
      <c r="E2332" t="s">
        <v>89</v>
      </c>
      <c r="F2332">
        <v>24</v>
      </c>
      <c r="G2332" t="s">
        <v>90</v>
      </c>
      <c r="H2332" t="s">
        <v>230</v>
      </c>
      <c r="I2332" t="s">
        <v>522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96</v>
      </c>
      <c r="D2333" t="s">
        <v>508</v>
      </c>
      <c r="E2333" t="s">
        <v>89</v>
      </c>
      <c r="F2333">
        <v>24</v>
      </c>
      <c r="G2333" t="s">
        <v>90</v>
      </c>
      <c r="H2333" t="s">
        <v>230</v>
      </c>
      <c r="I2333" t="s">
        <v>523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96</v>
      </c>
      <c r="D2334" t="s">
        <v>508</v>
      </c>
      <c r="E2334" t="s">
        <v>89</v>
      </c>
      <c r="F2334">
        <v>24</v>
      </c>
      <c r="G2334" t="s">
        <v>90</v>
      </c>
      <c r="H2334" t="s">
        <v>230</v>
      </c>
      <c r="I2334" t="s">
        <v>524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96</v>
      </c>
      <c r="D2335" t="s">
        <v>508</v>
      </c>
      <c r="E2335" t="s">
        <v>89</v>
      </c>
      <c r="F2335">
        <v>24</v>
      </c>
      <c r="G2335" t="s">
        <v>90</v>
      </c>
      <c r="H2335" t="s">
        <v>230</v>
      </c>
      <c r="I2335" t="s">
        <v>525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96</v>
      </c>
      <c r="D2336" t="s">
        <v>508</v>
      </c>
      <c r="E2336" t="s">
        <v>89</v>
      </c>
      <c r="F2336">
        <v>24</v>
      </c>
      <c r="G2336" t="s">
        <v>90</v>
      </c>
      <c r="H2336" t="s">
        <v>230</v>
      </c>
      <c r="I2336" t="s">
        <v>526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96</v>
      </c>
      <c r="D2337" t="s">
        <v>508</v>
      </c>
      <c r="E2337" t="s">
        <v>89</v>
      </c>
      <c r="F2337">
        <v>24</v>
      </c>
      <c r="G2337" t="s">
        <v>90</v>
      </c>
      <c r="H2337" t="s">
        <v>230</v>
      </c>
      <c r="I2337" t="s">
        <v>527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96</v>
      </c>
      <c r="D2338" t="s">
        <v>508</v>
      </c>
      <c r="E2338" t="s">
        <v>89</v>
      </c>
      <c r="F2338">
        <v>24</v>
      </c>
      <c r="G2338" t="s">
        <v>90</v>
      </c>
      <c r="H2338" t="s">
        <v>230</v>
      </c>
      <c r="I2338" t="s">
        <v>528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96</v>
      </c>
      <c r="D2339" t="s">
        <v>508</v>
      </c>
      <c r="E2339" t="s">
        <v>89</v>
      </c>
      <c r="F2339">
        <v>24</v>
      </c>
      <c r="G2339" t="s">
        <v>90</v>
      </c>
      <c r="H2339" t="s">
        <v>230</v>
      </c>
      <c r="I2339" t="s">
        <v>529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96</v>
      </c>
      <c r="D2340" t="s">
        <v>508</v>
      </c>
      <c r="E2340" t="s">
        <v>89</v>
      </c>
      <c r="F2340">
        <v>24</v>
      </c>
      <c r="G2340" t="s">
        <v>90</v>
      </c>
      <c r="H2340" t="s">
        <v>230</v>
      </c>
      <c r="I2340" t="s">
        <v>530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96</v>
      </c>
      <c r="D2341" t="s">
        <v>508</v>
      </c>
      <c r="E2341" t="s">
        <v>89</v>
      </c>
      <c r="F2341">
        <v>24</v>
      </c>
      <c r="G2341" t="s">
        <v>90</v>
      </c>
      <c r="H2341" t="s">
        <v>230</v>
      </c>
      <c r="I2341" t="s">
        <v>531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96</v>
      </c>
      <c r="D2342" t="s">
        <v>508</v>
      </c>
      <c r="E2342" t="s">
        <v>89</v>
      </c>
      <c r="F2342">
        <v>24</v>
      </c>
      <c r="G2342" t="s">
        <v>90</v>
      </c>
      <c r="H2342" t="s">
        <v>230</v>
      </c>
      <c r="I2342" t="s">
        <v>532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96</v>
      </c>
      <c r="D2343" t="s">
        <v>508</v>
      </c>
      <c r="E2343" t="s">
        <v>89</v>
      </c>
      <c r="F2343">
        <v>24</v>
      </c>
      <c r="G2343" t="s">
        <v>90</v>
      </c>
      <c r="H2343" t="s">
        <v>230</v>
      </c>
      <c r="I2343" t="s">
        <v>533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96</v>
      </c>
      <c r="D2344" t="s">
        <v>508</v>
      </c>
      <c r="E2344" t="s">
        <v>89</v>
      </c>
      <c r="F2344">
        <v>24</v>
      </c>
      <c r="G2344" t="s">
        <v>90</v>
      </c>
      <c r="H2344" t="s">
        <v>230</v>
      </c>
      <c r="I2344" t="s">
        <v>534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96</v>
      </c>
      <c r="D2345" t="s">
        <v>508</v>
      </c>
      <c r="E2345" t="s">
        <v>89</v>
      </c>
      <c r="F2345">
        <v>24</v>
      </c>
      <c r="G2345" t="s">
        <v>90</v>
      </c>
      <c r="H2345" t="s">
        <v>230</v>
      </c>
      <c r="I2345" t="s">
        <v>535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96</v>
      </c>
      <c r="D2346" t="s">
        <v>508</v>
      </c>
      <c r="E2346" t="s">
        <v>89</v>
      </c>
      <c r="F2346">
        <v>24</v>
      </c>
      <c r="G2346" t="s">
        <v>90</v>
      </c>
      <c r="H2346" t="s">
        <v>230</v>
      </c>
      <c r="I2346" t="s">
        <v>536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96</v>
      </c>
      <c r="D2347" t="s">
        <v>508</v>
      </c>
      <c r="E2347" t="s">
        <v>89</v>
      </c>
      <c r="F2347">
        <v>24</v>
      </c>
      <c r="G2347" t="s">
        <v>90</v>
      </c>
      <c r="H2347" t="s">
        <v>188</v>
      </c>
      <c r="I2347" t="s">
        <v>518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96</v>
      </c>
      <c r="D2348" t="s">
        <v>508</v>
      </c>
      <c r="E2348" t="s">
        <v>89</v>
      </c>
      <c r="F2348">
        <v>24</v>
      </c>
      <c r="G2348" t="s">
        <v>90</v>
      </c>
      <c r="H2348" t="s">
        <v>188</v>
      </c>
      <c r="I2348" t="s">
        <v>519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96</v>
      </c>
      <c r="D2349" t="s">
        <v>508</v>
      </c>
      <c r="E2349" t="s">
        <v>89</v>
      </c>
      <c r="F2349">
        <v>24</v>
      </c>
      <c r="G2349" t="s">
        <v>90</v>
      </c>
      <c r="H2349" t="s">
        <v>188</v>
      </c>
      <c r="I2349" t="s">
        <v>520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96</v>
      </c>
      <c r="D2350" t="s">
        <v>508</v>
      </c>
      <c r="E2350" t="s">
        <v>89</v>
      </c>
      <c r="F2350">
        <v>24</v>
      </c>
      <c r="G2350" t="s">
        <v>90</v>
      </c>
      <c r="H2350" t="s">
        <v>188</v>
      </c>
      <c r="I2350" t="s">
        <v>119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96</v>
      </c>
      <c r="D2351" t="s">
        <v>508</v>
      </c>
      <c r="E2351" t="s">
        <v>89</v>
      </c>
      <c r="F2351">
        <v>24</v>
      </c>
      <c r="G2351" t="s">
        <v>90</v>
      </c>
      <c r="H2351" t="s">
        <v>188</v>
      </c>
      <c r="I2351" t="s">
        <v>521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96</v>
      </c>
      <c r="D2352" t="s">
        <v>508</v>
      </c>
      <c r="E2352" t="s">
        <v>89</v>
      </c>
      <c r="F2352">
        <v>24</v>
      </c>
      <c r="G2352" t="s">
        <v>90</v>
      </c>
      <c r="H2352" t="s">
        <v>188</v>
      </c>
      <c r="I2352" t="s">
        <v>522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96</v>
      </c>
      <c r="D2353" t="s">
        <v>508</v>
      </c>
      <c r="E2353" t="s">
        <v>89</v>
      </c>
      <c r="F2353">
        <v>24</v>
      </c>
      <c r="G2353" t="s">
        <v>90</v>
      </c>
      <c r="H2353" t="s">
        <v>188</v>
      </c>
      <c r="I2353" t="s">
        <v>523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96</v>
      </c>
      <c r="D2354" t="s">
        <v>508</v>
      </c>
      <c r="E2354" t="s">
        <v>89</v>
      </c>
      <c r="F2354">
        <v>24</v>
      </c>
      <c r="G2354" t="s">
        <v>90</v>
      </c>
      <c r="H2354" t="s">
        <v>188</v>
      </c>
      <c r="I2354" t="s">
        <v>524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96</v>
      </c>
      <c r="D2355" t="s">
        <v>508</v>
      </c>
      <c r="E2355" t="s">
        <v>89</v>
      </c>
      <c r="F2355">
        <v>24</v>
      </c>
      <c r="G2355" t="s">
        <v>90</v>
      </c>
      <c r="H2355" t="s">
        <v>188</v>
      </c>
      <c r="I2355" t="s">
        <v>525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96</v>
      </c>
      <c r="D2356" t="s">
        <v>508</v>
      </c>
      <c r="E2356" t="s">
        <v>89</v>
      </c>
      <c r="F2356">
        <v>24</v>
      </c>
      <c r="G2356" t="s">
        <v>90</v>
      </c>
      <c r="H2356" t="s">
        <v>188</v>
      </c>
      <c r="I2356" t="s">
        <v>526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96</v>
      </c>
      <c r="D2357" t="s">
        <v>508</v>
      </c>
      <c r="E2357" t="s">
        <v>89</v>
      </c>
      <c r="F2357">
        <v>24</v>
      </c>
      <c r="G2357" t="s">
        <v>90</v>
      </c>
      <c r="H2357" t="s">
        <v>188</v>
      </c>
      <c r="I2357" t="s">
        <v>527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96</v>
      </c>
      <c r="D2358" t="s">
        <v>508</v>
      </c>
      <c r="E2358" t="s">
        <v>89</v>
      </c>
      <c r="F2358">
        <v>24</v>
      </c>
      <c r="G2358" t="s">
        <v>90</v>
      </c>
      <c r="H2358" t="s">
        <v>188</v>
      </c>
      <c r="I2358" t="s">
        <v>528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96</v>
      </c>
      <c r="D2359" t="s">
        <v>508</v>
      </c>
      <c r="E2359" t="s">
        <v>89</v>
      </c>
      <c r="F2359">
        <v>24</v>
      </c>
      <c r="G2359" t="s">
        <v>90</v>
      </c>
      <c r="H2359" t="s">
        <v>188</v>
      </c>
      <c r="I2359" t="s">
        <v>529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96</v>
      </c>
      <c r="D2360" t="s">
        <v>508</v>
      </c>
      <c r="E2360" t="s">
        <v>89</v>
      </c>
      <c r="F2360">
        <v>24</v>
      </c>
      <c r="G2360" t="s">
        <v>90</v>
      </c>
      <c r="H2360" t="s">
        <v>188</v>
      </c>
      <c r="I2360" t="s">
        <v>530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96</v>
      </c>
      <c r="D2361" t="s">
        <v>508</v>
      </c>
      <c r="E2361" t="s">
        <v>89</v>
      </c>
      <c r="F2361">
        <v>24</v>
      </c>
      <c r="G2361" t="s">
        <v>90</v>
      </c>
      <c r="H2361" t="s">
        <v>188</v>
      </c>
      <c r="I2361" t="s">
        <v>531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96</v>
      </c>
      <c r="D2362" t="s">
        <v>508</v>
      </c>
      <c r="E2362" t="s">
        <v>89</v>
      </c>
      <c r="F2362">
        <v>24</v>
      </c>
      <c r="G2362" t="s">
        <v>90</v>
      </c>
      <c r="H2362" t="s">
        <v>188</v>
      </c>
      <c r="I2362" t="s">
        <v>532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96</v>
      </c>
      <c r="D2363" t="s">
        <v>508</v>
      </c>
      <c r="E2363" t="s">
        <v>89</v>
      </c>
      <c r="F2363">
        <v>24</v>
      </c>
      <c r="G2363" t="s">
        <v>90</v>
      </c>
      <c r="H2363" t="s">
        <v>188</v>
      </c>
      <c r="I2363" t="s">
        <v>533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96</v>
      </c>
      <c r="D2364" t="s">
        <v>508</v>
      </c>
      <c r="E2364" t="s">
        <v>89</v>
      </c>
      <c r="F2364">
        <v>24</v>
      </c>
      <c r="G2364" t="s">
        <v>90</v>
      </c>
      <c r="H2364" t="s">
        <v>188</v>
      </c>
      <c r="I2364" t="s">
        <v>534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96</v>
      </c>
      <c r="D2365" t="s">
        <v>508</v>
      </c>
      <c r="E2365" t="s">
        <v>89</v>
      </c>
      <c r="F2365">
        <v>24</v>
      </c>
      <c r="G2365" t="s">
        <v>90</v>
      </c>
      <c r="H2365" t="s">
        <v>188</v>
      </c>
      <c r="I2365" t="s">
        <v>535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96</v>
      </c>
      <c r="D2366" t="s">
        <v>508</v>
      </c>
      <c r="E2366" t="s">
        <v>89</v>
      </c>
      <c r="F2366">
        <v>24</v>
      </c>
      <c r="G2366" t="s">
        <v>90</v>
      </c>
      <c r="H2366" t="s">
        <v>188</v>
      </c>
      <c r="I2366" t="s">
        <v>536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96</v>
      </c>
      <c r="D2367" t="s">
        <v>508</v>
      </c>
      <c r="E2367" t="s">
        <v>89</v>
      </c>
      <c r="F2367">
        <v>24</v>
      </c>
      <c r="G2367" t="s">
        <v>272</v>
      </c>
      <c r="H2367" t="s">
        <v>232</v>
      </c>
      <c r="I2367" t="s">
        <v>512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96</v>
      </c>
      <c r="D2368" t="s">
        <v>508</v>
      </c>
      <c r="E2368" t="s">
        <v>89</v>
      </c>
      <c r="F2368">
        <v>24</v>
      </c>
      <c r="G2368" t="s">
        <v>272</v>
      </c>
      <c r="H2368" t="s">
        <v>186</v>
      </c>
      <c r="I2368" t="s">
        <v>512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96</v>
      </c>
      <c r="D2369" t="s">
        <v>508</v>
      </c>
      <c r="E2369" t="s">
        <v>89</v>
      </c>
      <c r="F2369">
        <v>24</v>
      </c>
      <c r="G2369" t="s">
        <v>272</v>
      </c>
      <c r="H2369" t="s">
        <v>187</v>
      </c>
      <c r="I2369" t="s">
        <v>512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96</v>
      </c>
      <c r="D2370" t="s">
        <v>508</v>
      </c>
      <c r="E2370" t="s">
        <v>89</v>
      </c>
      <c r="F2370">
        <v>24</v>
      </c>
      <c r="G2370" t="s">
        <v>272</v>
      </c>
      <c r="H2370" t="s">
        <v>198</v>
      </c>
      <c r="I2370" t="s">
        <v>512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96</v>
      </c>
      <c r="D2371" t="s">
        <v>508</v>
      </c>
      <c r="E2371" t="s">
        <v>89</v>
      </c>
      <c r="F2371">
        <v>24</v>
      </c>
      <c r="G2371" t="s">
        <v>272</v>
      </c>
      <c r="H2371" t="s">
        <v>188</v>
      </c>
      <c r="I2371" t="s">
        <v>512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96</v>
      </c>
      <c r="D2372" t="s">
        <v>508</v>
      </c>
      <c r="E2372" t="s">
        <v>89</v>
      </c>
      <c r="F2372">
        <v>24</v>
      </c>
      <c r="G2372" t="s">
        <v>233</v>
      </c>
      <c r="H2372" t="s">
        <v>234</v>
      </c>
      <c r="I2372" t="s">
        <v>537</v>
      </c>
      <c r="J2372" s="73">
        <v>45658</v>
      </c>
    </row>
    <row r="2373" spans="1:10" x14ac:dyDescent="0.25">
      <c r="A2373" s="1" t="s">
        <v>27</v>
      </c>
      <c r="B2373">
        <v>401752667</v>
      </c>
      <c r="C2373" t="s">
        <v>96</v>
      </c>
      <c r="D2373" t="s">
        <v>508</v>
      </c>
      <c r="E2373" t="s">
        <v>89</v>
      </c>
      <c r="F2373">
        <v>24</v>
      </c>
      <c r="G2373" t="s">
        <v>233</v>
      </c>
      <c r="H2373" t="s">
        <v>236</v>
      </c>
      <c r="I2373" t="s">
        <v>537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96</v>
      </c>
      <c r="D2374" t="s">
        <v>508</v>
      </c>
      <c r="E2374" t="s">
        <v>89</v>
      </c>
      <c r="F2374">
        <v>24</v>
      </c>
      <c r="G2374" t="s">
        <v>233</v>
      </c>
      <c r="H2374" t="s">
        <v>198</v>
      </c>
      <c r="I2374" t="s">
        <v>537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96</v>
      </c>
      <c r="D2375" t="s">
        <v>508</v>
      </c>
      <c r="E2375" t="s">
        <v>89</v>
      </c>
      <c r="F2375">
        <v>24</v>
      </c>
      <c r="G2375" t="s">
        <v>233</v>
      </c>
      <c r="H2375" t="s">
        <v>237</v>
      </c>
      <c r="I2375" t="s">
        <v>537</v>
      </c>
      <c r="J2375" s="73">
        <v>45719</v>
      </c>
    </row>
    <row r="2376" spans="1:10" x14ac:dyDescent="0.25">
      <c r="A2376" s="1" t="s">
        <v>27</v>
      </c>
      <c r="B2376">
        <v>401752667</v>
      </c>
      <c r="C2376" t="s">
        <v>96</v>
      </c>
      <c r="D2376" t="s">
        <v>508</v>
      </c>
      <c r="E2376" t="s">
        <v>89</v>
      </c>
      <c r="F2376">
        <v>24</v>
      </c>
      <c r="G2376" t="s">
        <v>233</v>
      </c>
      <c r="H2376" t="s">
        <v>238</v>
      </c>
      <c r="I2376" t="s">
        <v>537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96</v>
      </c>
      <c r="D2377" t="s">
        <v>508</v>
      </c>
      <c r="E2377" t="s">
        <v>89</v>
      </c>
      <c r="F2377">
        <v>24</v>
      </c>
      <c r="G2377" t="s">
        <v>239</v>
      </c>
      <c r="H2377" t="s">
        <v>232</v>
      </c>
      <c r="I2377" t="s">
        <v>538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96</v>
      </c>
      <c r="D2378" t="s">
        <v>508</v>
      </c>
      <c r="E2378" t="s">
        <v>89</v>
      </c>
      <c r="F2378">
        <v>24</v>
      </c>
      <c r="G2378" t="s">
        <v>239</v>
      </c>
      <c r="H2378" t="s">
        <v>186</v>
      </c>
      <c r="I2378" t="s">
        <v>538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96</v>
      </c>
      <c r="D2379" t="s">
        <v>508</v>
      </c>
      <c r="E2379" t="s">
        <v>89</v>
      </c>
      <c r="F2379">
        <v>24</v>
      </c>
      <c r="G2379" t="s">
        <v>239</v>
      </c>
      <c r="H2379" t="s">
        <v>187</v>
      </c>
      <c r="I2379" t="s">
        <v>538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96</v>
      </c>
      <c r="D2380" t="s">
        <v>508</v>
      </c>
      <c r="E2380" t="s">
        <v>89</v>
      </c>
      <c r="F2380">
        <v>24</v>
      </c>
      <c r="G2380" t="s">
        <v>239</v>
      </c>
      <c r="H2380" t="s">
        <v>241</v>
      </c>
      <c r="I2380" t="s">
        <v>538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96</v>
      </c>
      <c r="D2381" t="s">
        <v>508</v>
      </c>
      <c r="E2381" t="s">
        <v>89</v>
      </c>
      <c r="F2381">
        <v>24</v>
      </c>
      <c r="G2381" t="s">
        <v>239</v>
      </c>
      <c r="H2381" t="s">
        <v>242</v>
      </c>
      <c r="I2381" t="s">
        <v>538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96</v>
      </c>
      <c r="D2382" t="s">
        <v>508</v>
      </c>
      <c r="E2382" t="s">
        <v>89</v>
      </c>
      <c r="F2382">
        <v>24</v>
      </c>
      <c r="G2382" t="s">
        <v>239</v>
      </c>
      <c r="H2382" t="s">
        <v>198</v>
      </c>
      <c r="I2382" t="s">
        <v>538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117</v>
      </c>
      <c r="D2383" t="s">
        <v>408</v>
      </c>
      <c r="E2383" t="s">
        <v>179</v>
      </c>
      <c r="F2383">
        <v>34</v>
      </c>
      <c r="G2383" t="s">
        <v>180</v>
      </c>
      <c r="H2383" t="s">
        <v>181</v>
      </c>
      <c r="I2383" t="s">
        <v>157</v>
      </c>
      <c r="J2383" t="s">
        <v>539</v>
      </c>
    </row>
    <row r="2384" spans="1:10" x14ac:dyDescent="0.25">
      <c r="A2384" s="1" t="s">
        <v>27</v>
      </c>
      <c r="B2384">
        <v>401752673</v>
      </c>
      <c r="C2384" t="s">
        <v>117</v>
      </c>
      <c r="D2384" t="s">
        <v>408</v>
      </c>
      <c r="E2384" t="s">
        <v>179</v>
      </c>
      <c r="F2384">
        <v>34</v>
      </c>
      <c r="G2384" t="s">
        <v>180</v>
      </c>
      <c r="H2384" t="s">
        <v>181</v>
      </c>
      <c r="I2384" t="s">
        <v>540</v>
      </c>
      <c r="J2384" s="73">
        <v>45660</v>
      </c>
    </row>
    <row r="2385" spans="1:10" x14ac:dyDescent="0.25">
      <c r="A2385" s="1" t="s">
        <v>27</v>
      </c>
      <c r="B2385">
        <v>401752673</v>
      </c>
      <c r="C2385" t="s">
        <v>117</v>
      </c>
      <c r="D2385" t="s">
        <v>408</v>
      </c>
      <c r="E2385" t="s">
        <v>179</v>
      </c>
      <c r="F2385">
        <v>34</v>
      </c>
      <c r="G2385" t="s">
        <v>180</v>
      </c>
      <c r="H2385" t="s">
        <v>186</v>
      </c>
      <c r="I2385" t="s">
        <v>157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117</v>
      </c>
      <c r="D2386" t="s">
        <v>408</v>
      </c>
      <c r="E2386" t="s">
        <v>179</v>
      </c>
      <c r="F2386">
        <v>34</v>
      </c>
      <c r="G2386" t="s">
        <v>180</v>
      </c>
      <c r="H2386" t="s">
        <v>186</v>
      </c>
      <c r="I2386" t="s">
        <v>540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117</v>
      </c>
      <c r="D2387" t="s">
        <v>408</v>
      </c>
      <c r="E2387" t="s">
        <v>179</v>
      </c>
      <c r="F2387">
        <v>34</v>
      </c>
      <c r="G2387" t="s">
        <v>180</v>
      </c>
      <c r="H2387" t="s">
        <v>187</v>
      </c>
      <c r="I2387" t="s">
        <v>157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117</v>
      </c>
      <c r="D2388" t="s">
        <v>408</v>
      </c>
      <c r="E2388" t="s">
        <v>179</v>
      </c>
      <c r="F2388">
        <v>34</v>
      </c>
      <c r="G2388" t="s">
        <v>180</v>
      </c>
      <c r="H2388" t="s">
        <v>187</v>
      </c>
      <c r="I2388" t="s">
        <v>540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117</v>
      </c>
      <c r="D2389" t="s">
        <v>408</v>
      </c>
      <c r="E2389" t="s">
        <v>179</v>
      </c>
      <c r="F2389">
        <v>34</v>
      </c>
      <c r="G2389" t="s">
        <v>180</v>
      </c>
      <c r="H2389" t="s">
        <v>188</v>
      </c>
      <c r="I2389" t="s">
        <v>157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117</v>
      </c>
      <c r="D2390" t="s">
        <v>408</v>
      </c>
      <c r="E2390" t="s">
        <v>179</v>
      </c>
      <c r="F2390">
        <v>34</v>
      </c>
      <c r="G2390" t="s">
        <v>180</v>
      </c>
      <c r="H2390" t="s">
        <v>188</v>
      </c>
      <c r="I2390" t="s">
        <v>540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117</v>
      </c>
      <c r="D2391" t="s">
        <v>408</v>
      </c>
      <c r="E2391" t="s">
        <v>179</v>
      </c>
      <c r="F2391">
        <v>34</v>
      </c>
      <c r="G2391" t="s">
        <v>180</v>
      </c>
      <c r="H2391" t="s">
        <v>189</v>
      </c>
      <c r="I2391" t="s">
        <v>157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117</v>
      </c>
      <c r="D2392" t="s">
        <v>408</v>
      </c>
      <c r="E2392" t="s">
        <v>179</v>
      </c>
      <c r="F2392">
        <v>34</v>
      </c>
      <c r="G2392" t="s">
        <v>180</v>
      </c>
      <c r="H2392" t="s">
        <v>189</v>
      </c>
      <c r="I2392" t="s">
        <v>540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117</v>
      </c>
      <c r="D2393" t="s">
        <v>408</v>
      </c>
      <c r="E2393" t="s">
        <v>179</v>
      </c>
      <c r="F2393">
        <v>34</v>
      </c>
      <c r="G2393" t="s">
        <v>180</v>
      </c>
      <c r="H2393" t="s">
        <v>190</v>
      </c>
      <c r="I2393" t="s">
        <v>157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117</v>
      </c>
      <c r="D2394" t="s">
        <v>408</v>
      </c>
      <c r="E2394" t="s">
        <v>179</v>
      </c>
      <c r="F2394">
        <v>34</v>
      </c>
      <c r="G2394" t="s">
        <v>180</v>
      </c>
      <c r="H2394" t="s">
        <v>190</v>
      </c>
      <c r="I2394" t="s">
        <v>540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117</v>
      </c>
      <c r="D2395" t="s">
        <v>408</v>
      </c>
      <c r="E2395" t="s">
        <v>179</v>
      </c>
      <c r="F2395">
        <v>34</v>
      </c>
      <c r="G2395" t="s">
        <v>192</v>
      </c>
      <c r="H2395" t="s">
        <v>193</v>
      </c>
      <c r="I2395" t="s">
        <v>116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117</v>
      </c>
      <c r="D2396" t="s">
        <v>408</v>
      </c>
      <c r="E2396" t="s">
        <v>179</v>
      </c>
      <c r="F2396">
        <v>34</v>
      </c>
      <c r="G2396" t="s">
        <v>192</v>
      </c>
      <c r="H2396" t="s">
        <v>193</v>
      </c>
      <c r="I2396" t="s">
        <v>541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117</v>
      </c>
      <c r="D2397" t="s">
        <v>408</v>
      </c>
      <c r="E2397" t="s">
        <v>179</v>
      </c>
      <c r="F2397">
        <v>34</v>
      </c>
      <c r="G2397" t="s">
        <v>192</v>
      </c>
      <c r="H2397" t="s">
        <v>193</v>
      </c>
      <c r="I2397" t="s">
        <v>542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117</v>
      </c>
      <c r="D2398" t="s">
        <v>408</v>
      </c>
      <c r="E2398" t="s">
        <v>179</v>
      </c>
      <c r="F2398">
        <v>34</v>
      </c>
      <c r="G2398" t="s">
        <v>192</v>
      </c>
      <c r="H2398" t="s">
        <v>193</v>
      </c>
      <c r="I2398" t="s">
        <v>540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117</v>
      </c>
      <c r="D2399" t="s">
        <v>408</v>
      </c>
      <c r="E2399" t="s">
        <v>179</v>
      </c>
      <c r="F2399">
        <v>34</v>
      </c>
      <c r="G2399" t="s">
        <v>192</v>
      </c>
      <c r="H2399" t="s">
        <v>193</v>
      </c>
      <c r="I2399" t="s">
        <v>543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117</v>
      </c>
      <c r="D2400" t="s">
        <v>408</v>
      </c>
      <c r="E2400" t="s">
        <v>179</v>
      </c>
      <c r="F2400">
        <v>34</v>
      </c>
      <c r="G2400" t="s">
        <v>192</v>
      </c>
      <c r="H2400" t="s">
        <v>193</v>
      </c>
      <c r="I2400" t="s">
        <v>157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117</v>
      </c>
      <c r="D2401" t="s">
        <v>408</v>
      </c>
      <c r="E2401" t="s">
        <v>179</v>
      </c>
      <c r="F2401">
        <v>34</v>
      </c>
      <c r="G2401" t="s">
        <v>192</v>
      </c>
      <c r="H2401" t="s">
        <v>193</v>
      </c>
      <c r="I2401" t="s">
        <v>544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117</v>
      </c>
      <c r="D2402" t="s">
        <v>408</v>
      </c>
      <c r="E2402" t="s">
        <v>179</v>
      </c>
      <c r="F2402">
        <v>34</v>
      </c>
      <c r="G2402" t="s">
        <v>192</v>
      </c>
      <c r="H2402" t="s">
        <v>193</v>
      </c>
      <c r="I2402" t="s">
        <v>545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117</v>
      </c>
      <c r="D2403" t="s">
        <v>408</v>
      </c>
      <c r="E2403" t="s">
        <v>179</v>
      </c>
      <c r="F2403">
        <v>34</v>
      </c>
      <c r="G2403" t="s">
        <v>192</v>
      </c>
      <c r="H2403" t="s">
        <v>186</v>
      </c>
      <c r="I2403" t="s">
        <v>116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117</v>
      </c>
      <c r="D2404" t="s">
        <v>408</v>
      </c>
      <c r="E2404" t="s">
        <v>179</v>
      </c>
      <c r="F2404">
        <v>34</v>
      </c>
      <c r="G2404" t="s">
        <v>192</v>
      </c>
      <c r="H2404" t="s">
        <v>186</v>
      </c>
      <c r="I2404" t="s">
        <v>541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117</v>
      </c>
      <c r="D2405" t="s">
        <v>408</v>
      </c>
      <c r="E2405" t="s">
        <v>179</v>
      </c>
      <c r="F2405">
        <v>34</v>
      </c>
      <c r="G2405" t="s">
        <v>192</v>
      </c>
      <c r="H2405" t="s">
        <v>186</v>
      </c>
      <c r="I2405" t="s">
        <v>542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117</v>
      </c>
      <c r="D2406" t="s">
        <v>408</v>
      </c>
      <c r="E2406" t="s">
        <v>179</v>
      </c>
      <c r="F2406">
        <v>34</v>
      </c>
      <c r="G2406" t="s">
        <v>192</v>
      </c>
      <c r="H2406" t="s">
        <v>186</v>
      </c>
      <c r="I2406" t="s">
        <v>540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117</v>
      </c>
      <c r="D2407" t="s">
        <v>408</v>
      </c>
      <c r="E2407" t="s">
        <v>179</v>
      </c>
      <c r="F2407">
        <v>34</v>
      </c>
      <c r="G2407" t="s">
        <v>192</v>
      </c>
      <c r="H2407" t="s">
        <v>186</v>
      </c>
      <c r="I2407" t="s">
        <v>543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117</v>
      </c>
      <c r="D2408" t="s">
        <v>408</v>
      </c>
      <c r="E2408" t="s">
        <v>179</v>
      </c>
      <c r="F2408">
        <v>34</v>
      </c>
      <c r="G2408" t="s">
        <v>192</v>
      </c>
      <c r="H2408" t="s">
        <v>186</v>
      </c>
      <c r="I2408" t="s">
        <v>157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117</v>
      </c>
      <c r="D2409" t="s">
        <v>408</v>
      </c>
      <c r="E2409" t="s">
        <v>179</v>
      </c>
      <c r="F2409">
        <v>34</v>
      </c>
      <c r="G2409" t="s">
        <v>192</v>
      </c>
      <c r="H2409" t="s">
        <v>186</v>
      </c>
      <c r="I2409" t="s">
        <v>544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117</v>
      </c>
      <c r="D2410" t="s">
        <v>408</v>
      </c>
      <c r="E2410" t="s">
        <v>179</v>
      </c>
      <c r="F2410">
        <v>34</v>
      </c>
      <c r="G2410" t="s">
        <v>192</v>
      </c>
      <c r="H2410" t="s">
        <v>186</v>
      </c>
      <c r="I2410" t="s">
        <v>545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117</v>
      </c>
      <c r="D2411" t="s">
        <v>408</v>
      </c>
      <c r="E2411" t="s">
        <v>179</v>
      </c>
      <c r="F2411">
        <v>34</v>
      </c>
      <c r="G2411" t="s">
        <v>192</v>
      </c>
      <c r="H2411" t="s">
        <v>187</v>
      </c>
      <c r="I2411" t="s">
        <v>116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117</v>
      </c>
      <c r="D2412" t="s">
        <v>408</v>
      </c>
      <c r="E2412" t="s">
        <v>179</v>
      </c>
      <c r="F2412">
        <v>34</v>
      </c>
      <c r="G2412" t="s">
        <v>192</v>
      </c>
      <c r="H2412" t="s">
        <v>187</v>
      </c>
      <c r="I2412" t="s">
        <v>541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117</v>
      </c>
      <c r="D2413" t="s">
        <v>408</v>
      </c>
      <c r="E2413" t="s">
        <v>179</v>
      </c>
      <c r="F2413">
        <v>34</v>
      </c>
      <c r="G2413" t="s">
        <v>192</v>
      </c>
      <c r="H2413" t="s">
        <v>187</v>
      </c>
      <c r="I2413" t="s">
        <v>542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117</v>
      </c>
      <c r="D2414" t="s">
        <v>408</v>
      </c>
      <c r="E2414" t="s">
        <v>179</v>
      </c>
      <c r="F2414">
        <v>34</v>
      </c>
      <c r="G2414" t="s">
        <v>192</v>
      </c>
      <c r="H2414" t="s">
        <v>187</v>
      </c>
      <c r="I2414" t="s">
        <v>540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117</v>
      </c>
      <c r="D2415" t="s">
        <v>408</v>
      </c>
      <c r="E2415" t="s">
        <v>179</v>
      </c>
      <c r="F2415">
        <v>34</v>
      </c>
      <c r="G2415" t="s">
        <v>192</v>
      </c>
      <c r="H2415" t="s">
        <v>187</v>
      </c>
      <c r="I2415" t="s">
        <v>543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117</v>
      </c>
      <c r="D2416" t="s">
        <v>408</v>
      </c>
      <c r="E2416" t="s">
        <v>179</v>
      </c>
      <c r="F2416">
        <v>34</v>
      </c>
      <c r="G2416" t="s">
        <v>192</v>
      </c>
      <c r="H2416" t="s">
        <v>187</v>
      </c>
      <c r="I2416" t="s">
        <v>157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117</v>
      </c>
      <c r="D2417" t="s">
        <v>408</v>
      </c>
      <c r="E2417" t="s">
        <v>179</v>
      </c>
      <c r="F2417">
        <v>34</v>
      </c>
      <c r="G2417" t="s">
        <v>192</v>
      </c>
      <c r="H2417" t="s">
        <v>187</v>
      </c>
      <c r="I2417" t="s">
        <v>544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117</v>
      </c>
      <c r="D2418" t="s">
        <v>408</v>
      </c>
      <c r="E2418" t="s">
        <v>179</v>
      </c>
      <c r="F2418">
        <v>34</v>
      </c>
      <c r="G2418" t="s">
        <v>192</v>
      </c>
      <c r="H2418" t="s">
        <v>187</v>
      </c>
      <c r="I2418" t="s">
        <v>545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117</v>
      </c>
      <c r="D2419" t="s">
        <v>408</v>
      </c>
      <c r="E2419" t="s">
        <v>179</v>
      </c>
      <c r="F2419">
        <v>34</v>
      </c>
      <c r="G2419" t="s">
        <v>192</v>
      </c>
      <c r="H2419" t="s">
        <v>188</v>
      </c>
      <c r="I2419" t="s">
        <v>116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117</v>
      </c>
      <c r="D2420" t="s">
        <v>408</v>
      </c>
      <c r="E2420" t="s">
        <v>179</v>
      </c>
      <c r="F2420">
        <v>34</v>
      </c>
      <c r="G2420" t="s">
        <v>192</v>
      </c>
      <c r="H2420" t="s">
        <v>188</v>
      </c>
      <c r="I2420" t="s">
        <v>541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117</v>
      </c>
      <c r="D2421" t="s">
        <v>408</v>
      </c>
      <c r="E2421" t="s">
        <v>179</v>
      </c>
      <c r="F2421">
        <v>34</v>
      </c>
      <c r="G2421" t="s">
        <v>192</v>
      </c>
      <c r="H2421" t="s">
        <v>188</v>
      </c>
      <c r="I2421" t="s">
        <v>542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117</v>
      </c>
      <c r="D2422" t="s">
        <v>408</v>
      </c>
      <c r="E2422" t="s">
        <v>179</v>
      </c>
      <c r="F2422">
        <v>34</v>
      </c>
      <c r="G2422" t="s">
        <v>192</v>
      </c>
      <c r="H2422" t="s">
        <v>188</v>
      </c>
      <c r="I2422" t="s">
        <v>540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117</v>
      </c>
      <c r="D2423" t="s">
        <v>408</v>
      </c>
      <c r="E2423" t="s">
        <v>179</v>
      </c>
      <c r="F2423">
        <v>34</v>
      </c>
      <c r="G2423" t="s">
        <v>192</v>
      </c>
      <c r="H2423" t="s">
        <v>188</v>
      </c>
      <c r="I2423" t="s">
        <v>543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117</v>
      </c>
      <c r="D2424" t="s">
        <v>408</v>
      </c>
      <c r="E2424" t="s">
        <v>179</v>
      </c>
      <c r="F2424">
        <v>34</v>
      </c>
      <c r="G2424" t="s">
        <v>192</v>
      </c>
      <c r="H2424" t="s">
        <v>188</v>
      </c>
      <c r="I2424" t="s">
        <v>157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117</v>
      </c>
      <c r="D2425" t="s">
        <v>408</v>
      </c>
      <c r="E2425" t="s">
        <v>179</v>
      </c>
      <c r="F2425">
        <v>34</v>
      </c>
      <c r="G2425" t="s">
        <v>192</v>
      </c>
      <c r="H2425" t="s">
        <v>188</v>
      </c>
      <c r="I2425" t="s">
        <v>544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117</v>
      </c>
      <c r="D2426" t="s">
        <v>408</v>
      </c>
      <c r="E2426" t="s">
        <v>179</v>
      </c>
      <c r="F2426">
        <v>34</v>
      </c>
      <c r="G2426" t="s">
        <v>192</v>
      </c>
      <c r="H2426" t="s">
        <v>188</v>
      </c>
      <c r="I2426" t="s">
        <v>545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117</v>
      </c>
      <c r="D2427" t="s">
        <v>408</v>
      </c>
      <c r="E2427" t="s">
        <v>179</v>
      </c>
      <c r="F2427">
        <v>34</v>
      </c>
      <c r="G2427" t="s">
        <v>192</v>
      </c>
      <c r="H2427" t="s">
        <v>198</v>
      </c>
      <c r="I2427" t="s">
        <v>116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117</v>
      </c>
      <c r="D2428" t="s">
        <v>408</v>
      </c>
      <c r="E2428" t="s">
        <v>179</v>
      </c>
      <c r="F2428">
        <v>34</v>
      </c>
      <c r="G2428" t="s">
        <v>192</v>
      </c>
      <c r="H2428" t="s">
        <v>198</v>
      </c>
      <c r="I2428" t="s">
        <v>541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117</v>
      </c>
      <c r="D2429" t="s">
        <v>408</v>
      </c>
      <c r="E2429" t="s">
        <v>179</v>
      </c>
      <c r="F2429">
        <v>34</v>
      </c>
      <c r="G2429" t="s">
        <v>192</v>
      </c>
      <c r="H2429" t="s">
        <v>198</v>
      </c>
      <c r="I2429" t="s">
        <v>542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117</v>
      </c>
      <c r="D2430" t="s">
        <v>408</v>
      </c>
      <c r="E2430" t="s">
        <v>179</v>
      </c>
      <c r="F2430">
        <v>34</v>
      </c>
      <c r="G2430" t="s">
        <v>192</v>
      </c>
      <c r="H2430" t="s">
        <v>198</v>
      </c>
      <c r="I2430" t="s">
        <v>540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117</v>
      </c>
      <c r="D2431" t="s">
        <v>408</v>
      </c>
      <c r="E2431" t="s">
        <v>179</v>
      </c>
      <c r="F2431">
        <v>34</v>
      </c>
      <c r="G2431" t="s">
        <v>192</v>
      </c>
      <c r="H2431" t="s">
        <v>198</v>
      </c>
      <c r="I2431" t="s">
        <v>543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117</v>
      </c>
      <c r="D2432" t="s">
        <v>408</v>
      </c>
      <c r="E2432" t="s">
        <v>179</v>
      </c>
      <c r="F2432">
        <v>34</v>
      </c>
      <c r="G2432" t="s">
        <v>192</v>
      </c>
      <c r="H2432" t="s">
        <v>198</v>
      </c>
      <c r="I2432" t="s">
        <v>157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117</v>
      </c>
      <c r="D2433" t="s">
        <v>408</v>
      </c>
      <c r="E2433" t="s">
        <v>179</v>
      </c>
      <c r="F2433">
        <v>34</v>
      </c>
      <c r="G2433" t="s">
        <v>192</v>
      </c>
      <c r="H2433" t="s">
        <v>198</v>
      </c>
      <c r="I2433" t="s">
        <v>544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117</v>
      </c>
      <c r="D2434" t="s">
        <v>408</v>
      </c>
      <c r="E2434" t="s">
        <v>179</v>
      </c>
      <c r="F2434">
        <v>34</v>
      </c>
      <c r="G2434" t="s">
        <v>192</v>
      </c>
      <c r="H2434" t="s">
        <v>198</v>
      </c>
      <c r="I2434" t="s">
        <v>545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117</v>
      </c>
      <c r="D2435" t="s">
        <v>408</v>
      </c>
      <c r="E2435" t="s">
        <v>179</v>
      </c>
      <c r="F2435">
        <v>34</v>
      </c>
      <c r="G2435" t="s">
        <v>199</v>
      </c>
      <c r="H2435" t="s">
        <v>0</v>
      </c>
      <c r="I2435" t="s">
        <v>546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117</v>
      </c>
      <c r="D2436" t="s">
        <v>408</v>
      </c>
      <c r="E2436" t="s">
        <v>179</v>
      </c>
      <c r="F2436">
        <v>34</v>
      </c>
      <c r="G2436" t="s">
        <v>199</v>
      </c>
      <c r="H2436" t="s">
        <v>0</v>
      </c>
      <c r="I2436" t="s">
        <v>547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117</v>
      </c>
      <c r="D2437" t="s">
        <v>408</v>
      </c>
      <c r="E2437" t="s">
        <v>179</v>
      </c>
      <c r="F2437">
        <v>34</v>
      </c>
      <c r="G2437" t="s">
        <v>199</v>
      </c>
      <c r="H2437" t="s">
        <v>0</v>
      </c>
      <c r="I2437" t="s">
        <v>548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117</v>
      </c>
      <c r="D2438" t="s">
        <v>408</v>
      </c>
      <c r="E2438" t="s">
        <v>179</v>
      </c>
      <c r="F2438">
        <v>34</v>
      </c>
      <c r="G2438" t="s">
        <v>199</v>
      </c>
      <c r="H2438" t="s">
        <v>0</v>
      </c>
      <c r="I2438" t="s">
        <v>549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117</v>
      </c>
      <c r="D2439" t="s">
        <v>408</v>
      </c>
      <c r="E2439" t="s">
        <v>179</v>
      </c>
      <c r="F2439">
        <v>34</v>
      </c>
      <c r="G2439" t="s">
        <v>199</v>
      </c>
      <c r="H2439" t="s">
        <v>0</v>
      </c>
      <c r="I2439" t="s">
        <v>542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117</v>
      </c>
      <c r="D2440" t="s">
        <v>408</v>
      </c>
      <c r="E2440" t="s">
        <v>179</v>
      </c>
      <c r="F2440">
        <v>34</v>
      </c>
      <c r="G2440" t="s">
        <v>199</v>
      </c>
      <c r="H2440" t="s">
        <v>0</v>
      </c>
      <c r="I2440" t="s">
        <v>550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117</v>
      </c>
      <c r="D2441" t="s">
        <v>408</v>
      </c>
      <c r="E2441" t="s">
        <v>179</v>
      </c>
      <c r="F2441">
        <v>34</v>
      </c>
      <c r="G2441" t="s">
        <v>199</v>
      </c>
      <c r="H2441" t="s">
        <v>0</v>
      </c>
      <c r="I2441" t="s">
        <v>116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117</v>
      </c>
      <c r="D2442" t="s">
        <v>408</v>
      </c>
      <c r="E2442" t="s">
        <v>179</v>
      </c>
      <c r="F2442">
        <v>34</v>
      </c>
      <c r="G2442" t="s">
        <v>199</v>
      </c>
      <c r="H2442" t="s">
        <v>0</v>
      </c>
      <c r="I2442" t="s">
        <v>551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117</v>
      </c>
      <c r="D2443" t="s">
        <v>408</v>
      </c>
      <c r="E2443" t="s">
        <v>179</v>
      </c>
      <c r="F2443">
        <v>34</v>
      </c>
      <c r="G2443" t="s">
        <v>199</v>
      </c>
      <c r="H2443" t="s">
        <v>0</v>
      </c>
      <c r="I2443" t="s">
        <v>552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117</v>
      </c>
      <c r="D2444" t="s">
        <v>408</v>
      </c>
      <c r="E2444" t="s">
        <v>179</v>
      </c>
      <c r="F2444">
        <v>34</v>
      </c>
      <c r="G2444" t="s">
        <v>199</v>
      </c>
      <c r="H2444" t="s">
        <v>0</v>
      </c>
      <c r="I2444" t="s">
        <v>553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117</v>
      </c>
      <c r="D2445" t="s">
        <v>408</v>
      </c>
      <c r="E2445" t="s">
        <v>179</v>
      </c>
      <c r="F2445">
        <v>34</v>
      </c>
      <c r="G2445" t="s">
        <v>199</v>
      </c>
      <c r="H2445" t="s">
        <v>186</v>
      </c>
      <c r="I2445" t="s">
        <v>546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117</v>
      </c>
      <c r="D2446" t="s">
        <v>408</v>
      </c>
      <c r="E2446" t="s">
        <v>179</v>
      </c>
      <c r="F2446">
        <v>34</v>
      </c>
      <c r="G2446" t="s">
        <v>199</v>
      </c>
      <c r="H2446" t="s">
        <v>186</v>
      </c>
      <c r="I2446" t="s">
        <v>547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117</v>
      </c>
      <c r="D2447" t="s">
        <v>408</v>
      </c>
      <c r="E2447" t="s">
        <v>179</v>
      </c>
      <c r="F2447">
        <v>34</v>
      </c>
      <c r="G2447" t="s">
        <v>199</v>
      </c>
      <c r="H2447" t="s">
        <v>186</v>
      </c>
      <c r="I2447" t="s">
        <v>548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117</v>
      </c>
      <c r="D2448" t="s">
        <v>408</v>
      </c>
      <c r="E2448" t="s">
        <v>179</v>
      </c>
      <c r="F2448">
        <v>34</v>
      </c>
      <c r="G2448" t="s">
        <v>199</v>
      </c>
      <c r="H2448" t="s">
        <v>186</v>
      </c>
      <c r="I2448" t="s">
        <v>549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117</v>
      </c>
      <c r="D2449" t="s">
        <v>408</v>
      </c>
      <c r="E2449" t="s">
        <v>179</v>
      </c>
      <c r="F2449">
        <v>34</v>
      </c>
      <c r="G2449" t="s">
        <v>199</v>
      </c>
      <c r="H2449" t="s">
        <v>186</v>
      </c>
      <c r="I2449" t="s">
        <v>542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117</v>
      </c>
      <c r="D2450" t="s">
        <v>408</v>
      </c>
      <c r="E2450" t="s">
        <v>179</v>
      </c>
      <c r="F2450">
        <v>34</v>
      </c>
      <c r="G2450" t="s">
        <v>199</v>
      </c>
      <c r="H2450" t="s">
        <v>186</v>
      </c>
      <c r="I2450" t="s">
        <v>550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117</v>
      </c>
      <c r="D2451" t="s">
        <v>408</v>
      </c>
      <c r="E2451" t="s">
        <v>179</v>
      </c>
      <c r="F2451">
        <v>34</v>
      </c>
      <c r="G2451" t="s">
        <v>199</v>
      </c>
      <c r="H2451" t="s">
        <v>186</v>
      </c>
      <c r="I2451" t="s">
        <v>116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117</v>
      </c>
      <c r="D2452" t="s">
        <v>408</v>
      </c>
      <c r="E2452" t="s">
        <v>179</v>
      </c>
      <c r="F2452">
        <v>34</v>
      </c>
      <c r="G2452" t="s">
        <v>199</v>
      </c>
      <c r="H2452" t="s">
        <v>186</v>
      </c>
      <c r="I2452" t="s">
        <v>551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117</v>
      </c>
      <c r="D2453" t="s">
        <v>408</v>
      </c>
      <c r="E2453" t="s">
        <v>179</v>
      </c>
      <c r="F2453">
        <v>34</v>
      </c>
      <c r="G2453" t="s">
        <v>199</v>
      </c>
      <c r="H2453" t="s">
        <v>186</v>
      </c>
      <c r="I2453" t="s">
        <v>552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117</v>
      </c>
      <c r="D2454" t="s">
        <v>408</v>
      </c>
      <c r="E2454" t="s">
        <v>179</v>
      </c>
      <c r="F2454">
        <v>34</v>
      </c>
      <c r="G2454" t="s">
        <v>199</v>
      </c>
      <c r="H2454" t="s">
        <v>186</v>
      </c>
      <c r="I2454" t="s">
        <v>553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117</v>
      </c>
      <c r="D2455" t="s">
        <v>408</v>
      </c>
      <c r="E2455" t="s">
        <v>179</v>
      </c>
      <c r="F2455">
        <v>34</v>
      </c>
      <c r="G2455" t="s">
        <v>199</v>
      </c>
      <c r="H2455" t="s">
        <v>187</v>
      </c>
      <c r="I2455" t="s">
        <v>546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117</v>
      </c>
      <c r="D2456" t="s">
        <v>408</v>
      </c>
      <c r="E2456" t="s">
        <v>179</v>
      </c>
      <c r="F2456">
        <v>34</v>
      </c>
      <c r="G2456" t="s">
        <v>199</v>
      </c>
      <c r="H2456" t="s">
        <v>187</v>
      </c>
      <c r="I2456" t="s">
        <v>547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117</v>
      </c>
      <c r="D2457" t="s">
        <v>408</v>
      </c>
      <c r="E2457" t="s">
        <v>179</v>
      </c>
      <c r="F2457">
        <v>34</v>
      </c>
      <c r="G2457" t="s">
        <v>199</v>
      </c>
      <c r="H2457" t="s">
        <v>187</v>
      </c>
      <c r="I2457" t="s">
        <v>548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117</v>
      </c>
      <c r="D2458" t="s">
        <v>408</v>
      </c>
      <c r="E2458" t="s">
        <v>179</v>
      </c>
      <c r="F2458">
        <v>34</v>
      </c>
      <c r="G2458" t="s">
        <v>199</v>
      </c>
      <c r="H2458" t="s">
        <v>187</v>
      </c>
      <c r="I2458" t="s">
        <v>549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117</v>
      </c>
      <c r="D2459" t="s">
        <v>408</v>
      </c>
      <c r="E2459" t="s">
        <v>179</v>
      </c>
      <c r="F2459">
        <v>34</v>
      </c>
      <c r="G2459" t="s">
        <v>199</v>
      </c>
      <c r="H2459" t="s">
        <v>187</v>
      </c>
      <c r="I2459" t="s">
        <v>542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117</v>
      </c>
      <c r="D2460" t="s">
        <v>408</v>
      </c>
      <c r="E2460" t="s">
        <v>179</v>
      </c>
      <c r="F2460">
        <v>34</v>
      </c>
      <c r="G2460" t="s">
        <v>199</v>
      </c>
      <c r="H2460" t="s">
        <v>187</v>
      </c>
      <c r="I2460" t="s">
        <v>550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117</v>
      </c>
      <c r="D2461" t="s">
        <v>408</v>
      </c>
      <c r="E2461" t="s">
        <v>179</v>
      </c>
      <c r="F2461">
        <v>34</v>
      </c>
      <c r="G2461" t="s">
        <v>199</v>
      </c>
      <c r="H2461" t="s">
        <v>187</v>
      </c>
      <c r="I2461" t="s">
        <v>116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117</v>
      </c>
      <c r="D2462" t="s">
        <v>408</v>
      </c>
      <c r="E2462" t="s">
        <v>179</v>
      </c>
      <c r="F2462">
        <v>34</v>
      </c>
      <c r="G2462" t="s">
        <v>199</v>
      </c>
      <c r="H2462" t="s">
        <v>187</v>
      </c>
      <c r="I2462" t="s">
        <v>551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117</v>
      </c>
      <c r="D2463" t="s">
        <v>408</v>
      </c>
      <c r="E2463" t="s">
        <v>179</v>
      </c>
      <c r="F2463">
        <v>34</v>
      </c>
      <c r="G2463" t="s">
        <v>199</v>
      </c>
      <c r="H2463" t="s">
        <v>187</v>
      </c>
      <c r="I2463" t="s">
        <v>552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117</v>
      </c>
      <c r="D2464" t="s">
        <v>408</v>
      </c>
      <c r="E2464" t="s">
        <v>179</v>
      </c>
      <c r="F2464">
        <v>34</v>
      </c>
      <c r="G2464" t="s">
        <v>199</v>
      </c>
      <c r="H2464" t="s">
        <v>187</v>
      </c>
      <c r="I2464" t="s">
        <v>553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117</v>
      </c>
      <c r="D2465" t="s">
        <v>408</v>
      </c>
      <c r="E2465" t="s">
        <v>179</v>
      </c>
      <c r="F2465">
        <v>34</v>
      </c>
      <c r="G2465" t="s">
        <v>199</v>
      </c>
      <c r="H2465" t="s">
        <v>188</v>
      </c>
      <c r="I2465" t="s">
        <v>546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117</v>
      </c>
      <c r="D2466" t="s">
        <v>408</v>
      </c>
      <c r="E2466" t="s">
        <v>179</v>
      </c>
      <c r="F2466">
        <v>34</v>
      </c>
      <c r="G2466" t="s">
        <v>199</v>
      </c>
      <c r="H2466" t="s">
        <v>188</v>
      </c>
      <c r="I2466" t="s">
        <v>547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117</v>
      </c>
      <c r="D2467" t="s">
        <v>408</v>
      </c>
      <c r="E2467" t="s">
        <v>179</v>
      </c>
      <c r="F2467">
        <v>34</v>
      </c>
      <c r="G2467" t="s">
        <v>199</v>
      </c>
      <c r="H2467" t="s">
        <v>188</v>
      </c>
      <c r="I2467" t="s">
        <v>548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117</v>
      </c>
      <c r="D2468" t="s">
        <v>408</v>
      </c>
      <c r="E2468" t="s">
        <v>179</v>
      </c>
      <c r="F2468">
        <v>34</v>
      </c>
      <c r="G2468" t="s">
        <v>199</v>
      </c>
      <c r="H2468" t="s">
        <v>188</v>
      </c>
      <c r="I2468" t="s">
        <v>549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117</v>
      </c>
      <c r="D2469" t="s">
        <v>408</v>
      </c>
      <c r="E2469" t="s">
        <v>179</v>
      </c>
      <c r="F2469">
        <v>34</v>
      </c>
      <c r="G2469" t="s">
        <v>199</v>
      </c>
      <c r="H2469" t="s">
        <v>188</v>
      </c>
      <c r="I2469" t="s">
        <v>542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117</v>
      </c>
      <c r="D2470" t="s">
        <v>408</v>
      </c>
      <c r="E2470" t="s">
        <v>179</v>
      </c>
      <c r="F2470">
        <v>34</v>
      </c>
      <c r="G2470" t="s">
        <v>199</v>
      </c>
      <c r="H2470" t="s">
        <v>188</v>
      </c>
      <c r="I2470" t="s">
        <v>550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117</v>
      </c>
      <c r="D2471" t="s">
        <v>408</v>
      </c>
      <c r="E2471" t="s">
        <v>179</v>
      </c>
      <c r="F2471">
        <v>34</v>
      </c>
      <c r="G2471" t="s">
        <v>199</v>
      </c>
      <c r="H2471" t="s">
        <v>188</v>
      </c>
      <c r="I2471" t="s">
        <v>116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117</v>
      </c>
      <c r="D2472" t="s">
        <v>408</v>
      </c>
      <c r="E2472" t="s">
        <v>179</v>
      </c>
      <c r="F2472">
        <v>34</v>
      </c>
      <c r="G2472" t="s">
        <v>199</v>
      </c>
      <c r="H2472" t="s">
        <v>188</v>
      </c>
      <c r="I2472" t="s">
        <v>551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117</v>
      </c>
      <c r="D2473" t="s">
        <v>408</v>
      </c>
      <c r="E2473" t="s">
        <v>179</v>
      </c>
      <c r="F2473">
        <v>34</v>
      </c>
      <c r="G2473" t="s">
        <v>199</v>
      </c>
      <c r="H2473" t="s">
        <v>188</v>
      </c>
      <c r="I2473" t="s">
        <v>552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117</v>
      </c>
      <c r="D2474" t="s">
        <v>408</v>
      </c>
      <c r="E2474" t="s">
        <v>179</v>
      </c>
      <c r="F2474">
        <v>34</v>
      </c>
      <c r="G2474" t="s">
        <v>199</v>
      </c>
      <c r="H2474" t="s">
        <v>188</v>
      </c>
      <c r="I2474" t="s">
        <v>553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117</v>
      </c>
      <c r="D2475" t="s">
        <v>408</v>
      </c>
      <c r="E2475" t="s">
        <v>179</v>
      </c>
      <c r="F2475">
        <v>34</v>
      </c>
      <c r="G2475" t="s">
        <v>199</v>
      </c>
      <c r="H2475" t="s">
        <v>198</v>
      </c>
      <c r="I2475" t="s">
        <v>546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117</v>
      </c>
      <c r="D2476" t="s">
        <v>408</v>
      </c>
      <c r="E2476" t="s">
        <v>179</v>
      </c>
      <c r="F2476">
        <v>34</v>
      </c>
      <c r="G2476" t="s">
        <v>199</v>
      </c>
      <c r="H2476" t="s">
        <v>198</v>
      </c>
      <c r="I2476" t="s">
        <v>547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117</v>
      </c>
      <c r="D2477" t="s">
        <v>408</v>
      </c>
      <c r="E2477" t="s">
        <v>179</v>
      </c>
      <c r="F2477">
        <v>34</v>
      </c>
      <c r="G2477" t="s">
        <v>199</v>
      </c>
      <c r="H2477" t="s">
        <v>198</v>
      </c>
      <c r="I2477" t="s">
        <v>548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117</v>
      </c>
      <c r="D2478" t="s">
        <v>408</v>
      </c>
      <c r="E2478" t="s">
        <v>179</v>
      </c>
      <c r="F2478">
        <v>34</v>
      </c>
      <c r="G2478" t="s">
        <v>199</v>
      </c>
      <c r="H2478" t="s">
        <v>198</v>
      </c>
      <c r="I2478" t="s">
        <v>549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117</v>
      </c>
      <c r="D2479" t="s">
        <v>408</v>
      </c>
      <c r="E2479" t="s">
        <v>179</v>
      </c>
      <c r="F2479">
        <v>34</v>
      </c>
      <c r="G2479" t="s">
        <v>199</v>
      </c>
      <c r="H2479" t="s">
        <v>198</v>
      </c>
      <c r="I2479" t="s">
        <v>542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117</v>
      </c>
      <c r="D2480" t="s">
        <v>408</v>
      </c>
      <c r="E2480" t="s">
        <v>179</v>
      </c>
      <c r="F2480">
        <v>34</v>
      </c>
      <c r="G2480" t="s">
        <v>199</v>
      </c>
      <c r="H2480" t="s">
        <v>198</v>
      </c>
      <c r="I2480" t="s">
        <v>550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117</v>
      </c>
      <c r="D2481" t="s">
        <v>408</v>
      </c>
      <c r="E2481" t="s">
        <v>179</v>
      </c>
      <c r="F2481">
        <v>34</v>
      </c>
      <c r="G2481" t="s">
        <v>199</v>
      </c>
      <c r="H2481" t="s">
        <v>198</v>
      </c>
      <c r="I2481" t="s">
        <v>116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117</v>
      </c>
      <c r="D2482" t="s">
        <v>408</v>
      </c>
      <c r="E2482" t="s">
        <v>179</v>
      </c>
      <c r="F2482">
        <v>34</v>
      </c>
      <c r="G2482" t="s">
        <v>199</v>
      </c>
      <c r="H2482" t="s">
        <v>198</v>
      </c>
      <c r="I2482" t="s">
        <v>551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117</v>
      </c>
      <c r="D2483" t="s">
        <v>408</v>
      </c>
      <c r="E2483" t="s">
        <v>179</v>
      </c>
      <c r="F2483">
        <v>34</v>
      </c>
      <c r="G2483" t="s">
        <v>199</v>
      </c>
      <c r="H2483" t="s">
        <v>198</v>
      </c>
      <c r="I2483" t="s">
        <v>552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117</v>
      </c>
      <c r="D2484" t="s">
        <v>408</v>
      </c>
      <c r="E2484" t="s">
        <v>179</v>
      </c>
      <c r="F2484">
        <v>34</v>
      </c>
      <c r="G2484" t="s">
        <v>199</v>
      </c>
      <c r="H2484" t="s">
        <v>198</v>
      </c>
      <c r="I2484" t="s">
        <v>553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117</v>
      </c>
      <c r="D2485" t="s">
        <v>408</v>
      </c>
      <c r="E2485" t="s">
        <v>179</v>
      </c>
      <c r="F2485">
        <v>34</v>
      </c>
      <c r="G2485" t="s">
        <v>203</v>
      </c>
      <c r="H2485" t="s">
        <v>204</v>
      </c>
      <c r="I2485" t="s">
        <v>157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117</v>
      </c>
      <c r="D2486" t="s">
        <v>408</v>
      </c>
      <c r="E2486" t="s">
        <v>179</v>
      </c>
      <c r="F2486">
        <v>34</v>
      </c>
      <c r="G2486" t="s">
        <v>203</v>
      </c>
      <c r="H2486" t="s">
        <v>205</v>
      </c>
      <c r="I2486" t="s">
        <v>157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117</v>
      </c>
      <c r="D2487" t="s">
        <v>408</v>
      </c>
      <c r="E2487" t="s">
        <v>179</v>
      </c>
      <c r="F2487">
        <v>34</v>
      </c>
      <c r="G2487" t="s">
        <v>203</v>
      </c>
      <c r="H2487" t="s">
        <v>0</v>
      </c>
      <c r="I2487" t="s">
        <v>157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117</v>
      </c>
      <c r="D2488" t="s">
        <v>408</v>
      </c>
      <c r="E2488" t="s">
        <v>179</v>
      </c>
      <c r="F2488">
        <v>34</v>
      </c>
      <c r="G2488" t="s">
        <v>90</v>
      </c>
      <c r="H2488" t="s">
        <v>206</v>
      </c>
      <c r="I2488" t="s">
        <v>554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117</v>
      </c>
      <c r="D2489" t="s">
        <v>408</v>
      </c>
      <c r="E2489" t="s">
        <v>179</v>
      </c>
      <c r="F2489">
        <v>34</v>
      </c>
      <c r="G2489" t="s">
        <v>90</v>
      </c>
      <c r="H2489" t="s">
        <v>206</v>
      </c>
      <c r="I2489" t="s">
        <v>555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117</v>
      </c>
      <c r="D2490" t="s">
        <v>408</v>
      </c>
      <c r="E2490" t="s">
        <v>179</v>
      </c>
      <c r="F2490">
        <v>34</v>
      </c>
      <c r="G2490" t="s">
        <v>90</v>
      </c>
      <c r="H2490" t="s">
        <v>206</v>
      </c>
      <c r="I2490" t="s">
        <v>556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117</v>
      </c>
      <c r="D2491" t="s">
        <v>408</v>
      </c>
      <c r="E2491" t="s">
        <v>179</v>
      </c>
      <c r="F2491">
        <v>34</v>
      </c>
      <c r="G2491" t="s">
        <v>90</v>
      </c>
      <c r="H2491" t="s">
        <v>206</v>
      </c>
      <c r="I2491" t="s">
        <v>557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117</v>
      </c>
      <c r="D2492" t="s">
        <v>408</v>
      </c>
      <c r="E2492" t="s">
        <v>179</v>
      </c>
      <c r="F2492">
        <v>34</v>
      </c>
      <c r="G2492" t="s">
        <v>90</v>
      </c>
      <c r="H2492" t="s">
        <v>206</v>
      </c>
      <c r="I2492" t="s">
        <v>558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117</v>
      </c>
      <c r="D2493" t="s">
        <v>408</v>
      </c>
      <c r="E2493" t="s">
        <v>179</v>
      </c>
      <c r="F2493">
        <v>34</v>
      </c>
      <c r="G2493" t="s">
        <v>90</v>
      </c>
      <c r="H2493" t="s">
        <v>206</v>
      </c>
      <c r="I2493" t="s">
        <v>559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117</v>
      </c>
      <c r="D2494" t="s">
        <v>408</v>
      </c>
      <c r="E2494" t="s">
        <v>179</v>
      </c>
      <c r="F2494">
        <v>34</v>
      </c>
      <c r="G2494" t="s">
        <v>90</v>
      </c>
      <c r="H2494" t="s">
        <v>206</v>
      </c>
      <c r="I2494" t="s">
        <v>560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117</v>
      </c>
      <c r="D2495" t="s">
        <v>408</v>
      </c>
      <c r="E2495" t="s">
        <v>179</v>
      </c>
      <c r="F2495">
        <v>34</v>
      </c>
      <c r="G2495" t="s">
        <v>90</v>
      </c>
      <c r="H2495" t="s">
        <v>206</v>
      </c>
      <c r="I2495" t="s">
        <v>561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117</v>
      </c>
      <c r="D2496" t="s">
        <v>408</v>
      </c>
      <c r="E2496" t="s">
        <v>179</v>
      </c>
      <c r="F2496">
        <v>34</v>
      </c>
      <c r="G2496" t="s">
        <v>90</v>
      </c>
      <c r="H2496" t="s">
        <v>206</v>
      </c>
      <c r="I2496" t="s">
        <v>562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117</v>
      </c>
      <c r="D2497" t="s">
        <v>408</v>
      </c>
      <c r="E2497" t="s">
        <v>179</v>
      </c>
      <c r="F2497">
        <v>34</v>
      </c>
      <c r="G2497" t="s">
        <v>90</v>
      </c>
      <c r="H2497" t="s">
        <v>206</v>
      </c>
      <c r="I2497" t="s">
        <v>563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117</v>
      </c>
      <c r="D2498" t="s">
        <v>408</v>
      </c>
      <c r="E2498" t="s">
        <v>179</v>
      </c>
      <c r="F2498">
        <v>34</v>
      </c>
      <c r="G2498" t="s">
        <v>90</v>
      </c>
      <c r="H2498" t="s">
        <v>206</v>
      </c>
      <c r="I2498" t="s">
        <v>564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117</v>
      </c>
      <c r="D2499" t="s">
        <v>408</v>
      </c>
      <c r="E2499" t="s">
        <v>179</v>
      </c>
      <c r="F2499">
        <v>34</v>
      </c>
      <c r="G2499" t="s">
        <v>90</v>
      </c>
      <c r="H2499" t="s">
        <v>206</v>
      </c>
      <c r="I2499" t="s">
        <v>565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117</v>
      </c>
      <c r="D2500" t="s">
        <v>408</v>
      </c>
      <c r="E2500" t="s">
        <v>179</v>
      </c>
      <c r="F2500">
        <v>34</v>
      </c>
      <c r="G2500" t="s">
        <v>90</v>
      </c>
      <c r="H2500" t="s">
        <v>206</v>
      </c>
      <c r="I2500" t="s">
        <v>566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117</v>
      </c>
      <c r="D2501" t="s">
        <v>408</v>
      </c>
      <c r="E2501" t="s">
        <v>179</v>
      </c>
      <c r="F2501">
        <v>34</v>
      </c>
      <c r="G2501" t="s">
        <v>90</v>
      </c>
      <c r="H2501" t="s">
        <v>206</v>
      </c>
      <c r="I2501" t="s">
        <v>567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117</v>
      </c>
      <c r="D2502" t="s">
        <v>408</v>
      </c>
      <c r="E2502" t="s">
        <v>179</v>
      </c>
      <c r="F2502">
        <v>34</v>
      </c>
      <c r="G2502" t="s">
        <v>90</v>
      </c>
      <c r="H2502" t="s">
        <v>206</v>
      </c>
      <c r="I2502" t="s">
        <v>568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117</v>
      </c>
      <c r="D2503" t="s">
        <v>408</v>
      </c>
      <c r="E2503" t="s">
        <v>179</v>
      </c>
      <c r="F2503">
        <v>34</v>
      </c>
      <c r="G2503" t="s">
        <v>90</v>
      </c>
      <c r="H2503" t="s">
        <v>206</v>
      </c>
      <c r="I2503" t="s">
        <v>569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117</v>
      </c>
      <c r="D2504" t="s">
        <v>408</v>
      </c>
      <c r="E2504" t="s">
        <v>179</v>
      </c>
      <c r="F2504">
        <v>34</v>
      </c>
      <c r="G2504" t="s">
        <v>90</v>
      </c>
      <c r="H2504" t="s">
        <v>206</v>
      </c>
      <c r="I2504" t="s">
        <v>570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117</v>
      </c>
      <c r="D2505" t="s">
        <v>408</v>
      </c>
      <c r="E2505" t="s">
        <v>179</v>
      </c>
      <c r="F2505">
        <v>34</v>
      </c>
      <c r="G2505" t="s">
        <v>90</v>
      </c>
      <c r="H2505" t="s">
        <v>206</v>
      </c>
      <c r="I2505" t="s">
        <v>571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117</v>
      </c>
      <c r="D2506" t="s">
        <v>408</v>
      </c>
      <c r="E2506" t="s">
        <v>179</v>
      </c>
      <c r="F2506">
        <v>34</v>
      </c>
      <c r="G2506" t="s">
        <v>90</v>
      </c>
      <c r="H2506" t="s">
        <v>206</v>
      </c>
      <c r="I2506" t="s">
        <v>572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117</v>
      </c>
      <c r="D2507" t="s">
        <v>408</v>
      </c>
      <c r="E2507" t="s">
        <v>179</v>
      </c>
      <c r="F2507">
        <v>34</v>
      </c>
      <c r="G2507" t="s">
        <v>90</v>
      </c>
      <c r="H2507" t="s">
        <v>206</v>
      </c>
      <c r="I2507" t="s">
        <v>573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117</v>
      </c>
      <c r="D2508" t="s">
        <v>408</v>
      </c>
      <c r="E2508" t="s">
        <v>179</v>
      </c>
      <c r="F2508">
        <v>34</v>
      </c>
      <c r="G2508" t="s">
        <v>90</v>
      </c>
      <c r="H2508" t="s">
        <v>206</v>
      </c>
      <c r="I2508" t="s">
        <v>574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117</v>
      </c>
      <c r="D2509" t="s">
        <v>408</v>
      </c>
      <c r="E2509" t="s">
        <v>179</v>
      </c>
      <c r="F2509">
        <v>34</v>
      </c>
      <c r="G2509" t="s">
        <v>90</v>
      </c>
      <c r="H2509" t="s">
        <v>206</v>
      </c>
      <c r="I2509" t="s">
        <v>575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117</v>
      </c>
      <c r="D2510" t="s">
        <v>408</v>
      </c>
      <c r="E2510" t="s">
        <v>179</v>
      </c>
      <c r="F2510">
        <v>34</v>
      </c>
      <c r="G2510" t="s">
        <v>90</v>
      </c>
      <c r="H2510" t="s">
        <v>206</v>
      </c>
      <c r="I2510" t="s">
        <v>576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117</v>
      </c>
      <c r="D2511" t="s">
        <v>408</v>
      </c>
      <c r="E2511" t="s">
        <v>179</v>
      </c>
      <c r="F2511">
        <v>34</v>
      </c>
      <c r="G2511" t="s">
        <v>90</v>
      </c>
      <c r="H2511" t="s">
        <v>206</v>
      </c>
      <c r="I2511" t="s">
        <v>577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117</v>
      </c>
      <c r="D2512" t="s">
        <v>408</v>
      </c>
      <c r="E2512" t="s">
        <v>179</v>
      </c>
      <c r="F2512">
        <v>34</v>
      </c>
      <c r="G2512" t="s">
        <v>90</v>
      </c>
      <c r="H2512" t="s">
        <v>206</v>
      </c>
      <c r="I2512" t="s">
        <v>578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117</v>
      </c>
      <c r="D2513" t="s">
        <v>408</v>
      </c>
      <c r="E2513" t="s">
        <v>179</v>
      </c>
      <c r="F2513">
        <v>34</v>
      </c>
      <c r="G2513" t="s">
        <v>90</v>
      </c>
      <c r="H2513" t="s">
        <v>206</v>
      </c>
      <c r="I2513" t="s">
        <v>579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117</v>
      </c>
      <c r="D2514" t="s">
        <v>408</v>
      </c>
      <c r="E2514" t="s">
        <v>179</v>
      </c>
      <c r="F2514">
        <v>34</v>
      </c>
      <c r="G2514" t="s">
        <v>90</v>
      </c>
      <c r="H2514" t="s">
        <v>206</v>
      </c>
      <c r="I2514" t="s">
        <v>580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117</v>
      </c>
      <c r="D2515" t="s">
        <v>408</v>
      </c>
      <c r="E2515" t="s">
        <v>179</v>
      </c>
      <c r="F2515">
        <v>34</v>
      </c>
      <c r="G2515" t="s">
        <v>90</v>
      </c>
      <c r="H2515" t="s">
        <v>206</v>
      </c>
      <c r="I2515" t="s">
        <v>581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117</v>
      </c>
      <c r="D2516" t="s">
        <v>408</v>
      </c>
      <c r="E2516" t="s">
        <v>179</v>
      </c>
      <c r="F2516">
        <v>34</v>
      </c>
      <c r="G2516" t="s">
        <v>90</v>
      </c>
      <c r="H2516" t="s">
        <v>206</v>
      </c>
      <c r="I2516" t="s">
        <v>582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117</v>
      </c>
      <c r="D2517" t="s">
        <v>408</v>
      </c>
      <c r="E2517" t="s">
        <v>179</v>
      </c>
      <c r="F2517">
        <v>34</v>
      </c>
      <c r="G2517" t="s">
        <v>90</v>
      </c>
      <c r="H2517" t="s">
        <v>206</v>
      </c>
      <c r="I2517" t="s">
        <v>583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117</v>
      </c>
      <c r="D2518" t="s">
        <v>408</v>
      </c>
      <c r="E2518" t="s">
        <v>179</v>
      </c>
      <c r="F2518">
        <v>34</v>
      </c>
      <c r="G2518" t="s">
        <v>90</v>
      </c>
      <c r="H2518" t="s">
        <v>206</v>
      </c>
      <c r="I2518" t="s">
        <v>584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117</v>
      </c>
      <c r="D2519" t="s">
        <v>408</v>
      </c>
      <c r="E2519" t="s">
        <v>179</v>
      </c>
      <c r="F2519">
        <v>34</v>
      </c>
      <c r="G2519" t="s">
        <v>90</v>
      </c>
      <c r="H2519" t="s">
        <v>227</v>
      </c>
      <c r="I2519" t="s">
        <v>554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117</v>
      </c>
      <c r="D2520" t="s">
        <v>408</v>
      </c>
      <c r="E2520" t="s">
        <v>179</v>
      </c>
      <c r="F2520">
        <v>34</v>
      </c>
      <c r="G2520" t="s">
        <v>90</v>
      </c>
      <c r="H2520" t="s">
        <v>227</v>
      </c>
      <c r="I2520" t="s">
        <v>555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117</v>
      </c>
      <c r="D2521" t="s">
        <v>408</v>
      </c>
      <c r="E2521" t="s">
        <v>179</v>
      </c>
      <c r="F2521">
        <v>34</v>
      </c>
      <c r="G2521" t="s">
        <v>90</v>
      </c>
      <c r="H2521" t="s">
        <v>227</v>
      </c>
      <c r="I2521" t="s">
        <v>556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117</v>
      </c>
      <c r="D2522" t="s">
        <v>408</v>
      </c>
      <c r="E2522" t="s">
        <v>179</v>
      </c>
      <c r="F2522">
        <v>34</v>
      </c>
      <c r="G2522" t="s">
        <v>90</v>
      </c>
      <c r="H2522" t="s">
        <v>227</v>
      </c>
      <c r="I2522" t="s">
        <v>557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117</v>
      </c>
      <c r="D2523" t="s">
        <v>408</v>
      </c>
      <c r="E2523" t="s">
        <v>179</v>
      </c>
      <c r="F2523">
        <v>34</v>
      </c>
      <c r="G2523" t="s">
        <v>90</v>
      </c>
      <c r="H2523" t="s">
        <v>227</v>
      </c>
      <c r="I2523" t="s">
        <v>558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117</v>
      </c>
      <c r="D2524" t="s">
        <v>408</v>
      </c>
      <c r="E2524" t="s">
        <v>179</v>
      </c>
      <c r="F2524">
        <v>34</v>
      </c>
      <c r="G2524" t="s">
        <v>90</v>
      </c>
      <c r="H2524" t="s">
        <v>227</v>
      </c>
      <c r="I2524" t="s">
        <v>559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117</v>
      </c>
      <c r="D2525" t="s">
        <v>408</v>
      </c>
      <c r="E2525" t="s">
        <v>179</v>
      </c>
      <c r="F2525">
        <v>34</v>
      </c>
      <c r="G2525" t="s">
        <v>90</v>
      </c>
      <c r="H2525" t="s">
        <v>227</v>
      </c>
      <c r="I2525" t="s">
        <v>560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117</v>
      </c>
      <c r="D2526" t="s">
        <v>408</v>
      </c>
      <c r="E2526" t="s">
        <v>179</v>
      </c>
      <c r="F2526">
        <v>34</v>
      </c>
      <c r="G2526" t="s">
        <v>90</v>
      </c>
      <c r="H2526" t="s">
        <v>227</v>
      </c>
      <c r="I2526" t="s">
        <v>561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117</v>
      </c>
      <c r="D2527" t="s">
        <v>408</v>
      </c>
      <c r="E2527" t="s">
        <v>179</v>
      </c>
      <c r="F2527">
        <v>34</v>
      </c>
      <c r="G2527" t="s">
        <v>90</v>
      </c>
      <c r="H2527" t="s">
        <v>227</v>
      </c>
      <c r="I2527" t="s">
        <v>562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117</v>
      </c>
      <c r="D2528" t="s">
        <v>408</v>
      </c>
      <c r="E2528" t="s">
        <v>179</v>
      </c>
      <c r="F2528">
        <v>34</v>
      </c>
      <c r="G2528" t="s">
        <v>90</v>
      </c>
      <c r="H2528" t="s">
        <v>227</v>
      </c>
      <c r="I2528" t="s">
        <v>563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117</v>
      </c>
      <c r="D2529" t="s">
        <v>408</v>
      </c>
      <c r="E2529" t="s">
        <v>179</v>
      </c>
      <c r="F2529">
        <v>34</v>
      </c>
      <c r="G2529" t="s">
        <v>90</v>
      </c>
      <c r="H2529" t="s">
        <v>227</v>
      </c>
      <c r="I2529" t="s">
        <v>564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117</v>
      </c>
      <c r="D2530" t="s">
        <v>408</v>
      </c>
      <c r="E2530" t="s">
        <v>179</v>
      </c>
      <c r="F2530">
        <v>34</v>
      </c>
      <c r="G2530" t="s">
        <v>90</v>
      </c>
      <c r="H2530" t="s">
        <v>227</v>
      </c>
      <c r="I2530" t="s">
        <v>565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117</v>
      </c>
      <c r="D2531" t="s">
        <v>408</v>
      </c>
      <c r="E2531" t="s">
        <v>179</v>
      </c>
      <c r="F2531">
        <v>34</v>
      </c>
      <c r="G2531" t="s">
        <v>90</v>
      </c>
      <c r="H2531" t="s">
        <v>227</v>
      </c>
      <c r="I2531" t="s">
        <v>566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117</v>
      </c>
      <c r="D2532" t="s">
        <v>408</v>
      </c>
      <c r="E2532" t="s">
        <v>179</v>
      </c>
      <c r="F2532">
        <v>34</v>
      </c>
      <c r="G2532" t="s">
        <v>90</v>
      </c>
      <c r="H2532" t="s">
        <v>227</v>
      </c>
      <c r="I2532" t="s">
        <v>567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117</v>
      </c>
      <c r="D2533" t="s">
        <v>408</v>
      </c>
      <c r="E2533" t="s">
        <v>179</v>
      </c>
      <c r="F2533">
        <v>34</v>
      </c>
      <c r="G2533" t="s">
        <v>90</v>
      </c>
      <c r="H2533" t="s">
        <v>227</v>
      </c>
      <c r="I2533" t="s">
        <v>568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117</v>
      </c>
      <c r="D2534" t="s">
        <v>408</v>
      </c>
      <c r="E2534" t="s">
        <v>179</v>
      </c>
      <c r="F2534">
        <v>34</v>
      </c>
      <c r="G2534" t="s">
        <v>90</v>
      </c>
      <c r="H2534" t="s">
        <v>227</v>
      </c>
      <c r="I2534" t="s">
        <v>569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117</v>
      </c>
      <c r="D2535" t="s">
        <v>408</v>
      </c>
      <c r="E2535" t="s">
        <v>179</v>
      </c>
      <c r="F2535">
        <v>34</v>
      </c>
      <c r="G2535" t="s">
        <v>90</v>
      </c>
      <c r="H2535" t="s">
        <v>227</v>
      </c>
      <c r="I2535" t="s">
        <v>570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117</v>
      </c>
      <c r="D2536" t="s">
        <v>408</v>
      </c>
      <c r="E2536" t="s">
        <v>179</v>
      </c>
      <c r="F2536">
        <v>34</v>
      </c>
      <c r="G2536" t="s">
        <v>90</v>
      </c>
      <c r="H2536" t="s">
        <v>227</v>
      </c>
      <c r="I2536" t="s">
        <v>571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117</v>
      </c>
      <c r="D2537" t="s">
        <v>408</v>
      </c>
      <c r="E2537" t="s">
        <v>179</v>
      </c>
      <c r="F2537">
        <v>34</v>
      </c>
      <c r="G2537" t="s">
        <v>90</v>
      </c>
      <c r="H2537" t="s">
        <v>227</v>
      </c>
      <c r="I2537" t="s">
        <v>572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117</v>
      </c>
      <c r="D2538" t="s">
        <v>408</v>
      </c>
      <c r="E2538" t="s">
        <v>179</v>
      </c>
      <c r="F2538">
        <v>34</v>
      </c>
      <c r="G2538" t="s">
        <v>90</v>
      </c>
      <c r="H2538" t="s">
        <v>227</v>
      </c>
      <c r="I2538" t="s">
        <v>573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117</v>
      </c>
      <c r="D2539" t="s">
        <v>408</v>
      </c>
      <c r="E2539" t="s">
        <v>179</v>
      </c>
      <c r="F2539">
        <v>34</v>
      </c>
      <c r="G2539" t="s">
        <v>90</v>
      </c>
      <c r="H2539" t="s">
        <v>227</v>
      </c>
      <c r="I2539" t="s">
        <v>574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117</v>
      </c>
      <c r="D2540" t="s">
        <v>408</v>
      </c>
      <c r="E2540" t="s">
        <v>179</v>
      </c>
      <c r="F2540">
        <v>34</v>
      </c>
      <c r="G2540" t="s">
        <v>90</v>
      </c>
      <c r="H2540" t="s">
        <v>227</v>
      </c>
      <c r="I2540" t="s">
        <v>575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117</v>
      </c>
      <c r="D2541" t="s">
        <v>408</v>
      </c>
      <c r="E2541" t="s">
        <v>179</v>
      </c>
      <c r="F2541">
        <v>34</v>
      </c>
      <c r="G2541" t="s">
        <v>90</v>
      </c>
      <c r="H2541" t="s">
        <v>227</v>
      </c>
      <c r="I2541" t="s">
        <v>576</v>
      </c>
      <c r="J2541">
        <v>0</v>
      </c>
    </row>
    <row r="2542" spans="1:10" x14ac:dyDescent="0.25">
      <c r="A2542" s="1" t="s">
        <v>27</v>
      </c>
      <c r="B2542">
        <v>401752673</v>
      </c>
      <c r="C2542" t="s">
        <v>117</v>
      </c>
      <c r="D2542" t="s">
        <v>408</v>
      </c>
      <c r="E2542" t="s">
        <v>179</v>
      </c>
      <c r="F2542">
        <v>34</v>
      </c>
      <c r="G2542" t="s">
        <v>90</v>
      </c>
      <c r="H2542" t="s">
        <v>227</v>
      </c>
      <c r="I2542" t="s">
        <v>577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117</v>
      </c>
      <c r="D2543" t="s">
        <v>408</v>
      </c>
      <c r="E2543" t="s">
        <v>179</v>
      </c>
      <c r="F2543">
        <v>34</v>
      </c>
      <c r="G2543" t="s">
        <v>90</v>
      </c>
      <c r="H2543" t="s">
        <v>227</v>
      </c>
      <c r="I2543" t="s">
        <v>578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117</v>
      </c>
      <c r="D2544" t="s">
        <v>408</v>
      </c>
      <c r="E2544" t="s">
        <v>179</v>
      </c>
      <c r="F2544">
        <v>34</v>
      </c>
      <c r="G2544" t="s">
        <v>90</v>
      </c>
      <c r="H2544" t="s">
        <v>227</v>
      </c>
      <c r="I2544" t="s">
        <v>579</v>
      </c>
      <c r="J2544">
        <v>0</v>
      </c>
    </row>
    <row r="2545" spans="1:10" x14ac:dyDescent="0.25">
      <c r="A2545" s="1" t="s">
        <v>27</v>
      </c>
      <c r="B2545">
        <v>401752673</v>
      </c>
      <c r="C2545" t="s">
        <v>117</v>
      </c>
      <c r="D2545" t="s">
        <v>408</v>
      </c>
      <c r="E2545" t="s">
        <v>179</v>
      </c>
      <c r="F2545">
        <v>34</v>
      </c>
      <c r="G2545" t="s">
        <v>90</v>
      </c>
      <c r="H2545" t="s">
        <v>227</v>
      </c>
      <c r="I2545" t="s">
        <v>580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117</v>
      </c>
      <c r="D2546" t="s">
        <v>408</v>
      </c>
      <c r="E2546" t="s">
        <v>179</v>
      </c>
      <c r="F2546">
        <v>34</v>
      </c>
      <c r="G2546" t="s">
        <v>90</v>
      </c>
      <c r="H2546" t="s">
        <v>227</v>
      </c>
      <c r="I2546" t="s">
        <v>581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117</v>
      </c>
      <c r="D2547" t="s">
        <v>408</v>
      </c>
      <c r="E2547" t="s">
        <v>179</v>
      </c>
      <c r="F2547">
        <v>34</v>
      </c>
      <c r="G2547" t="s">
        <v>90</v>
      </c>
      <c r="H2547" t="s">
        <v>227</v>
      </c>
      <c r="I2547" t="s">
        <v>582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117</v>
      </c>
      <c r="D2548" t="s">
        <v>408</v>
      </c>
      <c r="E2548" t="s">
        <v>179</v>
      </c>
      <c r="F2548">
        <v>34</v>
      </c>
      <c r="G2548" t="s">
        <v>90</v>
      </c>
      <c r="H2548" t="s">
        <v>227</v>
      </c>
      <c r="I2548" t="s">
        <v>583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117</v>
      </c>
      <c r="D2549" t="s">
        <v>408</v>
      </c>
      <c r="E2549" t="s">
        <v>179</v>
      </c>
      <c r="F2549">
        <v>34</v>
      </c>
      <c r="G2549" t="s">
        <v>90</v>
      </c>
      <c r="H2549" t="s">
        <v>227</v>
      </c>
      <c r="I2549" t="s">
        <v>584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117</v>
      </c>
      <c r="D2550" t="s">
        <v>408</v>
      </c>
      <c r="E2550" t="s">
        <v>179</v>
      </c>
      <c r="F2550">
        <v>34</v>
      </c>
      <c r="G2550" t="s">
        <v>90</v>
      </c>
      <c r="H2550" t="s">
        <v>228</v>
      </c>
      <c r="I2550" t="s">
        <v>554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117</v>
      </c>
      <c r="D2551" t="s">
        <v>408</v>
      </c>
      <c r="E2551" t="s">
        <v>179</v>
      </c>
      <c r="F2551">
        <v>34</v>
      </c>
      <c r="G2551" t="s">
        <v>90</v>
      </c>
      <c r="H2551" t="s">
        <v>228</v>
      </c>
      <c r="I2551" t="s">
        <v>555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117</v>
      </c>
      <c r="D2552" t="s">
        <v>408</v>
      </c>
      <c r="E2552" t="s">
        <v>179</v>
      </c>
      <c r="F2552">
        <v>34</v>
      </c>
      <c r="G2552" t="s">
        <v>90</v>
      </c>
      <c r="H2552" t="s">
        <v>228</v>
      </c>
      <c r="I2552" t="s">
        <v>556</v>
      </c>
      <c r="J2552">
        <v>0</v>
      </c>
    </row>
    <row r="2553" spans="1:10" x14ac:dyDescent="0.25">
      <c r="A2553" s="1" t="s">
        <v>27</v>
      </c>
      <c r="B2553">
        <v>401752673</v>
      </c>
      <c r="C2553" t="s">
        <v>117</v>
      </c>
      <c r="D2553" t="s">
        <v>408</v>
      </c>
      <c r="E2553" t="s">
        <v>179</v>
      </c>
      <c r="F2553">
        <v>34</v>
      </c>
      <c r="G2553" t="s">
        <v>90</v>
      </c>
      <c r="H2553" t="s">
        <v>228</v>
      </c>
      <c r="I2553" t="s">
        <v>557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117</v>
      </c>
      <c r="D2554" t="s">
        <v>408</v>
      </c>
      <c r="E2554" t="s">
        <v>179</v>
      </c>
      <c r="F2554">
        <v>34</v>
      </c>
      <c r="G2554" t="s">
        <v>90</v>
      </c>
      <c r="H2554" t="s">
        <v>228</v>
      </c>
      <c r="I2554" t="s">
        <v>558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117</v>
      </c>
      <c r="D2555" t="s">
        <v>408</v>
      </c>
      <c r="E2555" t="s">
        <v>179</v>
      </c>
      <c r="F2555">
        <v>34</v>
      </c>
      <c r="G2555" t="s">
        <v>90</v>
      </c>
      <c r="H2555" t="s">
        <v>228</v>
      </c>
      <c r="I2555" t="s">
        <v>559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117</v>
      </c>
      <c r="D2556" t="s">
        <v>408</v>
      </c>
      <c r="E2556" t="s">
        <v>179</v>
      </c>
      <c r="F2556">
        <v>34</v>
      </c>
      <c r="G2556" t="s">
        <v>90</v>
      </c>
      <c r="H2556" t="s">
        <v>228</v>
      </c>
      <c r="I2556" t="s">
        <v>560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117</v>
      </c>
      <c r="D2557" t="s">
        <v>408</v>
      </c>
      <c r="E2557" t="s">
        <v>179</v>
      </c>
      <c r="F2557">
        <v>34</v>
      </c>
      <c r="G2557" t="s">
        <v>90</v>
      </c>
      <c r="H2557" t="s">
        <v>228</v>
      </c>
      <c r="I2557" t="s">
        <v>561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117</v>
      </c>
      <c r="D2558" t="s">
        <v>408</v>
      </c>
      <c r="E2558" t="s">
        <v>179</v>
      </c>
      <c r="F2558">
        <v>34</v>
      </c>
      <c r="G2558" t="s">
        <v>90</v>
      </c>
      <c r="H2558" t="s">
        <v>228</v>
      </c>
      <c r="I2558" t="s">
        <v>562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117</v>
      </c>
      <c r="D2559" t="s">
        <v>408</v>
      </c>
      <c r="E2559" t="s">
        <v>179</v>
      </c>
      <c r="F2559">
        <v>34</v>
      </c>
      <c r="G2559" t="s">
        <v>90</v>
      </c>
      <c r="H2559" t="s">
        <v>228</v>
      </c>
      <c r="I2559" t="s">
        <v>563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117</v>
      </c>
      <c r="D2560" t="s">
        <v>408</v>
      </c>
      <c r="E2560" t="s">
        <v>179</v>
      </c>
      <c r="F2560">
        <v>34</v>
      </c>
      <c r="G2560" t="s">
        <v>90</v>
      </c>
      <c r="H2560" t="s">
        <v>228</v>
      </c>
      <c r="I2560" t="s">
        <v>564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117</v>
      </c>
      <c r="D2561" t="s">
        <v>408</v>
      </c>
      <c r="E2561" t="s">
        <v>179</v>
      </c>
      <c r="F2561">
        <v>34</v>
      </c>
      <c r="G2561" t="s">
        <v>90</v>
      </c>
      <c r="H2561" t="s">
        <v>228</v>
      </c>
      <c r="I2561" t="s">
        <v>565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117</v>
      </c>
      <c r="D2562" t="s">
        <v>408</v>
      </c>
      <c r="E2562" t="s">
        <v>179</v>
      </c>
      <c r="F2562">
        <v>34</v>
      </c>
      <c r="G2562" t="s">
        <v>90</v>
      </c>
      <c r="H2562" t="s">
        <v>228</v>
      </c>
      <c r="I2562" t="s">
        <v>566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117</v>
      </c>
      <c r="D2563" t="s">
        <v>408</v>
      </c>
      <c r="E2563" t="s">
        <v>179</v>
      </c>
      <c r="F2563">
        <v>34</v>
      </c>
      <c r="G2563" t="s">
        <v>90</v>
      </c>
      <c r="H2563" t="s">
        <v>228</v>
      </c>
      <c r="I2563" t="s">
        <v>567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117</v>
      </c>
      <c r="D2564" t="s">
        <v>408</v>
      </c>
      <c r="E2564" t="s">
        <v>179</v>
      </c>
      <c r="F2564">
        <v>34</v>
      </c>
      <c r="G2564" t="s">
        <v>90</v>
      </c>
      <c r="H2564" t="s">
        <v>228</v>
      </c>
      <c r="I2564" t="s">
        <v>568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117</v>
      </c>
      <c r="D2565" t="s">
        <v>408</v>
      </c>
      <c r="E2565" t="s">
        <v>179</v>
      </c>
      <c r="F2565">
        <v>34</v>
      </c>
      <c r="G2565" t="s">
        <v>90</v>
      </c>
      <c r="H2565" t="s">
        <v>228</v>
      </c>
      <c r="I2565" t="s">
        <v>569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117</v>
      </c>
      <c r="D2566" t="s">
        <v>408</v>
      </c>
      <c r="E2566" t="s">
        <v>179</v>
      </c>
      <c r="F2566">
        <v>34</v>
      </c>
      <c r="G2566" t="s">
        <v>90</v>
      </c>
      <c r="H2566" t="s">
        <v>228</v>
      </c>
      <c r="I2566" t="s">
        <v>570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117</v>
      </c>
      <c r="D2567" t="s">
        <v>408</v>
      </c>
      <c r="E2567" t="s">
        <v>179</v>
      </c>
      <c r="F2567">
        <v>34</v>
      </c>
      <c r="G2567" t="s">
        <v>90</v>
      </c>
      <c r="H2567" t="s">
        <v>228</v>
      </c>
      <c r="I2567" t="s">
        <v>571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117</v>
      </c>
      <c r="D2568" t="s">
        <v>408</v>
      </c>
      <c r="E2568" t="s">
        <v>179</v>
      </c>
      <c r="F2568">
        <v>34</v>
      </c>
      <c r="G2568" t="s">
        <v>90</v>
      </c>
      <c r="H2568" t="s">
        <v>228</v>
      </c>
      <c r="I2568" t="s">
        <v>572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117</v>
      </c>
      <c r="D2569" t="s">
        <v>408</v>
      </c>
      <c r="E2569" t="s">
        <v>179</v>
      </c>
      <c r="F2569">
        <v>34</v>
      </c>
      <c r="G2569" t="s">
        <v>90</v>
      </c>
      <c r="H2569" t="s">
        <v>228</v>
      </c>
      <c r="I2569" t="s">
        <v>573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117</v>
      </c>
      <c r="D2570" t="s">
        <v>408</v>
      </c>
      <c r="E2570" t="s">
        <v>179</v>
      </c>
      <c r="F2570">
        <v>34</v>
      </c>
      <c r="G2570" t="s">
        <v>90</v>
      </c>
      <c r="H2570" t="s">
        <v>228</v>
      </c>
      <c r="I2570" t="s">
        <v>574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117</v>
      </c>
      <c r="D2571" t="s">
        <v>408</v>
      </c>
      <c r="E2571" t="s">
        <v>179</v>
      </c>
      <c r="F2571">
        <v>34</v>
      </c>
      <c r="G2571" t="s">
        <v>90</v>
      </c>
      <c r="H2571" t="s">
        <v>228</v>
      </c>
      <c r="I2571" t="s">
        <v>575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117</v>
      </c>
      <c r="D2572" t="s">
        <v>408</v>
      </c>
      <c r="E2572" t="s">
        <v>179</v>
      </c>
      <c r="F2572">
        <v>34</v>
      </c>
      <c r="G2572" t="s">
        <v>90</v>
      </c>
      <c r="H2572" t="s">
        <v>228</v>
      </c>
      <c r="I2572" t="s">
        <v>576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117</v>
      </c>
      <c r="D2573" t="s">
        <v>408</v>
      </c>
      <c r="E2573" t="s">
        <v>179</v>
      </c>
      <c r="F2573">
        <v>34</v>
      </c>
      <c r="G2573" t="s">
        <v>90</v>
      </c>
      <c r="H2573" t="s">
        <v>228</v>
      </c>
      <c r="I2573" t="s">
        <v>577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117</v>
      </c>
      <c r="D2574" t="s">
        <v>408</v>
      </c>
      <c r="E2574" t="s">
        <v>179</v>
      </c>
      <c r="F2574">
        <v>34</v>
      </c>
      <c r="G2574" t="s">
        <v>90</v>
      </c>
      <c r="H2574" t="s">
        <v>228</v>
      </c>
      <c r="I2574" t="s">
        <v>578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117</v>
      </c>
      <c r="D2575" t="s">
        <v>408</v>
      </c>
      <c r="E2575" t="s">
        <v>179</v>
      </c>
      <c r="F2575">
        <v>34</v>
      </c>
      <c r="G2575" t="s">
        <v>90</v>
      </c>
      <c r="H2575" t="s">
        <v>228</v>
      </c>
      <c r="I2575" t="s">
        <v>579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117</v>
      </c>
      <c r="D2576" t="s">
        <v>408</v>
      </c>
      <c r="E2576" t="s">
        <v>179</v>
      </c>
      <c r="F2576">
        <v>34</v>
      </c>
      <c r="G2576" t="s">
        <v>90</v>
      </c>
      <c r="H2576" t="s">
        <v>228</v>
      </c>
      <c r="I2576" t="s">
        <v>580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117</v>
      </c>
      <c r="D2577" t="s">
        <v>408</v>
      </c>
      <c r="E2577" t="s">
        <v>179</v>
      </c>
      <c r="F2577">
        <v>34</v>
      </c>
      <c r="G2577" t="s">
        <v>90</v>
      </c>
      <c r="H2577" t="s">
        <v>228</v>
      </c>
      <c r="I2577" t="s">
        <v>581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117</v>
      </c>
      <c r="D2578" t="s">
        <v>408</v>
      </c>
      <c r="E2578" t="s">
        <v>179</v>
      </c>
      <c r="F2578">
        <v>34</v>
      </c>
      <c r="G2578" t="s">
        <v>90</v>
      </c>
      <c r="H2578" t="s">
        <v>228</v>
      </c>
      <c r="I2578" t="s">
        <v>582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117</v>
      </c>
      <c r="D2579" t="s">
        <v>408</v>
      </c>
      <c r="E2579" t="s">
        <v>179</v>
      </c>
      <c r="F2579">
        <v>34</v>
      </c>
      <c r="G2579" t="s">
        <v>90</v>
      </c>
      <c r="H2579" t="s">
        <v>228</v>
      </c>
      <c r="I2579" t="s">
        <v>583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117</v>
      </c>
      <c r="D2580" t="s">
        <v>408</v>
      </c>
      <c r="E2580" t="s">
        <v>179</v>
      </c>
      <c r="F2580">
        <v>34</v>
      </c>
      <c r="G2580" t="s">
        <v>90</v>
      </c>
      <c r="H2580" t="s">
        <v>228</v>
      </c>
      <c r="I2580" t="s">
        <v>584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117</v>
      </c>
      <c r="D2581" t="s">
        <v>408</v>
      </c>
      <c r="E2581" t="s">
        <v>179</v>
      </c>
      <c r="F2581">
        <v>34</v>
      </c>
      <c r="G2581" t="s">
        <v>90</v>
      </c>
      <c r="H2581" t="s">
        <v>229</v>
      </c>
      <c r="I2581" t="s">
        <v>554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117</v>
      </c>
      <c r="D2582" t="s">
        <v>408</v>
      </c>
      <c r="E2582" t="s">
        <v>179</v>
      </c>
      <c r="F2582">
        <v>34</v>
      </c>
      <c r="G2582" t="s">
        <v>90</v>
      </c>
      <c r="H2582" t="s">
        <v>229</v>
      </c>
      <c r="I2582" t="s">
        <v>555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117</v>
      </c>
      <c r="D2583" t="s">
        <v>408</v>
      </c>
      <c r="E2583" t="s">
        <v>179</v>
      </c>
      <c r="F2583">
        <v>34</v>
      </c>
      <c r="G2583" t="s">
        <v>90</v>
      </c>
      <c r="H2583" t="s">
        <v>229</v>
      </c>
      <c r="I2583" t="s">
        <v>556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117</v>
      </c>
      <c r="D2584" t="s">
        <v>408</v>
      </c>
      <c r="E2584" t="s">
        <v>179</v>
      </c>
      <c r="F2584">
        <v>34</v>
      </c>
      <c r="G2584" t="s">
        <v>90</v>
      </c>
      <c r="H2584" t="s">
        <v>229</v>
      </c>
      <c r="I2584" t="s">
        <v>557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117</v>
      </c>
      <c r="D2585" t="s">
        <v>408</v>
      </c>
      <c r="E2585" t="s">
        <v>179</v>
      </c>
      <c r="F2585">
        <v>34</v>
      </c>
      <c r="G2585" t="s">
        <v>90</v>
      </c>
      <c r="H2585" t="s">
        <v>229</v>
      </c>
      <c r="I2585" t="s">
        <v>558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117</v>
      </c>
      <c r="D2586" t="s">
        <v>408</v>
      </c>
      <c r="E2586" t="s">
        <v>179</v>
      </c>
      <c r="F2586">
        <v>34</v>
      </c>
      <c r="G2586" t="s">
        <v>90</v>
      </c>
      <c r="H2586" t="s">
        <v>229</v>
      </c>
      <c r="I2586" t="s">
        <v>559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117</v>
      </c>
      <c r="D2587" t="s">
        <v>408</v>
      </c>
      <c r="E2587" t="s">
        <v>179</v>
      </c>
      <c r="F2587">
        <v>34</v>
      </c>
      <c r="G2587" t="s">
        <v>90</v>
      </c>
      <c r="H2587" t="s">
        <v>229</v>
      </c>
      <c r="I2587" t="s">
        <v>560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117</v>
      </c>
      <c r="D2588" t="s">
        <v>408</v>
      </c>
      <c r="E2588" t="s">
        <v>179</v>
      </c>
      <c r="F2588">
        <v>34</v>
      </c>
      <c r="G2588" t="s">
        <v>90</v>
      </c>
      <c r="H2588" t="s">
        <v>229</v>
      </c>
      <c r="I2588" t="s">
        <v>561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117</v>
      </c>
      <c r="D2589" t="s">
        <v>408</v>
      </c>
      <c r="E2589" t="s">
        <v>179</v>
      </c>
      <c r="F2589">
        <v>34</v>
      </c>
      <c r="G2589" t="s">
        <v>90</v>
      </c>
      <c r="H2589" t="s">
        <v>229</v>
      </c>
      <c r="I2589" t="s">
        <v>562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117</v>
      </c>
      <c r="D2590" t="s">
        <v>408</v>
      </c>
      <c r="E2590" t="s">
        <v>179</v>
      </c>
      <c r="F2590">
        <v>34</v>
      </c>
      <c r="G2590" t="s">
        <v>90</v>
      </c>
      <c r="H2590" t="s">
        <v>229</v>
      </c>
      <c r="I2590" t="s">
        <v>563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117</v>
      </c>
      <c r="D2591" t="s">
        <v>408</v>
      </c>
      <c r="E2591" t="s">
        <v>179</v>
      </c>
      <c r="F2591">
        <v>34</v>
      </c>
      <c r="G2591" t="s">
        <v>90</v>
      </c>
      <c r="H2591" t="s">
        <v>229</v>
      </c>
      <c r="I2591" t="s">
        <v>564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117</v>
      </c>
      <c r="D2592" t="s">
        <v>408</v>
      </c>
      <c r="E2592" t="s">
        <v>179</v>
      </c>
      <c r="F2592">
        <v>34</v>
      </c>
      <c r="G2592" t="s">
        <v>90</v>
      </c>
      <c r="H2592" t="s">
        <v>229</v>
      </c>
      <c r="I2592" t="s">
        <v>565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117</v>
      </c>
      <c r="D2593" t="s">
        <v>408</v>
      </c>
      <c r="E2593" t="s">
        <v>179</v>
      </c>
      <c r="F2593">
        <v>34</v>
      </c>
      <c r="G2593" t="s">
        <v>90</v>
      </c>
      <c r="H2593" t="s">
        <v>229</v>
      </c>
      <c r="I2593" t="s">
        <v>566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117</v>
      </c>
      <c r="D2594" t="s">
        <v>408</v>
      </c>
      <c r="E2594" t="s">
        <v>179</v>
      </c>
      <c r="F2594">
        <v>34</v>
      </c>
      <c r="G2594" t="s">
        <v>90</v>
      </c>
      <c r="H2594" t="s">
        <v>229</v>
      </c>
      <c r="I2594" t="s">
        <v>567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117</v>
      </c>
      <c r="D2595" t="s">
        <v>408</v>
      </c>
      <c r="E2595" t="s">
        <v>179</v>
      </c>
      <c r="F2595">
        <v>34</v>
      </c>
      <c r="G2595" t="s">
        <v>90</v>
      </c>
      <c r="H2595" t="s">
        <v>229</v>
      </c>
      <c r="I2595" t="s">
        <v>568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117</v>
      </c>
      <c r="D2596" t="s">
        <v>408</v>
      </c>
      <c r="E2596" t="s">
        <v>179</v>
      </c>
      <c r="F2596">
        <v>34</v>
      </c>
      <c r="G2596" t="s">
        <v>90</v>
      </c>
      <c r="H2596" t="s">
        <v>229</v>
      </c>
      <c r="I2596" t="s">
        <v>569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117</v>
      </c>
      <c r="D2597" t="s">
        <v>408</v>
      </c>
      <c r="E2597" t="s">
        <v>179</v>
      </c>
      <c r="F2597">
        <v>34</v>
      </c>
      <c r="G2597" t="s">
        <v>90</v>
      </c>
      <c r="H2597" t="s">
        <v>229</v>
      </c>
      <c r="I2597" t="s">
        <v>570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117</v>
      </c>
      <c r="D2598" t="s">
        <v>408</v>
      </c>
      <c r="E2598" t="s">
        <v>179</v>
      </c>
      <c r="F2598">
        <v>34</v>
      </c>
      <c r="G2598" t="s">
        <v>90</v>
      </c>
      <c r="H2598" t="s">
        <v>229</v>
      </c>
      <c r="I2598" t="s">
        <v>571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117</v>
      </c>
      <c r="D2599" t="s">
        <v>408</v>
      </c>
      <c r="E2599" t="s">
        <v>179</v>
      </c>
      <c r="F2599">
        <v>34</v>
      </c>
      <c r="G2599" t="s">
        <v>90</v>
      </c>
      <c r="H2599" t="s">
        <v>229</v>
      </c>
      <c r="I2599" t="s">
        <v>572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117</v>
      </c>
      <c r="D2600" t="s">
        <v>408</v>
      </c>
      <c r="E2600" t="s">
        <v>179</v>
      </c>
      <c r="F2600">
        <v>34</v>
      </c>
      <c r="G2600" t="s">
        <v>90</v>
      </c>
      <c r="H2600" t="s">
        <v>229</v>
      </c>
      <c r="I2600" t="s">
        <v>573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117</v>
      </c>
      <c r="D2601" t="s">
        <v>408</v>
      </c>
      <c r="E2601" t="s">
        <v>179</v>
      </c>
      <c r="F2601">
        <v>34</v>
      </c>
      <c r="G2601" t="s">
        <v>90</v>
      </c>
      <c r="H2601" t="s">
        <v>229</v>
      </c>
      <c r="I2601" t="s">
        <v>574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117</v>
      </c>
      <c r="D2602" t="s">
        <v>408</v>
      </c>
      <c r="E2602" t="s">
        <v>179</v>
      </c>
      <c r="F2602">
        <v>34</v>
      </c>
      <c r="G2602" t="s">
        <v>90</v>
      </c>
      <c r="H2602" t="s">
        <v>229</v>
      </c>
      <c r="I2602" t="s">
        <v>575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117</v>
      </c>
      <c r="D2603" t="s">
        <v>408</v>
      </c>
      <c r="E2603" t="s">
        <v>179</v>
      </c>
      <c r="F2603">
        <v>34</v>
      </c>
      <c r="G2603" t="s">
        <v>90</v>
      </c>
      <c r="H2603" t="s">
        <v>229</v>
      </c>
      <c r="I2603" t="s">
        <v>576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117</v>
      </c>
      <c r="D2604" t="s">
        <v>408</v>
      </c>
      <c r="E2604" t="s">
        <v>179</v>
      </c>
      <c r="F2604">
        <v>34</v>
      </c>
      <c r="G2604" t="s">
        <v>90</v>
      </c>
      <c r="H2604" t="s">
        <v>229</v>
      </c>
      <c r="I2604" t="s">
        <v>577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117</v>
      </c>
      <c r="D2605" t="s">
        <v>408</v>
      </c>
      <c r="E2605" t="s">
        <v>179</v>
      </c>
      <c r="F2605">
        <v>34</v>
      </c>
      <c r="G2605" t="s">
        <v>90</v>
      </c>
      <c r="H2605" t="s">
        <v>229</v>
      </c>
      <c r="I2605" t="s">
        <v>578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117</v>
      </c>
      <c r="D2606" t="s">
        <v>408</v>
      </c>
      <c r="E2606" t="s">
        <v>179</v>
      </c>
      <c r="F2606">
        <v>34</v>
      </c>
      <c r="G2606" t="s">
        <v>90</v>
      </c>
      <c r="H2606" t="s">
        <v>229</v>
      </c>
      <c r="I2606" t="s">
        <v>579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117</v>
      </c>
      <c r="D2607" t="s">
        <v>408</v>
      </c>
      <c r="E2607" t="s">
        <v>179</v>
      </c>
      <c r="F2607">
        <v>34</v>
      </c>
      <c r="G2607" t="s">
        <v>90</v>
      </c>
      <c r="H2607" t="s">
        <v>229</v>
      </c>
      <c r="I2607" t="s">
        <v>580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117</v>
      </c>
      <c r="D2608" t="s">
        <v>408</v>
      </c>
      <c r="E2608" t="s">
        <v>179</v>
      </c>
      <c r="F2608">
        <v>34</v>
      </c>
      <c r="G2608" t="s">
        <v>90</v>
      </c>
      <c r="H2608" t="s">
        <v>229</v>
      </c>
      <c r="I2608" t="s">
        <v>581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117</v>
      </c>
      <c r="D2609" t="s">
        <v>408</v>
      </c>
      <c r="E2609" t="s">
        <v>179</v>
      </c>
      <c r="F2609">
        <v>34</v>
      </c>
      <c r="G2609" t="s">
        <v>90</v>
      </c>
      <c r="H2609" t="s">
        <v>229</v>
      </c>
      <c r="I2609" t="s">
        <v>582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117</v>
      </c>
      <c r="D2610" t="s">
        <v>408</v>
      </c>
      <c r="E2610" t="s">
        <v>179</v>
      </c>
      <c r="F2610">
        <v>34</v>
      </c>
      <c r="G2610" t="s">
        <v>90</v>
      </c>
      <c r="H2610" t="s">
        <v>229</v>
      </c>
      <c r="I2610" t="s">
        <v>583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117</v>
      </c>
      <c r="D2611" t="s">
        <v>408</v>
      </c>
      <c r="E2611" t="s">
        <v>179</v>
      </c>
      <c r="F2611">
        <v>34</v>
      </c>
      <c r="G2611" t="s">
        <v>90</v>
      </c>
      <c r="H2611" t="s">
        <v>229</v>
      </c>
      <c r="I2611" t="s">
        <v>584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117</v>
      </c>
      <c r="D2612" t="s">
        <v>408</v>
      </c>
      <c r="E2612" t="s">
        <v>179</v>
      </c>
      <c r="F2612">
        <v>34</v>
      </c>
      <c r="G2612" t="s">
        <v>90</v>
      </c>
      <c r="H2612" t="s">
        <v>91</v>
      </c>
      <c r="I2612" t="s">
        <v>554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117</v>
      </c>
      <c r="D2613" t="s">
        <v>408</v>
      </c>
      <c r="E2613" t="s">
        <v>179</v>
      </c>
      <c r="F2613">
        <v>34</v>
      </c>
      <c r="G2613" t="s">
        <v>90</v>
      </c>
      <c r="H2613" t="s">
        <v>91</v>
      </c>
      <c r="I2613" t="s">
        <v>555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117</v>
      </c>
      <c r="D2614" t="s">
        <v>408</v>
      </c>
      <c r="E2614" t="s">
        <v>179</v>
      </c>
      <c r="F2614">
        <v>34</v>
      </c>
      <c r="G2614" t="s">
        <v>90</v>
      </c>
      <c r="H2614" t="s">
        <v>91</v>
      </c>
      <c r="I2614" t="s">
        <v>556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117</v>
      </c>
      <c r="D2615" t="s">
        <v>408</v>
      </c>
      <c r="E2615" t="s">
        <v>179</v>
      </c>
      <c r="F2615">
        <v>34</v>
      </c>
      <c r="G2615" t="s">
        <v>90</v>
      </c>
      <c r="H2615" t="s">
        <v>91</v>
      </c>
      <c r="I2615" t="s">
        <v>557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117</v>
      </c>
      <c r="D2616" t="s">
        <v>408</v>
      </c>
      <c r="E2616" t="s">
        <v>179</v>
      </c>
      <c r="F2616">
        <v>34</v>
      </c>
      <c r="G2616" t="s">
        <v>90</v>
      </c>
      <c r="H2616" t="s">
        <v>91</v>
      </c>
      <c r="I2616" t="s">
        <v>558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117</v>
      </c>
      <c r="D2617" t="s">
        <v>408</v>
      </c>
      <c r="E2617" t="s">
        <v>179</v>
      </c>
      <c r="F2617">
        <v>34</v>
      </c>
      <c r="G2617" t="s">
        <v>90</v>
      </c>
      <c r="H2617" t="s">
        <v>91</v>
      </c>
      <c r="I2617" t="s">
        <v>559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117</v>
      </c>
      <c r="D2618" t="s">
        <v>408</v>
      </c>
      <c r="E2618" t="s">
        <v>179</v>
      </c>
      <c r="F2618">
        <v>34</v>
      </c>
      <c r="G2618" t="s">
        <v>90</v>
      </c>
      <c r="H2618" t="s">
        <v>91</v>
      </c>
      <c r="I2618" t="s">
        <v>560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117</v>
      </c>
      <c r="D2619" t="s">
        <v>408</v>
      </c>
      <c r="E2619" t="s">
        <v>179</v>
      </c>
      <c r="F2619">
        <v>34</v>
      </c>
      <c r="G2619" t="s">
        <v>90</v>
      </c>
      <c r="H2619" t="s">
        <v>91</v>
      </c>
      <c r="I2619" t="s">
        <v>561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117</v>
      </c>
      <c r="D2620" t="s">
        <v>408</v>
      </c>
      <c r="E2620" t="s">
        <v>179</v>
      </c>
      <c r="F2620">
        <v>34</v>
      </c>
      <c r="G2620" t="s">
        <v>90</v>
      </c>
      <c r="H2620" t="s">
        <v>91</v>
      </c>
      <c r="I2620" t="s">
        <v>562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117</v>
      </c>
      <c r="D2621" t="s">
        <v>408</v>
      </c>
      <c r="E2621" t="s">
        <v>179</v>
      </c>
      <c r="F2621">
        <v>34</v>
      </c>
      <c r="G2621" t="s">
        <v>90</v>
      </c>
      <c r="H2621" t="s">
        <v>91</v>
      </c>
      <c r="I2621" t="s">
        <v>563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117</v>
      </c>
      <c r="D2622" t="s">
        <v>408</v>
      </c>
      <c r="E2622" t="s">
        <v>179</v>
      </c>
      <c r="F2622">
        <v>34</v>
      </c>
      <c r="G2622" t="s">
        <v>90</v>
      </c>
      <c r="H2622" t="s">
        <v>91</v>
      </c>
      <c r="I2622" t="s">
        <v>564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117</v>
      </c>
      <c r="D2623" t="s">
        <v>408</v>
      </c>
      <c r="E2623" t="s">
        <v>179</v>
      </c>
      <c r="F2623">
        <v>34</v>
      </c>
      <c r="G2623" t="s">
        <v>90</v>
      </c>
      <c r="H2623" t="s">
        <v>91</v>
      </c>
      <c r="I2623" t="s">
        <v>565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117</v>
      </c>
      <c r="D2624" t="s">
        <v>408</v>
      </c>
      <c r="E2624" t="s">
        <v>179</v>
      </c>
      <c r="F2624">
        <v>34</v>
      </c>
      <c r="G2624" t="s">
        <v>90</v>
      </c>
      <c r="H2624" t="s">
        <v>91</v>
      </c>
      <c r="I2624" t="s">
        <v>566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117</v>
      </c>
      <c r="D2625" t="s">
        <v>408</v>
      </c>
      <c r="E2625" t="s">
        <v>179</v>
      </c>
      <c r="F2625">
        <v>34</v>
      </c>
      <c r="G2625" t="s">
        <v>90</v>
      </c>
      <c r="H2625" t="s">
        <v>91</v>
      </c>
      <c r="I2625" t="s">
        <v>567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117</v>
      </c>
      <c r="D2626" t="s">
        <v>408</v>
      </c>
      <c r="E2626" t="s">
        <v>179</v>
      </c>
      <c r="F2626">
        <v>34</v>
      </c>
      <c r="G2626" t="s">
        <v>90</v>
      </c>
      <c r="H2626" t="s">
        <v>91</v>
      </c>
      <c r="I2626" t="s">
        <v>568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117</v>
      </c>
      <c r="D2627" t="s">
        <v>408</v>
      </c>
      <c r="E2627" t="s">
        <v>179</v>
      </c>
      <c r="F2627">
        <v>34</v>
      </c>
      <c r="G2627" t="s">
        <v>90</v>
      </c>
      <c r="H2627" t="s">
        <v>91</v>
      </c>
      <c r="I2627" t="s">
        <v>569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117</v>
      </c>
      <c r="D2628" t="s">
        <v>408</v>
      </c>
      <c r="E2628" t="s">
        <v>179</v>
      </c>
      <c r="F2628">
        <v>34</v>
      </c>
      <c r="G2628" t="s">
        <v>90</v>
      </c>
      <c r="H2628" t="s">
        <v>91</v>
      </c>
      <c r="I2628" t="s">
        <v>570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117</v>
      </c>
      <c r="D2629" t="s">
        <v>408</v>
      </c>
      <c r="E2629" t="s">
        <v>179</v>
      </c>
      <c r="F2629">
        <v>34</v>
      </c>
      <c r="G2629" t="s">
        <v>90</v>
      </c>
      <c r="H2629" t="s">
        <v>91</v>
      </c>
      <c r="I2629" t="s">
        <v>571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117</v>
      </c>
      <c r="D2630" t="s">
        <v>408</v>
      </c>
      <c r="E2630" t="s">
        <v>179</v>
      </c>
      <c r="F2630">
        <v>34</v>
      </c>
      <c r="G2630" t="s">
        <v>90</v>
      </c>
      <c r="H2630" t="s">
        <v>91</v>
      </c>
      <c r="I2630" t="s">
        <v>572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117</v>
      </c>
      <c r="D2631" t="s">
        <v>408</v>
      </c>
      <c r="E2631" t="s">
        <v>179</v>
      </c>
      <c r="F2631">
        <v>34</v>
      </c>
      <c r="G2631" t="s">
        <v>90</v>
      </c>
      <c r="H2631" t="s">
        <v>91</v>
      </c>
      <c r="I2631" t="s">
        <v>573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117</v>
      </c>
      <c r="D2632" t="s">
        <v>408</v>
      </c>
      <c r="E2632" t="s">
        <v>179</v>
      </c>
      <c r="F2632">
        <v>34</v>
      </c>
      <c r="G2632" t="s">
        <v>90</v>
      </c>
      <c r="H2632" t="s">
        <v>91</v>
      </c>
      <c r="I2632" t="s">
        <v>574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117</v>
      </c>
      <c r="D2633" t="s">
        <v>408</v>
      </c>
      <c r="E2633" t="s">
        <v>179</v>
      </c>
      <c r="F2633">
        <v>34</v>
      </c>
      <c r="G2633" t="s">
        <v>90</v>
      </c>
      <c r="H2633" t="s">
        <v>91</v>
      </c>
      <c r="I2633" t="s">
        <v>575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117</v>
      </c>
      <c r="D2634" t="s">
        <v>408</v>
      </c>
      <c r="E2634" t="s">
        <v>179</v>
      </c>
      <c r="F2634">
        <v>34</v>
      </c>
      <c r="G2634" t="s">
        <v>90</v>
      </c>
      <c r="H2634" t="s">
        <v>91</v>
      </c>
      <c r="I2634" t="s">
        <v>576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117</v>
      </c>
      <c r="D2635" t="s">
        <v>408</v>
      </c>
      <c r="E2635" t="s">
        <v>179</v>
      </c>
      <c r="F2635">
        <v>34</v>
      </c>
      <c r="G2635" t="s">
        <v>90</v>
      </c>
      <c r="H2635" t="s">
        <v>91</v>
      </c>
      <c r="I2635" t="s">
        <v>577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117</v>
      </c>
      <c r="D2636" t="s">
        <v>408</v>
      </c>
      <c r="E2636" t="s">
        <v>179</v>
      </c>
      <c r="F2636">
        <v>34</v>
      </c>
      <c r="G2636" t="s">
        <v>90</v>
      </c>
      <c r="H2636" t="s">
        <v>91</v>
      </c>
      <c r="I2636" t="s">
        <v>578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117</v>
      </c>
      <c r="D2637" t="s">
        <v>408</v>
      </c>
      <c r="E2637" t="s">
        <v>179</v>
      </c>
      <c r="F2637">
        <v>34</v>
      </c>
      <c r="G2637" t="s">
        <v>90</v>
      </c>
      <c r="H2637" t="s">
        <v>91</v>
      </c>
      <c r="I2637" t="s">
        <v>579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117</v>
      </c>
      <c r="D2638" t="s">
        <v>408</v>
      </c>
      <c r="E2638" t="s">
        <v>179</v>
      </c>
      <c r="F2638">
        <v>34</v>
      </c>
      <c r="G2638" t="s">
        <v>90</v>
      </c>
      <c r="H2638" t="s">
        <v>91</v>
      </c>
      <c r="I2638" t="s">
        <v>580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117</v>
      </c>
      <c r="D2639" t="s">
        <v>408</v>
      </c>
      <c r="E2639" t="s">
        <v>179</v>
      </c>
      <c r="F2639">
        <v>34</v>
      </c>
      <c r="G2639" t="s">
        <v>90</v>
      </c>
      <c r="H2639" t="s">
        <v>91</v>
      </c>
      <c r="I2639" t="s">
        <v>581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117</v>
      </c>
      <c r="D2640" t="s">
        <v>408</v>
      </c>
      <c r="E2640" t="s">
        <v>179</v>
      </c>
      <c r="F2640">
        <v>34</v>
      </c>
      <c r="G2640" t="s">
        <v>90</v>
      </c>
      <c r="H2640" t="s">
        <v>91</v>
      </c>
      <c r="I2640" t="s">
        <v>582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117</v>
      </c>
      <c r="D2641" t="s">
        <v>408</v>
      </c>
      <c r="E2641" t="s">
        <v>179</v>
      </c>
      <c r="F2641">
        <v>34</v>
      </c>
      <c r="G2641" t="s">
        <v>90</v>
      </c>
      <c r="H2641" t="s">
        <v>91</v>
      </c>
      <c r="I2641" t="s">
        <v>583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117</v>
      </c>
      <c r="D2642" t="s">
        <v>408</v>
      </c>
      <c r="E2642" t="s">
        <v>179</v>
      </c>
      <c r="F2642">
        <v>34</v>
      </c>
      <c r="G2642" t="s">
        <v>90</v>
      </c>
      <c r="H2642" t="s">
        <v>91</v>
      </c>
      <c r="I2642" t="s">
        <v>584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117</v>
      </c>
      <c r="D2643" t="s">
        <v>408</v>
      </c>
      <c r="E2643" t="s">
        <v>179</v>
      </c>
      <c r="F2643">
        <v>34</v>
      </c>
      <c r="G2643" t="s">
        <v>90</v>
      </c>
      <c r="H2643" t="s">
        <v>230</v>
      </c>
      <c r="I2643" t="s">
        <v>554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117</v>
      </c>
      <c r="D2644" t="s">
        <v>408</v>
      </c>
      <c r="E2644" t="s">
        <v>179</v>
      </c>
      <c r="F2644">
        <v>34</v>
      </c>
      <c r="G2644" t="s">
        <v>90</v>
      </c>
      <c r="H2644" t="s">
        <v>230</v>
      </c>
      <c r="I2644" t="s">
        <v>555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117</v>
      </c>
      <c r="D2645" t="s">
        <v>408</v>
      </c>
      <c r="E2645" t="s">
        <v>179</v>
      </c>
      <c r="F2645">
        <v>34</v>
      </c>
      <c r="G2645" t="s">
        <v>90</v>
      </c>
      <c r="H2645" t="s">
        <v>230</v>
      </c>
      <c r="I2645" t="s">
        <v>556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117</v>
      </c>
      <c r="D2646" t="s">
        <v>408</v>
      </c>
      <c r="E2646" t="s">
        <v>179</v>
      </c>
      <c r="F2646">
        <v>34</v>
      </c>
      <c r="G2646" t="s">
        <v>90</v>
      </c>
      <c r="H2646" t="s">
        <v>230</v>
      </c>
      <c r="I2646" t="s">
        <v>557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117</v>
      </c>
      <c r="D2647" t="s">
        <v>408</v>
      </c>
      <c r="E2647" t="s">
        <v>179</v>
      </c>
      <c r="F2647">
        <v>34</v>
      </c>
      <c r="G2647" t="s">
        <v>90</v>
      </c>
      <c r="H2647" t="s">
        <v>230</v>
      </c>
      <c r="I2647" t="s">
        <v>558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117</v>
      </c>
      <c r="D2648" t="s">
        <v>408</v>
      </c>
      <c r="E2648" t="s">
        <v>179</v>
      </c>
      <c r="F2648">
        <v>34</v>
      </c>
      <c r="G2648" t="s">
        <v>90</v>
      </c>
      <c r="H2648" t="s">
        <v>230</v>
      </c>
      <c r="I2648" t="s">
        <v>559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117</v>
      </c>
      <c r="D2649" t="s">
        <v>408</v>
      </c>
      <c r="E2649" t="s">
        <v>179</v>
      </c>
      <c r="F2649">
        <v>34</v>
      </c>
      <c r="G2649" t="s">
        <v>90</v>
      </c>
      <c r="H2649" t="s">
        <v>230</v>
      </c>
      <c r="I2649" t="s">
        <v>560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117</v>
      </c>
      <c r="D2650" t="s">
        <v>408</v>
      </c>
      <c r="E2650" t="s">
        <v>179</v>
      </c>
      <c r="F2650">
        <v>34</v>
      </c>
      <c r="G2650" t="s">
        <v>90</v>
      </c>
      <c r="H2650" t="s">
        <v>230</v>
      </c>
      <c r="I2650" t="s">
        <v>561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117</v>
      </c>
      <c r="D2651" t="s">
        <v>408</v>
      </c>
      <c r="E2651" t="s">
        <v>179</v>
      </c>
      <c r="F2651">
        <v>34</v>
      </c>
      <c r="G2651" t="s">
        <v>90</v>
      </c>
      <c r="H2651" t="s">
        <v>230</v>
      </c>
      <c r="I2651" t="s">
        <v>562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117</v>
      </c>
      <c r="D2652" t="s">
        <v>408</v>
      </c>
      <c r="E2652" t="s">
        <v>179</v>
      </c>
      <c r="F2652">
        <v>34</v>
      </c>
      <c r="G2652" t="s">
        <v>90</v>
      </c>
      <c r="H2652" t="s">
        <v>230</v>
      </c>
      <c r="I2652" t="s">
        <v>563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117</v>
      </c>
      <c r="D2653" t="s">
        <v>408</v>
      </c>
      <c r="E2653" t="s">
        <v>179</v>
      </c>
      <c r="F2653">
        <v>34</v>
      </c>
      <c r="G2653" t="s">
        <v>90</v>
      </c>
      <c r="H2653" t="s">
        <v>230</v>
      </c>
      <c r="I2653" t="s">
        <v>564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117</v>
      </c>
      <c r="D2654" t="s">
        <v>408</v>
      </c>
      <c r="E2654" t="s">
        <v>179</v>
      </c>
      <c r="F2654">
        <v>34</v>
      </c>
      <c r="G2654" t="s">
        <v>90</v>
      </c>
      <c r="H2654" t="s">
        <v>230</v>
      </c>
      <c r="I2654" t="s">
        <v>565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117</v>
      </c>
      <c r="D2655" t="s">
        <v>408</v>
      </c>
      <c r="E2655" t="s">
        <v>179</v>
      </c>
      <c r="F2655">
        <v>34</v>
      </c>
      <c r="G2655" t="s">
        <v>90</v>
      </c>
      <c r="H2655" t="s">
        <v>230</v>
      </c>
      <c r="I2655" t="s">
        <v>566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117</v>
      </c>
      <c r="D2656" t="s">
        <v>408</v>
      </c>
      <c r="E2656" t="s">
        <v>179</v>
      </c>
      <c r="F2656">
        <v>34</v>
      </c>
      <c r="G2656" t="s">
        <v>90</v>
      </c>
      <c r="H2656" t="s">
        <v>230</v>
      </c>
      <c r="I2656" t="s">
        <v>567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117</v>
      </c>
      <c r="D2657" t="s">
        <v>408</v>
      </c>
      <c r="E2657" t="s">
        <v>179</v>
      </c>
      <c r="F2657">
        <v>34</v>
      </c>
      <c r="G2657" t="s">
        <v>90</v>
      </c>
      <c r="H2657" t="s">
        <v>230</v>
      </c>
      <c r="I2657" t="s">
        <v>568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117</v>
      </c>
      <c r="D2658" t="s">
        <v>408</v>
      </c>
      <c r="E2658" t="s">
        <v>179</v>
      </c>
      <c r="F2658">
        <v>34</v>
      </c>
      <c r="G2658" t="s">
        <v>90</v>
      </c>
      <c r="H2658" t="s">
        <v>230</v>
      </c>
      <c r="I2658" t="s">
        <v>569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117</v>
      </c>
      <c r="D2659" t="s">
        <v>408</v>
      </c>
      <c r="E2659" t="s">
        <v>179</v>
      </c>
      <c r="F2659">
        <v>34</v>
      </c>
      <c r="G2659" t="s">
        <v>90</v>
      </c>
      <c r="H2659" t="s">
        <v>230</v>
      </c>
      <c r="I2659" t="s">
        <v>570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117</v>
      </c>
      <c r="D2660" t="s">
        <v>408</v>
      </c>
      <c r="E2660" t="s">
        <v>179</v>
      </c>
      <c r="F2660">
        <v>34</v>
      </c>
      <c r="G2660" t="s">
        <v>90</v>
      </c>
      <c r="H2660" t="s">
        <v>230</v>
      </c>
      <c r="I2660" t="s">
        <v>571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117</v>
      </c>
      <c r="D2661" t="s">
        <v>408</v>
      </c>
      <c r="E2661" t="s">
        <v>179</v>
      </c>
      <c r="F2661">
        <v>34</v>
      </c>
      <c r="G2661" t="s">
        <v>90</v>
      </c>
      <c r="H2661" t="s">
        <v>230</v>
      </c>
      <c r="I2661" t="s">
        <v>572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117</v>
      </c>
      <c r="D2662" t="s">
        <v>408</v>
      </c>
      <c r="E2662" t="s">
        <v>179</v>
      </c>
      <c r="F2662">
        <v>34</v>
      </c>
      <c r="G2662" t="s">
        <v>90</v>
      </c>
      <c r="H2662" t="s">
        <v>230</v>
      </c>
      <c r="I2662" t="s">
        <v>573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117</v>
      </c>
      <c r="D2663" t="s">
        <v>408</v>
      </c>
      <c r="E2663" t="s">
        <v>179</v>
      </c>
      <c r="F2663">
        <v>34</v>
      </c>
      <c r="G2663" t="s">
        <v>90</v>
      </c>
      <c r="H2663" t="s">
        <v>230</v>
      </c>
      <c r="I2663" t="s">
        <v>574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117</v>
      </c>
      <c r="D2664" t="s">
        <v>408</v>
      </c>
      <c r="E2664" t="s">
        <v>179</v>
      </c>
      <c r="F2664">
        <v>34</v>
      </c>
      <c r="G2664" t="s">
        <v>90</v>
      </c>
      <c r="H2664" t="s">
        <v>230</v>
      </c>
      <c r="I2664" t="s">
        <v>575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117</v>
      </c>
      <c r="D2665" t="s">
        <v>408</v>
      </c>
      <c r="E2665" t="s">
        <v>179</v>
      </c>
      <c r="F2665">
        <v>34</v>
      </c>
      <c r="G2665" t="s">
        <v>90</v>
      </c>
      <c r="H2665" t="s">
        <v>230</v>
      </c>
      <c r="I2665" t="s">
        <v>576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117</v>
      </c>
      <c r="D2666" t="s">
        <v>408</v>
      </c>
      <c r="E2666" t="s">
        <v>179</v>
      </c>
      <c r="F2666">
        <v>34</v>
      </c>
      <c r="G2666" t="s">
        <v>90</v>
      </c>
      <c r="H2666" t="s">
        <v>230</v>
      </c>
      <c r="I2666" t="s">
        <v>577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117</v>
      </c>
      <c r="D2667" t="s">
        <v>408</v>
      </c>
      <c r="E2667" t="s">
        <v>179</v>
      </c>
      <c r="F2667">
        <v>34</v>
      </c>
      <c r="G2667" t="s">
        <v>90</v>
      </c>
      <c r="H2667" t="s">
        <v>230</v>
      </c>
      <c r="I2667" t="s">
        <v>578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117</v>
      </c>
      <c r="D2668" t="s">
        <v>408</v>
      </c>
      <c r="E2668" t="s">
        <v>179</v>
      </c>
      <c r="F2668">
        <v>34</v>
      </c>
      <c r="G2668" t="s">
        <v>90</v>
      </c>
      <c r="H2668" t="s">
        <v>230</v>
      </c>
      <c r="I2668" t="s">
        <v>579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117</v>
      </c>
      <c r="D2669" t="s">
        <v>408</v>
      </c>
      <c r="E2669" t="s">
        <v>179</v>
      </c>
      <c r="F2669">
        <v>34</v>
      </c>
      <c r="G2669" t="s">
        <v>90</v>
      </c>
      <c r="H2669" t="s">
        <v>230</v>
      </c>
      <c r="I2669" t="s">
        <v>580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117</v>
      </c>
      <c r="D2670" t="s">
        <v>408</v>
      </c>
      <c r="E2670" t="s">
        <v>179</v>
      </c>
      <c r="F2670">
        <v>34</v>
      </c>
      <c r="G2670" t="s">
        <v>90</v>
      </c>
      <c r="H2670" t="s">
        <v>230</v>
      </c>
      <c r="I2670" t="s">
        <v>581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117</v>
      </c>
      <c r="D2671" t="s">
        <v>408</v>
      </c>
      <c r="E2671" t="s">
        <v>179</v>
      </c>
      <c r="F2671">
        <v>34</v>
      </c>
      <c r="G2671" t="s">
        <v>90</v>
      </c>
      <c r="H2671" t="s">
        <v>230</v>
      </c>
      <c r="I2671" t="s">
        <v>582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117</v>
      </c>
      <c r="D2672" t="s">
        <v>408</v>
      </c>
      <c r="E2672" t="s">
        <v>179</v>
      </c>
      <c r="F2672">
        <v>34</v>
      </c>
      <c r="G2672" t="s">
        <v>90</v>
      </c>
      <c r="H2672" t="s">
        <v>230</v>
      </c>
      <c r="I2672" t="s">
        <v>583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117</v>
      </c>
      <c r="D2673" t="s">
        <v>408</v>
      </c>
      <c r="E2673" t="s">
        <v>179</v>
      </c>
      <c r="F2673">
        <v>34</v>
      </c>
      <c r="G2673" t="s">
        <v>90</v>
      </c>
      <c r="H2673" t="s">
        <v>230</v>
      </c>
      <c r="I2673" t="s">
        <v>584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117</v>
      </c>
      <c r="D2674" t="s">
        <v>408</v>
      </c>
      <c r="E2674" t="s">
        <v>179</v>
      </c>
      <c r="F2674">
        <v>34</v>
      </c>
      <c r="G2674" t="s">
        <v>90</v>
      </c>
      <c r="H2674" t="s">
        <v>188</v>
      </c>
      <c r="I2674" t="s">
        <v>554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117</v>
      </c>
      <c r="D2675" t="s">
        <v>408</v>
      </c>
      <c r="E2675" t="s">
        <v>179</v>
      </c>
      <c r="F2675">
        <v>34</v>
      </c>
      <c r="G2675" t="s">
        <v>90</v>
      </c>
      <c r="H2675" t="s">
        <v>188</v>
      </c>
      <c r="I2675" t="s">
        <v>555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117</v>
      </c>
      <c r="D2676" t="s">
        <v>408</v>
      </c>
      <c r="E2676" t="s">
        <v>179</v>
      </c>
      <c r="F2676">
        <v>34</v>
      </c>
      <c r="G2676" t="s">
        <v>90</v>
      </c>
      <c r="H2676" t="s">
        <v>188</v>
      </c>
      <c r="I2676" t="s">
        <v>556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117</v>
      </c>
      <c r="D2677" t="s">
        <v>408</v>
      </c>
      <c r="E2677" t="s">
        <v>179</v>
      </c>
      <c r="F2677">
        <v>34</v>
      </c>
      <c r="G2677" t="s">
        <v>90</v>
      </c>
      <c r="H2677" t="s">
        <v>188</v>
      </c>
      <c r="I2677" t="s">
        <v>557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117</v>
      </c>
      <c r="D2678" t="s">
        <v>408</v>
      </c>
      <c r="E2678" t="s">
        <v>179</v>
      </c>
      <c r="F2678">
        <v>34</v>
      </c>
      <c r="G2678" t="s">
        <v>90</v>
      </c>
      <c r="H2678" t="s">
        <v>188</v>
      </c>
      <c r="I2678" t="s">
        <v>558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117</v>
      </c>
      <c r="D2679" t="s">
        <v>408</v>
      </c>
      <c r="E2679" t="s">
        <v>179</v>
      </c>
      <c r="F2679">
        <v>34</v>
      </c>
      <c r="G2679" t="s">
        <v>90</v>
      </c>
      <c r="H2679" t="s">
        <v>188</v>
      </c>
      <c r="I2679" t="s">
        <v>559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117</v>
      </c>
      <c r="D2680" t="s">
        <v>408</v>
      </c>
      <c r="E2680" t="s">
        <v>179</v>
      </c>
      <c r="F2680">
        <v>34</v>
      </c>
      <c r="G2680" t="s">
        <v>90</v>
      </c>
      <c r="H2680" t="s">
        <v>188</v>
      </c>
      <c r="I2680" t="s">
        <v>560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117</v>
      </c>
      <c r="D2681" t="s">
        <v>408</v>
      </c>
      <c r="E2681" t="s">
        <v>179</v>
      </c>
      <c r="F2681">
        <v>34</v>
      </c>
      <c r="G2681" t="s">
        <v>90</v>
      </c>
      <c r="H2681" t="s">
        <v>188</v>
      </c>
      <c r="I2681" t="s">
        <v>561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117</v>
      </c>
      <c r="D2682" t="s">
        <v>408</v>
      </c>
      <c r="E2682" t="s">
        <v>179</v>
      </c>
      <c r="F2682">
        <v>34</v>
      </c>
      <c r="G2682" t="s">
        <v>90</v>
      </c>
      <c r="H2682" t="s">
        <v>188</v>
      </c>
      <c r="I2682" t="s">
        <v>562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117</v>
      </c>
      <c r="D2683" t="s">
        <v>408</v>
      </c>
      <c r="E2683" t="s">
        <v>179</v>
      </c>
      <c r="F2683">
        <v>34</v>
      </c>
      <c r="G2683" t="s">
        <v>90</v>
      </c>
      <c r="H2683" t="s">
        <v>188</v>
      </c>
      <c r="I2683" t="s">
        <v>563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117</v>
      </c>
      <c r="D2684" t="s">
        <v>408</v>
      </c>
      <c r="E2684" t="s">
        <v>179</v>
      </c>
      <c r="F2684">
        <v>34</v>
      </c>
      <c r="G2684" t="s">
        <v>90</v>
      </c>
      <c r="H2684" t="s">
        <v>188</v>
      </c>
      <c r="I2684" t="s">
        <v>564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117</v>
      </c>
      <c r="D2685" t="s">
        <v>408</v>
      </c>
      <c r="E2685" t="s">
        <v>179</v>
      </c>
      <c r="F2685">
        <v>34</v>
      </c>
      <c r="G2685" t="s">
        <v>90</v>
      </c>
      <c r="H2685" t="s">
        <v>188</v>
      </c>
      <c r="I2685" t="s">
        <v>565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117</v>
      </c>
      <c r="D2686" t="s">
        <v>408</v>
      </c>
      <c r="E2686" t="s">
        <v>179</v>
      </c>
      <c r="F2686">
        <v>34</v>
      </c>
      <c r="G2686" t="s">
        <v>90</v>
      </c>
      <c r="H2686" t="s">
        <v>188</v>
      </c>
      <c r="I2686" t="s">
        <v>566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117</v>
      </c>
      <c r="D2687" t="s">
        <v>408</v>
      </c>
      <c r="E2687" t="s">
        <v>179</v>
      </c>
      <c r="F2687">
        <v>34</v>
      </c>
      <c r="G2687" t="s">
        <v>90</v>
      </c>
      <c r="H2687" t="s">
        <v>188</v>
      </c>
      <c r="I2687" t="s">
        <v>567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117</v>
      </c>
      <c r="D2688" t="s">
        <v>408</v>
      </c>
      <c r="E2688" t="s">
        <v>179</v>
      </c>
      <c r="F2688">
        <v>34</v>
      </c>
      <c r="G2688" t="s">
        <v>90</v>
      </c>
      <c r="H2688" t="s">
        <v>188</v>
      </c>
      <c r="I2688" t="s">
        <v>568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117</v>
      </c>
      <c r="D2689" t="s">
        <v>408</v>
      </c>
      <c r="E2689" t="s">
        <v>179</v>
      </c>
      <c r="F2689">
        <v>34</v>
      </c>
      <c r="G2689" t="s">
        <v>90</v>
      </c>
      <c r="H2689" t="s">
        <v>188</v>
      </c>
      <c r="I2689" t="s">
        <v>569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117</v>
      </c>
      <c r="D2690" t="s">
        <v>408</v>
      </c>
      <c r="E2690" t="s">
        <v>179</v>
      </c>
      <c r="F2690">
        <v>34</v>
      </c>
      <c r="G2690" t="s">
        <v>90</v>
      </c>
      <c r="H2690" t="s">
        <v>188</v>
      </c>
      <c r="I2690" t="s">
        <v>570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117</v>
      </c>
      <c r="D2691" t="s">
        <v>408</v>
      </c>
      <c r="E2691" t="s">
        <v>179</v>
      </c>
      <c r="F2691">
        <v>34</v>
      </c>
      <c r="G2691" t="s">
        <v>90</v>
      </c>
      <c r="H2691" t="s">
        <v>188</v>
      </c>
      <c r="I2691" t="s">
        <v>571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117</v>
      </c>
      <c r="D2692" t="s">
        <v>408</v>
      </c>
      <c r="E2692" t="s">
        <v>179</v>
      </c>
      <c r="F2692">
        <v>34</v>
      </c>
      <c r="G2692" t="s">
        <v>90</v>
      </c>
      <c r="H2692" t="s">
        <v>188</v>
      </c>
      <c r="I2692" t="s">
        <v>572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117</v>
      </c>
      <c r="D2693" t="s">
        <v>408</v>
      </c>
      <c r="E2693" t="s">
        <v>179</v>
      </c>
      <c r="F2693">
        <v>34</v>
      </c>
      <c r="G2693" t="s">
        <v>90</v>
      </c>
      <c r="H2693" t="s">
        <v>188</v>
      </c>
      <c r="I2693" t="s">
        <v>573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117</v>
      </c>
      <c r="D2694" t="s">
        <v>408</v>
      </c>
      <c r="E2694" t="s">
        <v>179</v>
      </c>
      <c r="F2694">
        <v>34</v>
      </c>
      <c r="G2694" t="s">
        <v>90</v>
      </c>
      <c r="H2694" t="s">
        <v>188</v>
      </c>
      <c r="I2694" t="s">
        <v>574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117</v>
      </c>
      <c r="D2695" t="s">
        <v>408</v>
      </c>
      <c r="E2695" t="s">
        <v>179</v>
      </c>
      <c r="F2695">
        <v>34</v>
      </c>
      <c r="G2695" t="s">
        <v>90</v>
      </c>
      <c r="H2695" t="s">
        <v>188</v>
      </c>
      <c r="I2695" t="s">
        <v>575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117</v>
      </c>
      <c r="D2696" t="s">
        <v>408</v>
      </c>
      <c r="E2696" t="s">
        <v>179</v>
      </c>
      <c r="F2696">
        <v>34</v>
      </c>
      <c r="G2696" t="s">
        <v>90</v>
      </c>
      <c r="H2696" t="s">
        <v>188</v>
      </c>
      <c r="I2696" t="s">
        <v>576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117</v>
      </c>
      <c r="D2697" t="s">
        <v>408</v>
      </c>
      <c r="E2697" t="s">
        <v>179</v>
      </c>
      <c r="F2697">
        <v>34</v>
      </c>
      <c r="G2697" t="s">
        <v>90</v>
      </c>
      <c r="H2697" t="s">
        <v>188</v>
      </c>
      <c r="I2697" t="s">
        <v>577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117</v>
      </c>
      <c r="D2698" t="s">
        <v>408</v>
      </c>
      <c r="E2698" t="s">
        <v>179</v>
      </c>
      <c r="F2698">
        <v>34</v>
      </c>
      <c r="G2698" t="s">
        <v>90</v>
      </c>
      <c r="H2698" t="s">
        <v>188</v>
      </c>
      <c r="I2698" t="s">
        <v>578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117</v>
      </c>
      <c r="D2699" t="s">
        <v>408</v>
      </c>
      <c r="E2699" t="s">
        <v>179</v>
      </c>
      <c r="F2699">
        <v>34</v>
      </c>
      <c r="G2699" t="s">
        <v>90</v>
      </c>
      <c r="H2699" t="s">
        <v>188</v>
      </c>
      <c r="I2699" t="s">
        <v>579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117</v>
      </c>
      <c r="D2700" t="s">
        <v>408</v>
      </c>
      <c r="E2700" t="s">
        <v>179</v>
      </c>
      <c r="F2700">
        <v>34</v>
      </c>
      <c r="G2700" t="s">
        <v>90</v>
      </c>
      <c r="H2700" t="s">
        <v>188</v>
      </c>
      <c r="I2700" t="s">
        <v>580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117</v>
      </c>
      <c r="D2701" t="s">
        <v>408</v>
      </c>
      <c r="E2701" t="s">
        <v>179</v>
      </c>
      <c r="F2701">
        <v>34</v>
      </c>
      <c r="G2701" t="s">
        <v>90</v>
      </c>
      <c r="H2701" t="s">
        <v>188</v>
      </c>
      <c r="I2701" t="s">
        <v>581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117</v>
      </c>
      <c r="D2702" t="s">
        <v>408</v>
      </c>
      <c r="E2702" t="s">
        <v>179</v>
      </c>
      <c r="F2702">
        <v>34</v>
      </c>
      <c r="G2702" t="s">
        <v>90</v>
      </c>
      <c r="H2702" t="s">
        <v>188</v>
      </c>
      <c r="I2702" t="s">
        <v>582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117</v>
      </c>
      <c r="D2703" t="s">
        <v>408</v>
      </c>
      <c r="E2703" t="s">
        <v>179</v>
      </c>
      <c r="F2703">
        <v>34</v>
      </c>
      <c r="G2703" t="s">
        <v>90</v>
      </c>
      <c r="H2703" t="s">
        <v>188</v>
      </c>
      <c r="I2703" t="s">
        <v>583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117</v>
      </c>
      <c r="D2704" t="s">
        <v>408</v>
      </c>
      <c r="E2704" t="s">
        <v>179</v>
      </c>
      <c r="F2704">
        <v>34</v>
      </c>
      <c r="G2704" t="s">
        <v>90</v>
      </c>
      <c r="H2704" t="s">
        <v>188</v>
      </c>
      <c r="I2704" t="s">
        <v>584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117</v>
      </c>
      <c r="D2705" t="s">
        <v>408</v>
      </c>
      <c r="E2705" t="s">
        <v>179</v>
      </c>
      <c r="F2705">
        <v>34</v>
      </c>
      <c r="G2705" t="s">
        <v>271</v>
      </c>
      <c r="H2705" t="s">
        <v>189</v>
      </c>
      <c r="I2705" t="s">
        <v>557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117</v>
      </c>
      <c r="D2706" t="s">
        <v>408</v>
      </c>
      <c r="E2706" t="s">
        <v>179</v>
      </c>
      <c r="F2706">
        <v>34</v>
      </c>
      <c r="G2706" t="s">
        <v>271</v>
      </c>
      <c r="H2706" t="s">
        <v>186</v>
      </c>
      <c r="I2706" t="s">
        <v>557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117</v>
      </c>
      <c r="D2707" t="s">
        <v>408</v>
      </c>
      <c r="E2707" t="s">
        <v>179</v>
      </c>
      <c r="F2707">
        <v>34</v>
      </c>
      <c r="G2707" t="s">
        <v>271</v>
      </c>
      <c r="H2707" t="s">
        <v>188</v>
      </c>
      <c r="I2707" t="s">
        <v>557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117</v>
      </c>
      <c r="D2708" t="s">
        <v>408</v>
      </c>
      <c r="E2708" t="s">
        <v>179</v>
      </c>
      <c r="F2708">
        <v>34</v>
      </c>
      <c r="G2708" t="s">
        <v>231</v>
      </c>
      <c r="H2708" t="s">
        <v>232</v>
      </c>
      <c r="I2708" t="s">
        <v>557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117</v>
      </c>
      <c r="D2709" t="s">
        <v>408</v>
      </c>
      <c r="E2709" t="s">
        <v>179</v>
      </c>
      <c r="F2709">
        <v>34</v>
      </c>
      <c r="G2709" t="s">
        <v>231</v>
      </c>
      <c r="H2709" t="s">
        <v>232</v>
      </c>
      <c r="I2709" t="s">
        <v>548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117</v>
      </c>
      <c r="D2710" t="s">
        <v>408</v>
      </c>
      <c r="E2710" t="s">
        <v>179</v>
      </c>
      <c r="F2710">
        <v>34</v>
      </c>
      <c r="G2710" t="s">
        <v>231</v>
      </c>
      <c r="H2710" t="s">
        <v>186</v>
      </c>
      <c r="I2710" t="s">
        <v>557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117</v>
      </c>
      <c r="D2711" t="s">
        <v>408</v>
      </c>
      <c r="E2711" t="s">
        <v>179</v>
      </c>
      <c r="F2711">
        <v>34</v>
      </c>
      <c r="G2711" t="s">
        <v>231</v>
      </c>
      <c r="H2711" t="s">
        <v>186</v>
      </c>
      <c r="I2711" t="s">
        <v>548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117</v>
      </c>
      <c r="D2712" t="s">
        <v>408</v>
      </c>
      <c r="E2712" t="s">
        <v>179</v>
      </c>
      <c r="F2712">
        <v>34</v>
      </c>
      <c r="G2712" t="s">
        <v>231</v>
      </c>
      <c r="H2712" t="s">
        <v>187</v>
      </c>
      <c r="I2712" t="s">
        <v>557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117</v>
      </c>
      <c r="D2713" t="s">
        <v>408</v>
      </c>
      <c r="E2713" t="s">
        <v>179</v>
      </c>
      <c r="F2713">
        <v>34</v>
      </c>
      <c r="G2713" t="s">
        <v>231</v>
      </c>
      <c r="H2713" t="s">
        <v>187</v>
      </c>
      <c r="I2713" t="s">
        <v>548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117</v>
      </c>
      <c r="D2714" t="s">
        <v>408</v>
      </c>
      <c r="E2714" t="s">
        <v>179</v>
      </c>
      <c r="F2714">
        <v>34</v>
      </c>
      <c r="G2714" t="s">
        <v>231</v>
      </c>
      <c r="H2714" t="s">
        <v>198</v>
      </c>
      <c r="I2714" t="s">
        <v>557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117</v>
      </c>
      <c r="D2715" t="s">
        <v>408</v>
      </c>
      <c r="E2715" t="s">
        <v>179</v>
      </c>
      <c r="F2715">
        <v>34</v>
      </c>
      <c r="G2715" t="s">
        <v>231</v>
      </c>
      <c r="H2715" t="s">
        <v>198</v>
      </c>
      <c r="I2715" t="s">
        <v>548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117</v>
      </c>
      <c r="D2716" t="s">
        <v>408</v>
      </c>
      <c r="E2716" t="s">
        <v>179</v>
      </c>
      <c r="F2716">
        <v>34</v>
      </c>
      <c r="G2716" t="s">
        <v>231</v>
      </c>
      <c r="H2716" t="s">
        <v>188</v>
      </c>
      <c r="I2716" t="s">
        <v>557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117</v>
      </c>
      <c r="D2717" t="s">
        <v>408</v>
      </c>
      <c r="E2717" t="s">
        <v>179</v>
      </c>
      <c r="F2717">
        <v>34</v>
      </c>
      <c r="G2717" t="s">
        <v>231</v>
      </c>
      <c r="H2717" t="s">
        <v>188</v>
      </c>
      <c r="I2717" t="s">
        <v>548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117</v>
      </c>
      <c r="D2718" t="s">
        <v>408</v>
      </c>
      <c r="E2718" t="s">
        <v>179</v>
      </c>
      <c r="F2718">
        <v>34</v>
      </c>
      <c r="G2718" t="s">
        <v>233</v>
      </c>
      <c r="H2718" t="s">
        <v>234</v>
      </c>
      <c r="I2718" t="s">
        <v>585</v>
      </c>
      <c r="J2718" s="73">
        <v>45690</v>
      </c>
    </row>
    <row r="2719" spans="1:10" x14ac:dyDescent="0.25">
      <c r="A2719" s="1" t="s">
        <v>27</v>
      </c>
      <c r="B2719">
        <v>401752673</v>
      </c>
      <c r="C2719" t="s">
        <v>117</v>
      </c>
      <c r="D2719" t="s">
        <v>408</v>
      </c>
      <c r="E2719" t="s">
        <v>179</v>
      </c>
      <c r="F2719">
        <v>34</v>
      </c>
      <c r="G2719" t="s">
        <v>233</v>
      </c>
      <c r="H2719" t="s">
        <v>236</v>
      </c>
      <c r="I2719" t="s">
        <v>585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117</v>
      </c>
      <c r="D2720" t="s">
        <v>408</v>
      </c>
      <c r="E2720" t="s">
        <v>179</v>
      </c>
      <c r="F2720">
        <v>34</v>
      </c>
      <c r="G2720" t="s">
        <v>233</v>
      </c>
      <c r="H2720" t="s">
        <v>198</v>
      </c>
      <c r="I2720" t="s">
        <v>585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117</v>
      </c>
      <c r="D2721" t="s">
        <v>408</v>
      </c>
      <c r="E2721" t="s">
        <v>179</v>
      </c>
      <c r="F2721">
        <v>34</v>
      </c>
      <c r="G2721" t="s">
        <v>233</v>
      </c>
      <c r="H2721" t="s">
        <v>237</v>
      </c>
      <c r="I2721" t="s">
        <v>585</v>
      </c>
      <c r="J2721" s="73">
        <v>45751</v>
      </c>
    </row>
    <row r="2722" spans="1:10" x14ac:dyDescent="0.25">
      <c r="A2722" s="1" t="s">
        <v>27</v>
      </c>
      <c r="B2722">
        <v>401752673</v>
      </c>
      <c r="C2722" t="s">
        <v>117</v>
      </c>
      <c r="D2722" t="s">
        <v>408</v>
      </c>
      <c r="E2722" t="s">
        <v>179</v>
      </c>
      <c r="F2722">
        <v>34</v>
      </c>
      <c r="G2722" t="s">
        <v>233</v>
      </c>
      <c r="H2722" t="s">
        <v>238</v>
      </c>
      <c r="I2722" t="s">
        <v>585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117</v>
      </c>
      <c r="D2723" t="s">
        <v>408</v>
      </c>
      <c r="E2723" t="s">
        <v>179</v>
      </c>
      <c r="F2723">
        <v>34</v>
      </c>
      <c r="G2723" t="s">
        <v>239</v>
      </c>
      <c r="H2723" t="s">
        <v>232</v>
      </c>
      <c r="I2723" t="s">
        <v>586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117</v>
      </c>
      <c r="D2724" t="s">
        <v>408</v>
      </c>
      <c r="E2724" t="s">
        <v>179</v>
      </c>
      <c r="F2724">
        <v>34</v>
      </c>
      <c r="G2724" t="s">
        <v>239</v>
      </c>
      <c r="H2724" t="s">
        <v>232</v>
      </c>
      <c r="I2724" t="s">
        <v>587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117</v>
      </c>
      <c r="D2725" t="s">
        <v>408</v>
      </c>
      <c r="E2725" t="s">
        <v>179</v>
      </c>
      <c r="F2725">
        <v>34</v>
      </c>
      <c r="G2725" t="s">
        <v>239</v>
      </c>
      <c r="H2725" t="s">
        <v>186</v>
      </c>
      <c r="I2725" t="s">
        <v>586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117</v>
      </c>
      <c r="D2726" t="s">
        <v>408</v>
      </c>
      <c r="E2726" t="s">
        <v>179</v>
      </c>
      <c r="F2726">
        <v>34</v>
      </c>
      <c r="G2726" t="s">
        <v>239</v>
      </c>
      <c r="H2726" t="s">
        <v>186</v>
      </c>
      <c r="I2726" t="s">
        <v>587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117</v>
      </c>
      <c r="D2727" t="s">
        <v>408</v>
      </c>
      <c r="E2727" t="s">
        <v>179</v>
      </c>
      <c r="F2727">
        <v>34</v>
      </c>
      <c r="G2727" t="s">
        <v>239</v>
      </c>
      <c r="H2727" t="s">
        <v>187</v>
      </c>
      <c r="I2727" t="s">
        <v>586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117</v>
      </c>
      <c r="D2728" t="s">
        <v>408</v>
      </c>
      <c r="E2728" t="s">
        <v>179</v>
      </c>
      <c r="F2728">
        <v>34</v>
      </c>
      <c r="G2728" t="s">
        <v>239</v>
      </c>
      <c r="H2728" t="s">
        <v>187</v>
      </c>
      <c r="I2728" t="s">
        <v>587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117</v>
      </c>
      <c r="D2729" t="s">
        <v>408</v>
      </c>
      <c r="E2729" t="s">
        <v>179</v>
      </c>
      <c r="F2729">
        <v>34</v>
      </c>
      <c r="G2729" t="s">
        <v>239</v>
      </c>
      <c r="H2729" t="s">
        <v>241</v>
      </c>
      <c r="I2729" t="s">
        <v>586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117</v>
      </c>
      <c r="D2730" t="s">
        <v>408</v>
      </c>
      <c r="E2730" t="s">
        <v>179</v>
      </c>
      <c r="F2730">
        <v>34</v>
      </c>
      <c r="G2730" t="s">
        <v>239</v>
      </c>
      <c r="H2730" t="s">
        <v>241</v>
      </c>
      <c r="I2730" t="s">
        <v>587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117</v>
      </c>
      <c r="D2731" t="s">
        <v>408</v>
      </c>
      <c r="E2731" t="s">
        <v>179</v>
      </c>
      <c r="F2731">
        <v>34</v>
      </c>
      <c r="G2731" t="s">
        <v>239</v>
      </c>
      <c r="H2731" t="s">
        <v>242</v>
      </c>
      <c r="I2731" t="s">
        <v>586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117</v>
      </c>
      <c r="D2732" t="s">
        <v>408</v>
      </c>
      <c r="E2732" t="s">
        <v>179</v>
      </c>
      <c r="F2732">
        <v>34</v>
      </c>
      <c r="G2732" t="s">
        <v>239</v>
      </c>
      <c r="H2732" t="s">
        <v>242</v>
      </c>
      <c r="I2732" t="s">
        <v>587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117</v>
      </c>
      <c r="D2733" t="s">
        <v>408</v>
      </c>
      <c r="E2733" t="s">
        <v>179</v>
      </c>
      <c r="F2733">
        <v>34</v>
      </c>
      <c r="G2733" t="s">
        <v>239</v>
      </c>
      <c r="H2733" t="s">
        <v>198</v>
      </c>
      <c r="I2733" t="s">
        <v>586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117</v>
      </c>
      <c r="D2734" t="s">
        <v>408</v>
      </c>
      <c r="E2734" t="s">
        <v>179</v>
      </c>
      <c r="F2734">
        <v>34</v>
      </c>
      <c r="G2734" t="s">
        <v>239</v>
      </c>
      <c r="H2734" t="s">
        <v>198</v>
      </c>
      <c r="I2734" t="s">
        <v>587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127</v>
      </c>
      <c r="D2735" t="s">
        <v>243</v>
      </c>
      <c r="E2735" t="s">
        <v>89</v>
      </c>
      <c r="F2735">
        <v>46</v>
      </c>
      <c r="G2735" t="s">
        <v>180</v>
      </c>
      <c r="H2735" t="s">
        <v>181</v>
      </c>
      <c r="I2735" t="s">
        <v>147</v>
      </c>
      <c r="J2735" t="s">
        <v>588</v>
      </c>
    </row>
    <row r="2736" spans="1:10" x14ac:dyDescent="0.25">
      <c r="A2736" s="1" t="s">
        <v>27</v>
      </c>
      <c r="B2736">
        <v>401752807</v>
      </c>
      <c r="C2736" t="s">
        <v>127</v>
      </c>
      <c r="D2736" t="s">
        <v>243</v>
      </c>
      <c r="E2736" t="s">
        <v>89</v>
      </c>
      <c r="F2736">
        <v>46</v>
      </c>
      <c r="G2736" t="s">
        <v>180</v>
      </c>
      <c r="H2736" t="s">
        <v>181</v>
      </c>
      <c r="I2736" t="s">
        <v>589</v>
      </c>
      <c r="J2736" s="73">
        <v>45847</v>
      </c>
    </row>
    <row r="2737" spans="1:10" x14ac:dyDescent="0.25">
      <c r="A2737" s="1" t="s">
        <v>27</v>
      </c>
      <c r="B2737">
        <v>401752807</v>
      </c>
      <c r="C2737" t="s">
        <v>127</v>
      </c>
      <c r="D2737" t="s">
        <v>243</v>
      </c>
      <c r="E2737" t="s">
        <v>89</v>
      </c>
      <c r="F2737">
        <v>46</v>
      </c>
      <c r="G2737" t="s">
        <v>180</v>
      </c>
      <c r="H2737" t="s">
        <v>186</v>
      </c>
      <c r="I2737" t="s">
        <v>147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127</v>
      </c>
      <c r="D2738" t="s">
        <v>243</v>
      </c>
      <c r="E2738" t="s">
        <v>89</v>
      </c>
      <c r="F2738">
        <v>46</v>
      </c>
      <c r="G2738" t="s">
        <v>180</v>
      </c>
      <c r="H2738" t="s">
        <v>186</v>
      </c>
      <c r="I2738" t="s">
        <v>589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127</v>
      </c>
      <c r="D2739" t="s">
        <v>243</v>
      </c>
      <c r="E2739" t="s">
        <v>89</v>
      </c>
      <c r="F2739">
        <v>46</v>
      </c>
      <c r="G2739" t="s">
        <v>180</v>
      </c>
      <c r="H2739" t="s">
        <v>187</v>
      </c>
      <c r="I2739" t="s">
        <v>147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127</v>
      </c>
      <c r="D2740" t="s">
        <v>243</v>
      </c>
      <c r="E2740" t="s">
        <v>89</v>
      </c>
      <c r="F2740">
        <v>46</v>
      </c>
      <c r="G2740" t="s">
        <v>180</v>
      </c>
      <c r="H2740" t="s">
        <v>187</v>
      </c>
      <c r="I2740" t="s">
        <v>589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127</v>
      </c>
      <c r="D2741" t="s">
        <v>243</v>
      </c>
      <c r="E2741" t="s">
        <v>89</v>
      </c>
      <c r="F2741">
        <v>46</v>
      </c>
      <c r="G2741" t="s">
        <v>180</v>
      </c>
      <c r="H2741" t="s">
        <v>188</v>
      </c>
      <c r="I2741" t="s">
        <v>147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127</v>
      </c>
      <c r="D2742" t="s">
        <v>243</v>
      </c>
      <c r="E2742" t="s">
        <v>89</v>
      </c>
      <c r="F2742">
        <v>46</v>
      </c>
      <c r="G2742" t="s">
        <v>180</v>
      </c>
      <c r="H2742" t="s">
        <v>188</v>
      </c>
      <c r="I2742" t="s">
        <v>589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127</v>
      </c>
      <c r="D2743" t="s">
        <v>243</v>
      </c>
      <c r="E2743" t="s">
        <v>89</v>
      </c>
      <c r="F2743">
        <v>46</v>
      </c>
      <c r="G2743" t="s">
        <v>180</v>
      </c>
      <c r="H2743" t="s">
        <v>189</v>
      </c>
      <c r="I2743" t="s">
        <v>147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127</v>
      </c>
      <c r="D2744" t="s">
        <v>243</v>
      </c>
      <c r="E2744" t="s">
        <v>89</v>
      </c>
      <c r="F2744">
        <v>46</v>
      </c>
      <c r="G2744" t="s">
        <v>180</v>
      </c>
      <c r="H2744" t="s">
        <v>189</v>
      </c>
      <c r="I2744" t="s">
        <v>589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127</v>
      </c>
      <c r="D2745" t="s">
        <v>243</v>
      </c>
      <c r="E2745" t="s">
        <v>89</v>
      </c>
      <c r="F2745">
        <v>46</v>
      </c>
      <c r="G2745" t="s">
        <v>180</v>
      </c>
      <c r="H2745" t="s">
        <v>190</v>
      </c>
      <c r="I2745" t="s">
        <v>147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127</v>
      </c>
      <c r="D2746" t="s">
        <v>243</v>
      </c>
      <c r="E2746" t="s">
        <v>89</v>
      </c>
      <c r="F2746">
        <v>46</v>
      </c>
      <c r="G2746" t="s">
        <v>180</v>
      </c>
      <c r="H2746" t="s">
        <v>190</v>
      </c>
      <c r="I2746" t="s">
        <v>589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127</v>
      </c>
      <c r="D2747" t="s">
        <v>243</v>
      </c>
      <c r="E2747" t="s">
        <v>89</v>
      </c>
      <c r="F2747">
        <v>46</v>
      </c>
      <c r="G2747" t="s">
        <v>192</v>
      </c>
      <c r="H2747" t="s">
        <v>193</v>
      </c>
      <c r="I2747" t="s">
        <v>126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127</v>
      </c>
      <c r="D2748" t="s">
        <v>243</v>
      </c>
      <c r="E2748" t="s">
        <v>89</v>
      </c>
      <c r="F2748">
        <v>46</v>
      </c>
      <c r="G2748" t="s">
        <v>192</v>
      </c>
      <c r="H2748" t="s">
        <v>193</v>
      </c>
      <c r="I2748" t="s">
        <v>147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127</v>
      </c>
      <c r="D2749" t="s">
        <v>243</v>
      </c>
      <c r="E2749" t="s">
        <v>89</v>
      </c>
      <c r="F2749">
        <v>46</v>
      </c>
      <c r="G2749" t="s">
        <v>192</v>
      </c>
      <c r="H2749" t="s">
        <v>193</v>
      </c>
      <c r="I2749" t="s">
        <v>135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127</v>
      </c>
      <c r="D2750" t="s">
        <v>243</v>
      </c>
      <c r="E2750" t="s">
        <v>89</v>
      </c>
      <c r="F2750">
        <v>46</v>
      </c>
      <c r="G2750" t="s">
        <v>192</v>
      </c>
      <c r="H2750" t="s">
        <v>193</v>
      </c>
      <c r="I2750" t="s">
        <v>590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127</v>
      </c>
      <c r="D2751" t="s">
        <v>243</v>
      </c>
      <c r="E2751" t="s">
        <v>89</v>
      </c>
      <c r="F2751">
        <v>46</v>
      </c>
      <c r="G2751" t="s">
        <v>192</v>
      </c>
      <c r="H2751" t="s">
        <v>193</v>
      </c>
      <c r="I2751" t="s">
        <v>148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127</v>
      </c>
      <c r="D2752" t="s">
        <v>243</v>
      </c>
      <c r="E2752" t="s">
        <v>89</v>
      </c>
      <c r="F2752">
        <v>46</v>
      </c>
      <c r="G2752" t="s">
        <v>192</v>
      </c>
      <c r="H2752" t="s">
        <v>193</v>
      </c>
      <c r="I2752" t="s">
        <v>591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127</v>
      </c>
      <c r="D2753" t="s">
        <v>243</v>
      </c>
      <c r="E2753" t="s">
        <v>89</v>
      </c>
      <c r="F2753">
        <v>46</v>
      </c>
      <c r="G2753" t="s">
        <v>192</v>
      </c>
      <c r="H2753" t="s">
        <v>193</v>
      </c>
      <c r="I2753" t="s">
        <v>589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127</v>
      </c>
      <c r="D2754" t="s">
        <v>243</v>
      </c>
      <c r="E2754" t="s">
        <v>89</v>
      </c>
      <c r="F2754">
        <v>46</v>
      </c>
      <c r="G2754" t="s">
        <v>192</v>
      </c>
      <c r="H2754" t="s">
        <v>186</v>
      </c>
      <c r="I2754" t="s">
        <v>126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127</v>
      </c>
      <c r="D2755" t="s">
        <v>243</v>
      </c>
      <c r="E2755" t="s">
        <v>89</v>
      </c>
      <c r="F2755">
        <v>46</v>
      </c>
      <c r="G2755" t="s">
        <v>192</v>
      </c>
      <c r="H2755" t="s">
        <v>186</v>
      </c>
      <c r="I2755" t="s">
        <v>147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127</v>
      </c>
      <c r="D2756" t="s">
        <v>243</v>
      </c>
      <c r="E2756" t="s">
        <v>89</v>
      </c>
      <c r="F2756">
        <v>46</v>
      </c>
      <c r="G2756" t="s">
        <v>192</v>
      </c>
      <c r="H2756" t="s">
        <v>186</v>
      </c>
      <c r="I2756" t="s">
        <v>135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127</v>
      </c>
      <c r="D2757" t="s">
        <v>243</v>
      </c>
      <c r="E2757" t="s">
        <v>89</v>
      </c>
      <c r="F2757">
        <v>46</v>
      </c>
      <c r="G2757" t="s">
        <v>192</v>
      </c>
      <c r="H2757" t="s">
        <v>186</v>
      </c>
      <c r="I2757" t="s">
        <v>590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127</v>
      </c>
      <c r="D2758" t="s">
        <v>243</v>
      </c>
      <c r="E2758" t="s">
        <v>89</v>
      </c>
      <c r="F2758">
        <v>46</v>
      </c>
      <c r="G2758" t="s">
        <v>192</v>
      </c>
      <c r="H2758" t="s">
        <v>186</v>
      </c>
      <c r="I2758" t="s">
        <v>148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127</v>
      </c>
      <c r="D2759" t="s">
        <v>243</v>
      </c>
      <c r="E2759" t="s">
        <v>89</v>
      </c>
      <c r="F2759">
        <v>46</v>
      </c>
      <c r="G2759" t="s">
        <v>192</v>
      </c>
      <c r="H2759" t="s">
        <v>186</v>
      </c>
      <c r="I2759" t="s">
        <v>591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127</v>
      </c>
      <c r="D2760" t="s">
        <v>243</v>
      </c>
      <c r="E2760" t="s">
        <v>89</v>
      </c>
      <c r="F2760">
        <v>46</v>
      </c>
      <c r="G2760" t="s">
        <v>192</v>
      </c>
      <c r="H2760" t="s">
        <v>186</v>
      </c>
      <c r="I2760" t="s">
        <v>589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127</v>
      </c>
      <c r="D2761" t="s">
        <v>243</v>
      </c>
      <c r="E2761" t="s">
        <v>89</v>
      </c>
      <c r="F2761">
        <v>46</v>
      </c>
      <c r="G2761" t="s">
        <v>192</v>
      </c>
      <c r="H2761" t="s">
        <v>187</v>
      </c>
      <c r="I2761" t="s">
        <v>126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127</v>
      </c>
      <c r="D2762" t="s">
        <v>243</v>
      </c>
      <c r="E2762" t="s">
        <v>89</v>
      </c>
      <c r="F2762">
        <v>46</v>
      </c>
      <c r="G2762" t="s">
        <v>192</v>
      </c>
      <c r="H2762" t="s">
        <v>187</v>
      </c>
      <c r="I2762" t="s">
        <v>147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127</v>
      </c>
      <c r="D2763" t="s">
        <v>243</v>
      </c>
      <c r="E2763" t="s">
        <v>89</v>
      </c>
      <c r="F2763">
        <v>46</v>
      </c>
      <c r="G2763" t="s">
        <v>192</v>
      </c>
      <c r="H2763" t="s">
        <v>187</v>
      </c>
      <c r="I2763" t="s">
        <v>135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127</v>
      </c>
      <c r="D2764" t="s">
        <v>243</v>
      </c>
      <c r="E2764" t="s">
        <v>89</v>
      </c>
      <c r="F2764">
        <v>46</v>
      </c>
      <c r="G2764" t="s">
        <v>192</v>
      </c>
      <c r="H2764" t="s">
        <v>187</v>
      </c>
      <c r="I2764" t="s">
        <v>590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127</v>
      </c>
      <c r="D2765" t="s">
        <v>243</v>
      </c>
      <c r="E2765" t="s">
        <v>89</v>
      </c>
      <c r="F2765">
        <v>46</v>
      </c>
      <c r="G2765" t="s">
        <v>192</v>
      </c>
      <c r="H2765" t="s">
        <v>187</v>
      </c>
      <c r="I2765" t="s">
        <v>148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127</v>
      </c>
      <c r="D2766" t="s">
        <v>243</v>
      </c>
      <c r="E2766" t="s">
        <v>89</v>
      </c>
      <c r="F2766">
        <v>46</v>
      </c>
      <c r="G2766" t="s">
        <v>192</v>
      </c>
      <c r="H2766" t="s">
        <v>187</v>
      </c>
      <c r="I2766" t="s">
        <v>591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127</v>
      </c>
      <c r="D2767" t="s">
        <v>243</v>
      </c>
      <c r="E2767" t="s">
        <v>89</v>
      </c>
      <c r="F2767">
        <v>46</v>
      </c>
      <c r="G2767" t="s">
        <v>192</v>
      </c>
      <c r="H2767" t="s">
        <v>187</v>
      </c>
      <c r="I2767" t="s">
        <v>589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127</v>
      </c>
      <c r="D2768" t="s">
        <v>243</v>
      </c>
      <c r="E2768" t="s">
        <v>89</v>
      </c>
      <c r="F2768">
        <v>46</v>
      </c>
      <c r="G2768" t="s">
        <v>192</v>
      </c>
      <c r="H2768" t="s">
        <v>188</v>
      </c>
      <c r="I2768" t="s">
        <v>126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127</v>
      </c>
      <c r="D2769" t="s">
        <v>243</v>
      </c>
      <c r="E2769" t="s">
        <v>89</v>
      </c>
      <c r="F2769">
        <v>46</v>
      </c>
      <c r="G2769" t="s">
        <v>192</v>
      </c>
      <c r="H2769" t="s">
        <v>188</v>
      </c>
      <c r="I2769" t="s">
        <v>147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127</v>
      </c>
      <c r="D2770" t="s">
        <v>243</v>
      </c>
      <c r="E2770" t="s">
        <v>89</v>
      </c>
      <c r="F2770">
        <v>46</v>
      </c>
      <c r="G2770" t="s">
        <v>192</v>
      </c>
      <c r="H2770" t="s">
        <v>188</v>
      </c>
      <c r="I2770" t="s">
        <v>135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127</v>
      </c>
      <c r="D2771" t="s">
        <v>243</v>
      </c>
      <c r="E2771" t="s">
        <v>89</v>
      </c>
      <c r="F2771">
        <v>46</v>
      </c>
      <c r="G2771" t="s">
        <v>192</v>
      </c>
      <c r="H2771" t="s">
        <v>188</v>
      </c>
      <c r="I2771" t="s">
        <v>590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127</v>
      </c>
      <c r="D2772" t="s">
        <v>243</v>
      </c>
      <c r="E2772" t="s">
        <v>89</v>
      </c>
      <c r="F2772">
        <v>46</v>
      </c>
      <c r="G2772" t="s">
        <v>192</v>
      </c>
      <c r="H2772" t="s">
        <v>188</v>
      </c>
      <c r="I2772" t="s">
        <v>148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127</v>
      </c>
      <c r="D2773" t="s">
        <v>243</v>
      </c>
      <c r="E2773" t="s">
        <v>89</v>
      </c>
      <c r="F2773">
        <v>46</v>
      </c>
      <c r="G2773" t="s">
        <v>192</v>
      </c>
      <c r="H2773" t="s">
        <v>188</v>
      </c>
      <c r="I2773" t="s">
        <v>591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127</v>
      </c>
      <c r="D2774" t="s">
        <v>243</v>
      </c>
      <c r="E2774" t="s">
        <v>89</v>
      </c>
      <c r="F2774">
        <v>46</v>
      </c>
      <c r="G2774" t="s">
        <v>192</v>
      </c>
      <c r="H2774" t="s">
        <v>188</v>
      </c>
      <c r="I2774" t="s">
        <v>589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127</v>
      </c>
      <c r="D2775" t="s">
        <v>243</v>
      </c>
      <c r="E2775" t="s">
        <v>89</v>
      </c>
      <c r="F2775">
        <v>46</v>
      </c>
      <c r="G2775" t="s">
        <v>192</v>
      </c>
      <c r="H2775" t="s">
        <v>198</v>
      </c>
      <c r="I2775" t="s">
        <v>126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127</v>
      </c>
      <c r="D2776" t="s">
        <v>243</v>
      </c>
      <c r="E2776" t="s">
        <v>89</v>
      </c>
      <c r="F2776">
        <v>46</v>
      </c>
      <c r="G2776" t="s">
        <v>192</v>
      </c>
      <c r="H2776" t="s">
        <v>198</v>
      </c>
      <c r="I2776" t="s">
        <v>147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127</v>
      </c>
      <c r="D2777" t="s">
        <v>243</v>
      </c>
      <c r="E2777" t="s">
        <v>89</v>
      </c>
      <c r="F2777">
        <v>46</v>
      </c>
      <c r="G2777" t="s">
        <v>192</v>
      </c>
      <c r="H2777" t="s">
        <v>198</v>
      </c>
      <c r="I2777" t="s">
        <v>135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127</v>
      </c>
      <c r="D2778" t="s">
        <v>243</v>
      </c>
      <c r="E2778" t="s">
        <v>89</v>
      </c>
      <c r="F2778">
        <v>46</v>
      </c>
      <c r="G2778" t="s">
        <v>192</v>
      </c>
      <c r="H2778" t="s">
        <v>198</v>
      </c>
      <c r="I2778" t="s">
        <v>590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127</v>
      </c>
      <c r="D2779" t="s">
        <v>243</v>
      </c>
      <c r="E2779" t="s">
        <v>89</v>
      </c>
      <c r="F2779">
        <v>46</v>
      </c>
      <c r="G2779" t="s">
        <v>192</v>
      </c>
      <c r="H2779" t="s">
        <v>198</v>
      </c>
      <c r="I2779" t="s">
        <v>148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127</v>
      </c>
      <c r="D2780" t="s">
        <v>243</v>
      </c>
      <c r="E2780" t="s">
        <v>89</v>
      </c>
      <c r="F2780">
        <v>46</v>
      </c>
      <c r="G2780" t="s">
        <v>192</v>
      </c>
      <c r="H2780" t="s">
        <v>198</v>
      </c>
      <c r="I2780" t="s">
        <v>591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127</v>
      </c>
      <c r="D2781" t="s">
        <v>243</v>
      </c>
      <c r="E2781" t="s">
        <v>89</v>
      </c>
      <c r="F2781">
        <v>46</v>
      </c>
      <c r="G2781" t="s">
        <v>192</v>
      </c>
      <c r="H2781" t="s">
        <v>198</v>
      </c>
      <c r="I2781" t="s">
        <v>589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127</v>
      </c>
      <c r="D2782" t="s">
        <v>243</v>
      </c>
      <c r="E2782" t="s">
        <v>89</v>
      </c>
      <c r="F2782">
        <v>46</v>
      </c>
      <c r="G2782" t="s">
        <v>199</v>
      </c>
      <c r="H2782" t="s">
        <v>0</v>
      </c>
      <c r="I2782" t="s">
        <v>592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127</v>
      </c>
      <c r="D2783" t="s">
        <v>243</v>
      </c>
      <c r="E2783" t="s">
        <v>89</v>
      </c>
      <c r="F2783">
        <v>46</v>
      </c>
      <c r="G2783" t="s">
        <v>199</v>
      </c>
      <c r="H2783" t="s">
        <v>0</v>
      </c>
      <c r="I2783" t="s">
        <v>148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127</v>
      </c>
      <c r="D2784" t="s">
        <v>243</v>
      </c>
      <c r="E2784" t="s">
        <v>89</v>
      </c>
      <c r="F2784">
        <v>46</v>
      </c>
      <c r="G2784" t="s">
        <v>199</v>
      </c>
      <c r="H2784" t="s">
        <v>0</v>
      </c>
      <c r="I2784" t="s">
        <v>135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127</v>
      </c>
      <c r="D2785" t="s">
        <v>243</v>
      </c>
      <c r="E2785" t="s">
        <v>89</v>
      </c>
      <c r="F2785">
        <v>46</v>
      </c>
      <c r="G2785" t="s">
        <v>199</v>
      </c>
      <c r="H2785" t="s">
        <v>0</v>
      </c>
      <c r="I2785" t="s">
        <v>593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127</v>
      </c>
      <c r="D2786" t="s">
        <v>243</v>
      </c>
      <c r="E2786" t="s">
        <v>89</v>
      </c>
      <c r="F2786">
        <v>46</v>
      </c>
      <c r="G2786" t="s">
        <v>199</v>
      </c>
      <c r="H2786" t="s">
        <v>0</v>
      </c>
      <c r="I2786" t="s">
        <v>594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127</v>
      </c>
      <c r="D2787" t="s">
        <v>243</v>
      </c>
      <c r="E2787" t="s">
        <v>89</v>
      </c>
      <c r="F2787">
        <v>46</v>
      </c>
      <c r="G2787" t="s">
        <v>199</v>
      </c>
      <c r="H2787" t="s">
        <v>0</v>
      </c>
      <c r="I2787" t="s">
        <v>595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127</v>
      </c>
      <c r="D2788" t="s">
        <v>243</v>
      </c>
      <c r="E2788" t="s">
        <v>89</v>
      </c>
      <c r="F2788">
        <v>46</v>
      </c>
      <c r="G2788" t="s">
        <v>199</v>
      </c>
      <c r="H2788" t="s">
        <v>0</v>
      </c>
      <c r="I2788" t="s">
        <v>590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127</v>
      </c>
      <c r="D2789" t="s">
        <v>243</v>
      </c>
      <c r="E2789" t="s">
        <v>89</v>
      </c>
      <c r="F2789">
        <v>46</v>
      </c>
      <c r="G2789" t="s">
        <v>199</v>
      </c>
      <c r="H2789" t="s">
        <v>0</v>
      </c>
      <c r="I2789" t="s">
        <v>596</v>
      </c>
      <c r="J2789">
        <v>2</v>
      </c>
    </row>
    <row r="2790" spans="1:10" x14ac:dyDescent="0.25">
      <c r="A2790" s="1" t="s">
        <v>27</v>
      </c>
      <c r="B2790">
        <v>401752807</v>
      </c>
      <c r="C2790" t="s">
        <v>127</v>
      </c>
      <c r="D2790" t="s">
        <v>243</v>
      </c>
      <c r="E2790" t="s">
        <v>89</v>
      </c>
      <c r="F2790">
        <v>46</v>
      </c>
      <c r="G2790" t="s">
        <v>199</v>
      </c>
      <c r="H2790" t="s">
        <v>0</v>
      </c>
      <c r="I2790" t="s">
        <v>169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127</v>
      </c>
      <c r="D2791" t="s">
        <v>243</v>
      </c>
      <c r="E2791" t="s">
        <v>89</v>
      </c>
      <c r="F2791">
        <v>46</v>
      </c>
      <c r="G2791" t="s">
        <v>199</v>
      </c>
      <c r="H2791" t="s">
        <v>0</v>
      </c>
      <c r="I2791" t="s">
        <v>126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127</v>
      </c>
      <c r="D2792" t="s">
        <v>243</v>
      </c>
      <c r="E2792" t="s">
        <v>89</v>
      </c>
      <c r="F2792">
        <v>46</v>
      </c>
      <c r="G2792" t="s">
        <v>199</v>
      </c>
      <c r="H2792" t="s">
        <v>186</v>
      </c>
      <c r="I2792" t="s">
        <v>592</v>
      </c>
      <c r="J2792">
        <v>89</v>
      </c>
    </row>
    <row r="2793" spans="1:10" x14ac:dyDescent="0.25">
      <c r="A2793" s="1" t="s">
        <v>27</v>
      </c>
      <c r="B2793">
        <v>401752807</v>
      </c>
      <c r="C2793" t="s">
        <v>127</v>
      </c>
      <c r="D2793" t="s">
        <v>243</v>
      </c>
      <c r="E2793" t="s">
        <v>89</v>
      </c>
      <c r="F2793">
        <v>46</v>
      </c>
      <c r="G2793" t="s">
        <v>199</v>
      </c>
      <c r="H2793" t="s">
        <v>186</v>
      </c>
      <c r="I2793" t="s">
        <v>148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127</v>
      </c>
      <c r="D2794" t="s">
        <v>243</v>
      </c>
      <c r="E2794" t="s">
        <v>89</v>
      </c>
      <c r="F2794">
        <v>46</v>
      </c>
      <c r="G2794" t="s">
        <v>199</v>
      </c>
      <c r="H2794" t="s">
        <v>186</v>
      </c>
      <c r="I2794" t="s">
        <v>135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127</v>
      </c>
      <c r="D2795" t="s">
        <v>243</v>
      </c>
      <c r="E2795" t="s">
        <v>89</v>
      </c>
      <c r="F2795">
        <v>46</v>
      </c>
      <c r="G2795" t="s">
        <v>199</v>
      </c>
      <c r="H2795" t="s">
        <v>186</v>
      </c>
      <c r="I2795" t="s">
        <v>593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127</v>
      </c>
      <c r="D2796" t="s">
        <v>243</v>
      </c>
      <c r="E2796" t="s">
        <v>89</v>
      </c>
      <c r="F2796">
        <v>46</v>
      </c>
      <c r="G2796" t="s">
        <v>199</v>
      </c>
      <c r="H2796" t="s">
        <v>186</v>
      </c>
      <c r="I2796" t="s">
        <v>594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127</v>
      </c>
      <c r="D2797" t="s">
        <v>243</v>
      </c>
      <c r="E2797" t="s">
        <v>89</v>
      </c>
      <c r="F2797">
        <v>46</v>
      </c>
      <c r="G2797" t="s">
        <v>199</v>
      </c>
      <c r="H2797" t="s">
        <v>186</v>
      </c>
      <c r="I2797" t="s">
        <v>595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127</v>
      </c>
      <c r="D2798" t="s">
        <v>243</v>
      </c>
      <c r="E2798" t="s">
        <v>89</v>
      </c>
      <c r="F2798">
        <v>46</v>
      </c>
      <c r="G2798" t="s">
        <v>199</v>
      </c>
      <c r="H2798" t="s">
        <v>186</v>
      </c>
      <c r="I2798" t="s">
        <v>590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127</v>
      </c>
      <c r="D2799" t="s">
        <v>243</v>
      </c>
      <c r="E2799" t="s">
        <v>89</v>
      </c>
      <c r="F2799">
        <v>46</v>
      </c>
      <c r="G2799" t="s">
        <v>199</v>
      </c>
      <c r="H2799" t="s">
        <v>186</v>
      </c>
      <c r="I2799" t="s">
        <v>596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127</v>
      </c>
      <c r="D2800" t="s">
        <v>243</v>
      </c>
      <c r="E2800" t="s">
        <v>89</v>
      </c>
      <c r="F2800">
        <v>46</v>
      </c>
      <c r="G2800" t="s">
        <v>199</v>
      </c>
      <c r="H2800" t="s">
        <v>186</v>
      </c>
      <c r="I2800" t="s">
        <v>169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127</v>
      </c>
      <c r="D2801" t="s">
        <v>243</v>
      </c>
      <c r="E2801" t="s">
        <v>89</v>
      </c>
      <c r="F2801">
        <v>46</v>
      </c>
      <c r="G2801" t="s">
        <v>199</v>
      </c>
      <c r="H2801" t="s">
        <v>186</v>
      </c>
      <c r="I2801" t="s">
        <v>126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127</v>
      </c>
      <c r="D2802" t="s">
        <v>243</v>
      </c>
      <c r="E2802" t="s">
        <v>89</v>
      </c>
      <c r="F2802">
        <v>46</v>
      </c>
      <c r="G2802" t="s">
        <v>199</v>
      </c>
      <c r="H2802" t="s">
        <v>187</v>
      </c>
      <c r="I2802" t="s">
        <v>592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127</v>
      </c>
      <c r="D2803" t="s">
        <v>243</v>
      </c>
      <c r="E2803" t="s">
        <v>89</v>
      </c>
      <c r="F2803">
        <v>46</v>
      </c>
      <c r="G2803" t="s">
        <v>199</v>
      </c>
      <c r="H2803" t="s">
        <v>187</v>
      </c>
      <c r="I2803" t="s">
        <v>148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127</v>
      </c>
      <c r="D2804" t="s">
        <v>243</v>
      </c>
      <c r="E2804" t="s">
        <v>89</v>
      </c>
      <c r="F2804">
        <v>46</v>
      </c>
      <c r="G2804" t="s">
        <v>199</v>
      </c>
      <c r="H2804" t="s">
        <v>187</v>
      </c>
      <c r="I2804" t="s">
        <v>135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127</v>
      </c>
      <c r="D2805" t="s">
        <v>243</v>
      </c>
      <c r="E2805" t="s">
        <v>89</v>
      </c>
      <c r="F2805">
        <v>46</v>
      </c>
      <c r="G2805" t="s">
        <v>199</v>
      </c>
      <c r="H2805" t="s">
        <v>187</v>
      </c>
      <c r="I2805" t="s">
        <v>593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127</v>
      </c>
      <c r="D2806" t="s">
        <v>243</v>
      </c>
      <c r="E2806" t="s">
        <v>89</v>
      </c>
      <c r="F2806">
        <v>46</v>
      </c>
      <c r="G2806" t="s">
        <v>199</v>
      </c>
      <c r="H2806" t="s">
        <v>187</v>
      </c>
      <c r="I2806" t="s">
        <v>594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127</v>
      </c>
      <c r="D2807" t="s">
        <v>243</v>
      </c>
      <c r="E2807" t="s">
        <v>89</v>
      </c>
      <c r="F2807">
        <v>46</v>
      </c>
      <c r="G2807" t="s">
        <v>199</v>
      </c>
      <c r="H2807" t="s">
        <v>187</v>
      </c>
      <c r="I2807" t="s">
        <v>595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127</v>
      </c>
      <c r="D2808" t="s">
        <v>243</v>
      </c>
      <c r="E2808" t="s">
        <v>89</v>
      </c>
      <c r="F2808">
        <v>46</v>
      </c>
      <c r="G2808" t="s">
        <v>199</v>
      </c>
      <c r="H2808" t="s">
        <v>187</v>
      </c>
      <c r="I2808" t="s">
        <v>590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127</v>
      </c>
      <c r="D2809" t="s">
        <v>243</v>
      </c>
      <c r="E2809" t="s">
        <v>89</v>
      </c>
      <c r="F2809">
        <v>46</v>
      </c>
      <c r="G2809" t="s">
        <v>199</v>
      </c>
      <c r="H2809" t="s">
        <v>187</v>
      </c>
      <c r="I2809" t="s">
        <v>596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127</v>
      </c>
      <c r="D2810" t="s">
        <v>243</v>
      </c>
      <c r="E2810" t="s">
        <v>89</v>
      </c>
      <c r="F2810">
        <v>46</v>
      </c>
      <c r="G2810" t="s">
        <v>199</v>
      </c>
      <c r="H2810" t="s">
        <v>187</v>
      </c>
      <c r="I2810" t="s">
        <v>169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127</v>
      </c>
      <c r="D2811" t="s">
        <v>243</v>
      </c>
      <c r="E2811" t="s">
        <v>89</v>
      </c>
      <c r="F2811">
        <v>46</v>
      </c>
      <c r="G2811" t="s">
        <v>199</v>
      </c>
      <c r="H2811" t="s">
        <v>187</v>
      </c>
      <c r="I2811" t="s">
        <v>126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127</v>
      </c>
      <c r="D2812" t="s">
        <v>243</v>
      </c>
      <c r="E2812" t="s">
        <v>89</v>
      </c>
      <c r="F2812">
        <v>46</v>
      </c>
      <c r="G2812" t="s">
        <v>199</v>
      </c>
      <c r="H2812" t="s">
        <v>188</v>
      </c>
      <c r="I2812" t="s">
        <v>592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127</v>
      </c>
      <c r="D2813" t="s">
        <v>243</v>
      </c>
      <c r="E2813" t="s">
        <v>89</v>
      </c>
      <c r="F2813">
        <v>46</v>
      </c>
      <c r="G2813" t="s">
        <v>199</v>
      </c>
      <c r="H2813" t="s">
        <v>188</v>
      </c>
      <c r="I2813" t="s">
        <v>148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127</v>
      </c>
      <c r="D2814" t="s">
        <v>243</v>
      </c>
      <c r="E2814" t="s">
        <v>89</v>
      </c>
      <c r="F2814">
        <v>46</v>
      </c>
      <c r="G2814" t="s">
        <v>199</v>
      </c>
      <c r="H2814" t="s">
        <v>188</v>
      </c>
      <c r="I2814" t="s">
        <v>135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127</v>
      </c>
      <c r="D2815" t="s">
        <v>243</v>
      </c>
      <c r="E2815" t="s">
        <v>89</v>
      </c>
      <c r="F2815">
        <v>46</v>
      </c>
      <c r="G2815" t="s">
        <v>199</v>
      </c>
      <c r="H2815" t="s">
        <v>188</v>
      </c>
      <c r="I2815" t="s">
        <v>593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127</v>
      </c>
      <c r="D2816" t="s">
        <v>243</v>
      </c>
      <c r="E2816" t="s">
        <v>89</v>
      </c>
      <c r="F2816">
        <v>46</v>
      </c>
      <c r="G2816" t="s">
        <v>199</v>
      </c>
      <c r="H2816" t="s">
        <v>188</v>
      </c>
      <c r="I2816" t="s">
        <v>594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127</v>
      </c>
      <c r="D2817" t="s">
        <v>243</v>
      </c>
      <c r="E2817" t="s">
        <v>89</v>
      </c>
      <c r="F2817">
        <v>46</v>
      </c>
      <c r="G2817" t="s">
        <v>199</v>
      </c>
      <c r="H2817" t="s">
        <v>188</v>
      </c>
      <c r="I2817" t="s">
        <v>595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127</v>
      </c>
      <c r="D2818" t="s">
        <v>243</v>
      </c>
      <c r="E2818" t="s">
        <v>89</v>
      </c>
      <c r="F2818">
        <v>46</v>
      </c>
      <c r="G2818" t="s">
        <v>199</v>
      </c>
      <c r="H2818" t="s">
        <v>188</v>
      </c>
      <c r="I2818" t="s">
        <v>590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127</v>
      </c>
      <c r="D2819" t="s">
        <v>243</v>
      </c>
      <c r="E2819" t="s">
        <v>89</v>
      </c>
      <c r="F2819">
        <v>46</v>
      </c>
      <c r="G2819" t="s">
        <v>199</v>
      </c>
      <c r="H2819" t="s">
        <v>188</v>
      </c>
      <c r="I2819" t="s">
        <v>596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127</v>
      </c>
      <c r="D2820" t="s">
        <v>243</v>
      </c>
      <c r="E2820" t="s">
        <v>89</v>
      </c>
      <c r="F2820">
        <v>46</v>
      </c>
      <c r="G2820" t="s">
        <v>199</v>
      </c>
      <c r="H2820" t="s">
        <v>188</v>
      </c>
      <c r="I2820" t="s">
        <v>169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127</v>
      </c>
      <c r="D2821" t="s">
        <v>243</v>
      </c>
      <c r="E2821" t="s">
        <v>89</v>
      </c>
      <c r="F2821">
        <v>46</v>
      </c>
      <c r="G2821" t="s">
        <v>199</v>
      </c>
      <c r="H2821" t="s">
        <v>188</v>
      </c>
      <c r="I2821" t="s">
        <v>126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127</v>
      </c>
      <c r="D2822" t="s">
        <v>243</v>
      </c>
      <c r="E2822" t="s">
        <v>89</v>
      </c>
      <c r="F2822">
        <v>46</v>
      </c>
      <c r="G2822" t="s">
        <v>199</v>
      </c>
      <c r="H2822" t="s">
        <v>198</v>
      </c>
      <c r="I2822" t="s">
        <v>592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127</v>
      </c>
      <c r="D2823" t="s">
        <v>243</v>
      </c>
      <c r="E2823" t="s">
        <v>89</v>
      </c>
      <c r="F2823">
        <v>46</v>
      </c>
      <c r="G2823" t="s">
        <v>199</v>
      </c>
      <c r="H2823" t="s">
        <v>198</v>
      </c>
      <c r="I2823" t="s">
        <v>148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127</v>
      </c>
      <c r="D2824" t="s">
        <v>243</v>
      </c>
      <c r="E2824" t="s">
        <v>89</v>
      </c>
      <c r="F2824">
        <v>46</v>
      </c>
      <c r="G2824" t="s">
        <v>199</v>
      </c>
      <c r="H2824" t="s">
        <v>198</v>
      </c>
      <c r="I2824" t="s">
        <v>135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127</v>
      </c>
      <c r="D2825" t="s">
        <v>243</v>
      </c>
      <c r="E2825" t="s">
        <v>89</v>
      </c>
      <c r="F2825">
        <v>46</v>
      </c>
      <c r="G2825" t="s">
        <v>199</v>
      </c>
      <c r="H2825" t="s">
        <v>198</v>
      </c>
      <c r="I2825" t="s">
        <v>593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127</v>
      </c>
      <c r="D2826" t="s">
        <v>243</v>
      </c>
      <c r="E2826" t="s">
        <v>89</v>
      </c>
      <c r="F2826">
        <v>46</v>
      </c>
      <c r="G2826" t="s">
        <v>199</v>
      </c>
      <c r="H2826" t="s">
        <v>198</v>
      </c>
      <c r="I2826" t="s">
        <v>594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127</v>
      </c>
      <c r="D2827" t="s">
        <v>243</v>
      </c>
      <c r="E2827" t="s">
        <v>89</v>
      </c>
      <c r="F2827">
        <v>46</v>
      </c>
      <c r="G2827" t="s">
        <v>199</v>
      </c>
      <c r="H2827" t="s">
        <v>198</v>
      </c>
      <c r="I2827" t="s">
        <v>595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127</v>
      </c>
      <c r="D2828" t="s">
        <v>243</v>
      </c>
      <c r="E2828" t="s">
        <v>89</v>
      </c>
      <c r="F2828">
        <v>46</v>
      </c>
      <c r="G2828" t="s">
        <v>199</v>
      </c>
      <c r="H2828" t="s">
        <v>198</v>
      </c>
      <c r="I2828" t="s">
        <v>590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127</v>
      </c>
      <c r="D2829" t="s">
        <v>243</v>
      </c>
      <c r="E2829" t="s">
        <v>89</v>
      </c>
      <c r="F2829">
        <v>46</v>
      </c>
      <c r="G2829" t="s">
        <v>199</v>
      </c>
      <c r="H2829" t="s">
        <v>198</v>
      </c>
      <c r="I2829" t="s">
        <v>596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127</v>
      </c>
      <c r="D2830" t="s">
        <v>243</v>
      </c>
      <c r="E2830" t="s">
        <v>89</v>
      </c>
      <c r="F2830">
        <v>46</v>
      </c>
      <c r="G2830" t="s">
        <v>199</v>
      </c>
      <c r="H2830" t="s">
        <v>198</v>
      </c>
      <c r="I2830" t="s">
        <v>169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127</v>
      </c>
      <c r="D2831" t="s">
        <v>243</v>
      </c>
      <c r="E2831" t="s">
        <v>89</v>
      </c>
      <c r="F2831">
        <v>46</v>
      </c>
      <c r="G2831" t="s">
        <v>199</v>
      </c>
      <c r="H2831" t="s">
        <v>198</v>
      </c>
      <c r="I2831" t="s">
        <v>126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127</v>
      </c>
      <c r="D2832" t="s">
        <v>243</v>
      </c>
      <c r="E2832" t="s">
        <v>89</v>
      </c>
      <c r="F2832">
        <v>46</v>
      </c>
      <c r="G2832" t="s">
        <v>203</v>
      </c>
      <c r="H2832" t="s">
        <v>204</v>
      </c>
      <c r="I2832" t="s">
        <v>147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127</v>
      </c>
      <c r="D2833" t="s">
        <v>243</v>
      </c>
      <c r="E2833" t="s">
        <v>89</v>
      </c>
      <c r="F2833">
        <v>46</v>
      </c>
      <c r="G2833" t="s">
        <v>203</v>
      </c>
      <c r="H2833" t="s">
        <v>204</v>
      </c>
      <c r="I2833" t="s">
        <v>597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127</v>
      </c>
      <c r="D2834" t="s">
        <v>243</v>
      </c>
      <c r="E2834" t="s">
        <v>89</v>
      </c>
      <c r="F2834">
        <v>46</v>
      </c>
      <c r="G2834" t="s">
        <v>203</v>
      </c>
      <c r="H2834" t="s">
        <v>204</v>
      </c>
      <c r="I2834" t="s">
        <v>598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127</v>
      </c>
      <c r="D2835" t="s">
        <v>243</v>
      </c>
      <c r="E2835" t="s">
        <v>89</v>
      </c>
      <c r="F2835">
        <v>46</v>
      </c>
      <c r="G2835" t="s">
        <v>203</v>
      </c>
      <c r="H2835" t="s">
        <v>205</v>
      </c>
      <c r="I2835" t="s">
        <v>147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127</v>
      </c>
      <c r="D2836" t="s">
        <v>243</v>
      </c>
      <c r="E2836" t="s">
        <v>89</v>
      </c>
      <c r="F2836">
        <v>46</v>
      </c>
      <c r="G2836" t="s">
        <v>203</v>
      </c>
      <c r="H2836" t="s">
        <v>205</v>
      </c>
      <c r="I2836" t="s">
        <v>597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127</v>
      </c>
      <c r="D2837" t="s">
        <v>243</v>
      </c>
      <c r="E2837" t="s">
        <v>89</v>
      </c>
      <c r="F2837">
        <v>46</v>
      </c>
      <c r="G2837" t="s">
        <v>203</v>
      </c>
      <c r="H2837" t="s">
        <v>205</v>
      </c>
      <c r="I2837" t="s">
        <v>598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127</v>
      </c>
      <c r="D2838" t="s">
        <v>243</v>
      </c>
      <c r="E2838" t="s">
        <v>89</v>
      </c>
      <c r="F2838">
        <v>46</v>
      </c>
      <c r="G2838" t="s">
        <v>203</v>
      </c>
      <c r="H2838" t="s">
        <v>0</v>
      </c>
      <c r="I2838" t="s">
        <v>147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127</v>
      </c>
      <c r="D2839" t="s">
        <v>243</v>
      </c>
      <c r="E2839" t="s">
        <v>89</v>
      </c>
      <c r="F2839">
        <v>46</v>
      </c>
      <c r="G2839" t="s">
        <v>203</v>
      </c>
      <c r="H2839" t="s">
        <v>0</v>
      </c>
      <c r="I2839" t="s">
        <v>597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127</v>
      </c>
      <c r="D2840" t="s">
        <v>243</v>
      </c>
      <c r="E2840" t="s">
        <v>89</v>
      </c>
      <c r="F2840">
        <v>46</v>
      </c>
      <c r="G2840" t="s">
        <v>203</v>
      </c>
      <c r="H2840" t="s">
        <v>0</v>
      </c>
      <c r="I2840" t="s">
        <v>598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127</v>
      </c>
      <c r="D2841" t="s">
        <v>243</v>
      </c>
      <c r="E2841" t="s">
        <v>89</v>
      </c>
      <c r="F2841">
        <v>46</v>
      </c>
      <c r="G2841" t="s">
        <v>90</v>
      </c>
      <c r="H2841" t="s">
        <v>206</v>
      </c>
      <c r="I2841" t="s">
        <v>599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127</v>
      </c>
      <c r="D2842" t="s">
        <v>243</v>
      </c>
      <c r="E2842" t="s">
        <v>89</v>
      </c>
      <c r="F2842">
        <v>46</v>
      </c>
      <c r="G2842" t="s">
        <v>90</v>
      </c>
      <c r="H2842" t="s">
        <v>206</v>
      </c>
      <c r="I2842" t="s">
        <v>600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127</v>
      </c>
      <c r="D2843" t="s">
        <v>243</v>
      </c>
      <c r="E2843" t="s">
        <v>89</v>
      </c>
      <c r="F2843">
        <v>46</v>
      </c>
      <c r="G2843" t="s">
        <v>90</v>
      </c>
      <c r="H2843" t="s">
        <v>206</v>
      </c>
      <c r="I2843" t="s">
        <v>601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127</v>
      </c>
      <c r="D2844" t="s">
        <v>243</v>
      </c>
      <c r="E2844" t="s">
        <v>89</v>
      </c>
      <c r="F2844">
        <v>46</v>
      </c>
      <c r="G2844" t="s">
        <v>90</v>
      </c>
      <c r="H2844" t="s">
        <v>206</v>
      </c>
      <c r="I2844" t="s">
        <v>597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127</v>
      </c>
      <c r="D2845" t="s">
        <v>243</v>
      </c>
      <c r="E2845" t="s">
        <v>89</v>
      </c>
      <c r="F2845">
        <v>46</v>
      </c>
      <c r="G2845" t="s">
        <v>90</v>
      </c>
      <c r="H2845" t="s">
        <v>206</v>
      </c>
      <c r="I2845" t="s">
        <v>602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127</v>
      </c>
      <c r="D2846" t="s">
        <v>243</v>
      </c>
      <c r="E2846" t="s">
        <v>89</v>
      </c>
      <c r="F2846">
        <v>46</v>
      </c>
      <c r="G2846" t="s">
        <v>90</v>
      </c>
      <c r="H2846" t="s">
        <v>206</v>
      </c>
      <c r="I2846" t="s">
        <v>603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127</v>
      </c>
      <c r="D2847" t="s">
        <v>243</v>
      </c>
      <c r="E2847" t="s">
        <v>89</v>
      </c>
      <c r="F2847">
        <v>46</v>
      </c>
      <c r="G2847" t="s">
        <v>90</v>
      </c>
      <c r="H2847" t="s">
        <v>206</v>
      </c>
      <c r="I2847" t="s">
        <v>604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127</v>
      </c>
      <c r="D2848" t="s">
        <v>243</v>
      </c>
      <c r="E2848" t="s">
        <v>89</v>
      </c>
      <c r="F2848">
        <v>46</v>
      </c>
      <c r="G2848" t="s">
        <v>90</v>
      </c>
      <c r="H2848" t="s">
        <v>206</v>
      </c>
      <c r="I2848" t="s">
        <v>605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127</v>
      </c>
      <c r="D2849" t="s">
        <v>243</v>
      </c>
      <c r="E2849" t="s">
        <v>89</v>
      </c>
      <c r="F2849">
        <v>46</v>
      </c>
      <c r="G2849" t="s">
        <v>90</v>
      </c>
      <c r="H2849" t="s">
        <v>206</v>
      </c>
      <c r="I2849" t="s">
        <v>606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127</v>
      </c>
      <c r="D2850" t="s">
        <v>243</v>
      </c>
      <c r="E2850" t="s">
        <v>89</v>
      </c>
      <c r="F2850">
        <v>46</v>
      </c>
      <c r="G2850" t="s">
        <v>90</v>
      </c>
      <c r="H2850" t="s">
        <v>206</v>
      </c>
      <c r="I2850" t="s">
        <v>607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127</v>
      </c>
      <c r="D2851" t="s">
        <v>243</v>
      </c>
      <c r="E2851" t="s">
        <v>89</v>
      </c>
      <c r="F2851">
        <v>46</v>
      </c>
      <c r="G2851" t="s">
        <v>90</v>
      </c>
      <c r="H2851" t="s">
        <v>206</v>
      </c>
      <c r="I2851" t="s">
        <v>608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127</v>
      </c>
      <c r="D2852" t="s">
        <v>243</v>
      </c>
      <c r="E2852" t="s">
        <v>89</v>
      </c>
      <c r="F2852">
        <v>46</v>
      </c>
      <c r="G2852" t="s">
        <v>90</v>
      </c>
      <c r="H2852" t="s">
        <v>206</v>
      </c>
      <c r="I2852" t="s">
        <v>609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127</v>
      </c>
      <c r="D2853" t="s">
        <v>243</v>
      </c>
      <c r="E2853" t="s">
        <v>89</v>
      </c>
      <c r="F2853">
        <v>46</v>
      </c>
      <c r="G2853" t="s">
        <v>90</v>
      </c>
      <c r="H2853" t="s">
        <v>206</v>
      </c>
      <c r="I2853" t="s">
        <v>610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127</v>
      </c>
      <c r="D2854" t="s">
        <v>243</v>
      </c>
      <c r="E2854" t="s">
        <v>89</v>
      </c>
      <c r="F2854">
        <v>46</v>
      </c>
      <c r="G2854" t="s">
        <v>90</v>
      </c>
      <c r="H2854" t="s">
        <v>206</v>
      </c>
      <c r="I2854" t="s">
        <v>611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127</v>
      </c>
      <c r="D2855" t="s">
        <v>243</v>
      </c>
      <c r="E2855" t="s">
        <v>89</v>
      </c>
      <c r="F2855">
        <v>46</v>
      </c>
      <c r="G2855" t="s">
        <v>90</v>
      </c>
      <c r="H2855" t="s">
        <v>206</v>
      </c>
      <c r="I2855" t="s">
        <v>612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127</v>
      </c>
      <c r="D2856" t="s">
        <v>243</v>
      </c>
      <c r="E2856" t="s">
        <v>89</v>
      </c>
      <c r="F2856">
        <v>46</v>
      </c>
      <c r="G2856" t="s">
        <v>90</v>
      </c>
      <c r="H2856" t="s">
        <v>206</v>
      </c>
      <c r="I2856" t="s">
        <v>598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127</v>
      </c>
      <c r="D2857" t="s">
        <v>243</v>
      </c>
      <c r="E2857" t="s">
        <v>89</v>
      </c>
      <c r="F2857">
        <v>46</v>
      </c>
      <c r="G2857" t="s">
        <v>90</v>
      </c>
      <c r="H2857" t="s">
        <v>206</v>
      </c>
      <c r="I2857" t="s">
        <v>613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127</v>
      </c>
      <c r="D2858" t="s">
        <v>243</v>
      </c>
      <c r="E2858" t="s">
        <v>89</v>
      </c>
      <c r="F2858">
        <v>46</v>
      </c>
      <c r="G2858" t="s">
        <v>90</v>
      </c>
      <c r="H2858" t="s">
        <v>206</v>
      </c>
      <c r="I2858" t="s">
        <v>614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127</v>
      </c>
      <c r="D2859" t="s">
        <v>243</v>
      </c>
      <c r="E2859" t="s">
        <v>89</v>
      </c>
      <c r="F2859">
        <v>46</v>
      </c>
      <c r="G2859" t="s">
        <v>90</v>
      </c>
      <c r="H2859" t="s">
        <v>206</v>
      </c>
      <c r="I2859" t="s">
        <v>615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127</v>
      </c>
      <c r="D2860" t="s">
        <v>243</v>
      </c>
      <c r="E2860" t="s">
        <v>89</v>
      </c>
      <c r="F2860">
        <v>46</v>
      </c>
      <c r="G2860" t="s">
        <v>90</v>
      </c>
      <c r="H2860" t="s">
        <v>206</v>
      </c>
      <c r="I2860" t="s">
        <v>616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127</v>
      </c>
      <c r="D2861" t="s">
        <v>243</v>
      </c>
      <c r="E2861" t="s">
        <v>89</v>
      </c>
      <c r="F2861">
        <v>46</v>
      </c>
      <c r="G2861" t="s">
        <v>90</v>
      </c>
      <c r="H2861" t="s">
        <v>206</v>
      </c>
      <c r="I2861" t="s">
        <v>617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127</v>
      </c>
      <c r="D2862" t="s">
        <v>243</v>
      </c>
      <c r="E2862" t="s">
        <v>89</v>
      </c>
      <c r="F2862">
        <v>46</v>
      </c>
      <c r="G2862" t="s">
        <v>90</v>
      </c>
      <c r="H2862" t="s">
        <v>206</v>
      </c>
      <c r="I2862" t="s">
        <v>618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127</v>
      </c>
      <c r="D2863" t="s">
        <v>243</v>
      </c>
      <c r="E2863" t="s">
        <v>89</v>
      </c>
      <c r="F2863">
        <v>46</v>
      </c>
      <c r="G2863" t="s">
        <v>90</v>
      </c>
      <c r="H2863" t="s">
        <v>206</v>
      </c>
      <c r="I2863" t="s">
        <v>619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127</v>
      </c>
      <c r="D2864" t="s">
        <v>243</v>
      </c>
      <c r="E2864" t="s">
        <v>89</v>
      </c>
      <c r="F2864">
        <v>46</v>
      </c>
      <c r="G2864" t="s">
        <v>90</v>
      </c>
      <c r="H2864" t="s">
        <v>206</v>
      </c>
      <c r="I2864" t="s">
        <v>620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127</v>
      </c>
      <c r="D2865" t="s">
        <v>243</v>
      </c>
      <c r="E2865" t="s">
        <v>89</v>
      </c>
      <c r="F2865">
        <v>46</v>
      </c>
      <c r="G2865" t="s">
        <v>90</v>
      </c>
      <c r="H2865" t="s">
        <v>206</v>
      </c>
      <c r="I2865" t="s">
        <v>621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127</v>
      </c>
      <c r="D2866" t="s">
        <v>243</v>
      </c>
      <c r="E2866" t="s">
        <v>89</v>
      </c>
      <c r="F2866">
        <v>46</v>
      </c>
      <c r="G2866" t="s">
        <v>90</v>
      </c>
      <c r="H2866" t="s">
        <v>206</v>
      </c>
      <c r="I2866" t="s">
        <v>622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127</v>
      </c>
      <c r="D2867" t="s">
        <v>243</v>
      </c>
      <c r="E2867" t="s">
        <v>89</v>
      </c>
      <c r="F2867">
        <v>46</v>
      </c>
      <c r="G2867" t="s">
        <v>90</v>
      </c>
      <c r="H2867" t="s">
        <v>206</v>
      </c>
      <c r="I2867" t="s">
        <v>623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127</v>
      </c>
      <c r="D2868" t="s">
        <v>243</v>
      </c>
      <c r="E2868" t="s">
        <v>89</v>
      </c>
      <c r="F2868">
        <v>46</v>
      </c>
      <c r="G2868" t="s">
        <v>90</v>
      </c>
      <c r="H2868" t="s">
        <v>227</v>
      </c>
      <c r="I2868" t="s">
        <v>599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127</v>
      </c>
      <c r="D2869" t="s">
        <v>243</v>
      </c>
      <c r="E2869" t="s">
        <v>89</v>
      </c>
      <c r="F2869">
        <v>46</v>
      </c>
      <c r="G2869" t="s">
        <v>90</v>
      </c>
      <c r="H2869" t="s">
        <v>227</v>
      </c>
      <c r="I2869" t="s">
        <v>600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127</v>
      </c>
      <c r="D2870" t="s">
        <v>243</v>
      </c>
      <c r="E2870" t="s">
        <v>89</v>
      </c>
      <c r="F2870">
        <v>46</v>
      </c>
      <c r="G2870" t="s">
        <v>90</v>
      </c>
      <c r="H2870" t="s">
        <v>227</v>
      </c>
      <c r="I2870" t="s">
        <v>601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127</v>
      </c>
      <c r="D2871" t="s">
        <v>243</v>
      </c>
      <c r="E2871" t="s">
        <v>89</v>
      </c>
      <c r="F2871">
        <v>46</v>
      </c>
      <c r="G2871" t="s">
        <v>90</v>
      </c>
      <c r="H2871" t="s">
        <v>227</v>
      </c>
      <c r="I2871" t="s">
        <v>597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127</v>
      </c>
      <c r="D2872" t="s">
        <v>243</v>
      </c>
      <c r="E2872" t="s">
        <v>89</v>
      </c>
      <c r="F2872">
        <v>46</v>
      </c>
      <c r="G2872" t="s">
        <v>90</v>
      </c>
      <c r="H2872" t="s">
        <v>227</v>
      </c>
      <c r="I2872" t="s">
        <v>602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127</v>
      </c>
      <c r="D2873" t="s">
        <v>243</v>
      </c>
      <c r="E2873" t="s">
        <v>89</v>
      </c>
      <c r="F2873">
        <v>46</v>
      </c>
      <c r="G2873" t="s">
        <v>90</v>
      </c>
      <c r="H2873" t="s">
        <v>227</v>
      </c>
      <c r="I2873" t="s">
        <v>603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127</v>
      </c>
      <c r="D2874" t="s">
        <v>243</v>
      </c>
      <c r="E2874" t="s">
        <v>89</v>
      </c>
      <c r="F2874">
        <v>46</v>
      </c>
      <c r="G2874" t="s">
        <v>90</v>
      </c>
      <c r="H2874" t="s">
        <v>227</v>
      </c>
      <c r="I2874" t="s">
        <v>604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127</v>
      </c>
      <c r="D2875" t="s">
        <v>243</v>
      </c>
      <c r="E2875" t="s">
        <v>89</v>
      </c>
      <c r="F2875">
        <v>46</v>
      </c>
      <c r="G2875" t="s">
        <v>90</v>
      </c>
      <c r="H2875" t="s">
        <v>227</v>
      </c>
      <c r="I2875" t="s">
        <v>605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127</v>
      </c>
      <c r="D2876" t="s">
        <v>243</v>
      </c>
      <c r="E2876" t="s">
        <v>89</v>
      </c>
      <c r="F2876">
        <v>46</v>
      </c>
      <c r="G2876" t="s">
        <v>90</v>
      </c>
      <c r="H2876" t="s">
        <v>227</v>
      </c>
      <c r="I2876" t="s">
        <v>606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127</v>
      </c>
      <c r="D2877" t="s">
        <v>243</v>
      </c>
      <c r="E2877" t="s">
        <v>89</v>
      </c>
      <c r="F2877">
        <v>46</v>
      </c>
      <c r="G2877" t="s">
        <v>90</v>
      </c>
      <c r="H2877" t="s">
        <v>227</v>
      </c>
      <c r="I2877" t="s">
        <v>607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127</v>
      </c>
      <c r="D2878" t="s">
        <v>243</v>
      </c>
      <c r="E2878" t="s">
        <v>89</v>
      </c>
      <c r="F2878">
        <v>46</v>
      </c>
      <c r="G2878" t="s">
        <v>90</v>
      </c>
      <c r="H2878" t="s">
        <v>227</v>
      </c>
      <c r="I2878" t="s">
        <v>608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127</v>
      </c>
      <c r="D2879" t="s">
        <v>243</v>
      </c>
      <c r="E2879" t="s">
        <v>89</v>
      </c>
      <c r="F2879">
        <v>46</v>
      </c>
      <c r="G2879" t="s">
        <v>90</v>
      </c>
      <c r="H2879" t="s">
        <v>227</v>
      </c>
      <c r="I2879" t="s">
        <v>609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127</v>
      </c>
      <c r="D2880" t="s">
        <v>243</v>
      </c>
      <c r="E2880" t="s">
        <v>89</v>
      </c>
      <c r="F2880">
        <v>46</v>
      </c>
      <c r="G2880" t="s">
        <v>90</v>
      </c>
      <c r="H2880" t="s">
        <v>227</v>
      </c>
      <c r="I2880" t="s">
        <v>610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127</v>
      </c>
      <c r="D2881" t="s">
        <v>243</v>
      </c>
      <c r="E2881" t="s">
        <v>89</v>
      </c>
      <c r="F2881">
        <v>46</v>
      </c>
      <c r="G2881" t="s">
        <v>90</v>
      </c>
      <c r="H2881" t="s">
        <v>227</v>
      </c>
      <c r="I2881" t="s">
        <v>611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127</v>
      </c>
      <c r="D2882" t="s">
        <v>243</v>
      </c>
      <c r="E2882" t="s">
        <v>89</v>
      </c>
      <c r="F2882">
        <v>46</v>
      </c>
      <c r="G2882" t="s">
        <v>90</v>
      </c>
      <c r="H2882" t="s">
        <v>227</v>
      </c>
      <c r="I2882" t="s">
        <v>612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127</v>
      </c>
      <c r="D2883" t="s">
        <v>243</v>
      </c>
      <c r="E2883" t="s">
        <v>89</v>
      </c>
      <c r="F2883">
        <v>46</v>
      </c>
      <c r="G2883" t="s">
        <v>90</v>
      </c>
      <c r="H2883" t="s">
        <v>227</v>
      </c>
      <c r="I2883" t="s">
        <v>598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127</v>
      </c>
      <c r="D2884" t="s">
        <v>243</v>
      </c>
      <c r="E2884" t="s">
        <v>89</v>
      </c>
      <c r="F2884">
        <v>46</v>
      </c>
      <c r="G2884" t="s">
        <v>90</v>
      </c>
      <c r="H2884" t="s">
        <v>227</v>
      </c>
      <c r="I2884" t="s">
        <v>613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127</v>
      </c>
      <c r="D2885" t="s">
        <v>243</v>
      </c>
      <c r="E2885" t="s">
        <v>89</v>
      </c>
      <c r="F2885">
        <v>46</v>
      </c>
      <c r="G2885" t="s">
        <v>90</v>
      </c>
      <c r="H2885" t="s">
        <v>227</v>
      </c>
      <c r="I2885" t="s">
        <v>614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127</v>
      </c>
      <c r="D2886" t="s">
        <v>243</v>
      </c>
      <c r="E2886" t="s">
        <v>89</v>
      </c>
      <c r="F2886">
        <v>46</v>
      </c>
      <c r="G2886" t="s">
        <v>90</v>
      </c>
      <c r="H2886" t="s">
        <v>227</v>
      </c>
      <c r="I2886" t="s">
        <v>615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127</v>
      </c>
      <c r="D2887" t="s">
        <v>243</v>
      </c>
      <c r="E2887" t="s">
        <v>89</v>
      </c>
      <c r="F2887">
        <v>46</v>
      </c>
      <c r="G2887" t="s">
        <v>90</v>
      </c>
      <c r="H2887" t="s">
        <v>227</v>
      </c>
      <c r="I2887" t="s">
        <v>616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127</v>
      </c>
      <c r="D2888" t="s">
        <v>243</v>
      </c>
      <c r="E2888" t="s">
        <v>89</v>
      </c>
      <c r="F2888">
        <v>46</v>
      </c>
      <c r="G2888" t="s">
        <v>90</v>
      </c>
      <c r="H2888" t="s">
        <v>227</v>
      </c>
      <c r="I2888" t="s">
        <v>617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127</v>
      </c>
      <c r="D2889" t="s">
        <v>243</v>
      </c>
      <c r="E2889" t="s">
        <v>89</v>
      </c>
      <c r="F2889">
        <v>46</v>
      </c>
      <c r="G2889" t="s">
        <v>90</v>
      </c>
      <c r="H2889" t="s">
        <v>227</v>
      </c>
      <c r="I2889" t="s">
        <v>618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127</v>
      </c>
      <c r="D2890" t="s">
        <v>243</v>
      </c>
      <c r="E2890" t="s">
        <v>89</v>
      </c>
      <c r="F2890">
        <v>46</v>
      </c>
      <c r="G2890" t="s">
        <v>90</v>
      </c>
      <c r="H2890" t="s">
        <v>227</v>
      </c>
      <c r="I2890" t="s">
        <v>619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127</v>
      </c>
      <c r="D2891" t="s">
        <v>243</v>
      </c>
      <c r="E2891" t="s">
        <v>89</v>
      </c>
      <c r="F2891">
        <v>46</v>
      </c>
      <c r="G2891" t="s">
        <v>90</v>
      </c>
      <c r="H2891" t="s">
        <v>227</v>
      </c>
      <c r="I2891" t="s">
        <v>620</v>
      </c>
      <c r="J2891">
        <v>0</v>
      </c>
    </row>
    <row r="2892" spans="1:10" x14ac:dyDescent="0.25">
      <c r="A2892" s="1" t="s">
        <v>27</v>
      </c>
      <c r="B2892">
        <v>401752807</v>
      </c>
      <c r="C2892" t="s">
        <v>127</v>
      </c>
      <c r="D2892" t="s">
        <v>243</v>
      </c>
      <c r="E2892" t="s">
        <v>89</v>
      </c>
      <c r="F2892">
        <v>46</v>
      </c>
      <c r="G2892" t="s">
        <v>90</v>
      </c>
      <c r="H2892" t="s">
        <v>227</v>
      </c>
      <c r="I2892" t="s">
        <v>621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127</v>
      </c>
      <c r="D2893" t="s">
        <v>243</v>
      </c>
      <c r="E2893" t="s">
        <v>89</v>
      </c>
      <c r="F2893">
        <v>46</v>
      </c>
      <c r="G2893" t="s">
        <v>90</v>
      </c>
      <c r="H2893" t="s">
        <v>227</v>
      </c>
      <c r="I2893" t="s">
        <v>622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127</v>
      </c>
      <c r="D2894" t="s">
        <v>243</v>
      </c>
      <c r="E2894" t="s">
        <v>89</v>
      </c>
      <c r="F2894">
        <v>46</v>
      </c>
      <c r="G2894" t="s">
        <v>90</v>
      </c>
      <c r="H2894" t="s">
        <v>227</v>
      </c>
      <c r="I2894" t="s">
        <v>623</v>
      </c>
      <c r="J2894">
        <v>0</v>
      </c>
    </row>
    <row r="2895" spans="1:10" x14ac:dyDescent="0.25">
      <c r="A2895" s="1" t="s">
        <v>27</v>
      </c>
      <c r="B2895">
        <v>401752807</v>
      </c>
      <c r="C2895" t="s">
        <v>127</v>
      </c>
      <c r="D2895" t="s">
        <v>243</v>
      </c>
      <c r="E2895" t="s">
        <v>89</v>
      </c>
      <c r="F2895">
        <v>46</v>
      </c>
      <c r="G2895" t="s">
        <v>90</v>
      </c>
      <c r="H2895" t="s">
        <v>228</v>
      </c>
      <c r="I2895" t="s">
        <v>599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127</v>
      </c>
      <c r="D2896" t="s">
        <v>243</v>
      </c>
      <c r="E2896" t="s">
        <v>89</v>
      </c>
      <c r="F2896">
        <v>46</v>
      </c>
      <c r="G2896" t="s">
        <v>90</v>
      </c>
      <c r="H2896" t="s">
        <v>228</v>
      </c>
      <c r="I2896" t="s">
        <v>600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127</v>
      </c>
      <c r="D2897" t="s">
        <v>243</v>
      </c>
      <c r="E2897" t="s">
        <v>89</v>
      </c>
      <c r="F2897">
        <v>46</v>
      </c>
      <c r="G2897" t="s">
        <v>90</v>
      </c>
      <c r="H2897" t="s">
        <v>228</v>
      </c>
      <c r="I2897" t="s">
        <v>601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127</v>
      </c>
      <c r="D2898" t="s">
        <v>243</v>
      </c>
      <c r="E2898" t="s">
        <v>89</v>
      </c>
      <c r="F2898">
        <v>46</v>
      </c>
      <c r="G2898" t="s">
        <v>90</v>
      </c>
      <c r="H2898" t="s">
        <v>228</v>
      </c>
      <c r="I2898" t="s">
        <v>597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127</v>
      </c>
      <c r="D2899" t="s">
        <v>243</v>
      </c>
      <c r="E2899" t="s">
        <v>89</v>
      </c>
      <c r="F2899">
        <v>46</v>
      </c>
      <c r="G2899" t="s">
        <v>90</v>
      </c>
      <c r="H2899" t="s">
        <v>228</v>
      </c>
      <c r="I2899" t="s">
        <v>602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127</v>
      </c>
      <c r="D2900" t="s">
        <v>243</v>
      </c>
      <c r="E2900" t="s">
        <v>89</v>
      </c>
      <c r="F2900">
        <v>46</v>
      </c>
      <c r="G2900" t="s">
        <v>90</v>
      </c>
      <c r="H2900" t="s">
        <v>228</v>
      </c>
      <c r="I2900" t="s">
        <v>603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127</v>
      </c>
      <c r="D2901" t="s">
        <v>243</v>
      </c>
      <c r="E2901" t="s">
        <v>89</v>
      </c>
      <c r="F2901">
        <v>46</v>
      </c>
      <c r="G2901" t="s">
        <v>90</v>
      </c>
      <c r="H2901" t="s">
        <v>228</v>
      </c>
      <c r="I2901" t="s">
        <v>604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127</v>
      </c>
      <c r="D2902" t="s">
        <v>243</v>
      </c>
      <c r="E2902" t="s">
        <v>89</v>
      </c>
      <c r="F2902">
        <v>46</v>
      </c>
      <c r="G2902" t="s">
        <v>90</v>
      </c>
      <c r="H2902" t="s">
        <v>228</v>
      </c>
      <c r="I2902" t="s">
        <v>605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127</v>
      </c>
      <c r="D2903" t="s">
        <v>243</v>
      </c>
      <c r="E2903" t="s">
        <v>89</v>
      </c>
      <c r="F2903">
        <v>46</v>
      </c>
      <c r="G2903" t="s">
        <v>90</v>
      </c>
      <c r="H2903" t="s">
        <v>228</v>
      </c>
      <c r="I2903" t="s">
        <v>606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127</v>
      </c>
      <c r="D2904" t="s">
        <v>243</v>
      </c>
      <c r="E2904" t="s">
        <v>89</v>
      </c>
      <c r="F2904">
        <v>46</v>
      </c>
      <c r="G2904" t="s">
        <v>90</v>
      </c>
      <c r="H2904" t="s">
        <v>228</v>
      </c>
      <c r="I2904" t="s">
        <v>607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127</v>
      </c>
      <c r="D2905" t="s">
        <v>243</v>
      </c>
      <c r="E2905" t="s">
        <v>89</v>
      </c>
      <c r="F2905">
        <v>46</v>
      </c>
      <c r="G2905" t="s">
        <v>90</v>
      </c>
      <c r="H2905" t="s">
        <v>228</v>
      </c>
      <c r="I2905" t="s">
        <v>608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127</v>
      </c>
      <c r="D2906" t="s">
        <v>243</v>
      </c>
      <c r="E2906" t="s">
        <v>89</v>
      </c>
      <c r="F2906">
        <v>46</v>
      </c>
      <c r="G2906" t="s">
        <v>90</v>
      </c>
      <c r="H2906" t="s">
        <v>228</v>
      </c>
      <c r="I2906" t="s">
        <v>609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127</v>
      </c>
      <c r="D2907" t="s">
        <v>243</v>
      </c>
      <c r="E2907" t="s">
        <v>89</v>
      </c>
      <c r="F2907">
        <v>46</v>
      </c>
      <c r="G2907" t="s">
        <v>90</v>
      </c>
      <c r="H2907" t="s">
        <v>228</v>
      </c>
      <c r="I2907" t="s">
        <v>610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127</v>
      </c>
      <c r="D2908" t="s">
        <v>243</v>
      </c>
      <c r="E2908" t="s">
        <v>89</v>
      </c>
      <c r="F2908">
        <v>46</v>
      </c>
      <c r="G2908" t="s">
        <v>90</v>
      </c>
      <c r="H2908" t="s">
        <v>228</v>
      </c>
      <c r="I2908" t="s">
        <v>611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127</v>
      </c>
      <c r="D2909" t="s">
        <v>243</v>
      </c>
      <c r="E2909" t="s">
        <v>89</v>
      </c>
      <c r="F2909">
        <v>46</v>
      </c>
      <c r="G2909" t="s">
        <v>90</v>
      </c>
      <c r="H2909" t="s">
        <v>228</v>
      </c>
      <c r="I2909" t="s">
        <v>612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127</v>
      </c>
      <c r="D2910" t="s">
        <v>243</v>
      </c>
      <c r="E2910" t="s">
        <v>89</v>
      </c>
      <c r="F2910">
        <v>46</v>
      </c>
      <c r="G2910" t="s">
        <v>90</v>
      </c>
      <c r="H2910" t="s">
        <v>228</v>
      </c>
      <c r="I2910" t="s">
        <v>598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127</v>
      </c>
      <c r="D2911" t="s">
        <v>243</v>
      </c>
      <c r="E2911" t="s">
        <v>89</v>
      </c>
      <c r="F2911">
        <v>46</v>
      </c>
      <c r="G2911" t="s">
        <v>90</v>
      </c>
      <c r="H2911" t="s">
        <v>228</v>
      </c>
      <c r="I2911" t="s">
        <v>613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127</v>
      </c>
      <c r="D2912" t="s">
        <v>243</v>
      </c>
      <c r="E2912" t="s">
        <v>89</v>
      </c>
      <c r="F2912">
        <v>46</v>
      </c>
      <c r="G2912" t="s">
        <v>90</v>
      </c>
      <c r="H2912" t="s">
        <v>228</v>
      </c>
      <c r="I2912" t="s">
        <v>614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127</v>
      </c>
      <c r="D2913" t="s">
        <v>243</v>
      </c>
      <c r="E2913" t="s">
        <v>89</v>
      </c>
      <c r="F2913">
        <v>46</v>
      </c>
      <c r="G2913" t="s">
        <v>90</v>
      </c>
      <c r="H2913" t="s">
        <v>228</v>
      </c>
      <c r="I2913" t="s">
        <v>615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127</v>
      </c>
      <c r="D2914" t="s">
        <v>243</v>
      </c>
      <c r="E2914" t="s">
        <v>89</v>
      </c>
      <c r="F2914">
        <v>46</v>
      </c>
      <c r="G2914" t="s">
        <v>90</v>
      </c>
      <c r="H2914" t="s">
        <v>228</v>
      </c>
      <c r="I2914" t="s">
        <v>616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127</v>
      </c>
      <c r="D2915" t="s">
        <v>243</v>
      </c>
      <c r="E2915" t="s">
        <v>89</v>
      </c>
      <c r="F2915">
        <v>46</v>
      </c>
      <c r="G2915" t="s">
        <v>90</v>
      </c>
      <c r="H2915" t="s">
        <v>228</v>
      </c>
      <c r="I2915" t="s">
        <v>617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127</v>
      </c>
      <c r="D2916" t="s">
        <v>243</v>
      </c>
      <c r="E2916" t="s">
        <v>89</v>
      </c>
      <c r="F2916">
        <v>46</v>
      </c>
      <c r="G2916" t="s">
        <v>90</v>
      </c>
      <c r="H2916" t="s">
        <v>228</v>
      </c>
      <c r="I2916" t="s">
        <v>618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127</v>
      </c>
      <c r="D2917" t="s">
        <v>243</v>
      </c>
      <c r="E2917" t="s">
        <v>89</v>
      </c>
      <c r="F2917">
        <v>46</v>
      </c>
      <c r="G2917" t="s">
        <v>90</v>
      </c>
      <c r="H2917" t="s">
        <v>228</v>
      </c>
      <c r="I2917" t="s">
        <v>619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127</v>
      </c>
      <c r="D2918" t="s">
        <v>243</v>
      </c>
      <c r="E2918" t="s">
        <v>89</v>
      </c>
      <c r="F2918">
        <v>46</v>
      </c>
      <c r="G2918" t="s">
        <v>90</v>
      </c>
      <c r="H2918" t="s">
        <v>228</v>
      </c>
      <c r="I2918" t="s">
        <v>620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127</v>
      </c>
      <c r="D2919" t="s">
        <v>243</v>
      </c>
      <c r="E2919" t="s">
        <v>89</v>
      </c>
      <c r="F2919">
        <v>46</v>
      </c>
      <c r="G2919" t="s">
        <v>90</v>
      </c>
      <c r="H2919" t="s">
        <v>228</v>
      </c>
      <c r="I2919" t="s">
        <v>621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127</v>
      </c>
      <c r="D2920" t="s">
        <v>243</v>
      </c>
      <c r="E2920" t="s">
        <v>89</v>
      </c>
      <c r="F2920">
        <v>46</v>
      </c>
      <c r="G2920" t="s">
        <v>90</v>
      </c>
      <c r="H2920" t="s">
        <v>228</v>
      </c>
      <c r="I2920" t="s">
        <v>622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127</v>
      </c>
      <c r="D2921" t="s">
        <v>243</v>
      </c>
      <c r="E2921" t="s">
        <v>89</v>
      </c>
      <c r="F2921">
        <v>46</v>
      </c>
      <c r="G2921" t="s">
        <v>90</v>
      </c>
      <c r="H2921" t="s">
        <v>228</v>
      </c>
      <c r="I2921" t="s">
        <v>623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127</v>
      </c>
      <c r="D2922" t="s">
        <v>243</v>
      </c>
      <c r="E2922" t="s">
        <v>89</v>
      </c>
      <c r="F2922">
        <v>46</v>
      </c>
      <c r="G2922" t="s">
        <v>90</v>
      </c>
      <c r="H2922" t="s">
        <v>229</v>
      </c>
      <c r="I2922" t="s">
        <v>599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127</v>
      </c>
      <c r="D2923" t="s">
        <v>243</v>
      </c>
      <c r="E2923" t="s">
        <v>89</v>
      </c>
      <c r="F2923">
        <v>46</v>
      </c>
      <c r="G2923" t="s">
        <v>90</v>
      </c>
      <c r="H2923" t="s">
        <v>229</v>
      </c>
      <c r="I2923" t="s">
        <v>600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127</v>
      </c>
      <c r="D2924" t="s">
        <v>243</v>
      </c>
      <c r="E2924" t="s">
        <v>89</v>
      </c>
      <c r="F2924">
        <v>46</v>
      </c>
      <c r="G2924" t="s">
        <v>90</v>
      </c>
      <c r="H2924" t="s">
        <v>229</v>
      </c>
      <c r="I2924" t="s">
        <v>601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127</v>
      </c>
      <c r="D2925" t="s">
        <v>243</v>
      </c>
      <c r="E2925" t="s">
        <v>89</v>
      </c>
      <c r="F2925">
        <v>46</v>
      </c>
      <c r="G2925" t="s">
        <v>90</v>
      </c>
      <c r="H2925" t="s">
        <v>229</v>
      </c>
      <c r="I2925" t="s">
        <v>597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127</v>
      </c>
      <c r="D2926" t="s">
        <v>243</v>
      </c>
      <c r="E2926" t="s">
        <v>89</v>
      </c>
      <c r="F2926">
        <v>46</v>
      </c>
      <c r="G2926" t="s">
        <v>90</v>
      </c>
      <c r="H2926" t="s">
        <v>229</v>
      </c>
      <c r="I2926" t="s">
        <v>602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127</v>
      </c>
      <c r="D2927" t="s">
        <v>243</v>
      </c>
      <c r="E2927" t="s">
        <v>89</v>
      </c>
      <c r="F2927">
        <v>46</v>
      </c>
      <c r="G2927" t="s">
        <v>90</v>
      </c>
      <c r="H2927" t="s">
        <v>229</v>
      </c>
      <c r="I2927" t="s">
        <v>603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127</v>
      </c>
      <c r="D2928" t="s">
        <v>243</v>
      </c>
      <c r="E2928" t="s">
        <v>89</v>
      </c>
      <c r="F2928">
        <v>46</v>
      </c>
      <c r="G2928" t="s">
        <v>90</v>
      </c>
      <c r="H2928" t="s">
        <v>229</v>
      </c>
      <c r="I2928" t="s">
        <v>604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127</v>
      </c>
      <c r="D2929" t="s">
        <v>243</v>
      </c>
      <c r="E2929" t="s">
        <v>89</v>
      </c>
      <c r="F2929">
        <v>46</v>
      </c>
      <c r="G2929" t="s">
        <v>90</v>
      </c>
      <c r="H2929" t="s">
        <v>229</v>
      </c>
      <c r="I2929" t="s">
        <v>605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127</v>
      </c>
      <c r="D2930" t="s">
        <v>243</v>
      </c>
      <c r="E2930" t="s">
        <v>89</v>
      </c>
      <c r="F2930">
        <v>46</v>
      </c>
      <c r="G2930" t="s">
        <v>90</v>
      </c>
      <c r="H2930" t="s">
        <v>229</v>
      </c>
      <c r="I2930" t="s">
        <v>606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127</v>
      </c>
      <c r="D2931" t="s">
        <v>243</v>
      </c>
      <c r="E2931" t="s">
        <v>89</v>
      </c>
      <c r="F2931">
        <v>46</v>
      </c>
      <c r="G2931" t="s">
        <v>90</v>
      </c>
      <c r="H2931" t="s">
        <v>229</v>
      </c>
      <c r="I2931" t="s">
        <v>607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127</v>
      </c>
      <c r="D2932" t="s">
        <v>243</v>
      </c>
      <c r="E2932" t="s">
        <v>89</v>
      </c>
      <c r="F2932">
        <v>46</v>
      </c>
      <c r="G2932" t="s">
        <v>90</v>
      </c>
      <c r="H2932" t="s">
        <v>229</v>
      </c>
      <c r="I2932" t="s">
        <v>608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127</v>
      </c>
      <c r="D2933" t="s">
        <v>243</v>
      </c>
      <c r="E2933" t="s">
        <v>89</v>
      </c>
      <c r="F2933">
        <v>46</v>
      </c>
      <c r="G2933" t="s">
        <v>90</v>
      </c>
      <c r="H2933" t="s">
        <v>229</v>
      </c>
      <c r="I2933" t="s">
        <v>609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127</v>
      </c>
      <c r="D2934" t="s">
        <v>243</v>
      </c>
      <c r="E2934" t="s">
        <v>89</v>
      </c>
      <c r="F2934">
        <v>46</v>
      </c>
      <c r="G2934" t="s">
        <v>90</v>
      </c>
      <c r="H2934" t="s">
        <v>229</v>
      </c>
      <c r="I2934" t="s">
        <v>610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127</v>
      </c>
      <c r="D2935" t="s">
        <v>243</v>
      </c>
      <c r="E2935" t="s">
        <v>89</v>
      </c>
      <c r="F2935">
        <v>46</v>
      </c>
      <c r="G2935" t="s">
        <v>90</v>
      </c>
      <c r="H2935" t="s">
        <v>229</v>
      </c>
      <c r="I2935" t="s">
        <v>611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127</v>
      </c>
      <c r="D2936" t="s">
        <v>243</v>
      </c>
      <c r="E2936" t="s">
        <v>89</v>
      </c>
      <c r="F2936">
        <v>46</v>
      </c>
      <c r="G2936" t="s">
        <v>90</v>
      </c>
      <c r="H2936" t="s">
        <v>229</v>
      </c>
      <c r="I2936" t="s">
        <v>612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127</v>
      </c>
      <c r="D2937" t="s">
        <v>243</v>
      </c>
      <c r="E2937" t="s">
        <v>89</v>
      </c>
      <c r="F2937">
        <v>46</v>
      </c>
      <c r="G2937" t="s">
        <v>90</v>
      </c>
      <c r="H2937" t="s">
        <v>229</v>
      </c>
      <c r="I2937" t="s">
        <v>598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127</v>
      </c>
      <c r="D2938" t="s">
        <v>243</v>
      </c>
      <c r="E2938" t="s">
        <v>89</v>
      </c>
      <c r="F2938">
        <v>46</v>
      </c>
      <c r="G2938" t="s">
        <v>90</v>
      </c>
      <c r="H2938" t="s">
        <v>229</v>
      </c>
      <c r="I2938" t="s">
        <v>613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127</v>
      </c>
      <c r="D2939" t="s">
        <v>243</v>
      </c>
      <c r="E2939" t="s">
        <v>89</v>
      </c>
      <c r="F2939">
        <v>46</v>
      </c>
      <c r="G2939" t="s">
        <v>90</v>
      </c>
      <c r="H2939" t="s">
        <v>229</v>
      </c>
      <c r="I2939" t="s">
        <v>614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127</v>
      </c>
      <c r="D2940" t="s">
        <v>243</v>
      </c>
      <c r="E2940" t="s">
        <v>89</v>
      </c>
      <c r="F2940">
        <v>46</v>
      </c>
      <c r="G2940" t="s">
        <v>90</v>
      </c>
      <c r="H2940" t="s">
        <v>229</v>
      </c>
      <c r="I2940" t="s">
        <v>615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127</v>
      </c>
      <c r="D2941" t="s">
        <v>243</v>
      </c>
      <c r="E2941" t="s">
        <v>89</v>
      </c>
      <c r="F2941">
        <v>46</v>
      </c>
      <c r="G2941" t="s">
        <v>90</v>
      </c>
      <c r="H2941" t="s">
        <v>229</v>
      </c>
      <c r="I2941" t="s">
        <v>616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127</v>
      </c>
      <c r="D2942" t="s">
        <v>243</v>
      </c>
      <c r="E2942" t="s">
        <v>89</v>
      </c>
      <c r="F2942">
        <v>46</v>
      </c>
      <c r="G2942" t="s">
        <v>90</v>
      </c>
      <c r="H2942" t="s">
        <v>229</v>
      </c>
      <c r="I2942" t="s">
        <v>617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127</v>
      </c>
      <c r="D2943" t="s">
        <v>243</v>
      </c>
      <c r="E2943" t="s">
        <v>89</v>
      </c>
      <c r="F2943">
        <v>46</v>
      </c>
      <c r="G2943" t="s">
        <v>90</v>
      </c>
      <c r="H2943" t="s">
        <v>229</v>
      </c>
      <c r="I2943" t="s">
        <v>618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127</v>
      </c>
      <c r="D2944" t="s">
        <v>243</v>
      </c>
      <c r="E2944" t="s">
        <v>89</v>
      </c>
      <c r="F2944">
        <v>46</v>
      </c>
      <c r="G2944" t="s">
        <v>90</v>
      </c>
      <c r="H2944" t="s">
        <v>229</v>
      </c>
      <c r="I2944" t="s">
        <v>619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127</v>
      </c>
      <c r="D2945" t="s">
        <v>243</v>
      </c>
      <c r="E2945" t="s">
        <v>89</v>
      </c>
      <c r="F2945">
        <v>46</v>
      </c>
      <c r="G2945" t="s">
        <v>90</v>
      </c>
      <c r="H2945" t="s">
        <v>229</v>
      </c>
      <c r="I2945" t="s">
        <v>620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127</v>
      </c>
      <c r="D2946" t="s">
        <v>243</v>
      </c>
      <c r="E2946" t="s">
        <v>89</v>
      </c>
      <c r="F2946">
        <v>46</v>
      </c>
      <c r="G2946" t="s">
        <v>90</v>
      </c>
      <c r="H2946" t="s">
        <v>229</v>
      </c>
      <c r="I2946" t="s">
        <v>621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127</v>
      </c>
      <c r="D2947" t="s">
        <v>243</v>
      </c>
      <c r="E2947" t="s">
        <v>89</v>
      </c>
      <c r="F2947">
        <v>46</v>
      </c>
      <c r="G2947" t="s">
        <v>90</v>
      </c>
      <c r="H2947" t="s">
        <v>229</v>
      </c>
      <c r="I2947" t="s">
        <v>622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127</v>
      </c>
      <c r="D2948" t="s">
        <v>243</v>
      </c>
      <c r="E2948" t="s">
        <v>89</v>
      </c>
      <c r="F2948">
        <v>46</v>
      </c>
      <c r="G2948" t="s">
        <v>90</v>
      </c>
      <c r="H2948" t="s">
        <v>229</v>
      </c>
      <c r="I2948" t="s">
        <v>623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127</v>
      </c>
      <c r="D2949" t="s">
        <v>243</v>
      </c>
      <c r="E2949" t="s">
        <v>89</v>
      </c>
      <c r="F2949">
        <v>46</v>
      </c>
      <c r="G2949" t="s">
        <v>90</v>
      </c>
      <c r="H2949" t="s">
        <v>91</v>
      </c>
      <c r="I2949" t="s">
        <v>599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127</v>
      </c>
      <c r="D2950" t="s">
        <v>243</v>
      </c>
      <c r="E2950" t="s">
        <v>89</v>
      </c>
      <c r="F2950">
        <v>46</v>
      </c>
      <c r="G2950" t="s">
        <v>90</v>
      </c>
      <c r="H2950" t="s">
        <v>91</v>
      </c>
      <c r="I2950" t="s">
        <v>600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127</v>
      </c>
      <c r="D2951" t="s">
        <v>243</v>
      </c>
      <c r="E2951" t="s">
        <v>89</v>
      </c>
      <c r="F2951">
        <v>46</v>
      </c>
      <c r="G2951" t="s">
        <v>90</v>
      </c>
      <c r="H2951" t="s">
        <v>91</v>
      </c>
      <c r="I2951" t="s">
        <v>601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127</v>
      </c>
      <c r="D2952" t="s">
        <v>243</v>
      </c>
      <c r="E2952" t="s">
        <v>89</v>
      </c>
      <c r="F2952">
        <v>46</v>
      </c>
      <c r="G2952" t="s">
        <v>90</v>
      </c>
      <c r="H2952" t="s">
        <v>91</v>
      </c>
      <c r="I2952" t="s">
        <v>597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127</v>
      </c>
      <c r="D2953" t="s">
        <v>243</v>
      </c>
      <c r="E2953" t="s">
        <v>89</v>
      </c>
      <c r="F2953">
        <v>46</v>
      </c>
      <c r="G2953" t="s">
        <v>90</v>
      </c>
      <c r="H2953" t="s">
        <v>91</v>
      </c>
      <c r="I2953" t="s">
        <v>602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127</v>
      </c>
      <c r="D2954" t="s">
        <v>243</v>
      </c>
      <c r="E2954" t="s">
        <v>89</v>
      </c>
      <c r="F2954">
        <v>46</v>
      </c>
      <c r="G2954" t="s">
        <v>90</v>
      </c>
      <c r="H2954" t="s">
        <v>91</v>
      </c>
      <c r="I2954" t="s">
        <v>603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127</v>
      </c>
      <c r="D2955" t="s">
        <v>243</v>
      </c>
      <c r="E2955" t="s">
        <v>89</v>
      </c>
      <c r="F2955">
        <v>46</v>
      </c>
      <c r="G2955" t="s">
        <v>90</v>
      </c>
      <c r="H2955" t="s">
        <v>91</v>
      </c>
      <c r="I2955" t="s">
        <v>604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127</v>
      </c>
      <c r="D2956" t="s">
        <v>243</v>
      </c>
      <c r="E2956" t="s">
        <v>89</v>
      </c>
      <c r="F2956">
        <v>46</v>
      </c>
      <c r="G2956" t="s">
        <v>90</v>
      </c>
      <c r="H2956" t="s">
        <v>91</v>
      </c>
      <c r="I2956" t="s">
        <v>605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127</v>
      </c>
      <c r="D2957" t="s">
        <v>243</v>
      </c>
      <c r="E2957" t="s">
        <v>89</v>
      </c>
      <c r="F2957">
        <v>46</v>
      </c>
      <c r="G2957" t="s">
        <v>90</v>
      </c>
      <c r="H2957" t="s">
        <v>91</v>
      </c>
      <c r="I2957" t="s">
        <v>606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127</v>
      </c>
      <c r="D2958" t="s">
        <v>243</v>
      </c>
      <c r="E2958" t="s">
        <v>89</v>
      </c>
      <c r="F2958">
        <v>46</v>
      </c>
      <c r="G2958" t="s">
        <v>90</v>
      </c>
      <c r="H2958" t="s">
        <v>91</v>
      </c>
      <c r="I2958" t="s">
        <v>607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127</v>
      </c>
      <c r="D2959" t="s">
        <v>243</v>
      </c>
      <c r="E2959" t="s">
        <v>89</v>
      </c>
      <c r="F2959">
        <v>46</v>
      </c>
      <c r="G2959" t="s">
        <v>90</v>
      </c>
      <c r="H2959" t="s">
        <v>91</v>
      </c>
      <c r="I2959" t="s">
        <v>608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127</v>
      </c>
      <c r="D2960" t="s">
        <v>243</v>
      </c>
      <c r="E2960" t="s">
        <v>89</v>
      </c>
      <c r="F2960">
        <v>46</v>
      </c>
      <c r="G2960" t="s">
        <v>90</v>
      </c>
      <c r="H2960" t="s">
        <v>91</v>
      </c>
      <c r="I2960" t="s">
        <v>609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127</v>
      </c>
      <c r="D2961" t="s">
        <v>243</v>
      </c>
      <c r="E2961" t="s">
        <v>89</v>
      </c>
      <c r="F2961">
        <v>46</v>
      </c>
      <c r="G2961" t="s">
        <v>90</v>
      </c>
      <c r="H2961" t="s">
        <v>91</v>
      </c>
      <c r="I2961" t="s">
        <v>610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127</v>
      </c>
      <c r="D2962" t="s">
        <v>243</v>
      </c>
      <c r="E2962" t="s">
        <v>89</v>
      </c>
      <c r="F2962">
        <v>46</v>
      </c>
      <c r="G2962" t="s">
        <v>90</v>
      </c>
      <c r="H2962" t="s">
        <v>91</v>
      </c>
      <c r="I2962" t="s">
        <v>611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127</v>
      </c>
      <c r="D2963" t="s">
        <v>243</v>
      </c>
      <c r="E2963" t="s">
        <v>89</v>
      </c>
      <c r="F2963">
        <v>46</v>
      </c>
      <c r="G2963" t="s">
        <v>90</v>
      </c>
      <c r="H2963" t="s">
        <v>91</v>
      </c>
      <c r="I2963" t="s">
        <v>612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127</v>
      </c>
      <c r="D2964" t="s">
        <v>243</v>
      </c>
      <c r="E2964" t="s">
        <v>89</v>
      </c>
      <c r="F2964">
        <v>46</v>
      </c>
      <c r="G2964" t="s">
        <v>90</v>
      </c>
      <c r="H2964" t="s">
        <v>91</v>
      </c>
      <c r="I2964" t="s">
        <v>598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127</v>
      </c>
      <c r="D2965" t="s">
        <v>243</v>
      </c>
      <c r="E2965" t="s">
        <v>89</v>
      </c>
      <c r="F2965">
        <v>46</v>
      </c>
      <c r="G2965" t="s">
        <v>90</v>
      </c>
      <c r="H2965" t="s">
        <v>91</v>
      </c>
      <c r="I2965" t="s">
        <v>613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127</v>
      </c>
      <c r="D2966" t="s">
        <v>243</v>
      </c>
      <c r="E2966" t="s">
        <v>89</v>
      </c>
      <c r="F2966">
        <v>46</v>
      </c>
      <c r="G2966" t="s">
        <v>90</v>
      </c>
      <c r="H2966" t="s">
        <v>91</v>
      </c>
      <c r="I2966" t="s">
        <v>614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127</v>
      </c>
      <c r="D2967" t="s">
        <v>243</v>
      </c>
      <c r="E2967" t="s">
        <v>89</v>
      </c>
      <c r="F2967">
        <v>46</v>
      </c>
      <c r="G2967" t="s">
        <v>90</v>
      </c>
      <c r="H2967" t="s">
        <v>91</v>
      </c>
      <c r="I2967" t="s">
        <v>615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127</v>
      </c>
      <c r="D2968" t="s">
        <v>243</v>
      </c>
      <c r="E2968" t="s">
        <v>89</v>
      </c>
      <c r="F2968">
        <v>46</v>
      </c>
      <c r="G2968" t="s">
        <v>90</v>
      </c>
      <c r="H2968" t="s">
        <v>91</v>
      </c>
      <c r="I2968" t="s">
        <v>616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127</v>
      </c>
      <c r="D2969" t="s">
        <v>243</v>
      </c>
      <c r="E2969" t="s">
        <v>89</v>
      </c>
      <c r="F2969">
        <v>46</v>
      </c>
      <c r="G2969" t="s">
        <v>90</v>
      </c>
      <c r="H2969" t="s">
        <v>91</v>
      </c>
      <c r="I2969" t="s">
        <v>617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127</v>
      </c>
      <c r="D2970" t="s">
        <v>243</v>
      </c>
      <c r="E2970" t="s">
        <v>89</v>
      </c>
      <c r="F2970">
        <v>46</v>
      </c>
      <c r="G2970" t="s">
        <v>90</v>
      </c>
      <c r="H2970" t="s">
        <v>91</v>
      </c>
      <c r="I2970" t="s">
        <v>618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127</v>
      </c>
      <c r="D2971" t="s">
        <v>243</v>
      </c>
      <c r="E2971" t="s">
        <v>89</v>
      </c>
      <c r="F2971">
        <v>46</v>
      </c>
      <c r="G2971" t="s">
        <v>90</v>
      </c>
      <c r="H2971" t="s">
        <v>91</v>
      </c>
      <c r="I2971" t="s">
        <v>619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127</v>
      </c>
      <c r="D2972" t="s">
        <v>243</v>
      </c>
      <c r="E2972" t="s">
        <v>89</v>
      </c>
      <c r="F2972">
        <v>46</v>
      </c>
      <c r="G2972" t="s">
        <v>90</v>
      </c>
      <c r="H2972" t="s">
        <v>91</v>
      </c>
      <c r="I2972" t="s">
        <v>620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127</v>
      </c>
      <c r="D2973" t="s">
        <v>243</v>
      </c>
      <c r="E2973" t="s">
        <v>89</v>
      </c>
      <c r="F2973">
        <v>46</v>
      </c>
      <c r="G2973" t="s">
        <v>90</v>
      </c>
      <c r="H2973" t="s">
        <v>91</v>
      </c>
      <c r="I2973" t="s">
        <v>621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127</v>
      </c>
      <c r="D2974" t="s">
        <v>243</v>
      </c>
      <c r="E2974" t="s">
        <v>89</v>
      </c>
      <c r="F2974">
        <v>46</v>
      </c>
      <c r="G2974" t="s">
        <v>90</v>
      </c>
      <c r="H2974" t="s">
        <v>91</v>
      </c>
      <c r="I2974" t="s">
        <v>622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127</v>
      </c>
      <c r="D2975" t="s">
        <v>243</v>
      </c>
      <c r="E2975" t="s">
        <v>89</v>
      </c>
      <c r="F2975">
        <v>46</v>
      </c>
      <c r="G2975" t="s">
        <v>90</v>
      </c>
      <c r="H2975" t="s">
        <v>91</v>
      </c>
      <c r="I2975" t="s">
        <v>623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127</v>
      </c>
      <c r="D2976" t="s">
        <v>243</v>
      </c>
      <c r="E2976" t="s">
        <v>89</v>
      </c>
      <c r="F2976">
        <v>46</v>
      </c>
      <c r="G2976" t="s">
        <v>90</v>
      </c>
      <c r="H2976" t="s">
        <v>230</v>
      </c>
      <c r="I2976" t="s">
        <v>599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127</v>
      </c>
      <c r="D2977" t="s">
        <v>243</v>
      </c>
      <c r="E2977" t="s">
        <v>89</v>
      </c>
      <c r="F2977">
        <v>46</v>
      </c>
      <c r="G2977" t="s">
        <v>90</v>
      </c>
      <c r="H2977" t="s">
        <v>230</v>
      </c>
      <c r="I2977" t="s">
        <v>600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127</v>
      </c>
      <c r="D2978" t="s">
        <v>243</v>
      </c>
      <c r="E2978" t="s">
        <v>89</v>
      </c>
      <c r="F2978">
        <v>46</v>
      </c>
      <c r="G2978" t="s">
        <v>90</v>
      </c>
      <c r="H2978" t="s">
        <v>230</v>
      </c>
      <c r="I2978" t="s">
        <v>601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127</v>
      </c>
      <c r="D2979" t="s">
        <v>243</v>
      </c>
      <c r="E2979" t="s">
        <v>89</v>
      </c>
      <c r="F2979">
        <v>46</v>
      </c>
      <c r="G2979" t="s">
        <v>90</v>
      </c>
      <c r="H2979" t="s">
        <v>230</v>
      </c>
      <c r="I2979" t="s">
        <v>597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127</v>
      </c>
      <c r="D2980" t="s">
        <v>243</v>
      </c>
      <c r="E2980" t="s">
        <v>89</v>
      </c>
      <c r="F2980">
        <v>46</v>
      </c>
      <c r="G2980" t="s">
        <v>90</v>
      </c>
      <c r="H2980" t="s">
        <v>230</v>
      </c>
      <c r="I2980" t="s">
        <v>602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127</v>
      </c>
      <c r="D2981" t="s">
        <v>243</v>
      </c>
      <c r="E2981" t="s">
        <v>89</v>
      </c>
      <c r="F2981">
        <v>46</v>
      </c>
      <c r="G2981" t="s">
        <v>90</v>
      </c>
      <c r="H2981" t="s">
        <v>230</v>
      </c>
      <c r="I2981" t="s">
        <v>603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127</v>
      </c>
      <c r="D2982" t="s">
        <v>243</v>
      </c>
      <c r="E2982" t="s">
        <v>89</v>
      </c>
      <c r="F2982">
        <v>46</v>
      </c>
      <c r="G2982" t="s">
        <v>90</v>
      </c>
      <c r="H2982" t="s">
        <v>230</v>
      </c>
      <c r="I2982" t="s">
        <v>604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127</v>
      </c>
      <c r="D2983" t="s">
        <v>243</v>
      </c>
      <c r="E2983" t="s">
        <v>89</v>
      </c>
      <c r="F2983">
        <v>46</v>
      </c>
      <c r="G2983" t="s">
        <v>90</v>
      </c>
      <c r="H2983" t="s">
        <v>230</v>
      </c>
      <c r="I2983" t="s">
        <v>605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127</v>
      </c>
      <c r="D2984" t="s">
        <v>243</v>
      </c>
      <c r="E2984" t="s">
        <v>89</v>
      </c>
      <c r="F2984">
        <v>46</v>
      </c>
      <c r="G2984" t="s">
        <v>90</v>
      </c>
      <c r="H2984" t="s">
        <v>230</v>
      </c>
      <c r="I2984" t="s">
        <v>606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127</v>
      </c>
      <c r="D2985" t="s">
        <v>243</v>
      </c>
      <c r="E2985" t="s">
        <v>89</v>
      </c>
      <c r="F2985">
        <v>46</v>
      </c>
      <c r="G2985" t="s">
        <v>90</v>
      </c>
      <c r="H2985" t="s">
        <v>230</v>
      </c>
      <c r="I2985" t="s">
        <v>607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127</v>
      </c>
      <c r="D2986" t="s">
        <v>243</v>
      </c>
      <c r="E2986" t="s">
        <v>89</v>
      </c>
      <c r="F2986">
        <v>46</v>
      </c>
      <c r="G2986" t="s">
        <v>90</v>
      </c>
      <c r="H2986" t="s">
        <v>230</v>
      </c>
      <c r="I2986" t="s">
        <v>608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127</v>
      </c>
      <c r="D2987" t="s">
        <v>243</v>
      </c>
      <c r="E2987" t="s">
        <v>89</v>
      </c>
      <c r="F2987">
        <v>46</v>
      </c>
      <c r="G2987" t="s">
        <v>90</v>
      </c>
      <c r="H2987" t="s">
        <v>230</v>
      </c>
      <c r="I2987" t="s">
        <v>609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127</v>
      </c>
      <c r="D2988" t="s">
        <v>243</v>
      </c>
      <c r="E2988" t="s">
        <v>89</v>
      </c>
      <c r="F2988">
        <v>46</v>
      </c>
      <c r="G2988" t="s">
        <v>90</v>
      </c>
      <c r="H2988" t="s">
        <v>230</v>
      </c>
      <c r="I2988" t="s">
        <v>610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127</v>
      </c>
      <c r="D2989" t="s">
        <v>243</v>
      </c>
      <c r="E2989" t="s">
        <v>89</v>
      </c>
      <c r="F2989">
        <v>46</v>
      </c>
      <c r="G2989" t="s">
        <v>90</v>
      </c>
      <c r="H2989" t="s">
        <v>230</v>
      </c>
      <c r="I2989" t="s">
        <v>611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127</v>
      </c>
      <c r="D2990" t="s">
        <v>243</v>
      </c>
      <c r="E2990" t="s">
        <v>89</v>
      </c>
      <c r="F2990">
        <v>46</v>
      </c>
      <c r="G2990" t="s">
        <v>90</v>
      </c>
      <c r="H2990" t="s">
        <v>230</v>
      </c>
      <c r="I2990" t="s">
        <v>612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127</v>
      </c>
      <c r="D2991" t="s">
        <v>243</v>
      </c>
      <c r="E2991" t="s">
        <v>89</v>
      </c>
      <c r="F2991">
        <v>46</v>
      </c>
      <c r="G2991" t="s">
        <v>90</v>
      </c>
      <c r="H2991" t="s">
        <v>230</v>
      </c>
      <c r="I2991" t="s">
        <v>598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127</v>
      </c>
      <c r="D2992" t="s">
        <v>243</v>
      </c>
      <c r="E2992" t="s">
        <v>89</v>
      </c>
      <c r="F2992">
        <v>46</v>
      </c>
      <c r="G2992" t="s">
        <v>90</v>
      </c>
      <c r="H2992" t="s">
        <v>230</v>
      </c>
      <c r="I2992" t="s">
        <v>613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127</v>
      </c>
      <c r="D2993" t="s">
        <v>243</v>
      </c>
      <c r="E2993" t="s">
        <v>89</v>
      </c>
      <c r="F2993">
        <v>46</v>
      </c>
      <c r="G2993" t="s">
        <v>90</v>
      </c>
      <c r="H2993" t="s">
        <v>230</v>
      </c>
      <c r="I2993" t="s">
        <v>614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127</v>
      </c>
      <c r="D2994" t="s">
        <v>243</v>
      </c>
      <c r="E2994" t="s">
        <v>89</v>
      </c>
      <c r="F2994">
        <v>46</v>
      </c>
      <c r="G2994" t="s">
        <v>90</v>
      </c>
      <c r="H2994" t="s">
        <v>230</v>
      </c>
      <c r="I2994" t="s">
        <v>615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127</v>
      </c>
      <c r="D2995" t="s">
        <v>243</v>
      </c>
      <c r="E2995" t="s">
        <v>89</v>
      </c>
      <c r="F2995">
        <v>46</v>
      </c>
      <c r="G2995" t="s">
        <v>90</v>
      </c>
      <c r="H2995" t="s">
        <v>230</v>
      </c>
      <c r="I2995" t="s">
        <v>616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127</v>
      </c>
      <c r="D2996" t="s">
        <v>243</v>
      </c>
      <c r="E2996" t="s">
        <v>89</v>
      </c>
      <c r="F2996">
        <v>46</v>
      </c>
      <c r="G2996" t="s">
        <v>90</v>
      </c>
      <c r="H2996" t="s">
        <v>230</v>
      </c>
      <c r="I2996" t="s">
        <v>617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127</v>
      </c>
      <c r="D2997" t="s">
        <v>243</v>
      </c>
      <c r="E2997" t="s">
        <v>89</v>
      </c>
      <c r="F2997">
        <v>46</v>
      </c>
      <c r="G2997" t="s">
        <v>90</v>
      </c>
      <c r="H2997" t="s">
        <v>230</v>
      </c>
      <c r="I2997" t="s">
        <v>618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127</v>
      </c>
      <c r="D2998" t="s">
        <v>243</v>
      </c>
      <c r="E2998" t="s">
        <v>89</v>
      </c>
      <c r="F2998">
        <v>46</v>
      </c>
      <c r="G2998" t="s">
        <v>90</v>
      </c>
      <c r="H2998" t="s">
        <v>230</v>
      </c>
      <c r="I2998" t="s">
        <v>619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127</v>
      </c>
      <c r="D2999" t="s">
        <v>243</v>
      </c>
      <c r="E2999" t="s">
        <v>89</v>
      </c>
      <c r="F2999">
        <v>46</v>
      </c>
      <c r="G2999" t="s">
        <v>90</v>
      </c>
      <c r="H2999" t="s">
        <v>230</v>
      </c>
      <c r="I2999" t="s">
        <v>620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127</v>
      </c>
      <c r="D3000" t="s">
        <v>243</v>
      </c>
      <c r="E3000" t="s">
        <v>89</v>
      </c>
      <c r="F3000">
        <v>46</v>
      </c>
      <c r="G3000" t="s">
        <v>90</v>
      </c>
      <c r="H3000" t="s">
        <v>230</v>
      </c>
      <c r="I3000" t="s">
        <v>621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127</v>
      </c>
      <c r="D3001" t="s">
        <v>243</v>
      </c>
      <c r="E3001" t="s">
        <v>89</v>
      </c>
      <c r="F3001">
        <v>46</v>
      </c>
      <c r="G3001" t="s">
        <v>90</v>
      </c>
      <c r="H3001" t="s">
        <v>230</v>
      </c>
      <c r="I3001" t="s">
        <v>622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127</v>
      </c>
      <c r="D3002" t="s">
        <v>243</v>
      </c>
      <c r="E3002" t="s">
        <v>89</v>
      </c>
      <c r="F3002">
        <v>46</v>
      </c>
      <c r="G3002" t="s">
        <v>90</v>
      </c>
      <c r="H3002" t="s">
        <v>230</v>
      </c>
      <c r="I3002" t="s">
        <v>623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127</v>
      </c>
      <c r="D3003" t="s">
        <v>243</v>
      </c>
      <c r="E3003" t="s">
        <v>89</v>
      </c>
      <c r="F3003">
        <v>46</v>
      </c>
      <c r="G3003" t="s">
        <v>90</v>
      </c>
      <c r="H3003" t="s">
        <v>188</v>
      </c>
      <c r="I3003" t="s">
        <v>599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127</v>
      </c>
      <c r="D3004" t="s">
        <v>243</v>
      </c>
      <c r="E3004" t="s">
        <v>89</v>
      </c>
      <c r="F3004">
        <v>46</v>
      </c>
      <c r="G3004" t="s">
        <v>90</v>
      </c>
      <c r="H3004" t="s">
        <v>188</v>
      </c>
      <c r="I3004" t="s">
        <v>600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127</v>
      </c>
      <c r="D3005" t="s">
        <v>243</v>
      </c>
      <c r="E3005" t="s">
        <v>89</v>
      </c>
      <c r="F3005">
        <v>46</v>
      </c>
      <c r="G3005" t="s">
        <v>90</v>
      </c>
      <c r="H3005" t="s">
        <v>188</v>
      </c>
      <c r="I3005" t="s">
        <v>601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127</v>
      </c>
      <c r="D3006" t="s">
        <v>243</v>
      </c>
      <c r="E3006" t="s">
        <v>89</v>
      </c>
      <c r="F3006">
        <v>46</v>
      </c>
      <c r="G3006" t="s">
        <v>90</v>
      </c>
      <c r="H3006" t="s">
        <v>188</v>
      </c>
      <c r="I3006" t="s">
        <v>597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127</v>
      </c>
      <c r="D3007" t="s">
        <v>243</v>
      </c>
      <c r="E3007" t="s">
        <v>89</v>
      </c>
      <c r="F3007">
        <v>46</v>
      </c>
      <c r="G3007" t="s">
        <v>90</v>
      </c>
      <c r="H3007" t="s">
        <v>188</v>
      </c>
      <c r="I3007" t="s">
        <v>602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127</v>
      </c>
      <c r="D3008" t="s">
        <v>243</v>
      </c>
      <c r="E3008" t="s">
        <v>89</v>
      </c>
      <c r="F3008">
        <v>46</v>
      </c>
      <c r="G3008" t="s">
        <v>90</v>
      </c>
      <c r="H3008" t="s">
        <v>188</v>
      </c>
      <c r="I3008" t="s">
        <v>603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127</v>
      </c>
      <c r="D3009" t="s">
        <v>243</v>
      </c>
      <c r="E3009" t="s">
        <v>89</v>
      </c>
      <c r="F3009">
        <v>46</v>
      </c>
      <c r="G3009" t="s">
        <v>90</v>
      </c>
      <c r="H3009" t="s">
        <v>188</v>
      </c>
      <c r="I3009" t="s">
        <v>604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127</v>
      </c>
      <c r="D3010" t="s">
        <v>243</v>
      </c>
      <c r="E3010" t="s">
        <v>89</v>
      </c>
      <c r="F3010">
        <v>46</v>
      </c>
      <c r="G3010" t="s">
        <v>90</v>
      </c>
      <c r="H3010" t="s">
        <v>188</v>
      </c>
      <c r="I3010" t="s">
        <v>605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127</v>
      </c>
      <c r="D3011" t="s">
        <v>243</v>
      </c>
      <c r="E3011" t="s">
        <v>89</v>
      </c>
      <c r="F3011">
        <v>46</v>
      </c>
      <c r="G3011" t="s">
        <v>90</v>
      </c>
      <c r="H3011" t="s">
        <v>188</v>
      </c>
      <c r="I3011" t="s">
        <v>606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127</v>
      </c>
      <c r="D3012" t="s">
        <v>243</v>
      </c>
      <c r="E3012" t="s">
        <v>89</v>
      </c>
      <c r="F3012">
        <v>46</v>
      </c>
      <c r="G3012" t="s">
        <v>90</v>
      </c>
      <c r="H3012" t="s">
        <v>188</v>
      </c>
      <c r="I3012" t="s">
        <v>607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127</v>
      </c>
      <c r="D3013" t="s">
        <v>243</v>
      </c>
      <c r="E3013" t="s">
        <v>89</v>
      </c>
      <c r="F3013">
        <v>46</v>
      </c>
      <c r="G3013" t="s">
        <v>90</v>
      </c>
      <c r="H3013" t="s">
        <v>188</v>
      </c>
      <c r="I3013" t="s">
        <v>608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127</v>
      </c>
      <c r="D3014" t="s">
        <v>243</v>
      </c>
      <c r="E3014" t="s">
        <v>89</v>
      </c>
      <c r="F3014">
        <v>46</v>
      </c>
      <c r="G3014" t="s">
        <v>90</v>
      </c>
      <c r="H3014" t="s">
        <v>188</v>
      </c>
      <c r="I3014" t="s">
        <v>609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127</v>
      </c>
      <c r="D3015" t="s">
        <v>243</v>
      </c>
      <c r="E3015" t="s">
        <v>89</v>
      </c>
      <c r="F3015">
        <v>46</v>
      </c>
      <c r="G3015" t="s">
        <v>90</v>
      </c>
      <c r="H3015" t="s">
        <v>188</v>
      </c>
      <c r="I3015" t="s">
        <v>610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127</v>
      </c>
      <c r="D3016" t="s">
        <v>243</v>
      </c>
      <c r="E3016" t="s">
        <v>89</v>
      </c>
      <c r="F3016">
        <v>46</v>
      </c>
      <c r="G3016" t="s">
        <v>90</v>
      </c>
      <c r="H3016" t="s">
        <v>188</v>
      </c>
      <c r="I3016" t="s">
        <v>611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127</v>
      </c>
      <c r="D3017" t="s">
        <v>243</v>
      </c>
      <c r="E3017" t="s">
        <v>89</v>
      </c>
      <c r="F3017">
        <v>46</v>
      </c>
      <c r="G3017" t="s">
        <v>90</v>
      </c>
      <c r="H3017" t="s">
        <v>188</v>
      </c>
      <c r="I3017" t="s">
        <v>612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127</v>
      </c>
      <c r="D3018" t="s">
        <v>243</v>
      </c>
      <c r="E3018" t="s">
        <v>89</v>
      </c>
      <c r="F3018">
        <v>46</v>
      </c>
      <c r="G3018" t="s">
        <v>90</v>
      </c>
      <c r="H3018" t="s">
        <v>188</v>
      </c>
      <c r="I3018" t="s">
        <v>598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127</v>
      </c>
      <c r="D3019" t="s">
        <v>243</v>
      </c>
      <c r="E3019" t="s">
        <v>89</v>
      </c>
      <c r="F3019">
        <v>46</v>
      </c>
      <c r="G3019" t="s">
        <v>90</v>
      </c>
      <c r="H3019" t="s">
        <v>188</v>
      </c>
      <c r="I3019" t="s">
        <v>613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127</v>
      </c>
      <c r="D3020" t="s">
        <v>243</v>
      </c>
      <c r="E3020" t="s">
        <v>89</v>
      </c>
      <c r="F3020">
        <v>46</v>
      </c>
      <c r="G3020" t="s">
        <v>90</v>
      </c>
      <c r="H3020" t="s">
        <v>188</v>
      </c>
      <c r="I3020" t="s">
        <v>614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127</v>
      </c>
      <c r="D3021" t="s">
        <v>243</v>
      </c>
      <c r="E3021" t="s">
        <v>89</v>
      </c>
      <c r="F3021">
        <v>46</v>
      </c>
      <c r="G3021" t="s">
        <v>90</v>
      </c>
      <c r="H3021" t="s">
        <v>188</v>
      </c>
      <c r="I3021" t="s">
        <v>615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127</v>
      </c>
      <c r="D3022" t="s">
        <v>243</v>
      </c>
      <c r="E3022" t="s">
        <v>89</v>
      </c>
      <c r="F3022">
        <v>46</v>
      </c>
      <c r="G3022" t="s">
        <v>90</v>
      </c>
      <c r="H3022" t="s">
        <v>188</v>
      </c>
      <c r="I3022" t="s">
        <v>616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127</v>
      </c>
      <c r="D3023" t="s">
        <v>243</v>
      </c>
      <c r="E3023" t="s">
        <v>89</v>
      </c>
      <c r="F3023">
        <v>46</v>
      </c>
      <c r="G3023" t="s">
        <v>90</v>
      </c>
      <c r="H3023" t="s">
        <v>188</v>
      </c>
      <c r="I3023" t="s">
        <v>617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127</v>
      </c>
      <c r="D3024" t="s">
        <v>243</v>
      </c>
      <c r="E3024" t="s">
        <v>89</v>
      </c>
      <c r="F3024">
        <v>46</v>
      </c>
      <c r="G3024" t="s">
        <v>90</v>
      </c>
      <c r="H3024" t="s">
        <v>188</v>
      </c>
      <c r="I3024" t="s">
        <v>618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127</v>
      </c>
      <c r="D3025" t="s">
        <v>243</v>
      </c>
      <c r="E3025" t="s">
        <v>89</v>
      </c>
      <c r="F3025">
        <v>46</v>
      </c>
      <c r="G3025" t="s">
        <v>90</v>
      </c>
      <c r="H3025" t="s">
        <v>188</v>
      </c>
      <c r="I3025" t="s">
        <v>619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127</v>
      </c>
      <c r="D3026" t="s">
        <v>243</v>
      </c>
      <c r="E3026" t="s">
        <v>89</v>
      </c>
      <c r="F3026">
        <v>46</v>
      </c>
      <c r="G3026" t="s">
        <v>90</v>
      </c>
      <c r="H3026" t="s">
        <v>188</v>
      </c>
      <c r="I3026" t="s">
        <v>620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127</v>
      </c>
      <c r="D3027" t="s">
        <v>243</v>
      </c>
      <c r="E3027" t="s">
        <v>89</v>
      </c>
      <c r="F3027">
        <v>46</v>
      </c>
      <c r="G3027" t="s">
        <v>90</v>
      </c>
      <c r="H3027" t="s">
        <v>188</v>
      </c>
      <c r="I3027" t="s">
        <v>621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127</v>
      </c>
      <c r="D3028" t="s">
        <v>243</v>
      </c>
      <c r="E3028" t="s">
        <v>89</v>
      </c>
      <c r="F3028">
        <v>46</v>
      </c>
      <c r="G3028" t="s">
        <v>90</v>
      </c>
      <c r="H3028" t="s">
        <v>188</v>
      </c>
      <c r="I3028" t="s">
        <v>622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127</v>
      </c>
      <c r="D3029" t="s">
        <v>243</v>
      </c>
      <c r="E3029" t="s">
        <v>89</v>
      </c>
      <c r="F3029">
        <v>46</v>
      </c>
      <c r="G3029" t="s">
        <v>90</v>
      </c>
      <c r="H3029" t="s">
        <v>188</v>
      </c>
      <c r="I3029" t="s">
        <v>623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127</v>
      </c>
      <c r="D3030" t="s">
        <v>243</v>
      </c>
      <c r="E3030" t="s">
        <v>89</v>
      </c>
      <c r="F3030">
        <v>46</v>
      </c>
      <c r="G3030" t="s">
        <v>271</v>
      </c>
      <c r="H3030" t="s">
        <v>189</v>
      </c>
      <c r="I3030" t="s">
        <v>618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127</v>
      </c>
      <c r="D3031" t="s">
        <v>243</v>
      </c>
      <c r="E3031" t="s">
        <v>89</v>
      </c>
      <c r="F3031">
        <v>46</v>
      </c>
      <c r="G3031" t="s">
        <v>271</v>
      </c>
      <c r="H3031" t="s">
        <v>186</v>
      </c>
      <c r="I3031" t="s">
        <v>618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127</v>
      </c>
      <c r="D3032" t="s">
        <v>243</v>
      </c>
      <c r="E3032" t="s">
        <v>89</v>
      </c>
      <c r="F3032">
        <v>46</v>
      </c>
      <c r="G3032" t="s">
        <v>271</v>
      </c>
      <c r="H3032" t="s">
        <v>188</v>
      </c>
      <c r="I3032" t="s">
        <v>618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127</v>
      </c>
      <c r="D3033" t="s">
        <v>243</v>
      </c>
      <c r="E3033" t="s">
        <v>89</v>
      </c>
      <c r="F3033">
        <v>46</v>
      </c>
      <c r="G3033" t="s">
        <v>272</v>
      </c>
      <c r="H3033" t="s">
        <v>232</v>
      </c>
      <c r="I3033" t="s">
        <v>608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127</v>
      </c>
      <c r="D3034" t="s">
        <v>243</v>
      </c>
      <c r="E3034" t="s">
        <v>89</v>
      </c>
      <c r="F3034">
        <v>46</v>
      </c>
      <c r="G3034" t="s">
        <v>272</v>
      </c>
      <c r="H3034" t="s">
        <v>186</v>
      </c>
      <c r="I3034" t="s">
        <v>608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127</v>
      </c>
      <c r="D3035" t="s">
        <v>243</v>
      </c>
      <c r="E3035" t="s">
        <v>89</v>
      </c>
      <c r="F3035">
        <v>46</v>
      </c>
      <c r="G3035" t="s">
        <v>272</v>
      </c>
      <c r="H3035" t="s">
        <v>187</v>
      </c>
      <c r="I3035" t="s">
        <v>608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127</v>
      </c>
      <c r="D3036" t="s">
        <v>243</v>
      </c>
      <c r="E3036" t="s">
        <v>89</v>
      </c>
      <c r="F3036">
        <v>46</v>
      </c>
      <c r="G3036" t="s">
        <v>272</v>
      </c>
      <c r="H3036" t="s">
        <v>198</v>
      </c>
      <c r="I3036" t="s">
        <v>608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127</v>
      </c>
      <c r="D3037" t="s">
        <v>243</v>
      </c>
      <c r="E3037" t="s">
        <v>89</v>
      </c>
      <c r="F3037">
        <v>46</v>
      </c>
      <c r="G3037" t="s">
        <v>272</v>
      </c>
      <c r="H3037" t="s">
        <v>188</v>
      </c>
      <c r="I3037" t="s">
        <v>608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127</v>
      </c>
      <c r="D3038" t="s">
        <v>243</v>
      </c>
      <c r="E3038" t="s">
        <v>89</v>
      </c>
      <c r="F3038">
        <v>46</v>
      </c>
      <c r="G3038" t="s">
        <v>231</v>
      </c>
      <c r="H3038" t="s">
        <v>232</v>
      </c>
      <c r="I3038" t="s">
        <v>148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127</v>
      </c>
      <c r="D3039" t="s">
        <v>243</v>
      </c>
      <c r="E3039" t="s">
        <v>89</v>
      </c>
      <c r="F3039">
        <v>46</v>
      </c>
      <c r="G3039" t="s">
        <v>231</v>
      </c>
      <c r="H3039" t="s">
        <v>232</v>
      </c>
      <c r="I3039" t="s">
        <v>595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127</v>
      </c>
      <c r="D3040" t="s">
        <v>243</v>
      </c>
      <c r="E3040" t="s">
        <v>89</v>
      </c>
      <c r="F3040">
        <v>46</v>
      </c>
      <c r="G3040" t="s">
        <v>231</v>
      </c>
      <c r="H3040" t="s">
        <v>186</v>
      </c>
      <c r="I3040" t="s">
        <v>148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127</v>
      </c>
      <c r="D3041" t="s">
        <v>243</v>
      </c>
      <c r="E3041" t="s">
        <v>89</v>
      </c>
      <c r="F3041">
        <v>46</v>
      </c>
      <c r="G3041" t="s">
        <v>231</v>
      </c>
      <c r="H3041" t="s">
        <v>186</v>
      </c>
      <c r="I3041" t="s">
        <v>595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127</v>
      </c>
      <c r="D3042" t="s">
        <v>243</v>
      </c>
      <c r="E3042" t="s">
        <v>89</v>
      </c>
      <c r="F3042">
        <v>46</v>
      </c>
      <c r="G3042" t="s">
        <v>231</v>
      </c>
      <c r="H3042" t="s">
        <v>187</v>
      </c>
      <c r="I3042" t="s">
        <v>148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127</v>
      </c>
      <c r="D3043" t="s">
        <v>243</v>
      </c>
      <c r="E3043" t="s">
        <v>89</v>
      </c>
      <c r="F3043">
        <v>46</v>
      </c>
      <c r="G3043" t="s">
        <v>231</v>
      </c>
      <c r="H3043" t="s">
        <v>187</v>
      </c>
      <c r="I3043" t="s">
        <v>595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127</v>
      </c>
      <c r="D3044" t="s">
        <v>243</v>
      </c>
      <c r="E3044" t="s">
        <v>89</v>
      </c>
      <c r="F3044">
        <v>46</v>
      </c>
      <c r="G3044" t="s">
        <v>231</v>
      </c>
      <c r="H3044" t="s">
        <v>198</v>
      </c>
      <c r="I3044" t="s">
        <v>148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127</v>
      </c>
      <c r="D3045" t="s">
        <v>243</v>
      </c>
      <c r="E3045" t="s">
        <v>89</v>
      </c>
      <c r="F3045">
        <v>46</v>
      </c>
      <c r="G3045" t="s">
        <v>231</v>
      </c>
      <c r="H3045" t="s">
        <v>198</v>
      </c>
      <c r="I3045" t="s">
        <v>595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127</v>
      </c>
      <c r="D3046" t="s">
        <v>243</v>
      </c>
      <c r="E3046" t="s">
        <v>89</v>
      </c>
      <c r="F3046">
        <v>46</v>
      </c>
      <c r="G3046" t="s">
        <v>231</v>
      </c>
      <c r="H3046" t="s">
        <v>188</v>
      </c>
      <c r="I3046" t="s">
        <v>148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127</v>
      </c>
      <c r="D3047" t="s">
        <v>243</v>
      </c>
      <c r="E3047" t="s">
        <v>89</v>
      </c>
      <c r="F3047">
        <v>46</v>
      </c>
      <c r="G3047" t="s">
        <v>231</v>
      </c>
      <c r="H3047" t="s">
        <v>188</v>
      </c>
      <c r="I3047" t="s">
        <v>595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127</v>
      </c>
      <c r="D3048" t="s">
        <v>243</v>
      </c>
      <c r="E3048" t="s">
        <v>89</v>
      </c>
      <c r="F3048">
        <v>46</v>
      </c>
      <c r="G3048" t="s">
        <v>233</v>
      </c>
      <c r="H3048" t="s">
        <v>234</v>
      </c>
      <c r="I3048" t="s">
        <v>624</v>
      </c>
      <c r="J3048" s="73">
        <v>45751</v>
      </c>
    </row>
    <row r="3049" spans="1:10" x14ac:dyDescent="0.25">
      <c r="A3049" s="1" t="s">
        <v>27</v>
      </c>
      <c r="B3049">
        <v>401752807</v>
      </c>
      <c r="C3049" t="s">
        <v>127</v>
      </c>
      <c r="D3049" t="s">
        <v>243</v>
      </c>
      <c r="E3049" t="s">
        <v>89</v>
      </c>
      <c r="F3049">
        <v>46</v>
      </c>
      <c r="G3049" t="s">
        <v>233</v>
      </c>
      <c r="H3049" t="s">
        <v>234</v>
      </c>
      <c r="I3049" t="s">
        <v>625</v>
      </c>
      <c r="J3049" t="s">
        <v>368</v>
      </c>
    </row>
    <row r="3050" spans="1:10" x14ac:dyDescent="0.25">
      <c r="A3050" s="1" t="s">
        <v>27</v>
      </c>
      <c r="B3050">
        <v>401752807</v>
      </c>
      <c r="C3050" t="s">
        <v>127</v>
      </c>
      <c r="D3050" t="s">
        <v>243</v>
      </c>
      <c r="E3050" t="s">
        <v>89</v>
      </c>
      <c r="F3050">
        <v>46</v>
      </c>
      <c r="G3050" t="s">
        <v>233</v>
      </c>
      <c r="H3050" t="s">
        <v>236</v>
      </c>
      <c r="I3050" t="s">
        <v>624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127</v>
      </c>
      <c r="D3051" t="s">
        <v>243</v>
      </c>
      <c r="E3051" t="s">
        <v>89</v>
      </c>
      <c r="F3051">
        <v>46</v>
      </c>
      <c r="G3051" t="s">
        <v>233</v>
      </c>
      <c r="H3051" t="s">
        <v>236</v>
      </c>
      <c r="I3051" t="s">
        <v>625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127</v>
      </c>
      <c r="D3052" t="s">
        <v>243</v>
      </c>
      <c r="E3052" t="s">
        <v>89</v>
      </c>
      <c r="F3052">
        <v>46</v>
      </c>
      <c r="G3052" t="s">
        <v>233</v>
      </c>
      <c r="H3052" t="s">
        <v>198</v>
      </c>
      <c r="I3052" t="s">
        <v>624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127</v>
      </c>
      <c r="D3053" t="s">
        <v>243</v>
      </c>
      <c r="E3053" t="s">
        <v>89</v>
      </c>
      <c r="F3053">
        <v>46</v>
      </c>
      <c r="G3053" t="s">
        <v>233</v>
      </c>
      <c r="H3053" t="s">
        <v>198</v>
      </c>
      <c r="I3053" t="s">
        <v>625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127</v>
      </c>
      <c r="D3054" t="s">
        <v>243</v>
      </c>
      <c r="E3054" t="s">
        <v>89</v>
      </c>
      <c r="F3054">
        <v>46</v>
      </c>
      <c r="G3054" t="s">
        <v>233</v>
      </c>
      <c r="H3054" t="s">
        <v>237</v>
      </c>
      <c r="I3054" t="s">
        <v>624</v>
      </c>
      <c r="J3054" s="73">
        <v>45719</v>
      </c>
    </row>
    <row r="3055" spans="1:10" x14ac:dyDescent="0.25">
      <c r="A3055" s="1" t="s">
        <v>27</v>
      </c>
      <c r="B3055">
        <v>401752807</v>
      </c>
      <c r="C3055" t="s">
        <v>127</v>
      </c>
      <c r="D3055" t="s">
        <v>243</v>
      </c>
      <c r="E3055" t="s">
        <v>89</v>
      </c>
      <c r="F3055">
        <v>46</v>
      </c>
      <c r="G3055" t="s">
        <v>233</v>
      </c>
      <c r="H3055" t="s">
        <v>237</v>
      </c>
      <c r="I3055" t="s">
        <v>625</v>
      </c>
      <c r="J3055" s="73">
        <v>45658</v>
      </c>
    </row>
    <row r="3056" spans="1:10" x14ac:dyDescent="0.25">
      <c r="A3056" s="1" t="s">
        <v>27</v>
      </c>
      <c r="B3056">
        <v>401752807</v>
      </c>
      <c r="C3056" t="s">
        <v>127</v>
      </c>
      <c r="D3056" t="s">
        <v>243</v>
      </c>
      <c r="E3056" t="s">
        <v>89</v>
      </c>
      <c r="F3056">
        <v>46</v>
      </c>
      <c r="G3056" t="s">
        <v>233</v>
      </c>
      <c r="H3056" t="s">
        <v>238</v>
      </c>
      <c r="I3056" t="s">
        <v>624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127</v>
      </c>
      <c r="D3057" t="s">
        <v>243</v>
      </c>
      <c r="E3057" t="s">
        <v>89</v>
      </c>
      <c r="F3057">
        <v>46</v>
      </c>
      <c r="G3057" t="s">
        <v>233</v>
      </c>
      <c r="H3057" t="s">
        <v>238</v>
      </c>
      <c r="I3057" t="s">
        <v>625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131</v>
      </c>
      <c r="D3058" t="s">
        <v>408</v>
      </c>
      <c r="E3058" t="s">
        <v>89</v>
      </c>
      <c r="F3058">
        <v>42</v>
      </c>
      <c r="G3058" t="s">
        <v>180</v>
      </c>
      <c r="H3058" t="s">
        <v>181</v>
      </c>
      <c r="I3058" t="s">
        <v>164</v>
      </c>
      <c r="J3058" t="s">
        <v>626</v>
      </c>
    </row>
    <row r="3059" spans="1:10" x14ac:dyDescent="0.25">
      <c r="A3059" s="1" t="s">
        <v>27</v>
      </c>
      <c r="B3059">
        <v>401752678</v>
      </c>
      <c r="C3059" t="s">
        <v>131</v>
      </c>
      <c r="D3059" t="s">
        <v>408</v>
      </c>
      <c r="E3059" t="s">
        <v>89</v>
      </c>
      <c r="F3059">
        <v>42</v>
      </c>
      <c r="G3059" t="s">
        <v>180</v>
      </c>
      <c r="H3059" t="s">
        <v>181</v>
      </c>
      <c r="I3059" t="s">
        <v>627</v>
      </c>
      <c r="J3059" s="73">
        <v>45659</v>
      </c>
    </row>
    <row r="3060" spans="1:10" x14ac:dyDescent="0.25">
      <c r="A3060" s="1" t="s">
        <v>27</v>
      </c>
      <c r="B3060">
        <v>401752678</v>
      </c>
      <c r="C3060" t="s">
        <v>131</v>
      </c>
      <c r="D3060" t="s">
        <v>408</v>
      </c>
      <c r="E3060" t="s">
        <v>89</v>
      </c>
      <c r="F3060">
        <v>42</v>
      </c>
      <c r="G3060" t="s">
        <v>180</v>
      </c>
      <c r="H3060" t="s">
        <v>186</v>
      </c>
      <c r="I3060" t="s">
        <v>164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131</v>
      </c>
      <c r="D3061" t="s">
        <v>408</v>
      </c>
      <c r="E3061" t="s">
        <v>89</v>
      </c>
      <c r="F3061">
        <v>42</v>
      </c>
      <c r="G3061" t="s">
        <v>180</v>
      </c>
      <c r="H3061" t="s">
        <v>186</v>
      </c>
      <c r="I3061" t="s">
        <v>627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131</v>
      </c>
      <c r="D3062" t="s">
        <v>408</v>
      </c>
      <c r="E3062" t="s">
        <v>89</v>
      </c>
      <c r="F3062">
        <v>42</v>
      </c>
      <c r="G3062" t="s">
        <v>180</v>
      </c>
      <c r="H3062" t="s">
        <v>187</v>
      </c>
      <c r="I3062" t="s">
        <v>164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131</v>
      </c>
      <c r="D3063" t="s">
        <v>408</v>
      </c>
      <c r="E3063" t="s">
        <v>89</v>
      </c>
      <c r="F3063">
        <v>42</v>
      </c>
      <c r="G3063" t="s">
        <v>180</v>
      </c>
      <c r="H3063" t="s">
        <v>187</v>
      </c>
      <c r="I3063" t="s">
        <v>627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131</v>
      </c>
      <c r="D3064" t="s">
        <v>408</v>
      </c>
      <c r="E3064" t="s">
        <v>89</v>
      </c>
      <c r="F3064">
        <v>42</v>
      </c>
      <c r="G3064" t="s">
        <v>180</v>
      </c>
      <c r="H3064" t="s">
        <v>188</v>
      </c>
      <c r="I3064" t="s">
        <v>164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131</v>
      </c>
      <c r="D3065" t="s">
        <v>408</v>
      </c>
      <c r="E3065" t="s">
        <v>89</v>
      </c>
      <c r="F3065">
        <v>42</v>
      </c>
      <c r="G3065" t="s">
        <v>180</v>
      </c>
      <c r="H3065" t="s">
        <v>188</v>
      </c>
      <c r="I3065" t="s">
        <v>627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131</v>
      </c>
      <c r="D3066" t="s">
        <v>408</v>
      </c>
      <c r="E3066" t="s">
        <v>89</v>
      </c>
      <c r="F3066">
        <v>42</v>
      </c>
      <c r="G3066" t="s">
        <v>180</v>
      </c>
      <c r="H3066" t="s">
        <v>189</v>
      </c>
      <c r="I3066" t="s">
        <v>164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131</v>
      </c>
      <c r="D3067" t="s">
        <v>408</v>
      </c>
      <c r="E3067" t="s">
        <v>89</v>
      </c>
      <c r="F3067">
        <v>42</v>
      </c>
      <c r="G3067" t="s">
        <v>180</v>
      </c>
      <c r="H3067" t="s">
        <v>189</v>
      </c>
      <c r="I3067" t="s">
        <v>627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131</v>
      </c>
      <c r="D3068" t="s">
        <v>408</v>
      </c>
      <c r="E3068" t="s">
        <v>89</v>
      </c>
      <c r="F3068">
        <v>42</v>
      </c>
      <c r="G3068" t="s">
        <v>192</v>
      </c>
      <c r="H3068" t="s">
        <v>193</v>
      </c>
      <c r="I3068" t="s">
        <v>164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131</v>
      </c>
      <c r="D3069" t="s">
        <v>408</v>
      </c>
      <c r="E3069" t="s">
        <v>89</v>
      </c>
      <c r="F3069">
        <v>42</v>
      </c>
      <c r="G3069" t="s">
        <v>192</v>
      </c>
      <c r="H3069" t="s">
        <v>193</v>
      </c>
      <c r="I3069" t="s">
        <v>628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131</v>
      </c>
      <c r="D3070" t="s">
        <v>408</v>
      </c>
      <c r="E3070" t="s">
        <v>89</v>
      </c>
      <c r="F3070">
        <v>42</v>
      </c>
      <c r="G3070" t="s">
        <v>192</v>
      </c>
      <c r="H3070" t="s">
        <v>193</v>
      </c>
      <c r="I3070" t="s">
        <v>629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131</v>
      </c>
      <c r="D3071" t="s">
        <v>408</v>
      </c>
      <c r="E3071" t="s">
        <v>89</v>
      </c>
      <c r="F3071">
        <v>42</v>
      </c>
      <c r="G3071" t="s">
        <v>192</v>
      </c>
      <c r="H3071" t="s">
        <v>193</v>
      </c>
      <c r="I3071" t="s">
        <v>630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131</v>
      </c>
      <c r="D3072" t="s">
        <v>408</v>
      </c>
      <c r="E3072" t="s">
        <v>89</v>
      </c>
      <c r="F3072">
        <v>42</v>
      </c>
      <c r="G3072" t="s">
        <v>192</v>
      </c>
      <c r="H3072" t="s">
        <v>193</v>
      </c>
      <c r="I3072" t="s">
        <v>631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131</v>
      </c>
      <c r="D3073" t="s">
        <v>408</v>
      </c>
      <c r="E3073" t="s">
        <v>89</v>
      </c>
      <c r="F3073">
        <v>42</v>
      </c>
      <c r="G3073" t="s">
        <v>192</v>
      </c>
      <c r="H3073" t="s">
        <v>193</v>
      </c>
      <c r="I3073" t="s">
        <v>627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131</v>
      </c>
      <c r="D3074" t="s">
        <v>408</v>
      </c>
      <c r="E3074" t="s">
        <v>89</v>
      </c>
      <c r="F3074">
        <v>42</v>
      </c>
      <c r="G3074" t="s">
        <v>192</v>
      </c>
      <c r="H3074" t="s">
        <v>193</v>
      </c>
      <c r="I3074" t="s">
        <v>184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131</v>
      </c>
      <c r="D3075" t="s">
        <v>408</v>
      </c>
      <c r="E3075" t="s">
        <v>89</v>
      </c>
      <c r="F3075">
        <v>42</v>
      </c>
      <c r="G3075" t="s">
        <v>192</v>
      </c>
      <c r="H3075" t="s">
        <v>186</v>
      </c>
      <c r="I3075" t="s">
        <v>164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131</v>
      </c>
      <c r="D3076" t="s">
        <v>408</v>
      </c>
      <c r="E3076" t="s">
        <v>89</v>
      </c>
      <c r="F3076">
        <v>42</v>
      </c>
      <c r="G3076" t="s">
        <v>192</v>
      </c>
      <c r="H3076" t="s">
        <v>186</v>
      </c>
      <c r="I3076" t="s">
        <v>628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131</v>
      </c>
      <c r="D3077" t="s">
        <v>408</v>
      </c>
      <c r="E3077" t="s">
        <v>89</v>
      </c>
      <c r="F3077">
        <v>42</v>
      </c>
      <c r="G3077" t="s">
        <v>192</v>
      </c>
      <c r="H3077" t="s">
        <v>186</v>
      </c>
      <c r="I3077" t="s">
        <v>629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131</v>
      </c>
      <c r="D3078" t="s">
        <v>408</v>
      </c>
      <c r="E3078" t="s">
        <v>89</v>
      </c>
      <c r="F3078">
        <v>42</v>
      </c>
      <c r="G3078" t="s">
        <v>192</v>
      </c>
      <c r="H3078" t="s">
        <v>186</v>
      </c>
      <c r="I3078" t="s">
        <v>630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131</v>
      </c>
      <c r="D3079" t="s">
        <v>408</v>
      </c>
      <c r="E3079" t="s">
        <v>89</v>
      </c>
      <c r="F3079">
        <v>42</v>
      </c>
      <c r="G3079" t="s">
        <v>192</v>
      </c>
      <c r="H3079" t="s">
        <v>186</v>
      </c>
      <c r="I3079" t="s">
        <v>631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131</v>
      </c>
      <c r="D3080" t="s">
        <v>408</v>
      </c>
      <c r="E3080" t="s">
        <v>89</v>
      </c>
      <c r="F3080">
        <v>42</v>
      </c>
      <c r="G3080" t="s">
        <v>192</v>
      </c>
      <c r="H3080" t="s">
        <v>186</v>
      </c>
      <c r="I3080" t="s">
        <v>627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131</v>
      </c>
      <c r="D3081" t="s">
        <v>408</v>
      </c>
      <c r="E3081" t="s">
        <v>89</v>
      </c>
      <c r="F3081">
        <v>42</v>
      </c>
      <c r="G3081" t="s">
        <v>192</v>
      </c>
      <c r="H3081" t="s">
        <v>186</v>
      </c>
      <c r="I3081" t="s">
        <v>184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131</v>
      </c>
      <c r="D3082" t="s">
        <v>408</v>
      </c>
      <c r="E3082" t="s">
        <v>89</v>
      </c>
      <c r="F3082">
        <v>42</v>
      </c>
      <c r="G3082" t="s">
        <v>192</v>
      </c>
      <c r="H3082" t="s">
        <v>187</v>
      </c>
      <c r="I3082" t="s">
        <v>164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131</v>
      </c>
      <c r="D3083" t="s">
        <v>408</v>
      </c>
      <c r="E3083" t="s">
        <v>89</v>
      </c>
      <c r="F3083">
        <v>42</v>
      </c>
      <c r="G3083" t="s">
        <v>192</v>
      </c>
      <c r="H3083" t="s">
        <v>187</v>
      </c>
      <c r="I3083" t="s">
        <v>628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131</v>
      </c>
      <c r="D3084" t="s">
        <v>408</v>
      </c>
      <c r="E3084" t="s">
        <v>89</v>
      </c>
      <c r="F3084">
        <v>42</v>
      </c>
      <c r="G3084" t="s">
        <v>192</v>
      </c>
      <c r="H3084" t="s">
        <v>187</v>
      </c>
      <c r="I3084" t="s">
        <v>629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131</v>
      </c>
      <c r="D3085" t="s">
        <v>408</v>
      </c>
      <c r="E3085" t="s">
        <v>89</v>
      </c>
      <c r="F3085">
        <v>42</v>
      </c>
      <c r="G3085" t="s">
        <v>192</v>
      </c>
      <c r="H3085" t="s">
        <v>187</v>
      </c>
      <c r="I3085" t="s">
        <v>630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131</v>
      </c>
      <c r="D3086" t="s">
        <v>408</v>
      </c>
      <c r="E3086" t="s">
        <v>89</v>
      </c>
      <c r="F3086">
        <v>42</v>
      </c>
      <c r="G3086" t="s">
        <v>192</v>
      </c>
      <c r="H3086" t="s">
        <v>187</v>
      </c>
      <c r="I3086" t="s">
        <v>631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131</v>
      </c>
      <c r="D3087" t="s">
        <v>408</v>
      </c>
      <c r="E3087" t="s">
        <v>89</v>
      </c>
      <c r="F3087">
        <v>42</v>
      </c>
      <c r="G3087" t="s">
        <v>192</v>
      </c>
      <c r="H3087" t="s">
        <v>187</v>
      </c>
      <c r="I3087" t="s">
        <v>627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131</v>
      </c>
      <c r="D3088" t="s">
        <v>408</v>
      </c>
      <c r="E3088" t="s">
        <v>89</v>
      </c>
      <c r="F3088">
        <v>42</v>
      </c>
      <c r="G3088" t="s">
        <v>192</v>
      </c>
      <c r="H3088" t="s">
        <v>187</v>
      </c>
      <c r="I3088" t="s">
        <v>184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131</v>
      </c>
      <c r="D3089" t="s">
        <v>408</v>
      </c>
      <c r="E3089" t="s">
        <v>89</v>
      </c>
      <c r="F3089">
        <v>42</v>
      </c>
      <c r="G3089" t="s">
        <v>192</v>
      </c>
      <c r="H3089" t="s">
        <v>188</v>
      </c>
      <c r="I3089" t="s">
        <v>164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131</v>
      </c>
      <c r="D3090" t="s">
        <v>408</v>
      </c>
      <c r="E3090" t="s">
        <v>89</v>
      </c>
      <c r="F3090">
        <v>42</v>
      </c>
      <c r="G3090" t="s">
        <v>192</v>
      </c>
      <c r="H3090" t="s">
        <v>188</v>
      </c>
      <c r="I3090" t="s">
        <v>628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131</v>
      </c>
      <c r="D3091" t="s">
        <v>408</v>
      </c>
      <c r="E3091" t="s">
        <v>89</v>
      </c>
      <c r="F3091">
        <v>42</v>
      </c>
      <c r="G3091" t="s">
        <v>192</v>
      </c>
      <c r="H3091" t="s">
        <v>188</v>
      </c>
      <c r="I3091" t="s">
        <v>629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131</v>
      </c>
      <c r="D3092" t="s">
        <v>408</v>
      </c>
      <c r="E3092" t="s">
        <v>89</v>
      </c>
      <c r="F3092">
        <v>42</v>
      </c>
      <c r="G3092" t="s">
        <v>192</v>
      </c>
      <c r="H3092" t="s">
        <v>188</v>
      </c>
      <c r="I3092" t="s">
        <v>630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131</v>
      </c>
      <c r="D3093" t="s">
        <v>408</v>
      </c>
      <c r="E3093" t="s">
        <v>89</v>
      </c>
      <c r="F3093">
        <v>42</v>
      </c>
      <c r="G3093" t="s">
        <v>192</v>
      </c>
      <c r="H3093" t="s">
        <v>188</v>
      </c>
      <c r="I3093" t="s">
        <v>631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131</v>
      </c>
      <c r="D3094" t="s">
        <v>408</v>
      </c>
      <c r="E3094" t="s">
        <v>89</v>
      </c>
      <c r="F3094">
        <v>42</v>
      </c>
      <c r="G3094" t="s">
        <v>192</v>
      </c>
      <c r="H3094" t="s">
        <v>188</v>
      </c>
      <c r="I3094" t="s">
        <v>627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131</v>
      </c>
      <c r="D3095" t="s">
        <v>408</v>
      </c>
      <c r="E3095" t="s">
        <v>89</v>
      </c>
      <c r="F3095">
        <v>42</v>
      </c>
      <c r="G3095" t="s">
        <v>192</v>
      </c>
      <c r="H3095" t="s">
        <v>188</v>
      </c>
      <c r="I3095" t="s">
        <v>184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131</v>
      </c>
      <c r="D3096" t="s">
        <v>408</v>
      </c>
      <c r="E3096" t="s">
        <v>89</v>
      </c>
      <c r="F3096">
        <v>42</v>
      </c>
      <c r="G3096" t="s">
        <v>192</v>
      </c>
      <c r="H3096" t="s">
        <v>198</v>
      </c>
      <c r="I3096" t="s">
        <v>164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131</v>
      </c>
      <c r="D3097" t="s">
        <v>408</v>
      </c>
      <c r="E3097" t="s">
        <v>89</v>
      </c>
      <c r="F3097">
        <v>42</v>
      </c>
      <c r="G3097" t="s">
        <v>192</v>
      </c>
      <c r="H3097" t="s">
        <v>198</v>
      </c>
      <c r="I3097" t="s">
        <v>628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131</v>
      </c>
      <c r="D3098" t="s">
        <v>408</v>
      </c>
      <c r="E3098" t="s">
        <v>89</v>
      </c>
      <c r="F3098">
        <v>42</v>
      </c>
      <c r="G3098" t="s">
        <v>192</v>
      </c>
      <c r="H3098" t="s">
        <v>198</v>
      </c>
      <c r="I3098" t="s">
        <v>629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131</v>
      </c>
      <c r="D3099" t="s">
        <v>408</v>
      </c>
      <c r="E3099" t="s">
        <v>89</v>
      </c>
      <c r="F3099">
        <v>42</v>
      </c>
      <c r="G3099" t="s">
        <v>192</v>
      </c>
      <c r="H3099" t="s">
        <v>198</v>
      </c>
      <c r="I3099" t="s">
        <v>630</v>
      </c>
      <c r="J3099">
        <v>7</v>
      </c>
    </row>
    <row r="3100" spans="1:10" x14ac:dyDescent="0.25">
      <c r="A3100" s="1" t="s">
        <v>27</v>
      </c>
      <c r="B3100">
        <v>401752678</v>
      </c>
      <c r="C3100" t="s">
        <v>131</v>
      </c>
      <c r="D3100" t="s">
        <v>408</v>
      </c>
      <c r="E3100" t="s">
        <v>89</v>
      </c>
      <c r="F3100">
        <v>42</v>
      </c>
      <c r="G3100" t="s">
        <v>192</v>
      </c>
      <c r="H3100" t="s">
        <v>198</v>
      </c>
      <c r="I3100" t="s">
        <v>631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131</v>
      </c>
      <c r="D3101" t="s">
        <v>408</v>
      </c>
      <c r="E3101" t="s">
        <v>89</v>
      </c>
      <c r="F3101">
        <v>42</v>
      </c>
      <c r="G3101" t="s">
        <v>192</v>
      </c>
      <c r="H3101" t="s">
        <v>198</v>
      </c>
      <c r="I3101" t="s">
        <v>627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131</v>
      </c>
      <c r="D3102" t="s">
        <v>408</v>
      </c>
      <c r="E3102" t="s">
        <v>89</v>
      </c>
      <c r="F3102">
        <v>42</v>
      </c>
      <c r="G3102" t="s">
        <v>192</v>
      </c>
      <c r="H3102" t="s">
        <v>198</v>
      </c>
      <c r="I3102" t="s">
        <v>184</v>
      </c>
      <c r="J3102">
        <v>0</v>
      </c>
    </row>
    <row r="3103" spans="1:10" x14ac:dyDescent="0.25">
      <c r="A3103" s="1" t="s">
        <v>27</v>
      </c>
      <c r="B3103">
        <v>401752678</v>
      </c>
      <c r="C3103" t="s">
        <v>131</v>
      </c>
      <c r="D3103" t="s">
        <v>408</v>
      </c>
      <c r="E3103" t="s">
        <v>89</v>
      </c>
      <c r="F3103">
        <v>42</v>
      </c>
      <c r="G3103" t="s">
        <v>199</v>
      </c>
      <c r="H3103" t="s">
        <v>0</v>
      </c>
      <c r="I3103" t="s">
        <v>632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131</v>
      </c>
      <c r="D3104" t="s">
        <v>408</v>
      </c>
      <c r="E3104" t="s">
        <v>89</v>
      </c>
      <c r="F3104">
        <v>42</v>
      </c>
      <c r="G3104" t="s">
        <v>199</v>
      </c>
      <c r="H3104" t="s">
        <v>0</v>
      </c>
      <c r="I3104" t="s">
        <v>633</v>
      </c>
      <c r="J3104">
        <v>3</v>
      </c>
    </row>
    <row r="3105" spans="1:10" x14ac:dyDescent="0.25">
      <c r="A3105" s="1" t="s">
        <v>27</v>
      </c>
      <c r="B3105">
        <v>401752678</v>
      </c>
      <c r="C3105" t="s">
        <v>131</v>
      </c>
      <c r="D3105" t="s">
        <v>408</v>
      </c>
      <c r="E3105" t="s">
        <v>89</v>
      </c>
      <c r="F3105">
        <v>42</v>
      </c>
      <c r="G3105" t="s">
        <v>199</v>
      </c>
      <c r="H3105" t="s">
        <v>0</v>
      </c>
      <c r="I3105" t="s">
        <v>634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131</v>
      </c>
      <c r="D3106" t="s">
        <v>408</v>
      </c>
      <c r="E3106" t="s">
        <v>89</v>
      </c>
      <c r="F3106">
        <v>42</v>
      </c>
      <c r="G3106" t="s">
        <v>199</v>
      </c>
      <c r="H3106" t="s">
        <v>0</v>
      </c>
      <c r="I3106" t="s">
        <v>635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131</v>
      </c>
      <c r="D3107" t="s">
        <v>408</v>
      </c>
      <c r="E3107" t="s">
        <v>89</v>
      </c>
      <c r="F3107">
        <v>42</v>
      </c>
      <c r="G3107" t="s">
        <v>199</v>
      </c>
      <c r="H3107" t="s">
        <v>0</v>
      </c>
      <c r="I3107" t="s">
        <v>636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131</v>
      </c>
      <c r="D3108" t="s">
        <v>408</v>
      </c>
      <c r="E3108" t="s">
        <v>89</v>
      </c>
      <c r="F3108">
        <v>42</v>
      </c>
      <c r="G3108" t="s">
        <v>199</v>
      </c>
      <c r="H3108" t="s">
        <v>0</v>
      </c>
      <c r="I3108" t="s">
        <v>637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131</v>
      </c>
      <c r="D3109" t="s">
        <v>408</v>
      </c>
      <c r="E3109" t="s">
        <v>89</v>
      </c>
      <c r="F3109">
        <v>42</v>
      </c>
      <c r="G3109" t="s">
        <v>199</v>
      </c>
      <c r="H3109" t="s">
        <v>0</v>
      </c>
      <c r="I3109" t="s">
        <v>638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131</v>
      </c>
      <c r="D3110" t="s">
        <v>408</v>
      </c>
      <c r="E3110" t="s">
        <v>89</v>
      </c>
      <c r="F3110">
        <v>42</v>
      </c>
      <c r="G3110" t="s">
        <v>199</v>
      </c>
      <c r="H3110" t="s">
        <v>0</v>
      </c>
      <c r="I3110" t="s">
        <v>639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131</v>
      </c>
      <c r="D3111" t="s">
        <v>408</v>
      </c>
      <c r="E3111" t="s">
        <v>89</v>
      </c>
      <c r="F3111">
        <v>42</v>
      </c>
      <c r="G3111" t="s">
        <v>199</v>
      </c>
      <c r="H3111" t="s">
        <v>0</v>
      </c>
      <c r="I3111" t="s">
        <v>640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131</v>
      </c>
      <c r="D3112" t="s">
        <v>408</v>
      </c>
      <c r="E3112" t="s">
        <v>89</v>
      </c>
      <c r="F3112">
        <v>42</v>
      </c>
      <c r="G3112" t="s">
        <v>199</v>
      </c>
      <c r="H3112" t="s">
        <v>0</v>
      </c>
      <c r="I3112" t="s">
        <v>628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131</v>
      </c>
      <c r="D3113" t="s">
        <v>408</v>
      </c>
      <c r="E3113" t="s">
        <v>89</v>
      </c>
      <c r="F3113">
        <v>42</v>
      </c>
      <c r="G3113" t="s">
        <v>199</v>
      </c>
      <c r="H3113" t="s">
        <v>0</v>
      </c>
      <c r="I3113" t="s">
        <v>629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131</v>
      </c>
      <c r="D3114" t="s">
        <v>408</v>
      </c>
      <c r="E3114" t="s">
        <v>89</v>
      </c>
      <c r="F3114">
        <v>42</v>
      </c>
      <c r="G3114" t="s">
        <v>199</v>
      </c>
      <c r="H3114" t="s">
        <v>186</v>
      </c>
      <c r="I3114" t="s">
        <v>632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131</v>
      </c>
      <c r="D3115" t="s">
        <v>408</v>
      </c>
      <c r="E3115" t="s">
        <v>89</v>
      </c>
      <c r="F3115">
        <v>42</v>
      </c>
      <c r="G3115" t="s">
        <v>199</v>
      </c>
      <c r="H3115" t="s">
        <v>186</v>
      </c>
      <c r="I3115" t="s">
        <v>633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131</v>
      </c>
      <c r="D3116" t="s">
        <v>408</v>
      </c>
      <c r="E3116" t="s">
        <v>89</v>
      </c>
      <c r="F3116">
        <v>42</v>
      </c>
      <c r="G3116" t="s">
        <v>199</v>
      </c>
      <c r="H3116" t="s">
        <v>186</v>
      </c>
      <c r="I3116" t="s">
        <v>634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131</v>
      </c>
      <c r="D3117" t="s">
        <v>408</v>
      </c>
      <c r="E3117" t="s">
        <v>89</v>
      </c>
      <c r="F3117">
        <v>42</v>
      </c>
      <c r="G3117" t="s">
        <v>199</v>
      </c>
      <c r="H3117" t="s">
        <v>186</v>
      </c>
      <c r="I3117" t="s">
        <v>635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131</v>
      </c>
      <c r="D3118" t="s">
        <v>408</v>
      </c>
      <c r="E3118" t="s">
        <v>89</v>
      </c>
      <c r="F3118">
        <v>42</v>
      </c>
      <c r="G3118" t="s">
        <v>199</v>
      </c>
      <c r="H3118" t="s">
        <v>186</v>
      </c>
      <c r="I3118" t="s">
        <v>636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131</v>
      </c>
      <c r="D3119" t="s">
        <v>408</v>
      </c>
      <c r="E3119" t="s">
        <v>89</v>
      </c>
      <c r="F3119">
        <v>42</v>
      </c>
      <c r="G3119" t="s">
        <v>199</v>
      </c>
      <c r="H3119" t="s">
        <v>186</v>
      </c>
      <c r="I3119" t="s">
        <v>637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131</v>
      </c>
      <c r="D3120" t="s">
        <v>408</v>
      </c>
      <c r="E3120" t="s">
        <v>89</v>
      </c>
      <c r="F3120">
        <v>42</v>
      </c>
      <c r="G3120" t="s">
        <v>199</v>
      </c>
      <c r="H3120" t="s">
        <v>186</v>
      </c>
      <c r="I3120" t="s">
        <v>638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131</v>
      </c>
      <c r="D3121" t="s">
        <v>408</v>
      </c>
      <c r="E3121" t="s">
        <v>89</v>
      </c>
      <c r="F3121">
        <v>42</v>
      </c>
      <c r="G3121" t="s">
        <v>199</v>
      </c>
      <c r="H3121" t="s">
        <v>186</v>
      </c>
      <c r="I3121" t="s">
        <v>639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131</v>
      </c>
      <c r="D3122" t="s">
        <v>408</v>
      </c>
      <c r="E3122" t="s">
        <v>89</v>
      </c>
      <c r="F3122">
        <v>42</v>
      </c>
      <c r="G3122" t="s">
        <v>199</v>
      </c>
      <c r="H3122" t="s">
        <v>186</v>
      </c>
      <c r="I3122" t="s">
        <v>640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131</v>
      </c>
      <c r="D3123" t="s">
        <v>408</v>
      </c>
      <c r="E3123" t="s">
        <v>89</v>
      </c>
      <c r="F3123">
        <v>42</v>
      </c>
      <c r="G3123" t="s">
        <v>199</v>
      </c>
      <c r="H3123" t="s">
        <v>186</v>
      </c>
      <c r="I3123" t="s">
        <v>628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131</v>
      </c>
      <c r="D3124" t="s">
        <v>408</v>
      </c>
      <c r="E3124" t="s">
        <v>89</v>
      </c>
      <c r="F3124">
        <v>42</v>
      </c>
      <c r="G3124" t="s">
        <v>199</v>
      </c>
      <c r="H3124" t="s">
        <v>186</v>
      </c>
      <c r="I3124" t="s">
        <v>629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131</v>
      </c>
      <c r="D3125" t="s">
        <v>408</v>
      </c>
      <c r="E3125" t="s">
        <v>89</v>
      </c>
      <c r="F3125">
        <v>42</v>
      </c>
      <c r="G3125" t="s">
        <v>199</v>
      </c>
      <c r="H3125" t="s">
        <v>187</v>
      </c>
      <c r="I3125" t="s">
        <v>632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131</v>
      </c>
      <c r="D3126" t="s">
        <v>408</v>
      </c>
      <c r="E3126" t="s">
        <v>89</v>
      </c>
      <c r="F3126">
        <v>42</v>
      </c>
      <c r="G3126" t="s">
        <v>199</v>
      </c>
      <c r="H3126" t="s">
        <v>187</v>
      </c>
      <c r="I3126" t="s">
        <v>633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131</v>
      </c>
      <c r="D3127" t="s">
        <v>408</v>
      </c>
      <c r="E3127" t="s">
        <v>89</v>
      </c>
      <c r="F3127">
        <v>42</v>
      </c>
      <c r="G3127" t="s">
        <v>199</v>
      </c>
      <c r="H3127" t="s">
        <v>187</v>
      </c>
      <c r="I3127" t="s">
        <v>634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131</v>
      </c>
      <c r="D3128" t="s">
        <v>408</v>
      </c>
      <c r="E3128" t="s">
        <v>89</v>
      </c>
      <c r="F3128">
        <v>42</v>
      </c>
      <c r="G3128" t="s">
        <v>199</v>
      </c>
      <c r="H3128" t="s">
        <v>187</v>
      </c>
      <c r="I3128" t="s">
        <v>635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131</v>
      </c>
      <c r="D3129" t="s">
        <v>408</v>
      </c>
      <c r="E3129" t="s">
        <v>89</v>
      </c>
      <c r="F3129">
        <v>42</v>
      </c>
      <c r="G3129" t="s">
        <v>199</v>
      </c>
      <c r="H3129" t="s">
        <v>187</v>
      </c>
      <c r="I3129" t="s">
        <v>636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131</v>
      </c>
      <c r="D3130" t="s">
        <v>408</v>
      </c>
      <c r="E3130" t="s">
        <v>89</v>
      </c>
      <c r="F3130">
        <v>42</v>
      </c>
      <c r="G3130" t="s">
        <v>199</v>
      </c>
      <c r="H3130" t="s">
        <v>187</v>
      </c>
      <c r="I3130" t="s">
        <v>637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131</v>
      </c>
      <c r="D3131" t="s">
        <v>408</v>
      </c>
      <c r="E3131" t="s">
        <v>89</v>
      </c>
      <c r="F3131">
        <v>42</v>
      </c>
      <c r="G3131" t="s">
        <v>199</v>
      </c>
      <c r="H3131" t="s">
        <v>187</v>
      </c>
      <c r="I3131" t="s">
        <v>638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131</v>
      </c>
      <c r="D3132" t="s">
        <v>408</v>
      </c>
      <c r="E3132" t="s">
        <v>89</v>
      </c>
      <c r="F3132">
        <v>42</v>
      </c>
      <c r="G3132" t="s">
        <v>199</v>
      </c>
      <c r="H3132" t="s">
        <v>187</v>
      </c>
      <c r="I3132" t="s">
        <v>639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131</v>
      </c>
      <c r="D3133" t="s">
        <v>408</v>
      </c>
      <c r="E3133" t="s">
        <v>89</v>
      </c>
      <c r="F3133">
        <v>42</v>
      </c>
      <c r="G3133" t="s">
        <v>199</v>
      </c>
      <c r="H3133" t="s">
        <v>187</v>
      </c>
      <c r="I3133" t="s">
        <v>640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131</v>
      </c>
      <c r="D3134" t="s">
        <v>408</v>
      </c>
      <c r="E3134" t="s">
        <v>89</v>
      </c>
      <c r="F3134">
        <v>42</v>
      </c>
      <c r="G3134" t="s">
        <v>199</v>
      </c>
      <c r="H3134" t="s">
        <v>187</v>
      </c>
      <c r="I3134" t="s">
        <v>628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131</v>
      </c>
      <c r="D3135" t="s">
        <v>408</v>
      </c>
      <c r="E3135" t="s">
        <v>89</v>
      </c>
      <c r="F3135">
        <v>42</v>
      </c>
      <c r="G3135" t="s">
        <v>199</v>
      </c>
      <c r="H3135" t="s">
        <v>187</v>
      </c>
      <c r="I3135" t="s">
        <v>629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131</v>
      </c>
      <c r="D3136" t="s">
        <v>408</v>
      </c>
      <c r="E3136" t="s">
        <v>89</v>
      </c>
      <c r="F3136">
        <v>42</v>
      </c>
      <c r="G3136" t="s">
        <v>199</v>
      </c>
      <c r="H3136" t="s">
        <v>188</v>
      </c>
      <c r="I3136" t="s">
        <v>632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131</v>
      </c>
      <c r="D3137" t="s">
        <v>408</v>
      </c>
      <c r="E3137" t="s">
        <v>89</v>
      </c>
      <c r="F3137">
        <v>42</v>
      </c>
      <c r="G3137" t="s">
        <v>199</v>
      </c>
      <c r="H3137" t="s">
        <v>188</v>
      </c>
      <c r="I3137" t="s">
        <v>633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131</v>
      </c>
      <c r="D3138" t="s">
        <v>408</v>
      </c>
      <c r="E3138" t="s">
        <v>89</v>
      </c>
      <c r="F3138">
        <v>42</v>
      </c>
      <c r="G3138" t="s">
        <v>199</v>
      </c>
      <c r="H3138" t="s">
        <v>188</v>
      </c>
      <c r="I3138" t="s">
        <v>634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131</v>
      </c>
      <c r="D3139" t="s">
        <v>408</v>
      </c>
      <c r="E3139" t="s">
        <v>89</v>
      </c>
      <c r="F3139">
        <v>42</v>
      </c>
      <c r="G3139" t="s">
        <v>199</v>
      </c>
      <c r="H3139" t="s">
        <v>188</v>
      </c>
      <c r="I3139" t="s">
        <v>635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131</v>
      </c>
      <c r="D3140" t="s">
        <v>408</v>
      </c>
      <c r="E3140" t="s">
        <v>89</v>
      </c>
      <c r="F3140">
        <v>42</v>
      </c>
      <c r="G3140" t="s">
        <v>199</v>
      </c>
      <c r="H3140" t="s">
        <v>188</v>
      </c>
      <c r="I3140" t="s">
        <v>636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131</v>
      </c>
      <c r="D3141" t="s">
        <v>408</v>
      </c>
      <c r="E3141" t="s">
        <v>89</v>
      </c>
      <c r="F3141">
        <v>42</v>
      </c>
      <c r="G3141" t="s">
        <v>199</v>
      </c>
      <c r="H3141" t="s">
        <v>188</v>
      </c>
      <c r="I3141" t="s">
        <v>637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131</v>
      </c>
      <c r="D3142" t="s">
        <v>408</v>
      </c>
      <c r="E3142" t="s">
        <v>89</v>
      </c>
      <c r="F3142">
        <v>42</v>
      </c>
      <c r="G3142" t="s">
        <v>199</v>
      </c>
      <c r="H3142" t="s">
        <v>188</v>
      </c>
      <c r="I3142" t="s">
        <v>638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131</v>
      </c>
      <c r="D3143" t="s">
        <v>408</v>
      </c>
      <c r="E3143" t="s">
        <v>89</v>
      </c>
      <c r="F3143">
        <v>42</v>
      </c>
      <c r="G3143" t="s">
        <v>199</v>
      </c>
      <c r="H3143" t="s">
        <v>188</v>
      </c>
      <c r="I3143" t="s">
        <v>639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131</v>
      </c>
      <c r="D3144" t="s">
        <v>408</v>
      </c>
      <c r="E3144" t="s">
        <v>89</v>
      </c>
      <c r="F3144">
        <v>42</v>
      </c>
      <c r="G3144" t="s">
        <v>199</v>
      </c>
      <c r="H3144" t="s">
        <v>188</v>
      </c>
      <c r="I3144" t="s">
        <v>640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131</v>
      </c>
      <c r="D3145" t="s">
        <v>408</v>
      </c>
      <c r="E3145" t="s">
        <v>89</v>
      </c>
      <c r="F3145">
        <v>42</v>
      </c>
      <c r="G3145" t="s">
        <v>199</v>
      </c>
      <c r="H3145" t="s">
        <v>188</v>
      </c>
      <c r="I3145" t="s">
        <v>628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131</v>
      </c>
      <c r="D3146" t="s">
        <v>408</v>
      </c>
      <c r="E3146" t="s">
        <v>89</v>
      </c>
      <c r="F3146">
        <v>42</v>
      </c>
      <c r="G3146" t="s">
        <v>199</v>
      </c>
      <c r="H3146" t="s">
        <v>188</v>
      </c>
      <c r="I3146" t="s">
        <v>629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131</v>
      </c>
      <c r="D3147" t="s">
        <v>408</v>
      </c>
      <c r="E3147" t="s">
        <v>89</v>
      </c>
      <c r="F3147">
        <v>42</v>
      </c>
      <c r="G3147" t="s">
        <v>199</v>
      </c>
      <c r="H3147" t="s">
        <v>198</v>
      </c>
      <c r="I3147" t="s">
        <v>632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131</v>
      </c>
      <c r="D3148" t="s">
        <v>408</v>
      </c>
      <c r="E3148" t="s">
        <v>89</v>
      </c>
      <c r="F3148">
        <v>42</v>
      </c>
      <c r="G3148" t="s">
        <v>199</v>
      </c>
      <c r="H3148" t="s">
        <v>198</v>
      </c>
      <c r="I3148" t="s">
        <v>633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131</v>
      </c>
      <c r="D3149" t="s">
        <v>408</v>
      </c>
      <c r="E3149" t="s">
        <v>89</v>
      </c>
      <c r="F3149">
        <v>42</v>
      </c>
      <c r="G3149" t="s">
        <v>199</v>
      </c>
      <c r="H3149" t="s">
        <v>198</v>
      </c>
      <c r="I3149" t="s">
        <v>634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131</v>
      </c>
      <c r="D3150" t="s">
        <v>408</v>
      </c>
      <c r="E3150" t="s">
        <v>89</v>
      </c>
      <c r="F3150">
        <v>42</v>
      </c>
      <c r="G3150" t="s">
        <v>199</v>
      </c>
      <c r="H3150" t="s">
        <v>198</v>
      </c>
      <c r="I3150" t="s">
        <v>635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131</v>
      </c>
      <c r="D3151" t="s">
        <v>408</v>
      </c>
      <c r="E3151" t="s">
        <v>89</v>
      </c>
      <c r="F3151">
        <v>42</v>
      </c>
      <c r="G3151" t="s">
        <v>199</v>
      </c>
      <c r="H3151" t="s">
        <v>198</v>
      </c>
      <c r="I3151" t="s">
        <v>636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131</v>
      </c>
      <c r="D3152" t="s">
        <v>408</v>
      </c>
      <c r="E3152" t="s">
        <v>89</v>
      </c>
      <c r="F3152">
        <v>42</v>
      </c>
      <c r="G3152" t="s">
        <v>199</v>
      </c>
      <c r="H3152" t="s">
        <v>198</v>
      </c>
      <c r="I3152" t="s">
        <v>637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131</v>
      </c>
      <c r="D3153" t="s">
        <v>408</v>
      </c>
      <c r="E3153" t="s">
        <v>89</v>
      </c>
      <c r="F3153">
        <v>42</v>
      </c>
      <c r="G3153" t="s">
        <v>199</v>
      </c>
      <c r="H3153" t="s">
        <v>198</v>
      </c>
      <c r="I3153" t="s">
        <v>638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131</v>
      </c>
      <c r="D3154" t="s">
        <v>408</v>
      </c>
      <c r="E3154" t="s">
        <v>89</v>
      </c>
      <c r="F3154">
        <v>42</v>
      </c>
      <c r="G3154" t="s">
        <v>199</v>
      </c>
      <c r="H3154" t="s">
        <v>198</v>
      </c>
      <c r="I3154" t="s">
        <v>639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131</v>
      </c>
      <c r="D3155" t="s">
        <v>408</v>
      </c>
      <c r="E3155" t="s">
        <v>89</v>
      </c>
      <c r="F3155">
        <v>42</v>
      </c>
      <c r="G3155" t="s">
        <v>199</v>
      </c>
      <c r="H3155" t="s">
        <v>198</v>
      </c>
      <c r="I3155" t="s">
        <v>640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131</v>
      </c>
      <c r="D3156" t="s">
        <v>408</v>
      </c>
      <c r="E3156" t="s">
        <v>89</v>
      </c>
      <c r="F3156">
        <v>42</v>
      </c>
      <c r="G3156" t="s">
        <v>199</v>
      </c>
      <c r="H3156" t="s">
        <v>198</v>
      </c>
      <c r="I3156" t="s">
        <v>628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131</v>
      </c>
      <c r="D3157" t="s">
        <v>408</v>
      </c>
      <c r="E3157" t="s">
        <v>89</v>
      </c>
      <c r="F3157">
        <v>42</v>
      </c>
      <c r="G3157" t="s">
        <v>199</v>
      </c>
      <c r="H3157" t="s">
        <v>198</v>
      </c>
      <c r="I3157" t="s">
        <v>629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131</v>
      </c>
      <c r="D3158" t="s">
        <v>408</v>
      </c>
      <c r="E3158" t="s">
        <v>89</v>
      </c>
      <c r="F3158">
        <v>42</v>
      </c>
      <c r="G3158" t="s">
        <v>90</v>
      </c>
      <c r="H3158" t="s">
        <v>206</v>
      </c>
      <c r="I3158" t="s">
        <v>641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131</v>
      </c>
      <c r="D3159" t="s">
        <v>408</v>
      </c>
      <c r="E3159" t="s">
        <v>89</v>
      </c>
      <c r="F3159">
        <v>42</v>
      </c>
      <c r="G3159" t="s">
        <v>90</v>
      </c>
      <c r="H3159" t="s">
        <v>206</v>
      </c>
      <c r="I3159" t="s">
        <v>642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131</v>
      </c>
      <c r="D3160" t="s">
        <v>408</v>
      </c>
      <c r="E3160" t="s">
        <v>89</v>
      </c>
      <c r="F3160">
        <v>42</v>
      </c>
      <c r="G3160" t="s">
        <v>90</v>
      </c>
      <c r="H3160" t="s">
        <v>206</v>
      </c>
      <c r="I3160" t="s">
        <v>643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131</v>
      </c>
      <c r="D3161" t="s">
        <v>408</v>
      </c>
      <c r="E3161" t="s">
        <v>89</v>
      </c>
      <c r="F3161">
        <v>42</v>
      </c>
      <c r="G3161" t="s">
        <v>90</v>
      </c>
      <c r="H3161" t="s">
        <v>206</v>
      </c>
      <c r="I3161" t="s">
        <v>644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131</v>
      </c>
      <c r="D3162" t="s">
        <v>408</v>
      </c>
      <c r="E3162" t="s">
        <v>89</v>
      </c>
      <c r="F3162">
        <v>42</v>
      </c>
      <c r="G3162" t="s">
        <v>90</v>
      </c>
      <c r="H3162" t="s">
        <v>206</v>
      </c>
      <c r="I3162" t="s">
        <v>645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131</v>
      </c>
      <c r="D3163" t="s">
        <v>408</v>
      </c>
      <c r="E3163" t="s">
        <v>89</v>
      </c>
      <c r="F3163">
        <v>42</v>
      </c>
      <c r="G3163" t="s">
        <v>90</v>
      </c>
      <c r="H3163" t="s">
        <v>206</v>
      </c>
      <c r="I3163" t="s">
        <v>646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131</v>
      </c>
      <c r="D3164" t="s">
        <v>408</v>
      </c>
      <c r="E3164" t="s">
        <v>89</v>
      </c>
      <c r="F3164">
        <v>42</v>
      </c>
      <c r="G3164" t="s">
        <v>90</v>
      </c>
      <c r="H3164" t="s">
        <v>206</v>
      </c>
      <c r="I3164" t="s">
        <v>647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131</v>
      </c>
      <c r="D3165" t="s">
        <v>408</v>
      </c>
      <c r="E3165" t="s">
        <v>89</v>
      </c>
      <c r="F3165">
        <v>42</v>
      </c>
      <c r="G3165" t="s">
        <v>90</v>
      </c>
      <c r="H3165" t="s">
        <v>206</v>
      </c>
      <c r="I3165" t="s">
        <v>648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131</v>
      </c>
      <c r="D3166" t="s">
        <v>408</v>
      </c>
      <c r="E3166" t="s">
        <v>89</v>
      </c>
      <c r="F3166">
        <v>42</v>
      </c>
      <c r="G3166" t="s">
        <v>90</v>
      </c>
      <c r="H3166" t="s">
        <v>206</v>
      </c>
      <c r="I3166" t="s">
        <v>649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131</v>
      </c>
      <c r="D3167" t="s">
        <v>408</v>
      </c>
      <c r="E3167" t="s">
        <v>89</v>
      </c>
      <c r="F3167">
        <v>42</v>
      </c>
      <c r="G3167" t="s">
        <v>90</v>
      </c>
      <c r="H3167" t="s">
        <v>206</v>
      </c>
      <c r="I3167" t="s">
        <v>650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131</v>
      </c>
      <c r="D3168" t="s">
        <v>408</v>
      </c>
      <c r="E3168" t="s">
        <v>89</v>
      </c>
      <c r="F3168">
        <v>42</v>
      </c>
      <c r="G3168" t="s">
        <v>90</v>
      </c>
      <c r="H3168" t="s">
        <v>206</v>
      </c>
      <c r="I3168" t="s">
        <v>651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131</v>
      </c>
      <c r="D3169" t="s">
        <v>408</v>
      </c>
      <c r="E3169" t="s">
        <v>89</v>
      </c>
      <c r="F3169">
        <v>42</v>
      </c>
      <c r="G3169" t="s">
        <v>90</v>
      </c>
      <c r="H3169" t="s">
        <v>206</v>
      </c>
      <c r="I3169" t="s">
        <v>652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131</v>
      </c>
      <c r="D3170" t="s">
        <v>408</v>
      </c>
      <c r="E3170" t="s">
        <v>89</v>
      </c>
      <c r="F3170">
        <v>42</v>
      </c>
      <c r="G3170" t="s">
        <v>90</v>
      </c>
      <c r="H3170" t="s">
        <v>206</v>
      </c>
      <c r="I3170" t="s">
        <v>653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131</v>
      </c>
      <c r="D3171" t="s">
        <v>408</v>
      </c>
      <c r="E3171" t="s">
        <v>89</v>
      </c>
      <c r="F3171">
        <v>42</v>
      </c>
      <c r="G3171" t="s">
        <v>90</v>
      </c>
      <c r="H3171" t="s">
        <v>206</v>
      </c>
      <c r="I3171" t="s">
        <v>654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131</v>
      </c>
      <c r="D3172" t="s">
        <v>408</v>
      </c>
      <c r="E3172" t="s">
        <v>89</v>
      </c>
      <c r="F3172">
        <v>42</v>
      </c>
      <c r="G3172" t="s">
        <v>90</v>
      </c>
      <c r="H3172" t="s">
        <v>206</v>
      </c>
      <c r="I3172" t="s">
        <v>655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131</v>
      </c>
      <c r="D3173" t="s">
        <v>408</v>
      </c>
      <c r="E3173" t="s">
        <v>89</v>
      </c>
      <c r="F3173">
        <v>42</v>
      </c>
      <c r="G3173" t="s">
        <v>90</v>
      </c>
      <c r="H3173" t="s">
        <v>206</v>
      </c>
      <c r="I3173" t="s">
        <v>656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131</v>
      </c>
      <c r="D3174" t="s">
        <v>408</v>
      </c>
      <c r="E3174" t="s">
        <v>89</v>
      </c>
      <c r="F3174">
        <v>42</v>
      </c>
      <c r="G3174" t="s">
        <v>90</v>
      </c>
      <c r="H3174" t="s">
        <v>206</v>
      </c>
      <c r="I3174" t="s">
        <v>657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131</v>
      </c>
      <c r="D3175" t="s">
        <v>408</v>
      </c>
      <c r="E3175" t="s">
        <v>89</v>
      </c>
      <c r="F3175">
        <v>42</v>
      </c>
      <c r="G3175" t="s">
        <v>90</v>
      </c>
      <c r="H3175" t="s">
        <v>206</v>
      </c>
      <c r="I3175" t="s">
        <v>658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131</v>
      </c>
      <c r="D3176" t="s">
        <v>408</v>
      </c>
      <c r="E3176" t="s">
        <v>89</v>
      </c>
      <c r="F3176">
        <v>42</v>
      </c>
      <c r="G3176" t="s">
        <v>90</v>
      </c>
      <c r="H3176" t="s">
        <v>206</v>
      </c>
      <c r="I3176" t="s">
        <v>659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131</v>
      </c>
      <c r="D3177" t="s">
        <v>408</v>
      </c>
      <c r="E3177" t="s">
        <v>89</v>
      </c>
      <c r="F3177">
        <v>42</v>
      </c>
      <c r="G3177" t="s">
        <v>90</v>
      </c>
      <c r="H3177" t="s">
        <v>206</v>
      </c>
      <c r="I3177" t="s">
        <v>660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131</v>
      </c>
      <c r="D3178" t="s">
        <v>408</v>
      </c>
      <c r="E3178" t="s">
        <v>89</v>
      </c>
      <c r="F3178">
        <v>42</v>
      </c>
      <c r="G3178" t="s">
        <v>90</v>
      </c>
      <c r="H3178" t="s">
        <v>206</v>
      </c>
      <c r="I3178" t="s">
        <v>661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131</v>
      </c>
      <c r="D3179" t="s">
        <v>408</v>
      </c>
      <c r="E3179" t="s">
        <v>89</v>
      </c>
      <c r="F3179">
        <v>42</v>
      </c>
      <c r="G3179" t="s">
        <v>90</v>
      </c>
      <c r="H3179" t="s">
        <v>206</v>
      </c>
      <c r="I3179" t="s">
        <v>662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131</v>
      </c>
      <c r="D3180" t="s">
        <v>408</v>
      </c>
      <c r="E3180" t="s">
        <v>89</v>
      </c>
      <c r="F3180">
        <v>42</v>
      </c>
      <c r="G3180" t="s">
        <v>90</v>
      </c>
      <c r="H3180" t="s">
        <v>206</v>
      </c>
      <c r="I3180" t="s">
        <v>633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131</v>
      </c>
      <c r="D3181" t="s">
        <v>408</v>
      </c>
      <c r="E3181" t="s">
        <v>89</v>
      </c>
      <c r="F3181">
        <v>42</v>
      </c>
      <c r="G3181" t="s">
        <v>90</v>
      </c>
      <c r="H3181" t="s">
        <v>206</v>
      </c>
      <c r="I3181" t="s">
        <v>663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131</v>
      </c>
      <c r="D3182" t="s">
        <v>408</v>
      </c>
      <c r="E3182" t="s">
        <v>89</v>
      </c>
      <c r="F3182">
        <v>42</v>
      </c>
      <c r="G3182" t="s">
        <v>90</v>
      </c>
      <c r="H3182" t="s">
        <v>227</v>
      </c>
      <c r="I3182" t="s">
        <v>641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131</v>
      </c>
      <c r="D3183" t="s">
        <v>408</v>
      </c>
      <c r="E3183" t="s">
        <v>89</v>
      </c>
      <c r="F3183">
        <v>42</v>
      </c>
      <c r="G3183" t="s">
        <v>90</v>
      </c>
      <c r="H3183" t="s">
        <v>227</v>
      </c>
      <c r="I3183" t="s">
        <v>642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131</v>
      </c>
      <c r="D3184" t="s">
        <v>408</v>
      </c>
      <c r="E3184" t="s">
        <v>89</v>
      </c>
      <c r="F3184">
        <v>42</v>
      </c>
      <c r="G3184" t="s">
        <v>90</v>
      </c>
      <c r="H3184" t="s">
        <v>227</v>
      </c>
      <c r="I3184" t="s">
        <v>643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131</v>
      </c>
      <c r="D3185" t="s">
        <v>408</v>
      </c>
      <c r="E3185" t="s">
        <v>89</v>
      </c>
      <c r="F3185">
        <v>42</v>
      </c>
      <c r="G3185" t="s">
        <v>90</v>
      </c>
      <c r="H3185" t="s">
        <v>227</v>
      </c>
      <c r="I3185" t="s">
        <v>644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131</v>
      </c>
      <c r="D3186" t="s">
        <v>408</v>
      </c>
      <c r="E3186" t="s">
        <v>89</v>
      </c>
      <c r="F3186">
        <v>42</v>
      </c>
      <c r="G3186" t="s">
        <v>90</v>
      </c>
      <c r="H3186" t="s">
        <v>227</v>
      </c>
      <c r="I3186" t="s">
        <v>645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131</v>
      </c>
      <c r="D3187" t="s">
        <v>408</v>
      </c>
      <c r="E3187" t="s">
        <v>89</v>
      </c>
      <c r="F3187">
        <v>42</v>
      </c>
      <c r="G3187" t="s">
        <v>90</v>
      </c>
      <c r="H3187" t="s">
        <v>227</v>
      </c>
      <c r="I3187" t="s">
        <v>646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131</v>
      </c>
      <c r="D3188" t="s">
        <v>408</v>
      </c>
      <c r="E3188" t="s">
        <v>89</v>
      </c>
      <c r="F3188">
        <v>42</v>
      </c>
      <c r="G3188" t="s">
        <v>90</v>
      </c>
      <c r="H3188" t="s">
        <v>227</v>
      </c>
      <c r="I3188" t="s">
        <v>647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131</v>
      </c>
      <c r="D3189" t="s">
        <v>408</v>
      </c>
      <c r="E3189" t="s">
        <v>89</v>
      </c>
      <c r="F3189">
        <v>42</v>
      </c>
      <c r="G3189" t="s">
        <v>90</v>
      </c>
      <c r="H3189" t="s">
        <v>227</v>
      </c>
      <c r="I3189" t="s">
        <v>648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131</v>
      </c>
      <c r="D3190" t="s">
        <v>408</v>
      </c>
      <c r="E3190" t="s">
        <v>89</v>
      </c>
      <c r="F3190">
        <v>42</v>
      </c>
      <c r="G3190" t="s">
        <v>90</v>
      </c>
      <c r="H3190" t="s">
        <v>227</v>
      </c>
      <c r="I3190" t="s">
        <v>649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131</v>
      </c>
      <c r="D3191" t="s">
        <v>408</v>
      </c>
      <c r="E3191" t="s">
        <v>89</v>
      </c>
      <c r="F3191">
        <v>42</v>
      </c>
      <c r="G3191" t="s">
        <v>90</v>
      </c>
      <c r="H3191" t="s">
        <v>227</v>
      </c>
      <c r="I3191" t="s">
        <v>650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131</v>
      </c>
      <c r="D3192" t="s">
        <v>408</v>
      </c>
      <c r="E3192" t="s">
        <v>89</v>
      </c>
      <c r="F3192">
        <v>42</v>
      </c>
      <c r="G3192" t="s">
        <v>90</v>
      </c>
      <c r="H3192" t="s">
        <v>227</v>
      </c>
      <c r="I3192" t="s">
        <v>651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131</v>
      </c>
      <c r="D3193" t="s">
        <v>408</v>
      </c>
      <c r="E3193" t="s">
        <v>89</v>
      </c>
      <c r="F3193">
        <v>42</v>
      </c>
      <c r="G3193" t="s">
        <v>90</v>
      </c>
      <c r="H3193" t="s">
        <v>227</v>
      </c>
      <c r="I3193" t="s">
        <v>652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131</v>
      </c>
      <c r="D3194" t="s">
        <v>408</v>
      </c>
      <c r="E3194" t="s">
        <v>89</v>
      </c>
      <c r="F3194">
        <v>42</v>
      </c>
      <c r="G3194" t="s">
        <v>90</v>
      </c>
      <c r="H3194" t="s">
        <v>227</v>
      </c>
      <c r="I3194" t="s">
        <v>653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131</v>
      </c>
      <c r="D3195" t="s">
        <v>408</v>
      </c>
      <c r="E3195" t="s">
        <v>89</v>
      </c>
      <c r="F3195">
        <v>42</v>
      </c>
      <c r="G3195" t="s">
        <v>90</v>
      </c>
      <c r="H3195" t="s">
        <v>227</v>
      </c>
      <c r="I3195" t="s">
        <v>654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131</v>
      </c>
      <c r="D3196" t="s">
        <v>408</v>
      </c>
      <c r="E3196" t="s">
        <v>89</v>
      </c>
      <c r="F3196">
        <v>42</v>
      </c>
      <c r="G3196" t="s">
        <v>90</v>
      </c>
      <c r="H3196" t="s">
        <v>227</v>
      </c>
      <c r="I3196" t="s">
        <v>655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131</v>
      </c>
      <c r="D3197" t="s">
        <v>408</v>
      </c>
      <c r="E3197" t="s">
        <v>89</v>
      </c>
      <c r="F3197">
        <v>42</v>
      </c>
      <c r="G3197" t="s">
        <v>90</v>
      </c>
      <c r="H3197" t="s">
        <v>227</v>
      </c>
      <c r="I3197" t="s">
        <v>656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131</v>
      </c>
      <c r="D3198" t="s">
        <v>408</v>
      </c>
      <c r="E3198" t="s">
        <v>89</v>
      </c>
      <c r="F3198">
        <v>42</v>
      </c>
      <c r="G3198" t="s">
        <v>90</v>
      </c>
      <c r="H3198" t="s">
        <v>227</v>
      </c>
      <c r="I3198" t="s">
        <v>657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131</v>
      </c>
      <c r="D3199" t="s">
        <v>408</v>
      </c>
      <c r="E3199" t="s">
        <v>89</v>
      </c>
      <c r="F3199">
        <v>42</v>
      </c>
      <c r="G3199" t="s">
        <v>90</v>
      </c>
      <c r="H3199" t="s">
        <v>227</v>
      </c>
      <c r="I3199" t="s">
        <v>658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131</v>
      </c>
      <c r="D3200" t="s">
        <v>408</v>
      </c>
      <c r="E3200" t="s">
        <v>89</v>
      </c>
      <c r="F3200">
        <v>42</v>
      </c>
      <c r="G3200" t="s">
        <v>90</v>
      </c>
      <c r="H3200" t="s">
        <v>227</v>
      </c>
      <c r="I3200" t="s">
        <v>659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131</v>
      </c>
      <c r="D3201" t="s">
        <v>408</v>
      </c>
      <c r="E3201" t="s">
        <v>89</v>
      </c>
      <c r="F3201">
        <v>42</v>
      </c>
      <c r="G3201" t="s">
        <v>90</v>
      </c>
      <c r="H3201" t="s">
        <v>227</v>
      </c>
      <c r="I3201" t="s">
        <v>660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131</v>
      </c>
      <c r="D3202" t="s">
        <v>408</v>
      </c>
      <c r="E3202" t="s">
        <v>89</v>
      </c>
      <c r="F3202">
        <v>42</v>
      </c>
      <c r="G3202" t="s">
        <v>90</v>
      </c>
      <c r="H3202" t="s">
        <v>227</v>
      </c>
      <c r="I3202" t="s">
        <v>661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131</v>
      </c>
      <c r="D3203" t="s">
        <v>408</v>
      </c>
      <c r="E3203" t="s">
        <v>89</v>
      </c>
      <c r="F3203">
        <v>42</v>
      </c>
      <c r="G3203" t="s">
        <v>90</v>
      </c>
      <c r="H3203" t="s">
        <v>227</v>
      </c>
      <c r="I3203" t="s">
        <v>662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131</v>
      </c>
      <c r="D3204" t="s">
        <v>408</v>
      </c>
      <c r="E3204" t="s">
        <v>89</v>
      </c>
      <c r="F3204">
        <v>42</v>
      </c>
      <c r="G3204" t="s">
        <v>90</v>
      </c>
      <c r="H3204" t="s">
        <v>227</v>
      </c>
      <c r="I3204" t="s">
        <v>633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131</v>
      </c>
      <c r="D3205" t="s">
        <v>408</v>
      </c>
      <c r="E3205" t="s">
        <v>89</v>
      </c>
      <c r="F3205">
        <v>42</v>
      </c>
      <c r="G3205" t="s">
        <v>90</v>
      </c>
      <c r="H3205" t="s">
        <v>227</v>
      </c>
      <c r="I3205" t="s">
        <v>663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131</v>
      </c>
      <c r="D3206" t="s">
        <v>408</v>
      </c>
      <c r="E3206" t="s">
        <v>89</v>
      </c>
      <c r="F3206">
        <v>42</v>
      </c>
      <c r="G3206" t="s">
        <v>90</v>
      </c>
      <c r="H3206" t="s">
        <v>228</v>
      </c>
      <c r="I3206" t="s">
        <v>641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131</v>
      </c>
      <c r="D3207" t="s">
        <v>408</v>
      </c>
      <c r="E3207" t="s">
        <v>89</v>
      </c>
      <c r="F3207">
        <v>42</v>
      </c>
      <c r="G3207" t="s">
        <v>90</v>
      </c>
      <c r="H3207" t="s">
        <v>228</v>
      </c>
      <c r="I3207" t="s">
        <v>642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131</v>
      </c>
      <c r="D3208" t="s">
        <v>408</v>
      </c>
      <c r="E3208" t="s">
        <v>89</v>
      </c>
      <c r="F3208">
        <v>42</v>
      </c>
      <c r="G3208" t="s">
        <v>90</v>
      </c>
      <c r="H3208" t="s">
        <v>228</v>
      </c>
      <c r="I3208" t="s">
        <v>643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131</v>
      </c>
      <c r="D3209" t="s">
        <v>408</v>
      </c>
      <c r="E3209" t="s">
        <v>89</v>
      </c>
      <c r="F3209">
        <v>42</v>
      </c>
      <c r="G3209" t="s">
        <v>90</v>
      </c>
      <c r="H3209" t="s">
        <v>228</v>
      </c>
      <c r="I3209" t="s">
        <v>644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131</v>
      </c>
      <c r="D3210" t="s">
        <v>408</v>
      </c>
      <c r="E3210" t="s">
        <v>89</v>
      </c>
      <c r="F3210">
        <v>42</v>
      </c>
      <c r="G3210" t="s">
        <v>90</v>
      </c>
      <c r="H3210" t="s">
        <v>228</v>
      </c>
      <c r="I3210" t="s">
        <v>645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131</v>
      </c>
      <c r="D3211" t="s">
        <v>408</v>
      </c>
      <c r="E3211" t="s">
        <v>89</v>
      </c>
      <c r="F3211">
        <v>42</v>
      </c>
      <c r="G3211" t="s">
        <v>90</v>
      </c>
      <c r="H3211" t="s">
        <v>228</v>
      </c>
      <c r="I3211" t="s">
        <v>646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131</v>
      </c>
      <c r="D3212" t="s">
        <v>408</v>
      </c>
      <c r="E3212" t="s">
        <v>89</v>
      </c>
      <c r="F3212">
        <v>42</v>
      </c>
      <c r="G3212" t="s">
        <v>90</v>
      </c>
      <c r="H3212" t="s">
        <v>228</v>
      </c>
      <c r="I3212" t="s">
        <v>647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131</v>
      </c>
      <c r="D3213" t="s">
        <v>408</v>
      </c>
      <c r="E3213" t="s">
        <v>89</v>
      </c>
      <c r="F3213">
        <v>42</v>
      </c>
      <c r="G3213" t="s">
        <v>90</v>
      </c>
      <c r="H3213" t="s">
        <v>228</v>
      </c>
      <c r="I3213" t="s">
        <v>648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131</v>
      </c>
      <c r="D3214" t="s">
        <v>408</v>
      </c>
      <c r="E3214" t="s">
        <v>89</v>
      </c>
      <c r="F3214">
        <v>42</v>
      </c>
      <c r="G3214" t="s">
        <v>90</v>
      </c>
      <c r="H3214" t="s">
        <v>228</v>
      </c>
      <c r="I3214" t="s">
        <v>649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131</v>
      </c>
      <c r="D3215" t="s">
        <v>408</v>
      </c>
      <c r="E3215" t="s">
        <v>89</v>
      </c>
      <c r="F3215">
        <v>42</v>
      </c>
      <c r="G3215" t="s">
        <v>90</v>
      </c>
      <c r="H3215" t="s">
        <v>228</v>
      </c>
      <c r="I3215" t="s">
        <v>650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131</v>
      </c>
      <c r="D3216" t="s">
        <v>408</v>
      </c>
      <c r="E3216" t="s">
        <v>89</v>
      </c>
      <c r="F3216">
        <v>42</v>
      </c>
      <c r="G3216" t="s">
        <v>90</v>
      </c>
      <c r="H3216" t="s">
        <v>228</v>
      </c>
      <c r="I3216" t="s">
        <v>651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131</v>
      </c>
      <c r="D3217" t="s">
        <v>408</v>
      </c>
      <c r="E3217" t="s">
        <v>89</v>
      </c>
      <c r="F3217">
        <v>42</v>
      </c>
      <c r="G3217" t="s">
        <v>90</v>
      </c>
      <c r="H3217" t="s">
        <v>228</v>
      </c>
      <c r="I3217" t="s">
        <v>652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131</v>
      </c>
      <c r="D3218" t="s">
        <v>408</v>
      </c>
      <c r="E3218" t="s">
        <v>89</v>
      </c>
      <c r="F3218">
        <v>42</v>
      </c>
      <c r="G3218" t="s">
        <v>90</v>
      </c>
      <c r="H3218" t="s">
        <v>228</v>
      </c>
      <c r="I3218" t="s">
        <v>653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131</v>
      </c>
      <c r="D3219" t="s">
        <v>408</v>
      </c>
      <c r="E3219" t="s">
        <v>89</v>
      </c>
      <c r="F3219">
        <v>42</v>
      </c>
      <c r="G3219" t="s">
        <v>90</v>
      </c>
      <c r="H3219" t="s">
        <v>228</v>
      </c>
      <c r="I3219" t="s">
        <v>654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131</v>
      </c>
      <c r="D3220" t="s">
        <v>408</v>
      </c>
      <c r="E3220" t="s">
        <v>89</v>
      </c>
      <c r="F3220">
        <v>42</v>
      </c>
      <c r="G3220" t="s">
        <v>90</v>
      </c>
      <c r="H3220" t="s">
        <v>228</v>
      </c>
      <c r="I3220" t="s">
        <v>655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131</v>
      </c>
      <c r="D3221" t="s">
        <v>408</v>
      </c>
      <c r="E3221" t="s">
        <v>89</v>
      </c>
      <c r="F3221">
        <v>42</v>
      </c>
      <c r="G3221" t="s">
        <v>90</v>
      </c>
      <c r="H3221" t="s">
        <v>228</v>
      </c>
      <c r="I3221" t="s">
        <v>656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131</v>
      </c>
      <c r="D3222" t="s">
        <v>408</v>
      </c>
      <c r="E3222" t="s">
        <v>89</v>
      </c>
      <c r="F3222">
        <v>42</v>
      </c>
      <c r="G3222" t="s">
        <v>90</v>
      </c>
      <c r="H3222" t="s">
        <v>228</v>
      </c>
      <c r="I3222" t="s">
        <v>657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131</v>
      </c>
      <c r="D3223" t="s">
        <v>408</v>
      </c>
      <c r="E3223" t="s">
        <v>89</v>
      </c>
      <c r="F3223">
        <v>42</v>
      </c>
      <c r="G3223" t="s">
        <v>90</v>
      </c>
      <c r="H3223" t="s">
        <v>228</v>
      </c>
      <c r="I3223" t="s">
        <v>658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131</v>
      </c>
      <c r="D3224" t="s">
        <v>408</v>
      </c>
      <c r="E3224" t="s">
        <v>89</v>
      </c>
      <c r="F3224">
        <v>42</v>
      </c>
      <c r="G3224" t="s">
        <v>90</v>
      </c>
      <c r="H3224" t="s">
        <v>228</v>
      </c>
      <c r="I3224" t="s">
        <v>659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131</v>
      </c>
      <c r="D3225" t="s">
        <v>408</v>
      </c>
      <c r="E3225" t="s">
        <v>89</v>
      </c>
      <c r="F3225">
        <v>42</v>
      </c>
      <c r="G3225" t="s">
        <v>90</v>
      </c>
      <c r="H3225" t="s">
        <v>228</v>
      </c>
      <c r="I3225" t="s">
        <v>660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131</v>
      </c>
      <c r="D3226" t="s">
        <v>408</v>
      </c>
      <c r="E3226" t="s">
        <v>89</v>
      </c>
      <c r="F3226">
        <v>42</v>
      </c>
      <c r="G3226" t="s">
        <v>90</v>
      </c>
      <c r="H3226" t="s">
        <v>228</v>
      </c>
      <c r="I3226" t="s">
        <v>661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131</v>
      </c>
      <c r="D3227" t="s">
        <v>408</v>
      </c>
      <c r="E3227" t="s">
        <v>89</v>
      </c>
      <c r="F3227">
        <v>42</v>
      </c>
      <c r="G3227" t="s">
        <v>90</v>
      </c>
      <c r="H3227" t="s">
        <v>228</v>
      </c>
      <c r="I3227" t="s">
        <v>662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131</v>
      </c>
      <c r="D3228" t="s">
        <v>408</v>
      </c>
      <c r="E3228" t="s">
        <v>89</v>
      </c>
      <c r="F3228">
        <v>42</v>
      </c>
      <c r="G3228" t="s">
        <v>90</v>
      </c>
      <c r="H3228" t="s">
        <v>228</v>
      </c>
      <c r="I3228" t="s">
        <v>633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131</v>
      </c>
      <c r="D3229" t="s">
        <v>408</v>
      </c>
      <c r="E3229" t="s">
        <v>89</v>
      </c>
      <c r="F3229">
        <v>42</v>
      </c>
      <c r="G3229" t="s">
        <v>90</v>
      </c>
      <c r="H3229" t="s">
        <v>228</v>
      </c>
      <c r="I3229" t="s">
        <v>663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131</v>
      </c>
      <c r="D3230" t="s">
        <v>408</v>
      </c>
      <c r="E3230" t="s">
        <v>89</v>
      </c>
      <c r="F3230">
        <v>42</v>
      </c>
      <c r="G3230" t="s">
        <v>90</v>
      </c>
      <c r="H3230" t="s">
        <v>229</v>
      </c>
      <c r="I3230" t="s">
        <v>641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131</v>
      </c>
      <c r="D3231" t="s">
        <v>408</v>
      </c>
      <c r="E3231" t="s">
        <v>89</v>
      </c>
      <c r="F3231">
        <v>42</v>
      </c>
      <c r="G3231" t="s">
        <v>90</v>
      </c>
      <c r="H3231" t="s">
        <v>229</v>
      </c>
      <c r="I3231" t="s">
        <v>642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131</v>
      </c>
      <c r="D3232" t="s">
        <v>408</v>
      </c>
      <c r="E3232" t="s">
        <v>89</v>
      </c>
      <c r="F3232">
        <v>42</v>
      </c>
      <c r="G3232" t="s">
        <v>90</v>
      </c>
      <c r="H3232" t="s">
        <v>229</v>
      </c>
      <c r="I3232" t="s">
        <v>643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131</v>
      </c>
      <c r="D3233" t="s">
        <v>408</v>
      </c>
      <c r="E3233" t="s">
        <v>89</v>
      </c>
      <c r="F3233">
        <v>42</v>
      </c>
      <c r="G3233" t="s">
        <v>90</v>
      </c>
      <c r="H3233" t="s">
        <v>229</v>
      </c>
      <c r="I3233" t="s">
        <v>644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131</v>
      </c>
      <c r="D3234" t="s">
        <v>408</v>
      </c>
      <c r="E3234" t="s">
        <v>89</v>
      </c>
      <c r="F3234">
        <v>42</v>
      </c>
      <c r="G3234" t="s">
        <v>90</v>
      </c>
      <c r="H3234" t="s">
        <v>229</v>
      </c>
      <c r="I3234" t="s">
        <v>645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131</v>
      </c>
      <c r="D3235" t="s">
        <v>408</v>
      </c>
      <c r="E3235" t="s">
        <v>89</v>
      </c>
      <c r="F3235">
        <v>42</v>
      </c>
      <c r="G3235" t="s">
        <v>90</v>
      </c>
      <c r="H3235" t="s">
        <v>229</v>
      </c>
      <c r="I3235" t="s">
        <v>646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131</v>
      </c>
      <c r="D3236" t="s">
        <v>408</v>
      </c>
      <c r="E3236" t="s">
        <v>89</v>
      </c>
      <c r="F3236">
        <v>42</v>
      </c>
      <c r="G3236" t="s">
        <v>90</v>
      </c>
      <c r="H3236" t="s">
        <v>229</v>
      </c>
      <c r="I3236" t="s">
        <v>647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131</v>
      </c>
      <c r="D3237" t="s">
        <v>408</v>
      </c>
      <c r="E3237" t="s">
        <v>89</v>
      </c>
      <c r="F3237">
        <v>42</v>
      </c>
      <c r="G3237" t="s">
        <v>90</v>
      </c>
      <c r="H3237" t="s">
        <v>229</v>
      </c>
      <c r="I3237" t="s">
        <v>648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131</v>
      </c>
      <c r="D3238" t="s">
        <v>408</v>
      </c>
      <c r="E3238" t="s">
        <v>89</v>
      </c>
      <c r="F3238">
        <v>42</v>
      </c>
      <c r="G3238" t="s">
        <v>90</v>
      </c>
      <c r="H3238" t="s">
        <v>229</v>
      </c>
      <c r="I3238" t="s">
        <v>649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131</v>
      </c>
      <c r="D3239" t="s">
        <v>408</v>
      </c>
      <c r="E3239" t="s">
        <v>89</v>
      </c>
      <c r="F3239">
        <v>42</v>
      </c>
      <c r="G3239" t="s">
        <v>90</v>
      </c>
      <c r="H3239" t="s">
        <v>229</v>
      </c>
      <c r="I3239" t="s">
        <v>650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131</v>
      </c>
      <c r="D3240" t="s">
        <v>408</v>
      </c>
      <c r="E3240" t="s">
        <v>89</v>
      </c>
      <c r="F3240">
        <v>42</v>
      </c>
      <c r="G3240" t="s">
        <v>90</v>
      </c>
      <c r="H3240" t="s">
        <v>229</v>
      </c>
      <c r="I3240" t="s">
        <v>651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131</v>
      </c>
      <c r="D3241" t="s">
        <v>408</v>
      </c>
      <c r="E3241" t="s">
        <v>89</v>
      </c>
      <c r="F3241">
        <v>42</v>
      </c>
      <c r="G3241" t="s">
        <v>90</v>
      </c>
      <c r="H3241" t="s">
        <v>229</v>
      </c>
      <c r="I3241" t="s">
        <v>652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131</v>
      </c>
      <c r="D3242" t="s">
        <v>408</v>
      </c>
      <c r="E3242" t="s">
        <v>89</v>
      </c>
      <c r="F3242">
        <v>42</v>
      </c>
      <c r="G3242" t="s">
        <v>90</v>
      </c>
      <c r="H3242" t="s">
        <v>229</v>
      </c>
      <c r="I3242" t="s">
        <v>653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131</v>
      </c>
      <c r="D3243" t="s">
        <v>408</v>
      </c>
      <c r="E3243" t="s">
        <v>89</v>
      </c>
      <c r="F3243">
        <v>42</v>
      </c>
      <c r="G3243" t="s">
        <v>90</v>
      </c>
      <c r="H3243" t="s">
        <v>229</v>
      </c>
      <c r="I3243" t="s">
        <v>654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131</v>
      </c>
      <c r="D3244" t="s">
        <v>408</v>
      </c>
      <c r="E3244" t="s">
        <v>89</v>
      </c>
      <c r="F3244">
        <v>42</v>
      </c>
      <c r="G3244" t="s">
        <v>90</v>
      </c>
      <c r="H3244" t="s">
        <v>229</v>
      </c>
      <c r="I3244" t="s">
        <v>655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131</v>
      </c>
      <c r="D3245" t="s">
        <v>408</v>
      </c>
      <c r="E3245" t="s">
        <v>89</v>
      </c>
      <c r="F3245">
        <v>42</v>
      </c>
      <c r="G3245" t="s">
        <v>90</v>
      </c>
      <c r="H3245" t="s">
        <v>229</v>
      </c>
      <c r="I3245" t="s">
        <v>656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131</v>
      </c>
      <c r="D3246" t="s">
        <v>408</v>
      </c>
      <c r="E3246" t="s">
        <v>89</v>
      </c>
      <c r="F3246">
        <v>42</v>
      </c>
      <c r="G3246" t="s">
        <v>90</v>
      </c>
      <c r="H3246" t="s">
        <v>229</v>
      </c>
      <c r="I3246" t="s">
        <v>657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131</v>
      </c>
      <c r="D3247" t="s">
        <v>408</v>
      </c>
      <c r="E3247" t="s">
        <v>89</v>
      </c>
      <c r="F3247">
        <v>42</v>
      </c>
      <c r="G3247" t="s">
        <v>90</v>
      </c>
      <c r="H3247" t="s">
        <v>229</v>
      </c>
      <c r="I3247" t="s">
        <v>658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131</v>
      </c>
      <c r="D3248" t="s">
        <v>408</v>
      </c>
      <c r="E3248" t="s">
        <v>89</v>
      </c>
      <c r="F3248">
        <v>42</v>
      </c>
      <c r="G3248" t="s">
        <v>90</v>
      </c>
      <c r="H3248" t="s">
        <v>229</v>
      </c>
      <c r="I3248" t="s">
        <v>659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131</v>
      </c>
      <c r="D3249" t="s">
        <v>408</v>
      </c>
      <c r="E3249" t="s">
        <v>89</v>
      </c>
      <c r="F3249">
        <v>42</v>
      </c>
      <c r="G3249" t="s">
        <v>90</v>
      </c>
      <c r="H3249" t="s">
        <v>229</v>
      </c>
      <c r="I3249" t="s">
        <v>660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131</v>
      </c>
      <c r="D3250" t="s">
        <v>408</v>
      </c>
      <c r="E3250" t="s">
        <v>89</v>
      </c>
      <c r="F3250">
        <v>42</v>
      </c>
      <c r="G3250" t="s">
        <v>90</v>
      </c>
      <c r="H3250" t="s">
        <v>229</v>
      </c>
      <c r="I3250" t="s">
        <v>661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131</v>
      </c>
      <c r="D3251" t="s">
        <v>408</v>
      </c>
      <c r="E3251" t="s">
        <v>89</v>
      </c>
      <c r="F3251">
        <v>42</v>
      </c>
      <c r="G3251" t="s">
        <v>90</v>
      </c>
      <c r="H3251" t="s">
        <v>229</v>
      </c>
      <c r="I3251" t="s">
        <v>662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131</v>
      </c>
      <c r="D3252" t="s">
        <v>408</v>
      </c>
      <c r="E3252" t="s">
        <v>89</v>
      </c>
      <c r="F3252">
        <v>42</v>
      </c>
      <c r="G3252" t="s">
        <v>90</v>
      </c>
      <c r="H3252" t="s">
        <v>229</v>
      </c>
      <c r="I3252" t="s">
        <v>633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131</v>
      </c>
      <c r="D3253" t="s">
        <v>408</v>
      </c>
      <c r="E3253" t="s">
        <v>89</v>
      </c>
      <c r="F3253">
        <v>42</v>
      </c>
      <c r="G3253" t="s">
        <v>90</v>
      </c>
      <c r="H3253" t="s">
        <v>229</v>
      </c>
      <c r="I3253" t="s">
        <v>663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131</v>
      </c>
      <c r="D3254" t="s">
        <v>408</v>
      </c>
      <c r="E3254" t="s">
        <v>89</v>
      </c>
      <c r="F3254">
        <v>42</v>
      </c>
      <c r="G3254" t="s">
        <v>90</v>
      </c>
      <c r="H3254" t="s">
        <v>91</v>
      </c>
      <c r="I3254" t="s">
        <v>641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131</v>
      </c>
      <c r="D3255" t="s">
        <v>408</v>
      </c>
      <c r="E3255" t="s">
        <v>89</v>
      </c>
      <c r="F3255">
        <v>42</v>
      </c>
      <c r="G3255" t="s">
        <v>90</v>
      </c>
      <c r="H3255" t="s">
        <v>91</v>
      </c>
      <c r="I3255" t="s">
        <v>642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131</v>
      </c>
      <c r="D3256" t="s">
        <v>408</v>
      </c>
      <c r="E3256" t="s">
        <v>89</v>
      </c>
      <c r="F3256">
        <v>42</v>
      </c>
      <c r="G3256" t="s">
        <v>90</v>
      </c>
      <c r="H3256" t="s">
        <v>91</v>
      </c>
      <c r="I3256" t="s">
        <v>643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131</v>
      </c>
      <c r="D3257" t="s">
        <v>408</v>
      </c>
      <c r="E3257" t="s">
        <v>89</v>
      </c>
      <c r="F3257">
        <v>42</v>
      </c>
      <c r="G3257" t="s">
        <v>90</v>
      </c>
      <c r="H3257" t="s">
        <v>91</v>
      </c>
      <c r="I3257" t="s">
        <v>644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131</v>
      </c>
      <c r="D3258" t="s">
        <v>408</v>
      </c>
      <c r="E3258" t="s">
        <v>89</v>
      </c>
      <c r="F3258">
        <v>42</v>
      </c>
      <c r="G3258" t="s">
        <v>90</v>
      </c>
      <c r="H3258" t="s">
        <v>91</v>
      </c>
      <c r="I3258" t="s">
        <v>645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131</v>
      </c>
      <c r="D3259" t="s">
        <v>408</v>
      </c>
      <c r="E3259" t="s">
        <v>89</v>
      </c>
      <c r="F3259">
        <v>42</v>
      </c>
      <c r="G3259" t="s">
        <v>90</v>
      </c>
      <c r="H3259" t="s">
        <v>91</v>
      </c>
      <c r="I3259" t="s">
        <v>646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131</v>
      </c>
      <c r="D3260" t="s">
        <v>408</v>
      </c>
      <c r="E3260" t="s">
        <v>89</v>
      </c>
      <c r="F3260">
        <v>42</v>
      </c>
      <c r="G3260" t="s">
        <v>90</v>
      </c>
      <c r="H3260" t="s">
        <v>91</v>
      </c>
      <c r="I3260" t="s">
        <v>647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131</v>
      </c>
      <c r="D3261" t="s">
        <v>408</v>
      </c>
      <c r="E3261" t="s">
        <v>89</v>
      </c>
      <c r="F3261">
        <v>42</v>
      </c>
      <c r="G3261" t="s">
        <v>90</v>
      </c>
      <c r="H3261" t="s">
        <v>91</v>
      </c>
      <c r="I3261" t="s">
        <v>648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131</v>
      </c>
      <c r="D3262" t="s">
        <v>408</v>
      </c>
      <c r="E3262" t="s">
        <v>89</v>
      </c>
      <c r="F3262">
        <v>42</v>
      </c>
      <c r="G3262" t="s">
        <v>90</v>
      </c>
      <c r="H3262" t="s">
        <v>91</v>
      </c>
      <c r="I3262" t="s">
        <v>649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131</v>
      </c>
      <c r="D3263" t="s">
        <v>408</v>
      </c>
      <c r="E3263" t="s">
        <v>89</v>
      </c>
      <c r="F3263">
        <v>42</v>
      </c>
      <c r="G3263" t="s">
        <v>90</v>
      </c>
      <c r="H3263" t="s">
        <v>91</v>
      </c>
      <c r="I3263" t="s">
        <v>650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131</v>
      </c>
      <c r="D3264" t="s">
        <v>408</v>
      </c>
      <c r="E3264" t="s">
        <v>89</v>
      </c>
      <c r="F3264">
        <v>42</v>
      </c>
      <c r="G3264" t="s">
        <v>90</v>
      </c>
      <c r="H3264" t="s">
        <v>91</v>
      </c>
      <c r="I3264" t="s">
        <v>651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131</v>
      </c>
      <c r="D3265" t="s">
        <v>408</v>
      </c>
      <c r="E3265" t="s">
        <v>89</v>
      </c>
      <c r="F3265">
        <v>42</v>
      </c>
      <c r="G3265" t="s">
        <v>90</v>
      </c>
      <c r="H3265" t="s">
        <v>91</v>
      </c>
      <c r="I3265" t="s">
        <v>652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131</v>
      </c>
      <c r="D3266" t="s">
        <v>408</v>
      </c>
      <c r="E3266" t="s">
        <v>89</v>
      </c>
      <c r="F3266">
        <v>42</v>
      </c>
      <c r="G3266" t="s">
        <v>90</v>
      </c>
      <c r="H3266" t="s">
        <v>91</v>
      </c>
      <c r="I3266" t="s">
        <v>653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131</v>
      </c>
      <c r="D3267" t="s">
        <v>408</v>
      </c>
      <c r="E3267" t="s">
        <v>89</v>
      </c>
      <c r="F3267">
        <v>42</v>
      </c>
      <c r="G3267" t="s">
        <v>90</v>
      </c>
      <c r="H3267" t="s">
        <v>91</v>
      </c>
      <c r="I3267" t="s">
        <v>654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131</v>
      </c>
      <c r="D3268" t="s">
        <v>408</v>
      </c>
      <c r="E3268" t="s">
        <v>89</v>
      </c>
      <c r="F3268">
        <v>42</v>
      </c>
      <c r="G3268" t="s">
        <v>90</v>
      </c>
      <c r="H3268" t="s">
        <v>91</v>
      </c>
      <c r="I3268" t="s">
        <v>655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131</v>
      </c>
      <c r="D3269" t="s">
        <v>408</v>
      </c>
      <c r="E3269" t="s">
        <v>89</v>
      </c>
      <c r="F3269">
        <v>42</v>
      </c>
      <c r="G3269" t="s">
        <v>90</v>
      </c>
      <c r="H3269" t="s">
        <v>91</v>
      </c>
      <c r="I3269" t="s">
        <v>656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131</v>
      </c>
      <c r="D3270" t="s">
        <v>408</v>
      </c>
      <c r="E3270" t="s">
        <v>89</v>
      </c>
      <c r="F3270">
        <v>42</v>
      </c>
      <c r="G3270" t="s">
        <v>90</v>
      </c>
      <c r="H3270" t="s">
        <v>91</v>
      </c>
      <c r="I3270" t="s">
        <v>657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131</v>
      </c>
      <c r="D3271" t="s">
        <v>408</v>
      </c>
      <c r="E3271" t="s">
        <v>89</v>
      </c>
      <c r="F3271">
        <v>42</v>
      </c>
      <c r="G3271" t="s">
        <v>90</v>
      </c>
      <c r="H3271" t="s">
        <v>91</v>
      </c>
      <c r="I3271" t="s">
        <v>658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131</v>
      </c>
      <c r="D3272" t="s">
        <v>408</v>
      </c>
      <c r="E3272" t="s">
        <v>89</v>
      </c>
      <c r="F3272">
        <v>42</v>
      </c>
      <c r="G3272" t="s">
        <v>90</v>
      </c>
      <c r="H3272" t="s">
        <v>91</v>
      </c>
      <c r="I3272" t="s">
        <v>659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131</v>
      </c>
      <c r="D3273" t="s">
        <v>408</v>
      </c>
      <c r="E3273" t="s">
        <v>89</v>
      </c>
      <c r="F3273">
        <v>42</v>
      </c>
      <c r="G3273" t="s">
        <v>90</v>
      </c>
      <c r="H3273" t="s">
        <v>91</v>
      </c>
      <c r="I3273" t="s">
        <v>660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131</v>
      </c>
      <c r="D3274" t="s">
        <v>408</v>
      </c>
      <c r="E3274" t="s">
        <v>89</v>
      </c>
      <c r="F3274">
        <v>42</v>
      </c>
      <c r="G3274" t="s">
        <v>90</v>
      </c>
      <c r="H3274" t="s">
        <v>91</v>
      </c>
      <c r="I3274" t="s">
        <v>661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131</v>
      </c>
      <c r="D3275" t="s">
        <v>408</v>
      </c>
      <c r="E3275" t="s">
        <v>89</v>
      </c>
      <c r="F3275">
        <v>42</v>
      </c>
      <c r="G3275" t="s">
        <v>90</v>
      </c>
      <c r="H3275" t="s">
        <v>91</v>
      </c>
      <c r="I3275" t="s">
        <v>662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131</v>
      </c>
      <c r="D3276" t="s">
        <v>408</v>
      </c>
      <c r="E3276" t="s">
        <v>89</v>
      </c>
      <c r="F3276">
        <v>42</v>
      </c>
      <c r="G3276" t="s">
        <v>90</v>
      </c>
      <c r="H3276" t="s">
        <v>91</v>
      </c>
      <c r="I3276" t="s">
        <v>633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131</v>
      </c>
      <c r="D3277" t="s">
        <v>408</v>
      </c>
      <c r="E3277" t="s">
        <v>89</v>
      </c>
      <c r="F3277">
        <v>42</v>
      </c>
      <c r="G3277" t="s">
        <v>90</v>
      </c>
      <c r="H3277" t="s">
        <v>91</v>
      </c>
      <c r="I3277" t="s">
        <v>663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131</v>
      </c>
      <c r="D3278" t="s">
        <v>408</v>
      </c>
      <c r="E3278" t="s">
        <v>89</v>
      </c>
      <c r="F3278">
        <v>42</v>
      </c>
      <c r="G3278" t="s">
        <v>90</v>
      </c>
      <c r="H3278" t="s">
        <v>230</v>
      </c>
      <c r="I3278" t="s">
        <v>641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131</v>
      </c>
      <c r="D3279" t="s">
        <v>408</v>
      </c>
      <c r="E3279" t="s">
        <v>89</v>
      </c>
      <c r="F3279">
        <v>42</v>
      </c>
      <c r="G3279" t="s">
        <v>90</v>
      </c>
      <c r="H3279" t="s">
        <v>230</v>
      </c>
      <c r="I3279" t="s">
        <v>642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131</v>
      </c>
      <c r="D3280" t="s">
        <v>408</v>
      </c>
      <c r="E3280" t="s">
        <v>89</v>
      </c>
      <c r="F3280">
        <v>42</v>
      </c>
      <c r="G3280" t="s">
        <v>90</v>
      </c>
      <c r="H3280" t="s">
        <v>230</v>
      </c>
      <c r="I3280" t="s">
        <v>643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131</v>
      </c>
      <c r="D3281" t="s">
        <v>408</v>
      </c>
      <c r="E3281" t="s">
        <v>89</v>
      </c>
      <c r="F3281">
        <v>42</v>
      </c>
      <c r="G3281" t="s">
        <v>90</v>
      </c>
      <c r="H3281" t="s">
        <v>230</v>
      </c>
      <c r="I3281" t="s">
        <v>644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131</v>
      </c>
      <c r="D3282" t="s">
        <v>408</v>
      </c>
      <c r="E3282" t="s">
        <v>89</v>
      </c>
      <c r="F3282">
        <v>42</v>
      </c>
      <c r="G3282" t="s">
        <v>90</v>
      </c>
      <c r="H3282" t="s">
        <v>230</v>
      </c>
      <c r="I3282" t="s">
        <v>645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131</v>
      </c>
      <c r="D3283" t="s">
        <v>408</v>
      </c>
      <c r="E3283" t="s">
        <v>89</v>
      </c>
      <c r="F3283">
        <v>42</v>
      </c>
      <c r="G3283" t="s">
        <v>90</v>
      </c>
      <c r="H3283" t="s">
        <v>230</v>
      </c>
      <c r="I3283" t="s">
        <v>646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131</v>
      </c>
      <c r="D3284" t="s">
        <v>408</v>
      </c>
      <c r="E3284" t="s">
        <v>89</v>
      </c>
      <c r="F3284">
        <v>42</v>
      </c>
      <c r="G3284" t="s">
        <v>90</v>
      </c>
      <c r="H3284" t="s">
        <v>230</v>
      </c>
      <c r="I3284" t="s">
        <v>647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131</v>
      </c>
      <c r="D3285" t="s">
        <v>408</v>
      </c>
      <c r="E3285" t="s">
        <v>89</v>
      </c>
      <c r="F3285">
        <v>42</v>
      </c>
      <c r="G3285" t="s">
        <v>90</v>
      </c>
      <c r="H3285" t="s">
        <v>230</v>
      </c>
      <c r="I3285" t="s">
        <v>648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131</v>
      </c>
      <c r="D3286" t="s">
        <v>408</v>
      </c>
      <c r="E3286" t="s">
        <v>89</v>
      </c>
      <c r="F3286">
        <v>42</v>
      </c>
      <c r="G3286" t="s">
        <v>90</v>
      </c>
      <c r="H3286" t="s">
        <v>230</v>
      </c>
      <c r="I3286" t="s">
        <v>649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131</v>
      </c>
      <c r="D3287" t="s">
        <v>408</v>
      </c>
      <c r="E3287" t="s">
        <v>89</v>
      </c>
      <c r="F3287">
        <v>42</v>
      </c>
      <c r="G3287" t="s">
        <v>90</v>
      </c>
      <c r="H3287" t="s">
        <v>230</v>
      </c>
      <c r="I3287" t="s">
        <v>650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131</v>
      </c>
      <c r="D3288" t="s">
        <v>408</v>
      </c>
      <c r="E3288" t="s">
        <v>89</v>
      </c>
      <c r="F3288">
        <v>42</v>
      </c>
      <c r="G3288" t="s">
        <v>90</v>
      </c>
      <c r="H3288" t="s">
        <v>230</v>
      </c>
      <c r="I3288" t="s">
        <v>651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131</v>
      </c>
      <c r="D3289" t="s">
        <v>408</v>
      </c>
      <c r="E3289" t="s">
        <v>89</v>
      </c>
      <c r="F3289">
        <v>42</v>
      </c>
      <c r="G3289" t="s">
        <v>90</v>
      </c>
      <c r="H3289" t="s">
        <v>230</v>
      </c>
      <c r="I3289" t="s">
        <v>652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131</v>
      </c>
      <c r="D3290" t="s">
        <v>408</v>
      </c>
      <c r="E3290" t="s">
        <v>89</v>
      </c>
      <c r="F3290">
        <v>42</v>
      </c>
      <c r="G3290" t="s">
        <v>90</v>
      </c>
      <c r="H3290" t="s">
        <v>230</v>
      </c>
      <c r="I3290" t="s">
        <v>653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131</v>
      </c>
      <c r="D3291" t="s">
        <v>408</v>
      </c>
      <c r="E3291" t="s">
        <v>89</v>
      </c>
      <c r="F3291">
        <v>42</v>
      </c>
      <c r="G3291" t="s">
        <v>90</v>
      </c>
      <c r="H3291" t="s">
        <v>230</v>
      </c>
      <c r="I3291" t="s">
        <v>654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131</v>
      </c>
      <c r="D3292" t="s">
        <v>408</v>
      </c>
      <c r="E3292" t="s">
        <v>89</v>
      </c>
      <c r="F3292">
        <v>42</v>
      </c>
      <c r="G3292" t="s">
        <v>90</v>
      </c>
      <c r="H3292" t="s">
        <v>230</v>
      </c>
      <c r="I3292" t="s">
        <v>655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131</v>
      </c>
      <c r="D3293" t="s">
        <v>408</v>
      </c>
      <c r="E3293" t="s">
        <v>89</v>
      </c>
      <c r="F3293">
        <v>42</v>
      </c>
      <c r="G3293" t="s">
        <v>90</v>
      </c>
      <c r="H3293" t="s">
        <v>230</v>
      </c>
      <c r="I3293" t="s">
        <v>656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131</v>
      </c>
      <c r="D3294" t="s">
        <v>408</v>
      </c>
      <c r="E3294" t="s">
        <v>89</v>
      </c>
      <c r="F3294">
        <v>42</v>
      </c>
      <c r="G3294" t="s">
        <v>90</v>
      </c>
      <c r="H3294" t="s">
        <v>230</v>
      </c>
      <c r="I3294" t="s">
        <v>657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131</v>
      </c>
      <c r="D3295" t="s">
        <v>408</v>
      </c>
      <c r="E3295" t="s">
        <v>89</v>
      </c>
      <c r="F3295">
        <v>42</v>
      </c>
      <c r="G3295" t="s">
        <v>90</v>
      </c>
      <c r="H3295" t="s">
        <v>230</v>
      </c>
      <c r="I3295" t="s">
        <v>658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131</v>
      </c>
      <c r="D3296" t="s">
        <v>408</v>
      </c>
      <c r="E3296" t="s">
        <v>89</v>
      </c>
      <c r="F3296">
        <v>42</v>
      </c>
      <c r="G3296" t="s">
        <v>90</v>
      </c>
      <c r="H3296" t="s">
        <v>230</v>
      </c>
      <c r="I3296" t="s">
        <v>659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131</v>
      </c>
      <c r="D3297" t="s">
        <v>408</v>
      </c>
      <c r="E3297" t="s">
        <v>89</v>
      </c>
      <c r="F3297">
        <v>42</v>
      </c>
      <c r="G3297" t="s">
        <v>90</v>
      </c>
      <c r="H3297" t="s">
        <v>230</v>
      </c>
      <c r="I3297" t="s">
        <v>660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131</v>
      </c>
      <c r="D3298" t="s">
        <v>408</v>
      </c>
      <c r="E3298" t="s">
        <v>89</v>
      </c>
      <c r="F3298">
        <v>42</v>
      </c>
      <c r="G3298" t="s">
        <v>90</v>
      </c>
      <c r="H3298" t="s">
        <v>230</v>
      </c>
      <c r="I3298" t="s">
        <v>661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131</v>
      </c>
      <c r="D3299" t="s">
        <v>408</v>
      </c>
      <c r="E3299" t="s">
        <v>89</v>
      </c>
      <c r="F3299">
        <v>42</v>
      </c>
      <c r="G3299" t="s">
        <v>90</v>
      </c>
      <c r="H3299" t="s">
        <v>230</v>
      </c>
      <c r="I3299" t="s">
        <v>662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131</v>
      </c>
      <c r="D3300" t="s">
        <v>408</v>
      </c>
      <c r="E3300" t="s">
        <v>89</v>
      </c>
      <c r="F3300">
        <v>42</v>
      </c>
      <c r="G3300" t="s">
        <v>90</v>
      </c>
      <c r="H3300" t="s">
        <v>230</v>
      </c>
      <c r="I3300" t="s">
        <v>633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131</v>
      </c>
      <c r="D3301" t="s">
        <v>408</v>
      </c>
      <c r="E3301" t="s">
        <v>89</v>
      </c>
      <c r="F3301">
        <v>42</v>
      </c>
      <c r="G3301" t="s">
        <v>90</v>
      </c>
      <c r="H3301" t="s">
        <v>230</v>
      </c>
      <c r="I3301" t="s">
        <v>663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131</v>
      </c>
      <c r="D3302" t="s">
        <v>408</v>
      </c>
      <c r="E3302" t="s">
        <v>89</v>
      </c>
      <c r="F3302">
        <v>42</v>
      </c>
      <c r="G3302" t="s">
        <v>90</v>
      </c>
      <c r="H3302" t="s">
        <v>188</v>
      </c>
      <c r="I3302" t="s">
        <v>641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131</v>
      </c>
      <c r="D3303" t="s">
        <v>408</v>
      </c>
      <c r="E3303" t="s">
        <v>89</v>
      </c>
      <c r="F3303">
        <v>42</v>
      </c>
      <c r="G3303" t="s">
        <v>90</v>
      </c>
      <c r="H3303" t="s">
        <v>188</v>
      </c>
      <c r="I3303" t="s">
        <v>642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131</v>
      </c>
      <c r="D3304" t="s">
        <v>408</v>
      </c>
      <c r="E3304" t="s">
        <v>89</v>
      </c>
      <c r="F3304">
        <v>42</v>
      </c>
      <c r="G3304" t="s">
        <v>90</v>
      </c>
      <c r="H3304" t="s">
        <v>188</v>
      </c>
      <c r="I3304" t="s">
        <v>643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131</v>
      </c>
      <c r="D3305" t="s">
        <v>408</v>
      </c>
      <c r="E3305" t="s">
        <v>89</v>
      </c>
      <c r="F3305">
        <v>42</v>
      </c>
      <c r="G3305" t="s">
        <v>90</v>
      </c>
      <c r="H3305" t="s">
        <v>188</v>
      </c>
      <c r="I3305" t="s">
        <v>644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131</v>
      </c>
      <c r="D3306" t="s">
        <v>408</v>
      </c>
      <c r="E3306" t="s">
        <v>89</v>
      </c>
      <c r="F3306">
        <v>42</v>
      </c>
      <c r="G3306" t="s">
        <v>90</v>
      </c>
      <c r="H3306" t="s">
        <v>188</v>
      </c>
      <c r="I3306" t="s">
        <v>645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131</v>
      </c>
      <c r="D3307" t="s">
        <v>408</v>
      </c>
      <c r="E3307" t="s">
        <v>89</v>
      </c>
      <c r="F3307">
        <v>42</v>
      </c>
      <c r="G3307" t="s">
        <v>90</v>
      </c>
      <c r="H3307" t="s">
        <v>188</v>
      </c>
      <c r="I3307" t="s">
        <v>646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131</v>
      </c>
      <c r="D3308" t="s">
        <v>408</v>
      </c>
      <c r="E3308" t="s">
        <v>89</v>
      </c>
      <c r="F3308">
        <v>42</v>
      </c>
      <c r="G3308" t="s">
        <v>90</v>
      </c>
      <c r="H3308" t="s">
        <v>188</v>
      </c>
      <c r="I3308" t="s">
        <v>647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131</v>
      </c>
      <c r="D3309" t="s">
        <v>408</v>
      </c>
      <c r="E3309" t="s">
        <v>89</v>
      </c>
      <c r="F3309">
        <v>42</v>
      </c>
      <c r="G3309" t="s">
        <v>90</v>
      </c>
      <c r="H3309" t="s">
        <v>188</v>
      </c>
      <c r="I3309" t="s">
        <v>648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131</v>
      </c>
      <c r="D3310" t="s">
        <v>408</v>
      </c>
      <c r="E3310" t="s">
        <v>89</v>
      </c>
      <c r="F3310">
        <v>42</v>
      </c>
      <c r="G3310" t="s">
        <v>90</v>
      </c>
      <c r="H3310" t="s">
        <v>188</v>
      </c>
      <c r="I3310" t="s">
        <v>649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131</v>
      </c>
      <c r="D3311" t="s">
        <v>408</v>
      </c>
      <c r="E3311" t="s">
        <v>89</v>
      </c>
      <c r="F3311">
        <v>42</v>
      </c>
      <c r="G3311" t="s">
        <v>90</v>
      </c>
      <c r="H3311" t="s">
        <v>188</v>
      </c>
      <c r="I3311" t="s">
        <v>650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131</v>
      </c>
      <c r="D3312" t="s">
        <v>408</v>
      </c>
      <c r="E3312" t="s">
        <v>89</v>
      </c>
      <c r="F3312">
        <v>42</v>
      </c>
      <c r="G3312" t="s">
        <v>90</v>
      </c>
      <c r="H3312" t="s">
        <v>188</v>
      </c>
      <c r="I3312" t="s">
        <v>651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131</v>
      </c>
      <c r="D3313" t="s">
        <v>408</v>
      </c>
      <c r="E3313" t="s">
        <v>89</v>
      </c>
      <c r="F3313">
        <v>42</v>
      </c>
      <c r="G3313" t="s">
        <v>90</v>
      </c>
      <c r="H3313" t="s">
        <v>188</v>
      </c>
      <c r="I3313" t="s">
        <v>652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131</v>
      </c>
      <c r="D3314" t="s">
        <v>408</v>
      </c>
      <c r="E3314" t="s">
        <v>89</v>
      </c>
      <c r="F3314">
        <v>42</v>
      </c>
      <c r="G3314" t="s">
        <v>90</v>
      </c>
      <c r="H3314" t="s">
        <v>188</v>
      </c>
      <c r="I3314" t="s">
        <v>653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131</v>
      </c>
      <c r="D3315" t="s">
        <v>408</v>
      </c>
      <c r="E3315" t="s">
        <v>89</v>
      </c>
      <c r="F3315">
        <v>42</v>
      </c>
      <c r="G3315" t="s">
        <v>90</v>
      </c>
      <c r="H3315" t="s">
        <v>188</v>
      </c>
      <c r="I3315" t="s">
        <v>654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131</v>
      </c>
      <c r="D3316" t="s">
        <v>408</v>
      </c>
      <c r="E3316" t="s">
        <v>89</v>
      </c>
      <c r="F3316">
        <v>42</v>
      </c>
      <c r="G3316" t="s">
        <v>90</v>
      </c>
      <c r="H3316" t="s">
        <v>188</v>
      </c>
      <c r="I3316" t="s">
        <v>655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131</v>
      </c>
      <c r="D3317" t="s">
        <v>408</v>
      </c>
      <c r="E3317" t="s">
        <v>89</v>
      </c>
      <c r="F3317">
        <v>42</v>
      </c>
      <c r="G3317" t="s">
        <v>90</v>
      </c>
      <c r="H3317" t="s">
        <v>188</v>
      </c>
      <c r="I3317" t="s">
        <v>656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131</v>
      </c>
      <c r="D3318" t="s">
        <v>408</v>
      </c>
      <c r="E3318" t="s">
        <v>89</v>
      </c>
      <c r="F3318">
        <v>42</v>
      </c>
      <c r="G3318" t="s">
        <v>90</v>
      </c>
      <c r="H3318" t="s">
        <v>188</v>
      </c>
      <c r="I3318" t="s">
        <v>657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131</v>
      </c>
      <c r="D3319" t="s">
        <v>408</v>
      </c>
      <c r="E3319" t="s">
        <v>89</v>
      </c>
      <c r="F3319">
        <v>42</v>
      </c>
      <c r="G3319" t="s">
        <v>90</v>
      </c>
      <c r="H3319" t="s">
        <v>188</v>
      </c>
      <c r="I3319" t="s">
        <v>658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131</v>
      </c>
      <c r="D3320" t="s">
        <v>408</v>
      </c>
      <c r="E3320" t="s">
        <v>89</v>
      </c>
      <c r="F3320">
        <v>42</v>
      </c>
      <c r="G3320" t="s">
        <v>90</v>
      </c>
      <c r="H3320" t="s">
        <v>188</v>
      </c>
      <c r="I3320" t="s">
        <v>659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131</v>
      </c>
      <c r="D3321" t="s">
        <v>408</v>
      </c>
      <c r="E3321" t="s">
        <v>89</v>
      </c>
      <c r="F3321">
        <v>42</v>
      </c>
      <c r="G3321" t="s">
        <v>90</v>
      </c>
      <c r="H3321" t="s">
        <v>188</v>
      </c>
      <c r="I3321" t="s">
        <v>660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131</v>
      </c>
      <c r="D3322" t="s">
        <v>408</v>
      </c>
      <c r="E3322" t="s">
        <v>89</v>
      </c>
      <c r="F3322">
        <v>42</v>
      </c>
      <c r="G3322" t="s">
        <v>90</v>
      </c>
      <c r="H3322" t="s">
        <v>188</v>
      </c>
      <c r="I3322" t="s">
        <v>661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131</v>
      </c>
      <c r="D3323" t="s">
        <v>408</v>
      </c>
      <c r="E3323" t="s">
        <v>89</v>
      </c>
      <c r="F3323">
        <v>42</v>
      </c>
      <c r="G3323" t="s">
        <v>90</v>
      </c>
      <c r="H3323" t="s">
        <v>188</v>
      </c>
      <c r="I3323" t="s">
        <v>662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131</v>
      </c>
      <c r="D3324" t="s">
        <v>408</v>
      </c>
      <c r="E3324" t="s">
        <v>89</v>
      </c>
      <c r="F3324">
        <v>42</v>
      </c>
      <c r="G3324" t="s">
        <v>90</v>
      </c>
      <c r="H3324" t="s">
        <v>188</v>
      </c>
      <c r="I3324" t="s">
        <v>633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131</v>
      </c>
      <c r="D3325" t="s">
        <v>408</v>
      </c>
      <c r="E3325" t="s">
        <v>89</v>
      </c>
      <c r="F3325">
        <v>42</v>
      </c>
      <c r="G3325" t="s">
        <v>90</v>
      </c>
      <c r="H3325" t="s">
        <v>188</v>
      </c>
      <c r="I3325" t="s">
        <v>663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131</v>
      </c>
      <c r="D3326" t="s">
        <v>408</v>
      </c>
      <c r="E3326" t="s">
        <v>89</v>
      </c>
      <c r="F3326">
        <v>42</v>
      </c>
      <c r="G3326" t="s">
        <v>272</v>
      </c>
      <c r="H3326" t="s">
        <v>232</v>
      </c>
      <c r="I3326" t="s">
        <v>639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131</v>
      </c>
      <c r="D3327" t="s">
        <v>408</v>
      </c>
      <c r="E3327" t="s">
        <v>89</v>
      </c>
      <c r="F3327">
        <v>42</v>
      </c>
      <c r="G3327" t="s">
        <v>272</v>
      </c>
      <c r="H3327" t="s">
        <v>186</v>
      </c>
      <c r="I3327" t="s">
        <v>639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131</v>
      </c>
      <c r="D3328" t="s">
        <v>408</v>
      </c>
      <c r="E3328" t="s">
        <v>89</v>
      </c>
      <c r="F3328">
        <v>42</v>
      </c>
      <c r="G3328" t="s">
        <v>272</v>
      </c>
      <c r="H3328" t="s">
        <v>187</v>
      </c>
      <c r="I3328" t="s">
        <v>639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131</v>
      </c>
      <c r="D3329" t="s">
        <v>408</v>
      </c>
      <c r="E3329" t="s">
        <v>89</v>
      </c>
      <c r="F3329">
        <v>42</v>
      </c>
      <c r="G3329" t="s">
        <v>272</v>
      </c>
      <c r="H3329" t="s">
        <v>198</v>
      </c>
      <c r="I3329" t="s">
        <v>639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131</v>
      </c>
      <c r="D3330" t="s">
        <v>408</v>
      </c>
      <c r="E3330" t="s">
        <v>89</v>
      </c>
      <c r="F3330">
        <v>42</v>
      </c>
      <c r="G3330" t="s">
        <v>272</v>
      </c>
      <c r="H3330" t="s">
        <v>188</v>
      </c>
      <c r="I3330" t="s">
        <v>639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131</v>
      </c>
      <c r="D3331" t="s">
        <v>408</v>
      </c>
      <c r="E3331" t="s">
        <v>89</v>
      </c>
      <c r="F3331">
        <v>42</v>
      </c>
      <c r="G3331" t="s">
        <v>231</v>
      </c>
      <c r="H3331" t="s">
        <v>232</v>
      </c>
      <c r="I3331" t="s">
        <v>633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131</v>
      </c>
      <c r="D3332" t="s">
        <v>408</v>
      </c>
      <c r="E3332" t="s">
        <v>89</v>
      </c>
      <c r="F3332">
        <v>42</v>
      </c>
      <c r="G3332" t="s">
        <v>231</v>
      </c>
      <c r="H3332" t="s">
        <v>232</v>
      </c>
      <c r="I3332" t="s">
        <v>639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131</v>
      </c>
      <c r="D3333" t="s">
        <v>408</v>
      </c>
      <c r="E3333" t="s">
        <v>89</v>
      </c>
      <c r="F3333">
        <v>42</v>
      </c>
      <c r="G3333" t="s">
        <v>231</v>
      </c>
      <c r="H3333" t="s">
        <v>186</v>
      </c>
      <c r="I3333" t="s">
        <v>633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131</v>
      </c>
      <c r="D3334" t="s">
        <v>408</v>
      </c>
      <c r="E3334" t="s">
        <v>89</v>
      </c>
      <c r="F3334">
        <v>42</v>
      </c>
      <c r="G3334" t="s">
        <v>231</v>
      </c>
      <c r="H3334" t="s">
        <v>186</v>
      </c>
      <c r="I3334" t="s">
        <v>639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131</v>
      </c>
      <c r="D3335" t="s">
        <v>408</v>
      </c>
      <c r="E3335" t="s">
        <v>89</v>
      </c>
      <c r="F3335">
        <v>42</v>
      </c>
      <c r="G3335" t="s">
        <v>231</v>
      </c>
      <c r="H3335" t="s">
        <v>187</v>
      </c>
      <c r="I3335" t="s">
        <v>633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131</v>
      </c>
      <c r="D3336" t="s">
        <v>408</v>
      </c>
      <c r="E3336" t="s">
        <v>89</v>
      </c>
      <c r="F3336">
        <v>42</v>
      </c>
      <c r="G3336" t="s">
        <v>231</v>
      </c>
      <c r="H3336" t="s">
        <v>187</v>
      </c>
      <c r="I3336" t="s">
        <v>639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131</v>
      </c>
      <c r="D3337" t="s">
        <v>408</v>
      </c>
      <c r="E3337" t="s">
        <v>89</v>
      </c>
      <c r="F3337">
        <v>42</v>
      </c>
      <c r="G3337" t="s">
        <v>231</v>
      </c>
      <c r="H3337" t="s">
        <v>198</v>
      </c>
      <c r="I3337" t="s">
        <v>633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131</v>
      </c>
      <c r="D3338" t="s">
        <v>408</v>
      </c>
      <c r="E3338" t="s">
        <v>89</v>
      </c>
      <c r="F3338">
        <v>42</v>
      </c>
      <c r="G3338" t="s">
        <v>231</v>
      </c>
      <c r="H3338" t="s">
        <v>198</v>
      </c>
      <c r="I3338" t="s">
        <v>639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131</v>
      </c>
      <c r="D3339" t="s">
        <v>408</v>
      </c>
      <c r="E3339" t="s">
        <v>89</v>
      </c>
      <c r="F3339">
        <v>42</v>
      </c>
      <c r="G3339" t="s">
        <v>231</v>
      </c>
      <c r="H3339" t="s">
        <v>188</v>
      </c>
      <c r="I3339" t="s">
        <v>633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131</v>
      </c>
      <c r="D3340" t="s">
        <v>408</v>
      </c>
      <c r="E3340" t="s">
        <v>89</v>
      </c>
      <c r="F3340">
        <v>42</v>
      </c>
      <c r="G3340" t="s">
        <v>231</v>
      </c>
      <c r="H3340" t="s">
        <v>188</v>
      </c>
      <c r="I3340" t="s">
        <v>639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131</v>
      </c>
      <c r="D3341" t="s">
        <v>408</v>
      </c>
      <c r="E3341" t="s">
        <v>89</v>
      </c>
      <c r="F3341">
        <v>42</v>
      </c>
      <c r="G3341" t="s">
        <v>233</v>
      </c>
      <c r="H3341" t="s">
        <v>234</v>
      </c>
      <c r="I3341" t="s">
        <v>664</v>
      </c>
      <c r="J3341" t="s">
        <v>368</v>
      </c>
    </row>
    <row r="3342" spans="1:10" x14ac:dyDescent="0.25">
      <c r="A3342" s="1" t="s">
        <v>27</v>
      </c>
      <c r="B3342">
        <v>401752678</v>
      </c>
      <c r="C3342" t="s">
        <v>131</v>
      </c>
      <c r="D3342" t="s">
        <v>408</v>
      </c>
      <c r="E3342" t="s">
        <v>89</v>
      </c>
      <c r="F3342">
        <v>42</v>
      </c>
      <c r="G3342" t="s">
        <v>233</v>
      </c>
      <c r="H3342" t="s">
        <v>236</v>
      </c>
      <c r="I3342" t="s">
        <v>664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131</v>
      </c>
      <c r="D3343" t="s">
        <v>408</v>
      </c>
      <c r="E3343" t="s">
        <v>89</v>
      </c>
      <c r="F3343">
        <v>42</v>
      </c>
      <c r="G3343" t="s">
        <v>233</v>
      </c>
      <c r="H3343" t="s">
        <v>198</v>
      </c>
      <c r="I3343" t="s">
        <v>664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131</v>
      </c>
      <c r="D3344" t="s">
        <v>408</v>
      </c>
      <c r="E3344" t="s">
        <v>89</v>
      </c>
      <c r="F3344">
        <v>42</v>
      </c>
      <c r="G3344" t="s">
        <v>233</v>
      </c>
      <c r="H3344" t="s">
        <v>237</v>
      </c>
      <c r="I3344" t="s">
        <v>664</v>
      </c>
      <c r="J3344" s="73">
        <v>45814</v>
      </c>
    </row>
    <row r="3345" spans="1:10" x14ac:dyDescent="0.25">
      <c r="A3345" s="1" t="s">
        <v>27</v>
      </c>
      <c r="B3345">
        <v>401752678</v>
      </c>
      <c r="C3345" t="s">
        <v>131</v>
      </c>
      <c r="D3345" t="s">
        <v>408</v>
      </c>
      <c r="E3345" t="s">
        <v>89</v>
      </c>
      <c r="F3345">
        <v>42</v>
      </c>
      <c r="G3345" t="s">
        <v>233</v>
      </c>
      <c r="H3345" t="s">
        <v>238</v>
      </c>
      <c r="I3345" t="s">
        <v>664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131</v>
      </c>
      <c r="D3346" t="s">
        <v>408</v>
      </c>
      <c r="E3346" t="s">
        <v>89</v>
      </c>
      <c r="F3346">
        <v>42</v>
      </c>
      <c r="G3346" t="s">
        <v>239</v>
      </c>
      <c r="H3346" t="s">
        <v>232</v>
      </c>
      <c r="I3346" t="s">
        <v>665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131</v>
      </c>
      <c r="D3347" t="s">
        <v>408</v>
      </c>
      <c r="E3347" t="s">
        <v>89</v>
      </c>
      <c r="F3347">
        <v>42</v>
      </c>
      <c r="G3347" t="s">
        <v>239</v>
      </c>
      <c r="H3347" t="s">
        <v>186</v>
      </c>
      <c r="I3347" t="s">
        <v>665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131</v>
      </c>
      <c r="D3348" t="s">
        <v>408</v>
      </c>
      <c r="E3348" t="s">
        <v>89</v>
      </c>
      <c r="F3348">
        <v>42</v>
      </c>
      <c r="G3348" t="s">
        <v>239</v>
      </c>
      <c r="H3348" t="s">
        <v>187</v>
      </c>
      <c r="I3348" t="s">
        <v>665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131</v>
      </c>
      <c r="D3349" t="s">
        <v>408</v>
      </c>
      <c r="E3349" t="s">
        <v>89</v>
      </c>
      <c r="F3349">
        <v>42</v>
      </c>
      <c r="G3349" t="s">
        <v>239</v>
      </c>
      <c r="H3349" t="s">
        <v>241</v>
      </c>
      <c r="I3349" t="s">
        <v>665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131</v>
      </c>
      <c r="D3350" t="s">
        <v>408</v>
      </c>
      <c r="E3350" t="s">
        <v>89</v>
      </c>
      <c r="F3350">
        <v>42</v>
      </c>
      <c r="G3350" t="s">
        <v>239</v>
      </c>
      <c r="H3350" t="s">
        <v>242</v>
      </c>
      <c r="I3350" t="s">
        <v>665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131</v>
      </c>
      <c r="D3351" t="s">
        <v>408</v>
      </c>
      <c r="E3351" t="s">
        <v>89</v>
      </c>
      <c r="F3351">
        <v>42</v>
      </c>
      <c r="G3351" t="s">
        <v>239</v>
      </c>
      <c r="H3351" t="s">
        <v>198</v>
      </c>
      <c r="I3351" t="s">
        <v>665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666</v>
      </c>
      <c r="D3352" t="s">
        <v>667</v>
      </c>
      <c r="E3352" t="s">
        <v>89</v>
      </c>
      <c r="F3352">
        <v>14</v>
      </c>
      <c r="G3352" t="s">
        <v>180</v>
      </c>
      <c r="H3352" t="s">
        <v>181</v>
      </c>
      <c r="I3352" t="s">
        <v>120</v>
      </c>
      <c r="J3352" t="s">
        <v>668</v>
      </c>
    </row>
    <row r="3353" spans="1:10" x14ac:dyDescent="0.25">
      <c r="A3353" s="1" t="s">
        <v>27</v>
      </c>
      <c r="B3353">
        <v>401760358</v>
      </c>
      <c r="C3353" t="s">
        <v>666</v>
      </c>
      <c r="D3353" t="s">
        <v>667</v>
      </c>
      <c r="E3353" t="s">
        <v>89</v>
      </c>
      <c r="F3353">
        <v>14</v>
      </c>
      <c r="G3353" t="s">
        <v>180</v>
      </c>
      <c r="H3353" t="s">
        <v>181</v>
      </c>
      <c r="I3353" t="s">
        <v>184</v>
      </c>
      <c r="J3353" t="s">
        <v>669</v>
      </c>
    </row>
    <row r="3354" spans="1:10" x14ac:dyDescent="0.25">
      <c r="A3354" s="1" t="s">
        <v>27</v>
      </c>
      <c r="B3354">
        <v>401760358</v>
      </c>
      <c r="C3354" t="s">
        <v>666</v>
      </c>
      <c r="D3354" t="s">
        <v>667</v>
      </c>
      <c r="E3354" t="s">
        <v>89</v>
      </c>
      <c r="F3354">
        <v>14</v>
      </c>
      <c r="G3354" t="s">
        <v>180</v>
      </c>
      <c r="H3354" t="s">
        <v>186</v>
      </c>
      <c r="I3354" t="s">
        <v>120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666</v>
      </c>
      <c r="D3355" t="s">
        <v>667</v>
      </c>
      <c r="E3355" t="s">
        <v>89</v>
      </c>
      <c r="F3355">
        <v>14</v>
      </c>
      <c r="G3355" t="s">
        <v>180</v>
      </c>
      <c r="H3355" t="s">
        <v>186</v>
      </c>
      <c r="I3355" t="s">
        <v>184</v>
      </c>
      <c r="J3355">
        <v>0</v>
      </c>
    </row>
    <row r="3356" spans="1:10" x14ac:dyDescent="0.25">
      <c r="A3356" s="1" t="s">
        <v>27</v>
      </c>
      <c r="B3356">
        <v>401760358</v>
      </c>
      <c r="C3356" t="s">
        <v>666</v>
      </c>
      <c r="D3356" t="s">
        <v>667</v>
      </c>
      <c r="E3356" t="s">
        <v>89</v>
      </c>
      <c r="F3356">
        <v>14</v>
      </c>
      <c r="G3356" t="s">
        <v>180</v>
      </c>
      <c r="H3356" t="s">
        <v>187</v>
      </c>
      <c r="I3356" t="s">
        <v>120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666</v>
      </c>
      <c r="D3357" t="s">
        <v>667</v>
      </c>
      <c r="E3357" t="s">
        <v>89</v>
      </c>
      <c r="F3357">
        <v>14</v>
      </c>
      <c r="G3357" t="s">
        <v>180</v>
      </c>
      <c r="H3357" t="s">
        <v>187</v>
      </c>
      <c r="I3357" t="s">
        <v>184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666</v>
      </c>
      <c r="D3358" t="s">
        <v>667</v>
      </c>
      <c r="E3358" t="s">
        <v>89</v>
      </c>
      <c r="F3358">
        <v>14</v>
      </c>
      <c r="G3358" t="s">
        <v>180</v>
      </c>
      <c r="H3358" t="s">
        <v>188</v>
      </c>
      <c r="I3358" t="s">
        <v>120</v>
      </c>
      <c r="J3358">
        <v>2</v>
      </c>
    </row>
    <row r="3359" spans="1:10" x14ac:dyDescent="0.25">
      <c r="A3359" s="1" t="s">
        <v>27</v>
      </c>
      <c r="B3359">
        <v>401760358</v>
      </c>
      <c r="C3359" t="s">
        <v>666</v>
      </c>
      <c r="D3359" t="s">
        <v>667</v>
      </c>
      <c r="E3359" t="s">
        <v>89</v>
      </c>
      <c r="F3359">
        <v>14</v>
      </c>
      <c r="G3359" t="s">
        <v>180</v>
      </c>
      <c r="H3359" t="s">
        <v>188</v>
      </c>
      <c r="I3359" t="s">
        <v>184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666</v>
      </c>
      <c r="D3360" t="s">
        <v>667</v>
      </c>
      <c r="E3360" t="s">
        <v>89</v>
      </c>
      <c r="F3360">
        <v>14</v>
      </c>
      <c r="G3360" t="s">
        <v>180</v>
      </c>
      <c r="H3360" t="s">
        <v>189</v>
      </c>
      <c r="I3360" t="s">
        <v>120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666</v>
      </c>
      <c r="D3361" t="s">
        <v>667</v>
      </c>
      <c r="E3361" t="s">
        <v>89</v>
      </c>
      <c r="F3361">
        <v>14</v>
      </c>
      <c r="G3361" t="s">
        <v>180</v>
      </c>
      <c r="H3361" t="s">
        <v>189</v>
      </c>
      <c r="I3361" t="s">
        <v>184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666</v>
      </c>
      <c r="D3362" t="s">
        <v>667</v>
      </c>
      <c r="E3362" t="s">
        <v>89</v>
      </c>
      <c r="F3362">
        <v>14</v>
      </c>
      <c r="G3362" t="s">
        <v>180</v>
      </c>
      <c r="H3362" t="s">
        <v>190</v>
      </c>
      <c r="I3362" t="s">
        <v>120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666</v>
      </c>
      <c r="D3363" t="s">
        <v>667</v>
      </c>
      <c r="E3363" t="s">
        <v>89</v>
      </c>
      <c r="F3363">
        <v>14</v>
      </c>
      <c r="G3363" t="s">
        <v>180</v>
      </c>
      <c r="H3363" t="s">
        <v>190</v>
      </c>
      <c r="I3363" t="s">
        <v>184</v>
      </c>
      <c r="J3363" t="s">
        <v>191</v>
      </c>
    </row>
    <row r="3364" spans="1:10" x14ac:dyDescent="0.25">
      <c r="A3364" s="1" t="s">
        <v>27</v>
      </c>
      <c r="B3364">
        <v>401760358</v>
      </c>
      <c r="C3364" t="s">
        <v>666</v>
      </c>
      <c r="D3364" t="s">
        <v>667</v>
      </c>
      <c r="E3364" t="s">
        <v>89</v>
      </c>
      <c r="F3364">
        <v>14</v>
      </c>
      <c r="G3364" t="s">
        <v>192</v>
      </c>
      <c r="H3364" t="s">
        <v>193</v>
      </c>
      <c r="I3364" t="s">
        <v>670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666</v>
      </c>
      <c r="D3365" t="s">
        <v>667</v>
      </c>
      <c r="E3365" t="s">
        <v>89</v>
      </c>
      <c r="F3365">
        <v>14</v>
      </c>
      <c r="G3365" t="s">
        <v>192</v>
      </c>
      <c r="H3365" t="s">
        <v>193</v>
      </c>
      <c r="I3365" t="s">
        <v>671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666</v>
      </c>
      <c r="D3366" t="s">
        <v>667</v>
      </c>
      <c r="E3366" t="s">
        <v>89</v>
      </c>
      <c r="F3366">
        <v>14</v>
      </c>
      <c r="G3366" t="s">
        <v>192</v>
      </c>
      <c r="H3366" t="s">
        <v>193</v>
      </c>
      <c r="I3366" t="s">
        <v>672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666</v>
      </c>
      <c r="D3367" t="s">
        <v>667</v>
      </c>
      <c r="E3367" t="s">
        <v>89</v>
      </c>
      <c r="F3367">
        <v>14</v>
      </c>
      <c r="G3367" t="s">
        <v>192</v>
      </c>
      <c r="H3367" t="s">
        <v>193</v>
      </c>
      <c r="I3367" t="s">
        <v>120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666</v>
      </c>
      <c r="D3368" t="s">
        <v>667</v>
      </c>
      <c r="E3368" t="s">
        <v>89</v>
      </c>
      <c r="F3368">
        <v>14</v>
      </c>
      <c r="G3368" t="s">
        <v>192</v>
      </c>
      <c r="H3368" t="s">
        <v>186</v>
      </c>
      <c r="I3368" t="s">
        <v>670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666</v>
      </c>
      <c r="D3369" t="s">
        <v>667</v>
      </c>
      <c r="E3369" t="s">
        <v>89</v>
      </c>
      <c r="F3369">
        <v>14</v>
      </c>
      <c r="G3369" t="s">
        <v>192</v>
      </c>
      <c r="H3369" t="s">
        <v>186</v>
      </c>
      <c r="I3369" t="s">
        <v>671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666</v>
      </c>
      <c r="D3370" t="s">
        <v>667</v>
      </c>
      <c r="E3370" t="s">
        <v>89</v>
      </c>
      <c r="F3370">
        <v>14</v>
      </c>
      <c r="G3370" t="s">
        <v>192</v>
      </c>
      <c r="H3370" t="s">
        <v>186</v>
      </c>
      <c r="I3370" t="s">
        <v>672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666</v>
      </c>
      <c r="D3371" t="s">
        <v>667</v>
      </c>
      <c r="E3371" t="s">
        <v>89</v>
      </c>
      <c r="F3371">
        <v>14</v>
      </c>
      <c r="G3371" t="s">
        <v>192</v>
      </c>
      <c r="H3371" t="s">
        <v>186</v>
      </c>
      <c r="I3371" t="s">
        <v>120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666</v>
      </c>
      <c r="D3372" t="s">
        <v>667</v>
      </c>
      <c r="E3372" t="s">
        <v>89</v>
      </c>
      <c r="F3372">
        <v>14</v>
      </c>
      <c r="G3372" t="s">
        <v>192</v>
      </c>
      <c r="H3372" t="s">
        <v>187</v>
      </c>
      <c r="I3372" t="s">
        <v>670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666</v>
      </c>
      <c r="D3373" t="s">
        <v>667</v>
      </c>
      <c r="E3373" t="s">
        <v>89</v>
      </c>
      <c r="F3373">
        <v>14</v>
      </c>
      <c r="G3373" t="s">
        <v>192</v>
      </c>
      <c r="H3373" t="s">
        <v>187</v>
      </c>
      <c r="I3373" t="s">
        <v>671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666</v>
      </c>
      <c r="D3374" t="s">
        <v>667</v>
      </c>
      <c r="E3374" t="s">
        <v>89</v>
      </c>
      <c r="F3374">
        <v>14</v>
      </c>
      <c r="G3374" t="s">
        <v>192</v>
      </c>
      <c r="H3374" t="s">
        <v>187</v>
      </c>
      <c r="I3374" t="s">
        <v>672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666</v>
      </c>
      <c r="D3375" t="s">
        <v>667</v>
      </c>
      <c r="E3375" t="s">
        <v>89</v>
      </c>
      <c r="F3375">
        <v>14</v>
      </c>
      <c r="G3375" t="s">
        <v>192</v>
      </c>
      <c r="H3375" t="s">
        <v>187</v>
      </c>
      <c r="I3375" t="s">
        <v>120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666</v>
      </c>
      <c r="D3376" t="s">
        <v>667</v>
      </c>
      <c r="E3376" t="s">
        <v>89</v>
      </c>
      <c r="F3376">
        <v>14</v>
      </c>
      <c r="G3376" t="s">
        <v>192</v>
      </c>
      <c r="H3376" t="s">
        <v>188</v>
      </c>
      <c r="I3376" t="s">
        <v>670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666</v>
      </c>
      <c r="D3377" t="s">
        <v>667</v>
      </c>
      <c r="E3377" t="s">
        <v>89</v>
      </c>
      <c r="F3377">
        <v>14</v>
      </c>
      <c r="G3377" t="s">
        <v>192</v>
      </c>
      <c r="H3377" t="s">
        <v>188</v>
      </c>
      <c r="I3377" t="s">
        <v>671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666</v>
      </c>
      <c r="D3378" t="s">
        <v>667</v>
      </c>
      <c r="E3378" t="s">
        <v>89</v>
      </c>
      <c r="F3378">
        <v>14</v>
      </c>
      <c r="G3378" t="s">
        <v>192</v>
      </c>
      <c r="H3378" t="s">
        <v>188</v>
      </c>
      <c r="I3378" t="s">
        <v>672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666</v>
      </c>
      <c r="D3379" t="s">
        <v>667</v>
      </c>
      <c r="E3379" t="s">
        <v>89</v>
      </c>
      <c r="F3379">
        <v>14</v>
      </c>
      <c r="G3379" t="s">
        <v>192</v>
      </c>
      <c r="H3379" t="s">
        <v>188</v>
      </c>
      <c r="I3379" t="s">
        <v>120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666</v>
      </c>
      <c r="D3380" t="s">
        <v>667</v>
      </c>
      <c r="E3380" t="s">
        <v>89</v>
      </c>
      <c r="F3380">
        <v>14</v>
      </c>
      <c r="G3380" t="s">
        <v>192</v>
      </c>
      <c r="H3380" t="s">
        <v>198</v>
      </c>
      <c r="I3380" t="s">
        <v>670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666</v>
      </c>
      <c r="D3381" t="s">
        <v>667</v>
      </c>
      <c r="E3381" t="s">
        <v>89</v>
      </c>
      <c r="F3381">
        <v>14</v>
      </c>
      <c r="G3381" t="s">
        <v>192</v>
      </c>
      <c r="H3381" t="s">
        <v>198</v>
      </c>
      <c r="I3381" t="s">
        <v>671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666</v>
      </c>
      <c r="D3382" t="s">
        <v>667</v>
      </c>
      <c r="E3382" t="s">
        <v>89</v>
      </c>
      <c r="F3382">
        <v>14</v>
      </c>
      <c r="G3382" t="s">
        <v>192</v>
      </c>
      <c r="H3382" t="s">
        <v>198</v>
      </c>
      <c r="I3382" t="s">
        <v>672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666</v>
      </c>
      <c r="D3383" t="s">
        <v>667</v>
      </c>
      <c r="E3383" t="s">
        <v>89</v>
      </c>
      <c r="F3383">
        <v>14</v>
      </c>
      <c r="G3383" t="s">
        <v>192</v>
      </c>
      <c r="H3383" t="s">
        <v>198</v>
      </c>
      <c r="I3383" t="s">
        <v>120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666</v>
      </c>
      <c r="D3384" t="s">
        <v>667</v>
      </c>
      <c r="E3384" t="s">
        <v>89</v>
      </c>
      <c r="F3384">
        <v>14</v>
      </c>
      <c r="G3384" t="s">
        <v>199</v>
      </c>
      <c r="H3384" t="s">
        <v>0</v>
      </c>
      <c r="I3384" t="s">
        <v>673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666</v>
      </c>
      <c r="D3385" t="s">
        <v>667</v>
      </c>
      <c r="E3385" t="s">
        <v>89</v>
      </c>
      <c r="F3385">
        <v>14</v>
      </c>
      <c r="G3385" t="s">
        <v>199</v>
      </c>
      <c r="H3385" t="s">
        <v>0</v>
      </c>
      <c r="I3385" t="s">
        <v>674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666</v>
      </c>
      <c r="D3386" t="s">
        <v>667</v>
      </c>
      <c r="E3386" t="s">
        <v>89</v>
      </c>
      <c r="F3386">
        <v>14</v>
      </c>
      <c r="G3386" t="s">
        <v>199</v>
      </c>
      <c r="H3386" t="s">
        <v>0</v>
      </c>
      <c r="I3386" t="s">
        <v>675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666</v>
      </c>
      <c r="D3387" t="s">
        <v>667</v>
      </c>
      <c r="E3387" t="s">
        <v>89</v>
      </c>
      <c r="F3387">
        <v>14</v>
      </c>
      <c r="G3387" t="s">
        <v>199</v>
      </c>
      <c r="H3387" t="s">
        <v>0</v>
      </c>
      <c r="I3387" t="s">
        <v>676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666</v>
      </c>
      <c r="D3388" t="s">
        <v>667</v>
      </c>
      <c r="E3388" t="s">
        <v>89</v>
      </c>
      <c r="F3388">
        <v>14</v>
      </c>
      <c r="G3388" t="s">
        <v>199</v>
      </c>
      <c r="H3388" t="s">
        <v>0</v>
      </c>
      <c r="I3388" t="s">
        <v>677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666</v>
      </c>
      <c r="D3389" t="s">
        <v>667</v>
      </c>
      <c r="E3389" t="s">
        <v>89</v>
      </c>
      <c r="F3389">
        <v>14</v>
      </c>
      <c r="G3389" t="s">
        <v>199</v>
      </c>
      <c r="H3389" t="s">
        <v>0</v>
      </c>
      <c r="I3389" t="s">
        <v>678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666</v>
      </c>
      <c r="D3390" t="s">
        <v>667</v>
      </c>
      <c r="E3390" t="s">
        <v>89</v>
      </c>
      <c r="F3390">
        <v>14</v>
      </c>
      <c r="G3390" t="s">
        <v>199</v>
      </c>
      <c r="H3390" t="s">
        <v>0</v>
      </c>
      <c r="I3390" t="s">
        <v>679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666</v>
      </c>
      <c r="D3391" t="s">
        <v>667</v>
      </c>
      <c r="E3391" t="s">
        <v>89</v>
      </c>
      <c r="F3391">
        <v>14</v>
      </c>
      <c r="G3391" t="s">
        <v>199</v>
      </c>
      <c r="H3391" t="s">
        <v>0</v>
      </c>
      <c r="I3391" t="s">
        <v>670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666</v>
      </c>
      <c r="D3392" t="s">
        <v>667</v>
      </c>
      <c r="E3392" t="s">
        <v>89</v>
      </c>
      <c r="F3392">
        <v>14</v>
      </c>
      <c r="G3392" t="s">
        <v>199</v>
      </c>
      <c r="H3392" t="s">
        <v>186</v>
      </c>
      <c r="I3392" t="s">
        <v>673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666</v>
      </c>
      <c r="D3393" t="s">
        <v>667</v>
      </c>
      <c r="E3393" t="s">
        <v>89</v>
      </c>
      <c r="F3393">
        <v>14</v>
      </c>
      <c r="G3393" t="s">
        <v>199</v>
      </c>
      <c r="H3393" t="s">
        <v>186</v>
      </c>
      <c r="I3393" t="s">
        <v>674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666</v>
      </c>
      <c r="D3394" t="s">
        <v>667</v>
      </c>
      <c r="E3394" t="s">
        <v>89</v>
      </c>
      <c r="F3394">
        <v>14</v>
      </c>
      <c r="G3394" t="s">
        <v>199</v>
      </c>
      <c r="H3394" t="s">
        <v>186</v>
      </c>
      <c r="I3394" t="s">
        <v>675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666</v>
      </c>
      <c r="D3395" t="s">
        <v>667</v>
      </c>
      <c r="E3395" t="s">
        <v>89</v>
      </c>
      <c r="F3395">
        <v>14</v>
      </c>
      <c r="G3395" t="s">
        <v>199</v>
      </c>
      <c r="H3395" t="s">
        <v>186</v>
      </c>
      <c r="I3395" t="s">
        <v>676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666</v>
      </c>
      <c r="D3396" t="s">
        <v>667</v>
      </c>
      <c r="E3396" t="s">
        <v>89</v>
      </c>
      <c r="F3396">
        <v>14</v>
      </c>
      <c r="G3396" t="s">
        <v>199</v>
      </c>
      <c r="H3396" t="s">
        <v>186</v>
      </c>
      <c r="I3396" t="s">
        <v>677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666</v>
      </c>
      <c r="D3397" t="s">
        <v>667</v>
      </c>
      <c r="E3397" t="s">
        <v>89</v>
      </c>
      <c r="F3397">
        <v>14</v>
      </c>
      <c r="G3397" t="s">
        <v>199</v>
      </c>
      <c r="H3397" t="s">
        <v>186</v>
      </c>
      <c r="I3397" t="s">
        <v>678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666</v>
      </c>
      <c r="D3398" t="s">
        <v>667</v>
      </c>
      <c r="E3398" t="s">
        <v>89</v>
      </c>
      <c r="F3398">
        <v>14</v>
      </c>
      <c r="G3398" t="s">
        <v>199</v>
      </c>
      <c r="H3398" t="s">
        <v>186</v>
      </c>
      <c r="I3398" t="s">
        <v>679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666</v>
      </c>
      <c r="D3399" t="s">
        <v>667</v>
      </c>
      <c r="E3399" t="s">
        <v>89</v>
      </c>
      <c r="F3399">
        <v>14</v>
      </c>
      <c r="G3399" t="s">
        <v>199</v>
      </c>
      <c r="H3399" t="s">
        <v>186</v>
      </c>
      <c r="I3399" t="s">
        <v>670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666</v>
      </c>
      <c r="D3400" t="s">
        <v>667</v>
      </c>
      <c r="E3400" t="s">
        <v>89</v>
      </c>
      <c r="F3400">
        <v>14</v>
      </c>
      <c r="G3400" t="s">
        <v>199</v>
      </c>
      <c r="H3400" t="s">
        <v>187</v>
      </c>
      <c r="I3400" t="s">
        <v>673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666</v>
      </c>
      <c r="D3401" t="s">
        <v>667</v>
      </c>
      <c r="E3401" t="s">
        <v>89</v>
      </c>
      <c r="F3401">
        <v>14</v>
      </c>
      <c r="G3401" t="s">
        <v>199</v>
      </c>
      <c r="H3401" t="s">
        <v>187</v>
      </c>
      <c r="I3401" t="s">
        <v>674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666</v>
      </c>
      <c r="D3402" t="s">
        <v>667</v>
      </c>
      <c r="E3402" t="s">
        <v>89</v>
      </c>
      <c r="F3402">
        <v>14</v>
      </c>
      <c r="G3402" t="s">
        <v>199</v>
      </c>
      <c r="H3402" t="s">
        <v>187</v>
      </c>
      <c r="I3402" t="s">
        <v>675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666</v>
      </c>
      <c r="D3403" t="s">
        <v>667</v>
      </c>
      <c r="E3403" t="s">
        <v>89</v>
      </c>
      <c r="F3403">
        <v>14</v>
      </c>
      <c r="G3403" t="s">
        <v>199</v>
      </c>
      <c r="H3403" t="s">
        <v>187</v>
      </c>
      <c r="I3403" t="s">
        <v>676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666</v>
      </c>
      <c r="D3404" t="s">
        <v>667</v>
      </c>
      <c r="E3404" t="s">
        <v>89</v>
      </c>
      <c r="F3404">
        <v>14</v>
      </c>
      <c r="G3404" t="s">
        <v>199</v>
      </c>
      <c r="H3404" t="s">
        <v>187</v>
      </c>
      <c r="I3404" t="s">
        <v>677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666</v>
      </c>
      <c r="D3405" t="s">
        <v>667</v>
      </c>
      <c r="E3405" t="s">
        <v>89</v>
      </c>
      <c r="F3405">
        <v>14</v>
      </c>
      <c r="G3405" t="s">
        <v>199</v>
      </c>
      <c r="H3405" t="s">
        <v>187</v>
      </c>
      <c r="I3405" t="s">
        <v>678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666</v>
      </c>
      <c r="D3406" t="s">
        <v>667</v>
      </c>
      <c r="E3406" t="s">
        <v>89</v>
      </c>
      <c r="F3406">
        <v>14</v>
      </c>
      <c r="G3406" t="s">
        <v>199</v>
      </c>
      <c r="H3406" t="s">
        <v>187</v>
      </c>
      <c r="I3406" t="s">
        <v>679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666</v>
      </c>
      <c r="D3407" t="s">
        <v>667</v>
      </c>
      <c r="E3407" t="s">
        <v>89</v>
      </c>
      <c r="F3407">
        <v>14</v>
      </c>
      <c r="G3407" t="s">
        <v>199</v>
      </c>
      <c r="H3407" t="s">
        <v>187</v>
      </c>
      <c r="I3407" t="s">
        <v>670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666</v>
      </c>
      <c r="D3408" t="s">
        <v>667</v>
      </c>
      <c r="E3408" t="s">
        <v>89</v>
      </c>
      <c r="F3408">
        <v>14</v>
      </c>
      <c r="G3408" t="s">
        <v>199</v>
      </c>
      <c r="H3408" t="s">
        <v>188</v>
      </c>
      <c r="I3408" t="s">
        <v>673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666</v>
      </c>
      <c r="D3409" t="s">
        <v>667</v>
      </c>
      <c r="E3409" t="s">
        <v>89</v>
      </c>
      <c r="F3409">
        <v>14</v>
      </c>
      <c r="G3409" t="s">
        <v>199</v>
      </c>
      <c r="H3409" t="s">
        <v>188</v>
      </c>
      <c r="I3409" t="s">
        <v>674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666</v>
      </c>
      <c r="D3410" t="s">
        <v>667</v>
      </c>
      <c r="E3410" t="s">
        <v>89</v>
      </c>
      <c r="F3410">
        <v>14</v>
      </c>
      <c r="G3410" t="s">
        <v>199</v>
      </c>
      <c r="H3410" t="s">
        <v>188</v>
      </c>
      <c r="I3410" t="s">
        <v>675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666</v>
      </c>
      <c r="D3411" t="s">
        <v>667</v>
      </c>
      <c r="E3411" t="s">
        <v>89</v>
      </c>
      <c r="F3411">
        <v>14</v>
      </c>
      <c r="G3411" t="s">
        <v>199</v>
      </c>
      <c r="H3411" t="s">
        <v>188</v>
      </c>
      <c r="I3411" t="s">
        <v>676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666</v>
      </c>
      <c r="D3412" t="s">
        <v>667</v>
      </c>
      <c r="E3412" t="s">
        <v>89</v>
      </c>
      <c r="F3412">
        <v>14</v>
      </c>
      <c r="G3412" t="s">
        <v>199</v>
      </c>
      <c r="H3412" t="s">
        <v>188</v>
      </c>
      <c r="I3412" t="s">
        <v>677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666</v>
      </c>
      <c r="D3413" t="s">
        <v>667</v>
      </c>
      <c r="E3413" t="s">
        <v>89</v>
      </c>
      <c r="F3413">
        <v>14</v>
      </c>
      <c r="G3413" t="s">
        <v>199</v>
      </c>
      <c r="H3413" t="s">
        <v>188</v>
      </c>
      <c r="I3413" t="s">
        <v>678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666</v>
      </c>
      <c r="D3414" t="s">
        <v>667</v>
      </c>
      <c r="E3414" t="s">
        <v>89</v>
      </c>
      <c r="F3414">
        <v>14</v>
      </c>
      <c r="G3414" t="s">
        <v>199</v>
      </c>
      <c r="H3414" t="s">
        <v>188</v>
      </c>
      <c r="I3414" t="s">
        <v>679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666</v>
      </c>
      <c r="D3415" t="s">
        <v>667</v>
      </c>
      <c r="E3415" t="s">
        <v>89</v>
      </c>
      <c r="F3415">
        <v>14</v>
      </c>
      <c r="G3415" t="s">
        <v>199</v>
      </c>
      <c r="H3415" t="s">
        <v>188</v>
      </c>
      <c r="I3415" t="s">
        <v>670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666</v>
      </c>
      <c r="D3416" t="s">
        <v>667</v>
      </c>
      <c r="E3416" t="s">
        <v>89</v>
      </c>
      <c r="F3416">
        <v>14</v>
      </c>
      <c r="G3416" t="s">
        <v>199</v>
      </c>
      <c r="H3416" t="s">
        <v>198</v>
      </c>
      <c r="I3416" t="s">
        <v>673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666</v>
      </c>
      <c r="D3417" t="s">
        <v>667</v>
      </c>
      <c r="E3417" t="s">
        <v>89</v>
      </c>
      <c r="F3417">
        <v>14</v>
      </c>
      <c r="G3417" t="s">
        <v>199</v>
      </c>
      <c r="H3417" t="s">
        <v>198</v>
      </c>
      <c r="I3417" t="s">
        <v>674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666</v>
      </c>
      <c r="D3418" t="s">
        <v>667</v>
      </c>
      <c r="E3418" t="s">
        <v>89</v>
      </c>
      <c r="F3418">
        <v>14</v>
      </c>
      <c r="G3418" t="s">
        <v>199</v>
      </c>
      <c r="H3418" t="s">
        <v>198</v>
      </c>
      <c r="I3418" t="s">
        <v>675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666</v>
      </c>
      <c r="D3419" t="s">
        <v>667</v>
      </c>
      <c r="E3419" t="s">
        <v>89</v>
      </c>
      <c r="F3419">
        <v>14</v>
      </c>
      <c r="G3419" t="s">
        <v>199</v>
      </c>
      <c r="H3419" t="s">
        <v>198</v>
      </c>
      <c r="I3419" t="s">
        <v>676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666</v>
      </c>
      <c r="D3420" t="s">
        <v>667</v>
      </c>
      <c r="E3420" t="s">
        <v>89</v>
      </c>
      <c r="F3420">
        <v>14</v>
      </c>
      <c r="G3420" t="s">
        <v>199</v>
      </c>
      <c r="H3420" t="s">
        <v>198</v>
      </c>
      <c r="I3420" t="s">
        <v>677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666</v>
      </c>
      <c r="D3421" t="s">
        <v>667</v>
      </c>
      <c r="E3421" t="s">
        <v>89</v>
      </c>
      <c r="F3421">
        <v>14</v>
      </c>
      <c r="G3421" t="s">
        <v>199</v>
      </c>
      <c r="H3421" t="s">
        <v>198</v>
      </c>
      <c r="I3421" t="s">
        <v>678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666</v>
      </c>
      <c r="D3422" t="s">
        <v>667</v>
      </c>
      <c r="E3422" t="s">
        <v>89</v>
      </c>
      <c r="F3422">
        <v>14</v>
      </c>
      <c r="G3422" t="s">
        <v>199</v>
      </c>
      <c r="H3422" t="s">
        <v>198</v>
      </c>
      <c r="I3422" t="s">
        <v>679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666</v>
      </c>
      <c r="D3423" t="s">
        <v>667</v>
      </c>
      <c r="E3423" t="s">
        <v>89</v>
      </c>
      <c r="F3423">
        <v>14</v>
      </c>
      <c r="G3423" t="s">
        <v>199</v>
      </c>
      <c r="H3423" t="s">
        <v>198</v>
      </c>
      <c r="I3423" t="s">
        <v>670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666</v>
      </c>
      <c r="D3424" t="s">
        <v>667</v>
      </c>
      <c r="E3424" t="s">
        <v>89</v>
      </c>
      <c r="F3424">
        <v>14</v>
      </c>
      <c r="G3424" t="s">
        <v>203</v>
      </c>
      <c r="H3424" t="s">
        <v>204</v>
      </c>
      <c r="I3424" t="s">
        <v>120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666</v>
      </c>
      <c r="D3425" t="s">
        <v>667</v>
      </c>
      <c r="E3425" t="s">
        <v>89</v>
      </c>
      <c r="F3425">
        <v>14</v>
      </c>
      <c r="G3425" t="s">
        <v>203</v>
      </c>
      <c r="H3425" t="s">
        <v>205</v>
      </c>
      <c r="I3425" t="s">
        <v>120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666</v>
      </c>
      <c r="D3426" t="s">
        <v>667</v>
      </c>
      <c r="E3426" t="s">
        <v>89</v>
      </c>
      <c r="F3426">
        <v>14</v>
      </c>
      <c r="G3426" t="s">
        <v>203</v>
      </c>
      <c r="H3426" t="s">
        <v>0</v>
      </c>
      <c r="I3426" t="s">
        <v>120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666</v>
      </c>
      <c r="D3427" t="s">
        <v>667</v>
      </c>
      <c r="E3427" t="s">
        <v>89</v>
      </c>
      <c r="F3427">
        <v>14</v>
      </c>
      <c r="G3427" t="s">
        <v>90</v>
      </c>
      <c r="H3427" t="s">
        <v>206</v>
      </c>
      <c r="I3427" t="s">
        <v>680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666</v>
      </c>
      <c r="D3428" t="s">
        <v>667</v>
      </c>
      <c r="E3428" t="s">
        <v>89</v>
      </c>
      <c r="F3428">
        <v>14</v>
      </c>
      <c r="G3428" t="s">
        <v>90</v>
      </c>
      <c r="H3428" t="s">
        <v>206</v>
      </c>
      <c r="I3428" t="s">
        <v>681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666</v>
      </c>
      <c r="D3429" t="s">
        <v>667</v>
      </c>
      <c r="E3429" t="s">
        <v>89</v>
      </c>
      <c r="F3429">
        <v>14</v>
      </c>
      <c r="G3429" t="s">
        <v>90</v>
      </c>
      <c r="H3429" t="s">
        <v>206</v>
      </c>
      <c r="I3429" t="s">
        <v>682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666</v>
      </c>
      <c r="D3430" t="s">
        <v>667</v>
      </c>
      <c r="E3430" t="s">
        <v>89</v>
      </c>
      <c r="F3430">
        <v>14</v>
      </c>
      <c r="G3430" t="s">
        <v>90</v>
      </c>
      <c r="H3430" t="s">
        <v>206</v>
      </c>
      <c r="I3430" t="s">
        <v>683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666</v>
      </c>
      <c r="D3431" t="s">
        <v>667</v>
      </c>
      <c r="E3431" t="s">
        <v>89</v>
      </c>
      <c r="F3431">
        <v>14</v>
      </c>
      <c r="G3431" t="s">
        <v>90</v>
      </c>
      <c r="H3431" t="s">
        <v>206</v>
      </c>
      <c r="I3431" t="s">
        <v>684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666</v>
      </c>
      <c r="D3432" t="s">
        <v>667</v>
      </c>
      <c r="E3432" t="s">
        <v>89</v>
      </c>
      <c r="F3432">
        <v>14</v>
      </c>
      <c r="G3432" t="s">
        <v>90</v>
      </c>
      <c r="H3432" t="s">
        <v>206</v>
      </c>
      <c r="I3432" t="s">
        <v>685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666</v>
      </c>
      <c r="D3433" t="s">
        <v>667</v>
      </c>
      <c r="E3433" t="s">
        <v>89</v>
      </c>
      <c r="F3433">
        <v>14</v>
      </c>
      <c r="G3433" t="s">
        <v>90</v>
      </c>
      <c r="H3433" t="s">
        <v>206</v>
      </c>
      <c r="I3433" t="s">
        <v>686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666</v>
      </c>
      <c r="D3434" t="s">
        <v>667</v>
      </c>
      <c r="E3434" t="s">
        <v>89</v>
      </c>
      <c r="F3434">
        <v>14</v>
      </c>
      <c r="G3434" t="s">
        <v>90</v>
      </c>
      <c r="H3434" t="s">
        <v>206</v>
      </c>
      <c r="I3434" t="s">
        <v>687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666</v>
      </c>
      <c r="D3435" t="s">
        <v>667</v>
      </c>
      <c r="E3435" t="s">
        <v>89</v>
      </c>
      <c r="F3435">
        <v>14</v>
      </c>
      <c r="G3435" t="s">
        <v>90</v>
      </c>
      <c r="H3435" t="s">
        <v>206</v>
      </c>
      <c r="I3435" t="s">
        <v>688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666</v>
      </c>
      <c r="D3436" t="s">
        <v>667</v>
      </c>
      <c r="E3436" t="s">
        <v>89</v>
      </c>
      <c r="F3436">
        <v>14</v>
      </c>
      <c r="G3436" t="s">
        <v>90</v>
      </c>
      <c r="H3436" t="s">
        <v>206</v>
      </c>
      <c r="I3436" t="s">
        <v>689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666</v>
      </c>
      <c r="D3437" t="s">
        <v>667</v>
      </c>
      <c r="E3437" t="s">
        <v>89</v>
      </c>
      <c r="F3437">
        <v>14</v>
      </c>
      <c r="G3437" t="s">
        <v>90</v>
      </c>
      <c r="H3437" t="s">
        <v>206</v>
      </c>
      <c r="I3437" t="s">
        <v>690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666</v>
      </c>
      <c r="D3438" t="s">
        <v>667</v>
      </c>
      <c r="E3438" t="s">
        <v>89</v>
      </c>
      <c r="F3438">
        <v>14</v>
      </c>
      <c r="G3438" t="s">
        <v>90</v>
      </c>
      <c r="H3438" t="s">
        <v>206</v>
      </c>
      <c r="I3438" t="s">
        <v>691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666</v>
      </c>
      <c r="D3439" t="s">
        <v>667</v>
      </c>
      <c r="E3439" t="s">
        <v>89</v>
      </c>
      <c r="F3439">
        <v>14</v>
      </c>
      <c r="G3439" t="s">
        <v>90</v>
      </c>
      <c r="H3439" t="s">
        <v>206</v>
      </c>
      <c r="I3439" t="s">
        <v>692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666</v>
      </c>
      <c r="D3440" t="s">
        <v>667</v>
      </c>
      <c r="E3440" t="s">
        <v>89</v>
      </c>
      <c r="F3440">
        <v>14</v>
      </c>
      <c r="G3440" t="s">
        <v>90</v>
      </c>
      <c r="H3440" t="s">
        <v>206</v>
      </c>
      <c r="I3440" t="s">
        <v>693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666</v>
      </c>
      <c r="D3441" t="s">
        <v>667</v>
      </c>
      <c r="E3441" t="s">
        <v>89</v>
      </c>
      <c r="F3441">
        <v>14</v>
      </c>
      <c r="G3441" t="s">
        <v>90</v>
      </c>
      <c r="H3441" t="s">
        <v>206</v>
      </c>
      <c r="I3441" t="s">
        <v>694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666</v>
      </c>
      <c r="D3442" t="s">
        <v>667</v>
      </c>
      <c r="E3442" t="s">
        <v>89</v>
      </c>
      <c r="F3442">
        <v>14</v>
      </c>
      <c r="G3442" t="s">
        <v>90</v>
      </c>
      <c r="H3442" t="s">
        <v>206</v>
      </c>
      <c r="I3442" t="s">
        <v>695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666</v>
      </c>
      <c r="D3443" t="s">
        <v>667</v>
      </c>
      <c r="E3443" t="s">
        <v>89</v>
      </c>
      <c r="F3443">
        <v>14</v>
      </c>
      <c r="G3443" t="s">
        <v>90</v>
      </c>
      <c r="H3443" t="s">
        <v>227</v>
      </c>
      <c r="I3443" t="s">
        <v>680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666</v>
      </c>
      <c r="D3444" t="s">
        <v>667</v>
      </c>
      <c r="E3444" t="s">
        <v>89</v>
      </c>
      <c r="F3444">
        <v>14</v>
      </c>
      <c r="G3444" t="s">
        <v>90</v>
      </c>
      <c r="H3444" t="s">
        <v>227</v>
      </c>
      <c r="I3444" t="s">
        <v>681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666</v>
      </c>
      <c r="D3445" t="s">
        <v>667</v>
      </c>
      <c r="E3445" t="s">
        <v>89</v>
      </c>
      <c r="F3445">
        <v>14</v>
      </c>
      <c r="G3445" t="s">
        <v>90</v>
      </c>
      <c r="H3445" t="s">
        <v>227</v>
      </c>
      <c r="I3445" t="s">
        <v>682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666</v>
      </c>
      <c r="D3446" t="s">
        <v>667</v>
      </c>
      <c r="E3446" t="s">
        <v>89</v>
      </c>
      <c r="F3446">
        <v>14</v>
      </c>
      <c r="G3446" t="s">
        <v>90</v>
      </c>
      <c r="H3446" t="s">
        <v>227</v>
      </c>
      <c r="I3446" t="s">
        <v>683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666</v>
      </c>
      <c r="D3447" t="s">
        <v>667</v>
      </c>
      <c r="E3447" t="s">
        <v>89</v>
      </c>
      <c r="F3447">
        <v>14</v>
      </c>
      <c r="G3447" t="s">
        <v>90</v>
      </c>
      <c r="H3447" t="s">
        <v>227</v>
      </c>
      <c r="I3447" t="s">
        <v>684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666</v>
      </c>
      <c r="D3448" t="s">
        <v>667</v>
      </c>
      <c r="E3448" t="s">
        <v>89</v>
      </c>
      <c r="F3448">
        <v>14</v>
      </c>
      <c r="G3448" t="s">
        <v>90</v>
      </c>
      <c r="H3448" t="s">
        <v>227</v>
      </c>
      <c r="I3448" t="s">
        <v>685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666</v>
      </c>
      <c r="D3449" t="s">
        <v>667</v>
      </c>
      <c r="E3449" t="s">
        <v>89</v>
      </c>
      <c r="F3449">
        <v>14</v>
      </c>
      <c r="G3449" t="s">
        <v>90</v>
      </c>
      <c r="H3449" t="s">
        <v>227</v>
      </c>
      <c r="I3449" t="s">
        <v>686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666</v>
      </c>
      <c r="D3450" t="s">
        <v>667</v>
      </c>
      <c r="E3450" t="s">
        <v>89</v>
      </c>
      <c r="F3450">
        <v>14</v>
      </c>
      <c r="G3450" t="s">
        <v>90</v>
      </c>
      <c r="H3450" t="s">
        <v>227</v>
      </c>
      <c r="I3450" t="s">
        <v>687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666</v>
      </c>
      <c r="D3451" t="s">
        <v>667</v>
      </c>
      <c r="E3451" t="s">
        <v>89</v>
      </c>
      <c r="F3451">
        <v>14</v>
      </c>
      <c r="G3451" t="s">
        <v>90</v>
      </c>
      <c r="H3451" t="s">
        <v>227</v>
      </c>
      <c r="I3451" t="s">
        <v>688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666</v>
      </c>
      <c r="D3452" t="s">
        <v>667</v>
      </c>
      <c r="E3452" t="s">
        <v>89</v>
      </c>
      <c r="F3452">
        <v>14</v>
      </c>
      <c r="G3452" t="s">
        <v>90</v>
      </c>
      <c r="H3452" t="s">
        <v>227</v>
      </c>
      <c r="I3452" t="s">
        <v>689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666</v>
      </c>
      <c r="D3453" t="s">
        <v>667</v>
      </c>
      <c r="E3453" t="s">
        <v>89</v>
      </c>
      <c r="F3453">
        <v>14</v>
      </c>
      <c r="G3453" t="s">
        <v>90</v>
      </c>
      <c r="H3453" t="s">
        <v>227</v>
      </c>
      <c r="I3453" t="s">
        <v>690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666</v>
      </c>
      <c r="D3454" t="s">
        <v>667</v>
      </c>
      <c r="E3454" t="s">
        <v>89</v>
      </c>
      <c r="F3454">
        <v>14</v>
      </c>
      <c r="G3454" t="s">
        <v>90</v>
      </c>
      <c r="H3454" t="s">
        <v>227</v>
      </c>
      <c r="I3454" t="s">
        <v>691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666</v>
      </c>
      <c r="D3455" t="s">
        <v>667</v>
      </c>
      <c r="E3455" t="s">
        <v>89</v>
      </c>
      <c r="F3455">
        <v>14</v>
      </c>
      <c r="G3455" t="s">
        <v>90</v>
      </c>
      <c r="H3455" t="s">
        <v>227</v>
      </c>
      <c r="I3455" t="s">
        <v>692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666</v>
      </c>
      <c r="D3456" t="s">
        <v>667</v>
      </c>
      <c r="E3456" t="s">
        <v>89</v>
      </c>
      <c r="F3456">
        <v>14</v>
      </c>
      <c r="G3456" t="s">
        <v>90</v>
      </c>
      <c r="H3456" t="s">
        <v>227</v>
      </c>
      <c r="I3456" t="s">
        <v>693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666</v>
      </c>
      <c r="D3457" t="s">
        <v>667</v>
      </c>
      <c r="E3457" t="s">
        <v>89</v>
      </c>
      <c r="F3457">
        <v>14</v>
      </c>
      <c r="G3457" t="s">
        <v>90</v>
      </c>
      <c r="H3457" t="s">
        <v>227</v>
      </c>
      <c r="I3457" t="s">
        <v>694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666</v>
      </c>
      <c r="D3458" t="s">
        <v>667</v>
      </c>
      <c r="E3458" t="s">
        <v>89</v>
      </c>
      <c r="F3458">
        <v>14</v>
      </c>
      <c r="G3458" t="s">
        <v>90</v>
      </c>
      <c r="H3458" t="s">
        <v>227</v>
      </c>
      <c r="I3458" t="s">
        <v>695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666</v>
      </c>
      <c r="D3459" t="s">
        <v>667</v>
      </c>
      <c r="E3459" t="s">
        <v>89</v>
      </c>
      <c r="F3459">
        <v>14</v>
      </c>
      <c r="G3459" t="s">
        <v>90</v>
      </c>
      <c r="H3459" t="s">
        <v>228</v>
      </c>
      <c r="I3459" t="s">
        <v>680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666</v>
      </c>
      <c r="D3460" t="s">
        <v>667</v>
      </c>
      <c r="E3460" t="s">
        <v>89</v>
      </c>
      <c r="F3460">
        <v>14</v>
      </c>
      <c r="G3460" t="s">
        <v>90</v>
      </c>
      <c r="H3460" t="s">
        <v>228</v>
      </c>
      <c r="I3460" t="s">
        <v>681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666</v>
      </c>
      <c r="D3461" t="s">
        <v>667</v>
      </c>
      <c r="E3461" t="s">
        <v>89</v>
      </c>
      <c r="F3461">
        <v>14</v>
      </c>
      <c r="G3461" t="s">
        <v>90</v>
      </c>
      <c r="H3461" t="s">
        <v>228</v>
      </c>
      <c r="I3461" t="s">
        <v>682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666</v>
      </c>
      <c r="D3462" t="s">
        <v>667</v>
      </c>
      <c r="E3462" t="s">
        <v>89</v>
      </c>
      <c r="F3462">
        <v>14</v>
      </c>
      <c r="G3462" t="s">
        <v>90</v>
      </c>
      <c r="H3462" t="s">
        <v>228</v>
      </c>
      <c r="I3462" t="s">
        <v>683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666</v>
      </c>
      <c r="D3463" t="s">
        <v>667</v>
      </c>
      <c r="E3463" t="s">
        <v>89</v>
      </c>
      <c r="F3463">
        <v>14</v>
      </c>
      <c r="G3463" t="s">
        <v>90</v>
      </c>
      <c r="H3463" t="s">
        <v>228</v>
      </c>
      <c r="I3463" t="s">
        <v>684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666</v>
      </c>
      <c r="D3464" t="s">
        <v>667</v>
      </c>
      <c r="E3464" t="s">
        <v>89</v>
      </c>
      <c r="F3464">
        <v>14</v>
      </c>
      <c r="G3464" t="s">
        <v>90</v>
      </c>
      <c r="H3464" t="s">
        <v>228</v>
      </c>
      <c r="I3464" t="s">
        <v>685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666</v>
      </c>
      <c r="D3465" t="s">
        <v>667</v>
      </c>
      <c r="E3465" t="s">
        <v>89</v>
      </c>
      <c r="F3465">
        <v>14</v>
      </c>
      <c r="G3465" t="s">
        <v>90</v>
      </c>
      <c r="H3465" t="s">
        <v>228</v>
      </c>
      <c r="I3465" t="s">
        <v>686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666</v>
      </c>
      <c r="D3466" t="s">
        <v>667</v>
      </c>
      <c r="E3466" t="s">
        <v>89</v>
      </c>
      <c r="F3466">
        <v>14</v>
      </c>
      <c r="G3466" t="s">
        <v>90</v>
      </c>
      <c r="H3466" t="s">
        <v>228</v>
      </c>
      <c r="I3466" t="s">
        <v>687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666</v>
      </c>
      <c r="D3467" t="s">
        <v>667</v>
      </c>
      <c r="E3467" t="s">
        <v>89</v>
      </c>
      <c r="F3467">
        <v>14</v>
      </c>
      <c r="G3467" t="s">
        <v>90</v>
      </c>
      <c r="H3467" t="s">
        <v>228</v>
      </c>
      <c r="I3467" t="s">
        <v>688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666</v>
      </c>
      <c r="D3468" t="s">
        <v>667</v>
      </c>
      <c r="E3468" t="s">
        <v>89</v>
      </c>
      <c r="F3468">
        <v>14</v>
      </c>
      <c r="G3468" t="s">
        <v>90</v>
      </c>
      <c r="H3468" t="s">
        <v>228</v>
      </c>
      <c r="I3468" t="s">
        <v>689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666</v>
      </c>
      <c r="D3469" t="s">
        <v>667</v>
      </c>
      <c r="E3469" t="s">
        <v>89</v>
      </c>
      <c r="F3469">
        <v>14</v>
      </c>
      <c r="G3469" t="s">
        <v>90</v>
      </c>
      <c r="H3469" t="s">
        <v>228</v>
      </c>
      <c r="I3469" t="s">
        <v>690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666</v>
      </c>
      <c r="D3470" t="s">
        <v>667</v>
      </c>
      <c r="E3470" t="s">
        <v>89</v>
      </c>
      <c r="F3470">
        <v>14</v>
      </c>
      <c r="G3470" t="s">
        <v>90</v>
      </c>
      <c r="H3470" t="s">
        <v>228</v>
      </c>
      <c r="I3470" t="s">
        <v>691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666</v>
      </c>
      <c r="D3471" t="s">
        <v>667</v>
      </c>
      <c r="E3471" t="s">
        <v>89</v>
      </c>
      <c r="F3471">
        <v>14</v>
      </c>
      <c r="G3471" t="s">
        <v>90</v>
      </c>
      <c r="H3471" t="s">
        <v>228</v>
      </c>
      <c r="I3471" t="s">
        <v>692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666</v>
      </c>
      <c r="D3472" t="s">
        <v>667</v>
      </c>
      <c r="E3472" t="s">
        <v>89</v>
      </c>
      <c r="F3472">
        <v>14</v>
      </c>
      <c r="G3472" t="s">
        <v>90</v>
      </c>
      <c r="H3472" t="s">
        <v>228</v>
      </c>
      <c r="I3472" t="s">
        <v>693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666</v>
      </c>
      <c r="D3473" t="s">
        <v>667</v>
      </c>
      <c r="E3473" t="s">
        <v>89</v>
      </c>
      <c r="F3473">
        <v>14</v>
      </c>
      <c r="G3473" t="s">
        <v>90</v>
      </c>
      <c r="H3473" t="s">
        <v>228</v>
      </c>
      <c r="I3473" t="s">
        <v>694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666</v>
      </c>
      <c r="D3474" t="s">
        <v>667</v>
      </c>
      <c r="E3474" t="s">
        <v>89</v>
      </c>
      <c r="F3474">
        <v>14</v>
      </c>
      <c r="G3474" t="s">
        <v>90</v>
      </c>
      <c r="H3474" t="s">
        <v>228</v>
      </c>
      <c r="I3474" t="s">
        <v>695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666</v>
      </c>
      <c r="D3475" t="s">
        <v>667</v>
      </c>
      <c r="E3475" t="s">
        <v>89</v>
      </c>
      <c r="F3475">
        <v>14</v>
      </c>
      <c r="G3475" t="s">
        <v>90</v>
      </c>
      <c r="H3475" t="s">
        <v>229</v>
      </c>
      <c r="I3475" t="s">
        <v>680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666</v>
      </c>
      <c r="D3476" t="s">
        <v>667</v>
      </c>
      <c r="E3476" t="s">
        <v>89</v>
      </c>
      <c r="F3476">
        <v>14</v>
      </c>
      <c r="G3476" t="s">
        <v>90</v>
      </c>
      <c r="H3476" t="s">
        <v>229</v>
      </c>
      <c r="I3476" t="s">
        <v>681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666</v>
      </c>
      <c r="D3477" t="s">
        <v>667</v>
      </c>
      <c r="E3477" t="s">
        <v>89</v>
      </c>
      <c r="F3477">
        <v>14</v>
      </c>
      <c r="G3477" t="s">
        <v>90</v>
      </c>
      <c r="H3477" t="s">
        <v>229</v>
      </c>
      <c r="I3477" t="s">
        <v>682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666</v>
      </c>
      <c r="D3478" t="s">
        <v>667</v>
      </c>
      <c r="E3478" t="s">
        <v>89</v>
      </c>
      <c r="F3478">
        <v>14</v>
      </c>
      <c r="G3478" t="s">
        <v>90</v>
      </c>
      <c r="H3478" t="s">
        <v>229</v>
      </c>
      <c r="I3478" t="s">
        <v>683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666</v>
      </c>
      <c r="D3479" t="s">
        <v>667</v>
      </c>
      <c r="E3479" t="s">
        <v>89</v>
      </c>
      <c r="F3479">
        <v>14</v>
      </c>
      <c r="G3479" t="s">
        <v>90</v>
      </c>
      <c r="H3479" t="s">
        <v>229</v>
      </c>
      <c r="I3479" t="s">
        <v>684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666</v>
      </c>
      <c r="D3480" t="s">
        <v>667</v>
      </c>
      <c r="E3480" t="s">
        <v>89</v>
      </c>
      <c r="F3480">
        <v>14</v>
      </c>
      <c r="G3480" t="s">
        <v>90</v>
      </c>
      <c r="H3480" t="s">
        <v>229</v>
      </c>
      <c r="I3480" t="s">
        <v>685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666</v>
      </c>
      <c r="D3481" t="s">
        <v>667</v>
      </c>
      <c r="E3481" t="s">
        <v>89</v>
      </c>
      <c r="F3481">
        <v>14</v>
      </c>
      <c r="G3481" t="s">
        <v>90</v>
      </c>
      <c r="H3481" t="s">
        <v>229</v>
      </c>
      <c r="I3481" t="s">
        <v>686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666</v>
      </c>
      <c r="D3482" t="s">
        <v>667</v>
      </c>
      <c r="E3482" t="s">
        <v>89</v>
      </c>
      <c r="F3482">
        <v>14</v>
      </c>
      <c r="G3482" t="s">
        <v>90</v>
      </c>
      <c r="H3482" t="s">
        <v>229</v>
      </c>
      <c r="I3482" t="s">
        <v>687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666</v>
      </c>
      <c r="D3483" t="s">
        <v>667</v>
      </c>
      <c r="E3483" t="s">
        <v>89</v>
      </c>
      <c r="F3483">
        <v>14</v>
      </c>
      <c r="G3483" t="s">
        <v>90</v>
      </c>
      <c r="H3483" t="s">
        <v>229</v>
      </c>
      <c r="I3483" t="s">
        <v>688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666</v>
      </c>
      <c r="D3484" t="s">
        <v>667</v>
      </c>
      <c r="E3484" t="s">
        <v>89</v>
      </c>
      <c r="F3484">
        <v>14</v>
      </c>
      <c r="G3484" t="s">
        <v>90</v>
      </c>
      <c r="H3484" t="s">
        <v>229</v>
      </c>
      <c r="I3484" t="s">
        <v>689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666</v>
      </c>
      <c r="D3485" t="s">
        <v>667</v>
      </c>
      <c r="E3485" t="s">
        <v>89</v>
      </c>
      <c r="F3485">
        <v>14</v>
      </c>
      <c r="G3485" t="s">
        <v>90</v>
      </c>
      <c r="H3485" t="s">
        <v>229</v>
      </c>
      <c r="I3485" t="s">
        <v>690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666</v>
      </c>
      <c r="D3486" t="s">
        <v>667</v>
      </c>
      <c r="E3486" t="s">
        <v>89</v>
      </c>
      <c r="F3486">
        <v>14</v>
      </c>
      <c r="G3486" t="s">
        <v>90</v>
      </c>
      <c r="H3486" t="s">
        <v>229</v>
      </c>
      <c r="I3486" t="s">
        <v>691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666</v>
      </c>
      <c r="D3487" t="s">
        <v>667</v>
      </c>
      <c r="E3487" t="s">
        <v>89</v>
      </c>
      <c r="F3487">
        <v>14</v>
      </c>
      <c r="G3487" t="s">
        <v>90</v>
      </c>
      <c r="H3487" t="s">
        <v>229</v>
      </c>
      <c r="I3487" t="s">
        <v>692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666</v>
      </c>
      <c r="D3488" t="s">
        <v>667</v>
      </c>
      <c r="E3488" t="s">
        <v>89</v>
      </c>
      <c r="F3488">
        <v>14</v>
      </c>
      <c r="G3488" t="s">
        <v>90</v>
      </c>
      <c r="H3488" t="s">
        <v>229</v>
      </c>
      <c r="I3488" t="s">
        <v>693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666</v>
      </c>
      <c r="D3489" t="s">
        <v>667</v>
      </c>
      <c r="E3489" t="s">
        <v>89</v>
      </c>
      <c r="F3489">
        <v>14</v>
      </c>
      <c r="G3489" t="s">
        <v>90</v>
      </c>
      <c r="H3489" t="s">
        <v>229</v>
      </c>
      <c r="I3489" t="s">
        <v>694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666</v>
      </c>
      <c r="D3490" t="s">
        <v>667</v>
      </c>
      <c r="E3490" t="s">
        <v>89</v>
      </c>
      <c r="F3490">
        <v>14</v>
      </c>
      <c r="G3490" t="s">
        <v>90</v>
      </c>
      <c r="H3490" t="s">
        <v>229</v>
      </c>
      <c r="I3490" t="s">
        <v>695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666</v>
      </c>
      <c r="D3491" t="s">
        <v>667</v>
      </c>
      <c r="E3491" t="s">
        <v>89</v>
      </c>
      <c r="F3491">
        <v>14</v>
      </c>
      <c r="G3491" t="s">
        <v>90</v>
      </c>
      <c r="H3491" t="s">
        <v>91</v>
      </c>
      <c r="I3491" t="s">
        <v>680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666</v>
      </c>
      <c r="D3492" t="s">
        <v>667</v>
      </c>
      <c r="E3492" t="s">
        <v>89</v>
      </c>
      <c r="F3492">
        <v>14</v>
      </c>
      <c r="G3492" t="s">
        <v>90</v>
      </c>
      <c r="H3492" t="s">
        <v>91</v>
      </c>
      <c r="I3492" t="s">
        <v>681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666</v>
      </c>
      <c r="D3493" t="s">
        <v>667</v>
      </c>
      <c r="E3493" t="s">
        <v>89</v>
      </c>
      <c r="F3493">
        <v>14</v>
      </c>
      <c r="G3493" t="s">
        <v>90</v>
      </c>
      <c r="H3493" t="s">
        <v>91</v>
      </c>
      <c r="I3493" t="s">
        <v>682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666</v>
      </c>
      <c r="D3494" t="s">
        <v>667</v>
      </c>
      <c r="E3494" t="s">
        <v>89</v>
      </c>
      <c r="F3494">
        <v>14</v>
      </c>
      <c r="G3494" t="s">
        <v>90</v>
      </c>
      <c r="H3494" t="s">
        <v>91</v>
      </c>
      <c r="I3494" t="s">
        <v>683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666</v>
      </c>
      <c r="D3495" t="s">
        <v>667</v>
      </c>
      <c r="E3495" t="s">
        <v>89</v>
      </c>
      <c r="F3495">
        <v>14</v>
      </c>
      <c r="G3495" t="s">
        <v>90</v>
      </c>
      <c r="H3495" t="s">
        <v>91</v>
      </c>
      <c r="I3495" t="s">
        <v>684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666</v>
      </c>
      <c r="D3496" t="s">
        <v>667</v>
      </c>
      <c r="E3496" t="s">
        <v>89</v>
      </c>
      <c r="F3496">
        <v>14</v>
      </c>
      <c r="G3496" t="s">
        <v>90</v>
      </c>
      <c r="H3496" t="s">
        <v>91</v>
      </c>
      <c r="I3496" t="s">
        <v>685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666</v>
      </c>
      <c r="D3497" t="s">
        <v>667</v>
      </c>
      <c r="E3497" t="s">
        <v>89</v>
      </c>
      <c r="F3497">
        <v>14</v>
      </c>
      <c r="G3497" t="s">
        <v>90</v>
      </c>
      <c r="H3497" t="s">
        <v>91</v>
      </c>
      <c r="I3497" t="s">
        <v>686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666</v>
      </c>
      <c r="D3498" t="s">
        <v>667</v>
      </c>
      <c r="E3498" t="s">
        <v>89</v>
      </c>
      <c r="F3498">
        <v>14</v>
      </c>
      <c r="G3498" t="s">
        <v>90</v>
      </c>
      <c r="H3498" t="s">
        <v>91</v>
      </c>
      <c r="I3498" t="s">
        <v>687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666</v>
      </c>
      <c r="D3499" t="s">
        <v>667</v>
      </c>
      <c r="E3499" t="s">
        <v>89</v>
      </c>
      <c r="F3499">
        <v>14</v>
      </c>
      <c r="G3499" t="s">
        <v>90</v>
      </c>
      <c r="H3499" t="s">
        <v>91</v>
      </c>
      <c r="I3499" t="s">
        <v>688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666</v>
      </c>
      <c r="D3500" t="s">
        <v>667</v>
      </c>
      <c r="E3500" t="s">
        <v>89</v>
      </c>
      <c r="F3500">
        <v>14</v>
      </c>
      <c r="G3500" t="s">
        <v>90</v>
      </c>
      <c r="H3500" t="s">
        <v>91</v>
      </c>
      <c r="I3500" t="s">
        <v>689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666</v>
      </c>
      <c r="D3501" t="s">
        <v>667</v>
      </c>
      <c r="E3501" t="s">
        <v>89</v>
      </c>
      <c r="F3501">
        <v>14</v>
      </c>
      <c r="G3501" t="s">
        <v>90</v>
      </c>
      <c r="H3501" t="s">
        <v>91</v>
      </c>
      <c r="I3501" t="s">
        <v>690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666</v>
      </c>
      <c r="D3502" t="s">
        <v>667</v>
      </c>
      <c r="E3502" t="s">
        <v>89</v>
      </c>
      <c r="F3502">
        <v>14</v>
      </c>
      <c r="G3502" t="s">
        <v>90</v>
      </c>
      <c r="H3502" t="s">
        <v>91</v>
      </c>
      <c r="I3502" t="s">
        <v>691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666</v>
      </c>
      <c r="D3503" t="s">
        <v>667</v>
      </c>
      <c r="E3503" t="s">
        <v>89</v>
      </c>
      <c r="F3503">
        <v>14</v>
      </c>
      <c r="G3503" t="s">
        <v>90</v>
      </c>
      <c r="H3503" t="s">
        <v>91</v>
      </c>
      <c r="I3503" t="s">
        <v>692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666</v>
      </c>
      <c r="D3504" t="s">
        <v>667</v>
      </c>
      <c r="E3504" t="s">
        <v>89</v>
      </c>
      <c r="F3504">
        <v>14</v>
      </c>
      <c r="G3504" t="s">
        <v>90</v>
      </c>
      <c r="H3504" t="s">
        <v>91</v>
      </c>
      <c r="I3504" t="s">
        <v>693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666</v>
      </c>
      <c r="D3505" t="s">
        <v>667</v>
      </c>
      <c r="E3505" t="s">
        <v>89</v>
      </c>
      <c r="F3505">
        <v>14</v>
      </c>
      <c r="G3505" t="s">
        <v>90</v>
      </c>
      <c r="H3505" t="s">
        <v>91</v>
      </c>
      <c r="I3505" t="s">
        <v>694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666</v>
      </c>
      <c r="D3506" t="s">
        <v>667</v>
      </c>
      <c r="E3506" t="s">
        <v>89</v>
      </c>
      <c r="F3506">
        <v>14</v>
      </c>
      <c r="G3506" t="s">
        <v>90</v>
      </c>
      <c r="H3506" t="s">
        <v>91</v>
      </c>
      <c r="I3506" t="s">
        <v>695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666</v>
      </c>
      <c r="D3507" t="s">
        <v>667</v>
      </c>
      <c r="E3507" t="s">
        <v>89</v>
      </c>
      <c r="F3507">
        <v>14</v>
      </c>
      <c r="G3507" t="s">
        <v>90</v>
      </c>
      <c r="H3507" t="s">
        <v>230</v>
      </c>
      <c r="I3507" t="s">
        <v>680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666</v>
      </c>
      <c r="D3508" t="s">
        <v>667</v>
      </c>
      <c r="E3508" t="s">
        <v>89</v>
      </c>
      <c r="F3508">
        <v>14</v>
      </c>
      <c r="G3508" t="s">
        <v>90</v>
      </c>
      <c r="H3508" t="s">
        <v>230</v>
      </c>
      <c r="I3508" t="s">
        <v>681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666</v>
      </c>
      <c r="D3509" t="s">
        <v>667</v>
      </c>
      <c r="E3509" t="s">
        <v>89</v>
      </c>
      <c r="F3509">
        <v>14</v>
      </c>
      <c r="G3509" t="s">
        <v>90</v>
      </c>
      <c r="H3509" t="s">
        <v>230</v>
      </c>
      <c r="I3509" t="s">
        <v>682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666</v>
      </c>
      <c r="D3510" t="s">
        <v>667</v>
      </c>
      <c r="E3510" t="s">
        <v>89</v>
      </c>
      <c r="F3510">
        <v>14</v>
      </c>
      <c r="G3510" t="s">
        <v>90</v>
      </c>
      <c r="H3510" t="s">
        <v>230</v>
      </c>
      <c r="I3510" t="s">
        <v>683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666</v>
      </c>
      <c r="D3511" t="s">
        <v>667</v>
      </c>
      <c r="E3511" t="s">
        <v>89</v>
      </c>
      <c r="F3511">
        <v>14</v>
      </c>
      <c r="G3511" t="s">
        <v>90</v>
      </c>
      <c r="H3511" t="s">
        <v>230</v>
      </c>
      <c r="I3511" t="s">
        <v>684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666</v>
      </c>
      <c r="D3512" t="s">
        <v>667</v>
      </c>
      <c r="E3512" t="s">
        <v>89</v>
      </c>
      <c r="F3512">
        <v>14</v>
      </c>
      <c r="G3512" t="s">
        <v>90</v>
      </c>
      <c r="H3512" t="s">
        <v>230</v>
      </c>
      <c r="I3512" t="s">
        <v>685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666</v>
      </c>
      <c r="D3513" t="s">
        <v>667</v>
      </c>
      <c r="E3513" t="s">
        <v>89</v>
      </c>
      <c r="F3513">
        <v>14</v>
      </c>
      <c r="G3513" t="s">
        <v>90</v>
      </c>
      <c r="H3513" t="s">
        <v>230</v>
      </c>
      <c r="I3513" t="s">
        <v>686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666</v>
      </c>
      <c r="D3514" t="s">
        <v>667</v>
      </c>
      <c r="E3514" t="s">
        <v>89</v>
      </c>
      <c r="F3514">
        <v>14</v>
      </c>
      <c r="G3514" t="s">
        <v>90</v>
      </c>
      <c r="H3514" t="s">
        <v>230</v>
      </c>
      <c r="I3514" t="s">
        <v>687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666</v>
      </c>
      <c r="D3515" t="s">
        <v>667</v>
      </c>
      <c r="E3515" t="s">
        <v>89</v>
      </c>
      <c r="F3515">
        <v>14</v>
      </c>
      <c r="G3515" t="s">
        <v>90</v>
      </c>
      <c r="H3515" t="s">
        <v>230</v>
      </c>
      <c r="I3515" t="s">
        <v>688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666</v>
      </c>
      <c r="D3516" t="s">
        <v>667</v>
      </c>
      <c r="E3516" t="s">
        <v>89</v>
      </c>
      <c r="F3516">
        <v>14</v>
      </c>
      <c r="G3516" t="s">
        <v>90</v>
      </c>
      <c r="H3516" t="s">
        <v>230</v>
      </c>
      <c r="I3516" t="s">
        <v>689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666</v>
      </c>
      <c r="D3517" t="s">
        <v>667</v>
      </c>
      <c r="E3517" t="s">
        <v>89</v>
      </c>
      <c r="F3517">
        <v>14</v>
      </c>
      <c r="G3517" t="s">
        <v>90</v>
      </c>
      <c r="H3517" t="s">
        <v>230</v>
      </c>
      <c r="I3517" t="s">
        <v>690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666</v>
      </c>
      <c r="D3518" t="s">
        <v>667</v>
      </c>
      <c r="E3518" t="s">
        <v>89</v>
      </c>
      <c r="F3518">
        <v>14</v>
      </c>
      <c r="G3518" t="s">
        <v>90</v>
      </c>
      <c r="H3518" t="s">
        <v>230</v>
      </c>
      <c r="I3518" t="s">
        <v>691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666</v>
      </c>
      <c r="D3519" t="s">
        <v>667</v>
      </c>
      <c r="E3519" t="s">
        <v>89</v>
      </c>
      <c r="F3519">
        <v>14</v>
      </c>
      <c r="G3519" t="s">
        <v>90</v>
      </c>
      <c r="H3519" t="s">
        <v>230</v>
      </c>
      <c r="I3519" t="s">
        <v>692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666</v>
      </c>
      <c r="D3520" t="s">
        <v>667</v>
      </c>
      <c r="E3520" t="s">
        <v>89</v>
      </c>
      <c r="F3520">
        <v>14</v>
      </c>
      <c r="G3520" t="s">
        <v>90</v>
      </c>
      <c r="H3520" t="s">
        <v>230</v>
      </c>
      <c r="I3520" t="s">
        <v>693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666</v>
      </c>
      <c r="D3521" t="s">
        <v>667</v>
      </c>
      <c r="E3521" t="s">
        <v>89</v>
      </c>
      <c r="F3521">
        <v>14</v>
      </c>
      <c r="G3521" t="s">
        <v>90</v>
      </c>
      <c r="H3521" t="s">
        <v>230</v>
      </c>
      <c r="I3521" t="s">
        <v>694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666</v>
      </c>
      <c r="D3522" t="s">
        <v>667</v>
      </c>
      <c r="E3522" t="s">
        <v>89</v>
      </c>
      <c r="F3522">
        <v>14</v>
      </c>
      <c r="G3522" t="s">
        <v>90</v>
      </c>
      <c r="H3522" t="s">
        <v>230</v>
      </c>
      <c r="I3522" t="s">
        <v>695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666</v>
      </c>
      <c r="D3523" t="s">
        <v>667</v>
      </c>
      <c r="E3523" t="s">
        <v>89</v>
      </c>
      <c r="F3523">
        <v>14</v>
      </c>
      <c r="G3523" t="s">
        <v>90</v>
      </c>
      <c r="H3523" t="s">
        <v>188</v>
      </c>
      <c r="I3523" t="s">
        <v>680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666</v>
      </c>
      <c r="D3524" t="s">
        <v>667</v>
      </c>
      <c r="E3524" t="s">
        <v>89</v>
      </c>
      <c r="F3524">
        <v>14</v>
      </c>
      <c r="G3524" t="s">
        <v>90</v>
      </c>
      <c r="H3524" t="s">
        <v>188</v>
      </c>
      <c r="I3524" t="s">
        <v>681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666</v>
      </c>
      <c r="D3525" t="s">
        <v>667</v>
      </c>
      <c r="E3525" t="s">
        <v>89</v>
      </c>
      <c r="F3525">
        <v>14</v>
      </c>
      <c r="G3525" t="s">
        <v>90</v>
      </c>
      <c r="H3525" t="s">
        <v>188</v>
      </c>
      <c r="I3525" t="s">
        <v>682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666</v>
      </c>
      <c r="D3526" t="s">
        <v>667</v>
      </c>
      <c r="E3526" t="s">
        <v>89</v>
      </c>
      <c r="F3526">
        <v>14</v>
      </c>
      <c r="G3526" t="s">
        <v>90</v>
      </c>
      <c r="H3526" t="s">
        <v>188</v>
      </c>
      <c r="I3526" t="s">
        <v>683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666</v>
      </c>
      <c r="D3527" t="s">
        <v>667</v>
      </c>
      <c r="E3527" t="s">
        <v>89</v>
      </c>
      <c r="F3527">
        <v>14</v>
      </c>
      <c r="G3527" t="s">
        <v>90</v>
      </c>
      <c r="H3527" t="s">
        <v>188</v>
      </c>
      <c r="I3527" t="s">
        <v>684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666</v>
      </c>
      <c r="D3528" t="s">
        <v>667</v>
      </c>
      <c r="E3528" t="s">
        <v>89</v>
      </c>
      <c r="F3528">
        <v>14</v>
      </c>
      <c r="G3528" t="s">
        <v>90</v>
      </c>
      <c r="H3528" t="s">
        <v>188</v>
      </c>
      <c r="I3528" t="s">
        <v>685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666</v>
      </c>
      <c r="D3529" t="s">
        <v>667</v>
      </c>
      <c r="E3529" t="s">
        <v>89</v>
      </c>
      <c r="F3529">
        <v>14</v>
      </c>
      <c r="G3529" t="s">
        <v>90</v>
      </c>
      <c r="H3529" t="s">
        <v>188</v>
      </c>
      <c r="I3529" t="s">
        <v>686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666</v>
      </c>
      <c r="D3530" t="s">
        <v>667</v>
      </c>
      <c r="E3530" t="s">
        <v>89</v>
      </c>
      <c r="F3530">
        <v>14</v>
      </c>
      <c r="G3530" t="s">
        <v>90</v>
      </c>
      <c r="H3530" t="s">
        <v>188</v>
      </c>
      <c r="I3530" t="s">
        <v>687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666</v>
      </c>
      <c r="D3531" t="s">
        <v>667</v>
      </c>
      <c r="E3531" t="s">
        <v>89</v>
      </c>
      <c r="F3531">
        <v>14</v>
      </c>
      <c r="G3531" t="s">
        <v>90</v>
      </c>
      <c r="H3531" t="s">
        <v>188</v>
      </c>
      <c r="I3531" t="s">
        <v>688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666</v>
      </c>
      <c r="D3532" t="s">
        <v>667</v>
      </c>
      <c r="E3532" t="s">
        <v>89</v>
      </c>
      <c r="F3532">
        <v>14</v>
      </c>
      <c r="G3532" t="s">
        <v>90</v>
      </c>
      <c r="H3532" t="s">
        <v>188</v>
      </c>
      <c r="I3532" t="s">
        <v>689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666</v>
      </c>
      <c r="D3533" t="s">
        <v>667</v>
      </c>
      <c r="E3533" t="s">
        <v>89</v>
      </c>
      <c r="F3533">
        <v>14</v>
      </c>
      <c r="G3533" t="s">
        <v>90</v>
      </c>
      <c r="H3533" t="s">
        <v>188</v>
      </c>
      <c r="I3533" t="s">
        <v>690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666</v>
      </c>
      <c r="D3534" t="s">
        <v>667</v>
      </c>
      <c r="E3534" t="s">
        <v>89</v>
      </c>
      <c r="F3534">
        <v>14</v>
      </c>
      <c r="G3534" t="s">
        <v>90</v>
      </c>
      <c r="H3534" t="s">
        <v>188</v>
      </c>
      <c r="I3534" t="s">
        <v>691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666</v>
      </c>
      <c r="D3535" t="s">
        <v>667</v>
      </c>
      <c r="E3535" t="s">
        <v>89</v>
      </c>
      <c r="F3535">
        <v>14</v>
      </c>
      <c r="G3535" t="s">
        <v>90</v>
      </c>
      <c r="H3535" t="s">
        <v>188</v>
      </c>
      <c r="I3535" t="s">
        <v>692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666</v>
      </c>
      <c r="D3536" t="s">
        <v>667</v>
      </c>
      <c r="E3536" t="s">
        <v>89</v>
      </c>
      <c r="F3536">
        <v>14</v>
      </c>
      <c r="G3536" t="s">
        <v>90</v>
      </c>
      <c r="H3536" t="s">
        <v>188</v>
      </c>
      <c r="I3536" t="s">
        <v>693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666</v>
      </c>
      <c r="D3537" t="s">
        <v>667</v>
      </c>
      <c r="E3537" t="s">
        <v>89</v>
      </c>
      <c r="F3537">
        <v>14</v>
      </c>
      <c r="G3537" t="s">
        <v>90</v>
      </c>
      <c r="H3537" t="s">
        <v>188</v>
      </c>
      <c r="I3537" t="s">
        <v>694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666</v>
      </c>
      <c r="D3538" t="s">
        <v>667</v>
      </c>
      <c r="E3538" t="s">
        <v>89</v>
      </c>
      <c r="F3538">
        <v>14</v>
      </c>
      <c r="G3538" t="s">
        <v>90</v>
      </c>
      <c r="H3538" t="s">
        <v>188</v>
      </c>
      <c r="I3538" t="s">
        <v>695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666</v>
      </c>
      <c r="D3539" t="s">
        <v>667</v>
      </c>
      <c r="E3539" t="s">
        <v>89</v>
      </c>
      <c r="F3539">
        <v>14</v>
      </c>
      <c r="G3539" t="s">
        <v>272</v>
      </c>
      <c r="H3539" t="s">
        <v>232</v>
      </c>
      <c r="I3539" t="s">
        <v>696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666</v>
      </c>
      <c r="D3540" t="s">
        <v>667</v>
      </c>
      <c r="E3540" t="s">
        <v>89</v>
      </c>
      <c r="F3540">
        <v>14</v>
      </c>
      <c r="G3540" t="s">
        <v>272</v>
      </c>
      <c r="H3540" t="s">
        <v>186</v>
      </c>
      <c r="I3540" t="s">
        <v>696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666</v>
      </c>
      <c r="D3541" t="s">
        <v>667</v>
      </c>
      <c r="E3541" t="s">
        <v>89</v>
      </c>
      <c r="F3541">
        <v>14</v>
      </c>
      <c r="G3541" t="s">
        <v>272</v>
      </c>
      <c r="H3541" t="s">
        <v>187</v>
      </c>
      <c r="I3541" t="s">
        <v>696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666</v>
      </c>
      <c r="D3542" t="s">
        <v>667</v>
      </c>
      <c r="E3542" t="s">
        <v>89</v>
      </c>
      <c r="F3542">
        <v>14</v>
      </c>
      <c r="G3542" t="s">
        <v>272</v>
      </c>
      <c r="H3542" t="s">
        <v>198</v>
      </c>
      <c r="I3542" t="s">
        <v>696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666</v>
      </c>
      <c r="D3543" t="s">
        <v>667</v>
      </c>
      <c r="E3543" t="s">
        <v>89</v>
      </c>
      <c r="F3543">
        <v>14</v>
      </c>
      <c r="G3543" t="s">
        <v>272</v>
      </c>
      <c r="H3543" t="s">
        <v>188</v>
      </c>
      <c r="I3543" t="s">
        <v>696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666</v>
      </c>
      <c r="D3544" t="s">
        <v>667</v>
      </c>
      <c r="E3544" t="s">
        <v>89</v>
      </c>
      <c r="F3544">
        <v>14</v>
      </c>
      <c r="G3544" t="s">
        <v>233</v>
      </c>
      <c r="H3544" t="s">
        <v>234</v>
      </c>
      <c r="I3544" t="s">
        <v>697</v>
      </c>
      <c r="J3544" t="s">
        <v>669</v>
      </c>
    </row>
    <row r="3545" spans="1:10" x14ac:dyDescent="0.25">
      <c r="A3545" s="1" t="s">
        <v>27</v>
      </c>
      <c r="B3545">
        <v>401760358</v>
      </c>
      <c r="C3545" t="s">
        <v>666</v>
      </c>
      <c r="D3545" t="s">
        <v>667</v>
      </c>
      <c r="E3545" t="s">
        <v>89</v>
      </c>
      <c r="F3545">
        <v>14</v>
      </c>
      <c r="G3545" t="s">
        <v>233</v>
      </c>
      <c r="H3545" t="s">
        <v>236</v>
      </c>
      <c r="I3545" t="s">
        <v>697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666</v>
      </c>
      <c r="D3546" t="s">
        <v>667</v>
      </c>
      <c r="E3546" t="s">
        <v>89</v>
      </c>
      <c r="F3546">
        <v>14</v>
      </c>
      <c r="G3546" t="s">
        <v>233</v>
      </c>
      <c r="H3546" t="s">
        <v>198</v>
      </c>
      <c r="I3546" t="s">
        <v>697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666</v>
      </c>
      <c r="D3547" t="s">
        <v>667</v>
      </c>
      <c r="E3547" t="s">
        <v>89</v>
      </c>
      <c r="F3547">
        <v>14</v>
      </c>
      <c r="G3547" t="s">
        <v>233</v>
      </c>
      <c r="H3547" t="s">
        <v>237</v>
      </c>
      <c r="I3547" t="s">
        <v>697</v>
      </c>
      <c r="J3547" s="73">
        <v>45690</v>
      </c>
    </row>
    <row r="3548" spans="1:10" x14ac:dyDescent="0.25">
      <c r="A3548" s="1" t="s">
        <v>27</v>
      </c>
      <c r="B3548">
        <v>401760358</v>
      </c>
      <c r="C3548" t="s">
        <v>666</v>
      </c>
      <c r="D3548" t="s">
        <v>667</v>
      </c>
      <c r="E3548" t="s">
        <v>89</v>
      </c>
      <c r="F3548">
        <v>14</v>
      </c>
      <c r="G3548" t="s">
        <v>233</v>
      </c>
      <c r="H3548" t="s">
        <v>238</v>
      </c>
      <c r="I3548" t="s">
        <v>697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666</v>
      </c>
      <c r="D3549" t="s">
        <v>667</v>
      </c>
      <c r="E3549" t="s">
        <v>89</v>
      </c>
      <c r="F3549">
        <v>14</v>
      </c>
      <c r="G3549" t="s">
        <v>239</v>
      </c>
      <c r="H3549" t="s">
        <v>232</v>
      </c>
      <c r="I3549" t="s">
        <v>698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666</v>
      </c>
      <c r="D3550" t="s">
        <v>667</v>
      </c>
      <c r="E3550" t="s">
        <v>89</v>
      </c>
      <c r="F3550">
        <v>14</v>
      </c>
      <c r="G3550" t="s">
        <v>239</v>
      </c>
      <c r="H3550" t="s">
        <v>186</v>
      </c>
      <c r="I3550" t="s">
        <v>698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666</v>
      </c>
      <c r="D3551" t="s">
        <v>667</v>
      </c>
      <c r="E3551" t="s">
        <v>89</v>
      </c>
      <c r="F3551">
        <v>14</v>
      </c>
      <c r="G3551" t="s">
        <v>239</v>
      </c>
      <c r="H3551" t="s">
        <v>187</v>
      </c>
      <c r="I3551" t="s">
        <v>698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666</v>
      </c>
      <c r="D3552" t="s">
        <v>667</v>
      </c>
      <c r="E3552" t="s">
        <v>89</v>
      </c>
      <c r="F3552">
        <v>14</v>
      </c>
      <c r="G3552" t="s">
        <v>239</v>
      </c>
      <c r="H3552" t="s">
        <v>241</v>
      </c>
      <c r="I3552" t="s">
        <v>698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666</v>
      </c>
      <c r="D3553" t="s">
        <v>667</v>
      </c>
      <c r="E3553" t="s">
        <v>89</v>
      </c>
      <c r="F3553">
        <v>14</v>
      </c>
      <c r="G3553" t="s">
        <v>239</v>
      </c>
      <c r="H3553" t="s">
        <v>242</v>
      </c>
      <c r="I3553" t="s">
        <v>698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666</v>
      </c>
      <c r="D3554" t="s">
        <v>667</v>
      </c>
      <c r="E3554" t="s">
        <v>89</v>
      </c>
      <c r="F3554">
        <v>14</v>
      </c>
      <c r="G3554" t="s">
        <v>239</v>
      </c>
      <c r="H3554" t="s">
        <v>198</v>
      </c>
      <c r="I3554" t="s">
        <v>698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129</v>
      </c>
      <c r="D3555" t="s">
        <v>243</v>
      </c>
      <c r="E3555" t="s">
        <v>89</v>
      </c>
      <c r="F3555">
        <v>34</v>
      </c>
      <c r="G3555" t="s">
        <v>180</v>
      </c>
      <c r="H3555" t="s">
        <v>181</v>
      </c>
      <c r="I3555" t="s">
        <v>145</v>
      </c>
      <c r="J3555" t="s">
        <v>699</v>
      </c>
    </row>
    <row r="3556" spans="1:10" x14ac:dyDescent="0.25">
      <c r="A3556" s="1" t="s">
        <v>27</v>
      </c>
      <c r="B3556">
        <v>401752808</v>
      </c>
      <c r="C3556" t="s">
        <v>129</v>
      </c>
      <c r="D3556" t="s">
        <v>243</v>
      </c>
      <c r="E3556" t="s">
        <v>89</v>
      </c>
      <c r="F3556">
        <v>34</v>
      </c>
      <c r="G3556" t="s">
        <v>180</v>
      </c>
      <c r="H3556" t="s">
        <v>186</v>
      </c>
      <c r="I3556" t="s">
        <v>145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129</v>
      </c>
      <c r="D3557" t="s">
        <v>243</v>
      </c>
      <c r="E3557" t="s">
        <v>89</v>
      </c>
      <c r="F3557">
        <v>34</v>
      </c>
      <c r="G3557" t="s">
        <v>180</v>
      </c>
      <c r="H3557" t="s">
        <v>187</v>
      </c>
      <c r="I3557" t="s">
        <v>145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129</v>
      </c>
      <c r="D3558" t="s">
        <v>243</v>
      </c>
      <c r="E3558" t="s">
        <v>89</v>
      </c>
      <c r="F3558">
        <v>34</v>
      </c>
      <c r="G3558" t="s">
        <v>180</v>
      </c>
      <c r="H3558" t="s">
        <v>188</v>
      </c>
      <c r="I3558" t="s">
        <v>145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129</v>
      </c>
      <c r="D3559" t="s">
        <v>243</v>
      </c>
      <c r="E3559" t="s">
        <v>89</v>
      </c>
      <c r="F3559">
        <v>34</v>
      </c>
      <c r="G3559" t="s">
        <v>180</v>
      </c>
      <c r="H3559" t="s">
        <v>189</v>
      </c>
      <c r="I3559" t="s">
        <v>145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129</v>
      </c>
      <c r="D3560" t="s">
        <v>243</v>
      </c>
      <c r="E3560" t="s">
        <v>89</v>
      </c>
      <c r="F3560">
        <v>34</v>
      </c>
      <c r="G3560" t="s">
        <v>192</v>
      </c>
      <c r="H3560" t="s">
        <v>193</v>
      </c>
      <c r="I3560" t="s">
        <v>700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129</v>
      </c>
      <c r="D3561" t="s">
        <v>243</v>
      </c>
      <c r="E3561" t="s">
        <v>89</v>
      </c>
      <c r="F3561">
        <v>34</v>
      </c>
      <c r="G3561" t="s">
        <v>192</v>
      </c>
      <c r="H3561" t="s">
        <v>193</v>
      </c>
      <c r="I3561" t="s">
        <v>701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129</v>
      </c>
      <c r="D3562" t="s">
        <v>243</v>
      </c>
      <c r="E3562" t="s">
        <v>89</v>
      </c>
      <c r="F3562">
        <v>34</v>
      </c>
      <c r="G3562" t="s">
        <v>192</v>
      </c>
      <c r="H3562" t="s">
        <v>193</v>
      </c>
      <c r="I3562" t="s">
        <v>702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129</v>
      </c>
      <c r="D3563" t="s">
        <v>243</v>
      </c>
      <c r="E3563" t="s">
        <v>89</v>
      </c>
      <c r="F3563">
        <v>34</v>
      </c>
      <c r="G3563" t="s">
        <v>192</v>
      </c>
      <c r="H3563" t="s">
        <v>193</v>
      </c>
      <c r="I3563" t="s">
        <v>703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129</v>
      </c>
      <c r="D3564" t="s">
        <v>243</v>
      </c>
      <c r="E3564" t="s">
        <v>89</v>
      </c>
      <c r="F3564">
        <v>34</v>
      </c>
      <c r="G3564" t="s">
        <v>192</v>
      </c>
      <c r="H3564" t="s">
        <v>193</v>
      </c>
      <c r="I3564" t="s">
        <v>145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129</v>
      </c>
      <c r="D3565" t="s">
        <v>243</v>
      </c>
      <c r="E3565" t="s">
        <v>89</v>
      </c>
      <c r="F3565">
        <v>34</v>
      </c>
      <c r="G3565" t="s">
        <v>192</v>
      </c>
      <c r="H3565" t="s">
        <v>186</v>
      </c>
      <c r="I3565" t="s">
        <v>700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129</v>
      </c>
      <c r="D3566" t="s">
        <v>243</v>
      </c>
      <c r="E3566" t="s">
        <v>89</v>
      </c>
      <c r="F3566">
        <v>34</v>
      </c>
      <c r="G3566" t="s">
        <v>192</v>
      </c>
      <c r="H3566" t="s">
        <v>186</v>
      </c>
      <c r="I3566" t="s">
        <v>701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129</v>
      </c>
      <c r="D3567" t="s">
        <v>243</v>
      </c>
      <c r="E3567" t="s">
        <v>89</v>
      </c>
      <c r="F3567">
        <v>34</v>
      </c>
      <c r="G3567" t="s">
        <v>192</v>
      </c>
      <c r="H3567" t="s">
        <v>186</v>
      </c>
      <c r="I3567" t="s">
        <v>702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129</v>
      </c>
      <c r="D3568" t="s">
        <v>243</v>
      </c>
      <c r="E3568" t="s">
        <v>89</v>
      </c>
      <c r="F3568">
        <v>34</v>
      </c>
      <c r="G3568" t="s">
        <v>192</v>
      </c>
      <c r="H3568" t="s">
        <v>186</v>
      </c>
      <c r="I3568" t="s">
        <v>703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129</v>
      </c>
      <c r="D3569" t="s">
        <v>243</v>
      </c>
      <c r="E3569" t="s">
        <v>89</v>
      </c>
      <c r="F3569">
        <v>34</v>
      </c>
      <c r="G3569" t="s">
        <v>192</v>
      </c>
      <c r="H3569" t="s">
        <v>186</v>
      </c>
      <c r="I3569" t="s">
        <v>145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129</v>
      </c>
      <c r="D3570" t="s">
        <v>243</v>
      </c>
      <c r="E3570" t="s">
        <v>89</v>
      </c>
      <c r="F3570">
        <v>34</v>
      </c>
      <c r="G3570" t="s">
        <v>192</v>
      </c>
      <c r="H3570" t="s">
        <v>187</v>
      </c>
      <c r="I3570" t="s">
        <v>700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129</v>
      </c>
      <c r="D3571" t="s">
        <v>243</v>
      </c>
      <c r="E3571" t="s">
        <v>89</v>
      </c>
      <c r="F3571">
        <v>34</v>
      </c>
      <c r="G3571" t="s">
        <v>192</v>
      </c>
      <c r="H3571" t="s">
        <v>187</v>
      </c>
      <c r="I3571" t="s">
        <v>701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129</v>
      </c>
      <c r="D3572" t="s">
        <v>243</v>
      </c>
      <c r="E3572" t="s">
        <v>89</v>
      </c>
      <c r="F3572">
        <v>34</v>
      </c>
      <c r="G3572" t="s">
        <v>192</v>
      </c>
      <c r="H3572" t="s">
        <v>187</v>
      </c>
      <c r="I3572" t="s">
        <v>702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129</v>
      </c>
      <c r="D3573" t="s">
        <v>243</v>
      </c>
      <c r="E3573" t="s">
        <v>89</v>
      </c>
      <c r="F3573">
        <v>34</v>
      </c>
      <c r="G3573" t="s">
        <v>192</v>
      </c>
      <c r="H3573" t="s">
        <v>187</v>
      </c>
      <c r="I3573" t="s">
        <v>703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129</v>
      </c>
      <c r="D3574" t="s">
        <v>243</v>
      </c>
      <c r="E3574" t="s">
        <v>89</v>
      </c>
      <c r="F3574">
        <v>34</v>
      </c>
      <c r="G3574" t="s">
        <v>192</v>
      </c>
      <c r="H3574" t="s">
        <v>187</v>
      </c>
      <c r="I3574" t="s">
        <v>145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129</v>
      </c>
      <c r="D3575" t="s">
        <v>243</v>
      </c>
      <c r="E3575" t="s">
        <v>89</v>
      </c>
      <c r="F3575">
        <v>34</v>
      </c>
      <c r="G3575" t="s">
        <v>192</v>
      </c>
      <c r="H3575" t="s">
        <v>188</v>
      </c>
      <c r="I3575" t="s">
        <v>700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129</v>
      </c>
      <c r="D3576" t="s">
        <v>243</v>
      </c>
      <c r="E3576" t="s">
        <v>89</v>
      </c>
      <c r="F3576">
        <v>34</v>
      </c>
      <c r="G3576" t="s">
        <v>192</v>
      </c>
      <c r="H3576" t="s">
        <v>188</v>
      </c>
      <c r="I3576" t="s">
        <v>701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129</v>
      </c>
      <c r="D3577" t="s">
        <v>243</v>
      </c>
      <c r="E3577" t="s">
        <v>89</v>
      </c>
      <c r="F3577">
        <v>34</v>
      </c>
      <c r="G3577" t="s">
        <v>192</v>
      </c>
      <c r="H3577" t="s">
        <v>188</v>
      </c>
      <c r="I3577" t="s">
        <v>702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129</v>
      </c>
      <c r="D3578" t="s">
        <v>243</v>
      </c>
      <c r="E3578" t="s">
        <v>89</v>
      </c>
      <c r="F3578">
        <v>34</v>
      </c>
      <c r="G3578" t="s">
        <v>192</v>
      </c>
      <c r="H3578" t="s">
        <v>188</v>
      </c>
      <c r="I3578" t="s">
        <v>703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129</v>
      </c>
      <c r="D3579" t="s">
        <v>243</v>
      </c>
      <c r="E3579" t="s">
        <v>89</v>
      </c>
      <c r="F3579">
        <v>34</v>
      </c>
      <c r="G3579" t="s">
        <v>192</v>
      </c>
      <c r="H3579" t="s">
        <v>188</v>
      </c>
      <c r="I3579" t="s">
        <v>145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129</v>
      </c>
      <c r="D3580" t="s">
        <v>243</v>
      </c>
      <c r="E3580" t="s">
        <v>89</v>
      </c>
      <c r="F3580">
        <v>34</v>
      </c>
      <c r="G3580" t="s">
        <v>192</v>
      </c>
      <c r="H3580" t="s">
        <v>198</v>
      </c>
      <c r="I3580" t="s">
        <v>700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129</v>
      </c>
      <c r="D3581" t="s">
        <v>243</v>
      </c>
      <c r="E3581" t="s">
        <v>89</v>
      </c>
      <c r="F3581">
        <v>34</v>
      </c>
      <c r="G3581" t="s">
        <v>192</v>
      </c>
      <c r="H3581" t="s">
        <v>198</v>
      </c>
      <c r="I3581" t="s">
        <v>701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129</v>
      </c>
      <c r="D3582" t="s">
        <v>243</v>
      </c>
      <c r="E3582" t="s">
        <v>89</v>
      </c>
      <c r="F3582">
        <v>34</v>
      </c>
      <c r="G3582" t="s">
        <v>192</v>
      </c>
      <c r="H3582" t="s">
        <v>198</v>
      </c>
      <c r="I3582" t="s">
        <v>702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129</v>
      </c>
      <c r="D3583" t="s">
        <v>243</v>
      </c>
      <c r="E3583" t="s">
        <v>89</v>
      </c>
      <c r="F3583">
        <v>34</v>
      </c>
      <c r="G3583" t="s">
        <v>192</v>
      </c>
      <c r="H3583" t="s">
        <v>198</v>
      </c>
      <c r="I3583" t="s">
        <v>703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129</v>
      </c>
      <c r="D3584" t="s">
        <v>243</v>
      </c>
      <c r="E3584" t="s">
        <v>89</v>
      </c>
      <c r="F3584">
        <v>34</v>
      </c>
      <c r="G3584" t="s">
        <v>192</v>
      </c>
      <c r="H3584" t="s">
        <v>198</v>
      </c>
      <c r="I3584" t="s">
        <v>145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129</v>
      </c>
      <c r="D3585" t="s">
        <v>243</v>
      </c>
      <c r="E3585" t="s">
        <v>89</v>
      </c>
      <c r="F3585">
        <v>34</v>
      </c>
      <c r="G3585" t="s">
        <v>199</v>
      </c>
      <c r="H3585" t="s">
        <v>0</v>
      </c>
      <c r="I3585" t="s">
        <v>704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129</v>
      </c>
      <c r="D3586" t="s">
        <v>243</v>
      </c>
      <c r="E3586" t="s">
        <v>89</v>
      </c>
      <c r="F3586">
        <v>34</v>
      </c>
      <c r="G3586" t="s">
        <v>199</v>
      </c>
      <c r="H3586" t="s">
        <v>0</v>
      </c>
      <c r="I3586" t="s">
        <v>705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129</v>
      </c>
      <c r="D3587" t="s">
        <v>243</v>
      </c>
      <c r="E3587" t="s">
        <v>89</v>
      </c>
      <c r="F3587">
        <v>34</v>
      </c>
      <c r="G3587" t="s">
        <v>199</v>
      </c>
      <c r="H3587" t="s">
        <v>0</v>
      </c>
      <c r="I3587" t="s">
        <v>702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129</v>
      </c>
      <c r="D3588" t="s">
        <v>243</v>
      </c>
      <c r="E3588" t="s">
        <v>89</v>
      </c>
      <c r="F3588">
        <v>34</v>
      </c>
      <c r="G3588" t="s">
        <v>199</v>
      </c>
      <c r="H3588" t="s">
        <v>0</v>
      </c>
      <c r="I3588" t="s">
        <v>706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129</v>
      </c>
      <c r="D3589" t="s">
        <v>243</v>
      </c>
      <c r="E3589" t="s">
        <v>89</v>
      </c>
      <c r="F3589">
        <v>34</v>
      </c>
      <c r="G3589" t="s">
        <v>199</v>
      </c>
      <c r="H3589" t="s">
        <v>0</v>
      </c>
      <c r="I3589" t="s">
        <v>707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129</v>
      </c>
      <c r="D3590" t="s">
        <v>243</v>
      </c>
      <c r="E3590" t="s">
        <v>89</v>
      </c>
      <c r="F3590">
        <v>34</v>
      </c>
      <c r="G3590" t="s">
        <v>199</v>
      </c>
      <c r="H3590" t="s">
        <v>0</v>
      </c>
      <c r="I3590" t="s">
        <v>700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129</v>
      </c>
      <c r="D3591" t="s">
        <v>243</v>
      </c>
      <c r="E3591" t="s">
        <v>89</v>
      </c>
      <c r="F3591">
        <v>34</v>
      </c>
      <c r="G3591" t="s">
        <v>199</v>
      </c>
      <c r="H3591" t="s">
        <v>0</v>
      </c>
      <c r="I3591" t="s">
        <v>701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129</v>
      </c>
      <c r="D3592" t="s">
        <v>243</v>
      </c>
      <c r="E3592" t="s">
        <v>89</v>
      </c>
      <c r="F3592">
        <v>34</v>
      </c>
      <c r="G3592" t="s">
        <v>199</v>
      </c>
      <c r="H3592" t="s">
        <v>0</v>
      </c>
      <c r="I3592" t="s">
        <v>708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129</v>
      </c>
      <c r="D3593" t="s">
        <v>243</v>
      </c>
      <c r="E3593" t="s">
        <v>89</v>
      </c>
      <c r="F3593">
        <v>34</v>
      </c>
      <c r="G3593" t="s">
        <v>199</v>
      </c>
      <c r="H3593" t="s">
        <v>186</v>
      </c>
      <c r="I3593" t="s">
        <v>704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129</v>
      </c>
      <c r="D3594" t="s">
        <v>243</v>
      </c>
      <c r="E3594" t="s">
        <v>89</v>
      </c>
      <c r="F3594">
        <v>34</v>
      </c>
      <c r="G3594" t="s">
        <v>199</v>
      </c>
      <c r="H3594" t="s">
        <v>186</v>
      </c>
      <c r="I3594" t="s">
        <v>705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129</v>
      </c>
      <c r="D3595" t="s">
        <v>243</v>
      </c>
      <c r="E3595" t="s">
        <v>89</v>
      </c>
      <c r="F3595">
        <v>34</v>
      </c>
      <c r="G3595" t="s">
        <v>199</v>
      </c>
      <c r="H3595" t="s">
        <v>186</v>
      </c>
      <c r="I3595" t="s">
        <v>702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129</v>
      </c>
      <c r="D3596" t="s">
        <v>243</v>
      </c>
      <c r="E3596" t="s">
        <v>89</v>
      </c>
      <c r="F3596">
        <v>34</v>
      </c>
      <c r="G3596" t="s">
        <v>199</v>
      </c>
      <c r="H3596" t="s">
        <v>186</v>
      </c>
      <c r="I3596" t="s">
        <v>706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129</v>
      </c>
      <c r="D3597" t="s">
        <v>243</v>
      </c>
      <c r="E3597" t="s">
        <v>89</v>
      </c>
      <c r="F3597">
        <v>34</v>
      </c>
      <c r="G3597" t="s">
        <v>199</v>
      </c>
      <c r="H3597" t="s">
        <v>186</v>
      </c>
      <c r="I3597" t="s">
        <v>707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129</v>
      </c>
      <c r="D3598" t="s">
        <v>243</v>
      </c>
      <c r="E3598" t="s">
        <v>89</v>
      </c>
      <c r="F3598">
        <v>34</v>
      </c>
      <c r="G3598" t="s">
        <v>199</v>
      </c>
      <c r="H3598" t="s">
        <v>186</v>
      </c>
      <c r="I3598" t="s">
        <v>700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129</v>
      </c>
      <c r="D3599" t="s">
        <v>243</v>
      </c>
      <c r="E3599" t="s">
        <v>89</v>
      </c>
      <c r="F3599">
        <v>34</v>
      </c>
      <c r="G3599" t="s">
        <v>199</v>
      </c>
      <c r="H3599" t="s">
        <v>186</v>
      </c>
      <c r="I3599" t="s">
        <v>701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129</v>
      </c>
      <c r="D3600" t="s">
        <v>243</v>
      </c>
      <c r="E3600" t="s">
        <v>89</v>
      </c>
      <c r="F3600">
        <v>34</v>
      </c>
      <c r="G3600" t="s">
        <v>199</v>
      </c>
      <c r="H3600" t="s">
        <v>186</v>
      </c>
      <c r="I3600" t="s">
        <v>708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129</v>
      </c>
      <c r="D3601" t="s">
        <v>243</v>
      </c>
      <c r="E3601" t="s">
        <v>89</v>
      </c>
      <c r="F3601">
        <v>34</v>
      </c>
      <c r="G3601" t="s">
        <v>199</v>
      </c>
      <c r="H3601" t="s">
        <v>187</v>
      </c>
      <c r="I3601" t="s">
        <v>704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129</v>
      </c>
      <c r="D3602" t="s">
        <v>243</v>
      </c>
      <c r="E3602" t="s">
        <v>89</v>
      </c>
      <c r="F3602">
        <v>34</v>
      </c>
      <c r="G3602" t="s">
        <v>199</v>
      </c>
      <c r="H3602" t="s">
        <v>187</v>
      </c>
      <c r="I3602" t="s">
        <v>705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129</v>
      </c>
      <c r="D3603" t="s">
        <v>243</v>
      </c>
      <c r="E3603" t="s">
        <v>89</v>
      </c>
      <c r="F3603">
        <v>34</v>
      </c>
      <c r="G3603" t="s">
        <v>199</v>
      </c>
      <c r="H3603" t="s">
        <v>187</v>
      </c>
      <c r="I3603" t="s">
        <v>702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129</v>
      </c>
      <c r="D3604" t="s">
        <v>243</v>
      </c>
      <c r="E3604" t="s">
        <v>89</v>
      </c>
      <c r="F3604">
        <v>34</v>
      </c>
      <c r="G3604" t="s">
        <v>199</v>
      </c>
      <c r="H3604" t="s">
        <v>187</v>
      </c>
      <c r="I3604" t="s">
        <v>706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129</v>
      </c>
      <c r="D3605" t="s">
        <v>243</v>
      </c>
      <c r="E3605" t="s">
        <v>89</v>
      </c>
      <c r="F3605">
        <v>34</v>
      </c>
      <c r="G3605" t="s">
        <v>199</v>
      </c>
      <c r="H3605" t="s">
        <v>187</v>
      </c>
      <c r="I3605" t="s">
        <v>707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129</v>
      </c>
      <c r="D3606" t="s">
        <v>243</v>
      </c>
      <c r="E3606" t="s">
        <v>89</v>
      </c>
      <c r="F3606">
        <v>34</v>
      </c>
      <c r="G3606" t="s">
        <v>199</v>
      </c>
      <c r="H3606" t="s">
        <v>187</v>
      </c>
      <c r="I3606" t="s">
        <v>700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129</v>
      </c>
      <c r="D3607" t="s">
        <v>243</v>
      </c>
      <c r="E3607" t="s">
        <v>89</v>
      </c>
      <c r="F3607">
        <v>34</v>
      </c>
      <c r="G3607" t="s">
        <v>199</v>
      </c>
      <c r="H3607" t="s">
        <v>187</v>
      </c>
      <c r="I3607" t="s">
        <v>701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129</v>
      </c>
      <c r="D3608" t="s">
        <v>243</v>
      </c>
      <c r="E3608" t="s">
        <v>89</v>
      </c>
      <c r="F3608">
        <v>34</v>
      </c>
      <c r="G3608" t="s">
        <v>199</v>
      </c>
      <c r="H3608" t="s">
        <v>187</v>
      </c>
      <c r="I3608" t="s">
        <v>708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129</v>
      </c>
      <c r="D3609" t="s">
        <v>243</v>
      </c>
      <c r="E3609" t="s">
        <v>89</v>
      </c>
      <c r="F3609">
        <v>34</v>
      </c>
      <c r="G3609" t="s">
        <v>199</v>
      </c>
      <c r="H3609" t="s">
        <v>188</v>
      </c>
      <c r="I3609" t="s">
        <v>704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129</v>
      </c>
      <c r="D3610" t="s">
        <v>243</v>
      </c>
      <c r="E3610" t="s">
        <v>89</v>
      </c>
      <c r="F3610">
        <v>34</v>
      </c>
      <c r="G3610" t="s">
        <v>199</v>
      </c>
      <c r="H3610" t="s">
        <v>188</v>
      </c>
      <c r="I3610" t="s">
        <v>705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129</v>
      </c>
      <c r="D3611" t="s">
        <v>243</v>
      </c>
      <c r="E3611" t="s">
        <v>89</v>
      </c>
      <c r="F3611">
        <v>34</v>
      </c>
      <c r="G3611" t="s">
        <v>199</v>
      </c>
      <c r="H3611" t="s">
        <v>188</v>
      </c>
      <c r="I3611" t="s">
        <v>702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129</v>
      </c>
      <c r="D3612" t="s">
        <v>243</v>
      </c>
      <c r="E3612" t="s">
        <v>89</v>
      </c>
      <c r="F3612">
        <v>34</v>
      </c>
      <c r="G3612" t="s">
        <v>199</v>
      </c>
      <c r="H3612" t="s">
        <v>188</v>
      </c>
      <c r="I3612" t="s">
        <v>706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129</v>
      </c>
      <c r="D3613" t="s">
        <v>243</v>
      </c>
      <c r="E3613" t="s">
        <v>89</v>
      </c>
      <c r="F3613">
        <v>34</v>
      </c>
      <c r="G3613" t="s">
        <v>199</v>
      </c>
      <c r="H3613" t="s">
        <v>188</v>
      </c>
      <c r="I3613" t="s">
        <v>707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129</v>
      </c>
      <c r="D3614" t="s">
        <v>243</v>
      </c>
      <c r="E3614" t="s">
        <v>89</v>
      </c>
      <c r="F3614">
        <v>34</v>
      </c>
      <c r="G3614" t="s">
        <v>199</v>
      </c>
      <c r="H3614" t="s">
        <v>188</v>
      </c>
      <c r="I3614" t="s">
        <v>700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129</v>
      </c>
      <c r="D3615" t="s">
        <v>243</v>
      </c>
      <c r="E3615" t="s">
        <v>89</v>
      </c>
      <c r="F3615">
        <v>34</v>
      </c>
      <c r="G3615" t="s">
        <v>199</v>
      </c>
      <c r="H3615" t="s">
        <v>188</v>
      </c>
      <c r="I3615" t="s">
        <v>701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129</v>
      </c>
      <c r="D3616" t="s">
        <v>243</v>
      </c>
      <c r="E3616" t="s">
        <v>89</v>
      </c>
      <c r="F3616">
        <v>34</v>
      </c>
      <c r="G3616" t="s">
        <v>199</v>
      </c>
      <c r="H3616" t="s">
        <v>188</v>
      </c>
      <c r="I3616" t="s">
        <v>708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129</v>
      </c>
      <c r="D3617" t="s">
        <v>243</v>
      </c>
      <c r="E3617" t="s">
        <v>89</v>
      </c>
      <c r="F3617">
        <v>34</v>
      </c>
      <c r="G3617" t="s">
        <v>199</v>
      </c>
      <c r="H3617" t="s">
        <v>198</v>
      </c>
      <c r="I3617" t="s">
        <v>704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129</v>
      </c>
      <c r="D3618" t="s">
        <v>243</v>
      </c>
      <c r="E3618" t="s">
        <v>89</v>
      </c>
      <c r="F3618">
        <v>34</v>
      </c>
      <c r="G3618" t="s">
        <v>199</v>
      </c>
      <c r="H3618" t="s">
        <v>198</v>
      </c>
      <c r="I3618" t="s">
        <v>705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129</v>
      </c>
      <c r="D3619" t="s">
        <v>243</v>
      </c>
      <c r="E3619" t="s">
        <v>89</v>
      </c>
      <c r="F3619">
        <v>34</v>
      </c>
      <c r="G3619" t="s">
        <v>199</v>
      </c>
      <c r="H3619" t="s">
        <v>198</v>
      </c>
      <c r="I3619" t="s">
        <v>702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129</v>
      </c>
      <c r="D3620" t="s">
        <v>243</v>
      </c>
      <c r="E3620" t="s">
        <v>89</v>
      </c>
      <c r="F3620">
        <v>34</v>
      </c>
      <c r="G3620" t="s">
        <v>199</v>
      </c>
      <c r="H3620" t="s">
        <v>198</v>
      </c>
      <c r="I3620" t="s">
        <v>706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129</v>
      </c>
      <c r="D3621" t="s">
        <v>243</v>
      </c>
      <c r="E3621" t="s">
        <v>89</v>
      </c>
      <c r="F3621">
        <v>34</v>
      </c>
      <c r="G3621" t="s">
        <v>199</v>
      </c>
      <c r="H3621" t="s">
        <v>198</v>
      </c>
      <c r="I3621" t="s">
        <v>707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129</v>
      </c>
      <c r="D3622" t="s">
        <v>243</v>
      </c>
      <c r="E3622" t="s">
        <v>89</v>
      </c>
      <c r="F3622">
        <v>34</v>
      </c>
      <c r="G3622" t="s">
        <v>199</v>
      </c>
      <c r="H3622" t="s">
        <v>198</v>
      </c>
      <c r="I3622" t="s">
        <v>700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129</v>
      </c>
      <c r="D3623" t="s">
        <v>243</v>
      </c>
      <c r="E3623" t="s">
        <v>89</v>
      </c>
      <c r="F3623">
        <v>34</v>
      </c>
      <c r="G3623" t="s">
        <v>199</v>
      </c>
      <c r="H3623" t="s">
        <v>198</v>
      </c>
      <c r="I3623" t="s">
        <v>701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129</v>
      </c>
      <c r="D3624" t="s">
        <v>243</v>
      </c>
      <c r="E3624" t="s">
        <v>89</v>
      </c>
      <c r="F3624">
        <v>34</v>
      </c>
      <c r="G3624" t="s">
        <v>199</v>
      </c>
      <c r="H3624" t="s">
        <v>198</v>
      </c>
      <c r="I3624" t="s">
        <v>708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129</v>
      </c>
      <c r="D3625" t="s">
        <v>243</v>
      </c>
      <c r="E3625" t="s">
        <v>89</v>
      </c>
      <c r="F3625">
        <v>34</v>
      </c>
      <c r="G3625" t="s">
        <v>203</v>
      </c>
      <c r="H3625" t="s">
        <v>204</v>
      </c>
      <c r="I3625" t="s">
        <v>709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129</v>
      </c>
      <c r="D3626" t="s">
        <v>243</v>
      </c>
      <c r="E3626" t="s">
        <v>89</v>
      </c>
      <c r="F3626">
        <v>34</v>
      </c>
      <c r="G3626" t="s">
        <v>203</v>
      </c>
      <c r="H3626" t="s">
        <v>204</v>
      </c>
      <c r="I3626" t="s">
        <v>702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129</v>
      </c>
      <c r="D3627" t="s">
        <v>243</v>
      </c>
      <c r="E3627" t="s">
        <v>89</v>
      </c>
      <c r="F3627">
        <v>34</v>
      </c>
      <c r="G3627" t="s">
        <v>203</v>
      </c>
      <c r="H3627" t="s">
        <v>205</v>
      </c>
      <c r="I3627" t="s">
        <v>709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129</v>
      </c>
      <c r="D3628" t="s">
        <v>243</v>
      </c>
      <c r="E3628" t="s">
        <v>89</v>
      </c>
      <c r="F3628">
        <v>34</v>
      </c>
      <c r="G3628" t="s">
        <v>203</v>
      </c>
      <c r="H3628" t="s">
        <v>205</v>
      </c>
      <c r="I3628" t="s">
        <v>702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129</v>
      </c>
      <c r="D3629" t="s">
        <v>243</v>
      </c>
      <c r="E3629" t="s">
        <v>89</v>
      </c>
      <c r="F3629">
        <v>34</v>
      </c>
      <c r="G3629" t="s">
        <v>203</v>
      </c>
      <c r="H3629" t="s">
        <v>0</v>
      </c>
      <c r="I3629" t="s">
        <v>709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129</v>
      </c>
      <c r="D3630" t="s">
        <v>243</v>
      </c>
      <c r="E3630" t="s">
        <v>89</v>
      </c>
      <c r="F3630">
        <v>34</v>
      </c>
      <c r="G3630" t="s">
        <v>203</v>
      </c>
      <c r="H3630" t="s">
        <v>0</v>
      </c>
      <c r="I3630" t="s">
        <v>702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129</v>
      </c>
      <c r="D3631" t="s">
        <v>243</v>
      </c>
      <c r="E3631" t="s">
        <v>89</v>
      </c>
      <c r="F3631">
        <v>34</v>
      </c>
      <c r="G3631" t="s">
        <v>90</v>
      </c>
      <c r="H3631" t="s">
        <v>206</v>
      </c>
      <c r="I3631" t="s">
        <v>710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129</v>
      </c>
      <c r="D3632" t="s">
        <v>243</v>
      </c>
      <c r="E3632" t="s">
        <v>89</v>
      </c>
      <c r="F3632">
        <v>34</v>
      </c>
      <c r="G3632" t="s">
        <v>90</v>
      </c>
      <c r="H3632" t="s">
        <v>206</v>
      </c>
      <c r="I3632" t="s">
        <v>711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129</v>
      </c>
      <c r="D3633" t="s">
        <v>243</v>
      </c>
      <c r="E3633" t="s">
        <v>89</v>
      </c>
      <c r="F3633">
        <v>34</v>
      </c>
      <c r="G3633" t="s">
        <v>90</v>
      </c>
      <c r="H3633" t="s">
        <v>206</v>
      </c>
      <c r="I3633" t="s">
        <v>712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129</v>
      </c>
      <c r="D3634" t="s">
        <v>243</v>
      </c>
      <c r="E3634" t="s">
        <v>89</v>
      </c>
      <c r="F3634">
        <v>34</v>
      </c>
      <c r="G3634" t="s">
        <v>90</v>
      </c>
      <c r="H3634" t="s">
        <v>206</v>
      </c>
      <c r="I3634" t="s">
        <v>713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129</v>
      </c>
      <c r="D3635" t="s">
        <v>243</v>
      </c>
      <c r="E3635" t="s">
        <v>89</v>
      </c>
      <c r="F3635">
        <v>34</v>
      </c>
      <c r="G3635" t="s">
        <v>90</v>
      </c>
      <c r="H3635" t="s">
        <v>206</v>
      </c>
      <c r="I3635" t="s">
        <v>714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129</v>
      </c>
      <c r="D3636" t="s">
        <v>243</v>
      </c>
      <c r="E3636" t="s">
        <v>89</v>
      </c>
      <c r="F3636">
        <v>34</v>
      </c>
      <c r="G3636" t="s">
        <v>90</v>
      </c>
      <c r="H3636" t="s">
        <v>206</v>
      </c>
      <c r="I3636" t="s">
        <v>715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129</v>
      </c>
      <c r="D3637" t="s">
        <v>243</v>
      </c>
      <c r="E3637" t="s">
        <v>89</v>
      </c>
      <c r="F3637">
        <v>34</v>
      </c>
      <c r="G3637" t="s">
        <v>90</v>
      </c>
      <c r="H3637" t="s">
        <v>206</v>
      </c>
      <c r="I3637" t="s">
        <v>716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129</v>
      </c>
      <c r="D3638" t="s">
        <v>243</v>
      </c>
      <c r="E3638" t="s">
        <v>89</v>
      </c>
      <c r="F3638">
        <v>34</v>
      </c>
      <c r="G3638" t="s">
        <v>90</v>
      </c>
      <c r="H3638" t="s">
        <v>206</v>
      </c>
      <c r="I3638" t="s">
        <v>717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129</v>
      </c>
      <c r="D3639" t="s">
        <v>243</v>
      </c>
      <c r="E3639" t="s">
        <v>89</v>
      </c>
      <c r="F3639">
        <v>34</v>
      </c>
      <c r="G3639" t="s">
        <v>90</v>
      </c>
      <c r="H3639" t="s">
        <v>206</v>
      </c>
      <c r="I3639" t="s">
        <v>718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129</v>
      </c>
      <c r="D3640" t="s">
        <v>243</v>
      </c>
      <c r="E3640" t="s">
        <v>89</v>
      </c>
      <c r="F3640">
        <v>34</v>
      </c>
      <c r="G3640" t="s">
        <v>90</v>
      </c>
      <c r="H3640" t="s">
        <v>206</v>
      </c>
      <c r="I3640" t="s">
        <v>719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129</v>
      </c>
      <c r="D3641" t="s">
        <v>243</v>
      </c>
      <c r="E3641" t="s">
        <v>89</v>
      </c>
      <c r="F3641">
        <v>34</v>
      </c>
      <c r="G3641" t="s">
        <v>90</v>
      </c>
      <c r="H3641" t="s">
        <v>206</v>
      </c>
      <c r="I3641" t="s">
        <v>720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129</v>
      </c>
      <c r="D3642" t="s">
        <v>243</v>
      </c>
      <c r="E3642" t="s">
        <v>89</v>
      </c>
      <c r="F3642">
        <v>34</v>
      </c>
      <c r="G3642" t="s">
        <v>90</v>
      </c>
      <c r="H3642" t="s">
        <v>206</v>
      </c>
      <c r="I3642" t="s">
        <v>721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129</v>
      </c>
      <c r="D3643" t="s">
        <v>243</v>
      </c>
      <c r="E3643" t="s">
        <v>89</v>
      </c>
      <c r="F3643">
        <v>34</v>
      </c>
      <c r="G3643" t="s">
        <v>90</v>
      </c>
      <c r="H3643" t="s">
        <v>206</v>
      </c>
      <c r="I3643" t="s">
        <v>722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129</v>
      </c>
      <c r="D3644" t="s">
        <v>243</v>
      </c>
      <c r="E3644" t="s">
        <v>89</v>
      </c>
      <c r="F3644">
        <v>34</v>
      </c>
      <c r="G3644" t="s">
        <v>90</v>
      </c>
      <c r="H3644" t="s">
        <v>206</v>
      </c>
      <c r="I3644" t="s">
        <v>723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129</v>
      </c>
      <c r="D3645" t="s">
        <v>243</v>
      </c>
      <c r="E3645" t="s">
        <v>89</v>
      </c>
      <c r="F3645">
        <v>34</v>
      </c>
      <c r="G3645" t="s">
        <v>90</v>
      </c>
      <c r="H3645" t="s">
        <v>206</v>
      </c>
      <c r="I3645" t="s">
        <v>724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129</v>
      </c>
      <c r="D3646" t="s">
        <v>243</v>
      </c>
      <c r="E3646" t="s">
        <v>89</v>
      </c>
      <c r="F3646">
        <v>34</v>
      </c>
      <c r="G3646" t="s">
        <v>90</v>
      </c>
      <c r="H3646" t="s">
        <v>206</v>
      </c>
      <c r="I3646" t="s">
        <v>725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129</v>
      </c>
      <c r="D3647" t="s">
        <v>243</v>
      </c>
      <c r="E3647" t="s">
        <v>89</v>
      </c>
      <c r="F3647">
        <v>34</v>
      </c>
      <c r="G3647" t="s">
        <v>90</v>
      </c>
      <c r="H3647" t="s">
        <v>206</v>
      </c>
      <c r="I3647" t="s">
        <v>726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129</v>
      </c>
      <c r="D3648" t="s">
        <v>243</v>
      </c>
      <c r="E3648" t="s">
        <v>89</v>
      </c>
      <c r="F3648">
        <v>34</v>
      </c>
      <c r="G3648" t="s">
        <v>90</v>
      </c>
      <c r="H3648" t="s">
        <v>206</v>
      </c>
      <c r="I3648" t="s">
        <v>727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129</v>
      </c>
      <c r="D3649" t="s">
        <v>243</v>
      </c>
      <c r="E3649" t="s">
        <v>89</v>
      </c>
      <c r="F3649">
        <v>34</v>
      </c>
      <c r="G3649" t="s">
        <v>90</v>
      </c>
      <c r="H3649" t="s">
        <v>206</v>
      </c>
      <c r="I3649" t="s">
        <v>728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129</v>
      </c>
      <c r="D3650" t="s">
        <v>243</v>
      </c>
      <c r="E3650" t="s">
        <v>89</v>
      </c>
      <c r="F3650">
        <v>34</v>
      </c>
      <c r="G3650" t="s">
        <v>90</v>
      </c>
      <c r="H3650" t="s">
        <v>206</v>
      </c>
      <c r="I3650" t="s">
        <v>729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129</v>
      </c>
      <c r="D3651" t="s">
        <v>243</v>
      </c>
      <c r="E3651" t="s">
        <v>89</v>
      </c>
      <c r="F3651">
        <v>34</v>
      </c>
      <c r="G3651" t="s">
        <v>90</v>
      </c>
      <c r="H3651" t="s">
        <v>206</v>
      </c>
      <c r="I3651" t="s">
        <v>730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129</v>
      </c>
      <c r="D3652" t="s">
        <v>243</v>
      </c>
      <c r="E3652" t="s">
        <v>89</v>
      </c>
      <c r="F3652">
        <v>34</v>
      </c>
      <c r="G3652" t="s">
        <v>90</v>
      </c>
      <c r="H3652" t="s">
        <v>206</v>
      </c>
      <c r="I3652" t="s">
        <v>731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129</v>
      </c>
      <c r="D3653" t="s">
        <v>243</v>
      </c>
      <c r="E3653" t="s">
        <v>89</v>
      </c>
      <c r="F3653">
        <v>34</v>
      </c>
      <c r="G3653" t="s">
        <v>90</v>
      </c>
      <c r="H3653" t="s">
        <v>206</v>
      </c>
      <c r="I3653" t="s">
        <v>732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129</v>
      </c>
      <c r="D3654" t="s">
        <v>243</v>
      </c>
      <c r="E3654" t="s">
        <v>89</v>
      </c>
      <c r="F3654">
        <v>34</v>
      </c>
      <c r="G3654" t="s">
        <v>90</v>
      </c>
      <c r="H3654" t="s">
        <v>206</v>
      </c>
      <c r="I3654" t="s">
        <v>733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129</v>
      </c>
      <c r="D3655" t="s">
        <v>243</v>
      </c>
      <c r="E3655" t="s">
        <v>89</v>
      </c>
      <c r="F3655">
        <v>34</v>
      </c>
      <c r="G3655" t="s">
        <v>90</v>
      </c>
      <c r="H3655" t="s">
        <v>206</v>
      </c>
      <c r="I3655" t="s">
        <v>734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129</v>
      </c>
      <c r="D3656" t="s">
        <v>243</v>
      </c>
      <c r="E3656" t="s">
        <v>89</v>
      </c>
      <c r="F3656">
        <v>34</v>
      </c>
      <c r="G3656" t="s">
        <v>90</v>
      </c>
      <c r="H3656" t="s">
        <v>206</v>
      </c>
      <c r="I3656" t="s">
        <v>735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129</v>
      </c>
      <c r="D3657" t="s">
        <v>243</v>
      </c>
      <c r="E3657" t="s">
        <v>89</v>
      </c>
      <c r="F3657">
        <v>34</v>
      </c>
      <c r="G3657" t="s">
        <v>90</v>
      </c>
      <c r="H3657" t="s">
        <v>206</v>
      </c>
      <c r="I3657" t="s">
        <v>736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129</v>
      </c>
      <c r="D3658" t="s">
        <v>243</v>
      </c>
      <c r="E3658" t="s">
        <v>89</v>
      </c>
      <c r="F3658">
        <v>34</v>
      </c>
      <c r="G3658" t="s">
        <v>90</v>
      </c>
      <c r="H3658" t="s">
        <v>206</v>
      </c>
      <c r="I3658" t="s">
        <v>737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129</v>
      </c>
      <c r="D3659" t="s">
        <v>243</v>
      </c>
      <c r="E3659" t="s">
        <v>89</v>
      </c>
      <c r="F3659">
        <v>34</v>
      </c>
      <c r="G3659" t="s">
        <v>90</v>
      </c>
      <c r="H3659" t="s">
        <v>227</v>
      </c>
      <c r="I3659" t="s">
        <v>710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129</v>
      </c>
      <c r="D3660" t="s">
        <v>243</v>
      </c>
      <c r="E3660" t="s">
        <v>89</v>
      </c>
      <c r="F3660">
        <v>34</v>
      </c>
      <c r="G3660" t="s">
        <v>90</v>
      </c>
      <c r="H3660" t="s">
        <v>227</v>
      </c>
      <c r="I3660" t="s">
        <v>711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129</v>
      </c>
      <c r="D3661" t="s">
        <v>243</v>
      </c>
      <c r="E3661" t="s">
        <v>89</v>
      </c>
      <c r="F3661">
        <v>34</v>
      </c>
      <c r="G3661" t="s">
        <v>90</v>
      </c>
      <c r="H3661" t="s">
        <v>227</v>
      </c>
      <c r="I3661" t="s">
        <v>712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129</v>
      </c>
      <c r="D3662" t="s">
        <v>243</v>
      </c>
      <c r="E3662" t="s">
        <v>89</v>
      </c>
      <c r="F3662">
        <v>34</v>
      </c>
      <c r="G3662" t="s">
        <v>90</v>
      </c>
      <c r="H3662" t="s">
        <v>227</v>
      </c>
      <c r="I3662" t="s">
        <v>713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129</v>
      </c>
      <c r="D3663" t="s">
        <v>243</v>
      </c>
      <c r="E3663" t="s">
        <v>89</v>
      </c>
      <c r="F3663">
        <v>34</v>
      </c>
      <c r="G3663" t="s">
        <v>90</v>
      </c>
      <c r="H3663" t="s">
        <v>227</v>
      </c>
      <c r="I3663" t="s">
        <v>714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129</v>
      </c>
      <c r="D3664" t="s">
        <v>243</v>
      </c>
      <c r="E3664" t="s">
        <v>89</v>
      </c>
      <c r="F3664">
        <v>34</v>
      </c>
      <c r="G3664" t="s">
        <v>90</v>
      </c>
      <c r="H3664" t="s">
        <v>227</v>
      </c>
      <c r="I3664" t="s">
        <v>715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129</v>
      </c>
      <c r="D3665" t="s">
        <v>243</v>
      </c>
      <c r="E3665" t="s">
        <v>89</v>
      </c>
      <c r="F3665">
        <v>34</v>
      </c>
      <c r="G3665" t="s">
        <v>90</v>
      </c>
      <c r="H3665" t="s">
        <v>227</v>
      </c>
      <c r="I3665" t="s">
        <v>716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129</v>
      </c>
      <c r="D3666" t="s">
        <v>243</v>
      </c>
      <c r="E3666" t="s">
        <v>89</v>
      </c>
      <c r="F3666">
        <v>34</v>
      </c>
      <c r="G3666" t="s">
        <v>90</v>
      </c>
      <c r="H3666" t="s">
        <v>227</v>
      </c>
      <c r="I3666" t="s">
        <v>717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129</v>
      </c>
      <c r="D3667" t="s">
        <v>243</v>
      </c>
      <c r="E3667" t="s">
        <v>89</v>
      </c>
      <c r="F3667">
        <v>34</v>
      </c>
      <c r="G3667" t="s">
        <v>90</v>
      </c>
      <c r="H3667" t="s">
        <v>227</v>
      </c>
      <c r="I3667" t="s">
        <v>718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129</v>
      </c>
      <c r="D3668" t="s">
        <v>243</v>
      </c>
      <c r="E3668" t="s">
        <v>89</v>
      </c>
      <c r="F3668">
        <v>34</v>
      </c>
      <c r="G3668" t="s">
        <v>90</v>
      </c>
      <c r="H3668" t="s">
        <v>227</v>
      </c>
      <c r="I3668" t="s">
        <v>719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129</v>
      </c>
      <c r="D3669" t="s">
        <v>243</v>
      </c>
      <c r="E3669" t="s">
        <v>89</v>
      </c>
      <c r="F3669">
        <v>34</v>
      </c>
      <c r="G3669" t="s">
        <v>90</v>
      </c>
      <c r="H3669" t="s">
        <v>227</v>
      </c>
      <c r="I3669" t="s">
        <v>720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129</v>
      </c>
      <c r="D3670" t="s">
        <v>243</v>
      </c>
      <c r="E3670" t="s">
        <v>89</v>
      </c>
      <c r="F3670">
        <v>34</v>
      </c>
      <c r="G3670" t="s">
        <v>90</v>
      </c>
      <c r="H3670" t="s">
        <v>227</v>
      </c>
      <c r="I3670" t="s">
        <v>721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129</v>
      </c>
      <c r="D3671" t="s">
        <v>243</v>
      </c>
      <c r="E3671" t="s">
        <v>89</v>
      </c>
      <c r="F3671">
        <v>34</v>
      </c>
      <c r="G3671" t="s">
        <v>90</v>
      </c>
      <c r="H3671" t="s">
        <v>227</v>
      </c>
      <c r="I3671" t="s">
        <v>722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129</v>
      </c>
      <c r="D3672" t="s">
        <v>243</v>
      </c>
      <c r="E3672" t="s">
        <v>89</v>
      </c>
      <c r="F3672">
        <v>34</v>
      </c>
      <c r="G3672" t="s">
        <v>90</v>
      </c>
      <c r="H3672" t="s">
        <v>227</v>
      </c>
      <c r="I3672" t="s">
        <v>723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129</v>
      </c>
      <c r="D3673" t="s">
        <v>243</v>
      </c>
      <c r="E3673" t="s">
        <v>89</v>
      </c>
      <c r="F3673">
        <v>34</v>
      </c>
      <c r="G3673" t="s">
        <v>90</v>
      </c>
      <c r="H3673" t="s">
        <v>227</v>
      </c>
      <c r="I3673" t="s">
        <v>724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129</v>
      </c>
      <c r="D3674" t="s">
        <v>243</v>
      </c>
      <c r="E3674" t="s">
        <v>89</v>
      </c>
      <c r="F3674">
        <v>34</v>
      </c>
      <c r="G3674" t="s">
        <v>90</v>
      </c>
      <c r="H3674" t="s">
        <v>227</v>
      </c>
      <c r="I3674" t="s">
        <v>725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129</v>
      </c>
      <c r="D3675" t="s">
        <v>243</v>
      </c>
      <c r="E3675" t="s">
        <v>89</v>
      </c>
      <c r="F3675">
        <v>34</v>
      </c>
      <c r="G3675" t="s">
        <v>90</v>
      </c>
      <c r="H3675" t="s">
        <v>227</v>
      </c>
      <c r="I3675" t="s">
        <v>726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129</v>
      </c>
      <c r="D3676" t="s">
        <v>243</v>
      </c>
      <c r="E3676" t="s">
        <v>89</v>
      </c>
      <c r="F3676">
        <v>34</v>
      </c>
      <c r="G3676" t="s">
        <v>90</v>
      </c>
      <c r="H3676" t="s">
        <v>227</v>
      </c>
      <c r="I3676" t="s">
        <v>727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129</v>
      </c>
      <c r="D3677" t="s">
        <v>243</v>
      </c>
      <c r="E3677" t="s">
        <v>89</v>
      </c>
      <c r="F3677">
        <v>34</v>
      </c>
      <c r="G3677" t="s">
        <v>90</v>
      </c>
      <c r="H3677" t="s">
        <v>227</v>
      </c>
      <c r="I3677" t="s">
        <v>728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129</v>
      </c>
      <c r="D3678" t="s">
        <v>243</v>
      </c>
      <c r="E3678" t="s">
        <v>89</v>
      </c>
      <c r="F3678">
        <v>34</v>
      </c>
      <c r="G3678" t="s">
        <v>90</v>
      </c>
      <c r="H3678" t="s">
        <v>227</v>
      </c>
      <c r="I3678" t="s">
        <v>729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129</v>
      </c>
      <c r="D3679" t="s">
        <v>243</v>
      </c>
      <c r="E3679" t="s">
        <v>89</v>
      </c>
      <c r="F3679">
        <v>34</v>
      </c>
      <c r="G3679" t="s">
        <v>90</v>
      </c>
      <c r="H3679" t="s">
        <v>227</v>
      </c>
      <c r="I3679" t="s">
        <v>730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129</v>
      </c>
      <c r="D3680" t="s">
        <v>243</v>
      </c>
      <c r="E3680" t="s">
        <v>89</v>
      </c>
      <c r="F3680">
        <v>34</v>
      </c>
      <c r="G3680" t="s">
        <v>90</v>
      </c>
      <c r="H3680" t="s">
        <v>227</v>
      </c>
      <c r="I3680" t="s">
        <v>731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129</v>
      </c>
      <c r="D3681" t="s">
        <v>243</v>
      </c>
      <c r="E3681" t="s">
        <v>89</v>
      </c>
      <c r="F3681">
        <v>34</v>
      </c>
      <c r="G3681" t="s">
        <v>90</v>
      </c>
      <c r="H3681" t="s">
        <v>227</v>
      </c>
      <c r="I3681" t="s">
        <v>732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129</v>
      </c>
      <c r="D3682" t="s">
        <v>243</v>
      </c>
      <c r="E3682" t="s">
        <v>89</v>
      </c>
      <c r="F3682">
        <v>34</v>
      </c>
      <c r="G3682" t="s">
        <v>90</v>
      </c>
      <c r="H3682" t="s">
        <v>227</v>
      </c>
      <c r="I3682" t="s">
        <v>733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129</v>
      </c>
      <c r="D3683" t="s">
        <v>243</v>
      </c>
      <c r="E3683" t="s">
        <v>89</v>
      </c>
      <c r="F3683">
        <v>34</v>
      </c>
      <c r="G3683" t="s">
        <v>90</v>
      </c>
      <c r="H3683" t="s">
        <v>227</v>
      </c>
      <c r="I3683" t="s">
        <v>734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129</v>
      </c>
      <c r="D3684" t="s">
        <v>243</v>
      </c>
      <c r="E3684" t="s">
        <v>89</v>
      </c>
      <c r="F3684">
        <v>34</v>
      </c>
      <c r="G3684" t="s">
        <v>90</v>
      </c>
      <c r="H3684" t="s">
        <v>227</v>
      </c>
      <c r="I3684" t="s">
        <v>735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129</v>
      </c>
      <c r="D3685" t="s">
        <v>243</v>
      </c>
      <c r="E3685" t="s">
        <v>89</v>
      </c>
      <c r="F3685">
        <v>34</v>
      </c>
      <c r="G3685" t="s">
        <v>90</v>
      </c>
      <c r="H3685" t="s">
        <v>227</v>
      </c>
      <c r="I3685" t="s">
        <v>736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129</v>
      </c>
      <c r="D3686" t="s">
        <v>243</v>
      </c>
      <c r="E3686" t="s">
        <v>89</v>
      </c>
      <c r="F3686">
        <v>34</v>
      </c>
      <c r="G3686" t="s">
        <v>90</v>
      </c>
      <c r="H3686" t="s">
        <v>227</v>
      </c>
      <c r="I3686" t="s">
        <v>737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129</v>
      </c>
      <c r="D3687" t="s">
        <v>243</v>
      </c>
      <c r="E3687" t="s">
        <v>89</v>
      </c>
      <c r="F3687">
        <v>34</v>
      </c>
      <c r="G3687" t="s">
        <v>90</v>
      </c>
      <c r="H3687" t="s">
        <v>228</v>
      </c>
      <c r="I3687" t="s">
        <v>710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129</v>
      </c>
      <c r="D3688" t="s">
        <v>243</v>
      </c>
      <c r="E3688" t="s">
        <v>89</v>
      </c>
      <c r="F3688">
        <v>34</v>
      </c>
      <c r="G3688" t="s">
        <v>90</v>
      </c>
      <c r="H3688" t="s">
        <v>228</v>
      </c>
      <c r="I3688" t="s">
        <v>711</v>
      </c>
      <c r="J3688">
        <v>0</v>
      </c>
    </row>
    <row r="3689" spans="1:10" x14ac:dyDescent="0.25">
      <c r="A3689" s="1" t="s">
        <v>27</v>
      </c>
      <c r="B3689">
        <v>401752808</v>
      </c>
      <c r="C3689" t="s">
        <v>129</v>
      </c>
      <c r="D3689" t="s">
        <v>243</v>
      </c>
      <c r="E3689" t="s">
        <v>89</v>
      </c>
      <c r="F3689">
        <v>34</v>
      </c>
      <c r="G3689" t="s">
        <v>90</v>
      </c>
      <c r="H3689" t="s">
        <v>228</v>
      </c>
      <c r="I3689" t="s">
        <v>712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129</v>
      </c>
      <c r="D3690" t="s">
        <v>243</v>
      </c>
      <c r="E3690" t="s">
        <v>89</v>
      </c>
      <c r="F3690">
        <v>34</v>
      </c>
      <c r="G3690" t="s">
        <v>90</v>
      </c>
      <c r="H3690" t="s">
        <v>228</v>
      </c>
      <c r="I3690" t="s">
        <v>713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129</v>
      </c>
      <c r="D3691" t="s">
        <v>243</v>
      </c>
      <c r="E3691" t="s">
        <v>89</v>
      </c>
      <c r="F3691">
        <v>34</v>
      </c>
      <c r="G3691" t="s">
        <v>90</v>
      </c>
      <c r="H3691" t="s">
        <v>228</v>
      </c>
      <c r="I3691" t="s">
        <v>714</v>
      </c>
      <c r="J3691">
        <v>0</v>
      </c>
    </row>
    <row r="3692" spans="1:10" x14ac:dyDescent="0.25">
      <c r="A3692" s="1" t="s">
        <v>27</v>
      </c>
      <c r="B3692">
        <v>401752808</v>
      </c>
      <c r="C3692" t="s">
        <v>129</v>
      </c>
      <c r="D3692" t="s">
        <v>243</v>
      </c>
      <c r="E3692" t="s">
        <v>89</v>
      </c>
      <c r="F3692">
        <v>34</v>
      </c>
      <c r="G3692" t="s">
        <v>90</v>
      </c>
      <c r="H3692" t="s">
        <v>228</v>
      </c>
      <c r="I3692" t="s">
        <v>715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129</v>
      </c>
      <c r="D3693" t="s">
        <v>243</v>
      </c>
      <c r="E3693" t="s">
        <v>89</v>
      </c>
      <c r="F3693">
        <v>34</v>
      </c>
      <c r="G3693" t="s">
        <v>90</v>
      </c>
      <c r="H3693" t="s">
        <v>228</v>
      </c>
      <c r="I3693" t="s">
        <v>716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129</v>
      </c>
      <c r="D3694" t="s">
        <v>243</v>
      </c>
      <c r="E3694" t="s">
        <v>89</v>
      </c>
      <c r="F3694">
        <v>34</v>
      </c>
      <c r="G3694" t="s">
        <v>90</v>
      </c>
      <c r="H3694" t="s">
        <v>228</v>
      </c>
      <c r="I3694" t="s">
        <v>717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129</v>
      </c>
      <c r="D3695" t="s">
        <v>243</v>
      </c>
      <c r="E3695" t="s">
        <v>89</v>
      </c>
      <c r="F3695">
        <v>34</v>
      </c>
      <c r="G3695" t="s">
        <v>90</v>
      </c>
      <c r="H3695" t="s">
        <v>228</v>
      </c>
      <c r="I3695" t="s">
        <v>718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129</v>
      </c>
      <c r="D3696" t="s">
        <v>243</v>
      </c>
      <c r="E3696" t="s">
        <v>89</v>
      </c>
      <c r="F3696">
        <v>34</v>
      </c>
      <c r="G3696" t="s">
        <v>90</v>
      </c>
      <c r="H3696" t="s">
        <v>228</v>
      </c>
      <c r="I3696" t="s">
        <v>719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129</v>
      </c>
      <c r="D3697" t="s">
        <v>243</v>
      </c>
      <c r="E3697" t="s">
        <v>89</v>
      </c>
      <c r="F3697">
        <v>34</v>
      </c>
      <c r="G3697" t="s">
        <v>90</v>
      </c>
      <c r="H3697" t="s">
        <v>228</v>
      </c>
      <c r="I3697" t="s">
        <v>720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129</v>
      </c>
      <c r="D3698" t="s">
        <v>243</v>
      </c>
      <c r="E3698" t="s">
        <v>89</v>
      </c>
      <c r="F3698">
        <v>34</v>
      </c>
      <c r="G3698" t="s">
        <v>90</v>
      </c>
      <c r="H3698" t="s">
        <v>228</v>
      </c>
      <c r="I3698" t="s">
        <v>721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129</v>
      </c>
      <c r="D3699" t="s">
        <v>243</v>
      </c>
      <c r="E3699" t="s">
        <v>89</v>
      </c>
      <c r="F3699">
        <v>34</v>
      </c>
      <c r="G3699" t="s">
        <v>90</v>
      </c>
      <c r="H3699" t="s">
        <v>228</v>
      </c>
      <c r="I3699" t="s">
        <v>722</v>
      </c>
      <c r="J3699">
        <v>0</v>
      </c>
    </row>
    <row r="3700" spans="1:10" x14ac:dyDescent="0.25">
      <c r="A3700" s="1" t="s">
        <v>27</v>
      </c>
      <c r="B3700">
        <v>401752808</v>
      </c>
      <c r="C3700" t="s">
        <v>129</v>
      </c>
      <c r="D3700" t="s">
        <v>243</v>
      </c>
      <c r="E3700" t="s">
        <v>89</v>
      </c>
      <c r="F3700">
        <v>34</v>
      </c>
      <c r="G3700" t="s">
        <v>90</v>
      </c>
      <c r="H3700" t="s">
        <v>228</v>
      </c>
      <c r="I3700" t="s">
        <v>723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129</v>
      </c>
      <c r="D3701" t="s">
        <v>243</v>
      </c>
      <c r="E3701" t="s">
        <v>89</v>
      </c>
      <c r="F3701">
        <v>34</v>
      </c>
      <c r="G3701" t="s">
        <v>90</v>
      </c>
      <c r="H3701" t="s">
        <v>228</v>
      </c>
      <c r="I3701" t="s">
        <v>724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129</v>
      </c>
      <c r="D3702" t="s">
        <v>243</v>
      </c>
      <c r="E3702" t="s">
        <v>89</v>
      </c>
      <c r="F3702">
        <v>34</v>
      </c>
      <c r="G3702" t="s">
        <v>90</v>
      </c>
      <c r="H3702" t="s">
        <v>228</v>
      </c>
      <c r="I3702" t="s">
        <v>725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129</v>
      </c>
      <c r="D3703" t="s">
        <v>243</v>
      </c>
      <c r="E3703" t="s">
        <v>89</v>
      </c>
      <c r="F3703">
        <v>34</v>
      </c>
      <c r="G3703" t="s">
        <v>90</v>
      </c>
      <c r="H3703" t="s">
        <v>228</v>
      </c>
      <c r="I3703" t="s">
        <v>726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129</v>
      </c>
      <c r="D3704" t="s">
        <v>243</v>
      </c>
      <c r="E3704" t="s">
        <v>89</v>
      </c>
      <c r="F3704">
        <v>34</v>
      </c>
      <c r="G3704" t="s">
        <v>90</v>
      </c>
      <c r="H3704" t="s">
        <v>228</v>
      </c>
      <c r="I3704" t="s">
        <v>727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129</v>
      </c>
      <c r="D3705" t="s">
        <v>243</v>
      </c>
      <c r="E3705" t="s">
        <v>89</v>
      </c>
      <c r="F3705">
        <v>34</v>
      </c>
      <c r="G3705" t="s">
        <v>90</v>
      </c>
      <c r="H3705" t="s">
        <v>228</v>
      </c>
      <c r="I3705" t="s">
        <v>728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129</v>
      </c>
      <c r="D3706" t="s">
        <v>243</v>
      </c>
      <c r="E3706" t="s">
        <v>89</v>
      </c>
      <c r="F3706">
        <v>34</v>
      </c>
      <c r="G3706" t="s">
        <v>90</v>
      </c>
      <c r="H3706" t="s">
        <v>228</v>
      </c>
      <c r="I3706" t="s">
        <v>729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129</v>
      </c>
      <c r="D3707" t="s">
        <v>243</v>
      </c>
      <c r="E3707" t="s">
        <v>89</v>
      </c>
      <c r="F3707">
        <v>34</v>
      </c>
      <c r="G3707" t="s">
        <v>90</v>
      </c>
      <c r="H3707" t="s">
        <v>228</v>
      </c>
      <c r="I3707" t="s">
        <v>730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129</v>
      </c>
      <c r="D3708" t="s">
        <v>243</v>
      </c>
      <c r="E3708" t="s">
        <v>89</v>
      </c>
      <c r="F3708">
        <v>34</v>
      </c>
      <c r="G3708" t="s">
        <v>90</v>
      </c>
      <c r="H3708" t="s">
        <v>228</v>
      </c>
      <c r="I3708" t="s">
        <v>731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129</v>
      </c>
      <c r="D3709" t="s">
        <v>243</v>
      </c>
      <c r="E3709" t="s">
        <v>89</v>
      </c>
      <c r="F3709">
        <v>34</v>
      </c>
      <c r="G3709" t="s">
        <v>90</v>
      </c>
      <c r="H3709" t="s">
        <v>228</v>
      </c>
      <c r="I3709" t="s">
        <v>732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129</v>
      </c>
      <c r="D3710" t="s">
        <v>243</v>
      </c>
      <c r="E3710" t="s">
        <v>89</v>
      </c>
      <c r="F3710">
        <v>34</v>
      </c>
      <c r="G3710" t="s">
        <v>90</v>
      </c>
      <c r="H3710" t="s">
        <v>228</v>
      </c>
      <c r="I3710" t="s">
        <v>733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129</v>
      </c>
      <c r="D3711" t="s">
        <v>243</v>
      </c>
      <c r="E3711" t="s">
        <v>89</v>
      </c>
      <c r="F3711">
        <v>34</v>
      </c>
      <c r="G3711" t="s">
        <v>90</v>
      </c>
      <c r="H3711" t="s">
        <v>228</v>
      </c>
      <c r="I3711" t="s">
        <v>734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129</v>
      </c>
      <c r="D3712" t="s">
        <v>243</v>
      </c>
      <c r="E3712" t="s">
        <v>89</v>
      </c>
      <c r="F3712">
        <v>34</v>
      </c>
      <c r="G3712" t="s">
        <v>90</v>
      </c>
      <c r="H3712" t="s">
        <v>228</v>
      </c>
      <c r="I3712" t="s">
        <v>735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129</v>
      </c>
      <c r="D3713" t="s">
        <v>243</v>
      </c>
      <c r="E3713" t="s">
        <v>89</v>
      </c>
      <c r="F3713">
        <v>34</v>
      </c>
      <c r="G3713" t="s">
        <v>90</v>
      </c>
      <c r="H3713" t="s">
        <v>228</v>
      </c>
      <c r="I3713" t="s">
        <v>736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129</v>
      </c>
      <c r="D3714" t="s">
        <v>243</v>
      </c>
      <c r="E3714" t="s">
        <v>89</v>
      </c>
      <c r="F3714">
        <v>34</v>
      </c>
      <c r="G3714" t="s">
        <v>90</v>
      </c>
      <c r="H3714" t="s">
        <v>228</v>
      </c>
      <c r="I3714" t="s">
        <v>737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129</v>
      </c>
      <c r="D3715" t="s">
        <v>243</v>
      </c>
      <c r="E3715" t="s">
        <v>89</v>
      </c>
      <c r="F3715">
        <v>34</v>
      </c>
      <c r="G3715" t="s">
        <v>90</v>
      </c>
      <c r="H3715" t="s">
        <v>229</v>
      </c>
      <c r="I3715" t="s">
        <v>710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129</v>
      </c>
      <c r="D3716" t="s">
        <v>243</v>
      </c>
      <c r="E3716" t="s">
        <v>89</v>
      </c>
      <c r="F3716">
        <v>34</v>
      </c>
      <c r="G3716" t="s">
        <v>90</v>
      </c>
      <c r="H3716" t="s">
        <v>229</v>
      </c>
      <c r="I3716" t="s">
        <v>711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129</v>
      </c>
      <c r="D3717" t="s">
        <v>243</v>
      </c>
      <c r="E3717" t="s">
        <v>89</v>
      </c>
      <c r="F3717">
        <v>34</v>
      </c>
      <c r="G3717" t="s">
        <v>90</v>
      </c>
      <c r="H3717" t="s">
        <v>229</v>
      </c>
      <c r="I3717" t="s">
        <v>712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129</v>
      </c>
      <c r="D3718" t="s">
        <v>243</v>
      </c>
      <c r="E3718" t="s">
        <v>89</v>
      </c>
      <c r="F3718">
        <v>34</v>
      </c>
      <c r="G3718" t="s">
        <v>90</v>
      </c>
      <c r="H3718" t="s">
        <v>229</v>
      </c>
      <c r="I3718" t="s">
        <v>713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129</v>
      </c>
      <c r="D3719" t="s">
        <v>243</v>
      </c>
      <c r="E3719" t="s">
        <v>89</v>
      </c>
      <c r="F3719">
        <v>34</v>
      </c>
      <c r="G3719" t="s">
        <v>90</v>
      </c>
      <c r="H3719" t="s">
        <v>229</v>
      </c>
      <c r="I3719" t="s">
        <v>714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129</v>
      </c>
      <c r="D3720" t="s">
        <v>243</v>
      </c>
      <c r="E3720" t="s">
        <v>89</v>
      </c>
      <c r="F3720">
        <v>34</v>
      </c>
      <c r="G3720" t="s">
        <v>90</v>
      </c>
      <c r="H3720" t="s">
        <v>229</v>
      </c>
      <c r="I3720" t="s">
        <v>715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129</v>
      </c>
      <c r="D3721" t="s">
        <v>243</v>
      </c>
      <c r="E3721" t="s">
        <v>89</v>
      </c>
      <c r="F3721">
        <v>34</v>
      </c>
      <c r="G3721" t="s">
        <v>90</v>
      </c>
      <c r="H3721" t="s">
        <v>229</v>
      </c>
      <c r="I3721" t="s">
        <v>716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129</v>
      </c>
      <c r="D3722" t="s">
        <v>243</v>
      </c>
      <c r="E3722" t="s">
        <v>89</v>
      </c>
      <c r="F3722">
        <v>34</v>
      </c>
      <c r="G3722" t="s">
        <v>90</v>
      </c>
      <c r="H3722" t="s">
        <v>229</v>
      </c>
      <c r="I3722" t="s">
        <v>717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129</v>
      </c>
      <c r="D3723" t="s">
        <v>243</v>
      </c>
      <c r="E3723" t="s">
        <v>89</v>
      </c>
      <c r="F3723">
        <v>34</v>
      </c>
      <c r="G3723" t="s">
        <v>90</v>
      </c>
      <c r="H3723" t="s">
        <v>229</v>
      </c>
      <c r="I3723" t="s">
        <v>718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129</v>
      </c>
      <c r="D3724" t="s">
        <v>243</v>
      </c>
      <c r="E3724" t="s">
        <v>89</v>
      </c>
      <c r="F3724">
        <v>34</v>
      </c>
      <c r="G3724" t="s">
        <v>90</v>
      </c>
      <c r="H3724" t="s">
        <v>229</v>
      </c>
      <c r="I3724" t="s">
        <v>719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129</v>
      </c>
      <c r="D3725" t="s">
        <v>243</v>
      </c>
      <c r="E3725" t="s">
        <v>89</v>
      </c>
      <c r="F3725">
        <v>34</v>
      </c>
      <c r="G3725" t="s">
        <v>90</v>
      </c>
      <c r="H3725" t="s">
        <v>229</v>
      </c>
      <c r="I3725" t="s">
        <v>720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129</v>
      </c>
      <c r="D3726" t="s">
        <v>243</v>
      </c>
      <c r="E3726" t="s">
        <v>89</v>
      </c>
      <c r="F3726">
        <v>34</v>
      </c>
      <c r="G3726" t="s">
        <v>90</v>
      </c>
      <c r="H3726" t="s">
        <v>229</v>
      </c>
      <c r="I3726" t="s">
        <v>721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129</v>
      </c>
      <c r="D3727" t="s">
        <v>243</v>
      </c>
      <c r="E3727" t="s">
        <v>89</v>
      </c>
      <c r="F3727">
        <v>34</v>
      </c>
      <c r="G3727" t="s">
        <v>90</v>
      </c>
      <c r="H3727" t="s">
        <v>229</v>
      </c>
      <c r="I3727" t="s">
        <v>722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129</v>
      </c>
      <c r="D3728" t="s">
        <v>243</v>
      </c>
      <c r="E3728" t="s">
        <v>89</v>
      </c>
      <c r="F3728">
        <v>34</v>
      </c>
      <c r="G3728" t="s">
        <v>90</v>
      </c>
      <c r="H3728" t="s">
        <v>229</v>
      </c>
      <c r="I3728" t="s">
        <v>723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129</v>
      </c>
      <c r="D3729" t="s">
        <v>243</v>
      </c>
      <c r="E3729" t="s">
        <v>89</v>
      </c>
      <c r="F3729">
        <v>34</v>
      </c>
      <c r="G3729" t="s">
        <v>90</v>
      </c>
      <c r="H3729" t="s">
        <v>229</v>
      </c>
      <c r="I3729" t="s">
        <v>724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129</v>
      </c>
      <c r="D3730" t="s">
        <v>243</v>
      </c>
      <c r="E3730" t="s">
        <v>89</v>
      </c>
      <c r="F3730">
        <v>34</v>
      </c>
      <c r="G3730" t="s">
        <v>90</v>
      </c>
      <c r="H3730" t="s">
        <v>229</v>
      </c>
      <c r="I3730" t="s">
        <v>725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129</v>
      </c>
      <c r="D3731" t="s">
        <v>243</v>
      </c>
      <c r="E3731" t="s">
        <v>89</v>
      </c>
      <c r="F3731">
        <v>34</v>
      </c>
      <c r="G3731" t="s">
        <v>90</v>
      </c>
      <c r="H3731" t="s">
        <v>229</v>
      </c>
      <c r="I3731" t="s">
        <v>726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129</v>
      </c>
      <c r="D3732" t="s">
        <v>243</v>
      </c>
      <c r="E3732" t="s">
        <v>89</v>
      </c>
      <c r="F3732">
        <v>34</v>
      </c>
      <c r="G3732" t="s">
        <v>90</v>
      </c>
      <c r="H3732" t="s">
        <v>229</v>
      </c>
      <c r="I3732" t="s">
        <v>727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129</v>
      </c>
      <c r="D3733" t="s">
        <v>243</v>
      </c>
      <c r="E3733" t="s">
        <v>89</v>
      </c>
      <c r="F3733">
        <v>34</v>
      </c>
      <c r="G3733" t="s">
        <v>90</v>
      </c>
      <c r="H3733" t="s">
        <v>229</v>
      </c>
      <c r="I3733" t="s">
        <v>728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129</v>
      </c>
      <c r="D3734" t="s">
        <v>243</v>
      </c>
      <c r="E3734" t="s">
        <v>89</v>
      </c>
      <c r="F3734">
        <v>34</v>
      </c>
      <c r="G3734" t="s">
        <v>90</v>
      </c>
      <c r="H3734" t="s">
        <v>229</v>
      </c>
      <c r="I3734" t="s">
        <v>729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129</v>
      </c>
      <c r="D3735" t="s">
        <v>243</v>
      </c>
      <c r="E3735" t="s">
        <v>89</v>
      </c>
      <c r="F3735">
        <v>34</v>
      </c>
      <c r="G3735" t="s">
        <v>90</v>
      </c>
      <c r="H3735" t="s">
        <v>229</v>
      </c>
      <c r="I3735" t="s">
        <v>730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129</v>
      </c>
      <c r="D3736" t="s">
        <v>243</v>
      </c>
      <c r="E3736" t="s">
        <v>89</v>
      </c>
      <c r="F3736">
        <v>34</v>
      </c>
      <c r="G3736" t="s">
        <v>90</v>
      </c>
      <c r="H3736" t="s">
        <v>229</v>
      </c>
      <c r="I3736" t="s">
        <v>731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129</v>
      </c>
      <c r="D3737" t="s">
        <v>243</v>
      </c>
      <c r="E3737" t="s">
        <v>89</v>
      </c>
      <c r="F3737">
        <v>34</v>
      </c>
      <c r="G3737" t="s">
        <v>90</v>
      </c>
      <c r="H3737" t="s">
        <v>229</v>
      </c>
      <c r="I3737" t="s">
        <v>732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129</v>
      </c>
      <c r="D3738" t="s">
        <v>243</v>
      </c>
      <c r="E3738" t="s">
        <v>89</v>
      </c>
      <c r="F3738">
        <v>34</v>
      </c>
      <c r="G3738" t="s">
        <v>90</v>
      </c>
      <c r="H3738" t="s">
        <v>229</v>
      </c>
      <c r="I3738" t="s">
        <v>733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129</v>
      </c>
      <c r="D3739" t="s">
        <v>243</v>
      </c>
      <c r="E3739" t="s">
        <v>89</v>
      </c>
      <c r="F3739">
        <v>34</v>
      </c>
      <c r="G3739" t="s">
        <v>90</v>
      </c>
      <c r="H3739" t="s">
        <v>229</v>
      </c>
      <c r="I3739" t="s">
        <v>734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129</v>
      </c>
      <c r="D3740" t="s">
        <v>243</v>
      </c>
      <c r="E3740" t="s">
        <v>89</v>
      </c>
      <c r="F3740">
        <v>34</v>
      </c>
      <c r="G3740" t="s">
        <v>90</v>
      </c>
      <c r="H3740" t="s">
        <v>229</v>
      </c>
      <c r="I3740" t="s">
        <v>735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129</v>
      </c>
      <c r="D3741" t="s">
        <v>243</v>
      </c>
      <c r="E3741" t="s">
        <v>89</v>
      </c>
      <c r="F3741">
        <v>34</v>
      </c>
      <c r="G3741" t="s">
        <v>90</v>
      </c>
      <c r="H3741" t="s">
        <v>229</v>
      </c>
      <c r="I3741" t="s">
        <v>736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129</v>
      </c>
      <c r="D3742" t="s">
        <v>243</v>
      </c>
      <c r="E3742" t="s">
        <v>89</v>
      </c>
      <c r="F3742">
        <v>34</v>
      </c>
      <c r="G3742" t="s">
        <v>90</v>
      </c>
      <c r="H3742" t="s">
        <v>229</v>
      </c>
      <c r="I3742" t="s">
        <v>737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129</v>
      </c>
      <c r="D3743" t="s">
        <v>243</v>
      </c>
      <c r="E3743" t="s">
        <v>89</v>
      </c>
      <c r="F3743">
        <v>34</v>
      </c>
      <c r="G3743" t="s">
        <v>90</v>
      </c>
      <c r="H3743" t="s">
        <v>91</v>
      </c>
      <c r="I3743" t="s">
        <v>710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129</v>
      </c>
      <c r="D3744" t="s">
        <v>243</v>
      </c>
      <c r="E3744" t="s">
        <v>89</v>
      </c>
      <c r="F3744">
        <v>34</v>
      </c>
      <c r="G3744" t="s">
        <v>90</v>
      </c>
      <c r="H3744" t="s">
        <v>91</v>
      </c>
      <c r="I3744" t="s">
        <v>711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129</v>
      </c>
      <c r="D3745" t="s">
        <v>243</v>
      </c>
      <c r="E3745" t="s">
        <v>89</v>
      </c>
      <c r="F3745">
        <v>34</v>
      </c>
      <c r="G3745" t="s">
        <v>90</v>
      </c>
      <c r="H3745" t="s">
        <v>91</v>
      </c>
      <c r="I3745" t="s">
        <v>712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129</v>
      </c>
      <c r="D3746" t="s">
        <v>243</v>
      </c>
      <c r="E3746" t="s">
        <v>89</v>
      </c>
      <c r="F3746">
        <v>34</v>
      </c>
      <c r="G3746" t="s">
        <v>90</v>
      </c>
      <c r="H3746" t="s">
        <v>91</v>
      </c>
      <c r="I3746" t="s">
        <v>713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129</v>
      </c>
      <c r="D3747" t="s">
        <v>243</v>
      </c>
      <c r="E3747" t="s">
        <v>89</v>
      </c>
      <c r="F3747">
        <v>34</v>
      </c>
      <c r="G3747" t="s">
        <v>90</v>
      </c>
      <c r="H3747" t="s">
        <v>91</v>
      </c>
      <c r="I3747" t="s">
        <v>714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129</v>
      </c>
      <c r="D3748" t="s">
        <v>243</v>
      </c>
      <c r="E3748" t="s">
        <v>89</v>
      </c>
      <c r="F3748">
        <v>34</v>
      </c>
      <c r="G3748" t="s">
        <v>90</v>
      </c>
      <c r="H3748" t="s">
        <v>91</v>
      </c>
      <c r="I3748" t="s">
        <v>715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129</v>
      </c>
      <c r="D3749" t="s">
        <v>243</v>
      </c>
      <c r="E3749" t="s">
        <v>89</v>
      </c>
      <c r="F3749">
        <v>34</v>
      </c>
      <c r="G3749" t="s">
        <v>90</v>
      </c>
      <c r="H3749" t="s">
        <v>91</v>
      </c>
      <c r="I3749" t="s">
        <v>716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129</v>
      </c>
      <c r="D3750" t="s">
        <v>243</v>
      </c>
      <c r="E3750" t="s">
        <v>89</v>
      </c>
      <c r="F3750">
        <v>34</v>
      </c>
      <c r="G3750" t="s">
        <v>90</v>
      </c>
      <c r="H3750" t="s">
        <v>91</v>
      </c>
      <c r="I3750" t="s">
        <v>717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129</v>
      </c>
      <c r="D3751" t="s">
        <v>243</v>
      </c>
      <c r="E3751" t="s">
        <v>89</v>
      </c>
      <c r="F3751">
        <v>34</v>
      </c>
      <c r="G3751" t="s">
        <v>90</v>
      </c>
      <c r="H3751" t="s">
        <v>91</v>
      </c>
      <c r="I3751" t="s">
        <v>718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129</v>
      </c>
      <c r="D3752" t="s">
        <v>243</v>
      </c>
      <c r="E3752" t="s">
        <v>89</v>
      </c>
      <c r="F3752">
        <v>34</v>
      </c>
      <c r="G3752" t="s">
        <v>90</v>
      </c>
      <c r="H3752" t="s">
        <v>91</v>
      </c>
      <c r="I3752" t="s">
        <v>719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129</v>
      </c>
      <c r="D3753" t="s">
        <v>243</v>
      </c>
      <c r="E3753" t="s">
        <v>89</v>
      </c>
      <c r="F3753">
        <v>34</v>
      </c>
      <c r="G3753" t="s">
        <v>90</v>
      </c>
      <c r="H3753" t="s">
        <v>91</v>
      </c>
      <c r="I3753" t="s">
        <v>720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129</v>
      </c>
      <c r="D3754" t="s">
        <v>243</v>
      </c>
      <c r="E3754" t="s">
        <v>89</v>
      </c>
      <c r="F3754">
        <v>34</v>
      </c>
      <c r="G3754" t="s">
        <v>90</v>
      </c>
      <c r="H3754" t="s">
        <v>91</v>
      </c>
      <c r="I3754" t="s">
        <v>721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129</v>
      </c>
      <c r="D3755" t="s">
        <v>243</v>
      </c>
      <c r="E3755" t="s">
        <v>89</v>
      </c>
      <c r="F3755">
        <v>34</v>
      </c>
      <c r="G3755" t="s">
        <v>90</v>
      </c>
      <c r="H3755" t="s">
        <v>91</v>
      </c>
      <c r="I3755" t="s">
        <v>722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129</v>
      </c>
      <c r="D3756" t="s">
        <v>243</v>
      </c>
      <c r="E3756" t="s">
        <v>89</v>
      </c>
      <c r="F3756">
        <v>34</v>
      </c>
      <c r="G3756" t="s">
        <v>90</v>
      </c>
      <c r="H3756" t="s">
        <v>91</v>
      </c>
      <c r="I3756" t="s">
        <v>723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129</v>
      </c>
      <c r="D3757" t="s">
        <v>243</v>
      </c>
      <c r="E3757" t="s">
        <v>89</v>
      </c>
      <c r="F3757">
        <v>34</v>
      </c>
      <c r="G3757" t="s">
        <v>90</v>
      </c>
      <c r="H3757" t="s">
        <v>91</v>
      </c>
      <c r="I3757" t="s">
        <v>724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129</v>
      </c>
      <c r="D3758" t="s">
        <v>243</v>
      </c>
      <c r="E3758" t="s">
        <v>89</v>
      </c>
      <c r="F3758">
        <v>34</v>
      </c>
      <c r="G3758" t="s">
        <v>90</v>
      </c>
      <c r="H3758" t="s">
        <v>91</v>
      </c>
      <c r="I3758" t="s">
        <v>725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129</v>
      </c>
      <c r="D3759" t="s">
        <v>243</v>
      </c>
      <c r="E3759" t="s">
        <v>89</v>
      </c>
      <c r="F3759">
        <v>34</v>
      </c>
      <c r="G3759" t="s">
        <v>90</v>
      </c>
      <c r="H3759" t="s">
        <v>91</v>
      </c>
      <c r="I3759" t="s">
        <v>726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129</v>
      </c>
      <c r="D3760" t="s">
        <v>243</v>
      </c>
      <c r="E3760" t="s">
        <v>89</v>
      </c>
      <c r="F3760">
        <v>34</v>
      </c>
      <c r="G3760" t="s">
        <v>90</v>
      </c>
      <c r="H3760" t="s">
        <v>91</v>
      </c>
      <c r="I3760" t="s">
        <v>727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129</v>
      </c>
      <c r="D3761" t="s">
        <v>243</v>
      </c>
      <c r="E3761" t="s">
        <v>89</v>
      </c>
      <c r="F3761">
        <v>34</v>
      </c>
      <c r="G3761" t="s">
        <v>90</v>
      </c>
      <c r="H3761" t="s">
        <v>91</v>
      </c>
      <c r="I3761" t="s">
        <v>728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129</v>
      </c>
      <c r="D3762" t="s">
        <v>243</v>
      </c>
      <c r="E3762" t="s">
        <v>89</v>
      </c>
      <c r="F3762">
        <v>34</v>
      </c>
      <c r="G3762" t="s">
        <v>90</v>
      </c>
      <c r="H3762" t="s">
        <v>91</v>
      </c>
      <c r="I3762" t="s">
        <v>729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129</v>
      </c>
      <c r="D3763" t="s">
        <v>243</v>
      </c>
      <c r="E3763" t="s">
        <v>89</v>
      </c>
      <c r="F3763">
        <v>34</v>
      </c>
      <c r="G3763" t="s">
        <v>90</v>
      </c>
      <c r="H3763" t="s">
        <v>91</v>
      </c>
      <c r="I3763" t="s">
        <v>730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129</v>
      </c>
      <c r="D3764" t="s">
        <v>243</v>
      </c>
      <c r="E3764" t="s">
        <v>89</v>
      </c>
      <c r="F3764">
        <v>34</v>
      </c>
      <c r="G3764" t="s">
        <v>90</v>
      </c>
      <c r="H3764" t="s">
        <v>91</v>
      </c>
      <c r="I3764" t="s">
        <v>731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129</v>
      </c>
      <c r="D3765" t="s">
        <v>243</v>
      </c>
      <c r="E3765" t="s">
        <v>89</v>
      </c>
      <c r="F3765">
        <v>34</v>
      </c>
      <c r="G3765" t="s">
        <v>90</v>
      </c>
      <c r="H3765" t="s">
        <v>91</v>
      </c>
      <c r="I3765" t="s">
        <v>732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129</v>
      </c>
      <c r="D3766" t="s">
        <v>243</v>
      </c>
      <c r="E3766" t="s">
        <v>89</v>
      </c>
      <c r="F3766">
        <v>34</v>
      </c>
      <c r="G3766" t="s">
        <v>90</v>
      </c>
      <c r="H3766" t="s">
        <v>91</v>
      </c>
      <c r="I3766" t="s">
        <v>733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129</v>
      </c>
      <c r="D3767" t="s">
        <v>243</v>
      </c>
      <c r="E3767" t="s">
        <v>89</v>
      </c>
      <c r="F3767">
        <v>34</v>
      </c>
      <c r="G3767" t="s">
        <v>90</v>
      </c>
      <c r="H3767" t="s">
        <v>91</v>
      </c>
      <c r="I3767" t="s">
        <v>734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129</v>
      </c>
      <c r="D3768" t="s">
        <v>243</v>
      </c>
      <c r="E3768" t="s">
        <v>89</v>
      </c>
      <c r="F3768">
        <v>34</v>
      </c>
      <c r="G3768" t="s">
        <v>90</v>
      </c>
      <c r="H3768" t="s">
        <v>91</v>
      </c>
      <c r="I3768" t="s">
        <v>735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129</v>
      </c>
      <c r="D3769" t="s">
        <v>243</v>
      </c>
      <c r="E3769" t="s">
        <v>89</v>
      </c>
      <c r="F3769">
        <v>34</v>
      </c>
      <c r="G3769" t="s">
        <v>90</v>
      </c>
      <c r="H3769" t="s">
        <v>91</v>
      </c>
      <c r="I3769" t="s">
        <v>736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129</v>
      </c>
      <c r="D3770" t="s">
        <v>243</v>
      </c>
      <c r="E3770" t="s">
        <v>89</v>
      </c>
      <c r="F3770">
        <v>34</v>
      </c>
      <c r="G3770" t="s">
        <v>90</v>
      </c>
      <c r="H3770" t="s">
        <v>91</v>
      </c>
      <c r="I3770" t="s">
        <v>737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129</v>
      </c>
      <c r="D3771" t="s">
        <v>243</v>
      </c>
      <c r="E3771" t="s">
        <v>89</v>
      </c>
      <c r="F3771">
        <v>34</v>
      </c>
      <c r="G3771" t="s">
        <v>90</v>
      </c>
      <c r="H3771" t="s">
        <v>230</v>
      </c>
      <c r="I3771" t="s">
        <v>710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129</v>
      </c>
      <c r="D3772" t="s">
        <v>243</v>
      </c>
      <c r="E3772" t="s">
        <v>89</v>
      </c>
      <c r="F3772">
        <v>34</v>
      </c>
      <c r="G3772" t="s">
        <v>90</v>
      </c>
      <c r="H3772" t="s">
        <v>230</v>
      </c>
      <c r="I3772" t="s">
        <v>711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129</v>
      </c>
      <c r="D3773" t="s">
        <v>243</v>
      </c>
      <c r="E3773" t="s">
        <v>89</v>
      </c>
      <c r="F3773">
        <v>34</v>
      </c>
      <c r="G3773" t="s">
        <v>90</v>
      </c>
      <c r="H3773" t="s">
        <v>230</v>
      </c>
      <c r="I3773" t="s">
        <v>712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129</v>
      </c>
      <c r="D3774" t="s">
        <v>243</v>
      </c>
      <c r="E3774" t="s">
        <v>89</v>
      </c>
      <c r="F3774">
        <v>34</v>
      </c>
      <c r="G3774" t="s">
        <v>90</v>
      </c>
      <c r="H3774" t="s">
        <v>230</v>
      </c>
      <c r="I3774" t="s">
        <v>713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129</v>
      </c>
      <c r="D3775" t="s">
        <v>243</v>
      </c>
      <c r="E3775" t="s">
        <v>89</v>
      </c>
      <c r="F3775">
        <v>34</v>
      </c>
      <c r="G3775" t="s">
        <v>90</v>
      </c>
      <c r="H3775" t="s">
        <v>230</v>
      </c>
      <c r="I3775" t="s">
        <v>714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129</v>
      </c>
      <c r="D3776" t="s">
        <v>243</v>
      </c>
      <c r="E3776" t="s">
        <v>89</v>
      </c>
      <c r="F3776">
        <v>34</v>
      </c>
      <c r="G3776" t="s">
        <v>90</v>
      </c>
      <c r="H3776" t="s">
        <v>230</v>
      </c>
      <c r="I3776" t="s">
        <v>715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129</v>
      </c>
      <c r="D3777" t="s">
        <v>243</v>
      </c>
      <c r="E3777" t="s">
        <v>89</v>
      </c>
      <c r="F3777">
        <v>34</v>
      </c>
      <c r="G3777" t="s">
        <v>90</v>
      </c>
      <c r="H3777" t="s">
        <v>230</v>
      </c>
      <c r="I3777" t="s">
        <v>716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129</v>
      </c>
      <c r="D3778" t="s">
        <v>243</v>
      </c>
      <c r="E3778" t="s">
        <v>89</v>
      </c>
      <c r="F3778">
        <v>34</v>
      </c>
      <c r="G3778" t="s">
        <v>90</v>
      </c>
      <c r="H3778" t="s">
        <v>230</v>
      </c>
      <c r="I3778" t="s">
        <v>717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129</v>
      </c>
      <c r="D3779" t="s">
        <v>243</v>
      </c>
      <c r="E3779" t="s">
        <v>89</v>
      </c>
      <c r="F3779">
        <v>34</v>
      </c>
      <c r="G3779" t="s">
        <v>90</v>
      </c>
      <c r="H3779" t="s">
        <v>230</v>
      </c>
      <c r="I3779" t="s">
        <v>718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129</v>
      </c>
      <c r="D3780" t="s">
        <v>243</v>
      </c>
      <c r="E3780" t="s">
        <v>89</v>
      </c>
      <c r="F3780">
        <v>34</v>
      </c>
      <c r="G3780" t="s">
        <v>90</v>
      </c>
      <c r="H3780" t="s">
        <v>230</v>
      </c>
      <c r="I3780" t="s">
        <v>719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129</v>
      </c>
      <c r="D3781" t="s">
        <v>243</v>
      </c>
      <c r="E3781" t="s">
        <v>89</v>
      </c>
      <c r="F3781">
        <v>34</v>
      </c>
      <c r="G3781" t="s">
        <v>90</v>
      </c>
      <c r="H3781" t="s">
        <v>230</v>
      </c>
      <c r="I3781" t="s">
        <v>720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129</v>
      </c>
      <c r="D3782" t="s">
        <v>243</v>
      </c>
      <c r="E3782" t="s">
        <v>89</v>
      </c>
      <c r="F3782">
        <v>34</v>
      </c>
      <c r="G3782" t="s">
        <v>90</v>
      </c>
      <c r="H3782" t="s">
        <v>230</v>
      </c>
      <c r="I3782" t="s">
        <v>721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129</v>
      </c>
      <c r="D3783" t="s">
        <v>243</v>
      </c>
      <c r="E3783" t="s">
        <v>89</v>
      </c>
      <c r="F3783">
        <v>34</v>
      </c>
      <c r="G3783" t="s">
        <v>90</v>
      </c>
      <c r="H3783" t="s">
        <v>230</v>
      </c>
      <c r="I3783" t="s">
        <v>722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129</v>
      </c>
      <c r="D3784" t="s">
        <v>243</v>
      </c>
      <c r="E3784" t="s">
        <v>89</v>
      </c>
      <c r="F3784">
        <v>34</v>
      </c>
      <c r="G3784" t="s">
        <v>90</v>
      </c>
      <c r="H3784" t="s">
        <v>230</v>
      </c>
      <c r="I3784" t="s">
        <v>723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129</v>
      </c>
      <c r="D3785" t="s">
        <v>243</v>
      </c>
      <c r="E3785" t="s">
        <v>89</v>
      </c>
      <c r="F3785">
        <v>34</v>
      </c>
      <c r="G3785" t="s">
        <v>90</v>
      </c>
      <c r="H3785" t="s">
        <v>230</v>
      </c>
      <c r="I3785" t="s">
        <v>724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129</v>
      </c>
      <c r="D3786" t="s">
        <v>243</v>
      </c>
      <c r="E3786" t="s">
        <v>89</v>
      </c>
      <c r="F3786">
        <v>34</v>
      </c>
      <c r="G3786" t="s">
        <v>90</v>
      </c>
      <c r="H3786" t="s">
        <v>230</v>
      </c>
      <c r="I3786" t="s">
        <v>725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129</v>
      </c>
      <c r="D3787" t="s">
        <v>243</v>
      </c>
      <c r="E3787" t="s">
        <v>89</v>
      </c>
      <c r="F3787">
        <v>34</v>
      </c>
      <c r="G3787" t="s">
        <v>90</v>
      </c>
      <c r="H3787" t="s">
        <v>230</v>
      </c>
      <c r="I3787" t="s">
        <v>726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129</v>
      </c>
      <c r="D3788" t="s">
        <v>243</v>
      </c>
      <c r="E3788" t="s">
        <v>89</v>
      </c>
      <c r="F3788">
        <v>34</v>
      </c>
      <c r="G3788" t="s">
        <v>90</v>
      </c>
      <c r="H3788" t="s">
        <v>230</v>
      </c>
      <c r="I3788" t="s">
        <v>727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129</v>
      </c>
      <c r="D3789" t="s">
        <v>243</v>
      </c>
      <c r="E3789" t="s">
        <v>89</v>
      </c>
      <c r="F3789">
        <v>34</v>
      </c>
      <c r="G3789" t="s">
        <v>90</v>
      </c>
      <c r="H3789" t="s">
        <v>230</v>
      </c>
      <c r="I3789" t="s">
        <v>728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129</v>
      </c>
      <c r="D3790" t="s">
        <v>243</v>
      </c>
      <c r="E3790" t="s">
        <v>89</v>
      </c>
      <c r="F3790">
        <v>34</v>
      </c>
      <c r="G3790" t="s">
        <v>90</v>
      </c>
      <c r="H3790" t="s">
        <v>230</v>
      </c>
      <c r="I3790" t="s">
        <v>729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129</v>
      </c>
      <c r="D3791" t="s">
        <v>243</v>
      </c>
      <c r="E3791" t="s">
        <v>89</v>
      </c>
      <c r="F3791">
        <v>34</v>
      </c>
      <c r="G3791" t="s">
        <v>90</v>
      </c>
      <c r="H3791" t="s">
        <v>230</v>
      </c>
      <c r="I3791" t="s">
        <v>730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129</v>
      </c>
      <c r="D3792" t="s">
        <v>243</v>
      </c>
      <c r="E3792" t="s">
        <v>89</v>
      </c>
      <c r="F3792">
        <v>34</v>
      </c>
      <c r="G3792" t="s">
        <v>90</v>
      </c>
      <c r="H3792" t="s">
        <v>230</v>
      </c>
      <c r="I3792" t="s">
        <v>731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129</v>
      </c>
      <c r="D3793" t="s">
        <v>243</v>
      </c>
      <c r="E3793" t="s">
        <v>89</v>
      </c>
      <c r="F3793">
        <v>34</v>
      </c>
      <c r="G3793" t="s">
        <v>90</v>
      </c>
      <c r="H3793" t="s">
        <v>230</v>
      </c>
      <c r="I3793" t="s">
        <v>732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129</v>
      </c>
      <c r="D3794" t="s">
        <v>243</v>
      </c>
      <c r="E3794" t="s">
        <v>89</v>
      </c>
      <c r="F3794">
        <v>34</v>
      </c>
      <c r="G3794" t="s">
        <v>90</v>
      </c>
      <c r="H3794" t="s">
        <v>230</v>
      </c>
      <c r="I3794" t="s">
        <v>733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129</v>
      </c>
      <c r="D3795" t="s">
        <v>243</v>
      </c>
      <c r="E3795" t="s">
        <v>89</v>
      </c>
      <c r="F3795">
        <v>34</v>
      </c>
      <c r="G3795" t="s">
        <v>90</v>
      </c>
      <c r="H3795" t="s">
        <v>230</v>
      </c>
      <c r="I3795" t="s">
        <v>734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129</v>
      </c>
      <c r="D3796" t="s">
        <v>243</v>
      </c>
      <c r="E3796" t="s">
        <v>89</v>
      </c>
      <c r="F3796">
        <v>34</v>
      </c>
      <c r="G3796" t="s">
        <v>90</v>
      </c>
      <c r="H3796" t="s">
        <v>230</v>
      </c>
      <c r="I3796" t="s">
        <v>735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129</v>
      </c>
      <c r="D3797" t="s">
        <v>243</v>
      </c>
      <c r="E3797" t="s">
        <v>89</v>
      </c>
      <c r="F3797">
        <v>34</v>
      </c>
      <c r="G3797" t="s">
        <v>90</v>
      </c>
      <c r="H3797" t="s">
        <v>230</v>
      </c>
      <c r="I3797" t="s">
        <v>736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129</v>
      </c>
      <c r="D3798" t="s">
        <v>243</v>
      </c>
      <c r="E3798" t="s">
        <v>89</v>
      </c>
      <c r="F3798">
        <v>34</v>
      </c>
      <c r="G3798" t="s">
        <v>90</v>
      </c>
      <c r="H3798" t="s">
        <v>230</v>
      </c>
      <c r="I3798" t="s">
        <v>737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129</v>
      </c>
      <c r="D3799" t="s">
        <v>243</v>
      </c>
      <c r="E3799" t="s">
        <v>89</v>
      </c>
      <c r="F3799">
        <v>34</v>
      </c>
      <c r="G3799" t="s">
        <v>90</v>
      </c>
      <c r="H3799" t="s">
        <v>188</v>
      </c>
      <c r="I3799" t="s">
        <v>710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129</v>
      </c>
      <c r="D3800" t="s">
        <v>243</v>
      </c>
      <c r="E3800" t="s">
        <v>89</v>
      </c>
      <c r="F3800">
        <v>34</v>
      </c>
      <c r="G3800" t="s">
        <v>90</v>
      </c>
      <c r="H3800" t="s">
        <v>188</v>
      </c>
      <c r="I3800" t="s">
        <v>711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129</v>
      </c>
      <c r="D3801" t="s">
        <v>243</v>
      </c>
      <c r="E3801" t="s">
        <v>89</v>
      </c>
      <c r="F3801">
        <v>34</v>
      </c>
      <c r="G3801" t="s">
        <v>90</v>
      </c>
      <c r="H3801" t="s">
        <v>188</v>
      </c>
      <c r="I3801" t="s">
        <v>712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129</v>
      </c>
      <c r="D3802" t="s">
        <v>243</v>
      </c>
      <c r="E3802" t="s">
        <v>89</v>
      </c>
      <c r="F3802">
        <v>34</v>
      </c>
      <c r="G3802" t="s">
        <v>90</v>
      </c>
      <c r="H3802" t="s">
        <v>188</v>
      </c>
      <c r="I3802" t="s">
        <v>713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129</v>
      </c>
      <c r="D3803" t="s">
        <v>243</v>
      </c>
      <c r="E3803" t="s">
        <v>89</v>
      </c>
      <c r="F3803">
        <v>34</v>
      </c>
      <c r="G3803" t="s">
        <v>90</v>
      </c>
      <c r="H3803" t="s">
        <v>188</v>
      </c>
      <c r="I3803" t="s">
        <v>714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129</v>
      </c>
      <c r="D3804" t="s">
        <v>243</v>
      </c>
      <c r="E3804" t="s">
        <v>89</v>
      </c>
      <c r="F3804">
        <v>34</v>
      </c>
      <c r="G3804" t="s">
        <v>90</v>
      </c>
      <c r="H3804" t="s">
        <v>188</v>
      </c>
      <c r="I3804" t="s">
        <v>715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129</v>
      </c>
      <c r="D3805" t="s">
        <v>243</v>
      </c>
      <c r="E3805" t="s">
        <v>89</v>
      </c>
      <c r="F3805">
        <v>34</v>
      </c>
      <c r="G3805" t="s">
        <v>90</v>
      </c>
      <c r="H3805" t="s">
        <v>188</v>
      </c>
      <c r="I3805" t="s">
        <v>716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129</v>
      </c>
      <c r="D3806" t="s">
        <v>243</v>
      </c>
      <c r="E3806" t="s">
        <v>89</v>
      </c>
      <c r="F3806">
        <v>34</v>
      </c>
      <c r="G3806" t="s">
        <v>90</v>
      </c>
      <c r="H3806" t="s">
        <v>188</v>
      </c>
      <c r="I3806" t="s">
        <v>717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129</v>
      </c>
      <c r="D3807" t="s">
        <v>243</v>
      </c>
      <c r="E3807" t="s">
        <v>89</v>
      </c>
      <c r="F3807">
        <v>34</v>
      </c>
      <c r="G3807" t="s">
        <v>90</v>
      </c>
      <c r="H3807" t="s">
        <v>188</v>
      </c>
      <c r="I3807" t="s">
        <v>718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129</v>
      </c>
      <c r="D3808" t="s">
        <v>243</v>
      </c>
      <c r="E3808" t="s">
        <v>89</v>
      </c>
      <c r="F3808">
        <v>34</v>
      </c>
      <c r="G3808" t="s">
        <v>90</v>
      </c>
      <c r="H3808" t="s">
        <v>188</v>
      </c>
      <c r="I3808" t="s">
        <v>719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129</v>
      </c>
      <c r="D3809" t="s">
        <v>243</v>
      </c>
      <c r="E3809" t="s">
        <v>89</v>
      </c>
      <c r="F3809">
        <v>34</v>
      </c>
      <c r="G3809" t="s">
        <v>90</v>
      </c>
      <c r="H3809" t="s">
        <v>188</v>
      </c>
      <c r="I3809" t="s">
        <v>720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129</v>
      </c>
      <c r="D3810" t="s">
        <v>243</v>
      </c>
      <c r="E3810" t="s">
        <v>89</v>
      </c>
      <c r="F3810">
        <v>34</v>
      </c>
      <c r="G3810" t="s">
        <v>90</v>
      </c>
      <c r="H3810" t="s">
        <v>188</v>
      </c>
      <c r="I3810" t="s">
        <v>721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129</v>
      </c>
      <c r="D3811" t="s">
        <v>243</v>
      </c>
      <c r="E3811" t="s">
        <v>89</v>
      </c>
      <c r="F3811">
        <v>34</v>
      </c>
      <c r="G3811" t="s">
        <v>90</v>
      </c>
      <c r="H3811" t="s">
        <v>188</v>
      </c>
      <c r="I3811" t="s">
        <v>722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129</v>
      </c>
      <c r="D3812" t="s">
        <v>243</v>
      </c>
      <c r="E3812" t="s">
        <v>89</v>
      </c>
      <c r="F3812">
        <v>34</v>
      </c>
      <c r="G3812" t="s">
        <v>90</v>
      </c>
      <c r="H3812" t="s">
        <v>188</v>
      </c>
      <c r="I3812" t="s">
        <v>723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129</v>
      </c>
      <c r="D3813" t="s">
        <v>243</v>
      </c>
      <c r="E3813" t="s">
        <v>89</v>
      </c>
      <c r="F3813">
        <v>34</v>
      </c>
      <c r="G3813" t="s">
        <v>90</v>
      </c>
      <c r="H3813" t="s">
        <v>188</v>
      </c>
      <c r="I3813" t="s">
        <v>724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129</v>
      </c>
      <c r="D3814" t="s">
        <v>243</v>
      </c>
      <c r="E3814" t="s">
        <v>89</v>
      </c>
      <c r="F3814">
        <v>34</v>
      </c>
      <c r="G3814" t="s">
        <v>90</v>
      </c>
      <c r="H3814" t="s">
        <v>188</v>
      </c>
      <c r="I3814" t="s">
        <v>725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129</v>
      </c>
      <c r="D3815" t="s">
        <v>243</v>
      </c>
      <c r="E3815" t="s">
        <v>89</v>
      </c>
      <c r="F3815">
        <v>34</v>
      </c>
      <c r="G3815" t="s">
        <v>90</v>
      </c>
      <c r="H3815" t="s">
        <v>188</v>
      </c>
      <c r="I3815" t="s">
        <v>726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129</v>
      </c>
      <c r="D3816" t="s">
        <v>243</v>
      </c>
      <c r="E3816" t="s">
        <v>89</v>
      </c>
      <c r="F3816">
        <v>34</v>
      </c>
      <c r="G3816" t="s">
        <v>90</v>
      </c>
      <c r="H3816" t="s">
        <v>188</v>
      </c>
      <c r="I3816" t="s">
        <v>727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129</v>
      </c>
      <c r="D3817" t="s">
        <v>243</v>
      </c>
      <c r="E3817" t="s">
        <v>89</v>
      </c>
      <c r="F3817">
        <v>34</v>
      </c>
      <c r="G3817" t="s">
        <v>90</v>
      </c>
      <c r="H3817" t="s">
        <v>188</v>
      </c>
      <c r="I3817" t="s">
        <v>728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129</v>
      </c>
      <c r="D3818" t="s">
        <v>243</v>
      </c>
      <c r="E3818" t="s">
        <v>89</v>
      </c>
      <c r="F3818">
        <v>34</v>
      </c>
      <c r="G3818" t="s">
        <v>90</v>
      </c>
      <c r="H3818" t="s">
        <v>188</v>
      </c>
      <c r="I3818" t="s">
        <v>729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129</v>
      </c>
      <c r="D3819" t="s">
        <v>243</v>
      </c>
      <c r="E3819" t="s">
        <v>89</v>
      </c>
      <c r="F3819">
        <v>34</v>
      </c>
      <c r="G3819" t="s">
        <v>90</v>
      </c>
      <c r="H3819" t="s">
        <v>188</v>
      </c>
      <c r="I3819" t="s">
        <v>730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129</v>
      </c>
      <c r="D3820" t="s">
        <v>243</v>
      </c>
      <c r="E3820" t="s">
        <v>89</v>
      </c>
      <c r="F3820">
        <v>34</v>
      </c>
      <c r="G3820" t="s">
        <v>90</v>
      </c>
      <c r="H3820" t="s">
        <v>188</v>
      </c>
      <c r="I3820" t="s">
        <v>731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129</v>
      </c>
      <c r="D3821" t="s">
        <v>243</v>
      </c>
      <c r="E3821" t="s">
        <v>89</v>
      </c>
      <c r="F3821">
        <v>34</v>
      </c>
      <c r="G3821" t="s">
        <v>90</v>
      </c>
      <c r="H3821" t="s">
        <v>188</v>
      </c>
      <c r="I3821" t="s">
        <v>732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129</v>
      </c>
      <c r="D3822" t="s">
        <v>243</v>
      </c>
      <c r="E3822" t="s">
        <v>89</v>
      </c>
      <c r="F3822">
        <v>34</v>
      </c>
      <c r="G3822" t="s">
        <v>90</v>
      </c>
      <c r="H3822" t="s">
        <v>188</v>
      </c>
      <c r="I3822" t="s">
        <v>733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129</v>
      </c>
      <c r="D3823" t="s">
        <v>243</v>
      </c>
      <c r="E3823" t="s">
        <v>89</v>
      </c>
      <c r="F3823">
        <v>34</v>
      </c>
      <c r="G3823" t="s">
        <v>90</v>
      </c>
      <c r="H3823" t="s">
        <v>188</v>
      </c>
      <c r="I3823" t="s">
        <v>734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129</v>
      </c>
      <c r="D3824" t="s">
        <v>243</v>
      </c>
      <c r="E3824" t="s">
        <v>89</v>
      </c>
      <c r="F3824">
        <v>34</v>
      </c>
      <c r="G3824" t="s">
        <v>90</v>
      </c>
      <c r="H3824" t="s">
        <v>188</v>
      </c>
      <c r="I3824" t="s">
        <v>735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129</v>
      </c>
      <c r="D3825" t="s">
        <v>243</v>
      </c>
      <c r="E3825" t="s">
        <v>89</v>
      </c>
      <c r="F3825">
        <v>34</v>
      </c>
      <c r="G3825" t="s">
        <v>90</v>
      </c>
      <c r="H3825" t="s">
        <v>188</v>
      </c>
      <c r="I3825" t="s">
        <v>736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129</v>
      </c>
      <c r="D3826" t="s">
        <v>243</v>
      </c>
      <c r="E3826" t="s">
        <v>89</v>
      </c>
      <c r="F3826">
        <v>34</v>
      </c>
      <c r="G3826" t="s">
        <v>90</v>
      </c>
      <c r="H3826" t="s">
        <v>188</v>
      </c>
      <c r="I3826" t="s">
        <v>737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129</v>
      </c>
      <c r="D3827" t="s">
        <v>243</v>
      </c>
      <c r="E3827" t="s">
        <v>89</v>
      </c>
      <c r="F3827">
        <v>34</v>
      </c>
      <c r="G3827" t="s">
        <v>271</v>
      </c>
      <c r="H3827" t="s">
        <v>189</v>
      </c>
      <c r="I3827" t="s">
        <v>728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129</v>
      </c>
      <c r="D3828" t="s">
        <v>243</v>
      </c>
      <c r="E3828" t="s">
        <v>89</v>
      </c>
      <c r="F3828">
        <v>34</v>
      </c>
      <c r="G3828" t="s">
        <v>271</v>
      </c>
      <c r="H3828" t="s">
        <v>189</v>
      </c>
      <c r="I3828" t="s">
        <v>713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129</v>
      </c>
      <c r="D3829" t="s">
        <v>243</v>
      </c>
      <c r="E3829" t="s">
        <v>89</v>
      </c>
      <c r="F3829">
        <v>34</v>
      </c>
      <c r="G3829" t="s">
        <v>271</v>
      </c>
      <c r="H3829" t="s">
        <v>189</v>
      </c>
      <c r="I3829" t="s">
        <v>712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129</v>
      </c>
      <c r="D3830" t="s">
        <v>243</v>
      </c>
      <c r="E3830" t="s">
        <v>89</v>
      </c>
      <c r="F3830">
        <v>34</v>
      </c>
      <c r="G3830" t="s">
        <v>271</v>
      </c>
      <c r="H3830" t="s">
        <v>186</v>
      </c>
      <c r="I3830" t="s">
        <v>728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129</v>
      </c>
      <c r="D3831" t="s">
        <v>243</v>
      </c>
      <c r="E3831" t="s">
        <v>89</v>
      </c>
      <c r="F3831">
        <v>34</v>
      </c>
      <c r="G3831" t="s">
        <v>271</v>
      </c>
      <c r="H3831" t="s">
        <v>186</v>
      </c>
      <c r="I3831" t="s">
        <v>713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129</v>
      </c>
      <c r="D3832" t="s">
        <v>243</v>
      </c>
      <c r="E3832" t="s">
        <v>89</v>
      </c>
      <c r="F3832">
        <v>34</v>
      </c>
      <c r="G3832" t="s">
        <v>271</v>
      </c>
      <c r="H3832" t="s">
        <v>186</v>
      </c>
      <c r="I3832" t="s">
        <v>712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129</v>
      </c>
      <c r="D3833" t="s">
        <v>243</v>
      </c>
      <c r="E3833" t="s">
        <v>89</v>
      </c>
      <c r="F3833">
        <v>34</v>
      </c>
      <c r="G3833" t="s">
        <v>271</v>
      </c>
      <c r="H3833" t="s">
        <v>188</v>
      </c>
      <c r="I3833" t="s">
        <v>728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129</v>
      </c>
      <c r="D3834" t="s">
        <v>243</v>
      </c>
      <c r="E3834" t="s">
        <v>89</v>
      </c>
      <c r="F3834">
        <v>34</v>
      </c>
      <c r="G3834" t="s">
        <v>271</v>
      </c>
      <c r="H3834" t="s">
        <v>188</v>
      </c>
      <c r="I3834" t="s">
        <v>713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129</v>
      </c>
      <c r="D3835" t="s">
        <v>243</v>
      </c>
      <c r="E3835" t="s">
        <v>89</v>
      </c>
      <c r="F3835">
        <v>34</v>
      </c>
      <c r="G3835" t="s">
        <v>271</v>
      </c>
      <c r="H3835" t="s">
        <v>188</v>
      </c>
      <c r="I3835" t="s">
        <v>712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129</v>
      </c>
      <c r="D3836" t="s">
        <v>243</v>
      </c>
      <c r="E3836" t="s">
        <v>89</v>
      </c>
      <c r="F3836">
        <v>34</v>
      </c>
      <c r="G3836" t="s">
        <v>272</v>
      </c>
      <c r="H3836" t="s">
        <v>232</v>
      </c>
      <c r="I3836" t="s">
        <v>709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129</v>
      </c>
      <c r="D3837" t="s">
        <v>243</v>
      </c>
      <c r="E3837" t="s">
        <v>89</v>
      </c>
      <c r="F3837">
        <v>34</v>
      </c>
      <c r="G3837" t="s">
        <v>272</v>
      </c>
      <c r="H3837" t="s">
        <v>186</v>
      </c>
      <c r="I3837" t="s">
        <v>709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129</v>
      </c>
      <c r="D3838" t="s">
        <v>243</v>
      </c>
      <c r="E3838" t="s">
        <v>89</v>
      </c>
      <c r="F3838">
        <v>34</v>
      </c>
      <c r="G3838" t="s">
        <v>272</v>
      </c>
      <c r="H3838" t="s">
        <v>187</v>
      </c>
      <c r="I3838" t="s">
        <v>709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129</v>
      </c>
      <c r="D3839" t="s">
        <v>243</v>
      </c>
      <c r="E3839" t="s">
        <v>89</v>
      </c>
      <c r="F3839">
        <v>34</v>
      </c>
      <c r="G3839" t="s">
        <v>272</v>
      </c>
      <c r="H3839" t="s">
        <v>198</v>
      </c>
      <c r="I3839" t="s">
        <v>709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129</v>
      </c>
      <c r="D3840" t="s">
        <v>243</v>
      </c>
      <c r="E3840" t="s">
        <v>89</v>
      </c>
      <c r="F3840">
        <v>34</v>
      </c>
      <c r="G3840" t="s">
        <v>272</v>
      </c>
      <c r="H3840" t="s">
        <v>188</v>
      </c>
      <c r="I3840" t="s">
        <v>709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129</v>
      </c>
      <c r="D3841" t="s">
        <v>243</v>
      </c>
      <c r="E3841" t="s">
        <v>89</v>
      </c>
      <c r="F3841">
        <v>34</v>
      </c>
      <c r="G3841" t="s">
        <v>231</v>
      </c>
      <c r="H3841" t="s">
        <v>232</v>
      </c>
      <c r="I3841" t="s">
        <v>702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129</v>
      </c>
      <c r="D3842" t="s">
        <v>243</v>
      </c>
      <c r="E3842" t="s">
        <v>89</v>
      </c>
      <c r="F3842">
        <v>34</v>
      </c>
      <c r="G3842" t="s">
        <v>231</v>
      </c>
      <c r="H3842" t="s">
        <v>186</v>
      </c>
      <c r="I3842" t="s">
        <v>702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129</v>
      </c>
      <c r="D3843" t="s">
        <v>243</v>
      </c>
      <c r="E3843" t="s">
        <v>89</v>
      </c>
      <c r="F3843">
        <v>34</v>
      </c>
      <c r="G3843" t="s">
        <v>231</v>
      </c>
      <c r="H3843" t="s">
        <v>187</v>
      </c>
      <c r="I3843" t="s">
        <v>702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129</v>
      </c>
      <c r="D3844" t="s">
        <v>243</v>
      </c>
      <c r="E3844" t="s">
        <v>89</v>
      </c>
      <c r="F3844">
        <v>34</v>
      </c>
      <c r="G3844" t="s">
        <v>231</v>
      </c>
      <c r="H3844" t="s">
        <v>198</v>
      </c>
      <c r="I3844" t="s">
        <v>702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129</v>
      </c>
      <c r="D3845" t="s">
        <v>243</v>
      </c>
      <c r="E3845" t="s">
        <v>89</v>
      </c>
      <c r="F3845">
        <v>34</v>
      </c>
      <c r="G3845" t="s">
        <v>231</v>
      </c>
      <c r="H3845" t="s">
        <v>188</v>
      </c>
      <c r="I3845" t="s">
        <v>702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129</v>
      </c>
      <c r="D3846" t="s">
        <v>243</v>
      </c>
      <c r="E3846" t="s">
        <v>89</v>
      </c>
      <c r="F3846">
        <v>34</v>
      </c>
      <c r="G3846" t="s">
        <v>233</v>
      </c>
      <c r="H3846" t="s">
        <v>234</v>
      </c>
      <c r="I3846" t="s">
        <v>738</v>
      </c>
      <c r="J3846" s="73">
        <v>45690</v>
      </c>
    </row>
    <row r="3847" spans="1:10" x14ac:dyDescent="0.25">
      <c r="A3847" s="1" t="s">
        <v>27</v>
      </c>
      <c r="B3847">
        <v>401752808</v>
      </c>
      <c r="C3847" t="s">
        <v>129</v>
      </c>
      <c r="D3847" t="s">
        <v>243</v>
      </c>
      <c r="E3847" t="s">
        <v>89</v>
      </c>
      <c r="F3847">
        <v>34</v>
      </c>
      <c r="G3847" t="s">
        <v>233</v>
      </c>
      <c r="H3847" t="s">
        <v>236</v>
      </c>
      <c r="I3847" t="s">
        <v>738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129</v>
      </c>
      <c r="D3848" t="s">
        <v>243</v>
      </c>
      <c r="E3848" t="s">
        <v>89</v>
      </c>
      <c r="F3848">
        <v>34</v>
      </c>
      <c r="G3848" t="s">
        <v>233</v>
      </c>
      <c r="H3848" t="s">
        <v>198</v>
      </c>
      <c r="I3848" t="s">
        <v>738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129</v>
      </c>
      <c r="D3849" t="s">
        <v>243</v>
      </c>
      <c r="E3849" t="s">
        <v>89</v>
      </c>
      <c r="F3849">
        <v>34</v>
      </c>
      <c r="G3849" t="s">
        <v>233</v>
      </c>
      <c r="H3849" t="s">
        <v>237</v>
      </c>
      <c r="I3849" t="s">
        <v>738</v>
      </c>
      <c r="J3849" s="73">
        <v>45751</v>
      </c>
    </row>
    <row r="3850" spans="1:10" x14ac:dyDescent="0.25">
      <c r="A3850" s="1" t="s">
        <v>27</v>
      </c>
      <c r="B3850">
        <v>401752808</v>
      </c>
      <c r="C3850" t="s">
        <v>129</v>
      </c>
      <c r="D3850" t="s">
        <v>243</v>
      </c>
      <c r="E3850" t="s">
        <v>89</v>
      </c>
      <c r="F3850">
        <v>34</v>
      </c>
      <c r="G3850" t="s">
        <v>233</v>
      </c>
      <c r="H3850" t="s">
        <v>238</v>
      </c>
      <c r="I3850" t="s">
        <v>738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129</v>
      </c>
      <c r="D3851" t="s">
        <v>243</v>
      </c>
      <c r="E3851" t="s">
        <v>89</v>
      </c>
      <c r="F3851">
        <v>34</v>
      </c>
      <c r="G3851" t="s">
        <v>239</v>
      </c>
      <c r="H3851" t="s">
        <v>232</v>
      </c>
      <c r="I3851" t="s">
        <v>739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129</v>
      </c>
      <c r="D3852" t="s">
        <v>243</v>
      </c>
      <c r="E3852" t="s">
        <v>89</v>
      </c>
      <c r="F3852">
        <v>34</v>
      </c>
      <c r="G3852" t="s">
        <v>239</v>
      </c>
      <c r="H3852" t="s">
        <v>186</v>
      </c>
      <c r="I3852" t="s">
        <v>739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129</v>
      </c>
      <c r="D3853" t="s">
        <v>243</v>
      </c>
      <c r="E3853" t="s">
        <v>89</v>
      </c>
      <c r="F3853">
        <v>34</v>
      </c>
      <c r="G3853" t="s">
        <v>239</v>
      </c>
      <c r="H3853" t="s">
        <v>187</v>
      </c>
      <c r="I3853" t="s">
        <v>739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129</v>
      </c>
      <c r="D3854" t="s">
        <v>243</v>
      </c>
      <c r="E3854" t="s">
        <v>89</v>
      </c>
      <c r="F3854">
        <v>34</v>
      </c>
      <c r="G3854" t="s">
        <v>239</v>
      </c>
      <c r="H3854" t="s">
        <v>241</v>
      </c>
      <c r="I3854" t="s">
        <v>739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129</v>
      </c>
      <c r="D3855" t="s">
        <v>243</v>
      </c>
      <c r="E3855" t="s">
        <v>89</v>
      </c>
      <c r="F3855">
        <v>34</v>
      </c>
      <c r="G3855" t="s">
        <v>239</v>
      </c>
      <c r="H3855" t="s">
        <v>242</v>
      </c>
      <c r="I3855" t="s">
        <v>739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129</v>
      </c>
      <c r="D3856" t="s">
        <v>243</v>
      </c>
      <c r="E3856" t="s">
        <v>89</v>
      </c>
      <c r="F3856">
        <v>34</v>
      </c>
      <c r="G3856" t="s">
        <v>239</v>
      </c>
      <c r="H3856" t="s">
        <v>198</v>
      </c>
      <c r="I3856" t="s">
        <v>739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101</v>
      </c>
      <c r="D3857" t="s">
        <v>740</v>
      </c>
      <c r="E3857" t="s">
        <v>179</v>
      </c>
      <c r="F3857">
        <v>10</v>
      </c>
      <c r="G3857" t="s">
        <v>180</v>
      </c>
      <c r="H3857" t="s">
        <v>181</v>
      </c>
      <c r="I3857" t="s">
        <v>741</v>
      </c>
      <c r="J3857" s="73">
        <v>46011</v>
      </c>
    </row>
    <row r="3858" spans="1:10" x14ac:dyDescent="0.25">
      <c r="A3858" s="1" t="s">
        <v>27</v>
      </c>
      <c r="B3858">
        <v>401752793</v>
      </c>
      <c r="C3858" t="s">
        <v>101</v>
      </c>
      <c r="D3858" t="s">
        <v>740</v>
      </c>
      <c r="E3858" t="s">
        <v>179</v>
      </c>
      <c r="F3858">
        <v>10</v>
      </c>
      <c r="G3858" t="s">
        <v>180</v>
      </c>
      <c r="H3858" t="s">
        <v>186</v>
      </c>
      <c r="I3858" t="s">
        <v>741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101</v>
      </c>
      <c r="D3859" t="s">
        <v>740</v>
      </c>
      <c r="E3859" t="s">
        <v>179</v>
      </c>
      <c r="F3859">
        <v>10</v>
      </c>
      <c r="G3859" t="s">
        <v>180</v>
      </c>
      <c r="H3859" t="s">
        <v>187</v>
      </c>
      <c r="I3859" t="s">
        <v>741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101</v>
      </c>
      <c r="D3860" t="s">
        <v>740</v>
      </c>
      <c r="E3860" t="s">
        <v>179</v>
      </c>
      <c r="F3860">
        <v>10</v>
      </c>
      <c r="G3860" t="s">
        <v>180</v>
      </c>
      <c r="H3860" t="s">
        <v>188</v>
      </c>
      <c r="I3860" t="s">
        <v>741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101</v>
      </c>
      <c r="D3861" t="s">
        <v>740</v>
      </c>
      <c r="E3861" t="s">
        <v>179</v>
      </c>
      <c r="F3861">
        <v>10</v>
      </c>
      <c r="G3861" t="s">
        <v>180</v>
      </c>
      <c r="H3861" t="s">
        <v>189</v>
      </c>
      <c r="I3861" t="s">
        <v>741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101</v>
      </c>
      <c r="D3862" t="s">
        <v>740</v>
      </c>
      <c r="E3862" t="s">
        <v>179</v>
      </c>
      <c r="F3862">
        <v>10</v>
      </c>
      <c r="G3862" t="s">
        <v>180</v>
      </c>
      <c r="H3862" t="s">
        <v>190</v>
      </c>
      <c r="I3862" t="s">
        <v>741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101</v>
      </c>
      <c r="D3863" t="s">
        <v>740</v>
      </c>
      <c r="E3863" t="s">
        <v>179</v>
      </c>
      <c r="F3863">
        <v>10</v>
      </c>
      <c r="G3863" t="s">
        <v>192</v>
      </c>
      <c r="H3863" t="s">
        <v>193</v>
      </c>
      <c r="I3863" t="s">
        <v>742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101</v>
      </c>
      <c r="D3864" t="s">
        <v>740</v>
      </c>
      <c r="E3864" t="s">
        <v>179</v>
      </c>
      <c r="F3864">
        <v>10</v>
      </c>
      <c r="G3864" t="s">
        <v>192</v>
      </c>
      <c r="H3864" t="s">
        <v>193</v>
      </c>
      <c r="I3864" t="s">
        <v>743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101</v>
      </c>
      <c r="D3865" t="s">
        <v>740</v>
      </c>
      <c r="E3865" t="s">
        <v>179</v>
      </c>
      <c r="F3865">
        <v>10</v>
      </c>
      <c r="G3865" t="s">
        <v>192</v>
      </c>
      <c r="H3865" t="s">
        <v>193</v>
      </c>
      <c r="I3865" t="s">
        <v>741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101</v>
      </c>
      <c r="D3866" t="s">
        <v>740</v>
      </c>
      <c r="E3866" t="s">
        <v>179</v>
      </c>
      <c r="F3866">
        <v>10</v>
      </c>
      <c r="G3866" t="s">
        <v>192</v>
      </c>
      <c r="H3866" t="s">
        <v>193</v>
      </c>
      <c r="I3866" t="s">
        <v>744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101</v>
      </c>
      <c r="D3867" t="s">
        <v>740</v>
      </c>
      <c r="E3867" t="s">
        <v>179</v>
      </c>
      <c r="F3867">
        <v>10</v>
      </c>
      <c r="G3867" t="s">
        <v>192</v>
      </c>
      <c r="H3867" t="s">
        <v>186</v>
      </c>
      <c r="I3867" t="s">
        <v>742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101</v>
      </c>
      <c r="D3868" t="s">
        <v>740</v>
      </c>
      <c r="E3868" t="s">
        <v>179</v>
      </c>
      <c r="F3868">
        <v>10</v>
      </c>
      <c r="G3868" t="s">
        <v>192</v>
      </c>
      <c r="H3868" t="s">
        <v>186</v>
      </c>
      <c r="I3868" t="s">
        <v>743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101</v>
      </c>
      <c r="D3869" t="s">
        <v>740</v>
      </c>
      <c r="E3869" t="s">
        <v>179</v>
      </c>
      <c r="F3869">
        <v>10</v>
      </c>
      <c r="G3869" t="s">
        <v>192</v>
      </c>
      <c r="H3869" t="s">
        <v>186</v>
      </c>
      <c r="I3869" t="s">
        <v>741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101</v>
      </c>
      <c r="D3870" t="s">
        <v>740</v>
      </c>
      <c r="E3870" t="s">
        <v>179</v>
      </c>
      <c r="F3870">
        <v>10</v>
      </c>
      <c r="G3870" t="s">
        <v>192</v>
      </c>
      <c r="H3870" t="s">
        <v>186</v>
      </c>
      <c r="I3870" t="s">
        <v>744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101</v>
      </c>
      <c r="D3871" t="s">
        <v>740</v>
      </c>
      <c r="E3871" t="s">
        <v>179</v>
      </c>
      <c r="F3871">
        <v>10</v>
      </c>
      <c r="G3871" t="s">
        <v>192</v>
      </c>
      <c r="H3871" t="s">
        <v>187</v>
      </c>
      <c r="I3871" t="s">
        <v>742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101</v>
      </c>
      <c r="D3872" t="s">
        <v>740</v>
      </c>
      <c r="E3872" t="s">
        <v>179</v>
      </c>
      <c r="F3872">
        <v>10</v>
      </c>
      <c r="G3872" t="s">
        <v>192</v>
      </c>
      <c r="H3872" t="s">
        <v>187</v>
      </c>
      <c r="I3872" t="s">
        <v>743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101</v>
      </c>
      <c r="D3873" t="s">
        <v>740</v>
      </c>
      <c r="E3873" t="s">
        <v>179</v>
      </c>
      <c r="F3873">
        <v>10</v>
      </c>
      <c r="G3873" t="s">
        <v>192</v>
      </c>
      <c r="H3873" t="s">
        <v>187</v>
      </c>
      <c r="I3873" t="s">
        <v>741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101</v>
      </c>
      <c r="D3874" t="s">
        <v>740</v>
      </c>
      <c r="E3874" t="s">
        <v>179</v>
      </c>
      <c r="F3874">
        <v>10</v>
      </c>
      <c r="G3874" t="s">
        <v>192</v>
      </c>
      <c r="H3874" t="s">
        <v>187</v>
      </c>
      <c r="I3874" t="s">
        <v>744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101</v>
      </c>
      <c r="D3875" t="s">
        <v>740</v>
      </c>
      <c r="E3875" t="s">
        <v>179</v>
      </c>
      <c r="F3875">
        <v>10</v>
      </c>
      <c r="G3875" t="s">
        <v>192</v>
      </c>
      <c r="H3875" t="s">
        <v>188</v>
      </c>
      <c r="I3875" t="s">
        <v>742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101</v>
      </c>
      <c r="D3876" t="s">
        <v>740</v>
      </c>
      <c r="E3876" t="s">
        <v>179</v>
      </c>
      <c r="F3876">
        <v>10</v>
      </c>
      <c r="G3876" t="s">
        <v>192</v>
      </c>
      <c r="H3876" t="s">
        <v>188</v>
      </c>
      <c r="I3876" t="s">
        <v>743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101</v>
      </c>
      <c r="D3877" t="s">
        <v>740</v>
      </c>
      <c r="E3877" t="s">
        <v>179</v>
      </c>
      <c r="F3877">
        <v>10</v>
      </c>
      <c r="G3877" t="s">
        <v>192</v>
      </c>
      <c r="H3877" t="s">
        <v>188</v>
      </c>
      <c r="I3877" t="s">
        <v>741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101</v>
      </c>
      <c r="D3878" t="s">
        <v>740</v>
      </c>
      <c r="E3878" t="s">
        <v>179</v>
      </c>
      <c r="F3878">
        <v>10</v>
      </c>
      <c r="G3878" t="s">
        <v>192</v>
      </c>
      <c r="H3878" t="s">
        <v>188</v>
      </c>
      <c r="I3878" t="s">
        <v>744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101</v>
      </c>
      <c r="D3879" t="s">
        <v>740</v>
      </c>
      <c r="E3879" t="s">
        <v>179</v>
      </c>
      <c r="F3879">
        <v>10</v>
      </c>
      <c r="G3879" t="s">
        <v>192</v>
      </c>
      <c r="H3879" t="s">
        <v>198</v>
      </c>
      <c r="I3879" t="s">
        <v>742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101</v>
      </c>
      <c r="D3880" t="s">
        <v>740</v>
      </c>
      <c r="E3880" t="s">
        <v>179</v>
      </c>
      <c r="F3880">
        <v>10</v>
      </c>
      <c r="G3880" t="s">
        <v>192</v>
      </c>
      <c r="H3880" t="s">
        <v>198</v>
      </c>
      <c r="I3880" t="s">
        <v>743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101</v>
      </c>
      <c r="D3881" t="s">
        <v>740</v>
      </c>
      <c r="E3881" t="s">
        <v>179</v>
      </c>
      <c r="F3881">
        <v>10</v>
      </c>
      <c r="G3881" t="s">
        <v>192</v>
      </c>
      <c r="H3881" t="s">
        <v>198</v>
      </c>
      <c r="I3881" t="s">
        <v>741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101</v>
      </c>
      <c r="D3882" t="s">
        <v>740</v>
      </c>
      <c r="E3882" t="s">
        <v>179</v>
      </c>
      <c r="F3882">
        <v>10</v>
      </c>
      <c r="G3882" t="s">
        <v>192</v>
      </c>
      <c r="H3882" t="s">
        <v>198</v>
      </c>
      <c r="I3882" t="s">
        <v>744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101</v>
      </c>
      <c r="D3883" t="s">
        <v>740</v>
      </c>
      <c r="E3883" t="s">
        <v>179</v>
      </c>
      <c r="F3883">
        <v>10</v>
      </c>
      <c r="G3883" t="s">
        <v>199</v>
      </c>
      <c r="H3883" t="s">
        <v>0</v>
      </c>
      <c r="I3883" t="s">
        <v>745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101</v>
      </c>
      <c r="D3884" t="s">
        <v>740</v>
      </c>
      <c r="E3884" t="s">
        <v>179</v>
      </c>
      <c r="F3884">
        <v>10</v>
      </c>
      <c r="G3884" t="s">
        <v>199</v>
      </c>
      <c r="H3884" t="s">
        <v>0</v>
      </c>
      <c r="I3884" t="s">
        <v>746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101</v>
      </c>
      <c r="D3885" t="s">
        <v>740</v>
      </c>
      <c r="E3885" t="s">
        <v>179</v>
      </c>
      <c r="F3885">
        <v>10</v>
      </c>
      <c r="G3885" t="s">
        <v>199</v>
      </c>
      <c r="H3885" t="s">
        <v>0</v>
      </c>
      <c r="I3885" t="s">
        <v>747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101</v>
      </c>
      <c r="D3886" t="s">
        <v>740</v>
      </c>
      <c r="E3886" t="s">
        <v>179</v>
      </c>
      <c r="F3886">
        <v>10</v>
      </c>
      <c r="G3886" t="s">
        <v>199</v>
      </c>
      <c r="H3886" t="s">
        <v>0</v>
      </c>
      <c r="I3886" t="s">
        <v>744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101</v>
      </c>
      <c r="D3887" t="s">
        <v>740</v>
      </c>
      <c r="E3887" t="s">
        <v>179</v>
      </c>
      <c r="F3887">
        <v>10</v>
      </c>
      <c r="G3887" t="s">
        <v>199</v>
      </c>
      <c r="H3887" t="s">
        <v>186</v>
      </c>
      <c r="I3887" t="s">
        <v>745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101</v>
      </c>
      <c r="D3888" t="s">
        <v>740</v>
      </c>
      <c r="E3888" t="s">
        <v>179</v>
      </c>
      <c r="F3888">
        <v>10</v>
      </c>
      <c r="G3888" t="s">
        <v>199</v>
      </c>
      <c r="H3888" t="s">
        <v>186</v>
      </c>
      <c r="I3888" t="s">
        <v>746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101</v>
      </c>
      <c r="D3889" t="s">
        <v>740</v>
      </c>
      <c r="E3889" t="s">
        <v>179</v>
      </c>
      <c r="F3889">
        <v>10</v>
      </c>
      <c r="G3889" t="s">
        <v>199</v>
      </c>
      <c r="H3889" t="s">
        <v>186</v>
      </c>
      <c r="I3889" t="s">
        <v>747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101</v>
      </c>
      <c r="D3890" t="s">
        <v>740</v>
      </c>
      <c r="E3890" t="s">
        <v>179</v>
      </c>
      <c r="F3890">
        <v>10</v>
      </c>
      <c r="G3890" t="s">
        <v>199</v>
      </c>
      <c r="H3890" t="s">
        <v>186</v>
      </c>
      <c r="I3890" t="s">
        <v>744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101</v>
      </c>
      <c r="D3891" t="s">
        <v>740</v>
      </c>
      <c r="E3891" t="s">
        <v>179</v>
      </c>
      <c r="F3891">
        <v>10</v>
      </c>
      <c r="G3891" t="s">
        <v>199</v>
      </c>
      <c r="H3891" t="s">
        <v>187</v>
      </c>
      <c r="I3891" t="s">
        <v>745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101</v>
      </c>
      <c r="D3892" t="s">
        <v>740</v>
      </c>
      <c r="E3892" t="s">
        <v>179</v>
      </c>
      <c r="F3892">
        <v>10</v>
      </c>
      <c r="G3892" t="s">
        <v>199</v>
      </c>
      <c r="H3892" t="s">
        <v>187</v>
      </c>
      <c r="I3892" t="s">
        <v>746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101</v>
      </c>
      <c r="D3893" t="s">
        <v>740</v>
      </c>
      <c r="E3893" t="s">
        <v>179</v>
      </c>
      <c r="F3893">
        <v>10</v>
      </c>
      <c r="G3893" t="s">
        <v>199</v>
      </c>
      <c r="H3893" t="s">
        <v>187</v>
      </c>
      <c r="I3893" t="s">
        <v>747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101</v>
      </c>
      <c r="D3894" t="s">
        <v>740</v>
      </c>
      <c r="E3894" t="s">
        <v>179</v>
      </c>
      <c r="F3894">
        <v>10</v>
      </c>
      <c r="G3894" t="s">
        <v>199</v>
      </c>
      <c r="H3894" t="s">
        <v>187</v>
      </c>
      <c r="I3894" t="s">
        <v>744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101</v>
      </c>
      <c r="D3895" t="s">
        <v>740</v>
      </c>
      <c r="E3895" t="s">
        <v>179</v>
      </c>
      <c r="F3895">
        <v>10</v>
      </c>
      <c r="G3895" t="s">
        <v>199</v>
      </c>
      <c r="H3895" t="s">
        <v>188</v>
      </c>
      <c r="I3895" t="s">
        <v>745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101</v>
      </c>
      <c r="D3896" t="s">
        <v>740</v>
      </c>
      <c r="E3896" t="s">
        <v>179</v>
      </c>
      <c r="F3896">
        <v>10</v>
      </c>
      <c r="G3896" t="s">
        <v>199</v>
      </c>
      <c r="H3896" t="s">
        <v>188</v>
      </c>
      <c r="I3896" t="s">
        <v>746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101</v>
      </c>
      <c r="D3897" t="s">
        <v>740</v>
      </c>
      <c r="E3897" t="s">
        <v>179</v>
      </c>
      <c r="F3897">
        <v>10</v>
      </c>
      <c r="G3897" t="s">
        <v>199</v>
      </c>
      <c r="H3897" t="s">
        <v>188</v>
      </c>
      <c r="I3897" t="s">
        <v>747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101</v>
      </c>
      <c r="D3898" t="s">
        <v>740</v>
      </c>
      <c r="E3898" t="s">
        <v>179</v>
      </c>
      <c r="F3898">
        <v>10</v>
      </c>
      <c r="G3898" t="s">
        <v>199</v>
      </c>
      <c r="H3898" t="s">
        <v>188</v>
      </c>
      <c r="I3898" t="s">
        <v>744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101</v>
      </c>
      <c r="D3899" t="s">
        <v>740</v>
      </c>
      <c r="E3899" t="s">
        <v>179</v>
      </c>
      <c r="F3899">
        <v>10</v>
      </c>
      <c r="G3899" t="s">
        <v>199</v>
      </c>
      <c r="H3899" t="s">
        <v>198</v>
      </c>
      <c r="I3899" t="s">
        <v>745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101</v>
      </c>
      <c r="D3900" t="s">
        <v>740</v>
      </c>
      <c r="E3900" t="s">
        <v>179</v>
      </c>
      <c r="F3900">
        <v>10</v>
      </c>
      <c r="G3900" t="s">
        <v>199</v>
      </c>
      <c r="H3900" t="s">
        <v>198</v>
      </c>
      <c r="I3900" t="s">
        <v>746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101</v>
      </c>
      <c r="D3901" t="s">
        <v>740</v>
      </c>
      <c r="E3901" t="s">
        <v>179</v>
      </c>
      <c r="F3901">
        <v>10</v>
      </c>
      <c r="G3901" t="s">
        <v>199</v>
      </c>
      <c r="H3901" t="s">
        <v>198</v>
      </c>
      <c r="I3901" t="s">
        <v>747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101</v>
      </c>
      <c r="D3902" t="s">
        <v>740</v>
      </c>
      <c r="E3902" t="s">
        <v>179</v>
      </c>
      <c r="F3902">
        <v>10</v>
      </c>
      <c r="G3902" t="s">
        <v>199</v>
      </c>
      <c r="H3902" t="s">
        <v>198</v>
      </c>
      <c r="I3902" t="s">
        <v>744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101</v>
      </c>
      <c r="D3903" t="s">
        <v>740</v>
      </c>
      <c r="E3903" t="s">
        <v>179</v>
      </c>
      <c r="F3903">
        <v>10</v>
      </c>
      <c r="G3903" t="s">
        <v>203</v>
      </c>
      <c r="H3903" t="s">
        <v>204</v>
      </c>
      <c r="I3903" t="s">
        <v>748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101</v>
      </c>
      <c r="D3904" t="s">
        <v>740</v>
      </c>
      <c r="E3904" t="s">
        <v>179</v>
      </c>
      <c r="F3904">
        <v>10</v>
      </c>
      <c r="G3904" t="s">
        <v>203</v>
      </c>
      <c r="H3904" t="s">
        <v>205</v>
      </c>
      <c r="I3904" t="s">
        <v>748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101</v>
      </c>
      <c r="D3905" t="s">
        <v>740</v>
      </c>
      <c r="E3905" t="s">
        <v>179</v>
      </c>
      <c r="F3905">
        <v>10</v>
      </c>
      <c r="G3905" t="s">
        <v>203</v>
      </c>
      <c r="H3905" t="s">
        <v>0</v>
      </c>
      <c r="I3905" t="s">
        <v>748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101</v>
      </c>
      <c r="D3906" t="s">
        <v>740</v>
      </c>
      <c r="E3906" t="s">
        <v>179</v>
      </c>
      <c r="F3906">
        <v>10</v>
      </c>
      <c r="G3906" t="s">
        <v>90</v>
      </c>
      <c r="H3906" t="s">
        <v>206</v>
      </c>
      <c r="I3906" t="s">
        <v>102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101</v>
      </c>
      <c r="D3907" t="s">
        <v>740</v>
      </c>
      <c r="E3907" t="s">
        <v>179</v>
      </c>
      <c r="F3907">
        <v>10</v>
      </c>
      <c r="G3907" t="s">
        <v>90</v>
      </c>
      <c r="H3907" t="s">
        <v>206</v>
      </c>
      <c r="I3907" t="s">
        <v>749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101</v>
      </c>
      <c r="D3908" t="s">
        <v>740</v>
      </c>
      <c r="E3908" t="s">
        <v>179</v>
      </c>
      <c r="F3908">
        <v>10</v>
      </c>
      <c r="G3908" t="s">
        <v>90</v>
      </c>
      <c r="H3908" t="s">
        <v>206</v>
      </c>
      <c r="I3908" t="s">
        <v>750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101</v>
      </c>
      <c r="D3909" t="s">
        <v>740</v>
      </c>
      <c r="E3909" t="s">
        <v>179</v>
      </c>
      <c r="F3909">
        <v>10</v>
      </c>
      <c r="G3909" t="s">
        <v>90</v>
      </c>
      <c r="H3909" t="s">
        <v>206</v>
      </c>
      <c r="I3909" t="s">
        <v>751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101</v>
      </c>
      <c r="D3910" t="s">
        <v>740</v>
      </c>
      <c r="E3910" t="s">
        <v>179</v>
      </c>
      <c r="F3910">
        <v>10</v>
      </c>
      <c r="G3910" t="s">
        <v>90</v>
      </c>
      <c r="H3910" t="s">
        <v>206</v>
      </c>
      <c r="I3910" t="s">
        <v>748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101</v>
      </c>
      <c r="D3911" t="s">
        <v>740</v>
      </c>
      <c r="E3911" t="s">
        <v>179</v>
      </c>
      <c r="F3911">
        <v>10</v>
      </c>
      <c r="G3911" t="s">
        <v>90</v>
      </c>
      <c r="H3911" t="s">
        <v>206</v>
      </c>
      <c r="I3911" t="s">
        <v>752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101</v>
      </c>
      <c r="D3912" t="s">
        <v>740</v>
      </c>
      <c r="E3912" t="s">
        <v>179</v>
      </c>
      <c r="F3912">
        <v>10</v>
      </c>
      <c r="G3912" t="s">
        <v>90</v>
      </c>
      <c r="H3912" t="s">
        <v>206</v>
      </c>
      <c r="I3912" t="s">
        <v>753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101</v>
      </c>
      <c r="D3913" t="s">
        <v>740</v>
      </c>
      <c r="E3913" t="s">
        <v>179</v>
      </c>
      <c r="F3913">
        <v>10</v>
      </c>
      <c r="G3913" t="s">
        <v>90</v>
      </c>
      <c r="H3913" t="s">
        <v>206</v>
      </c>
      <c r="I3913" t="s">
        <v>754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101</v>
      </c>
      <c r="D3914" t="s">
        <v>740</v>
      </c>
      <c r="E3914" t="s">
        <v>179</v>
      </c>
      <c r="F3914">
        <v>10</v>
      </c>
      <c r="G3914" t="s">
        <v>90</v>
      </c>
      <c r="H3914" t="s">
        <v>206</v>
      </c>
      <c r="I3914" t="s">
        <v>755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101</v>
      </c>
      <c r="D3915" t="s">
        <v>740</v>
      </c>
      <c r="E3915" t="s">
        <v>179</v>
      </c>
      <c r="F3915">
        <v>10</v>
      </c>
      <c r="G3915" t="s">
        <v>90</v>
      </c>
      <c r="H3915" t="s">
        <v>206</v>
      </c>
      <c r="I3915" t="s">
        <v>756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101</v>
      </c>
      <c r="D3916" t="s">
        <v>740</v>
      </c>
      <c r="E3916" t="s">
        <v>179</v>
      </c>
      <c r="F3916">
        <v>10</v>
      </c>
      <c r="G3916" t="s">
        <v>90</v>
      </c>
      <c r="H3916" t="s">
        <v>206</v>
      </c>
      <c r="I3916" t="s">
        <v>757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101</v>
      </c>
      <c r="D3917" t="s">
        <v>740</v>
      </c>
      <c r="E3917" t="s">
        <v>179</v>
      </c>
      <c r="F3917">
        <v>10</v>
      </c>
      <c r="G3917" t="s">
        <v>90</v>
      </c>
      <c r="H3917" t="s">
        <v>206</v>
      </c>
      <c r="I3917" t="s">
        <v>758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101</v>
      </c>
      <c r="D3918" t="s">
        <v>740</v>
      </c>
      <c r="E3918" t="s">
        <v>179</v>
      </c>
      <c r="F3918">
        <v>10</v>
      </c>
      <c r="G3918" t="s">
        <v>90</v>
      </c>
      <c r="H3918" t="s">
        <v>206</v>
      </c>
      <c r="I3918" t="s">
        <v>759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101</v>
      </c>
      <c r="D3919" t="s">
        <v>740</v>
      </c>
      <c r="E3919" t="s">
        <v>179</v>
      </c>
      <c r="F3919">
        <v>10</v>
      </c>
      <c r="G3919" t="s">
        <v>90</v>
      </c>
      <c r="H3919" t="s">
        <v>206</v>
      </c>
      <c r="I3919" t="s">
        <v>760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101</v>
      </c>
      <c r="D3920" t="s">
        <v>740</v>
      </c>
      <c r="E3920" t="s">
        <v>179</v>
      </c>
      <c r="F3920">
        <v>10</v>
      </c>
      <c r="G3920" t="s">
        <v>90</v>
      </c>
      <c r="H3920" t="s">
        <v>206</v>
      </c>
      <c r="I3920" t="s">
        <v>761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101</v>
      </c>
      <c r="D3921" t="s">
        <v>740</v>
      </c>
      <c r="E3921" t="s">
        <v>179</v>
      </c>
      <c r="F3921">
        <v>10</v>
      </c>
      <c r="G3921" t="s">
        <v>90</v>
      </c>
      <c r="H3921" t="s">
        <v>206</v>
      </c>
      <c r="I3921" t="s">
        <v>762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101</v>
      </c>
      <c r="D3922" t="s">
        <v>740</v>
      </c>
      <c r="E3922" t="s">
        <v>179</v>
      </c>
      <c r="F3922">
        <v>10</v>
      </c>
      <c r="G3922" t="s">
        <v>90</v>
      </c>
      <c r="H3922" t="s">
        <v>206</v>
      </c>
      <c r="I3922" t="s">
        <v>763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101</v>
      </c>
      <c r="D3923" t="s">
        <v>740</v>
      </c>
      <c r="E3923" t="s">
        <v>179</v>
      </c>
      <c r="F3923">
        <v>10</v>
      </c>
      <c r="G3923" t="s">
        <v>90</v>
      </c>
      <c r="H3923" t="s">
        <v>206</v>
      </c>
      <c r="I3923" t="s">
        <v>764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101</v>
      </c>
      <c r="D3924" t="s">
        <v>740</v>
      </c>
      <c r="E3924" t="s">
        <v>179</v>
      </c>
      <c r="F3924">
        <v>10</v>
      </c>
      <c r="G3924" t="s">
        <v>90</v>
      </c>
      <c r="H3924" t="s">
        <v>206</v>
      </c>
      <c r="I3924" t="s">
        <v>765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101</v>
      </c>
      <c r="D3925" t="s">
        <v>740</v>
      </c>
      <c r="E3925" t="s">
        <v>179</v>
      </c>
      <c r="F3925">
        <v>10</v>
      </c>
      <c r="G3925" t="s">
        <v>90</v>
      </c>
      <c r="H3925" t="s">
        <v>206</v>
      </c>
      <c r="I3925" t="s">
        <v>766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101</v>
      </c>
      <c r="D3926" t="s">
        <v>740</v>
      </c>
      <c r="E3926" t="s">
        <v>179</v>
      </c>
      <c r="F3926">
        <v>10</v>
      </c>
      <c r="G3926" t="s">
        <v>90</v>
      </c>
      <c r="H3926" t="s">
        <v>227</v>
      </c>
      <c r="I3926" t="s">
        <v>102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101</v>
      </c>
      <c r="D3927" t="s">
        <v>740</v>
      </c>
      <c r="E3927" t="s">
        <v>179</v>
      </c>
      <c r="F3927">
        <v>10</v>
      </c>
      <c r="G3927" t="s">
        <v>90</v>
      </c>
      <c r="H3927" t="s">
        <v>227</v>
      </c>
      <c r="I3927" t="s">
        <v>749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101</v>
      </c>
      <c r="D3928" t="s">
        <v>740</v>
      </c>
      <c r="E3928" t="s">
        <v>179</v>
      </c>
      <c r="F3928">
        <v>10</v>
      </c>
      <c r="G3928" t="s">
        <v>90</v>
      </c>
      <c r="H3928" t="s">
        <v>227</v>
      </c>
      <c r="I3928" t="s">
        <v>750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101</v>
      </c>
      <c r="D3929" t="s">
        <v>740</v>
      </c>
      <c r="E3929" t="s">
        <v>179</v>
      </c>
      <c r="F3929">
        <v>10</v>
      </c>
      <c r="G3929" t="s">
        <v>90</v>
      </c>
      <c r="H3929" t="s">
        <v>227</v>
      </c>
      <c r="I3929" t="s">
        <v>751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101</v>
      </c>
      <c r="D3930" t="s">
        <v>740</v>
      </c>
      <c r="E3930" t="s">
        <v>179</v>
      </c>
      <c r="F3930">
        <v>10</v>
      </c>
      <c r="G3930" t="s">
        <v>90</v>
      </c>
      <c r="H3930" t="s">
        <v>227</v>
      </c>
      <c r="I3930" t="s">
        <v>748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101</v>
      </c>
      <c r="D3931" t="s">
        <v>740</v>
      </c>
      <c r="E3931" t="s">
        <v>179</v>
      </c>
      <c r="F3931">
        <v>10</v>
      </c>
      <c r="G3931" t="s">
        <v>90</v>
      </c>
      <c r="H3931" t="s">
        <v>227</v>
      </c>
      <c r="I3931" t="s">
        <v>752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101</v>
      </c>
      <c r="D3932" t="s">
        <v>740</v>
      </c>
      <c r="E3932" t="s">
        <v>179</v>
      </c>
      <c r="F3932">
        <v>10</v>
      </c>
      <c r="G3932" t="s">
        <v>90</v>
      </c>
      <c r="H3932" t="s">
        <v>227</v>
      </c>
      <c r="I3932" t="s">
        <v>753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101</v>
      </c>
      <c r="D3933" t="s">
        <v>740</v>
      </c>
      <c r="E3933" t="s">
        <v>179</v>
      </c>
      <c r="F3933">
        <v>10</v>
      </c>
      <c r="G3933" t="s">
        <v>90</v>
      </c>
      <c r="H3933" t="s">
        <v>227</v>
      </c>
      <c r="I3933" t="s">
        <v>754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101</v>
      </c>
      <c r="D3934" t="s">
        <v>740</v>
      </c>
      <c r="E3934" t="s">
        <v>179</v>
      </c>
      <c r="F3934">
        <v>10</v>
      </c>
      <c r="G3934" t="s">
        <v>90</v>
      </c>
      <c r="H3934" t="s">
        <v>227</v>
      </c>
      <c r="I3934" t="s">
        <v>755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101</v>
      </c>
      <c r="D3935" t="s">
        <v>740</v>
      </c>
      <c r="E3935" t="s">
        <v>179</v>
      </c>
      <c r="F3935">
        <v>10</v>
      </c>
      <c r="G3935" t="s">
        <v>90</v>
      </c>
      <c r="H3935" t="s">
        <v>227</v>
      </c>
      <c r="I3935" t="s">
        <v>756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101</v>
      </c>
      <c r="D3936" t="s">
        <v>740</v>
      </c>
      <c r="E3936" t="s">
        <v>179</v>
      </c>
      <c r="F3936">
        <v>10</v>
      </c>
      <c r="G3936" t="s">
        <v>90</v>
      </c>
      <c r="H3936" t="s">
        <v>227</v>
      </c>
      <c r="I3936" t="s">
        <v>757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101</v>
      </c>
      <c r="D3937" t="s">
        <v>740</v>
      </c>
      <c r="E3937" t="s">
        <v>179</v>
      </c>
      <c r="F3937">
        <v>10</v>
      </c>
      <c r="G3937" t="s">
        <v>90</v>
      </c>
      <c r="H3937" t="s">
        <v>227</v>
      </c>
      <c r="I3937" t="s">
        <v>758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101</v>
      </c>
      <c r="D3938" t="s">
        <v>740</v>
      </c>
      <c r="E3938" t="s">
        <v>179</v>
      </c>
      <c r="F3938">
        <v>10</v>
      </c>
      <c r="G3938" t="s">
        <v>90</v>
      </c>
      <c r="H3938" t="s">
        <v>227</v>
      </c>
      <c r="I3938" t="s">
        <v>759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101</v>
      </c>
      <c r="D3939" t="s">
        <v>740</v>
      </c>
      <c r="E3939" t="s">
        <v>179</v>
      </c>
      <c r="F3939">
        <v>10</v>
      </c>
      <c r="G3939" t="s">
        <v>90</v>
      </c>
      <c r="H3939" t="s">
        <v>227</v>
      </c>
      <c r="I3939" t="s">
        <v>760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101</v>
      </c>
      <c r="D3940" t="s">
        <v>740</v>
      </c>
      <c r="E3940" t="s">
        <v>179</v>
      </c>
      <c r="F3940">
        <v>10</v>
      </c>
      <c r="G3940" t="s">
        <v>90</v>
      </c>
      <c r="H3940" t="s">
        <v>227</v>
      </c>
      <c r="I3940" t="s">
        <v>761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101</v>
      </c>
      <c r="D3941" t="s">
        <v>740</v>
      </c>
      <c r="E3941" t="s">
        <v>179</v>
      </c>
      <c r="F3941">
        <v>10</v>
      </c>
      <c r="G3941" t="s">
        <v>90</v>
      </c>
      <c r="H3941" t="s">
        <v>227</v>
      </c>
      <c r="I3941" t="s">
        <v>762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101</v>
      </c>
      <c r="D3942" t="s">
        <v>740</v>
      </c>
      <c r="E3942" t="s">
        <v>179</v>
      </c>
      <c r="F3942">
        <v>10</v>
      </c>
      <c r="G3942" t="s">
        <v>90</v>
      </c>
      <c r="H3942" t="s">
        <v>227</v>
      </c>
      <c r="I3942" t="s">
        <v>763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101</v>
      </c>
      <c r="D3943" t="s">
        <v>740</v>
      </c>
      <c r="E3943" t="s">
        <v>179</v>
      </c>
      <c r="F3943">
        <v>10</v>
      </c>
      <c r="G3943" t="s">
        <v>90</v>
      </c>
      <c r="H3943" t="s">
        <v>227</v>
      </c>
      <c r="I3943" t="s">
        <v>764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101</v>
      </c>
      <c r="D3944" t="s">
        <v>740</v>
      </c>
      <c r="E3944" t="s">
        <v>179</v>
      </c>
      <c r="F3944">
        <v>10</v>
      </c>
      <c r="G3944" t="s">
        <v>90</v>
      </c>
      <c r="H3944" t="s">
        <v>227</v>
      </c>
      <c r="I3944" t="s">
        <v>765</v>
      </c>
      <c r="J3944">
        <v>0</v>
      </c>
    </row>
    <row r="3945" spans="1:10" x14ac:dyDescent="0.25">
      <c r="A3945" s="1" t="s">
        <v>27</v>
      </c>
      <c r="B3945">
        <v>401752793</v>
      </c>
      <c r="C3945" t="s">
        <v>101</v>
      </c>
      <c r="D3945" t="s">
        <v>740</v>
      </c>
      <c r="E3945" t="s">
        <v>179</v>
      </c>
      <c r="F3945">
        <v>10</v>
      </c>
      <c r="G3945" t="s">
        <v>90</v>
      </c>
      <c r="H3945" t="s">
        <v>227</v>
      </c>
      <c r="I3945" t="s">
        <v>766</v>
      </c>
      <c r="J3945">
        <v>0</v>
      </c>
    </row>
    <row r="3946" spans="1:10" x14ac:dyDescent="0.25">
      <c r="A3946" s="1" t="s">
        <v>27</v>
      </c>
      <c r="B3946">
        <v>401752793</v>
      </c>
      <c r="C3946" t="s">
        <v>101</v>
      </c>
      <c r="D3946" t="s">
        <v>740</v>
      </c>
      <c r="E3946" t="s">
        <v>179</v>
      </c>
      <c r="F3946">
        <v>10</v>
      </c>
      <c r="G3946" t="s">
        <v>90</v>
      </c>
      <c r="H3946" t="s">
        <v>228</v>
      </c>
      <c r="I3946" t="s">
        <v>102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101</v>
      </c>
      <c r="D3947" t="s">
        <v>740</v>
      </c>
      <c r="E3947" t="s">
        <v>179</v>
      </c>
      <c r="F3947">
        <v>10</v>
      </c>
      <c r="G3947" t="s">
        <v>90</v>
      </c>
      <c r="H3947" t="s">
        <v>228</v>
      </c>
      <c r="I3947" t="s">
        <v>749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101</v>
      </c>
      <c r="D3948" t="s">
        <v>740</v>
      </c>
      <c r="E3948" t="s">
        <v>179</v>
      </c>
      <c r="F3948">
        <v>10</v>
      </c>
      <c r="G3948" t="s">
        <v>90</v>
      </c>
      <c r="H3948" t="s">
        <v>228</v>
      </c>
      <c r="I3948" t="s">
        <v>750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101</v>
      </c>
      <c r="D3949" t="s">
        <v>740</v>
      </c>
      <c r="E3949" t="s">
        <v>179</v>
      </c>
      <c r="F3949">
        <v>10</v>
      </c>
      <c r="G3949" t="s">
        <v>90</v>
      </c>
      <c r="H3949" t="s">
        <v>228</v>
      </c>
      <c r="I3949" t="s">
        <v>751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101</v>
      </c>
      <c r="D3950" t="s">
        <v>740</v>
      </c>
      <c r="E3950" t="s">
        <v>179</v>
      </c>
      <c r="F3950">
        <v>10</v>
      </c>
      <c r="G3950" t="s">
        <v>90</v>
      </c>
      <c r="H3950" t="s">
        <v>228</v>
      </c>
      <c r="I3950" t="s">
        <v>748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101</v>
      </c>
      <c r="D3951" t="s">
        <v>740</v>
      </c>
      <c r="E3951" t="s">
        <v>179</v>
      </c>
      <c r="F3951">
        <v>10</v>
      </c>
      <c r="G3951" t="s">
        <v>90</v>
      </c>
      <c r="H3951" t="s">
        <v>228</v>
      </c>
      <c r="I3951" t="s">
        <v>752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101</v>
      </c>
      <c r="D3952" t="s">
        <v>740</v>
      </c>
      <c r="E3952" t="s">
        <v>179</v>
      </c>
      <c r="F3952">
        <v>10</v>
      </c>
      <c r="G3952" t="s">
        <v>90</v>
      </c>
      <c r="H3952" t="s">
        <v>228</v>
      </c>
      <c r="I3952" t="s">
        <v>753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101</v>
      </c>
      <c r="D3953" t="s">
        <v>740</v>
      </c>
      <c r="E3953" t="s">
        <v>179</v>
      </c>
      <c r="F3953">
        <v>10</v>
      </c>
      <c r="G3953" t="s">
        <v>90</v>
      </c>
      <c r="H3953" t="s">
        <v>228</v>
      </c>
      <c r="I3953" t="s">
        <v>754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101</v>
      </c>
      <c r="D3954" t="s">
        <v>740</v>
      </c>
      <c r="E3954" t="s">
        <v>179</v>
      </c>
      <c r="F3954">
        <v>10</v>
      </c>
      <c r="G3954" t="s">
        <v>90</v>
      </c>
      <c r="H3954" t="s">
        <v>228</v>
      </c>
      <c r="I3954" t="s">
        <v>755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101</v>
      </c>
      <c r="D3955" t="s">
        <v>740</v>
      </c>
      <c r="E3955" t="s">
        <v>179</v>
      </c>
      <c r="F3955">
        <v>10</v>
      </c>
      <c r="G3955" t="s">
        <v>90</v>
      </c>
      <c r="H3955" t="s">
        <v>228</v>
      </c>
      <c r="I3955" t="s">
        <v>756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101</v>
      </c>
      <c r="D3956" t="s">
        <v>740</v>
      </c>
      <c r="E3956" t="s">
        <v>179</v>
      </c>
      <c r="F3956">
        <v>10</v>
      </c>
      <c r="G3956" t="s">
        <v>90</v>
      </c>
      <c r="H3956" t="s">
        <v>228</v>
      </c>
      <c r="I3956" t="s">
        <v>757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101</v>
      </c>
      <c r="D3957" t="s">
        <v>740</v>
      </c>
      <c r="E3957" t="s">
        <v>179</v>
      </c>
      <c r="F3957">
        <v>10</v>
      </c>
      <c r="G3957" t="s">
        <v>90</v>
      </c>
      <c r="H3957" t="s">
        <v>228</v>
      </c>
      <c r="I3957" t="s">
        <v>758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101</v>
      </c>
      <c r="D3958" t="s">
        <v>740</v>
      </c>
      <c r="E3958" t="s">
        <v>179</v>
      </c>
      <c r="F3958">
        <v>10</v>
      </c>
      <c r="G3958" t="s">
        <v>90</v>
      </c>
      <c r="H3958" t="s">
        <v>228</v>
      </c>
      <c r="I3958" t="s">
        <v>759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101</v>
      </c>
      <c r="D3959" t="s">
        <v>740</v>
      </c>
      <c r="E3959" t="s">
        <v>179</v>
      </c>
      <c r="F3959">
        <v>10</v>
      </c>
      <c r="G3959" t="s">
        <v>90</v>
      </c>
      <c r="H3959" t="s">
        <v>228</v>
      </c>
      <c r="I3959" t="s">
        <v>760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101</v>
      </c>
      <c r="D3960" t="s">
        <v>740</v>
      </c>
      <c r="E3960" t="s">
        <v>179</v>
      </c>
      <c r="F3960">
        <v>10</v>
      </c>
      <c r="G3960" t="s">
        <v>90</v>
      </c>
      <c r="H3960" t="s">
        <v>228</v>
      </c>
      <c r="I3960" t="s">
        <v>761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101</v>
      </c>
      <c r="D3961" t="s">
        <v>740</v>
      </c>
      <c r="E3961" t="s">
        <v>179</v>
      </c>
      <c r="F3961">
        <v>10</v>
      </c>
      <c r="G3961" t="s">
        <v>90</v>
      </c>
      <c r="H3961" t="s">
        <v>228</v>
      </c>
      <c r="I3961" t="s">
        <v>762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101</v>
      </c>
      <c r="D3962" t="s">
        <v>740</v>
      </c>
      <c r="E3962" t="s">
        <v>179</v>
      </c>
      <c r="F3962">
        <v>10</v>
      </c>
      <c r="G3962" t="s">
        <v>90</v>
      </c>
      <c r="H3962" t="s">
        <v>228</v>
      </c>
      <c r="I3962" t="s">
        <v>763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101</v>
      </c>
      <c r="D3963" t="s">
        <v>740</v>
      </c>
      <c r="E3963" t="s">
        <v>179</v>
      </c>
      <c r="F3963">
        <v>10</v>
      </c>
      <c r="G3963" t="s">
        <v>90</v>
      </c>
      <c r="H3963" t="s">
        <v>228</v>
      </c>
      <c r="I3963" t="s">
        <v>764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101</v>
      </c>
      <c r="D3964" t="s">
        <v>740</v>
      </c>
      <c r="E3964" t="s">
        <v>179</v>
      </c>
      <c r="F3964">
        <v>10</v>
      </c>
      <c r="G3964" t="s">
        <v>90</v>
      </c>
      <c r="H3964" t="s">
        <v>228</v>
      </c>
      <c r="I3964" t="s">
        <v>765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101</v>
      </c>
      <c r="D3965" t="s">
        <v>740</v>
      </c>
      <c r="E3965" t="s">
        <v>179</v>
      </c>
      <c r="F3965">
        <v>10</v>
      </c>
      <c r="G3965" t="s">
        <v>90</v>
      </c>
      <c r="H3965" t="s">
        <v>228</v>
      </c>
      <c r="I3965" t="s">
        <v>766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101</v>
      </c>
      <c r="D3966" t="s">
        <v>740</v>
      </c>
      <c r="E3966" t="s">
        <v>179</v>
      </c>
      <c r="F3966">
        <v>10</v>
      </c>
      <c r="G3966" t="s">
        <v>90</v>
      </c>
      <c r="H3966" t="s">
        <v>229</v>
      </c>
      <c r="I3966" t="s">
        <v>102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101</v>
      </c>
      <c r="D3967" t="s">
        <v>740</v>
      </c>
      <c r="E3967" t="s">
        <v>179</v>
      </c>
      <c r="F3967">
        <v>10</v>
      </c>
      <c r="G3967" t="s">
        <v>90</v>
      </c>
      <c r="H3967" t="s">
        <v>229</v>
      </c>
      <c r="I3967" t="s">
        <v>749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101</v>
      </c>
      <c r="D3968" t="s">
        <v>740</v>
      </c>
      <c r="E3968" t="s">
        <v>179</v>
      </c>
      <c r="F3968">
        <v>10</v>
      </c>
      <c r="G3968" t="s">
        <v>90</v>
      </c>
      <c r="H3968" t="s">
        <v>229</v>
      </c>
      <c r="I3968" t="s">
        <v>750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101</v>
      </c>
      <c r="D3969" t="s">
        <v>740</v>
      </c>
      <c r="E3969" t="s">
        <v>179</v>
      </c>
      <c r="F3969">
        <v>10</v>
      </c>
      <c r="G3969" t="s">
        <v>90</v>
      </c>
      <c r="H3969" t="s">
        <v>229</v>
      </c>
      <c r="I3969" t="s">
        <v>751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101</v>
      </c>
      <c r="D3970" t="s">
        <v>740</v>
      </c>
      <c r="E3970" t="s">
        <v>179</v>
      </c>
      <c r="F3970">
        <v>10</v>
      </c>
      <c r="G3970" t="s">
        <v>90</v>
      </c>
      <c r="H3970" t="s">
        <v>229</v>
      </c>
      <c r="I3970" t="s">
        <v>748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101</v>
      </c>
      <c r="D3971" t="s">
        <v>740</v>
      </c>
      <c r="E3971" t="s">
        <v>179</v>
      </c>
      <c r="F3971">
        <v>10</v>
      </c>
      <c r="G3971" t="s">
        <v>90</v>
      </c>
      <c r="H3971" t="s">
        <v>229</v>
      </c>
      <c r="I3971" t="s">
        <v>752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101</v>
      </c>
      <c r="D3972" t="s">
        <v>740</v>
      </c>
      <c r="E3972" t="s">
        <v>179</v>
      </c>
      <c r="F3972">
        <v>10</v>
      </c>
      <c r="G3972" t="s">
        <v>90</v>
      </c>
      <c r="H3972" t="s">
        <v>229</v>
      </c>
      <c r="I3972" t="s">
        <v>753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101</v>
      </c>
      <c r="D3973" t="s">
        <v>740</v>
      </c>
      <c r="E3973" t="s">
        <v>179</v>
      </c>
      <c r="F3973">
        <v>10</v>
      </c>
      <c r="G3973" t="s">
        <v>90</v>
      </c>
      <c r="H3973" t="s">
        <v>229</v>
      </c>
      <c r="I3973" t="s">
        <v>754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101</v>
      </c>
      <c r="D3974" t="s">
        <v>740</v>
      </c>
      <c r="E3974" t="s">
        <v>179</v>
      </c>
      <c r="F3974">
        <v>10</v>
      </c>
      <c r="G3974" t="s">
        <v>90</v>
      </c>
      <c r="H3974" t="s">
        <v>229</v>
      </c>
      <c r="I3974" t="s">
        <v>755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101</v>
      </c>
      <c r="D3975" t="s">
        <v>740</v>
      </c>
      <c r="E3975" t="s">
        <v>179</v>
      </c>
      <c r="F3975">
        <v>10</v>
      </c>
      <c r="G3975" t="s">
        <v>90</v>
      </c>
      <c r="H3975" t="s">
        <v>229</v>
      </c>
      <c r="I3975" t="s">
        <v>756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101</v>
      </c>
      <c r="D3976" t="s">
        <v>740</v>
      </c>
      <c r="E3976" t="s">
        <v>179</v>
      </c>
      <c r="F3976">
        <v>10</v>
      </c>
      <c r="G3976" t="s">
        <v>90</v>
      </c>
      <c r="H3976" t="s">
        <v>229</v>
      </c>
      <c r="I3976" t="s">
        <v>757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101</v>
      </c>
      <c r="D3977" t="s">
        <v>740</v>
      </c>
      <c r="E3977" t="s">
        <v>179</v>
      </c>
      <c r="F3977">
        <v>10</v>
      </c>
      <c r="G3977" t="s">
        <v>90</v>
      </c>
      <c r="H3977" t="s">
        <v>229</v>
      </c>
      <c r="I3977" t="s">
        <v>758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101</v>
      </c>
      <c r="D3978" t="s">
        <v>740</v>
      </c>
      <c r="E3978" t="s">
        <v>179</v>
      </c>
      <c r="F3978">
        <v>10</v>
      </c>
      <c r="G3978" t="s">
        <v>90</v>
      </c>
      <c r="H3978" t="s">
        <v>229</v>
      </c>
      <c r="I3978" t="s">
        <v>759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101</v>
      </c>
      <c r="D3979" t="s">
        <v>740</v>
      </c>
      <c r="E3979" t="s">
        <v>179</v>
      </c>
      <c r="F3979">
        <v>10</v>
      </c>
      <c r="G3979" t="s">
        <v>90</v>
      </c>
      <c r="H3979" t="s">
        <v>229</v>
      </c>
      <c r="I3979" t="s">
        <v>760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101</v>
      </c>
      <c r="D3980" t="s">
        <v>740</v>
      </c>
      <c r="E3980" t="s">
        <v>179</v>
      </c>
      <c r="F3980">
        <v>10</v>
      </c>
      <c r="G3980" t="s">
        <v>90</v>
      </c>
      <c r="H3980" t="s">
        <v>229</v>
      </c>
      <c r="I3980" t="s">
        <v>761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101</v>
      </c>
      <c r="D3981" t="s">
        <v>740</v>
      </c>
      <c r="E3981" t="s">
        <v>179</v>
      </c>
      <c r="F3981">
        <v>10</v>
      </c>
      <c r="G3981" t="s">
        <v>90</v>
      </c>
      <c r="H3981" t="s">
        <v>229</v>
      </c>
      <c r="I3981" t="s">
        <v>762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101</v>
      </c>
      <c r="D3982" t="s">
        <v>740</v>
      </c>
      <c r="E3982" t="s">
        <v>179</v>
      </c>
      <c r="F3982">
        <v>10</v>
      </c>
      <c r="G3982" t="s">
        <v>90</v>
      </c>
      <c r="H3982" t="s">
        <v>229</v>
      </c>
      <c r="I3982" t="s">
        <v>763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101</v>
      </c>
      <c r="D3983" t="s">
        <v>740</v>
      </c>
      <c r="E3983" t="s">
        <v>179</v>
      </c>
      <c r="F3983">
        <v>10</v>
      </c>
      <c r="G3983" t="s">
        <v>90</v>
      </c>
      <c r="H3983" t="s">
        <v>229</v>
      </c>
      <c r="I3983" t="s">
        <v>764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101</v>
      </c>
      <c r="D3984" t="s">
        <v>740</v>
      </c>
      <c r="E3984" t="s">
        <v>179</v>
      </c>
      <c r="F3984">
        <v>10</v>
      </c>
      <c r="G3984" t="s">
        <v>90</v>
      </c>
      <c r="H3984" t="s">
        <v>229</v>
      </c>
      <c r="I3984" t="s">
        <v>765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101</v>
      </c>
      <c r="D3985" t="s">
        <v>740</v>
      </c>
      <c r="E3985" t="s">
        <v>179</v>
      </c>
      <c r="F3985">
        <v>10</v>
      </c>
      <c r="G3985" t="s">
        <v>90</v>
      </c>
      <c r="H3985" t="s">
        <v>229</v>
      </c>
      <c r="I3985" t="s">
        <v>766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101</v>
      </c>
      <c r="D3986" t="s">
        <v>740</v>
      </c>
      <c r="E3986" t="s">
        <v>179</v>
      </c>
      <c r="F3986">
        <v>10</v>
      </c>
      <c r="G3986" t="s">
        <v>90</v>
      </c>
      <c r="H3986" t="s">
        <v>91</v>
      </c>
      <c r="I3986" t="s">
        <v>102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101</v>
      </c>
      <c r="D3987" t="s">
        <v>740</v>
      </c>
      <c r="E3987" t="s">
        <v>179</v>
      </c>
      <c r="F3987">
        <v>10</v>
      </c>
      <c r="G3987" t="s">
        <v>90</v>
      </c>
      <c r="H3987" t="s">
        <v>91</v>
      </c>
      <c r="I3987" t="s">
        <v>749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101</v>
      </c>
      <c r="D3988" t="s">
        <v>740</v>
      </c>
      <c r="E3988" t="s">
        <v>179</v>
      </c>
      <c r="F3988">
        <v>10</v>
      </c>
      <c r="G3988" t="s">
        <v>90</v>
      </c>
      <c r="H3988" t="s">
        <v>91</v>
      </c>
      <c r="I3988" t="s">
        <v>750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101</v>
      </c>
      <c r="D3989" t="s">
        <v>740</v>
      </c>
      <c r="E3989" t="s">
        <v>179</v>
      </c>
      <c r="F3989">
        <v>10</v>
      </c>
      <c r="G3989" t="s">
        <v>90</v>
      </c>
      <c r="H3989" t="s">
        <v>91</v>
      </c>
      <c r="I3989" t="s">
        <v>751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101</v>
      </c>
      <c r="D3990" t="s">
        <v>740</v>
      </c>
      <c r="E3990" t="s">
        <v>179</v>
      </c>
      <c r="F3990">
        <v>10</v>
      </c>
      <c r="G3990" t="s">
        <v>90</v>
      </c>
      <c r="H3990" t="s">
        <v>91</v>
      </c>
      <c r="I3990" t="s">
        <v>748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101</v>
      </c>
      <c r="D3991" t="s">
        <v>740</v>
      </c>
      <c r="E3991" t="s">
        <v>179</v>
      </c>
      <c r="F3991">
        <v>10</v>
      </c>
      <c r="G3991" t="s">
        <v>90</v>
      </c>
      <c r="H3991" t="s">
        <v>91</v>
      </c>
      <c r="I3991" t="s">
        <v>752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101</v>
      </c>
      <c r="D3992" t="s">
        <v>740</v>
      </c>
      <c r="E3992" t="s">
        <v>179</v>
      </c>
      <c r="F3992">
        <v>10</v>
      </c>
      <c r="G3992" t="s">
        <v>90</v>
      </c>
      <c r="H3992" t="s">
        <v>91</v>
      </c>
      <c r="I3992" t="s">
        <v>753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101</v>
      </c>
      <c r="D3993" t="s">
        <v>740</v>
      </c>
      <c r="E3993" t="s">
        <v>179</v>
      </c>
      <c r="F3993">
        <v>10</v>
      </c>
      <c r="G3993" t="s">
        <v>90</v>
      </c>
      <c r="H3993" t="s">
        <v>91</v>
      </c>
      <c r="I3993" t="s">
        <v>754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101</v>
      </c>
      <c r="D3994" t="s">
        <v>740</v>
      </c>
      <c r="E3994" t="s">
        <v>179</v>
      </c>
      <c r="F3994">
        <v>10</v>
      </c>
      <c r="G3994" t="s">
        <v>90</v>
      </c>
      <c r="H3994" t="s">
        <v>91</v>
      </c>
      <c r="I3994" t="s">
        <v>755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101</v>
      </c>
      <c r="D3995" t="s">
        <v>740</v>
      </c>
      <c r="E3995" t="s">
        <v>179</v>
      </c>
      <c r="F3995">
        <v>10</v>
      </c>
      <c r="G3995" t="s">
        <v>90</v>
      </c>
      <c r="H3995" t="s">
        <v>91</v>
      </c>
      <c r="I3995" t="s">
        <v>756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101</v>
      </c>
      <c r="D3996" t="s">
        <v>740</v>
      </c>
      <c r="E3996" t="s">
        <v>179</v>
      </c>
      <c r="F3996">
        <v>10</v>
      </c>
      <c r="G3996" t="s">
        <v>90</v>
      </c>
      <c r="H3996" t="s">
        <v>91</v>
      </c>
      <c r="I3996" t="s">
        <v>757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101</v>
      </c>
      <c r="D3997" t="s">
        <v>740</v>
      </c>
      <c r="E3997" t="s">
        <v>179</v>
      </c>
      <c r="F3997">
        <v>10</v>
      </c>
      <c r="G3997" t="s">
        <v>90</v>
      </c>
      <c r="H3997" t="s">
        <v>91</v>
      </c>
      <c r="I3997" t="s">
        <v>758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101</v>
      </c>
      <c r="D3998" t="s">
        <v>740</v>
      </c>
      <c r="E3998" t="s">
        <v>179</v>
      </c>
      <c r="F3998">
        <v>10</v>
      </c>
      <c r="G3998" t="s">
        <v>90</v>
      </c>
      <c r="H3998" t="s">
        <v>91</v>
      </c>
      <c r="I3998" t="s">
        <v>759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101</v>
      </c>
      <c r="D3999" t="s">
        <v>740</v>
      </c>
      <c r="E3999" t="s">
        <v>179</v>
      </c>
      <c r="F3999">
        <v>10</v>
      </c>
      <c r="G3999" t="s">
        <v>90</v>
      </c>
      <c r="H3999" t="s">
        <v>91</v>
      </c>
      <c r="I3999" t="s">
        <v>760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101</v>
      </c>
      <c r="D4000" t="s">
        <v>740</v>
      </c>
      <c r="E4000" t="s">
        <v>179</v>
      </c>
      <c r="F4000">
        <v>10</v>
      </c>
      <c r="G4000" t="s">
        <v>90</v>
      </c>
      <c r="H4000" t="s">
        <v>91</v>
      </c>
      <c r="I4000" t="s">
        <v>761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101</v>
      </c>
      <c r="D4001" t="s">
        <v>740</v>
      </c>
      <c r="E4001" t="s">
        <v>179</v>
      </c>
      <c r="F4001">
        <v>10</v>
      </c>
      <c r="G4001" t="s">
        <v>90</v>
      </c>
      <c r="H4001" t="s">
        <v>91</v>
      </c>
      <c r="I4001" t="s">
        <v>762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101</v>
      </c>
      <c r="D4002" t="s">
        <v>740</v>
      </c>
      <c r="E4002" t="s">
        <v>179</v>
      </c>
      <c r="F4002">
        <v>10</v>
      </c>
      <c r="G4002" t="s">
        <v>90</v>
      </c>
      <c r="H4002" t="s">
        <v>91</v>
      </c>
      <c r="I4002" t="s">
        <v>763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101</v>
      </c>
      <c r="D4003" t="s">
        <v>740</v>
      </c>
      <c r="E4003" t="s">
        <v>179</v>
      </c>
      <c r="F4003">
        <v>10</v>
      </c>
      <c r="G4003" t="s">
        <v>90</v>
      </c>
      <c r="H4003" t="s">
        <v>91</v>
      </c>
      <c r="I4003" t="s">
        <v>764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101</v>
      </c>
      <c r="D4004" t="s">
        <v>740</v>
      </c>
      <c r="E4004" t="s">
        <v>179</v>
      </c>
      <c r="F4004">
        <v>10</v>
      </c>
      <c r="G4004" t="s">
        <v>90</v>
      </c>
      <c r="H4004" t="s">
        <v>91</v>
      </c>
      <c r="I4004" t="s">
        <v>765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101</v>
      </c>
      <c r="D4005" t="s">
        <v>740</v>
      </c>
      <c r="E4005" t="s">
        <v>179</v>
      </c>
      <c r="F4005">
        <v>10</v>
      </c>
      <c r="G4005" t="s">
        <v>90</v>
      </c>
      <c r="H4005" t="s">
        <v>91</v>
      </c>
      <c r="I4005" t="s">
        <v>766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101</v>
      </c>
      <c r="D4006" t="s">
        <v>740</v>
      </c>
      <c r="E4006" t="s">
        <v>179</v>
      </c>
      <c r="F4006">
        <v>10</v>
      </c>
      <c r="G4006" t="s">
        <v>90</v>
      </c>
      <c r="H4006" t="s">
        <v>230</v>
      </c>
      <c r="I4006" t="s">
        <v>102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101</v>
      </c>
      <c r="D4007" t="s">
        <v>740</v>
      </c>
      <c r="E4007" t="s">
        <v>179</v>
      </c>
      <c r="F4007">
        <v>10</v>
      </c>
      <c r="G4007" t="s">
        <v>90</v>
      </c>
      <c r="H4007" t="s">
        <v>230</v>
      </c>
      <c r="I4007" t="s">
        <v>749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101</v>
      </c>
      <c r="D4008" t="s">
        <v>740</v>
      </c>
      <c r="E4008" t="s">
        <v>179</v>
      </c>
      <c r="F4008">
        <v>10</v>
      </c>
      <c r="G4008" t="s">
        <v>90</v>
      </c>
      <c r="H4008" t="s">
        <v>230</v>
      </c>
      <c r="I4008" t="s">
        <v>750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101</v>
      </c>
      <c r="D4009" t="s">
        <v>740</v>
      </c>
      <c r="E4009" t="s">
        <v>179</v>
      </c>
      <c r="F4009">
        <v>10</v>
      </c>
      <c r="G4009" t="s">
        <v>90</v>
      </c>
      <c r="H4009" t="s">
        <v>230</v>
      </c>
      <c r="I4009" t="s">
        <v>751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101</v>
      </c>
      <c r="D4010" t="s">
        <v>740</v>
      </c>
      <c r="E4010" t="s">
        <v>179</v>
      </c>
      <c r="F4010">
        <v>10</v>
      </c>
      <c r="G4010" t="s">
        <v>90</v>
      </c>
      <c r="H4010" t="s">
        <v>230</v>
      </c>
      <c r="I4010" t="s">
        <v>748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101</v>
      </c>
      <c r="D4011" t="s">
        <v>740</v>
      </c>
      <c r="E4011" t="s">
        <v>179</v>
      </c>
      <c r="F4011">
        <v>10</v>
      </c>
      <c r="G4011" t="s">
        <v>90</v>
      </c>
      <c r="H4011" t="s">
        <v>230</v>
      </c>
      <c r="I4011" t="s">
        <v>752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101</v>
      </c>
      <c r="D4012" t="s">
        <v>740</v>
      </c>
      <c r="E4012" t="s">
        <v>179</v>
      </c>
      <c r="F4012">
        <v>10</v>
      </c>
      <c r="G4012" t="s">
        <v>90</v>
      </c>
      <c r="H4012" t="s">
        <v>230</v>
      </c>
      <c r="I4012" t="s">
        <v>753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101</v>
      </c>
      <c r="D4013" t="s">
        <v>740</v>
      </c>
      <c r="E4013" t="s">
        <v>179</v>
      </c>
      <c r="F4013">
        <v>10</v>
      </c>
      <c r="G4013" t="s">
        <v>90</v>
      </c>
      <c r="H4013" t="s">
        <v>230</v>
      </c>
      <c r="I4013" t="s">
        <v>754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101</v>
      </c>
      <c r="D4014" t="s">
        <v>740</v>
      </c>
      <c r="E4014" t="s">
        <v>179</v>
      </c>
      <c r="F4014">
        <v>10</v>
      </c>
      <c r="G4014" t="s">
        <v>90</v>
      </c>
      <c r="H4014" t="s">
        <v>230</v>
      </c>
      <c r="I4014" t="s">
        <v>755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101</v>
      </c>
      <c r="D4015" t="s">
        <v>740</v>
      </c>
      <c r="E4015" t="s">
        <v>179</v>
      </c>
      <c r="F4015">
        <v>10</v>
      </c>
      <c r="G4015" t="s">
        <v>90</v>
      </c>
      <c r="H4015" t="s">
        <v>230</v>
      </c>
      <c r="I4015" t="s">
        <v>756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101</v>
      </c>
      <c r="D4016" t="s">
        <v>740</v>
      </c>
      <c r="E4016" t="s">
        <v>179</v>
      </c>
      <c r="F4016">
        <v>10</v>
      </c>
      <c r="G4016" t="s">
        <v>90</v>
      </c>
      <c r="H4016" t="s">
        <v>230</v>
      </c>
      <c r="I4016" t="s">
        <v>757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101</v>
      </c>
      <c r="D4017" t="s">
        <v>740</v>
      </c>
      <c r="E4017" t="s">
        <v>179</v>
      </c>
      <c r="F4017">
        <v>10</v>
      </c>
      <c r="G4017" t="s">
        <v>90</v>
      </c>
      <c r="H4017" t="s">
        <v>230</v>
      </c>
      <c r="I4017" t="s">
        <v>758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101</v>
      </c>
      <c r="D4018" t="s">
        <v>740</v>
      </c>
      <c r="E4018" t="s">
        <v>179</v>
      </c>
      <c r="F4018">
        <v>10</v>
      </c>
      <c r="G4018" t="s">
        <v>90</v>
      </c>
      <c r="H4018" t="s">
        <v>230</v>
      </c>
      <c r="I4018" t="s">
        <v>759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101</v>
      </c>
      <c r="D4019" t="s">
        <v>740</v>
      </c>
      <c r="E4019" t="s">
        <v>179</v>
      </c>
      <c r="F4019">
        <v>10</v>
      </c>
      <c r="G4019" t="s">
        <v>90</v>
      </c>
      <c r="H4019" t="s">
        <v>230</v>
      </c>
      <c r="I4019" t="s">
        <v>760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101</v>
      </c>
      <c r="D4020" t="s">
        <v>740</v>
      </c>
      <c r="E4020" t="s">
        <v>179</v>
      </c>
      <c r="F4020">
        <v>10</v>
      </c>
      <c r="G4020" t="s">
        <v>90</v>
      </c>
      <c r="H4020" t="s">
        <v>230</v>
      </c>
      <c r="I4020" t="s">
        <v>761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101</v>
      </c>
      <c r="D4021" t="s">
        <v>740</v>
      </c>
      <c r="E4021" t="s">
        <v>179</v>
      </c>
      <c r="F4021">
        <v>10</v>
      </c>
      <c r="G4021" t="s">
        <v>90</v>
      </c>
      <c r="H4021" t="s">
        <v>230</v>
      </c>
      <c r="I4021" t="s">
        <v>762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101</v>
      </c>
      <c r="D4022" t="s">
        <v>740</v>
      </c>
      <c r="E4022" t="s">
        <v>179</v>
      </c>
      <c r="F4022">
        <v>10</v>
      </c>
      <c r="G4022" t="s">
        <v>90</v>
      </c>
      <c r="H4022" t="s">
        <v>230</v>
      </c>
      <c r="I4022" t="s">
        <v>763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101</v>
      </c>
      <c r="D4023" t="s">
        <v>740</v>
      </c>
      <c r="E4023" t="s">
        <v>179</v>
      </c>
      <c r="F4023">
        <v>10</v>
      </c>
      <c r="G4023" t="s">
        <v>90</v>
      </c>
      <c r="H4023" t="s">
        <v>230</v>
      </c>
      <c r="I4023" t="s">
        <v>764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101</v>
      </c>
      <c r="D4024" t="s">
        <v>740</v>
      </c>
      <c r="E4024" t="s">
        <v>179</v>
      </c>
      <c r="F4024">
        <v>10</v>
      </c>
      <c r="G4024" t="s">
        <v>90</v>
      </c>
      <c r="H4024" t="s">
        <v>230</v>
      </c>
      <c r="I4024" t="s">
        <v>765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101</v>
      </c>
      <c r="D4025" t="s">
        <v>740</v>
      </c>
      <c r="E4025" t="s">
        <v>179</v>
      </c>
      <c r="F4025">
        <v>10</v>
      </c>
      <c r="G4025" t="s">
        <v>90</v>
      </c>
      <c r="H4025" t="s">
        <v>230</v>
      </c>
      <c r="I4025" t="s">
        <v>766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101</v>
      </c>
      <c r="D4026" t="s">
        <v>740</v>
      </c>
      <c r="E4026" t="s">
        <v>179</v>
      </c>
      <c r="F4026">
        <v>10</v>
      </c>
      <c r="G4026" t="s">
        <v>90</v>
      </c>
      <c r="H4026" t="s">
        <v>188</v>
      </c>
      <c r="I4026" t="s">
        <v>102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101</v>
      </c>
      <c r="D4027" t="s">
        <v>740</v>
      </c>
      <c r="E4027" t="s">
        <v>179</v>
      </c>
      <c r="F4027">
        <v>10</v>
      </c>
      <c r="G4027" t="s">
        <v>90</v>
      </c>
      <c r="H4027" t="s">
        <v>188</v>
      </c>
      <c r="I4027" t="s">
        <v>749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101</v>
      </c>
      <c r="D4028" t="s">
        <v>740</v>
      </c>
      <c r="E4028" t="s">
        <v>179</v>
      </c>
      <c r="F4028">
        <v>10</v>
      </c>
      <c r="G4028" t="s">
        <v>90</v>
      </c>
      <c r="H4028" t="s">
        <v>188</v>
      </c>
      <c r="I4028" t="s">
        <v>750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101</v>
      </c>
      <c r="D4029" t="s">
        <v>740</v>
      </c>
      <c r="E4029" t="s">
        <v>179</v>
      </c>
      <c r="F4029">
        <v>10</v>
      </c>
      <c r="G4029" t="s">
        <v>90</v>
      </c>
      <c r="H4029" t="s">
        <v>188</v>
      </c>
      <c r="I4029" t="s">
        <v>751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101</v>
      </c>
      <c r="D4030" t="s">
        <v>740</v>
      </c>
      <c r="E4030" t="s">
        <v>179</v>
      </c>
      <c r="F4030">
        <v>10</v>
      </c>
      <c r="G4030" t="s">
        <v>90</v>
      </c>
      <c r="H4030" t="s">
        <v>188</v>
      </c>
      <c r="I4030" t="s">
        <v>748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101</v>
      </c>
      <c r="D4031" t="s">
        <v>740</v>
      </c>
      <c r="E4031" t="s">
        <v>179</v>
      </c>
      <c r="F4031">
        <v>10</v>
      </c>
      <c r="G4031" t="s">
        <v>90</v>
      </c>
      <c r="H4031" t="s">
        <v>188</v>
      </c>
      <c r="I4031" t="s">
        <v>752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101</v>
      </c>
      <c r="D4032" t="s">
        <v>740</v>
      </c>
      <c r="E4032" t="s">
        <v>179</v>
      </c>
      <c r="F4032">
        <v>10</v>
      </c>
      <c r="G4032" t="s">
        <v>90</v>
      </c>
      <c r="H4032" t="s">
        <v>188</v>
      </c>
      <c r="I4032" t="s">
        <v>753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101</v>
      </c>
      <c r="D4033" t="s">
        <v>740</v>
      </c>
      <c r="E4033" t="s">
        <v>179</v>
      </c>
      <c r="F4033">
        <v>10</v>
      </c>
      <c r="G4033" t="s">
        <v>90</v>
      </c>
      <c r="H4033" t="s">
        <v>188</v>
      </c>
      <c r="I4033" t="s">
        <v>754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101</v>
      </c>
      <c r="D4034" t="s">
        <v>740</v>
      </c>
      <c r="E4034" t="s">
        <v>179</v>
      </c>
      <c r="F4034">
        <v>10</v>
      </c>
      <c r="G4034" t="s">
        <v>90</v>
      </c>
      <c r="H4034" t="s">
        <v>188</v>
      </c>
      <c r="I4034" t="s">
        <v>755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101</v>
      </c>
      <c r="D4035" t="s">
        <v>740</v>
      </c>
      <c r="E4035" t="s">
        <v>179</v>
      </c>
      <c r="F4035">
        <v>10</v>
      </c>
      <c r="G4035" t="s">
        <v>90</v>
      </c>
      <c r="H4035" t="s">
        <v>188</v>
      </c>
      <c r="I4035" t="s">
        <v>756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101</v>
      </c>
      <c r="D4036" t="s">
        <v>740</v>
      </c>
      <c r="E4036" t="s">
        <v>179</v>
      </c>
      <c r="F4036">
        <v>10</v>
      </c>
      <c r="G4036" t="s">
        <v>90</v>
      </c>
      <c r="H4036" t="s">
        <v>188</v>
      </c>
      <c r="I4036" t="s">
        <v>757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101</v>
      </c>
      <c r="D4037" t="s">
        <v>740</v>
      </c>
      <c r="E4037" t="s">
        <v>179</v>
      </c>
      <c r="F4037">
        <v>10</v>
      </c>
      <c r="G4037" t="s">
        <v>90</v>
      </c>
      <c r="H4037" t="s">
        <v>188</v>
      </c>
      <c r="I4037" t="s">
        <v>758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101</v>
      </c>
      <c r="D4038" t="s">
        <v>740</v>
      </c>
      <c r="E4038" t="s">
        <v>179</v>
      </c>
      <c r="F4038">
        <v>10</v>
      </c>
      <c r="G4038" t="s">
        <v>90</v>
      </c>
      <c r="H4038" t="s">
        <v>188</v>
      </c>
      <c r="I4038" t="s">
        <v>759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101</v>
      </c>
      <c r="D4039" t="s">
        <v>740</v>
      </c>
      <c r="E4039" t="s">
        <v>179</v>
      </c>
      <c r="F4039">
        <v>10</v>
      </c>
      <c r="G4039" t="s">
        <v>90</v>
      </c>
      <c r="H4039" t="s">
        <v>188</v>
      </c>
      <c r="I4039" t="s">
        <v>760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101</v>
      </c>
      <c r="D4040" t="s">
        <v>740</v>
      </c>
      <c r="E4040" t="s">
        <v>179</v>
      </c>
      <c r="F4040">
        <v>10</v>
      </c>
      <c r="G4040" t="s">
        <v>90</v>
      </c>
      <c r="H4040" t="s">
        <v>188</v>
      </c>
      <c r="I4040" t="s">
        <v>761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101</v>
      </c>
      <c r="D4041" t="s">
        <v>740</v>
      </c>
      <c r="E4041" t="s">
        <v>179</v>
      </c>
      <c r="F4041">
        <v>10</v>
      </c>
      <c r="G4041" t="s">
        <v>90</v>
      </c>
      <c r="H4041" t="s">
        <v>188</v>
      </c>
      <c r="I4041" t="s">
        <v>762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101</v>
      </c>
      <c r="D4042" t="s">
        <v>740</v>
      </c>
      <c r="E4042" t="s">
        <v>179</v>
      </c>
      <c r="F4042">
        <v>10</v>
      </c>
      <c r="G4042" t="s">
        <v>90</v>
      </c>
      <c r="H4042" t="s">
        <v>188</v>
      </c>
      <c r="I4042" t="s">
        <v>763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101</v>
      </c>
      <c r="D4043" t="s">
        <v>740</v>
      </c>
      <c r="E4043" t="s">
        <v>179</v>
      </c>
      <c r="F4043">
        <v>10</v>
      </c>
      <c r="G4043" t="s">
        <v>90</v>
      </c>
      <c r="H4043" t="s">
        <v>188</v>
      </c>
      <c r="I4043" t="s">
        <v>764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101</v>
      </c>
      <c r="D4044" t="s">
        <v>740</v>
      </c>
      <c r="E4044" t="s">
        <v>179</v>
      </c>
      <c r="F4044">
        <v>10</v>
      </c>
      <c r="G4044" t="s">
        <v>90</v>
      </c>
      <c r="H4044" t="s">
        <v>188</v>
      </c>
      <c r="I4044" t="s">
        <v>765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101</v>
      </c>
      <c r="D4045" t="s">
        <v>740</v>
      </c>
      <c r="E4045" t="s">
        <v>179</v>
      </c>
      <c r="F4045">
        <v>10</v>
      </c>
      <c r="G4045" t="s">
        <v>90</v>
      </c>
      <c r="H4045" t="s">
        <v>188</v>
      </c>
      <c r="I4045" t="s">
        <v>766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101</v>
      </c>
      <c r="D4046" t="s">
        <v>740</v>
      </c>
      <c r="E4046" t="s">
        <v>179</v>
      </c>
      <c r="F4046">
        <v>10</v>
      </c>
      <c r="G4046" t="s">
        <v>271</v>
      </c>
      <c r="H4046" t="s">
        <v>189</v>
      </c>
      <c r="I4046" t="s">
        <v>762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101</v>
      </c>
      <c r="D4047" t="s">
        <v>740</v>
      </c>
      <c r="E4047" t="s">
        <v>179</v>
      </c>
      <c r="F4047">
        <v>10</v>
      </c>
      <c r="G4047" t="s">
        <v>271</v>
      </c>
      <c r="H4047" t="s">
        <v>186</v>
      </c>
      <c r="I4047" t="s">
        <v>762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101</v>
      </c>
      <c r="D4048" t="s">
        <v>740</v>
      </c>
      <c r="E4048" t="s">
        <v>179</v>
      </c>
      <c r="F4048">
        <v>10</v>
      </c>
      <c r="G4048" t="s">
        <v>271</v>
      </c>
      <c r="H4048" t="s">
        <v>188</v>
      </c>
      <c r="I4048" t="s">
        <v>762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101</v>
      </c>
      <c r="D4049" t="s">
        <v>740</v>
      </c>
      <c r="E4049" t="s">
        <v>179</v>
      </c>
      <c r="F4049">
        <v>10</v>
      </c>
      <c r="G4049" t="s">
        <v>272</v>
      </c>
      <c r="H4049" t="s">
        <v>232</v>
      </c>
      <c r="I4049" t="s">
        <v>748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101</v>
      </c>
      <c r="D4050" t="s">
        <v>740</v>
      </c>
      <c r="E4050" t="s">
        <v>179</v>
      </c>
      <c r="F4050">
        <v>10</v>
      </c>
      <c r="G4050" t="s">
        <v>272</v>
      </c>
      <c r="H4050" t="s">
        <v>186</v>
      </c>
      <c r="I4050" t="s">
        <v>748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101</v>
      </c>
      <c r="D4051" t="s">
        <v>740</v>
      </c>
      <c r="E4051" t="s">
        <v>179</v>
      </c>
      <c r="F4051">
        <v>10</v>
      </c>
      <c r="G4051" t="s">
        <v>272</v>
      </c>
      <c r="H4051" t="s">
        <v>187</v>
      </c>
      <c r="I4051" t="s">
        <v>748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101</v>
      </c>
      <c r="D4052" t="s">
        <v>740</v>
      </c>
      <c r="E4052" t="s">
        <v>179</v>
      </c>
      <c r="F4052">
        <v>10</v>
      </c>
      <c r="G4052" t="s">
        <v>272</v>
      </c>
      <c r="H4052" t="s">
        <v>198</v>
      </c>
      <c r="I4052" t="s">
        <v>748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101</v>
      </c>
      <c r="D4053" t="s">
        <v>740</v>
      </c>
      <c r="E4053" t="s">
        <v>179</v>
      </c>
      <c r="F4053">
        <v>10</v>
      </c>
      <c r="G4053" t="s">
        <v>272</v>
      </c>
      <c r="H4053" t="s">
        <v>188</v>
      </c>
      <c r="I4053" t="s">
        <v>748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101</v>
      </c>
      <c r="D4054" t="s">
        <v>740</v>
      </c>
      <c r="E4054" t="s">
        <v>179</v>
      </c>
      <c r="F4054">
        <v>10</v>
      </c>
      <c r="G4054" t="s">
        <v>231</v>
      </c>
      <c r="H4054" t="s">
        <v>232</v>
      </c>
      <c r="I4054" t="s">
        <v>745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101</v>
      </c>
      <c r="D4055" t="s">
        <v>740</v>
      </c>
      <c r="E4055" t="s">
        <v>179</v>
      </c>
      <c r="F4055">
        <v>10</v>
      </c>
      <c r="G4055" t="s">
        <v>231</v>
      </c>
      <c r="H4055" t="s">
        <v>186</v>
      </c>
      <c r="I4055" t="s">
        <v>745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101</v>
      </c>
      <c r="D4056" t="s">
        <v>740</v>
      </c>
      <c r="E4056" t="s">
        <v>179</v>
      </c>
      <c r="F4056">
        <v>10</v>
      </c>
      <c r="G4056" t="s">
        <v>231</v>
      </c>
      <c r="H4056" t="s">
        <v>187</v>
      </c>
      <c r="I4056" t="s">
        <v>745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101</v>
      </c>
      <c r="D4057" t="s">
        <v>740</v>
      </c>
      <c r="E4057" t="s">
        <v>179</v>
      </c>
      <c r="F4057">
        <v>10</v>
      </c>
      <c r="G4057" t="s">
        <v>231</v>
      </c>
      <c r="H4057" t="s">
        <v>198</v>
      </c>
      <c r="I4057" t="s">
        <v>745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101</v>
      </c>
      <c r="D4058" t="s">
        <v>740</v>
      </c>
      <c r="E4058" t="s">
        <v>179</v>
      </c>
      <c r="F4058">
        <v>10</v>
      </c>
      <c r="G4058" t="s">
        <v>231</v>
      </c>
      <c r="H4058" t="s">
        <v>188</v>
      </c>
      <c r="I4058" t="s">
        <v>745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101</v>
      </c>
      <c r="D4059" t="s">
        <v>740</v>
      </c>
      <c r="E4059" t="s">
        <v>179</v>
      </c>
      <c r="F4059">
        <v>10</v>
      </c>
      <c r="G4059" t="s">
        <v>233</v>
      </c>
      <c r="H4059" t="s">
        <v>234</v>
      </c>
      <c r="I4059" t="s">
        <v>767</v>
      </c>
      <c r="J4059" s="73">
        <v>45659</v>
      </c>
    </row>
    <row r="4060" spans="1:10" x14ac:dyDescent="0.25">
      <c r="A4060" s="1" t="s">
        <v>27</v>
      </c>
      <c r="B4060">
        <v>401752793</v>
      </c>
      <c r="C4060" t="s">
        <v>101</v>
      </c>
      <c r="D4060" t="s">
        <v>740</v>
      </c>
      <c r="E4060" t="s">
        <v>179</v>
      </c>
      <c r="F4060">
        <v>10</v>
      </c>
      <c r="G4060" t="s">
        <v>233</v>
      </c>
      <c r="H4060" t="s">
        <v>236</v>
      </c>
      <c r="I4060" t="s">
        <v>767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101</v>
      </c>
      <c r="D4061" t="s">
        <v>740</v>
      </c>
      <c r="E4061" t="s">
        <v>179</v>
      </c>
      <c r="F4061">
        <v>10</v>
      </c>
      <c r="G4061" t="s">
        <v>233</v>
      </c>
      <c r="H4061" t="s">
        <v>198</v>
      </c>
      <c r="I4061" t="s">
        <v>767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101</v>
      </c>
      <c r="D4062" t="s">
        <v>740</v>
      </c>
      <c r="E4062" t="s">
        <v>179</v>
      </c>
      <c r="F4062">
        <v>10</v>
      </c>
      <c r="G4062" t="s">
        <v>233</v>
      </c>
      <c r="H4062" t="s">
        <v>237</v>
      </c>
      <c r="I4062" t="s">
        <v>767</v>
      </c>
      <c r="J4062" s="73">
        <v>45658</v>
      </c>
    </row>
    <row r="4063" spans="1:10" x14ac:dyDescent="0.25">
      <c r="A4063" s="1" t="s">
        <v>27</v>
      </c>
      <c r="B4063">
        <v>401752793</v>
      </c>
      <c r="C4063" t="s">
        <v>101</v>
      </c>
      <c r="D4063" t="s">
        <v>740</v>
      </c>
      <c r="E4063" t="s">
        <v>179</v>
      </c>
      <c r="F4063">
        <v>10</v>
      </c>
      <c r="G4063" t="s">
        <v>233</v>
      </c>
      <c r="H4063" t="s">
        <v>238</v>
      </c>
      <c r="I4063" t="s">
        <v>767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101</v>
      </c>
      <c r="D4064" t="s">
        <v>740</v>
      </c>
      <c r="E4064" t="s">
        <v>179</v>
      </c>
      <c r="F4064">
        <v>10</v>
      </c>
      <c r="G4064" t="s">
        <v>239</v>
      </c>
      <c r="H4064" t="s">
        <v>232</v>
      </c>
      <c r="I4064" t="s">
        <v>768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101</v>
      </c>
      <c r="D4065" t="s">
        <v>740</v>
      </c>
      <c r="E4065" t="s">
        <v>179</v>
      </c>
      <c r="F4065">
        <v>10</v>
      </c>
      <c r="G4065" t="s">
        <v>239</v>
      </c>
      <c r="H4065" t="s">
        <v>186</v>
      </c>
      <c r="I4065" t="s">
        <v>768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101</v>
      </c>
      <c r="D4066" t="s">
        <v>740</v>
      </c>
      <c r="E4066" t="s">
        <v>179</v>
      </c>
      <c r="F4066">
        <v>10</v>
      </c>
      <c r="G4066" t="s">
        <v>239</v>
      </c>
      <c r="H4066" t="s">
        <v>187</v>
      </c>
      <c r="I4066" t="s">
        <v>768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101</v>
      </c>
      <c r="D4067" t="s">
        <v>740</v>
      </c>
      <c r="E4067" t="s">
        <v>179</v>
      </c>
      <c r="F4067">
        <v>10</v>
      </c>
      <c r="G4067" t="s">
        <v>239</v>
      </c>
      <c r="H4067" t="s">
        <v>241</v>
      </c>
      <c r="I4067" t="s">
        <v>768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101</v>
      </c>
      <c r="D4068" t="s">
        <v>740</v>
      </c>
      <c r="E4068" t="s">
        <v>179</v>
      </c>
      <c r="F4068">
        <v>10</v>
      </c>
      <c r="G4068" t="s">
        <v>239</v>
      </c>
      <c r="H4068" t="s">
        <v>242</v>
      </c>
      <c r="I4068" t="s">
        <v>768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101</v>
      </c>
      <c r="D4069" t="s">
        <v>740</v>
      </c>
      <c r="E4069" t="s">
        <v>179</v>
      </c>
      <c r="F4069">
        <v>10</v>
      </c>
      <c r="G4069" t="s">
        <v>239</v>
      </c>
      <c r="H4069" t="s">
        <v>198</v>
      </c>
      <c r="I4069" t="s">
        <v>768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155</v>
      </c>
      <c r="D4070" t="s">
        <v>243</v>
      </c>
      <c r="E4070" t="s">
        <v>179</v>
      </c>
      <c r="F4070">
        <v>3</v>
      </c>
      <c r="G4070" t="s">
        <v>180</v>
      </c>
      <c r="H4070" t="s">
        <v>181</v>
      </c>
      <c r="I4070" t="s">
        <v>769</v>
      </c>
      <c r="J4070" t="s">
        <v>770</v>
      </c>
    </row>
    <row r="4071" spans="1:10" x14ac:dyDescent="0.25">
      <c r="A4071" s="1" t="s">
        <v>27</v>
      </c>
      <c r="B4071">
        <v>401752803</v>
      </c>
      <c r="C4071" t="s">
        <v>155</v>
      </c>
      <c r="D4071" t="s">
        <v>243</v>
      </c>
      <c r="E4071" t="s">
        <v>179</v>
      </c>
      <c r="F4071">
        <v>3</v>
      </c>
      <c r="G4071" t="s">
        <v>180</v>
      </c>
      <c r="H4071" t="s">
        <v>186</v>
      </c>
      <c r="I4071" t="s">
        <v>769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155</v>
      </c>
      <c r="D4072" t="s">
        <v>243</v>
      </c>
      <c r="E4072" t="s">
        <v>179</v>
      </c>
      <c r="F4072">
        <v>3</v>
      </c>
      <c r="G4072" t="s">
        <v>180</v>
      </c>
      <c r="H4072" t="s">
        <v>187</v>
      </c>
      <c r="I4072" t="s">
        <v>769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155</v>
      </c>
      <c r="D4073" t="s">
        <v>243</v>
      </c>
      <c r="E4073" t="s">
        <v>179</v>
      </c>
      <c r="F4073">
        <v>3</v>
      </c>
      <c r="G4073" t="s">
        <v>180</v>
      </c>
      <c r="H4073" t="s">
        <v>188</v>
      </c>
      <c r="I4073" t="s">
        <v>769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155</v>
      </c>
      <c r="D4074" t="s">
        <v>243</v>
      </c>
      <c r="E4074" t="s">
        <v>179</v>
      </c>
      <c r="F4074">
        <v>3</v>
      </c>
      <c r="G4074" t="s">
        <v>180</v>
      </c>
      <c r="H4074" t="s">
        <v>189</v>
      </c>
      <c r="I4074" t="s">
        <v>769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155</v>
      </c>
      <c r="D4075" t="s">
        <v>243</v>
      </c>
      <c r="E4075" t="s">
        <v>179</v>
      </c>
      <c r="F4075">
        <v>3</v>
      </c>
      <c r="G4075" t="s">
        <v>180</v>
      </c>
      <c r="H4075" t="s">
        <v>190</v>
      </c>
      <c r="I4075" t="s">
        <v>769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155</v>
      </c>
      <c r="D4076" t="s">
        <v>243</v>
      </c>
      <c r="E4076" t="s">
        <v>179</v>
      </c>
      <c r="F4076">
        <v>3</v>
      </c>
      <c r="G4076" t="s">
        <v>192</v>
      </c>
      <c r="H4076" t="s">
        <v>193</v>
      </c>
      <c r="I4076" t="s">
        <v>771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155</v>
      </c>
      <c r="D4077" t="s">
        <v>243</v>
      </c>
      <c r="E4077" t="s">
        <v>179</v>
      </c>
      <c r="F4077">
        <v>3</v>
      </c>
      <c r="G4077" t="s">
        <v>192</v>
      </c>
      <c r="H4077" t="s">
        <v>193</v>
      </c>
      <c r="I4077" t="s">
        <v>772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155</v>
      </c>
      <c r="D4078" t="s">
        <v>243</v>
      </c>
      <c r="E4078" t="s">
        <v>179</v>
      </c>
      <c r="F4078">
        <v>3</v>
      </c>
      <c r="G4078" t="s">
        <v>192</v>
      </c>
      <c r="H4078" t="s">
        <v>193</v>
      </c>
      <c r="I4078" t="s">
        <v>773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155</v>
      </c>
      <c r="D4079" t="s">
        <v>243</v>
      </c>
      <c r="E4079" t="s">
        <v>179</v>
      </c>
      <c r="F4079">
        <v>3</v>
      </c>
      <c r="G4079" t="s">
        <v>192</v>
      </c>
      <c r="H4079" t="s">
        <v>193</v>
      </c>
      <c r="I4079" t="s">
        <v>769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155</v>
      </c>
      <c r="D4080" t="s">
        <v>243</v>
      </c>
      <c r="E4080" t="s">
        <v>179</v>
      </c>
      <c r="F4080">
        <v>3</v>
      </c>
      <c r="G4080" t="s">
        <v>192</v>
      </c>
      <c r="H4080" t="s">
        <v>186</v>
      </c>
      <c r="I4080" t="s">
        <v>771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155</v>
      </c>
      <c r="D4081" t="s">
        <v>243</v>
      </c>
      <c r="E4081" t="s">
        <v>179</v>
      </c>
      <c r="F4081">
        <v>3</v>
      </c>
      <c r="G4081" t="s">
        <v>192</v>
      </c>
      <c r="H4081" t="s">
        <v>186</v>
      </c>
      <c r="I4081" t="s">
        <v>772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155</v>
      </c>
      <c r="D4082" t="s">
        <v>243</v>
      </c>
      <c r="E4082" t="s">
        <v>179</v>
      </c>
      <c r="F4082">
        <v>3</v>
      </c>
      <c r="G4082" t="s">
        <v>192</v>
      </c>
      <c r="H4082" t="s">
        <v>186</v>
      </c>
      <c r="I4082" t="s">
        <v>773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155</v>
      </c>
      <c r="D4083" t="s">
        <v>243</v>
      </c>
      <c r="E4083" t="s">
        <v>179</v>
      </c>
      <c r="F4083">
        <v>3</v>
      </c>
      <c r="G4083" t="s">
        <v>192</v>
      </c>
      <c r="H4083" t="s">
        <v>186</v>
      </c>
      <c r="I4083" t="s">
        <v>769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155</v>
      </c>
      <c r="D4084" t="s">
        <v>243</v>
      </c>
      <c r="E4084" t="s">
        <v>179</v>
      </c>
      <c r="F4084">
        <v>3</v>
      </c>
      <c r="G4084" t="s">
        <v>192</v>
      </c>
      <c r="H4084" t="s">
        <v>187</v>
      </c>
      <c r="I4084" t="s">
        <v>771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155</v>
      </c>
      <c r="D4085" t="s">
        <v>243</v>
      </c>
      <c r="E4085" t="s">
        <v>179</v>
      </c>
      <c r="F4085">
        <v>3</v>
      </c>
      <c r="G4085" t="s">
        <v>192</v>
      </c>
      <c r="H4085" t="s">
        <v>187</v>
      </c>
      <c r="I4085" t="s">
        <v>772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155</v>
      </c>
      <c r="D4086" t="s">
        <v>243</v>
      </c>
      <c r="E4086" t="s">
        <v>179</v>
      </c>
      <c r="F4086">
        <v>3</v>
      </c>
      <c r="G4086" t="s">
        <v>192</v>
      </c>
      <c r="H4086" t="s">
        <v>187</v>
      </c>
      <c r="I4086" t="s">
        <v>773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155</v>
      </c>
      <c r="D4087" t="s">
        <v>243</v>
      </c>
      <c r="E4087" t="s">
        <v>179</v>
      </c>
      <c r="F4087">
        <v>3</v>
      </c>
      <c r="G4087" t="s">
        <v>192</v>
      </c>
      <c r="H4087" t="s">
        <v>187</v>
      </c>
      <c r="I4087" t="s">
        <v>769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155</v>
      </c>
      <c r="D4088" t="s">
        <v>243</v>
      </c>
      <c r="E4088" t="s">
        <v>179</v>
      </c>
      <c r="F4088">
        <v>3</v>
      </c>
      <c r="G4088" t="s">
        <v>192</v>
      </c>
      <c r="H4088" t="s">
        <v>188</v>
      </c>
      <c r="I4088" t="s">
        <v>771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155</v>
      </c>
      <c r="D4089" t="s">
        <v>243</v>
      </c>
      <c r="E4089" t="s">
        <v>179</v>
      </c>
      <c r="F4089">
        <v>3</v>
      </c>
      <c r="G4089" t="s">
        <v>192</v>
      </c>
      <c r="H4089" t="s">
        <v>188</v>
      </c>
      <c r="I4089" t="s">
        <v>772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155</v>
      </c>
      <c r="D4090" t="s">
        <v>243</v>
      </c>
      <c r="E4090" t="s">
        <v>179</v>
      </c>
      <c r="F4090">
        <v>3</v>
      </c>
      <c r="G4090" t="s">
        <v>192</v>
      </c>
      <c r="H4090" t="s">
        <v>188</v>
      </c>
      <c r="I4090" t="s">
        <v>773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155</v>
      </c>
      <c r="D4091" t="s">
        <v>243</v>
      </c>
      <c r="E4091" t="s">
        <v>179</v>
      </c>
      <c r="F4091">
        <v>3</v>
      </c>
      <c r="G4091" t="s">
        <v>192</v>
      </c>
      <c r="H4091" t="s">
        <v>188</v>
      </c>
      <c r="I4091" t="s">
        <v>769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155</v>
      </c>
      <c r="D4092" t="s">
        <v>243</v>
      </c>
      <c r="E4092" t="s">
        <v>179</v>
      </c>
      <c r="F4092">
        <v>3</v>
      </c>
      <c r="G4092" t="s">
        <v>192</v>
      </c>
      <c r="H4092" t="s">
        <v>198</v>
      </c>
      <c r="I4092" t="s">
        <v>771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155</v>
      </c>
      <c r="D4093" t="s">
        <v>243</v>
      </c>
      <c r="E4093" t="s">
        <v>179</v>
      </c>
      <c r="F4093">
        <v>3</v>
      </c>
      <c r="G4093" t="s">
        <v>192</v>
      </c>
      <c r="H4093" t="s">
        <v>198</v>
      </c>
      <c r="I4093" t="s">
        <v>772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155</v>
      </c>
      <c r="D4094" t="s">
        <v>243</v>
      </c>
      <c r="E4094" t="s">
        <v>179</v>
      </c>
      <c r="F4094">
        <v>3</v>
      </c>
      <c r="G4094" t="s">
        <v>192</v>
      </c>
      <c r="H4094" t="s">
        <v>198</v>
      </c>
      <c r="I4094" t="s">
        <v>773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155</v>
      </c>
      <c r="D4095" t="s">
        <v>243</v>
      </c>
      <c r="E4095" t="s">
        <v>179</v>
      </c>
      <c r="F4095">
        <v>3</v>
      </c>
      <c r="G4095" t="s">
        <v>192</v>
      </c>
      <c r="H4095" t="s">
        <v>198</v>
      </c>
      <c r="I4095" t="s">
        <v>769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155</v>
      </c>
      <c r="D4096" t="s">
        <v>243</v>
      </c>
      <c r="E4096" t="s">
        <v>179</v>
      </c>
      <c r="F4096">
        <v>3</v>
      </c>
      <c r="G4096" t="s">
        <v>199</v>
      </c>
      <c r="H4096" t="s">
        <v>0</v>
      </c>
      <c r="I4096" t="s">
        <v>774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155</v>
      </c>
      <c r="D4097" t="s">
        <v>243</v>
      </c>
      <c r="E4097" t="s">
        <v>179</v>
      </c>
      <c r="F4097">
        <v>3</v>
      </c>
      <c r="G4097" t="s">
        <v>199</v>
      </c>
      <c r="H4097" t="s">
        <v>0</v>
      </c>
      <c r="I4097" t="s">
        <v>772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155</v>
      </c>
      <c r="D4098" t="s">
        <v>243</v>
      </c>
      <c r="E4098" t="s">
        <v>179</v>
      </c>
      <c r="F4098">
        <v>3</v>
      </c>
      <c r="G4098" t="s">
        <v>199</v>
      </c>
      <c r="H4098" t="s">
        <v>0</v>
      </c>
      <c r="I4098" t="s">
        <v>775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155</v>
      </c>
      <c r="D4099" t="s">
        <v>243</v>
      </c>
      <c r="E4099" t="s">
        <v>179</v>
      </c>
      <c r="F4099">
        <v>3</v>
      </c>
      <c r="G4099" t="s">
        <v>199</v>
      </c>
      <c r="H4099" t="s">
        <v>0</v>
      </c>
      <c r="I4099" t="s">
        <v>776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155</v>
      </c>
      <c r="D4100" t="s">
        <v>243</v>
      </c>
      <c r="E4100" t="s">
        <v>179</v>
      </c>
      <c r="F4100">
        <v>3</v>
      </c>
      <c r="G4100" t="s">
        <v>199</v>
      </c>
      <c r="H4100" t="s">
        <v>0</v>
      </c>
      <c r="I4100" t="s">
        <v>777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155</v>
      </c>
      <c r="D4101" t="s">
        <v>243</v>
      </c>
      <c r="E4101" t="s">
        <v>179</v>
      </c>
      <c r="F4101">
        <v>3</v>
      </c>
      <c r="G4101" t="s">
        <v>199</v>
      </c>
      <c r="H4101" t="s">
        <v>0</v>
      </c>
      <c r="I4101" t="s">
        <v>778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155</v>
      </c>
      <c r="D4102" t="s">
        <v>243</v>
      </c>
      <c r="E4102" t="s">
        <v>179</v>
      </c>
      <c r="F4102">
        <v>3</v>
      </c>
      <c r="G4102" t="s">
        <v>199</v>
      </c>
      <c r="H4102" t="s">
        <v>0</v>
      </c>
      <c r="I4102" t="s">
        <v>779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155</v>
      </c>
      <c r="D4103" t="s">
        <v>243</v>
      </c>
      <c r="E4103" t="s">
        <v>179</v>
      </c>
      <c r="F4103">
        <v>3</v>
      </c>
      <c r="G4103" t="s">
        <v>199</v>
      </c>
      <c r="H4103" t="s">
        <v>0</v>
      </c>
      <c r="I4103" t="s">
        <v>773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155</v>
      </c>
      <c r="D4104" t="s">
        <v>243</v>
      </c>
      <c r="E4104" t="s">
        <v>179</v>
      </c>
      <c r="F4104">
        <v>3</v>
      </c>
      <c r="G4104" t="s">
        <v>199</v>
      </c>
      <c r="H4104" t="s">
        <v>0</v>
      </c>
      <c r="I4104" t="s">
        <v>780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155</v>
      </c>
      <c r="D4105" t="s">
        <v>243</v>
      </c>
      <c r="E4105" t="s">
        <v>179</v>
      </c>
      <c r="F4105">
        <v>3</v>
      </c>
      <c r="G4105" t="s">
        <v>199</v>
      </c>
      <c r="H4105" t="s">
        <v>186</v>
      </c>
      <c r="I4105" t="s">
        <v>774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155</v>
      </c>
      <c r="D4106" t="s">
        <v>243</v>
      </c>
      <c r="E4106" t="s">
        <v>179</v>
      </c>
      <c r="F4106">
        <v>3</v>
      </c>
      <c r="G4106" t="s">
        <v>199</v>
      </c>
      <c r="H4106" t="s">
        <v>186</v>
      </c>
      <c r="I4106" t="s">
        <v>772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155</v>
      </c>
      <c r="D4107" t="s">
        <v>243</v>
      </c>
      <c r="E4107" t="s">
        <v>179</v>
      </c>
      <c r="F4107">
        <v>3</v>
      </c>
      <c r="G4107" t="s">
        <v>199</v>
      </c>
      <c r="H4107" t="s">
        <v>186</v>
      </c>
      <c r="I4107" t="s">
        <v>775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155</v>
      </c>
      <c r="D4108" t="s">
        <v>243</v>
      </c>
      <c r="E4108" t="s">
        <v>179</v>
      </c>
      <c r="F4108">
        <v>3</v>
      </c>
      <c r="G4108" t="s">
        <v>199</v>
      </c>
      <c r="H4108" t="s">
        <v>186</v>
      </c>
      <c r="I4108" t="s">
        <v>776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155</v>
      </c>
      <c r="D4109" t="s">
        <v>243</v>
      </c>
      <c r="E4109" t="s">
        <v>179</v>
      </c>
      <c r="F4109">
        <v>3</v>
      </c>
      <c r="G4109" t="s">
        <v>199</v>
      </c>
      <c r="H4109" t="s">
        <v>186</v>
      </c>
      <c r="I4109" t="s">
        <v>777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155</v>
      </c>
      <c r="D4110" t="s">
        <v>243</v>
      </c>
      <c r="E4110" t="s">
        <v>179</v>
      </c>
      <c r="F4110">
        <v>3</v>
      </c>
      <c r="G4110" t="s">
        <v>199</v>
      </c>
      <c r="H4110" t="s">
        <v>186</v>
      </c>
      <c r="I4110" t="s">
        <v>778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155</v>
      </c>
      <c r="D4111" t="s">
        <v>243</v>
      </c>
      <c r="E4111" t="s">
        <v>179</v>
      </c>
      <c r="F4111">
        <v>3</v>
      </c>
      <c r="G4111" t="s">
        <v>199</v>
      </c>
      <c r="H4111" t="s">
        <v>186</v>
      </c>
      <c r="I4111" t="s">
        <v>779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155</v>
      </c>
      <c r="D4112" t="s">
        <v>243</v>
      </c>
      <c r="E4112" t="s">
        <v>179</v>
      </c>
      <c r="F4112">
        <v>3</v>
      </c>
      <c r="G4112" t="s">
        <v>199</v>
      </c>
      <c r="H4112" t="s">
        <v>186</v>
      </c>
      <c r="I4112" t="s">
        <v>773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155</v>
      </c>
      <c r="D4113" t="s">
        <v>243</v>
      </c>
      <c r="E4113" t="s">
        <v>179</v>
      </c>
      <c r="F4113">
        <v>3</v>
      </c>
      <c r="G4113" t="s">
        <v>199</v>
      </c>
      <c r="H4113" t="s">
        <v>186</v>
      </c>
      <c r="I4113" t="s">
        <v>780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155</v>
      </c>
      <c r="D4114" t="s">
        <v>243</v>
      </c>
      <c r="E4114" t="s">
        <v>179</v>
      </c>
      <c r="F4114">
        <v>3</v>
      </c>
      <c r="G4114" t="s">
        <v>199</v>
      </c>
      <c r="H4114" t="s">
        <v>187</v>
      </c>
      <c r="I4114" t="s">
        <v>774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155</v>
      </c>
      <c r="D4115" t="s">
        <v>243</v>
      </c>
      <c r="E4115" t="s">
        <v>179</v>
      </c>
      <c r="F4115">
        <v>3</v>
      </c>
      <c r="G4115" t="s">
        <v>199</v>
      </c>
      <c r="H4115" t="s">
        <v>187</v>
      </c>
      <c r="I4115" t="s">
        <v>772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155</v>
      </c>
      <c r="D4116" t="s">
        <v>243</v>
      </c>
      <c r="E4116" t="s">
        <v>179</v>
      </c>
      <c r="F4116">
        <v>3</v>
      </c>
      <c r="G4116" t="s">
        <v>199</v>
      </c>
      <c r="H4116" t="s">
        <v>187</v>
      </c>
      <c r="I4116" t="s">
        <v>775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155</v>
      </c>
      <c r="D4117" t="s">
        <v>243</v>
      </c>
      <c r="E4117" t="s">
        <v>179</v>
      </c>
      <c r="F4117">
        <v>3</v>
      </c>
      <c r="G4117" t="s">
        <v>199</v>
      </c>
      <c r="H4117" t="s">
        <v>187</v>
      </c>
      <c r="I4117" t="s">
        <v>776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155</v>
      </c>
      <c r="D4118" t="s">
        <v>243</v>
      </c>
      <c r="E4118" t="s">
        <v>179</v>
      </c>
      <c r="F4118">
        <v>3</v>
      </c>
      <c r="G4118" t="s">
        <v>199</v>
      </c>
      <c r="H4118" t="s">
        <v>187</v>
      </c>
      <c r="I4118" t="s">
        <v>777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155</v>
      </c>
      <c r="D4119" t="s">
        <v>243</v>
      </c>
      <c r="E4119" t="s">
        <v>179</v>
      </c>
      <c r="F4119">
        <v>3</v>
      </c>
      <c r="G4119" t="s">
        <v>199</v>
      </c>
      <c r="H4119" t="s">
        <v>187</v>
      </c>
      <c r="I4119" t="s">
        <v>778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155</v>
      </c>
      <c r="D4120" t="s">
        <v>243</v>
      </c>
      <c r="E4120" t="s">
        <v>179</v>
      </c>
      <c r="F4120">
        <v>3</v>
      </c>
      <c r="G4120" t="s">
        <v>199</v>
      </c>
      <c r="H4120" t="s">
        <v>187</v>
      </c>
      <c r="I4120" t="s">
        <v>779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155</v>
      </c>
      <c r="D4121" t="s">
        <v>243</v>
      </c>
      <c r="E4121" t="s">
        <v>179</v>
      </c>
      <c r="F4121">
        <v>3</v>
      </c>
      <c r="G4121" t="s">
        <v>199</v>
      </c>
      <c r="H4121" t="s">
        <v>187</v>
      </c>
      <c r="I4121" t="s">
        <v>773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155</v>
      </c>
      <c r="D4122" t="s">
        <v>243</v>
      </c>
      <c r="E4122" t="s">
        <v>179</v>
      </c>
      <c r="F4122">
        <v>3</v>
      </c>
      <c r="G4122" t="s">
        <v>199</v>
      </c>
      <c r="H4122" t="s">
        <v>187</v>
      </c>
      <c r="I4122" t="s">
        <v>780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155</v>
      </c>
      <c r="D4123" t="s">
        <v>243</v>
      </c>
      <c r="E4123" t="s">
        <v>179</v>
      </c>
      <c r="F4123">
        <v>3</v>
      </c>
      <c r="G4123" t="s">
        <v>199</v>
      </c>
      <c r="H4123" t="s">
        <v>188</v>
      </c>
      <c r="I4123" t="s">
        <v>774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155</v>
      </c>
      <c r="D4124" t="s">
        <v>243</v>
      </c>
      <c r="E4124" t="s">
        <v>179</v>
      </c>
      <c r="F4124">
        <v>3</v>
      </c>
      <c r="G4124" t="s">
        <v>199</v>
      </c>
      <c r="H4124" t="s">
        <v>188</v>
      </c>
      <c r="I4124" t="s">
        <v>772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155</v>
      </c>
      <c r="D4125" t="s">
        <v>243</v>
      </c>
      <c r="E4125" t="s">
        <v>179</v>
      </c>
      <c r="F4125">
        <v>3</v>
      </c>
      <c r="G4125" t="s">
        <v>199</v>
      </c>
      <c r="H4125" t="s">
        <v>188</v>
      </c>
      <c r="I4125" t="s">
        <v>775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155</v>
      </c>
      <c r="D4126" t="s">
        <v>243</v>
      </c>
      <c r="E4126" t="s">
        <v>179</v>
      </c>
      <c r="F4126">
        <v>3</v>
      </c>
      <c r="G4126" t="s">
        <v>199</v>
      </c>
      <c r="H4126" t="s">
        <v>188</v>
      </c>
      <c r="I4126" t="s">
        <v>776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155</v>
      </c>
      <c r="D4127" t="s">
        <v>243</v>
      </c>
      <c r="E4127" t="s">
        <v>179</v>
      </c>
      <c r="F4127">
        <v>3</v>
      </c>
      <c r="G4127" t="s">
        <v>199</v>
      </c>
      <c r="H4127" t="s">
        <v>188</v>
      </c>
      <c r="I4127" t="s">
        <v>777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155</v>
      </c>
      <c r="D4128" t="s">
        <v>243</v>
      </c>
      <c r="E4128" t="s">
        <v>179</v>
      </c>
      <c r="F4128">
        <v>3</v>
      </c>
      <c r="G4128" t="s">
        <v>199</v>
      </c>
      <c r="H4128" t="s">
        <v>188</v>
      </c>
      <c r="I4128" t="s">
        <v>778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155</v>
      </c>
      <c r="D4129" t="s">
        <v>243</v>
      </c>
      <c r="E4129" t="s">
        <v>179</v>
      </c>
      <c r="F4129">
        <v>3</v>
      </c>
      <c r="G4129" t="s">
        <v>199</v>
      </c>
      <c r="H4129" t="s">
        <v>188</v>
      </c>
      <c r="I4129" t="s">
        <v>779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155</v>
      </c>
      <c r="D4130" t="s">
        <v>243</v>
      </c>
      <c r="E4130" t="s">
        <v>179</v>
      </c>
      <c r="F4130">
        <v>3</v>
      </c>
      <c r="G4130" t="s">
        <v>199</v>
      </c>
      <c r="H4130" t="s">
        <v>188</v>
      </c>
      <c r="I4130" t="s">
        <v>773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155</v>
      </c>
      <c r="D4131" t="s">
        <v>243</v>
      </c>
      <c r="E4131" t="s">
        <v>179</v>
      </c>
      <c r="F4131">
        <v>3</v>
      </c>
      <c r="G4131" t="s">
        <v>199</v>
      </c>
      <c r="H4131" t="s">
        <v>188</v>
      </c>
      <c r="I4131" t="s">
        <v>780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155</v>
      </c>
      <c r="D4132" t="s">
        <v>243</v>
      </c>
      <c r="E4132" t="s">
        <v>179</v>
      </c>
      <c r="F4132">
        <v>3</v>
      </c>
      <c r="G4132" t="s">
        <v>199</v>
      </c>
      <c r="H4132" t="s">
        <v>198</v>
      </c>
      <c r="I4132" t="s">
        <v>774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155</v>
      </c>
      <c r="D4133" t="s">
        <v>243</v>
      </c>
      <c r="E4133" t="s">
        <v>179</v>
      </c>
      <c r="F4133">
        <v>3</v>
      </c>
      <c r="G4133" t="s">
        <v>199</v>
      </c>
      <c r="H4133" t="s">
        <v>198</v>
      </c>
      <c r="I4133" t="s">
        <v>772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155</v>
      </c>
      <c r="D4134" t="s">
        <v>243</v>
      </c>
      <c r="E4134" t="s">
        <v>179</v>
      </c>
      <c r="F4134">
        <v>3</v>
      </c>
      <c r="G4134" t="s">
        <v>199</v>
      </c>
      <c r="H4134" t="s">
        <v>198</v>
      </c>
      <c r="I4134" t="s">
        <v>775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155</v>
      </c>
      <c r="D4135" t="s">
        <v>243</v>
      </c>
      <c r="E4135" t="s">
        <v>179</v>
      </c>
      <c r="F4135">
        <v>3</v>
      </c>
      <c r="G4135" t="s">
        <v>199</v>
      </c>
      <c r="H4135" t="s">
        <v>198</v>
      </c>
      <c r="I4135" t="s">
        <v>776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155</v>
      </c>
      <c r="D4136" t="s">
        <v>243</v>
      </c>
      <c r="E4136" t="s">
        <v>179</v>
      </c>
      <c r="F4136">
        <v>3</v>
      </c>
      <c r="G4136" t="s">
        <v>199</v>
      </c>
      <c r="H4136" t="s">
        <v>198</v>
      </c>
      <c r="I4136" t="s">
        <v>777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155</v>
      </c>
      <c r="D4137" t="s">
        <v>243</v>
      </c>
      <c r="E4137" t="s">
        <v>179</v>
      </c>
      <c r="F4137">
        <v>3</v>
      </c>
      <c r="G4137" t="s">
        <v>199</v>
      </c>
      <c r="H4137" t="s">
        <v>198</v>
      </c>
      <c r="I4137" t="s">
        <v>778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155</v>
      </c>
      <c r="D4138" t="s">
        <v>243</v>
      </c>
      <c r="E4138" t="s">
        <v>179</v>
      </c>
      <c r="F4138">
        <v>3</v>
      </c>
      <c r="G4138" t="s">
        <v>199</v>
      </c>
      <c r="H4138" t="s">
        <v>198</v>
      </c>
      <c r="I4138" t="s">
        <v>779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155</v>
      </c>
      <c r="D4139" t="s">
        <v>243</v>
      </c>
      <c r="E4139" t="s">
        <v>179</v>
      </c>
      <c r="F4139">
        <v>3</v>
      </c>
      <c r="G4139" t="s">
        <v>199</v>
      </c>
      <c r="H4139" t="s">
        <v>198</v>
      </c>
      <c r="I4139" t="s">
        <v>773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155</v>
      </c>
      <c r="D4140" t="s">
        <v>243</v>
      </c>
      <c r="E4140" t="s">
        <v>179</v>
      </c>
      <c r="F4140">
        <v>3</v>
      </c>
      <c r="G4140" t="s">
        <v>199</v>
      </c>
      <c r="H4140" t="s">
        <v>198</v>
      </c>
      <c r="I4140" t="s">
        <v>780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155</v>
      </c>
      <c r="D4141" t="s">
        <v>243</v>
      </c>
      <c r="E4141" t="s">
        <v>179</v>
      </c>
      <c r="F4141">
        <v>3</v>
      </c>
      <c r="G4141" t="s">
        <v>203</v>
      </c>
      <c r="H4141" t="s">
        <v>204</v>
      </c>
      <c r="I4141" t="s">
        <v>769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155</v>
      </c>
      <c r="D4142" t="s">
        <v>243</v>
      </c>
      <c r="E4142" t="s">
        <v>179</v>
      </c>
      <c r="F4142">
        <v>3</v>
      </c>
      <c r="G4142" t="s">
        <v>203</v>
      </c>
      <c r="H4142" t="s">
        <v>205</v>
      </c>
      <c r="I4142" t="s">
        <v>769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155</v>
      </c>
      <c r="D4143" t="s">
        <v>243</v>
      </c>
      <c r="E4143" t="s">
        <v>179</v>
      </c>
      <c r="F4143">
        <v>3</v>
      </c>
      <c r="G4143" t="s">
        <v>203</v>
      </c>
      <c r="H4143" t="s">
        <v>0</v>
      </c>
      <c r="I4143" t="s">
        <v>769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155</v>
      </c>
      <c r="D4144" t="s">
        <v>243</v>
      </c>
      <c r="E4144" t="s">
        <v>179</v>
      </c>
      <c r="F4144">
        <v>3</v>
      </c>
      <c r="G4144" t="s">
        <v>90</v>
      </c>
      <c r="H4144" t="s">
        <v>206</v>
      </c>
      <c r="I4144" t="s">
        <v>781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155</v>
      </c>
      <c r="D4145" t="s">
        <v>243</v>
      </c>
      <c r="E4145" t="s">
        <v>179</v>
      </c>
      <c r="F4145">
        <v>3</v>
      </c>
      <c r="G4145" t="s">
        <v>90</v>
      </c>
      <c r="H4145" t="s">
        <v>206</v>
      </c>
      <c r="I4145" t="s">
        <v>154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155</v>
      </c>
      <c r="D4146" t="s">
        <v>243</v>
      </c>
      <c r="E4146" t="s">
        <v>179</v>
      </c>
      <c r="F4146">
        <v>3</v>
      </c>
      <c r="G4146" t="s">
        <v>90</v>
      </c>
      <c r="H4146" t="s">
        <v>206</v>
      </c>
      <c r="I4146" t="s">
        <v>782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155</v>
      </c>
      <c r="D4147" t="s">
        <v>243</v>
      </c>
      <c r="E4147" t="s">
        <v>179</v>
      </c>
      <c r="F4147">
        <v>3</v>
      </c>
      <c r="G4147" t="s">
        <v>90</v>
      </c>
      <c r="H4147" t="s">
        <v>206</v>
      </c>
      <c r="I4147" t="s">
        <v>783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155</v>
      </c>
      <c r="D4148" t="s">
        <v>243</v>
      </c>
      <c r="E4148" t="s">
        <v>179</v>
      </c>
      <c r="F4148">
        <v>3</v>
      </c>
      <c r="G4148" t="s">
        <v>90</v>
      </c>
      <c r="H4148" t="s">
        <v>206</v>
      </c>
      <c r="I4148" t="s">
        <v>784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155</v>
      </c>
      <c r="D4149" t="s">
        <v>243</v>
      </c>
      <c r="E4149" t="s">
        <v>179</v>
      </c>
      <c r="F4149">
        <v>3</v>
      </c>
      <c r="G4149" t="s">
        <v>90</v>
      </c>
      <c r="H4149" t="s">
        <v>206</v>
      </c>
      <c r="I4149" t="s">
        <v>785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155</v>
      </c>
      <c r="D4150" t="s">
        <v>243</v>
      </c>
      <c r="E4150" t="s">
        <v>179</v>
      </c>
      <c r="F4150">
        <v>3</v>
      </c>
      <c r="G4150" t="s">
        <v>90</v>
      </c>
      <c r="H4150" t="s">
        <v>206</v>
      </c>
      <c r="I4150" t="s">
        <v>786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155</v>
      </c>
      <c r="D4151" t="s">
        <v>243</v>
      </c>
      <c r="E4151" t="s">
        <v>179</v>
      </c>
      <c r="F4151">
        <v>3</v>
      </c>
      <c r="G4151" t="s">
        <v>90</v>
      </c>
      <c r="H4151" t="s">
        <v>206</v>
      </c>
      <c r="I4151" t="s">
        <v>787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155</v>
      </c>
      <c r="D4152" t="s">
        <v>243</v>
      </c>
      <c r="E4152" t="s">
        <v>179</v>
      </c>
      <c r="F4152">
        <v>3</v>
      </c>
      <c r="G4152" t="s">
        <v>90</v>
      </c>
      <c r="H4152" t="s">
        <v>206</v>
      </c>
      <c r="I4152" t="s">
        <v>788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155</v>
      </c>
      <c r="D4153" t="s">
        <v>243</v>
      </c>
      <c r="E4153" t="s">
        <v>179</v>
      </c>
      <c r="F4153">
        <v>3</v>
      </c>
      <c r="G4153" t="s">
        <v>90</v>
      </c>
      <c r="H4153" t="s">
        <v>206</v>
      </c>
      <c r="I4153" t="s">
        <v>789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155</v>
      </c>
      <c r="D4154" t="s">
        <v>243</v>
      </c>
      <c r="E4154" t="s">
        <v>179</v>
      </c>
      <c r="F4154">
        <v>3</v>
      </c>
      <c r="G4154" t="s">
        <v>90</v>
      </c>
      <c r="H4154" t="s">
        <v>206</v>
      </c>
      <c r="I4154" t="s">
        <v>790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155</v>
      </c>
      <c r="D4155" t="s">
        <v>243</v>
      </c>
      <c r="E4155" t="s">
        <v>179</v>
      </c>
      <c r="F4155">
        <v>3</v>
      </c>
      <c r="G4155" t="s">
        <v>90</v>
      </c>
      <c r="H4155" t="s">
        <v>206</v>
      </c>
      <c r="I4155" t="s">
        <v>791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155</v>
      </c>
      <c r="D4156" t="s">
        <v>243</v>
      </c>
      <c r="E4156" t="s">
        <v>179</v>
      </c>
      <c r="F4156">
        <v>3</v>
      </c>
      <c r="G4156" t="s">
        <v>90</v>
      </c>
      <c r="H4156" t="s">
        <v>206</v>
      </c>
      <c r="I4156" t="s">
        <v>792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155</v>
      </c>
      <c r="D4157" t="s">
        <v>243</v>
      </c>
      <c r="E4157" t="s">
        <v>179</v>
      </c>
      <c r="F4157">
        <v>3</v>
      </c>
      <c r="G4157" t="s">
        <v>90</v>
      </c>
      <c r="H4157" t="s">
        <v>206</v>
      </c>
      <c r="I4157" t="s">
        <v>774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155</v>
      </c>
      <c r="D4158" t="s">
        <v>243</v>
      </c>
      <c r="E4158" t="s">
        <v>179</v>
      </c>
      <c r="F4158">
        <v>3</v>
      </c>
      <c r="G4158" t="s">
        <v>90</v>
      </c>
      <c r="H4158" t="s">
        <v>206</v>
      </c>
      <c r="I4158" t="s">
        <v>793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155</v>
      </c>
      <c r="D4159" t="s">
        <v>243</v>
      </c>
      <c r="E4159" t="s">
        <v>179</v>
      </c>
      <c r="F4159">
        <v>3</v>
      </c>
      <c r="G4159" t="s">
        <v>90</v>
      </c>
      <c r="H4159" t="s">
        <v>206</v>
      </c>
      <c r="I4159" t="s">
        <v>794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155</v>
      </c>
      <c r="D4160" t="s">
        <v>243</v>
      </c>
      <c r="E4160" t="s">
        <v>179</v>
      </c>
      <c r="F4160">
        <v>3</v>
      </c>
      <c r="G4160" t="s">
        <v>90</v>
      </c>
      <c r="H4160" t="s">
        <v>206</v>
      </c>
      <c r="I4160" t="s">
        <v>795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155</v>
      </c>
      <c r="D4161" t="s">
        <v>243</v>
      </c>
      <c r="E4161" t="s">
        <v>179</v>
      </c>
      <c r="F4161">
        <v>3</v>
      </c>
      <c r="G4161" t="s">
        <v>90</v>
      </c>
      <c r="H4161" t="s">
        <v>206</v>
      </c>
      <c r="I4161" t="s">
        <v>796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155</v>
      </c>
      <c r="D4162" t="s">
        <v>243</v>
      </c>
      <c r="E4162" t="s">
        <v>179</v>
      </c>
      <c r="F4162">
        <v>3</v>
      </c>
      <c r="G4162" t="s">
        <v>90</v>
      </c>
      <c r="H4162" t="s">
        <v>227</v>
      </c>
      <c r="I4162" t="s">
        <v>781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155</v>
      </c>
      <c r="D4163" t="s">
        <v>243</v>
      </c>
      <c r="E4163" t="s">
        <v>179</v>
      </c>
      <c r="F4163">
        <v>3</v>
      </c>
      <c r="G4163" t="s">
        <v>90</v>
      </c>
      <c r="H4163" t="s">
        <v>227</v>
      </c>
      <c r="I4163" t="s">
        <v>154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155</v>
      </c>
      <c r="D4164" t="s">
        <v>243</v>
      </c>
      <c r="E4164" t="s">
        <v>179</v>
      </c>
      <c r="F4164">
        <v>3</v>
      </c>
      <c r="G4164" t="s">
        <v>90</v>
      </c>
      <c r="H4164" t="s">
        <v>227</v>
      </c>
      <c r="I4164" t="s">
        <v>782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155</v>
      </c>
      <c r="D4165" t="s">
        <v>243</v>
      </c>
      <c r="E4165" t="s">
        <v>179</v>
      </c>
      <c r="F4165">
        <v>3</v>
      </c>
      <c r="G4165" t="s">
        <v>90</v>
      </c>
      <c r="H4165" t="s">
        <v>227</v>
      </c>
      <c r="I4165" t="s">
        <v>783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155</v>
      </c>
      <c r="D4166" t="s">
        <v>243</v>
      </c>
      <c r="E4166" t="s">
        <v>179</v>
      </c>
      <c r="F4166">
        <v>3</v>
      </c>
      <c r="G4166" t="s">
        <v>90</v>
      </c>
      <c r="H4166" t="s">
        <v>227</v>
      </c>
      <c r="I4166" t="s">
        <v>784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155</v>
      </c>
      <c r="D4167" t="s">
        <v>243</v>
      </c>
      <c r="E4167" t="s">
        <v>179</v>
      </c>
      <c r="F4167">
        <v>3</v>
      </c>
      <c r="G4167" t="s">
        <v>90</v>
      </c>
      <c r="H4167" t="s">
        <v>227</v>
      </c>
      <c r="I4167" t="s">
        <v>785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155</v>
      </c>
      <c r="D4168" t="s">
        <v>243</v>
      </c>
      <c r="E4168" t="s">
        <v>179</v>
      </c>
      <c r="F4168">
        <v>3</v>
      </c>
      <c r="G4168" t="s">
        <v>90</v>
      </c>
      <c r="H4168" t="s">
        <v>227</v>
      </c>
      <c r="I4168" t="s">
        <v>786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155</v>
      </c>
      <c r="D4169" t="s">
        <v>243</v>
      </c>
      <c r="E4169" t="s">
        <v>179</v>
      </c>
      <c r="F4169">
        <v>3</v>
      </c>
      <c r="G4169" t="s">
        <v>90</v>
      </c>
      <c r="H4169" t="s">
        <v>227</v>
      </c>
      <c r="I4169" t="s">
        <v>787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155</v>
      </c>
      <c r="D4170" t="s">
        <v>243</v>
      </c>
      <c r="E4170" t="s">
        <v>179</v>
      </c>
      <c r="F4170">
        <v>3</v>
      </c>
      <c r="G4170" t="s">
        <v>90</v>
      </c>
      <c r="H4170" t="s">
        <v>227</v>
      </c>
      <c r="I4170" t="s">
        <v>788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155</v>
      </c>
      <c r="D4171" t="s">
        <v>243</v>
      </c>
      <c r="E4171" t="s">
        <v>179</v>
      </c>
      <c r="F4171">
        <v>3</v>
      </c>
      <c r="G4171" t="s">
        <v>90</v>
      </c>
      <c r="H4171" t="s">
        <v>227</v>
      </c>
      <c r="I4171" t="s">
        <v>789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155</v>
      </c>
      <c r="D4172" t="s">
        <v>243</v>
      </c>
      <c r="E4172" t="s">
        <v>179</v>
      </c>
      <c r="F4172">
        <v>3</v>
      </c>
      <c r="G4172" t="s">
        <v>90</v>
      </c>
      <c r="H4172" t="s">
        <v>227</v>
      </c>
      <c r="I4172" t="s">
        <v>790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155</v>
      </c>
      <c r="D4173" t="s">
        <v>243</v>
      </c>
      <c r="E4173" t="s">
        <v>179</v>
      </c>
      <c r="F4173">
        <v>3</v>
      </c>
      <c r="G4173" t="s">
        <v>90</v>
      </c>
      <c r="H4173" t="s">
        <v>227</v>
      </c>
      <c r="I4173" t="s">
        <v>791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155</v>
      </c>
      <c r="D4174" t="s">
        <v>243</v>
      </c>
      <c r="E4174" t="s">
        <v>179</v>
      </c>
      <c r="F4174">
        <v>3</v>
      </c>
      <c r="G4174" t="s">
        <v>90</v>
      </c>
      <c r="H4174" t="s">
        <v>227</v>
      </c>
      <c r="I4174" t="s">
        <v>792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155</v>
      </c>
      <c r="D4175" t="s">
        <v>243</v>
      </c>
      <c r="E4175" t="s">
        <v>179</v>
      </c>
      <c r="F4175">
        <v>3</v>
      </c>
      <c r="G4175" t="s">
        <v>90</v>
      </c>
      <c r="H4175" t="s">
        <v>227</v>
      </c>
      <c r="I4175" t="s">
        <v>774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155</v>
      </c>
      <c r="D4176" t="s">
        <v>243</v>
      </c>
      <c r="E4176" t="s">
        <v>179</v>
      </c>
      <c r="F4176">
        <v>3</v>
      </c>
      <c r="G4176" t="s">
        <v>90</v>
      </c>
      <c r="H4176" t="s">
        <v>227</v>
      </c>
      <c r="I4176" t="s">
        <v>793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155</v>
      </c>
      <c r="D4177" t="s">
        <v>243</v>
      </c>
      <c r="E4177" t="s">
        <v>179</v>
      </c>
      <c r="F4177">
        <v>3</v>
      </c>
      <c r="G4177" t="s">
        <v>90</v>
      </c>
      <c r="H4177" t="s">
        <v>227</v>
      </c>
      <c r="I4177" t="s">
        <v>794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155</v>
      </c>
      <c r="D4178" t="s">
        <v>243</v>
      </c>
      <c r="E4178" t="s">
        <v>179</v>
      </c>
      <c r="F4178">
        <v>3</v>
      </c>
      <c r="G4178" t="s">
        <v>90</v>
      </c>
      <c r="H4178" t="s">
        <v>227</v>
      </c>
      <c r="I4178" t="s">
        <v>795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155</v>
      </c>
      <c r="D4179" t="s">
        <v>243</v>
      </c>
      <c r="E4179" t="s">
        <v>179</v>
      </c>
      <c r="F4179">
        <v>3</v>
      </c>
      <c r="G4179" t="s">
        <v>90</v>
      </c>
      <c r="H4179" t="s">
        <v>227</v>
      </c>
      <c r="I4179" t="s">
        <v>796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155</v>
      </c>
      <c r="D4180" t="s">
        <v>243</v>
      </c>
      <c r="E4180" t="s">
        <v>179</v>
      </c>
      <c r="F4180">
        <v>3</v>
      </c>
      <c r="G4180" t="s">
        <v>90</v>
      </c>
      <c r="H4180" t="s">
        <v>228</v>
      </c>
      <c r="I4180" t="s">
        <v>781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155</v>
      </c>
      <c r="D4181" t="s">
        <v>243</v>
      </c>
      <c r="E4181" t="s">
        <v>179</v>
      </c>
      <c r="F4181">
        <v>3</v>
      </c>
      <c r="G4181" t="s">
        <v>90</v>
      </c>
      <c r="H4181" t="s">
        <v>228</v>
      </c>
      <c r="I4181" t="s">
        <v>154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155</v>
      </c>
      <c r="D4182" t="s">
        <v>243</v>
      </c>
      <c r="E4182" t="s">
        <v>179</v>
      </c>
      <c r="F4182">
        <v>3</v>
      </c>
      <c r="G4182" t="s">
        <v>90</v>
      </c>
      <c r="H4182" t="s">
        <v>228</v>
      </c>
      <c r="I4182" t="s">
        <v>782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155</v>
      </c>
      <c r="D4183" t="s">
        <v>243</v>
      </c>
      <c r="E4183" t="s">
        <v>179</v>
      </c>
      <c r="F4183">
        <v>3</v>
      </c>
      <c r="G4183" t="s">
        <v>90</v>
      </c>
      <c r="H4183" t="s">
        <v>228</v>
      </c>
      <c r="I4183" t="s">
        <v>783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155</v>
      </c>
      <c r="D4184" t="s">
        <v>243</v>
      </c>
      <c r="E4184" t="s">
        <v>179</v>
      </c>
      <c r="F4184">
        <v>3</v>
      </c>
      <c r="G4184" t="s">
        <v>90</v>
      </c>
      <c r="H4184" t="s">
        <v>228</v>
      </c>
      <c r="I4184" t="s">
        <v>784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155</v>
      </c>
      <c r="D4185" t="s">
        <v>243</v>
      </c>
      <c r="E4185" t="s">
        <v>179</v>
      </c>
      <c r="F4185">
        <v>3</v>
      </c>
      <c r="G4185" t="s">
        <v>90</v>
      </c>
      <c r="H4185" t="s">
        <v>228</v>
      </c>
      <c r="I4185" t="s">
        <v>785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155</v>
      </c>
      <c r="D4186" t="s">
        <v>243</v>
      </c>
      <c r="E4186" t="s">
        <v>179</v>
      </c>
      <c r="F4186">
        <v>3</v>
      </c>
      <c r="G4186" t="s">
        <v>90</v>
      </c>
      <c r="H4186" t="s">
        <v>228</v>
      </c>
      <c r="I4186" t="s">
        <v>786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155</v>
      </c>
      <c r="D4187" t="s">
        <v>243</v>
      </c>
      <c r="E4187" t="s">
        <v>179</v>
      </c>
      <c r="F4187">
        <v>3</v>
      </c>
      <c r="G4187" t="s">
        <v>90</v>
      </c>
      <c r="H4187" t="s">
        <v>228</v>
      </c>
      <c r="I4187" t="s">
        <v>787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155</v>
      </c>
      <c r="D4188" t="s">
        <v>243</v>
      </c>
      <c r="E4188" t="s">
        <v>179</v>
      </c>
      <c r="F4188">
        <v>3</v>
      </c>
      <c r="G4188" t="s">
        <v>90</v>
      </c>
      <c r="H4188" t="s">
        <v>228</v>
      </c>
      <c r="I4188" t="s">
        <v>788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155</v>
      </c>
      <c r="D4189" t="s">
        <v>243</v>
      </c>
      <c r="E4189" t="s">
        <v>179</v>
      </c>
      <c r="F4189">
        <v>3</v>
      </c>
      <c r="G4189" t="s">
        <v>90</v>
      </c>
      <c r="H4189" t="s">
        <v>228</v>
      </c>
      <c r="I4189" t="s">
        <v>789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155</v>
      </c>
      <c r="D4190" t="s">
        <v>243</v>
      </c>
      <c r="E4190" t="s">
        <v>179</v>
      </c>
      <c r="F4190">
        <v>3</v>
      </c>
      <c r="G4190" t="s">
        <v>90</v>
      </c>
      <c r="H4190" t="s">
        <v>228</v>
      </c>
      <c r="I4190" t="s">
        <v>790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155</v>
      </c>
      <c r="D4191" t="s">
        <v>243</v>
      </c>
      <c r="E4191" t="s">
        <v>179</v>
      </c>
      <c r="F4191">
        <v>3</v>
      </c>
      <c r="G4191" t="s">
        <v>90</v>
      </c>
      <c r="H4191" t="s">
        <v>228</v>
      </c>
      <c r="I4191" t="s">
        <v>791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155</v>
      </c>
      <c r="D4192" t="s">
        <v>243</v>
      </c>
      <c r="E4192" t="s">
        <v>179</v>
      </c>
      <c r="F4192">
        <v>3</v>
      </c>
      <c r="G4192" t="s">
        <v>90</v>
      </c>
      <c r="H4192" t="s">
        <v>228</v>
      </c>
      <c r="I4192" t="s">
        <v>792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155</v>
      </c>
      <c r="D4193" t="s">
        <v>243</v>
      </c>
      <c r="E4193" t="s">
        <v>179</v>
      </c>
      <c r="F4193">
        <v>3</v>
      </c>
      <c r="G4193" t="s">
        <v>90</v>
      </c>
      <c r="H4193" t="s">
        <v>228</v>
      </c>
      <c r="I4193" t="s">
        <v>774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155</v>
      </c>
      <c r="D4194" t="s">
        <v>243</v>
      </c>
      <c r="E4194" t="s">
        <v>179</v>
      </c>
      <c r="F4194">
        <v>3</v>
      </c>
      <c r="G4194" t="s">
        <v>90</v>
      </c>
      <c r="H4194" t="s">
        <v>228</v>
      </c>
      <c r="I4194" t="s">
        <v>793</v>
      </c>
      <c r="J4194">
        <v>0</v>
      </c>
    </row>
    <row r="4195" spans="1:10" x14ac:dyDescent="0.25">
      <c r="A4195" s="1" t="s">
        <v>27</v>
      </c>
      <c r="B4195">
        <v>401752803</v>
      </c>
      <c r="C4195" t="s">
        <v>155</v>
      </c>
      <c r="D4195" t="s">
        <v>243</v>
      </c>
      <c r="E4195" t="s">
        <v>179</v>
      </c>
      <c r="F4195">
        <v>3</v>
      </c>
      <c r="G4195" t="s">
        <v>90</v>
      </c>
      <c r="H4195" t="s">
        <v>228</v>
      </c>
      <c r="I4195" t="s">
        <v>794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155</v>
      </c>
      <c r="D4196" t="s">
        <v>243</v>
      </c>
      <c r="E4196" t="s">
        <v>179</v>
      </c>
      <c r="F4196">
        <v>3</v>
      </c>
      <c r="G4196" t="s">
        <v>90</v>
      </c>
      <c r="H4196" t="s">
        <v>228</v>
      </c>
      <c r="I4196" t="s">
        <v>795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155</v>
      </c>
      <c r="D4197" t="s">
        <v>243</v>
      </c>
      <c r="E4197" t="s">
        <v>179</v>
      </c>
      <c r="F4197">
        <v>3</v>
      </c>
      <c r="G4197" t="s">
        <v>90</v>
      </c>
      <c r="H4197" t="s">
        <v>228</v>
      </c>
      <c r="I4197" t="s">
        <v>796</v>
      </c>
      <c r="J4197">
        <v>0</v>
      </c>
    </row>
    <row r="4198" spans="1:10" x14ac:dyDescent="0.25">
      <c r="A4198" s="1" t="s">
        <v>27</v>
      </c>
      <c r="B4198">
        <v>401752803</v>
      </c>
      <c r="C4198" t="s">
        <v>155</v>
      </c>
      <c r="D4198" t="s">
        <v>243</v>
      </c>
      <c r="E4198" t="s">
        <v>179</v>
      </c>
      <c r="F4198">
        <v>3</v>
      </c>
      <c r="G4198" t="s">
        <v>90</v>
      </c>
      <c r="H4198" t="s">
        <v>229</v>
      </c>
      <c r="I4198" t="s">
        <v>781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155</v>
      </c>
      <c r="D4199" t="s">
        <v>243</v>
      </c>
      <c r="E4199" t="s">
        <v>179</v>
      </c>
      <c r="F4199">
        <v>3</v>
      </c>
      <c r="G4199" t="s">
        <v>90</v>
      </c>
      <c r="H4199" t="s">
        <v>229</v>
      </c>
      <c r="I4199" t="s">
        <v>154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155</v>
      </c>
      <c r="D4200" t="s">
        <v>243</v>
      </c>
      <c r="E4200" t="s">
        <v>179</v>
      </c>
      <c r="F4200">
        <v>3</v>
      </c>
      <c r="G4200" t="s">
        <v>90</v>
      </c>
      <c r="H4200" t="s">
        <v>229</v>
      </c>
      <c r="I4200" t="s">
        <v>782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155</v>
      </c>
      <c r="D4201" t="s">
        <v>243</v>
      </c>
      <c r="E4201" t="s">
        <v>179</v>
      </c>
      <c r="F4201">
        <v>3</v>
      </c>
      <c r="G4201" t="s">
        <v>90</v>
      </c>
      <c r="H4201" t="s">
        <v>229</v>
      </c>
      <c r="I4201" t="s">
        <v>783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155</v>
      </c>
      <c r="D4202" t="s">
        <v>243</v>
      </c>
      <c r="E4202" t="s">
        <v>179</v>
      </c>
      <c r="F4202">
        <v>3</v>
      </c>
      <c r="G4202" t="s">
        <v>90</v>
      </c>
      <c r="H4202" t="s">
        <v>229</v>
      </c>
      <c r="I4202" t="s">
        <v>784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155</v>
      </c>
      <c r="D4203" t="s">
        <v>243</v>
      </c>
      <c r="E4203" t="s">
        <v>179</v>
      </c>
      <c r="F4203">
        <v>3</v>
      </c>
      <c r="G4203" t="s">
        <v>90</v>
      </c>
      <c r="H4203" t="s">
        <v>229</v>
      </c>
      <c r="I4203" t="s">
        <v>785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155</v>
      </c>
      <c r="D4204" t="s">
        <v>243</v>
      </c>
      <c r="E4204" t="s">
        <v>179</v>
      </c>
      <c r="F4204">
        <v>3</v>
      </c>
      <c r="G4204" t="s">
        <v>90</v>
      </c>
      <c r="H4204" t="s">
        <v>229</v>
      </c>
      <c r="I4204" t="s">
        <v>786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155</v>
      </c>
      <c r="D4205" t="s">
        <v>243</v>
      </c>
      <c r="E4205" t="s">
        <v>179</v>
      </c>
      <c r="F4205">
        <v>3</v>
      </c>
      <c r="G4205" t="s">
        <v>90</v>
      </c>
      <c r="H4205" t="s">
        <v>229</v>
      </c>
      <c r="I4205" t="s">
        <v>787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155</v>
      </c>
      <c r="D4206" t="s">
        <v>243</v>
      </c>
      <c r="E4206" t="s">
        <v>179</v>
      </c>
      <c r="F4206">
        <v>3</v>
      </c>
      <c r="G4206" t="s">
        <v>90</v>
      </c>
      <c r="H4206" t="s">
        <v>229</v>
      </c>
      <c r="I4206" t="s">
        <v>788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155</v>
      </c>
      <c r="D4207" t="s">
        <v>243</v>
      </c>
      <c r="E4207" t="s">
        <v>179</v>
      </c>
      <c r="F4207">
        <v>3</v>
      </c>
      <c r="G4207" t="s">
        <v>90</v>
      </c>
      <c r="H4207" t="s">
        <v>229</v>
      </c>
      <c r="I4207" t="s">
        <v>789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155</v>
      </c>
      <c r="D4208" t="s">
        <v>243</v>
      </c>
      <c r="E4208" t="s">
        <v>179</v>
      </c>
      <c r="F4208">
        <v>3</v>
      </c>
      <c r="G4208" t="s">
        <v>90</v>
      </c>
      <c r="H4208" t="s">
        <v>229</v>
      </c>
      <c r="I4208" t="s">
        <v>790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155</v>
      </c>
      <c r="D4209" t="s">
        <v>243</v>
      </c>
      <c r="E4209" t="s">
        <v>179</v>
      </c>
      <c r="F4209">
        <v>3</v>
      </c>
      <c r="G4209" t="s">
        <v>90</v>
      </c>
      <c r="H4209" t="s">
        <v>229</v>
      </c>
      <c r="I4209" t="s">
        <v>791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155</v>
      </c>
      <c r="D4210" t="s">
        <v>243</v>
      </c>
      <c r="E4210" t="s">
        <v>179</v>
      </c>
      <c r="F4210">
        <v>3</v>
      </c>
      <c r="G4210" t="s">
        <v>90</v>
      </c>
      <c r="H4210" t="s">
        <v>229</v>
      </c>
      <c r="I4210" t="s">
        <v>792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155</v>
      </c>
      <c r="D4211" t="s">
        <v>243</v>
      </c>
      <c r="E4211" t="s">
        <v>179</v>
      </c>
      <c r="F4211">
        <v>3</v>
      </c>
      <c r="G4211" t="s">
        <v>90</v>
      </c>
      <c r="H4211" t="s">
        <v>229</v>
      </c>
      <c r="I4211" t="s">
        <v>774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155</v>
      </c>
      <c r="D4212" t="s">
        <v>243</v>
      </c>
      <c r="E4212" t="s">
        <v>179</v>
      </c>
      <c r="F4212">
        <v>3</v>
      </c>
      <c r="G4212" t="s">
        <v>90</v>
      </c>
      <c r="H4212" t="s">
        <v>229</v>
      </c>
      <c r="I4212" t="s">
        <v>793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155</v>
      </c>
      <c r="D4213" t="s">
        <v>243</v>
      </c>
      <c r="E4213" t="s">
        <v>179</v>
      </c>
      <c r="F4213">
        <v>3</v>
      </c>
      <c r="G4213" t="s">
        <v>90</v>
      </c>
      <c r="H4213" t="s">
        <v>229</v>
      </c>
      <c r="I4213" t="s">
        <v>794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155</v>
      </c>
      <c r="D4214" t="s">
        <v>243</v>
      </c>
      <c r="E4214" t="s">
        <v>179</v>
      </c>
      <c r="F4214">
        <v>3</v>
      </c>
      <c r="G4214" t="s">
        <v>90</v>
      </c>
      <c r="H4214" t="s">
        <v>229</v>
      </c>
      <c r="I4214" t="s">
        <v>795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155</v>
      </c>
      <c r="D4215" t="s">
        <v>243</v>
      </c>
      <c r="E4215" t="s">
        <v>179</v>
      </c>
      <c r="F4215">
        <v>3</v>
      </c>
      <c r="G4215" t="s">
        <v>90</v>
      </c>
      <c r="H4215" t="s">
        <v>229</v>
      </c>
      <c r="I4215" t="s">
        <v>796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155</v>
      </c>
      <c r="D4216" t="s">
        <v>243</v>
      </c>
      <c r="E4216" t="s">
        <v>179</v>
      </c>
      <c r="F4216">
        <v>3</v>
      </c>
      <c r="G4216" t="s">
        <v>90</v>
      </c>
      <c r="H4216" t="s">
        <v>91</v>
      </c>
      <c r="I4216" t="s">
        <v>781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155</v>
      </c>
      <c r="D4217" t="s">
        <v>243</v>
      </c>
      <c r="E4217" t="s">
        <v>179</v>
      </c>
      <c r="F4217">
        <v>3</v>
      </c>
      <c r="G4217" t="s">
        <v>90</v>
      </c>
      <c r="H4217" t="s">
        <v>91</v>
      </c>
      <c r="I4217" t="s">
        <v>154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155</v>
      </c>
      <c r="D4218" t="s">
        <v>243</v>
      </c>
      <c r="E4218" t="s">
        <v>179</v>
      </c>
      <c r="F4218">
        <v>3</v>
      </c>
      <c r="G4218" t="s">
        <v>90</v>
      </c>
      <c r="H4218" t="s">
        <v>91</v>
      </c>
      <c r="I4218" t="s">
        <v>782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155</v>
      </c>
      <c r="D4219" t="s">
        <v>243</v>
      </c>
      <c r="E4219" t="s">
        <v>179</v>
      </c>
      <c r="F4219">
        <v>3</v>
      </c>
      <c r="G4219" t="s">
        <v>90</v>
      </c>
      <c r="H4219" t="s">
        <v>91</v>
      </c>
      <c r="I4219" t="s">
        <v>783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155</v>
      </c>
      <c r="D4220" t="s">
        <v>243</v>
      </c>
      <c r="E4220" t="s">
        <v>179</v>
      </c>
      <c r="F4220">
        <v>3</v>
      </c>
      <c r="G4220" t="s">
        <v>90</v>
      </c>
      <c r="H4220" t="s">
        <v>91</v>
      </c>
      <c r="I4220" t="s">
        <v>784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155</v>
      </c>
      <c r="D4221" t="s">
        <v>243</v>
      </c>
      <c r="E4221" t="s">
        <v>179</v>
      </c>
      <c r="F4221">
        <v>3</v>
      </c>
      <c r="G4221" t="s">
        <v>90</v>
      </c>
      <c r="H4221" t="s">
        <v>91</v>
      </c>
      <c r="I4221" t="s">
        <v>785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155</v>
      </c>
      <c r="D4222" t="s">
        <v>243</v>
      </c>
      <c r="E4222" t="s">
        <v>179</v>
      </c>
      <c r="F4222">
        <v>3</v>
      </c>
      <c r="G4222" t="s">
        <v>90</v>
      </c>
      <c r="H4222" t="s">
        <v>91</v>
      </c>
      <c r="I4222" t="s">
        <v>786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155</v>
      </c>
      <c r="D4223" t="s">
        <v>243</v>
      </c>
      <c r="E4223" t="s">
        <v>179</v>
      </c>
      <c r="F4223">
        <v>3</v>
      </c>
      <c r="G4223" t="s">
        <v>90</v>
      </c>
      <c r="H4223" t="s">
        <v>91</v>
      </c>
      <c r="I4223" t="s">
        <v>787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155</v>
      </c>
      <c r="D4224" t="s">
        <v>243</v>
      </c>
      <c r="E4224" t="s">
        <v>179</v>
      </c>
      <c r="F4224">
        <v>3</v>
      </c>
      <c r="G4224" t="s">
        <v>90</v>
      </c>
      <c r="H4224" t="s">
        <v>91</v>
      </c>
      <c r="I4224" t="s">
        <v>788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155</v>
      </c>
      <c r="D4225" t="s">
        <v>243</v>
      </c>
      <c r="E4225" t="s">
        <v>179</v>
      </c>
      <c r="F4225">
        <v>3</v>
      </c>
      <c r="G4225" t="s">
        <v>90</v>
      </c>
      <c r="H4225" t="s">
        <v>91</v>
      </c>
      <c r="I4225" t="s">
        <v>789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155</v>
      </c>
      <c r="D4226" t="s">
        <v>243</v>
      </c>
      <c r="E4226" t="s">
        <v>179</v>
      </c>
      <c r="F4226">
        <v>3</v>
      </c>
      <c r="G4226" t="s">
        <v>90</v>
      </c>
      <c r="H4226" t="s">
        <v>91</v>
      </c>
      <c r="I4226" t="s">
        <v>790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155</v>
      </c>
      <c r="D4227" t="s">
        <v>243</v>
      </c>
      <c r="E4227" t="s">
        <v>179</v>
      </c>
      <c r="F4227">
        <v>3</v>
      </c>
      <c r="G4227" t="s">
        <v>90</v>
      </c>
      <c r="H4227" t="s">
        <v>91</v>
      </c>
      <c r="I4227" t="s">
        <v>791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155</v>
      </c>
      <c r="D4228" t="s">
        <v>243</v>
      </c>
      <c r="E4228" t="s">
        <v>179</v>
      </c>
      <c r="F4228">
        <v>3</v>
      </c>
      <c r="G4228" t="s">
        <v>90</v>
      </c>
      <c r="H4228" t="s">
        <v>91</v>
      </c>
      <c r="I4228" t="s">
        <v>792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155</v>
      </c>
      <c r="D4229" t="s">
        <v>243</v>
      </c>
      <c r="E4229" t="s">
        <v>179</v>
      </c>
      <c r="F4229">
        <v>3</v>
      </c>
      <c r="G4229" t="s">
        <v>90</v>
      </c>
      <c r="H4229" t="s">
        <v>91</v>
      </c>
      <c r="I4229" t="s">
        <v>774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155</v>
      </c>
      <c r="D4230" t="s">
        <v>243</v>
      </c>
      <c r="E4230" t="s">
        <v>179</v>
      </c>
      <c r="F4230">
        <v>3</v>
      </c>
      <c r="G4230" t="s">
        <v>90</v>
      </c>
      <c r="H4230" t="s">
        <v>91</v>
      </c>
      <c r="I4230" t="s">
        <v>793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155</v>
      </c>
      <c r="D4231" t="s">
        <v>243</v>
      </c>
      <c r="E4231" t="s">
        <v>179</v>
      </c>
      <c r="F4231">
        <v>3</v>
      </c>
      <c r="G4231" t="s">
        <v>90</v>
      </c>
      <c r="H4231" t="s">
        <v>91</v>
      </c>
      <c r="I4231" t="s">
        <v>794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155</v>
      </c>
      <c r="D4232" t="s">
        <v>243</v>
      </c>
      <c r="E4232" t="s">
        <v>179</v>
      </c>
      <c r="F4232">
        <v>3</v>
      </c>
      <c r="G4232" t="s">
        <v>90</v>
      </c>
      <c r="H4232" t="s">
        <v>91</v>
      </c>
      <c r="I4232" t="s">
        <v>795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155</v>
      </c>
      <c r="D4233" t="s">
        <v>243</v>
      </c>
      <c r="E4233" t="s">
        <v>179</v>
      </c>
      <c r="F4233">
        <v>3</v>
      </c>
      <c r="G4233" t="s">
        <v>90</v>
      </c>
      <c r="H4233" t="s">
        <v>91</v>
      </c>
      <c r="I4233" t="s">
        <v>796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155</v>
      </c>
      <c r="D4234" t="s">
        <v>243</v>
      </c>
      <c r="E4234" t="s">
        <v>179</v>
      </c>
      <c r="F4234">
        <v>3</v>
      </c>
      <c r="G4234" t="s">
        <v>90</v>
      </c>
      <c r="H4234" t="s">
        <v>230</v>
      </c>
      <c r="I4234" t="s">
        <v>781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155</v>
      </c>
      <c r="D4235" t="s">
        <v>243</v>
      </c>
      <c r="E4235" t="s">
        <v>179</v>
      </c>
      <c r="F4235">
        <v>3</v>
      </c>
      <c r="G4235" t="s">
        <v>90</v>
      </c>
      <c r="H4235" t="s">
        <v>230</v>
      </c>
      <c r="I4235" t="s">
        <v>154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155</v>
      </c>
      <c r="D4236" t="s">
        <v>243</v>
      </c>
      <c r="E4236" t="s">
        <v>179</v>
      </c>
      <c r="F4236">
        <v>3</v>
      </c>
      <c r="G4236" t="s">
        <v>90</v>
      </c>
      <c r="H4236" t="s">
        <v>230</v>
      </c>
      <c r="I4236" t="s">
        <v>782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155</v>
      </c>
      <c r="D4237" t="s">
        <v>243</v>
      </c>
      <c r="E4237" t="s">
        <v>179</v>
      </c>
      <c r="F4237">
        <v>3</v>
      </c>
      <c r="G4237" t="s">
        <v>90</v>
      </c>
      <c r="H4237" t="s">
        <v>230</v>
      </c>
      <c r="I4237" t="s">
        <v>783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155</v>
      </c>
      <c r="D4238" t="s">
        <v>243</v>
      </c>
      <c r="E4238" t="s">
        <v>179</v>
      </c>
      <c r="F4238">
        <v>3</v>
      </c>
      <c r="G4238" t="s">
        <v>90</v>
      </c>
      <c r="H4238" t="s">
        <v>230</v>
      </c>
      <c r="I4238" t="s">
        <v>784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155</v>
      </c>
      <c r="D4239" t="s">
        <v>243</v>
      </c>
      <c r="E4239" t="s">
        <v>179</v>
      </c>
      <c r="F4239">
        <v>3</v>
      </c>
      <c r="G4239" t="s">
        <v>90</v>
      </c>
      <c r="H4239" t="s">
        <v>230</v>
      </c>
      <c r="I4239" t="s">
        <v>785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155</v>
      </c>
      <c r="D4240" t="s">
        <v>243</v>
      </c>
      <c r="E4240" t="s">
        <v>179</v>
      </c>
      <c r="F4240">
        <v>3</v>
      </c>
      <c r="G4240" t="s">
        <v>90</v>
      </c>
      <c r="H4240" t="s">
        <v>230</v>
      </c>
      <c r="I4240" t="s">
        <v>786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155</v>
      </c>
      <c r="D4241" t="s">
        <v>243</v>
      </c>
      <c r="E4241" t="s">
        <v>179</v>
      </c>
      <c r="F4241">
        <v>3</v>
      </c>
      <c r="G4241" t="s">
        <v>90</v>
      </c>
      <c r="H4241" t="s">
        <v>230</v>
      </c>
      <c r="I4241" t="s">
        <v>787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155</v>
      </c>
      <c r="D4242" t="s">
        <v>243</v>
      </c>
      <c r="E4242" t="s">
        <v>179</v>
      </c>
      <c r="F4242">
        <v>3</v>
      </c>
      <c r="G4242" t="s">
        <v>90</v>
      </c>
      <c r="H4242" t="s">
        <v>230</v>
      </c>
      <c r="I4242" t="s">
        <v>788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155</v>
      </c>
      <c r="D4243" t="s">
        <v>243</v>
      </c>
      <c r="E4243" t="s">
        <v>179</v>
      </c>
      <c r="F4243">
        <v>3</v>
      </c>
      <c r="G4243" t="s">
        <v>90</v>
      </c>
      <c r="H4243" t="s">
        <v>230</v>
      </c>
      <c r="I4243" t="s">
        <v>789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155</v>
      </c>
      <c r="D4244" t="s">
        <v>243</v>
      </c>
      <c r="E4244" t="s">
        <v>179</v>
      </c>
      <c r="F4244">
        <v>3</v>
      </c>
      <c r="G4244" t="s">
        <v>90</v>
      </c>
      <c r="H4244" t="s">
        <v>230</v>
      </c>
      <c r="I4244" t="s">
        <v>790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155</v>
      </c>
      <c r="D4245" t="s">
        <v>243</v>
      </c>
      <c r="E4245" t="s">
        <v>179</v>
      </c>
      <c r="F4245">
        <v>3</v>
      </c>
      <c r="G4245" t="s">
        <v>90</v>
      </c>
      <c r="H4245" t="s">
        <v>230</v>
      </c>
      <c r="I4245" t="s">
        <v>791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155</v>
      </c>
      <c r="D4246" t="s">
        <v>243</v>
      </c>
      <c r="E4246" t="s">
        <v>179</v>
      </c>
      <c r="F4246">
        <v>3</v>
      </c>
      <c r="G4246" t="s">
        <v>90</v>
      </c>
      <c r="H4246" t="s">
        <v>230</v>
      </c>
      <c r="I4246" t="s">
        <v>792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155</v>
      </c>
      <c r="D4247" t="s">
        <v>243</v>
      </c>
      <c r="E4247" t="s">
        <v>179</v>
      </c>
      <c r="F4247">
        <v>3</v>
      </c>
      <c r="G4247" t="s">
        <v>90</v>
      </c>
      <c r="H4247" t="s">
        <v>230</v>
      </c>
      <c r="I4247" t="s">
        <v>774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155</v>
      </c>
      <c r="D4248" t="s">
        <v>243</v>
      </c>
      <c r="E4248" t="s">
        <v>179</v>
      </c>
      <c r="F4248">
        <v>3</v>
      </c>
      <c r="G4248" t="s">
        <v>90</v>
      </c>
      <c r="H4248" t="s">
        <v>230</v>
      </c>
      <c r="I4248" t="s">
        <v>793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155</v>
      </c>
      <c r="D4249" t="s">
        <v>243</v>
      </c>
      <c r="E4249" t="s">
        <v>179</v>
      </c>
      <c r="F4249">
        <v>3</v>
      </c>
      <c r="G4249" t="s">
        <v>90</v>
      </c>
      <c r="H4249" t="s">
        <v>230</v>
      </c>
      <c r="I4249" t="s">
        <v>794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155</v>
      </c>
      <c r="D4250" t="s">
        <v>243</v>
      </c>
      <c r="E4250" t="s">
        <v>179</v>
      </c>
      <c r="F4250">
        <v>3</v>
      </c>
      <c r="G4250" t="s">
        <v>90</v>
      </c>
      <c r="H4250" t="s">
        <v>230</v>
      </c>
      <c r="I4250" t="s">
        <v>795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155</v>
      </c>
      <c r="D4251" t="s">
        <v>243</v>
      </c>
      <c r="E4251" t="s">
        <v>179</v>
      </c>
      <c r="F4251">
        <v>3</v>
      </c>
      <c r="G4251" t="s">
        <v>90</v>
      </c>
      <c r="H4251" t="s">
        <v>230</v>
      </c>
      <c r="I4251" t="s">
        <v>796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155</v>
      </c>
      <c r="D4252" t="s">
        <v>243</v>
      </c>
      <c r="E4252" t="s">
        <v>179</v>
      </c>
      <c r="F4252">
        <v>3</v>
      </c>
      <c r="G4252" t="s">
        <v>90</v>
      </c>
      <c r="H4252" t="s">
        <v>188</v>
      </c>
      <c r="I4252" t="s">
        <v>781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155</v>
      </c>
      <c r="D4253" t="s">
        <v>243</v>
      </c>
      <c r="E4253" t="s">
        <v>179</v>
      </c>
      <c r="F4253">
        <v>3</v>
      </c>
      <c r="G4253" t="s">
        <v>90</v>
      </c>
      <c r="H4253" t="s">
        <v>188</v>
      </c>
      <c r="I4253" t="s">
        <v>154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155</v>
      </c>
      <c r="D4254" t="s">
        <v>243</v>
      </c>
      <c r="E4254" t="s">
        <v>179</v>
      </c>
      <c r="F4254">
        <v>3</v>
      </c>
      <c r="G4254" t="s">
        <v>90</v>
      </c>
      <c r="H4254" t="s">
        <v>188</v>
      </c>
      <c r="I4254" t="s">
        <v>782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155</v>
      </c>
      <c r="D4255" t="s">
        <v>243</v>
      </c>
      <c r="E4255" t="s">
        <v>179</v>
      </c>
      <c r="F4255">
        <v>3</v>
      </c>
      <c r="G4255" t="s">
        <v>90</v>
      </c>
      <c r="H4255" t="s">
        <v>188</v>
      </c>
      <c r="I4255" t="s">
        <v>783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155</v>
      </c>
      <c r="D4256" t="s">
        <v>243</v>
      </c>
      <c r="E4256" t="s">
        <v>179</v>
      </c>
      <c r="F4256">
        <v>3</v>
      </c>
      <c r="G4256" t="s">
        <v>90</v>
      </c>
      <c r="H4256" t="s">
        <v>188</v>
      </c>
      <c r="I4256" t="s">
        <v>784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155</v>
      </c>
      <c r="D4257" t="s">
        <v>243</v>
      </c>
      <c r="E4257" t="s">
        <v>179</v>
      </c>
      <c r="F4257">
        <v>3</v>
      </c>
      <c r="G4257" t="s">
        <v>90</v>
      </c>
      <c r="H4257" t="s">
        <v>188</v>
      </c>
      <c r="I4257" t="s">
        <v>785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155</v>
      </c>
      <c r="D4258" t="s">
        <v>243</v>
      </c>
      <c r="E4258" t="s">
        <v>179</v>
      </c>
      <c r="F4258">
        <v>3</v>
      </c>
      <c r="G4258" t="s">
        <v>90</v>
      </c>
      <c r="H4258" t="s">
        <v>188</v>
      </c>
      <c r="I4258" t="s">
        <v>786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155</v>
      </c>
      <c r="D4259" t="s">
        <v>243</v>
      </c>
      <c r="E4259" t="s">
        <v>179</v>
      </c>
      <c r="F4259">
        <v>3</v>
      </c>
      <c r="G4259" t="s">
        <v>90</v>
      </c>
      <c r="H4259" t="s">
        <v>188</v>
      </c>
      <c r="I4259" t="s">
        <v>787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155</v>
      </c>
      <c r="D4260" t="s">
        <v>243</v>
      </c>
      <c r="E4260" t="s">
        <v>179</v>
      </c>
      <c r="F4260">
        <v>3</v>
      </c>
      <c r="G4260" t="s">
        <v>90</v>
      </c>
      <c r="H4260" t="s">
        <v>188</v>
      </c>
      <c r="I4260" t="s">
        <v>788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155</v>
      </c>
      <c r="D4261" t="s">
        <v>243</v>
      </c>
      <c r="E4261" t="s">
        <v>179</v>
      </c>
      <c r="F4261">
        <v>3</v>
      </c>
      <c r="G4261" t="s">
        <v>90</v>
      </c>
      <c r="H4261" t="s">
        <v>188</v>
      </c>
      <c r="I4261" t="s">
        <v>789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155</v>
      </c>
      <c r="D4262" t="s">
        <v>243</v>
      </c>
      <c r="E4262" t="s">
        <v>179</v>
      </c>
      <c r="F4262">
        <v>3</v>
      </c>
      <c r="G4262" t="s">
        <v>90</v>
      </c>
      <c r="H4262" t="s">
        <v>188</v>
      </c>
      <c r="I4262" t="s">
        <v>790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155</v>
      </c>
      <c r="D4263" t="s">
        <v>243</v>
      </c>
      <c r="E4263" t="s">
        <v>179</v>
      </c>
      <c r="F4263">
        <v>3</v>
      </c>
      <c r="G4263" t="s">
        <v>90</v>
      </c>
      <c r="H4263" t="s">
        <v>188</v>
      </c>
      <c r="I4263" t="s">
        <v>791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155</v>
      </c>
      <c r="D4264" t="s">
        <v>243</v>
      </c>
      <c r="E4264" t="s">
        <v>179</v>
      </c>
      <c r="F4264">
        <v>3</v>
      </c>
      <c r="G4264" t="s">
        <v>90</v>
      </c>
      <c r="H4264" t="s">
        <v>188</v>
      </c>
      <c r="I4264" t="s">
        <v>792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155</v>
      </c>
      <c r="D4265" t="s">
        <v>243</v>
      </c>
      <c r="E4265" t="s">
        <v>179</v>
      </c>
      <c r="F4265">
        <v>3</v>
      </c>
      <c r="G4265" t="s">
        <v>90</v>
      </c>
      <c r="H4265" t="s">
        <v>188</v>
      </c>
      <c r="I4265" t="s">
        <v>774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155</v>
      </c>
      <c r="D4266" t="s">
        <v>243</v>
      </c>
      <c r="E4266" t="s">
        <v>179</v>
      </c>
      <c r="F4266">
        <v>3</v>
      </c>
      <c r="G4266" t="s">
        <v>90</v>
      </c>
      <c r="H4266" t="s">
        <v>188</v>
      </c>
      <c r="I4266" t="s">
        <v>793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155</v>
      </c>
      <c r="D4267" t="s">
        <v>243</v>
      </c>
      <c r="E4267" t="s">
        <v>179</v>
      </c>
      <c r="F4267">
        <v>3</v>
      </c>
      <c r="G4267" t="s">
        <v>90</v>
      </c>
      <c r="H4267" t="s">
        <v>188</v>
      </c>
      <c r="I4267" t="s">
        <v>794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155</v>
      </c>
      <c r="D4268" t="s">
        <v>243</v>
      </c>
      <c r="E4268" t="s">
        <v>179</v>
      </c>
      <c r="F4268">
        <v>3</v>
      </c>
      <c r="G4268" t="s">
        <v>90</v>
      </c>
      <c r="H4268" t="s">
        <v>188</v>
      </c>
      <c r="I4268" t="s">
        <v>795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155</v>
      </c>
      <c r="D4269" t="s">
        <v>243</v>
      </c>
      <c r="E4269" t="s">
        <v>179</v>
      </c>
      <c r="F4269">
        <v>3</v>
      </c>
      <c r="G4269" t="s">
        <v>90</v>
      </c>
      <c r="H4269" t="s">
        <v>188</v>
      </c>
      <c r="I4269" t="s">
        <v>796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155</v>
      </c>
      <c r="D4270" t="s">
        <v>243</v>
      </c>
      <c r="E4270" t="s">
        <v>179</v>
      </c>
      <c r="F4270">
        <v>3</v>
      </c>
      <c r="G4270" t="s">
        <v>233</v>
      </c>
      <c r="H4270" t="s">
        <v>234</v>
      </c>
      <c r="I4270" t="s">
        <v>797</v>
      </c>
      <c r="J4270" s="73">
        <v>45658</v>
      </c>
    </row>
    <row r="4271" spans="1:10" x14ac:dyDescent="0.25">
      <c r="A4271" s="1" t="s">
        <v>27</v>
      </c>
      <c r="B4271">
        <v>401752803</v>
      </c>
      <c r="C4271" t="s">
        <v>155</v>
      </c>
      <c r="D4271" t="s">
        <v>243</v>
      </c>
      <c r="E4271" t="s">
        <v>179</v>
      </c>
      <c r="F4271">
        <v>3</v>
      </c>
      <c r="G4271" t="s">
        <v>233</v>
      </c>
      <c r="H4271" t="s">
        <v>236</v>
      </c>
      <c r="I4271" t="s">
        <v>797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155</v>
      </c>
      <c r="D4272" t="s">
        <v>243</v>
      </c>
      <c r="E4272" t="s">
        <v>179</v>
      </c>
      <c r="F4272">
        <v>3</v>
      </c>
      <c r="G4272" t="s">
        <v>233</v>
      </c>
      <c r="H4272" t="s">
        <v>198</v>
      </c>
      <c r="I4272" t="s">
        <v>797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155</v>
      </c>
      <c r="D4273" t="s">
        <v>243</v>
      </c>
      <c r="E4273" t="s">
        <v>179</v>
      </c>
      <c r="F4273">
        <v>3</v>
      </c>
      <c r="G4273" t="s">
        <v>233</v>
      </c>
      <c r="H4273" t="s">
        <v>237</v>
      </c>
      <c r="I4273" t="s">
        <v>797</v>
      </c>
      <c r="J4273" t="s">
        <v>368</v>
      </c>
    </row>
    <row r="4274" spans="1:10" x14ac:dyDescent="0.25">
      <c r="A4274" s="1" t="s">
        <v>27</v>
      </c>
      <c r="B4274">
        <v>401752803</v>
      </c>
      <c r="C4274" t="s">
        <v>155</v>
      </c>
      <c r="D4274" t="s">
        <v>243</v>
      </c>
      <c r="E4274" t="s">
        <v>179</v>
      </c>
      <c r="F4274">
        <v>3</v>
      </c>
      <c r="G4274" t="s">
        <v>233</v>
      </c>
      <c r="H4274" t="s">
        <v>238</v>
      </c>
      <c r="I4274" t="s">
        <v>797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155</v>
      </c>
      <c r="D4275" t="s">
        <v>243</v>
      </c>
      <c r="E4275" t="s">
        <v>179</v>
      </c>
      <c r="F4275">
        <v>3</v>
      </c>
      <c r="G4275" t="s">
        <v>239</v>
      </c>
      <c r="H4275" t="s">
        <v>232</v>
      </c>
      <c r="I4275" t="s">
        <v>797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155</v>
      </c>
      <c r="D4276" t="s">
        <v>243</v>
      </c>
      <c r="E4276" t="s">
        <v>179</v>
      </c>
      <c r="F4276">
        <v>3</v>
      </c>
      <c r="G4276" t="s">
        <v>239</v>
      </c>
      <c r="H4276" t="s">
        <v>186</v>
      </c>
      <c r="I4276" t="s">
        <v>797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155</v>
      </c>
      <c r="D4277" t="s">
        <v>243</v>
      </c>
      <c r="E4277" t="s">
        <v>179</v>
      </c>
      <c r="F4277">
        <v>3</v>
      </c>
      <c r="G4277" t="s">
        <v>239</v>
      </c>
      <c r="H4277" t="s">
        <v>187</v>
      </c>
      <c r="I4277" t="s">
        <v>797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155</v>
      </c>
      <c r="D4278" t="s">
        <v>243</v>
      </c>
      <c r="E4278" t="s">
        <v>179</v>
      </c>
      <c r="F4278">
        <v>3</v>
      </c>
      <c r="G4278" t="s">
        <v>239</v>
      </c>
      <c r="H4278" t="s">
        <v>241</v>
      </c>
      <c r="I4278" t="s">
        <v>797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155</v>
      </c>
      <c r="D4279" t="s">
        <v>243</v>
      </c>
      <c r="E4279" t="s">
        <v>179</v>
      </c>
      <c r="F4279">
        <v>3</v>
      </c>
      <c r="G4279" t="s">
        <v>239</v>
      </c>
      <c r="H4279" t="s">
        <v>242</v>
      </c>
      <c r="I4279" t="s">
        <v>797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155</v>
      </c>
      <c r="D4280" t="s">
        <v>243</v>
      </c>
      <c r="E4280" t="s">
        <v>179</v>
      </c>
      <c r="F4280">
        <v>3</v>
      </c>
      <c r="G4280" t="s">
        <v>239</v>
      </c>
      <c r="H4280" t="s">
        <v>198</v>
      </c>
      <c r="I4280" t="s">
        <v>797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113</v>
      </c>
      <c r="D4281" t="s">
        <v>243</v>
      </c>
      <c r="E4281" t="s">
        <v>89</v>
      </c>
      <c r="F4281">
        <v>39</v>
      </c>
      <c r="G4281" t="s">
        <v>180</v>
      </c>
      <c r="H4281" t="s">
        <v>181</v>
      </c>
      <c r="I4281" t="s">
        <v>112</v>
      </c>
      <c r="J4281" t="s">
        <v>798</v>
      </c>
    </row>
    <row r="4282" spans="1:10" x14ac:dyDescent="0.25">
      <c r="A4282" s="1" t="s">
        <v>27</v>
      </c>
      <c r="B4282">
        <v>401752797</v>
      </c>
      <c r="C4282" t="s">
        <v>113</v>
      </c>
      <c r="D4282" t="s">
        <v>243</v>
      </c>
      <c r="E4282" t="s">
        <v>89</v>
      </c>
      <c r="F4282">
        <v>39</v>
      </c>
      <c r="G4282" t="s">
        <v>180</v>
      </c>
      <c r="H4282" t="s">
        <v>181</v>
      </c>
      <c r="I4282" t="s">
        <v>799</v>
      </c>
      <c r="J4282" s="73">
        <v>45661</v>
      </c>
    </row>
    <row r="4283" spans="1:10" x14ac:dyDescent="0.25">
      <c r="A4283" s="1" t="s">
        <v>27</v>
      </c>
      <c r="B4283">
        <v>401752797</v>
      </c>
      <c r="C4283" t="s">
        <v>113</v>
      </c>
      <c r="D4283" t="s">
        <v>243</v>
      </c>
      <c r="E4283" t="s">
        <v>89</v>
      </c>
      <c r="F4283">
        <v>39</v>
      </c>
      <c r="G4283" t="s">
        <v>180</v>
      </c>
      <c r="H4283" t="s">
        <v>186</v>
      </c>
      <c r="I4283" t="s">
        <v>112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113</v>
      </c>
      <c r="D4284" t="s">
        <v>243</v>
      </c>
      <c r="E4284" t="s">
        <v>89</v>
      </c>
      <c r="F4284">
        <v>39</v>
      </c>
      <c r="G4284" t="s">
        <v>180</v>
      </c>
      <c r="H4284" t="s">
        <v>186</v>
      </c>
      <c r="I4284" t="s">
        <v>799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113</v>
      </c>
      <c r="D4285" t="s">
        <v>243</v>
      </c>
      <c r="E4285" t="s">
        <v>89</v>
      </c>
      <c r="F4285">
        <v>39</v>
      </c>
      <c r="G4285" t="s">
        <v>180</v>
      </c>
      <c r="H4285" t="s">
        <v>187</v>
      </c>
      <c r="I4285" t="s">
        <v>112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113</v>
      </c>
      <c r="D4286" t="s">
        <v>243</v>
      </c>
      <c r="E4286" t="s">
        <v>89</v>
      </c>
      <c r="F4286">
        <v>39</v>
      </c>
      <c r="G4286" t="s">
        <v>180</v>
      </c>
      <c r="H4286" t="s">
        <v>187</v>
      </c>
      <c r="I4286" t="s">
        <v>799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113</v>
      </c>
      <c r="D4287" t="s">
        <v>243</v>
      </c>
      <c r="E4287" t="s">
        <v>89</v>
      </c>
      <c r="F4287">
        <v>39</v>
      </c>
      <c r="G4287" t="s">
        <v>180</v>
      </c>
      <c r="H4287" t="s">
        <v>188</v>
      </c>
      <c r="I4287" t="s">
        <v>112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113</v>
      </c>
      <c r="D4288" t="s">
        <v>243</v>
      </c>
      <c r="E4288" t="s">
        <v>89</v>
      </c>
      <c r="F4288">
        <v>39</v>
      </c>
      <c r="G4288" t="s">
        <v>180</v>
      </c>
      <c r="H4288" t="s">
        <v>188</v>
      </c>
      <c r="I4288" t="s">
        <v>799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113</v>
      </c>
      <c r="D4289" t="s">
        <v>243</v>
      </c>
      <c r="E4289" t="s">
        <v>89</v>
      </c>
      <c r="F4289">
        <v>39</v>
      </c>
      <c r="G4289" t="s">
        <v>180</v>
      </c>
      <c r="H4289" t="s">
        <v>189</v>
      </c>
      <c r="I4289" t="s">
        <v>112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113</v>
      </c>
      <c r="D4290" t="s">
        <v>243</v>
      </c>
      <c r="E4290" t="s">
        <v>89</v>
      </c>
      <c r="F4290">
        <v>39</v>
      </c>
      <c r="G4290" t="s">
        <v>180</v>
      </c>
      <c r="H4290" t="s">
        <v>189</v>
      </c>
      <c r="I4290" t="s">
        <v>799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113</v>
      </c>
      <c r="D4291" t="s">
        <v>243</v>
      </c>
      <c r="E4291" t="s">
        <v>89</v>
      </c>
      <c r="F4291">
        <v>39</v>
      </c>
      <c r="G4291" t="s">
        <v>180</v>
      </c>
      <c r="H4291" t="s">
        <v>190</v>
      </c>
      <c r="I4291" t="s">
        <v>112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113</v>
      </c>
      <c r="D4292" t="s">
        <v>243</v>
      </c>
      <c r="E4292" t="s">
        <v>89</v>
      </c>
      <c r="F4292">
        <v>39</v>
      </c>
      <c r="G4292" t="s">
        <v>180</v>
      </c>
      <c r="H4292" t="s">
        <v>190</v>
      </c>
      <c r="I4292" t="s">
        <v>799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113</v>
      </c>
      <c r="D4293" t="s">
        <v>243</v>
      </c>
      <c r="E4293" t="s">
        <v>89</v>
      </c>
      <c r="F4293">
        <v>39</v>
      </c>
      <c r="G4293" t="s">
        <v>192</v>
      </c>
      <c r="H4293" t="s">
        <v>193</v>
      </c>
      <c r="I4293" t="s">
        <v>800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113</v>
      </c>
      <c r="D4294" t="s">
        <v>243</v>
      </c>
      <c r="E4294" t="s">
        <v>89</v>
      </c>
      <c r="F4294">
        <v>39</v>
      </c>
      <c r="G4294" t="s">
        <v>192</v>
      </c>
      <c r="H4294" t="s">
        <v>193</v>
      </c>
      <c r="I4294" t="s">
        <v>139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113</v>
      </c>
      <c r="D4295" t="s">
        <v>243</v>
      </c>
      <c r="E4295" t="s">
        <v>89</v>
      </c>
      <c r="F4295">
        <v>39</v>
      </c>
      <c r="G4295" t="s">
        <v>192</v>
      </c>
      <c r="H4295" t="s">
        <v>193</v>
      </c>
      <c r="I4295" t="s">
        <v>801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113</v>
      </c>
      <c r="D4296" t="s">
        <v>243</v>
      </c>
      <c r="E4296" t="s">
        <v>89</v>
      </c>
      <c r="F4296">
        <v>39</v>
      </c>
      <c r="G4296" t="s">
        <v>192</v>
      </c>
      <c r="H4296" t="s">
        <v>193</v>
      </c>
      <c r="I4296" t="s">
        <v>799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113</v>
      </c>
      <c r="D4297" t="s">
        <v>243</v>
      </c>
      <c r="E4297" t="s">
        <v>89</v>
      </c>
      <c r="F4297">
        <v>39</v>
      </c>
      <c r="G4297" t="s">
        <v>192</v>
      </c>
      <c r="H4297" t="s">
        <v>193</v>
      </c>
      <c r="I4297" t="s">
        <v>802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113</v>
      </c>
      <c r="D4298" t="s">
        <v>243</v>
      </c>
      <c r="E4298" t="s">
        <v>89</v>
      </c>
      <c r="F4298">
        <v>39</v>
      </c>
      <c r="G4298" t="s">
        <v>192</v>
      </c>
      <c r="H4298" t="s">
        <v>193</v>
      </c>
      <c r="I4298" t="s">
        <v>803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113</v>
      </c>
      <c r="D4299" t="s">
        <v>243</v>
      </c>
      <c r="E4299" t="s">
        <v>89</v>
      </c>
      <c r="F4299">
        <v>39</v>
      </c>
      <c r="G4299" t="s">
        <v>192</v>
      </c>
      <c r="H4299" t="s">
        <v>193</v>
      </c>
      <c r="I4299" t="s">
        <v>804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113</v>
      </c>
      <c r="D4300" t="s">
        <v>243</v>
      </c>
      <c r="E4300" t="s">
        <v>89</v>
      </c>
      <c r="F4300">
        <v>39</v>
      </c>
      <c r="G4300" t="s">
        <v>192</v>
      </c>
      <c r="H4300" t="s">
        <v>186</v>
      </c>
      <c r="I4300" t="s">
        <v>800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113</v>
      </c>
      <c r="D4301" t="s">
        <v>243</v>
      </c>
      <c r="E4301" t="s">
        <v>89</v>
      </c>
      <c r="F4301">
        <v>39</v>
      </c>
      <c r="G4301" t="s">
        <v>192</v>
      </c>
      <c r="H4301" t="s">
        <v>186</v>
      </c>
      <c r="I4301" t="s">
        <v>139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113</v>
      </c>
      <c r="D4302" t="s">
        <v>243</v>
      </c>
      <c r="E4302" t="s">
        <v>89</v>
      </c>
      <c r="F4302">
        <v>39</v>
      </c>
      <c r="G4302" t="s">
        <v>192</v>
      </c>
      <c r="H4302" t="s">
        <v>186</v>
      </c>
      <c r="I4302" t="s">
        <v>801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113</v>
      </c>
      <c r="D4303" t="s">
        <v>243</v>
      </c>
      <c r="E4303" t="s">
        <v>89</v>
      </c>
      <c r="F4303">
        <v>39</v>
      </c>
      <c r="G4303" t="s">
        <v>192</v>
      </c>
      <c r="H4303" t="s">
        <v>186</v>
      </c>
      <c r="I4303" t="s">
        <v>799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113</v>
      </c>
      <c r="D4304" t="s">
        <v>243</v>
      </c>
      <c r="E4304" t="s">
        <v>89</v>
      </c>
      <c r="F4304">
        <v>39</v>
      </c>
      <c r="G4304" t="s">
        <v>192</v>
      </c>
      <c r="H4304" t="s">
        <v>186</v>
      </c>
      <c r="I4304" t="s">
        <v>802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113</v>
      </c>
      <c r="D4305" t="s">
        <v>243</v>
      </c>
      <c r="E4305" t="s">
        <v>89</v>
      </c>
      <c r="F4305">
        <v>39</v>
      </c>
      <c r="G4305" t="s">
        <v>192</v>
      </c>
      <c r="H4305" t="s">
        <v>186</v>
      </c>
      <c r="I4305" t="s">
        <v>803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113</v>
      </c>
      <c r="D4306" t="s">
        <v>243</v>
      </c>
      <c r="E4306" t="s">
        <v>89</v>
      </c>
      <c r="F4306">
        <v>39</v>
      </c>
      <c r="G4306" t="s">
        <v>192</v>
      </c>
      <c r="H4306" t="s">
        <v>186</v>
      </c>
      <c r="I4306" t="s">
        <v>804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113</v>
      </c>
      <c r="D4307" t="s">
        <v>243</v>
      </c>
      <c r="E4307" t="s">
        <v>89</v>
      </c>
      <c r="F4307">
        <v>39</v>
      </c>
      <c r="G4307" t="s">
        <v>192</v>
      </c>
      <c r="H4307" t="s">
        <v>187</v>
      </c>
      <c r="I4307" t="s">
        <v>800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113</v>
      </c>
      <c r="D4308" t="s">
        <v>243</v>
      </c>
      <c r="E4308" t="s">
        <v>89</v>
      </c>
      <c r="F4308">
        <v>39</v>
      </c>
      <c r="G4308" t="s">
        <v>192</v>
      </c>
      <c r="H4308" t="s">
        <v>187</v>
      </c>
      <c r="I4308" t="s">
        <v>139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113</v>
      </c>
      <c r="D4309" t="s">
        <v>243</v>
      </c>
      <c r="E4309" t="s">
        <v>89</v>
      </c>
      <c r="F4309">
        <v>39</v>
      </c>
      <c r="G4309" t="s">
        <v>192</v>
      </c>
      <c r="H4309" t="s">
        <v>187</v>
      </c>
      <c r="I4309" t="s">
        <v>801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113</v>
      </c>
      <c r="D4310" t="s">
        <v>243</v>
      </c>
      <c r="E4310" t="s">
        <v>89</v>
      </c>
      <c r="F4310">
        <v>39</v>
      </c>
      <c r="G4310" t="s">
        <v>192</v>
      </c>
      <c r="H4310" t="s">
        <v>187</v>
      </c>
      <c r="I4310" t="s">
        <v>799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113</v>
      </c>
      <c r="D4311" t="s">
        <v>243</v>
      </c>
      <c r="E4311" t="s">
        <v>89</v>
      </c>
      <c r="F4311">
        <v>39</v>
      </c>
      <c r="G4311" t="s">
        <v>192</v>
      </c>
      <c r="H4311" t="s">
        <v>187</v>
      </c>
      <c r="I4311" t="s">
        <v>802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113</v>
      </c>
      <c r="D4312" t="s">
        <v>243</v>
      </c>
      <c r="E4312" t="s">
        <v>89</v>
      </c>
      <c r="F4312">
        <v>39</v>
      </c>
      <c r="G4312" t="s">
        <v>192</v>
      </c>
      <c r="H4312" t="s">
        <v>187</v>
      </c>
      <c r="I4312" t="s">
        <v>803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113</v>
      </c>
      <c r="D4313" t="s">
        <v>243</v>
      </c>
      <c r="E4313" t="s">
        <v>89</v>
      </c>
      <c r="F4313">
        <v>39</v>
      </c>
      <c r="G4313" t="s">
        <v>192</v>
      </c>
      <c r="H4313" t="s">
        <v>187</v>
      </c>
      <c r="I4313" t="s">
        <v>804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113</v>
      </c>
      <c r="D4314" t="s">
        <v>243</v>
      </c>
      <c r="E4314" t="s">
        <v>89</v>
      </c>
      <c r="F4314">
        <v>39</v>
      </c>
      <c r="G4314" t="s">
        <v>192</v>
      </c>
      <c r="H4314" t="s">
        <v>188</v>
      </c>
      <c r="I4314" t="s">
        <v>800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113</v>
      </c>
      <c r="D4315" t="s">
        <v>243</v>
      </c>
      <c r="E4315" t="s">
        <v>89</v>
      </c>
      <c r="F4315">
        <v>39</v>
      </c>
      <c r="G4315" t="s">
        <v>192</v>
      </c>
      <c r="H4315" t="s">
        <v>188</v>
      </c>
      <c r="I4315" t="s">
        <v>139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113</v>
      </c>
      <c r="D4316" t="s">
        <v>243</v>
      </c>
      <c r="E4316" t="s">
        <v>89</v>
      </c>
      <c r="F4316">
        <v>39</v>
      </c>
      <c r="G4316" t="s">
        <v>192</v>
      </c>
      <c r="H4316" t="s">
        <v>188</v>
      </c>
      <c r="I4316" t="s">
        <v>801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113</v>
      </c>
      <c r="D4317" t="s">
        <v>243</v>
      </c>
      <c r="E4317" t="s">
        <v>89</v>
      </c>
      <c r="F4317">
        <v>39</v>
      </c>
      <c r="G4317" t="s">
        <v>192</v>
      </c>
      <c r="H4317" t="s">
        <v>188</v>
      </c>
      <c r="I4317" t="s">
        <v>799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113</v>
      </c>
      <c r="D4318" t="s">
        <v>243</v>
      </c>
      <c r="E4318" t="s">
        <v>89</v>
      </c>
      <c r="F4318">
        <v>39</v>
      </c>
      <c r="G4318" t="s">
        <v>192</v>
      </c>
      <c r="H4318" t="s">
        <v>188</v>
      </c>
      <c r="I4318" t="s">
        <v>802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113</v>
      </c>
      <c r="D4319" t="s">
        <v>243</v>
      </c>
      <c r="E4319" t="s">
        <v>89</v>
      </c>
      <c r="F4319">
        <v>39</v>
      </c>
      <c r="G4319" t="s">
        <v>192</v>
      </c>
      <c r="H4319" t="s">
        <v>188</v>
      </c>
      <c r="I4319" t="s">
        <v>803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113</v>
      </c>
      <c r="D4320" t="s">
        <v>243</v>
      </c>
      <c r="E4320" t="s">
        <v>89</v>
      </c>
      <c r="F4320">
        <v>39</v>
      </c>
      <c r="G4320" t="s">
        <v>192</v>
      </c>
      <c r="H4320" t="s">
        <v>188</v>
      </c>
      <c r="I4320" t="s">
        <v>804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113</v>
      </c>
      <c r="D4321" t="s">
        <v>243</v>
      </c>
      <c r="E4321" t="s">
        <v>89</v>
      </c>
      <c r="F4321">
        <v>39</v>
      </c>
      <c r="G4321" t="s">
        <v>192</v>
      </c>
      <c r="H4321" t="s">
        <v>198</v>
      </c>
      <c r="I4321" t="s">
        <v>800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113</v>
      </c>
      <c r="D4322" t="s">
        <v>243</v>
      </c>
      <c r="E4322" t="s">
        <v>89</v>
      </c>
      <c r="F4322">
        <v>39</v>
      </c>
      <c r="G4322" t="s">
        <v>192</v>
      </c>
      <c r="H4322" t="s">
        <v>198</v>
      </c>
      <c r="I4322" t="s">
        <v>139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113</v>
      </c>
      <c r="D4323" t="s">
        <v>243</v>
      </c>
      <c r="E4323" t="s">
        <v>89</v>
      </c>
      <c r="F4323">
        <v>39</v>
      </c>
      <c r="G4323" t="s">
        <v>192</v>
      </c>
      <c r="H4323" t="s">
        <v>198</v>
      </c>
      <c r="I4323" t="s">
        <v>801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113</v>
      </c>
      <c r="D4324" t="s">
        <v>243</v>
      </c>
      <c r="E4324" t="s">
        <v>89</v>
      </c>
      <c r="F4324">
        <v>39</v>
      </c>
      <c r="G4324" t="s">
        <v>192</v>
      </c>
      <c r="H4324" t="s">
        <v>198</v>
      </c>
      <c r="I4324" t="s">
        <v>799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113</v>
      </c>
      <c r="D4325" t="s">
        <v>243</v>
      </c>
      <c r="E4325" t="s">
        <v>89</v>
      </c>
      <c r="F4325">
        <v>39</v>
      </c>
      <c r="G4325" t="s">
        <v>192</v>
      </c>
      <c r="H4325" t="s">
        <v>198</v>
      </c>
      <c r="I4325" t="s">
        <v>802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113</v>
      </c>
      <c r="D4326" t="s">
        <v>243</v>
      </c>
      <c r="E4326" t="s">
        <v>89</v>
      </c>
      <c r="F4326">
        <v>39</v>
      </c>
      <c r="G4326" t="s">
        <v>192</v>
      </c>
      <c r="H4326" t="s">
        <v>198</v>
      </c>
      <c r="I4326" t="s">
        <v>803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113</v>
      </c>
      <c r="D4327" t="s">
        <v>243</v>
      </c>
      <c r="E4327" t="s">
        <v>89</v>
      </c>
      <c r="F4327">
        <v>39</v>
      </c>
      <c r="G4327" t="s">
        <v>192</v>
      </c>
      <c r="H4327" t="s">
        <v>198</v>
      </c>
      <c r="I4327" t="s">
        <v>804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113</v>
      </c>
      <c r="D4328" t="s">
        <v>243</v>
      </c>
      <c r="E4328" t="s">
        <v>89</v>
      </c>
      <c r="F4328">
        <v>39</v>
      </c>
      <c r="G4328" t="s">
        <v>199</v>
      </c>
      <c r="H4328" t="s">
        <v>0</v>
      </c>
      <c r="I4328" t="s">
        <v>805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113</v>
      </c>
      <c r="D4329" t="s">
        <v>243</v>
      </c>
      <c r="E4329" t="s">
        <v>89</v>
      </c>
      <c r="F4329">
        <v>39</v>
      </c>
      <c r="G4329" t="s">
        <v>199</v>
      </c>
      <c r="H4329" t="s">
        <v>0</v>
      </c>
      <c r="I4329" t="s">
        <v>806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113</v>
      </c>
      <c r="D4330" t="s">
        <v>243</v>
      </c>
      <c r="E4330" t="s">
        <v>89</v>
      </c>
      <c r="F4330">
        <v>39</v>
      </c>
      <c r="G4330" t="s">
        <v>199</v>
      </c>
      <c r="H4330" t="s">
        <v>0</v>
      </c>
      <c r="I4330" t="s">
        <v>807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113</v>
      </c>
      <c r="D4331" t="s">
        <v>243</v>
      </c>
      <c r="E4331" t="s">
        <v>89</v>
      </c>
      <c r="F4331">
        <v>39</v>
      </c>
      <c r="G4331" t="s">
        <v>199</v>
      </c>
      <c r="H4331" t="s">
        <v>0</v>
      </c>
      <c r="I4331" t="s">
        <v>808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113</v>
      </c>
      <c r="D4332" t="s">
        <v>243</v>
      </c>
      <c r="E4332" t="s">
        <v>89</v>
      </c>
      <c r="F4332">
        <v>39</v>
      </c>
      <c r="G4332" t="s">
        <v>199</v>
      </c>
      <c r="H4332" t="s">
        <v>0</v>
      </c>
      <c r="I4332" t="s">
        <v>802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113</v>
      </c>
      <c r="D4333" t="s">
        <v>243</v>
      </c>
      <c r="E4333" t="s">
        <v>89</v>
      </c>
      <c r="F4333">
        <v>39</v>
      </c>
      <c r="G4333" t="s">
        <v>199</v>
      </c>
      <c r="H4333" t="s">
        <v>0</v>
      </c>
      <c r="I4333" t="s">
        <v>800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113</v>
      </c>
      <c r="D4334" t="s">
        <v>243</v>
      </c>
      <c r="E4334" t="s">
        <v>89</v>
      </c>
      <c r="F4334">
        <v>39</v>
      </c>
      <c r="G4334" t="s">
        <v>199</v>
      </c>
      <c r="H4334" t="s">
        <v>0</v>
      </c>
      <c r="I4334" t="s">
        <v>139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113</v>
      </c>
      <c r="D4335" t="s">
        <v>243</v>
      </c>
      <c r="E4335" t="s">
        <v>89</v>
      </c>
      <c r="F4335">
        <v>39</v>
      </c>
      <c r="G4335" t="s">
        <v>199</v>
      </c>
      <c r="H4335" t="s">
        <v>0</v>
      </c>
      <c r="I4335" t="s">
        <v>809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113</v>
      </c>
      <c r="D4336" t="s">
        <v>243</v>
      </c>
      <c r="E4336" t="s">
        <v>89</v>
      </c>
      <c r="F4336">
        <v>39</v>
      </c>
      <c r="G4336" t="s">
        <v>199</v>
      </c>
      <c r="H4336" t="s">
        <v>0</v>
      </c>
      <c r="I4336" t="s">
        <v>810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113</v>
      </c>
      <c r="D4337" t="s">
        <v>243</v>
      </c>
      <c r="E4337" t="s">
        <v>89</v>
      </c>
      <c r="F4337">
        <v>39</v>
      </c>
      <c r="G4337" t="s">
        <v>199</v>
      </c>
      <c r="H4337" t="s">
        <v>0</v>
      </c>
      <c r="I4337" t="s">
        <v>811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113</v>
      </c>
      <c r="D4338" t="s">
        <v>243</v>
      </c>
      <c r="E4338" t="s">
        <v>89</v>
      </c>
      <c r="F4338">
        <v>39</v>
      </c>
      <c r="G4338" t="s">
        <v>199</v>
      </c>
      <c r="H4338" t="s">
        <v>186</v>
      </c>
      <c r="I4338" t="s">
        <v>805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113</v>
      </c>
      <c r="D4339" t="s">
        <v>243</v>
      </c>
      <c r="E4339" t="s">
        <v>89</v>
      </c>
      <c r="F4339">
        <v>39</v>
      </c>
      <c r="G4339" t="s">
        <v>199</v>
      </c>
      <c r="H4339" t="s">
        <v>186</v>
      </c>
      <c r="I4339" t="s">
        <v>806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113</v>
      </c>
      <c r="D4340" t="s">
        <v>243</v>
      </c>
      <c r="E4340" t="s">
        <v>89</v>
      </c>
      <c r="F4340">
        <v>39</v>
      </c>
      <c r="G4340" t="s">
        <v>199</v>
      </c>
      <c r="H4340" t="s">
        <v>186</v>
      </c>
      <c r="I4340" t="s">
        <v>807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113</v>
      </c>
      <c r="D4341" t="s">
        <v>243</v>
      </c>
      <c r="E4341" t="s">
        <v>89</v>
      </c>
      <c r="F4341">
        <v>39</v>
      </c>
      <c r="G4341" t="s">
        <v>199</v>
      </c>
      <c r="H4341" t="s">
        <v>186</v>
      </c>
      <c r="I4341" t="s">
        <v>808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113</v>
      </c>
      <c r="D4342" t="s">
        <v>243</v>
      </c>
      <c r="E4342" t="s">
        <v>89</v>
      </c>
      <c r="F4342">
        <v>39</v>
      </c>
      <c r="G4342" t="s">
        <v>199</v>
      </c>
      <c r="H4342" t="s">
        <v>186</v>
      </c>
      <c r="I4342" t="s">
        <v>802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113</v>
      </c>
      <c r="D4343" t="s">
        <v>243</v>
      </c>
      <c r="E4343" t="s">
        <v>89</v>
      </c>
      <c r="F4343">
        <v>39</v>
      </c>
      <c r="G4343" t="s">
        <v>199</v>
      </c>
      <c r="H4343" t="s">
        <v>186</v>
      </c>
      <c r="I4343" t="s">
        <v>800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113</v>
      </c>
      <c r="D4344" t="s">
        <v>243</v>
      </c>
      <c r="E4344" t="s">
        <v>89</v>
      </c>
      <c r="F4344">
        <v>39</v>
      </c>
      <c r="G4344" t="s">
        <v>199</v>
      </c>
      <c r="H4344" t="s">
        <v>186</v>
      </c>
      <c r="I4344" t="s">
        <v>139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113</v>
      </c>
      <c r="D4345" t="s">
        <v>243</v>
      </c>
      <c r="E4345" t="s">
        <v>89</v>
      </c>
      <c r="F4345">
        <v>39</v>
      </c>
      <c r="G4345" t="s">
        <v>199</v>
      </c>
      <c r="H4345" t="s">
        <v>186</v>
      </c>
      <c r="I4345" t="s">
        <v>809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113</v>
      </c>
      <c r="D4346" t="s">
        <v>243</v>
      </c>
      <c r="E4346" t="s">
        <v>89</v>
      </c>
      <c r="F4346">
        <v>39</v>
      </c>
      <c r="G4346" t="s">
        <v>199</v>
      </c>
      <c r="H4346" t="s">
        <v>186</v>
      </c>
      <c r="I4346" t="s">
        <v>810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113</v>
      </c>
      <c r="D4347" t="s">
        <v>243</v>
      </c>
      <c r="E4347" t="s">
        <v>89</v>
      </c>
      <c r="F4347">
        <v>39</v>
      </c>
      <c r="G4347" t="s">
        <v>199</v>
      </c>
      <c r="H4347" t="s">
        <v>186</v>
      </c>
      <c r="I4347" t="s">
        <v>811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113</v>
      </c>
      <c r="D4348" t="s">
        <v>243</v>
      </c>
      <c r="E4348" t="s">
        <v>89</v>
      </c>
      <c r="F4348">
        <v>39</v>
      </c>
      <c r="G4348" t="s">
        <v>199</v>
      </c>
      <c r="H4348" t="s">
        <v>187</v>
      </c>
      <c r="I4348" t="s">
        <v>805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113</v>
      </c>
      <c r="D4349" t="s">
        <v>243</v>
      </c>
      <c r="E4349" t="s">
        <v>89</v>
      </c>
      <c r="F4349">
        <v>39</v>
      </c>
      <c r="G4349" t="s">
        <v>199</v>
      </c>
      <c r="H4349" t="s">
        <v>187</v>
      </c>
      <c r="I4349" t="s">
        <v>806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113</v>
      </c>
      <c r="D4350" t="s">
        <v>243</v>
      </c>
      <c r="E4350" t="s">
        <v>89</v>
      </c>
      <c r="F4350">
        <v>39</v>
      </c>
      <c r="G4350" t="s">
        <v>199</v>
      </c>
      <c r="H4350" t="s">
        <v>187</v>
      </c>
      <c r="I4350" t="s">
        <v>807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113</v>
      </c>
      <c r="D4351" t="s">
        <v>243</v>
      </c>
      <c r="E4351" t="s">
        <v>89</v>
      </c>
      <c r="F4351">
        <v>39</v>
      </c>
      <c r="G4351" t="s">
        <v>199</v>
      </c>
      <c r="H4351" t="s">
        <v>187</v>
      </c>
      <c r="I4351" t="s">
        <v>808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113</v>
      </c>
      <c r="D4352" t="s">
        <v>243</v>
      </c>
      <c r="E4352" t="s">
        <v>89</v>
      </c>
      <c r="F4352">
        <v>39</v>
      </c>
      <c r="G4352" t="s">
        <v>199</v>
      </c>
      <c r="H4352" t="s">
        <v>187</v>
      </c>
      <c r="I4352" t="s">
        <v>802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113</v>
      </c>
      <c r="D4353" t="s">
        <v>243</v>
      </c>
      <c r="E4353" t="s">
        <v>89</v>
      </c>
      <c r="F4353">
        <v>39</v>
      </c>
      <c r="G4353" t="s">
        <v>199</v>
      </c>
      <c r="H4353" t="s">
        <v>187</v>
      </c>
      <c r="I4353" t="s">
        <v>800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113</v>
      </c>
      <c r="D4354" t="s">
        <v>243</v>
      </c>
      <c r="E4354" t="s">
        <v>89</v>
      </c>
      <c r="F4354">
        <v>39</v>
      </c>
      <c r="G4354" t="s">
        <v>199</v>
      </c>
      <c r="H4354" t="s">
        <v>187</v>
      </c>
      <c r="I4354" t="s">
        <v>139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113</v>
      </c>
      <c r="D4355" t="s">
        <v>243</v>
      </c>
      <c r="E4355" t="s">
        <v>89</v>
      </c>
      <c r="F4355">
        <v>39</v>
      </c>
      <c r="G4355" t="s">
        <v>199</v>
      </c>
      <c r="H4355" t="s">
        <v>187</v>
      </c>
      <c r="I4355" t="s">
        <v>809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113</v>
      </c>
      <c r="D4356" t="s">
        <v>243</v>
      </c>
      <c r="E4356" t="s">
        <v>89</v>
      </c>
      <c r="F4356">
        <v>39</v>
      </c>
      <c r="G4356" t="s">
        <v>199</v>
      </c>
      <c r="H4356" t="s">
        <v>187</v>
      </c>
      <c r="I4356" t="s">
        <v>810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113</v>
      </c>
      <c r="D4357" t="s">
        <v>243</v>
      </c>
      <c r="E4357" t="s">
        <v>89</v>
      </c>
      <c r="F4357">
        <v>39</v>
      </c>
      <c r="G4357" t="s">
        <v>199</v>
      </c>
      <c r="H4357" t="s">
        <v>187</v>
      </c>
      <c r="I4357" t="s">
        <v>811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113</v>
      </c>
      <c r="D4358" t="s">
        <v>243</v>
      </c>
      <c r="E4358" t="s">
        <v>89</v>
      </c>
      <c r="F4358">
        <v>39</v>
      </c>
      <c r="G4358" t="s">
        <v>199</v>
      </c>
      <c r="H4358" t="s">
        <v>188</v>
      </c>
      <c r="I4358" t="s">
        <v>805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113</v>
      </c>
      <c r="D4359" t="s">
        <v>243</v>
      </c>
      <c r="E4359" t="s">
        <v>89</v>
      </c>
      <c r="F4359">
        <v>39</v>
      </c>
      <c r="G4359" t="s">
        <v>199</v>
      </c>
      <c r="H4359" t="s">
        <v>188</v>
      </c>
      <c r="I4359" t="s">
        <v>806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113</v>
      </c>
      <c r="D4360" t="s">
        <v>243</v>
      </c>
      <c r="E4360" t="s">
        <v>89</v>
      </c>
      <c r="F4360">
        <v>39</v>
      </c>
      <c r="G4360" t="s">
        <v>199</v>
      </c>
      <c r="H4360" t="s">
        <v>188</v>
      </c>
      <c r="I4360" t="s">
        <v>807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113</v>
      </c>
      <c r="D4361" t="s">
        <v>243</v>
      </c>
      <c r="E4361" t="s">
        <v>89</v>
      </c>
      <c r="F4361">
        <v>39</v>
      </c>
      <c r="G4361" t="s">
        <v>199</v>
      </c>
      <c r="H4361" t="s">
        <v>188</v>
      </c>
      <c r="I4361" t="s">
        <v>808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113</v>
      </c>
      <c r="D4362" t="s">
        <v>243</v>
      </c>
      <c r="E4362" t="s">
        <v>89</v>
      </c>
      <c r="F4362">
        <v>39</v>
      </c>
      <c r="G4362" t="s">
        <v>199</v>
      </c>
      <c r="H4362" t="s">
        <v>188</v>
      </c>
      <c r="I4362" t="s">
        <v>802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113</v>
      </c>
      <c r="D4363" t="s">
        <v>243</v>
      </c>
      <c r="E4363" t="s">
        <v>89</v>
      </c>
      <c r="F4363">
        <v>39</v>
      </c>
      <c r="G4363" t="s">
        <v>199</v>
      </c>
      <c r="H4363" t="s">
        <v>188</v>
      </c>
      <c r="I4363" t="s">
        <v>800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113</v>
      </c>
      <c r="D4364" t="s">
        <v>243</v>
      </c>
      <c r="E4364" t="s">
        <v>89</v>
      </c>
      <c r="F4364">
        <v>39</v>
      </c>
      <c r="G4364" t="s">
        <v>199</v>
      </c>
      <c r="H4364" t="s">
        <v>188</v>
      </c>
      <c r="I4364" t="s">
        <v>139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113</v>
      </c>
      <c r="D4365" t="s">
        <v>243</v>
      </c>
      <c r="E4365" t="s">
        <v>89</v>
      </c>
      <c r="F4365">
        <v>39</v>
      </c>
      <c r="G4365" t="s">
        <v>199</v>
      </c>
      <c r="H4365" t="s">
        <v>188</v>
      </c>
      <c r="I4365" t="s">
        <v>809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113</v>
      </c>
      <c r="D4366" t="s">
        <v>243</v>
      </c>
      <c r="E4366" t="s">
        <v>89</v>
      </c>
      <c r="F4366">
        <v>39</v>
      </c>
      <c r="G4366" t="s">
        <v>199</v>
      </c>
      <c r="H4366" t="s">
        <v>188</v>
      </c>
      <c r="I4366" t="s">
        <v>810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113</v>
      </c>
      <c r="D4367" t="s">
        <v>243</v>
      </c>
      <c r="E4367" t="s">
        <v>89</v>
      </c>
      <c r="F4367">
        <v>39</v>
      </c>
      <c r="G4367" t="s">
        <v>199</v>
      </c>
      <c r="H4367" t="s">
        <v>188</v>
      </c>
      <c r="I4367" t="s">
        <v>811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113</v>
      </c>
      <c r="D4368" t="s">
        <v>243</v>
      </c>
      <c r="E4368" t="s">
        <v>89</v>
      </c>
      <c r="F4368">
        <v>39</v>
      </c>
      <c r="G4368" t="s">
        <v>199</v>
      </c>
      <c r="H4368" t="s">
        <v>198</v>
      </c>
      <c r="I4368" t="s">
        <v>805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113</v>
      </c>
      <c r="D4369" t="s">
        <v>243</v>
      </c>
      <c r="E4369" t="s">
        <v>89</v>
      </c>
      <c r="F4369">
        <v>39</v>
      </c>
      <c r="G4369" t="s">
        <v>199</v>
      </c>
      <c r="H4369" t="s">
        <v>198</v>
      </c>
      <c r="I4369" t="s">
        <v>806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113</v>
      </c>
      <c r="D4370" t="s">
        <v>243</v>
      </c>
      <c r="E4370" t="s">
        <v>89</v>
      </c>
      <c r="F4370">
        <v>39</v>
      </c>
      <c r="G4370" t="s">
        <v>199</v>
      </c>
      <c r="H4370" t="s">
        <v>198</v>
      </c>
      <c r="I4370" t="s">
        <v>807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113</v>
      </c>
      <c r="D4371" t="s">
        <v>243</v>
      </c>
      <c r="E4371" t="s">
        <v>89</v>
      </c>
      <c r="F4371">
        <v>39</v>
      </c>
      <c r="G4371" t="s">
        <v>199</v>
      </c>
      <c r="H4371" t="s">
        <v>198</v>
      </c>
      <c r="I4371" t="s">
        <v>808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113</v>
      </c>
      <c r="D4372" t="s">
        <v>243</v>
      </c>
      <c r="E4372" t="s">
        <v>89</v>
      </c>
      <c r="F4372">
        <v>39</v>
      </c>
      <c r="G4372" t="s">
        <v>199</v>
      </c>
      <c r="H4372" t="s">
        <v>198</v>
      </c>
      <c r="I4372" t="s">
        <v>802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113</v>
      </c>
      <c r="D4373" t="s">
        <v>243</v>
      </c>
      <c r="E4373" t="s">
        <v>89</v>
      </c>
      <c r="F4373">
        <v>39</v>
      </c>
      <c r="G4373" t="s">
        <v>199</v>
      </c>
      <c r="H4373" t="s">
        <v>198</v>
      </c>
      <c r="I4373" t="s">
        <v>800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113</v>
      </c>
      <c r="D4374" t="s">
        <v>243</v>
      </c>
      <c r="E4374" t="s">
        <v>89</v>
      </c>
      <c r="F4374">
        <v>39</v>
      </c>
      <c r="G4374" t="s">
        <v>199</v>
      </c>
      <c r="H4374" t="s">
        <v>198</v>
      </c>
      <c r="I4374" t="s">
        <v>139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113</v>
      </c>
      <c r="D4375" t="s">
        <v>243</v>
      </c>
      <c r="E4375" t="s">
        <v>89</v>
      </c>
      <c r="F4375">
        <v>39</v>
      </c>
      <c r="G4375" t="s">
        <v>199</v>
      </c>
      <c r="H4375" t="s">
        <v>198</v>
      </c>
      <c r="I4375" t="s">
        <v>809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113</v>
      </c>
      <c r="D4376" t="s">
        <v>243</v>
      </c>
      <c r="E4376" t="s">
        <v>89</v>
      </c>
      <c r="F4376">
        <v>39</v>
      </c>
      <c r="G4376" t="s">
        <v>199</v>
      </c>
      <c r="H4376" t="s">
        <v>198</v>
      </c>
      <c r="I4376" t="s">
        <v>810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113</v>
      </c>
      <c r="D4377" t="s">
        <v>243</v>
      </c>
      <c r="E4377" t="s">
        <v>89</v>
      </c>
      <c r="F4377">
        <v>39</v>
      </c>
      <c r="G4377" t="s">
        <v>199</v>
      </c>
      <c r="H4377" t="s">
        <v>198</v>
      </c>
      <c r="I4377" t="s">
        <v>811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113</v>
      </c>
      <c r="D4378" t="s">
        <v>243</v>
      </c>
      <c r="E4378" t="s">
        <v>89</v>
      </c>
      <c r="F4378">
        <v>39</v>
      </c>
      <c r="G4378" t="s">
        <v>90</v>
      </c>
      <c r="H4378" t="s">
        <v>206</v>
      </c>
      <c r="I4378" t="s">
        <v>136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113</v>
      </c>
      <c r="D4379" t="s">
        <v>243</v>
      </c>
      <c r="E4379" t="s">
        <v>89</v>
      </c>
      <c r="F4379">
        <v>39</v>
      </c>
      <c r="G4379" t="s">
        <v>90</v>
      </c>
      <c r="H4379" t="s">
        <v>206</v>
      </c>
      <c r="I4379" t="s">
        <v>812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113</v>
      </c>
      <c r="D4380" t="s">
        <v>243</v>
      </c>
      <c r="E4380" t="s">
        <v>89</v>
      </c>
      <c r="F4380">
        <v>39</v>
      </c>
      <c r="G4380" t="s">
        <v>90</v>
      </c>
      <c r="H4380" t="s">
        <v>206</v>
      </c>
      <c r="I4380" t="s">
        <v>813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113</v>
      </c>
      <c r="D4381" t="s">
        <v>243</v>
      </c>
      <c r="E4381" t="s">
        <v>89</v>
      </c>
      <c r="F4381">
        <v>39</v>
      </c>
      <c r="G4381" t="s">
        <v>90</v>
      </c>
      <c r="H4381" t="s">
        <v>206</v>
      </c>
      <c r="I4381" t="s">
        <v>814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113</v>
      </c>
      <c r="D4382" t="s">
        <v>243</v>
      </c>
      <c r="E4382" t="s">
        <v>89</v>
      </c>
      <c r="F4382">
        <v>39</v>
      </c>
      <c r="G4382" t="s">
        <v>90</v>
      </c>
      <c r="H4382" t="s">
        <v>206</v>
      </c>
      <c r="I4382" t="s">
        <v>815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113</v>
      </c>
      <c r="D4383" t="s">
        <v>243</v>
      </c>
      <c r="E4383" t="s">
        <v>89</v>
      </c>
      <c r="F4383">
        <v>39</v>
      </c>
      <c r="G4383" t="s">
        <v>90</v>
      </c>
      <c r="H4383" t="s">
        <v>206</v>
      </c>
      <c r="I4383" t="s">
        <v>816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113</v>
      </c>
      <c r="D4384" t="s">
        <v>243</v>
      </c>
      <c r="E4384" t="s">
        <v>89</v>
      </c>
      <c r="F4384">
        <v>39</v>
      </c>
      <c r="G4384" t="s">
        <v>90</v>
      </c>
      <c r="H4384" t="s">
        <v>206</v>
      </c>
      <c r="I4384" t="s">
        <v>817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113</v>
      </c>
      <c r="D4385" t="s">
        <v>243</v>
      </c>
      <c r="E4385" t="s">
        <v>89</v>
      </c>
      <c r="F4385">
        <v>39</v>
      </c>
      <c r="G4385" t="s">
        <v>90</v>
      </c>
      <c r="H4385" t="s">
        <v>206</v>
      </c>
      <c r="I4385" t="s">
        <v>818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113</v>
      </c>
      <c r="D4386" t="s">
        <v>243</v>
      </c>
      <c r="E4386" t="s">
        <v>89</v>
      </c>
      <c r="F4386">
        <v>39</v>
      </c>
      <c r="G4386" t="s">
        <v>90</v>
      </c>
      <c r="H4386" t="s">
        <v>206</v>
      </c>
      <c r="I4386" t="s">
        <v>819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113</v>
      </c>
      <c r="D4387" t="s">
        <v>243</v>
      </c>
      <c r="E4387" t="s">
        <v>89</v>
      </c>
      <c r="F4387">
        <v>39</v>
      </c>
      <c r="G4387" t="s">
        <v>90</v>
      </c>
      <c r="H4387" t="s">
        <v>206</v>
      </c>
      <c r="I4387" t="s">
        <v>820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113</v>
      </c>
      <c r="D4388" t="s">
        <v>243</v>
      </c>
      <c r="E4388" t="s">
        <v>89</v>
      </c>
      <c r="F4388">
        <v>39</v>
      </c>
      <c r="G4388" t="s">
        <v>90</v>
      </c>
      <c r="H4388" t="s">
        <v>206</v>
      </c>
      <c r="I4388" t="s">
        <v>821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113</v>
      </c>
      <c r="D4389" t="s">
        <v>243</v>
      </c>
      <c r="E4389" t="s">
        <v>89</v>
      </c>
      <c r="F4389">
        <v>39</v>
      </c>
      <c r="G4389" t="s">
        <v>90</v>
      </c>
      <c r="H4389" t="s">
        <v>206</v>
      </c>
      <c r="I4389" t="s">
        <v>822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113</v>
      </c>
      <c r="D4390" t="s">
        <v>243</v>
      </c>
      <c r="E4390" t="s">
        <v>89</v>
      </c>
      <c r="F4390">
        <v>39</v>
      </c>
      <c r="G4390" t="s">
        <v>90</v>
      </c>
      <c r="H4390" t="s">
        <v>206</v>
      </c>
      <c r="I4390" t="s">
        <v>823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113</v>
      </c>
      <c r="D4391" t="s">
        <v>243</v>
      </c>
      <c r="E4391" t="s">
        <v>89</v>
      </c>
      <c r="F4391">
        <v>39</v>
      </c>
      <c r="G4391" t="s">
        <v>90</v>
      </c>
      <c r="H4391" t="s">
        <v>206</v>
      </c>
      <c r="I4391" t="s">
        <v>824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113</v>
      </c>
      <c r="D4392" t="s">
        <v>243</v>
      </c>
      <c r="E4392" t="s">
        <v>89</v>
      </c>
      <c r="F4392">
        <v>39</v>
      </c>
      <c r="G4392" t="s">
        <v>90</v>
      </c>
      <c r="H4392" t="s">
        <v>206</v>
      </c>
      <c r="I4392" t="s">
        <v>825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113</v>
      </c>
      <c r="D4393" t="s">
        <v>243</v>
      </c>
      <c r="E4393" t="s">
        <v>89</v>
      </c>
      <c r="F4393">
        <v>39</v>
      </c>
      <c r="G4393" t="s">
        <v>90</v>
      </c>
      <c r="H4393" t="s">
        <v>206</v>
      </c>
      <c r="I4393" t="s">
        <v>826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113</v>
      </c>
      <c r="D4394" t="s">
        <v>243</v>
      </c>
      <c r="E4394" t="s">
        <v>89</v>
      </c>
      <c r="F4394">
        <v>39</v>
      </c>
      <c r="G4394" t="s">
        <v>90</v>
      </c>
      <c r="H4394" t="s">
        <v>206</v>
      </c>
      <c r="I4394" t="s">
        <v>827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113</v>
      </c>
      <c r="D4395" t="s">
        <v>243</v>
      </c>
      <c r="E4395" t="s">
        <v>89</v>
      </c>
      <c r="F4395">
        <v>39</v>
      </c>
      <c r="G4395" t="s">
        <v>90</v>
      </c>
      <c r="H4395" t="s">
        <v>206</v>
      </c>
      <c r="I4395" t="s">
        <v>828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113</v>
      </c>
      <c r="D4396" t="s">
        <v>243</v>
      </c>
      <c r="E4396" t="s">
        <v>89</v>
      </c>
      <c r="F4396">
        <v>39</v>
      </c>
      <c r="G4396" t="s">
        <v>90</v>
      </c>
      <c r="H4396" t="s">
        <v>206</v>
      </c>
      <c r="I4396" t="s">
        <v>804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113</v>
      </c>
      <c r="D4397" t="s">
        <v>243</v>
      </c>
      <c r="E4397" t="s">
        <v>89</v>
      </c>
      <c r="F4397">
        <v>39</v>
      </c>
      <c r="G4397" t="s">
        <v>90</v>
      </c>
      <c r="H4397" t="s">
        <v>206</v>
      </c>
      <c r="I4397" t="s">
        <v>829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113</v>
      </c>
      <c r="D4398" t="s">
        <v>243</v>
      </c>
      <c r="E4398" t="s">
        <v>89</v>
      </c>
      <c r="F4398">
        <v>39</v>
      </c>
      <c r="G4398" t="s">
        <v>90</v>
      </c>
      <c r="H4398" t="s">
        <v>206</v>
      </c>
      <c r="I4398" t="s">
        <v>830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113</v>
      </c>
      <c r="D4399" t="s">
        <v>243</v>
      </c>
      <c r="E4399" t="s">
        <v>89</v>
      </c>
      <c r="F4399">
        <v>39</v>
      </c>
      <c r="G4399" t="s">
        <v>90</v>
      </c>
      <c r="H4399" t="s">
        <v>206</v>
      </c>
      <c r="I4399" t="s">
        <v>831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113</v>
      </c>
      <c r="D4400" t="s">
        <v>243</v>
      </c>
      <c r="E4400" t="s">
        <v>89</v>
      </c>
      <c r="F4400">
        <v>39</v>
      </c>
      <c r="G4400" t="s">
        <v>90</v>
      </c>
      <c r="H4400" t="s">
        <v>206</v>
      </c>
      <c r="I4400" t="s">
        <v>832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113</v>
      </c>
      <c r="D4401" t="s">
        <v>243</v>
      </c>
      <c r="E4401" t="s">
        <v>89</v>
      </c>
      <c r="F4401">
        <v>39</v>
      </c>
      <c r="G4401" t="s">
        <v>90</v>
      </c>
      <c r="H4401" t="s">
        <v>206</v>
      </c>
      <c r="I4401" t="s">
        <v>833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113</v>
      </c>
      <c r="D4402" t="s">
        <v>243</v>
      </c>
      <c r="E4402" t="s">
        <v>89</v>
      </c>
      <c r="F4402">
        <v>39</v>
      </c>
      <c r="G4402" t="s">
        <v>90</v>
      </c>
      <c r="H4402" t="s">
        <v>206</v>
      </c>
      <c r="I4402" t="s">
        <v>834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113</v>
      </c>
      <c r="D4403" t="s">
        <v>243</v>
      </c>
      <c r="E4403" t="s">
        <v>89</v>
      </c>
      <c r="F4403">
        <v>39</v>
      </c>
      <c r="G4403" t="s">
        <v>90</v>
      </c>
      <c r="H4403" t="s">
        <v>206</v>
      </c>
      <c r="I4403" t="s">
        <v>835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113</v>
      </c>
      <c r="D4404" t="s">
        <v>243</v>
      </c>
      <c r="E4404" t="s">
        <v>89</v>
      </c>
      <c r="F4404">
        <v>39</v>
      </c>
      <c r="G4404" t="s">
        <v>90</v>
      </c>
      <c r="H4404" t="s">
        <v>206</v>
      </c>
      <c r="I4404" t="s">
        <v>836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113</v>
      </c>
      <c r="D4405" t="s">
        <v>243</v>
      </c>
      <c r="E4405" t="s">
        <v>89</v>
      </c>
      <c r="F4405">
        <v>39</v>
      </c>
      <c r="G4405" t="s">
        <v>90</v>
      </c>
      <c r="H4405" t="s">
        <v>206</v>
      </c>
      <c r="I4405" t="s">
        <v>837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113</v>
      </c>
      <c r="D4406" t="s">
        <v>243</v>
      </c>
      <c r="E4406" t="s">
        <v>89</v>
      </c>
      <c r="F4406">
        <v>39</v>
      </c>
      <c r="G4406" t="s">
        <v>90</v>
      </c>
      <c r="H4406" t="s">
        <v>227</v>
      </c>
      <c r="I4406" t="s">
        <v>136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113</v>
      </c>
      <c r="D4407" t="s">
        <v>243</v>
      </c>
      <c r="E4407" t="s">
        <v>89</v>
      </c>
      <c r="F4407">
        <v>39</v>
      </c>
      <c r="G4407" t="s">
        <v>90</v>
      </c>
      <c r="H4407" t="s">
        <v>227</v>
      </c>
      <c r="I4407" t="s">
        <v>812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113</v>
      </c>
      <c r="D4408" t="s">
        <v>243</v>
      </c>
      <c r="E4408" t="s">
        <v>89</v>
      </c>
      <c r="F4408">
        <v>39</v>
      </c>
      <c r="G4408" t="s">
        <v>90</v>
      </c>
      <c r="H4408" t="s">
        <v>227</v>
      </c>
      <c r="I4408" t="s">
        <v>813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113</v>
      </c>
      <c r="D4409" t="s">
        <v>243</v>
      </c>
      <c r="E4409" t="s">
        <v>89</v>
      </c>
      <c r="F4409">
        <v>39</v>
      </c>
      <c r="G4409" t="s">
        <v>90</v>
      </c>
      <c r="H4409" t="s">
        <v>227</v>
      </c>
      <c r="I4409" t="s">
        <v>814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113</v>
      </c>
      <c r="D4410" t="s">
        <v>243</v>
      </c>
      <c r="E4410" t="s">
        <v>89</v>
      </c>
      <c r="F4410">
        <v>39</v>
      </c>
      <c r="G4410" t="s">
        <v>90</v>
      </c>
      <c r="H4410" t="s">
        <v>227</v>
      </c>
      <c r="I4410" t="s">
        <v>815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113</v>
      </c>
      <c r="D4411" t="s">
        <v>243</v>
      </c>
      <c r="E4411" t="s">
        <v>89</v>
      </c>
      <c r="F4411">
        <v>39</v>
      </c>
      <c r="G4411" t="s">
        <v>90</v>
      </c>
      <c r="H4411" t="s">
        <v>227</v>
      </c>
      <c r="I4411" t="s">
        <v>816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113</v>
      </c>
      <c r="D4412" t="s">
        <v>243</v>
      </c>
      <c r="E4412" t="s">
        <v>89</v>
      </c>
      <c r="F4412">
        <v>39</v>
      </c>
      <c r="G4412" t="s">
        <v>90</v>
      </c>
      <c r="H4412" t="s">
        <v>227</v>
      </c>
      <c r="I4412" t="s">
        <v>817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113</v>
      </c>
      <c r="D4413" t="s">
        <v>243</v>
      </c>
      <c r="E4413" t="s">
        <v>89</v>
      </c>
      <c r="F4413">
        <v>39</v>
      </c>
      <c r="G4413" t="s">
        <v>90</v>
      </c>
      <c r="H4413" t="s">
        <v>227</v>
      </c>
      <c r="I4413" t="s">
        <v>818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113</v>
      </c>
      <c r="D4414" t="s">
        <v>243</v>
      </c>
      <c r="E4414" t="s">
        <v>89</v>
      </c>
      <c r="F4414">
        <v>39</v>
      </c>
      <c r="G4414" t="s">
        <v>90</v>
      </c>
      <c r="H4414" t="s">
        <v>227</v>
      </c>
      <c r="I4414" t="s">
        <v>819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113</v>
      </c>
      <c r="D4415" t="s">
        <v>243</v>
      </c>
      <c r="E4415" t="s">
        <v>89</v>
      </c>
      <c r="F4415">
        <v>39</v>
      </c>
      <c r="G4415" t="s">
        <v>90</v>
      </c>
      <c r="H4415" t="s">
        <v>227</v>
      </c>
      <c r="I4415" t="s">
        <v>820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113</v>
      </c>
      <c r="D4416" t="s">
        <v>243</v>
      </c>
      <c r="E4416" t="s">
        <v>89</v>
      </c>
      <c r="F4416">
        <v>39</v>
      </c>
      <c r="G4416" t="s">
        <v>90</v>
      </c>
      <c r="H4416" t="s">
        <v>227</v>
      </c>
      <c r="I4416" t="s">
        <v>821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113</v>
      </c>
      <c r="D4417" t="s">
        <v>243</v>
      </c>
      <c r="E4417" t="s">
        <v>89</v>
      </c>
      <c r="F4417">
        <v>39</v>
      </c>
      <c r="G4417" t="s">
        <v>90</v>
      </c>
      <c r="H4417" t="s">
        <v>227</v>
      </c>
      <c r="I4417" t="s">
        <v>822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113</v>
      </c>
      <c r="D4418" t="s">
        <v>243</v>
      </c>
      <c r="E4418" t="s">
        <v>89</v>
      </c>
      <c r="F4418">
        <v>39</v>
      </c>
      <c r="G4418" t="s">
        <v>90</v>
      </c>
      <c r="H4418" t="s">
        <v>227</v>
      </c>
      <c r="I4418" t="s">
        <v>823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113</v>
      </c>
      <c r="D4419" t="s">
        <v>243</v>
      </c>
      <c r="E4419" t="s">
        <v>89</v>
      </c>
      <c r="F4419">
        <v>39</v>
      </c>
      <c r="G4419" t="s">
        <v>90</v>
      </c>
      <c r="H4419" t="s">
        <v>227</v>
      </c>
      <c r="I4419" t="s">
        <v>824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113</v>
      </c>
      <c r="D4420" t="s">
        <v>243</v>
      </c>
      <c r="E4420" t="s">
        <v>89</v>
      </c>
      <c r="F4420">
        <v>39</v>
      </c>
      <c r="G4420" t="s">
        <v>90</v>
      </c>
      <c r="H4420" t="s">
        <v>227</v>
      </c>
      <c r="I4420" t="s">
        <v>825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113</v>
      </c>
      <c r="D4421" t="s">
        <v>243</v>
      </c>
      <c r="E4421" t="s">
        <v>89</v>
      </c>
      <c r="F4421">
        <v>39</v>
      </c>
      <c r="G4421" t="s">
        <v>90</v>
      </c>
      <c r="H4421" t="s">
        <v>227</v>
      </c>
      <c r="I4421" t="s">
        <v>826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113</v>
      </c>
      <c r="D4422" t="s">
        <v>243</v>
      </c>
      <c r="E4422" t="s">
        <v>89</v>
      </c>
      <c r="F4422">
        <v>39</v>
      </c>
      <c r="G4422" t="s">
        <v>90</v>
      </c>
      <c r="H4422" t="s">
        <v>227</v>
      </c>
      <c r="I4422" t="s">
        <v>827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113</v>
      </c>
      <c r="D4423" t="s">
        <v>243</v>
      </c>
      <c r="E4423" t="s">
        <v>89</v>
      </c>
      <c r="F4423">
        <v>39</v>
      </c>
      <c r="G4423" t="s">
        <v>90</v>
      </c>
      <c r="H4423" t="s">
        <v>227</v>
      </c>
      <c r="I4423" t="s">
        <v>828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113</v>
      </c>
      <c r="D4424" t="s">
        <v>243</v>
      </c>
      <c r="E4424" t="s">
        <v>89</v>
      </c>
      <c r="F4424">
        <v>39</v>
      </c>
      <c r="G4424" t="s">
        <v>90</v>
      </c>
      <c r="H4424" t="s">
        <v>227</v>
      </c>
      <c r="I4424" t="s">
        <v>804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113</v>
      </c>
      <c r="D4425" t="s">
        <v>243</v>
      </c>
      <c r="E4425" t="s">
        <v>89</v>
      </c>
      <c r="F4425">
        <v>39</v>
      </c>
      <c r="G4425" t="s">
        <v>90</v>
      </c>
      <c r="H4425" t="s">
        <v>227</v>
      </c>
      <c r="I4425" t="s">
        <v>829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113</v>
      </c>
      <c r="D4426" t="s">
        <v>243</v>
      </c>
      <c r="E4426" t="s">
        <v>89</v>
      </c>
      <c r="F4426">
        <v>39</v>
      </c>
      <c r="G4426" t="s">
        <v>90</v>
      </c>
      <c r="H4426" t="s">
        <v>227</v>
      </c>
      <c r="I4426" t="s">
        <v>830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113</v>
      </c>
      <c r="D4427" t="s">
        <v>243</v>
      </c>
      <c r="E4427" t="s">
        <v>89</v>
      </c>
      <c r="F4427">
        <v>39</v>
      </c>
      <c r="G4427" t="s">
        <v>90</v>
      </c>
      <c r="H4427" t="s">
        <v>227</v>
      </c>
      <c r="I4427" t="s">
        <v>831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113</v>
      </c>
      <c r="D4428" t="s">
        <v>243</v>
      </c>
      <c r="E4428" t="s">
        <v>89</v>
      </c>
      <c r="F4428">
        <v>39</v>
      </c>
      <c r="G4428" t="s">
        <v>90</v>
      </c>
      <c r="H4428" t="s">
        <v>227</v>
      </c>
      <c r="I4428" t="s">
        <v>832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113</v>
      </c>
      <c r="D4429" t="s">
        <v>243</v>
      </c>
      <c r="E4429" t="s">
        <v>89</v>
      </c>
      <c r="F4429">
        <v>39</v>
      </c>
      <c r="G4429" t="s">
        <v>90</v>
      </c>
      <c r="H4429" t="s">
        <v>227</v>
      </c>
      <c r="I4429" t="s">
        <v>833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113</v>
      </c>
      <c r="D4430" t="s">
        <v>243</v>
      </c>
      <c r="E4430" t="s">
        <v>89</v>
      </c>
      <c r="F4430">
        <v>39</v>
      </c>
      <c r="G4430" t="s">
        <v>90</v>
      </c>
      <c r="H4430" t="s">
        <v>227</v>
      </c>
      <c r="I4430" t="s">
        <v>834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113</v>
      </c>
      <c r="D4431" t="s">
        <v>243</v>
      </c>
      <c r="E4431" t="s">
        <v>89</v>
      </c>
      <c r="F4431">
        <v>39</v>
      </c>
      <c r="G4431" t="s">
        <v>90</v>
      </c>
      <c r="H4431" t="s">
        <v>227</v>
      </c>
      <c r="I4431" t="s">
        <v>835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113</v>
      </c>
      <c r="D4432" t="s">
        <v>243</v>
      </c>
      <c r="E4432" t="s">
        <v>89</v>
      </c>
      <c r="F4432">
        <v>39</v>
      </c>
      <c r="G4432" t="s">
        <v>90</v>
      </c>
      <c r="H4432" t="s">
        <v>227</v>
      </c>
      <c r="I4432" t="s">
        <v>836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113</v>
      </c>
      <c r="D4433" t="s">
        <v>243</v>
      </c>
      <c r="E4433" t="s">
        <v>89</v>
      </c>
      <c r="F4433">
        <v>39</v>
      </c>
      <c r="G4433" t="s">
        <v>90</v>
      </c>
      <c r="H4433" t="s">
        <v>227</v>
      </c>
      <c r="I4433" t="s">
        <v>837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113</v>
      </c>
      <c r="D4434" t="s">
        <v>243</v>
      </c>
      <c r="E4434" t="s">
        <v>89</v>
      </c>
      <c r="F4434">
        <v>39</v>
      </c>
      <c r="G4434" t="s">
        <v>90</v>
      </c>
      <c r="H4434" t="s">
        <v>228</v>
      </c>
      <c r="I4434" t="s">
        <v>136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113</v>
      </c>
      <c r="D4435" t="s">
        <v>243</v>
      </c>
      <c r="E4435" t="s">
        <v>89</v>
      </c>
      <c r="F4435">
        <v>39</v>
      </c>
      <c r="G4435" t="s">
        <v>90</v>
      </c>
      <c r="H4435" t="s">
        <v>228</v>
      </c>
      <c r="I4435" t="s">
        <v>812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113</v>
      </c>
      <c r="D4436" t="s">
        <v>243</v>
      </c>
      <c r="E4436" t="s">
        <v>89</v>
      </c>
      <c r="F4436">
        <v>39</v>
      </c>
      <c r="G4436" t="s">
        <v>90</v>
      </c>
      <c r="H4436" t="s">
        <v>228</v>
      </c>
      <c r="I4436" t="s">
        <v>813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113</v>
      </c>
      <c r="D4437" t="s">
        <v>243</v>
      </c>
      <c r="E4437" t="s">
        <v>89</v>
      </c>
      <c r="F4437">
        <v>39</v>
      </c>
      <c r="G4437" t="s">
        <v>90</v>
      </c>
      <c r="H4437" t="s">
        <v>228</v>
      </c>
      <c r="I4437" t="s">
        <v>814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113</v>
      </c>
      <c r="D4438" t="s">
        <v>243</v>
      </c>
      <c r="E4438" t="s">
        <v>89</v>
      </c>
      <c r="F4438">
        <v>39</v>
      </c>
      <c r="G4438" t="s">
        <v>90</v>
      </c>
      <c r="H4438" t="s">
        <v>228</v>
      </c>
      <c r="I4438" t="s">
        <v>815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113</v>
      </c>
      <c r="D4439" t="s">
        <v>243</v>
      </c>
      <c r="E4439" t="s">
        <v>89</v>
      </c>
      <c r="F4439">
        <v>39</v>
      </c>
      <c r="G4439" t="s">
        <v>90</v>
      </c>
      <c r="H4439" t="s">
        <v>228</v>
      </c>
      <c r="I4439" t="s">
        <v>816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113</v>
      </c>
      <c r="D4440" t="s">
        <v>243</v>
      </c>
      <c r="E4440" t="s">
        <v>89</v>
      </c>
      <c r="F4440">
        <v>39</v>
      </c>
      <c r="G4440" t="s">
        <v>90</v>
      </c>
      <c r="H4440" t="s">
        <v>228</v>
      </c>
      <c r="I4440" t="s">
        <v>817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113</v>
      </c>
      <c r="D4441" t="s">
        <v>243</v>
      </c>
      <c r="E4441" t="s">
        <v>89</v>
      </c>
      <c r="F4441">
        <v>39</v>
      </c>
      <c r="G4441" t="s">
        <v>90</v>
      </c>
      <c r="H4441" t="s">
        <v>228</v>
      </c>
      <c r="I4441" t="s">
        <v>818</v>
      </c>
      <c r="J4441">
        <v>0</v>
      </c>
    </row>
    <row r="4442" spans="1:10" x14ac:dyDescent="0.25">
      <c r="A4442" s="1" t="s">
        <v>27</v>
      </c>
      <c r="B4442">
        <v>401752797</v>
      </c>
      <c r="C4442" t="s">
        <v>113</v>
      </c>
      <c r="D4442" t="s">
        <v>243</v>
      </c>
      <c r="E4442" t="s">
        <v>89</v>
      </c>
      <c r="F4442">
        <v>39</v>
      </c>
      <c r="G4442" t="s">
        <v>90</v>
      </c>
      <c r="H4442" t="s">
        <v>228</v>
      </c>
      <c r="I4442" t="s">
        <v>819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113</v>
      </c>
      <c r="D4443" t="s">
        <v>243</v>
      </c>
      <c r="E4443" t="s">
        <v>89</v>
      </c>
      <c r="F4443">
        <v>39</v>
      </c>
      <c r="G4443" t="s">
        <v>90</v>
      </c>
      <c r="H4443" t="s">
        <v>228</v>
      </c>
      <c r="I4443" t="s">
        <v>820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113</v>
      </c>
      <c r="D4444" t="s">
        <v>243</v>
      </c>
      <c r="E4444" t="s">
        <v>89</v>
      </c>
      <c r="F4444">
        <v>39</v>
      </c>
      <c r="G4444" t="s">
        <v>90</v>
      </c>
      <c r="H4444" t="s">
        <v>228</v>
      </c>
      <c r="I4444" t="s">
        <v>821</v>
      </c>
      <c r="J4444">
        <v>0</v>
      </c>
    </row>
    <row r="4445" spans="1:10" x14ac:dyDescent="0.25">
      <c r="A4445" s="1" t="s">
        <v>27</v>
      </c>
      <c r="B4445">
        <v>401752797</v>
      </c>
      <c r="C4445" t="s">
        <v>113</v>
      </c>
      <c r="D4445" t="s">
        <v>243</v>
      </c>
      <c r="E4445" t="s">
        <v>89</v>
      </c>
      <c r="F4445">
        <v>39</v>
      </c>
      <c r="G4445" t="s">
        <v>90</v>
      </c>
      <c r="H4445" t="s">
        <v>228</v>
      </c>
      <c r="I4445" t="s">
        <v>822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113</v>
      </c>
      <c r="D4446" t="s">
        <v>243</v>
      </c>
      <c r="E4446" t="s">
        <v>89</v>
      </c>
      <c r="F4446">
        <v>39</v>
      </c>
      <c r="G4446" t="s">
        <v>90</v>
      </c>
      <c r="H4446" t="s">
        <v>228</v>
      </c>
      <c r="I4446" t="s">
        <v>823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113</v>
      </c>
      <c r="D4447" t="s">
        <v>243</v>
      </c>
      <c r="E4447" t="s">
        <v>89</v>
      </c>
      <c r="F4447">
        <v>39</v>
      </c>
      <c r="G4447" t="s">
        <v>90</v>
      </c>
      <c r="H4447" t="s">
        <v>228</v>
      </c>
      <c r="I4447" t="s">
        <v>824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113</v>
      </c>
      <c r="D4448" t="s">
        <v>243</v>
      </c>
      <c r="E4448" t="s">
        <v>89</v>
      </c>
      <c r="F4448">
        <v>39</v>
      </c>
      <c r="G4448" t="s">
        <v>90</v>
      </c>
      <c r="H4448" t="s">
        <v>228</v>
      </c>
      <c r="I4448" t="s">
        <v>825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113</v>
      </c>
      <c r="D4449" t="s">
        <v>243</v>
      </c>
      <c r="E4449" t="s">
        <v>89</v>
      </c>
      <c r="F4449">
        <v>39</v>
      </c>
      <c r="G4449" t="s">
        <v>90</v>
      </c>
      <c r="H4449" t="s">
        <v>228</v>
      </c>
      <c r="I4449" t="s">
        <v>826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113</v>
      </c>
      <c r="D4450" t="s">
        <v>243</v>
      </c>
      <c r="E4450" t="s">
        <v>89</v>
      </c>
      <c r="F4450">
        <v>39</v>
      </c>
      <c r="G4450" t="s">
        <v>90</v>
      </c>
      <c r="H4450" t="s">
        <v>228</v>
      </c>
      <c r="I4450" t="s">
        <v>827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113</v>
      </c>
      <c r="D4451" t="s">
        <v>243</v>
      </c>
      <c r="E4451" t="s">
        <v>89</v>
      </c>
      <c r="F4451">
        <v>39</v>
      </c>
      <c r="G4451" t="s">
        <v>90</v>
      </c>
      <c r="H4451" t="s">
        <v>228</v>
      </c>
      <c r="I4451" t="s">
        <v>828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113</v>
      </c>
      <c r="D4452" t="s">
        <v>243</v>
      </c>
      <c r="E4452" t="s">
        <v>89</v>
      </c>
      <c r="F4452">
        <v>39</v>
      </c>
      <c r="G4452" t="s">
        <v>90</v>
      </c>
      <c r="H4452" t="s">
        <v>228</v>
      </c>
      <c r="I4452" t="s">
        <v>804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113</v>
      </c>
      <c r="D4453" t="s">
        <v>243</v>
      </c>
      <c r="E4453" t="s">
        <v>89</v>
      </c>
      <c r="F4453">
        <v>39</v>
      </c>
      <c r="G4453" t="s">
        <v>90</v>
      </c>
      <c r="H4453" t="s">
        <v>228</v>
      </c>
      <c r="I4453" t="s">
        <v>829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113</v>
      </c>
      <c r="D4454" t="s">
        <v>243</v>
      </c>
      <c r="E4454" t="s">
        <v>89</v>
      </c>
      <c r="F4454">
        <v>39</v>
      </c>
      <c r="G4454" t="s">
        <v>90</v>
      </c>
      <c r="H4454" t="s">
        <v>228</v>
      </c>
      <c r="I4454" t="s">
        <v>830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113</v>
      </c>
      <c r="D4455" t="s">
        <v>243</v>
      </c>
      <c r="E4455" t="s">
        <v>89</v>
      </c>
      <c r="F4455">
        <v>39</v>
      </c>
      <c r="G4455" t="s">
        <v>90</v>
      </c>
      <c r="H4455" t="s">
        <v>228</v>
      </c>
      <c r="I4455" t="s">
        <v>831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113</v>
      </c>
      <c r="D4456" t="s">
        <v>243</v>
      </c>
      <c r="E4456" t="s">
        <v>89</v>
      </c>
      <c r="F4456">
        <v>39</v>
      </c>
      <c r="G4456" t="s">
        <v>90</v>
      </c>
      <c r="H4456" t="s">
        <v>228</v>
      </c>
      <c r="I4456" t="s">
        <v>832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113</v>
      </c>
      <c r="D4457" t="s">
        <v>243</v>
      </c>
      <c r="E4457" t="s">
        <v>89</v>
      </c>
      <c r="F4457">
        <v>39</v>
      </c>
      <c r="G4457" t="s">
        <v>90</v>
      </c>
      <c r="H4457" t="s">
        <v>228</v>
      </c>
      <c r="I4457" t="s">
        <v>833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113</v>
      </c>
      <c r="D4458" t="s">
        <v>243</v>
      </c>
      <c r="E4458" t="s">
        <v>89</v>
      </c>
      <c r="F4458">
        <v>39</v>
      </c>
      <c r="G4458" t="s">
        <v>90</v>
      </c>
      <c r="H4458" t="s">
        <v>228</v>
      </c>
      <c r="I4458" t="s">
        <v>834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113</v>
      </c>
      <c r="D4459" t="s">
        <v>243</v>
      </c>
      <c r="E4459" t="s">
        <v>89</v>
      </c>
      <c r="F4459">
        <v>39</v>
      </c>
      <c r="G4459" t="s">
        <v>90</v>
      </c>
      <c r="H4459" t="s">
        <v>228</v>
      </c>
      <c r="I4459" t="s">
        <v>835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113</v>
      </c>
      <c r="D4460" t="s">
        <v>243</v>
      </c>
      <c r="E4460" t="s">
        <v>89</v>
      </c>
      <c r="F4460">
        <v>39</v>
      </c>
      <c r="G4460" t="s">
        <v>90</v>
      </c>
      <c r="H4460" t="s">
        <v>228</v>
      </c>
      <c r="I4460" t="s">
        <v>836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113</v>
      </c>
      <c r="D4461" t="s">
        <v>243</v>
      </c>
      <c r="E4461" t="s">
        <v>89</v>
      </c>
      <c r="F4461">
        <v>39</v>
      </c>
      <c r="G4461" t="s">
        <v>90</v>
      </c>
      <c r="H4461" t="s">
        <v>228</v>
      </c>
      <c r="I4461" t="s">
        <v>837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113</v>
      </c>
      <c r="D4462" t="s">
        <v>243</v>
      </c>
      <c r="E4462" t="s">
        <v>89</v>
      </c>
      <c r="F4462">
        <v>39</v>
      </c>
      <c r="G4462" t="s">
        <v>90</v>
      </c>
      <c r="H4462" t="s">
        <v>229</v>
      </c>
      <c r="I4462" t="s">
        <v>136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113</v>
      </c>
      <c r="D4463" t="s">
        <v>243</v>
      </c>
      <c r="E4463" t="s">
        <v>89</v>
      </c>
      <c r="F4463">
        <v>39</v>
      </c>
      <c r="G4463" t="s">
        <v>90</v>
      </c>
      <c r="H4463" t="s">
        <v>229</v>
      </c>
      <c r="I4463" t="s">
        <v>812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113</v>
      </c>
      <c r="D4464" t="s">
        <v>243</v>
      </c>
      <c r="E4464" t="s">
        <v>89</v>
      </c>
      <c r="F4464">
        <v>39</v>
      </c>
      <c r="G4464" t="s">
        <v>90</v>
      </c>
      <c r="H4464" t="s">
        <v>229</v>
      </c>
      <c r="I4464" t="s">
        <v>813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113</v>
      </c>
      <c r="D4465" t="s">
        <v>243</v>
      </c>
      <c r="E4465" t="s">
        <v>89</v>
      </c>
      <c r="F4465">
        <v>39</v>
      </c>
      <c r="G4465" t="s">
        <v>90</v>
      </c>
      <c r="H4465" t="s">
        <v>229</v>
      </c>
      <c r="I4465" t="s">
        <v>814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113</v>
      </c>
      <c r="D4466" t="s">
        <v>243</v>
      </c>
      <c r="E4466" t="s">
        <v>89</v>
      </c>
      <c r="F4466">
        <v>39</v>
      </c>
      <c r="G4466" t="s">
        <v>90</v>
      </c>
      <c r="H4466" t="s">
        <v>229</v>
      </c>
      <c r="I4466" t="s">
        <v>815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113</v>
      </c>
      <c r="D4467" t="s">
        <v>243</v>
      </c>
      <c r="E4467" t="s">
        <v>89</v>
      </c>
      <c r="F4467">
        <v>39</v>
      </c>
      <c r="G4467" t="s">
        <v>90</v>
      </c>
      <c r="H4467" t="s">
        <v>229</v>
      </c>
      <c r="I4467" t="s">
        <v>816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113</v>
      </c>
      <c r="D4468" t="s">
        <v>243</v>
      </c>
      <c r="E4468" t="s">
        <v>89</v>
      </c>
      <c r="F4468">
        <v>39</v>
      </c>
      <c r="G4468" t="s">
        <v>90</v>
      </c>
      <c r="H4468" t="s">
        <v>229</v>
      </c>
      <c r="I4468" t="s">
        <v>817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113</v>
      </c>
      <c r="D4469" t="s">
        <v>243</v>
      </c>
      <c r="E4469" t="s">
        <v>89</v>
      </c>
      <c r="F4469">
        <v>39</v>
      </c>
      <c r="G4469" t="s">
        <v>90</v>
      </c>
      <c r="H4469" t="s">
        <v>229</v>
      </c>
      <c r="I4469" t="s">
        <v>818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113</v>
      </c>
      <c r="D4470" t="s">
        <v>243</v>
      </c>
      <c r="E4470" t="s">
        <v>89</v>
      </c>
      <c r="F4470">
        <v>39</v>
      </c>
      <c r="G4470" t="s">
        <v>90</v>
      </c>
      <c r="H4470" t="s">
        <v>229</v>
      </c>
      <c r="I4470" t="s">
        <v>819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113</v>
      </c>
      <c r="D4471" t="s">
        <v>243</v>
      </c>
      <c r="E4471" t="s">
        <v>89</v>
      </c>
      <c r="F4471">
        <v>39</v>
      </c>
      <c r="G4471" t="s">
        <v>90</v>
      </c>
      <c r="H4471" t="s">
        <v>229</v>
      </c>
      <c r="I4471" t="s">
        <v>820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113</v>
      </c>
      <c r="D4472" t="s">
        <v>243</v>
      </c>
      <c r="E4472" t="s">
        <v>89</v>
      </c>
      <c r="F4472">
        <v>39</v>
      </c>
      <c r="G4472" t="s">
        <v>90</v>
      </c>
      <c r="H4472" t="s">
        <v>229</v>
      </c>
      <c r="I4472" t="s">
        <v>821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113</v>
      </c>
      <c r="D4473" t="s">
        <v>243</v>
      </c>
      <c r="E4473" t="s">
        <v>89</v>
      </c>
      <c r="F4473">
        <v>39</v>
      </c>
      <c r="G4473" t="s">
        <v>90</v>
      </c>
      <c r="H4473" t="s">
        <v>229</v>
      </c>
      <c r="I4473" t="s">
        <v>822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113</v>
      </c>
      <c r="D4474" t="s">
        <v>243</v>
      </c>
      <c r="E4474" t="s">
        <v>89</v>
      </c>
      <c r="F4474">
        <v>39</v>
      </c>
      <c r="G4474" t="s">
        <v>90</v>
      </c>
      <c r="H4474" t="s">
        <v>229</v>
      </c>
      <c r="I4474" t="s">
        <v>823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113</v>
      </c>
      <c r="D4475" t="s">
        <v>243</v>
      </c>
      <c r="E4475" t="s">
        <v>89</v>
      </c>
      <c r="F4475">
        <v>39</v>
      </c>
      <c r="G4475" t="s">
        <v>90</v>
      </c>
      <c r="H4475" t="s">
        <v>229</v>
      </c>
      <c r="I4475" t="s">
        <v>824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113</v>
      </c>
      <c r="D4476" t="s">
        <v>243</v>
      </c>
      <c r="E4476" t="s">
        <v>89</v>
      </c>
      <c r="F4476">
        <v>39</v>
      </c>
      <c r="G4476" t="s">
        <v>90</v>
      </c>
      <c r="H4476" t="s">
        <v>229</v>
      </c>
      <c r="I4476" t="s">
        <v>825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113</v>
      </c>
      <c r="D4477" t="s">
        <v>243</v>
      </c>
      <c r="E4477" t="s">
        <v>89</v>
      </c>
      <c r="F4477">
        <v>39</v>
      </c>
      <c r="G4477" t="s">
        <v>90</v>
      </c>
      <c r="H4477" t="s">
        <v>229</v>
      </c>
      <c r="I4477" t="s">
        <v>826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113</v>
      </c>
      <c r="D4478" t="s">
        <v>243</v>
      </c>
      <c r="E4478" t="s">
        <v>89</v>
      </c>
      <c r="F4478">
        <v>39</v>
      </c>
      <c r="G4478" t="s">
        <v>90</v>
      </c>
      <c r="H4478" t="s">
        <v>229</v>
      </c>
      <c r="I4478" t="s">
        <v>827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113</v>
      </c>
      <c r="D4479" t="s">
        <v>243</v>
      </c>
      <c r="E4479" t="s">
        <v>89</v>
      </c>
      <c r="F4479">
        <v>39</v>
      </c>
      <c r="G4479" t="s">
        <v>90</v>
      </c>
      <c r="H4479" t="s">
        <v>229</v>
      </c>
      <c r="I4479" t="s">
        <v>828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113</v>
      </c>
      <c r="D4480" t="s">
        <v>243</v>
      </c>
      <c r="E4480" t="s">
        <v>89</v>
      </c>
      <c r="F4480">
        <v>39</v>
      </c>
      <c r="G4480" t="s">
        <v>90</v>
      </c>
      <c r="H4480" t="s">
        <v>229</v>
      </c>
      <c r="I4480" t="s">
        <v>804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113</v>
      </c>
      <c r="D4481" t="s">
        <v>243</v>
      </c>
      <c r="E4481" t="s">
        <v>89</v>
      </c>
      <c r="F4481">
        <v>39</v>
      </c>
      <c r="G4481" t="s">
        <v>90</v>
      </c>
      <c r="H4481" t="s">
        <v>229</v>
      </c>
      <c r="I4481" t="s">
        <v>829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113</v>
      </c>
      <c r="D4482" t="s">
        <v>243</v>
      </c>
      <c r="E4482" t="s">
        <v>89</v>
      </c>
      <c r="F4482">
        <v>39</v>
      </c>
      <c r="G4482" t="s">
        <v>90</v>
      </c>
      <c r="H4482" t="s">
        <v>229</v>
      </c>
      <c r="I4482" t="s">
        <v>830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113</v>
      </c>
      <c r="D4483" t="s">
        <v>243</v>
      </c>
      <c r="E4483" t="s">
        <v>89</v>
      </c>
      <c r="F4483">
        <v>39</v>
      </c>
      <c r="G4483" t="s">
        <v>90</v>
      </c>
      <c r="H4483" t="s">
        <v>229</v>
      </c>
      <c r="I4483" t="s">
        <v>831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113</v>
      </c>
      <c r="D4484" t="s">
        <v>243</v>
      </c>
      <c r="E4484" t="s">
        <v>89</v>
      </c>
      <c r="F4484">
        <v>39</v>
      </c>
      <c r="G4484" t="s">
        <v>90</v>
      </c>
      <c r="H4484" t="s">
        <v>229</v>
      </c>
      <c r="I4484" t="s">
        <v>832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113</v>
      </c>
      <c r="D4485" t="s">
        <v>243</v>
      </c>
      <c r="E4485" t="s">
        <v>89</v>
      </c>
      <c r="F4485">
        <v>39</v>
      </c>
      <c r="G4485" t="s">
        <v>90</v>
      </c>
      <c r="H4485" t="s">
        <v>229</v>
      </c>
      <c r="I4485" t="s">
        <v>833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113</v>
      </c>
      <c r="D4486" t="s">
        <v>243</v>
      </c>
      <c r="E4486" t="s">
        <v>89</v>
      </c>
      <c r="F4486">
        <v>39</v>
      </c>
      <c r="G4486" t="s">
        <v>90</v>
      </c>
      <c r="H4486" t="s">
        <v>229</v>
      </c>
      <c r="I4486" t="s">
        <v>834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113</v>
      </c>
      <c r="D4487" t="s">
        <v>243</v>
      </c>
      <c r="E4487" t="s">
        <v>89</v>
      </c>
      <c r="F4487">
        <v>39</v>
      </c>
      <c r="G4487" t="s">
        <v>90</v>
      </c>
      <c r="H4487" t="s">
        <v>229</v>
      </c>
      <c r="I4487" t="s">
        <v>835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113</v>
      </c>
      <c r="D4488" t="s">
        <v>243</v>
      </c>
      <c r="E4488" t="s">
        <v>89</v>
      </c>
      <c r="F4488">
        <v>39</v>
      </c>
      <c r="G4488" t="s">
        <v>90</v>
      </c>
      <c r="H4488" t="s">
        <v>229</v>
      </c>
      <c r="I4488" t="s">
        <v>836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113</v>
      </c>
      <c r="D4489" t="s">
        <v>243</v>
      </c>
      <c r="E4489" t="s">
        <v>89</v>
      </c>
      <c r="F4489">
        <v>39</v>
      </c>
      <c r="G4489" t="s">
        <v>90</v>
      </c>
      <c r="H4489" t="s">
        <v>229</v>
      </c>
      <c r="I4489" t="s">
        <v>837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113</v>
      </c>
      <c r="D4490" t="s">
        <v>243</v>
      </c>
      <c r="E4490" t="s">
        <v>89</v>
      </c>
      <c r="F4490">
        <v>39</v>
      </c>
      <c r="G4490" t="s">
        <v>90</v>
      </c>
      <c r="H4490" t="s">
        <v>91</v>
      </c>
      <c r="I4490" t="s">
        <v>136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113</v>
      </c>
      <c r="D4491" t="s">
        <v>243</v>
      </c>
      <c r="E4491" t="s">
        <v>89</v>
      </c>
      <c r="F4491">
        <v>39</v>
      </c>
      <c r="G4491" t="s">
        <v>90</v>
      </c>
      <c r="H4491" t="s">
        <v>91</v>
      </c>
      <c r="I4491" t="s">
        <v>812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113</v>
      </c>
      <c r="D4492" t="s">
        <v>243</v>
      </c>
      <c r="E4492" t="s">
        <v>89</v>
      </c>
      <c r="F4492">
        <v>39</v>
      </c>
      <c r="G4492" t="s">
        <v>90</v>
      </c>
      <c r="H4492" t="s">
        <v>91</v>
      </c>
      <c r="I4492" t="s">
        <v>813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113</v>
      </c>
      <c r="D4493" t="s">
        <v>243</v>
      </c>
      <c r="E4493" t="s">
        <v>89</v>
      </c>
      <c r="F4493">
        <v>39</v>
      </c>
      <c r="G4493" t="s">
        <v>90</v>
      </c>
      <c r="H4493" t="s">
        <v>91</v>
      </c>
      <c r="I4493" t="s">
        <v>814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113</v>
      </c>
      <c r="D4494" t="s">
        <v>243</v>
      </c>
      <c r="E4494" t="s">
        <v>89</v>
      </c>
      <c r="F4494">
        <v>39</v>
      </c>
      <c r="G4494" t="s">
        <v>90</v>
      </c>
      <c r="H4494" t="s">
        <v>91</v>
      </c>
      <c r="I4494" t="s">
        <v>815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113</v>
      </c>
      <c r="D4495" t="s">
        <v>243</v>
      </c>
      <c r="E4495" t="s">
        <v>89</v>
      </c>
      <c r="F4495">
        <v>39</v>
      </c>
      <c r="G4495" t="s">
        <v>90</v>
      </c>
      <c r="H4495" t="s">
        <v>91</v>
      </c>
      <c r="I4495" t="s">
        <v>816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113</v>
      </c>
      <c r="D4496" t="s">
        <v>243</v>
      </c>
      <c r="E4496" t="s">
        <v>89</v>
      </c>
      <c r="F4496">
        <v>39</v>
      </c>
      <c r="G4496" t="s">
        <v>90</v>
      </c>
      <c r="H4496" t="s">
        <v>91</v>
      </c>
      <c r="I4496" t="s">
        <v>817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113</v>
      </c>
      <c r="D4497" t="s">
        <v>243</v>
      </c>
      <c r="E4497" t="s">
        <v>89</v>
      </c>
      <c r="F4497">
        <v>39</v>
      </c>
      <c r="G4497" t="s">
        <v>90</v>
      </c>
      <c r="H4497" t="s">
        <v>91</v>
      </c>
      <c r="I4497" t="s">
        <v>818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113</v>
      </c>
      <c r="D4498" t="s">
        <v>243</v>
      </c>
      <c r="E4498" t="s">
        <v>89</v>
      </c>
      <c r="F4498">
        <v>39</v>
      </c>
      <c r="G4498" t="s">
        <v>90</v>
      </c>
      <c r="H4498" t="s">
        <v>91</v>
      </c>
      <c r="I4498" t="s">
        <v>819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113</v>
      </c>
      <c r="D4499" t="s">
        <v>243</v>
      </c>
      <c r="E4499" t="s">
        <v>89</v>
      </c>
      <c r="F4499">
        <v>39</v>
      </c>
      <c r="G4499" t="s">
        <v>90</v>
      </c>
      <c r="H4499" t="s">
        <v>91</v>
      </c>
      <c r="I4499" t="s">
        <v>820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113</v>
      </c>
      <c r="D4500" t="s">
        <v>243</v>
      </c>
      <c r="E4500" t="s">
        <v>89</v>
      </c>
      <c r="F4500">
        <v>39</v>
      </c>
      <c r="G4500" t="s">
        <v>90</v>
      </c>
      <c r="H4500" t="s">
        <v>91</v>
      </c>
      <c r="I4500" t="s">
        <v>821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113</v>
      </c>
      <c r="D4501" t="s">
        <v>243</v>
      </c>
      <c r="E4501" t="s">
        <v>89</v>
      </c>
      <c r="F4501">
        <v>39</v>
      </c>
      <c r="G4501" t="s">
        <v>90</v>
      </c>
      <c r="H4501" t="s">
        <v>91</v>
      </c>
      <c r="I4501" t="s">
        <v>822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113</v>
      </c>
      <c r="D4502" t="s">
        <v>243</v>
      </c>
      <c r="E4502" t="s">
        <v>89</v>
      </c>
      <c r="F4502">
        <v>39</v>
      </c>
      <c r="G4502" t="s">
        <v>90</v>
      </c>
      <c r="H4502" t="s">
        <v>91</v>
      </c>
      <c r="I4502" t="s">
        <v>823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113</v>
      </c>
      <c r="D4503" t="s">
        <v>243</v>
      </c>
      <c r="E4503" t="s">
        <v>89</v>
      </c>
      <c r="F4503">
        <v>39</v>
      </c>
      <c r="G4503" t="s">
        <v>90</v>
      </c>
      <c r="H4503" t="s">
        <v>91</v>
      </c>
      <c r="I4503" t="s">
        <v>824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113</v>
      </c>
      <c r="D4504" t="s">
        <v>243</v>
      </c>
      <c r="E4504" t="s">
        <v>89</v>
      </c>
      <c r="F4504">
        <v>39</v>
      </c>
      <c r="G4504" t="s">
        <v>90</v>
      </c>
      <c r="H4504" t="s">
        <v>91</v>
      </c>
      <c r="I4504" t="s">
        <v>825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113</v>
      </c>
      <c r="D4505" t="s">
        <v>243</v>
      </c>
      <c r="E4505" t="s">
        <v>89</v>
      </c>
      <c r="F4505">
        <v>39</v>
      </c>
      <c r="G4505" t="s">
        <v>90</v>
      </c>
      <c r="H4505" t="s">
        <v>91</v>
      </c>
      <c r="I4505" t="s">
        <v>826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113</v>
      </c>
      <c r="D4506" t="s">
        <v>243</v>
      </c>
      <c r="E4506" t="s">
        <v>89</v>
      </c>
      <c r="F4506">
        <v>39</v>
      </c>
      <c r="G4506" t="s">
        <v>90</v>
      </c>
      <c r="H4506" t="s">
        <v>91</v>
      </c>
      <c r="I4506" t="s">
        <v>827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113</v>
      </c>
      <c r="D4507" t="s">
        <v>243</v>
      </c>
      <c r="E4507" t="s">
        <v>89</v>
      </c>
      <c r="F4507">
        <v>39</v>
      </c>
      <c r="G4507" t="s">
        <v>90</v>
      </c>
      <c r="H4507" t="s">
        <v>91</v>
      </c>
      <c r="I4507" t="s">
        <v>828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113</v>
      </c>
      <c r="D4508" t="s">
        <v>243</v>
      </c>
      <c r="E4508" t="s">
        <v>89</v>
      </c>
      <c r="F4508">
        <v>39</v>
      </c>
      <c r="G4508" t="s">
        <v>90</v>
      </c>
      <c r="H4508" t="s">
        <v>91</v>
      </c>
      <c r="I4508" t="s">
        <v>804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113</v>
      </c>
      <c r="D4509" t="s">
        <v>243</v>
      </c>
      <c r="E4509" t="s">
        <v>89</v>
      </c>
      <c r="F4509">
        <v>39</v>
      </c>
      <c r="G4509" t="s">
        <v>90</v>
      </c>
      <c r="H4509" t="s">
        <v>91</v>
      </c>
      <c r="I4509" t="s">
        <v>829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113</v>
      </c>
      <c r="D4510" t="s">
        <v>243</v>
      </c>
      <c r="E4510" t="s">
        <v>89</v>
      </c>
      <c r="F4510">
        <v>39</v>
      </c>
      <c r="G4510" t="s">
        <v>90</v>
      </c>
      <c r="H4510" t="s">
        <v>91</v>
      </c>
      <c r="I4510" t="s">
        <v>830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113</v>
      </c>
      <c r="D4511" t="s">
        <v>243</v>
      </c>
      <c r="E4511" t="s">
        <v>89</v>
      </c>
      <c r="F4511">
        <v>39</v>
      </c>
      <c r="G4511" t="s">
        <v>90</v>
      </c>
      <c r="H4511" t="s">
        <v>91</v>
      </c>
      <c r="I4511" t="s">
        <v>831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113</v>
      </c>
      <c r="D4512" t="s">
        <v>243</v>
      </c>
      <c r="E4512" t="s">
        <v>89</v>
      </c>
      <c r="F4512">
        <v>39</v>
      </c>
      <c r="G4512" t="s">
        <v>90</v>
      </c>
      <c r="H4512" t="s">
        <v>91</v>
      </c>
      <c r="I4512" t="s">
        <v>832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113</v>
      </c>
      <c r="D4513" t="s">
        <v>243</v>
      </c>
      <c r="E4513" t="s">
        <v>89</v>
      </c>
      <c r="F4513">
        <v>39</v>
      </c>
      <c r="G4513" t="s">
        <v>90</v>
      </c>
      <c r="H4513" t="s">
        <v>91</v>
      </c>
      <c r="I4513" t="s">
        <v>833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113</v>
      </c>
      <c r="D4514" t="s">
        <v>243</v>
      </c>
      <c r="E4514" t="s">
        <v>89</v>
      </c>
      <c r="F4514">
        <v>39</v>
      </c>
      <c r="G4514" t="s">
        <v>90</v>
      </c>
      <c r="H4514" t="s">
        <v>91</v>
      </c>
      <c r="I4514" t="s">
        <v>834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113</v>
      </c>
      <c r="D4515" t="s">
        <v>243</v>
      </c>
      <c r="E4515" t="s">
        <v>89</v>
      </c>
      <c r="F4515">
        <v>39</v>
      </c>
      <c r="G4515" t="s">
        <v>90</v>
      </c>
      <c r="H4515" t="s">
        <v>91</v>
      </c>
      <c r="I4515" t="s">
        <v>835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113</v>
      </c>
      <c r="D4516" t="s">
        <v>243</v>
      </c>
      <c r="E4516" t="s">
        <v>89</v>
      </c>
      <c r="F4516">
        <v>39</v>
      </c>
      <c r="G4516" t="s">
        <v>90</v>
      </c>
      <c r="H4516" t="s">
        <v>91</v>
      </c>
      <c r="I4516" t="s">
        <v>836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113</v>
      </c>
      <c r="D4517" t="s">
        <v>243</v>
      </c>
      <c r="E4517" t="s">
        <v>89</v>
      </c>
      <c r="F4517">
        <v>39</v>
      </c>
      <c r="G4517" t="s">
        <v>90</v>
      </c>
      <c r="H4517" t="s">
        <v>91</v>
      </c>
      <c r="I4517" t="s">
        <v>837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113</v>
      </c>
      <c r="D4518" t="s">
        <v>243</v>
      </c>
      <c r="E4518" t="s">
        <v>89</v>
      </c>
      <c r="F4518">
        <v>39</v>
      </c>
      <c r="G4518" t="s">
        <v>90</v>
      </c>
      <c r="H4518" t="s">
        <v>230</v>
      </c>
      <c r="I4518" t="s">
        <v>136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113</v>
      </c>
      <c r="D4519" t="s">
        <v>243</v>
      </c>
      <c r="E4519" t="s">
        <v>89</v>
      </c>
      <c r="F4519">
        <v>39</v>
      </c>
      <c r="G4519" t="s">
        <v>90</v>
      </c>
      <c r="H4519" t="s">
        <v>230</v>
      </c>
      <c r="I4519" t="s">
        <v>812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113</v>
      </c>
      <c r="D4520" t="s">
        <v>243</v>
      </c>
      <c r="E4520" t="s">
        <v>89</v>
      </c>
      <c r="F4520">
        <v>39</v>
      </c>
      <c r="G4520" t="s">
        <v>90</v>
      </c>
      <c r="H4520" t="s">
        <v>230</v>
      </c>
      <c r="I4520" t="s">
        <v>813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113</v>
      </c>
      <c r="D4521" t="s">
        <v>243</v>
      </c>
      <c r="E4521" t="s">
        <v>89</v>
      </c>
      <c r="F4521">
        <v>39</v>
      </c>
      <c r="G4521" t="s">
        <v>90</v>
      </c>
      <c r="H4521" t="s">
        <v>230</v>
      </c>
      <c r="I4521" t="s">
        <v>814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113</v>
      </c>
      <c r="D4522" t="s">
        <v>243</v>
      </c>
      <c r="E4522" t="s">
        <v>89</v>
      </c>
      <c r="F4522">
        <v>39</v>
      </c>
      <c r="G4522" t="s">
        <v>90</v>
      </c>
      <c r="H4522" t="s">
        <v>230</v>
      </c>
      <c r="I4522" t="s">
        <v>815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113</v>
      </c>
      <c r="D4523" t="s">
        <v>243</v>
      </c>
      <c r="E4523" t="s">
        <v>89</v>
      </c>
      <c r="F4523">
        <v>39</v>
      </c>
      <c r="G4523" t="s">
        <v>90</v>
      </c>
      <c r="H4523" t="s">
        <v>230</v>
      </c>
      <c r="I4523" t="s">
        <v>816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113</v>
      </c>
      <c r="D4524" t="s">
        <v>243</v>
      </c>
      <c r="E4524" t="s">
        <v>89</v>
      </c>
      <c r="F4524">
        <v>39</v>
      </c>
      <c r="G4524" t="s">
        <v>90</v>
      </c>
      <c r="H4524" t="s">
        <v>230</v>
      </c>
      <c r="I4524" t="s">
        <v>817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113</v>
      </c>
      <c r="D4525" t="s">
        <v>243</v>
      </c>
      <c r="E4525" t="s">
        <v>89</v>
      </c>
      <c r="F4525">
        <v>39</v>
      </c>
      <c r="G4525" t="s">
        <v>90</v>
      </c>
      <c r="H4525" t="s">
        <v>230</v>
      </c>
      <c r="I4525" t="s">
        <v>818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113</v>
      </c>
      <c r="D4526" t="s">
        <v>243</v>
      </c>
      <c r="E4526" t="s">
        <v>89</v>
      </c>
      <c r="F4526">
        <v>39</v>
      </c>
      <c r="G4526" t="s">
        <v>90</v>
      </c>
      <c r="H4526" t="s">
        <v>230</v>
      </c>
      <c r="I4526" t="s">
        <v>819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113</v>
      </c>
      <c r="D4527" t="s">
        <v>243</v>
      </c>
      <c r="E4527" t="s">
        <v>89</v>
      </c>
      <c r="F4527">
        <v>39</v>
      </c>
      <c r="G4527" t="s">
        <v>90</v>
      </c>
      <c r="H4527" t="s">
        <v>230</v>
      </c>
      <c r="I4527" t="s">
        <v>820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113</v>
      </c>
      <c r="D4528" t="s">
        <v>243</v>
      </c>
      <c r="E4528" t="s">
        <v>89</v>
      </c>
      <c r="F4528">
        <v>39</v>
      </c>
      <c r="G4528" t="s">
        <v>90</v>
      </c>
      <c r="H4528" t="s">
        <v>230</v>
      </c>
      <c r="I4528" t="s">
        <v>821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113</v>
      </c>
      <c r="D4529" t="s">
        <v>243</v>
      </c>
      <c r="E4529" t="s">
        <v>89</v>
      </c>
      <c r="F4529">
        <v>39</v>
      </c>
      <c r="G4529" t="s">
        <v>90</v>
      </c>
      <c r="H4529" t="s">
        <v>230</v>
      </c>
      <c r="I4529" t="s">
        <v>822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113</v>
      </c>
      <c r="D4530" t="s">
        <v>243</v>
      </c>
      <c r="E4530" t="s">
        <v>89</v>
      </c>
      <c r="F4530">
        <v>39</v>
      </c>
      <c r="G4530" t="s">
        <v>90</v>
      </c>
      <c r="H4530" t="s">
        <v>230</v>
      </c>
      <c r="I4530" t="s">
        <v>823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113</v>
      </c>
      <c r="D4531" t="s">
        <v>243</v>
      </c>
      <c r="E4531" t="s">
        <v>89</v>
      </c>
      <c r="F4531">
        <v>39</v>
      </c>
      <c r="G4531" t="s">
        <v>90</v>
      </c>
      <c r="H4531" t="s">
        <v>230</v>
      </c>
      <c r="I4531" t="s">
        <v>824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113</v>
      </c>
      <c r="D4532" t="s">
        <v>243</v>
      </c>
      <c r="E4532" t="s">
        <v>89</v>
      </c>
      <c r="F4532">
        <v>39</v>
      </c>
      <c r="G4532" t="s">
        <v>90</v>
      </c>
      <c r="H4532" t="s">
        <v>230</v>
      </c>
      <c r="I4532" t="s">
        <v>825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113</v>
      </c>
      <c r="D4533" t="s">
        <v>243</v>
      </c>
      <c r="E4533" t="s">
        <v>89</v>
      </c>
      <c r="F4533">
        <v>39</v>
      </c>
      <c r="G4533" t="s">
        <v>90</v>
      </c>
      <c r="H4533" t="s">
        <v>230</v>
      </c>
      <c r="I4533" t="s">
        <v>826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113</v>
      </c>
      <c r="D4534" t="s">
        <v>243</v>
      </c>
      <c r="E4534" t="s">
        <v>89</v>
      </c>
      <c r="F4534">
        <v>39</v>
      </c>
      <c r="G4534" t="s">
        <v>90</v>
      </c>
      <c r="H4534" t="s">
        <v>230</v>
      </c>
      <c r="I4534" t="s">
        <v>827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113</v>
      </c>
      <c r="D4535" t="s">
        <v>243</v>
      </c>
      <c r="E4535" t="s">
        <v>89</v>
      </c>
      <c r="F4535">
        <v>39</v>
      </c>
      <c r="G4535" t="s">
        <v>90</v>
      </c>
      <c r="H4535" t="s">
        <v>230</v>
      </c>
      <c r="I4535" t="s">
        <v>828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113</v>
      </c>
      <c r="D4536" t="s">
        <v>243</v>
      </c>
      <c r="E4536" t="s">
        <v>89</v>
      </c>
      <c r="F4536">
        <v>39</v>
      </c>
      <c r="G4536" t="s">
        <v>90</v>
      </c>
      <c r="H4536" t="s">
        <v>230</v>
      </c>
      <c r="I4536" t="s">
        <v>804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113</v>
      </c>
      <c r="D4537" t="s">
        <v>243</v>
      </c>
      <c r="E4537" t="s">
        <v>89</v>
      </c>
      <c r="F4537">
        <v>39</v>
      </c>
      <c r="G4537" t="s">
        <v>90</v>
      </c>
      <c r="H4537" t="s">
        <v>230</v>
      </c>
      <c r="I4537" t="s">
        <v>829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113</v>
      </c>
      <c r="D4538" t="s">
        <v>243</v>
      </c>
      <c r="E4538" t="s">
        <v>89</v>
      </c>
      <c r="F4538">
        <v>39</v>
      </c>
      <c r="G4538" t="s">
        <v>90</v>
      </c>
      <c r="H4538" t="s">
        <v>230</v>
      </c>
      <c r="I4538" t="s">
        <v>830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113</v>
      </c>
      <c r="D4539" t="s">
        <v>243</v>
      </c>
      <c r="E4539" t="s">
        <v>89</v>
      </c>
      <c r="F4539">
        <v>39</v>
      </c>
      <c r="G4539" t="s">
        <v>90</v>
      </c>
      <c r="H4539" t="s">
        <v>230</v>
      </c>
      <c r="I4539" t="s">
        <v>831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113</v>
      </c>
      <c r="D4540" t="s">
        <v>243</v>
      </c>
      <c r="E4540" t="s">
        <v>89</v>
      </c>
      <c r="F4540">
        <v>39</v>
      </c>
      <c r="G4540" t="s">
        <v>90</v>
      </c>
      <c r="H4540" t="s">
        <v>230</v>
      </c>
      <c r="I4540" t="s">
        <v>832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113</v>
      </c>
      <c r="D4541" t="s">
        <v>243</v>
      </c>
      <c r="E4541" t="s">
        <v>89</v>
      </c>
      <c r="F4541">
        <v>39</v>
      </c>
      <c r="G4541" t="s">
        <v>90</v>
      </c>
      <c r="H4541" t="s">
        <v>230</v>
      </c>
      <c r="I4541" t="s">
        <v>833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113</v>
      </c>
      <c r="D4542" t="s">
        <v>243</v>
      </c>
      <c r="E4542" t="s">
        <v>89</v>
      </c>
      <c r="F4542">
        <v>39</v>
      </c>
      <c r="G4542" t="s">
        <v>90</v>
      </c>
      <c r="H4542" t="s">
        <v>230</v>
      </c>
      <c r="I4542" t="s">
        <v>834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113</v>
      </c>
      <c r="D4543" t="s">
        <v>243</v>
      </c>
      <c r="E4543" t="s">
        <v>89</v>
      </c>
      <c r="F4543">
        <v>39</v>
      </c>
      <c r="G4543" t="s">
        <v>90</v>
      </c>
      <c r="H4543" t="s">
        <v>230</v>
      </c>
      <c r="I4543" t="s">
        <v>835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113</v>
      </c>
      <c r="D4544" t="s">
        <v>243</v>
      </c>
      <c r="E4544" t="s">
        <v>89</v>
      </c>
      <c r="F4544">
        <v>39</v>
      </c>
      <c r="G4544" t="s">
        <v>90</v>
      </c>
      <c r="H4544" t="s">
        <v>230</v>
      </c>
      <c r="I4544" t="s">
        <v>836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113</v>
      </c>
      <c r="D4545" t="s">
        <v>243</v>
      </c>
      <c r="E4545" t="s">
        <v>89</v>
      </c>
      <c r="F4545">
        <v>39</v>
      </c>
      <c r="G4545" t="s">
        <v>90</v>
      </c>
      <c r="H4545" t="s">
        <v>230</v>
      </c>
      <c r="I4545" t="s">
        <v>837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113</v>
      </c>
      <c r="D4546" t="s">
        <v>243</v>
      </c>
      <c r="E4546" t="s">
        <v>89</v>
      </c>
      <c r="F4546">
        <v>39</v>
      </c>
      <c r="G4546" t="s">
        <v>90</v>
      </c>
      <c r="H4546" t="s">
        <v>188</v>
      </c>
      <c r="I4546" t="s">
        <v>136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113</v>
      </c>
      <c r="D4547" t="s">
        <v>243</v>
      </c>
      <c r="E4547" t="s">
        <v>89</v>
      </c>
      <c r="F4547">
        <v>39</v>
      </c>
      <c r="G4547" t="s">
        <v>90</v>
      </c>
      <c r="H4547" t="s">
        <v>188</v>
      </c>
      <c r="I4547" t="s">
        <v>812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113</v>
      </c>
      <c r="D4548" t="s">
        <v>243</v>
      </c>
      <c r="E4548" t="s">
        <v>89</v>
      </c>
      <c r="F4548">
        <v>39</v>
      </c>
      <c r="G4548" t="s">
        <v>90</v>
      </c>
      <c r="H4548" t="s">
        <v>188</v>
      </c>
      <c r="I4548" t="s">
        <v>813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113</v>
      </c>
      <c r="D4549" t="s">
        <v>243</v>
      </c>
      <c r="E4549" t="s">
        <v>89</v>
      </c>
      <c r="F4549">
        <v>39</v>
      </c>
      <c r="G4549" t="s">
        <v>90</v>
      </c>
      <c r="H4549" t="s">
        <v>188</v>
      </c>
      <c r="I4549" t="s">
        <v>814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113</v>
      </c>
      <c r="D4550" t="s">
        <v>243</v>
      </c>
      <c r="E4550" t="s">
        <v>89</v>
      </c>
      <c r="F4550">
        <v>39</v>
      </c>
      <c r="G4550" t="s">
        <v>90</v>
      </c>
      <c r="H4550" t="s">
        <v>188</v>
      </c>
      <c r="I4550" t="s">
        <v>815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113</v>
      </c>
      <c r="D4551" t="s">
        <v>243</v>
      </c>
      <c r="E4551" t="s">
        <v>89</v>
      </c>
      <c r="F4551">
        <v>39</v>
      </c>
      <c r="G4551" t="s">
        <v>90</v>
      </c>
      <c r="H4551" t="s">
        <v>188</v>
      </c>
      <c r="I4551" t="s">
        <v>816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113</v>
      </c>
      <c r="D4552" t="s">
        <v>243</v>
      </c>
      <c r="E4552" t="s">
        <v>89</v>
      </c>
      <c r="F4552">
        <v>39</v>
      </c>
      <c r="G4552" t="s">
        <v>90</v>
      </c>
      <c r="H4552" t="s">
        <v>188</v>
      </c>
      <c r="I4552" t="s">
        <v>817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113</v>
      </c>
      <c r="D4553" t="s">
        <v>243</v>
      </c>
      <c r="E4553" t="s">
        <v>89</v>
      </c>
      <c r="F4553">
        <v>39</v>
      </c>
      <c r="G4553" t="s">
        <v>90</v>
      </c>
      <c r="H4553" t="s">
        <v>188</v>
      </c>
      <c r="I4553" t="s">
        <v>818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113</v>
      </c>
      <c r="D4554" t="s">
        <v>243</v>
      </c>
      <c r="E4554" t="s">
        <v>89</v>
      </c>
      <c r="F4554">
        <v>39</v>
      </c>
      <c r="G4554" t="s">
        <v>90</v>
      </c>
      <c r="H4554" t="s">
        <v>188</v>
      </c>
      <c r="I4554" t="s">
        <v>819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113</v>
      </c>
      <c r="D4555" t="s">
        <v>243</v>
      </c>
      <c r="E4555" t="s">
        <v>89</v>
      </c>
      <c r="F4555">
        <v>39</v>
      </c>
      <c r="G4555" t="s">
        <v>90</v>
      </c>
      <c r="H4555" t="s">
        <v>188</v>
      </c>
      <c r="I4555" t="s">
        <v>820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113</v>
      </c>
      <c r="D4556" t="s">
        <v>243</v>
      </c>
      <c r="E4556" t="s">
        <v>89</v>
      </c>
      <c r="F4556">
        <v>39</v>
      </c>
      <c r="G4556" t="s">
        <v>90</v>
      </c>
      <c r="H4556" t="s">
        <v>188</v>
      </c>
      <c r="I4556" t="s">
        <v>821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113</v>
      </c>
      <c r="D4557" t="s">
        <v>243</v>
      </c>
      <c r="E4557" t="s">
        <v>89</v>
      </c>
      <c r="F4557">
        <v>39</v>
      </c>
      <c r="G4557" t="s">
        <v>90</v>
      </c>
      <c r="H4557" t="s">
        <v>188</v>
      </c>
      <c r="I4557" t="s">
        <v>822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113</v>
      </c>
      <c r="D4558" t="s">
        <v>243</v>
      </c>
      <c r="E4558" t="s">
        <v>89</v>
      </c>
      <c r="F4558">
        <v>39</v>
      </c>
      <c r="G4558" t="s">
        <v>90</v>
      </c>
      <c r="H4558" t="s">
        <v>188</v>
      </c>
      <c r="I4558" t="s">
        <v>823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113</v>
      </c>
      <c r="D4559" t="s">
        <v>243</v>
      </c>
      <c r="E4559" t="s">
        <v>89</v>
      </c>
      <c r="F4559">
        <v>39</v>
      </c>
      <c r="G4559" t="s">
        <v>90</v>
      </c>
      <c r="H4559" t="s">
        <v>188</v>
      </c>
      <c r="I4559" t="s">
        <v>824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113</v>
      </c>
      <c r="D4560" t="s">
        <v>243</v>
      </c>
      <c r="E4560" t="s">
        <v>89</v>
      </c>
      <c r="F4560">
        <v>39</v>
      </c>
      <c r="G4560" t="s">
        <v>90</v>
      </c>
      <c r="H4560" t="s">
        <v>188</v>
      </c>
      <c r="I4560" t="s">
        <v>825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113</v>
      </c>
      <c r="D4561" t="s">
        <v>243</v>
      </c>
      <c r="E4561" t="s">
        <v>89</v>
      </c>
      <c r="F4561">
        <v>39</v>
      </c>
      <c r="G4561" t="s">
        <v>90</v>
      </c>
      <c r="H4561" t="s">
        <v>188</v>
      </c>
      <c r="I4561" t="s">
        <v>826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113</v>
      </c>
      <c r="D4562" t="s">
        <v>243</v>
      </c>
      <c r="E4562" t="s">
        <v>89</v>
      </c>
      <c r="F4562">
        <v>39</v>
      </c>
      <c r="G4562" t="s">
        <v>90</v>
      </c>
      <c r="H4562" t="s">
        <v>188</v>
      </c>
      <c r="I4562" t="s">
        <v>827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113</v>
      </c>
      <c r="D4563" t="s">
        <v>243</v>
      </c>
      <c r="E4563" t="s">
        <v>89</v>
      </c>
      <c r="F4563">
        <v>39</v>
      </c>
      <c r="G4563" t="s">
        <v>90</v>
      </c>
      <c r="H4563" t="s">
        <v>188</v>
      </c>
      <c r="I4563" t="s">
        <v>828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113</v>
      </c>
      <c r="D4564" t="s">
        <v>243</v>
      </c>
      <c r="E4564" t="s">
        <v>89</v>
      </c>
      <c r="F4564">
        <v>39</v>
      </c>
      <c r="G4564" t="s">
        <v>90</v>
      </c>
      <c r="H4564" t="s">
        <v>188</v>
      </c>
      <c r="I4564" t="s">
        <v>804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113</v>
      </c>
      <c r="D4565" t="s">
        <v>243</v>
      </c>
      <c r="E4565" t="s">
        <v>89</v>
      </c>
      <c r="F4565">
        <v>39</v>
      </c>
      <c r="G4565" t="s">
        <v>90</v>
      </c>
      <c r="H4565" t="s">
        <v>188</v>
      </c>
      <c r="I4565" t="s">
        <v>829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113</v>
      </c>
      <c r="D4566" t="s">
        <v>243</v>
      </c>
      <c r="E4566" t="s">
        <v>89</v>
      </c>
      <c r="F4566">
        <v>39</v>
      </c>
      <c r="G4566" t="s">
        <v>90</v>
      </c>
      <c r="H4566" t="s">
        <v>188</v>
      </c>
      <c r="I4566" t="s">
        <v>830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113</v>
      </c>
      <c r="D4567" t="s">
        <v>243</v>
      </c>
      <c r="E4567" t="s">
        <v>89</v>
      </c>
      <c r="F4567">
        <v>39</v>
      </c>
      <c r="G4567" t="s">
        <v>90</v>
      </c>
      <c r="H4567" t="s">
        <v>188</v>
      </c>
      <c r="I4567" t="s">
        <v>831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113</v>
      </c>
      <c r="D4568" t="s">
        <v>243</v>
      </c>
      <c r="E4568" t="s">
        <v>89</v>
      </c>
      <c r="F4568">
        <v>39</v>
      </c>
      <c r="G4568" t="s">
        <v>90</v>
      </c>
      <c r="H4568" t="s">
        <v>188</v>
      </c>
      <c r="I4568" t="s">
        <v>832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113</v>
      </c>
      <c r="D4569" t="s">
        <v>243</v>
      </c>
      <c r="E4569" t="s">
        <v>89</v>
      </c>
      <c r="F4569">
        <v>39</v>
      </c>
      <c r="G4569" t="s">
        <v>90</v>
      </c>
      <c r="H4569" t="s">
        <v>188</v>
      </c>
      <c r="I4569" t="s">
        <v>833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113</v>
      </c>
      <c r="D4570" t="s">
        <v>243</v>
      </c>
      <c r="E4570" t="s">
        <v>89</v>
      </c>
      <c r="F4570">
        <v>39</v>
      </c>
      <c r="G4570" t="s">
        <v>90</v>
      </c>
      <c r="H4570" t="s">
        <v>188</v>
      </c>
      <c r="I4570" t="s">
        <v>834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113</v>
      </c>
      <c r="D4571" t="s">
        <v>243</v>
      </c>
      <c r="E4571" t="s">
        <v>89</v>
      </c>
      <c r="F4571">
        <v>39</v>
      </c>
      <c r="G4571" t="s">
        <v>90</v>
      </c>
      <c r="H4571" t="s">
        <v>188</v>
      </c>
      <c r="I4571" t="s">
        <v>835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113</v>
      </c>
      <c r="D4572" t="s">
        <v>243</v>
      </c>
      <c r="E4572" t="s">
        <v>89</v>
      </c>
      <c r="F4572">
        <v>39</v>
      </c>
      <c r="G4572" t="s">
        <v>90</v>
      </c>
      <c r="H4572" t="s">
        <v>188</v>
      </c>
      <c r="I4572" t="s">
        <v>836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113</v>
      </c>
      <c r="D4573" t="s">
        <v>243</v>
      </c>
      <c r="E4573" t="s">
        <v>89</v>
      </c>
      <c r="F4573">
        <v>39</v>
      </c>
      <c r="G4573" t="s">
        <v>90</v>
      </c>
      <c r="H4573" t="s">
        <v>188</v>
      </c>
      <c r="I4573" t="s">
        <v>837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113</v>
      </c>
      <c r="D4574" t="s">
        <v>243</v>
      </c>
      <c r="E4574" t="s">
        <v>89</v>
      </c>
      <c r="F4574">
        <v>39</v>
      </c>
      <c r="G4574" t="s">
        <v>271</v>
      </c>
      <c r="H4574" t="s">
        <v>189</v>
      </c>
      <c r="I4574" t="s">
        <v>136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113</v>
      </c>
      <c r="D4575" t="s">
        <v>243</v>
      </c>
      <c r="E4575" t="s">
        <v>89</v>
      </c>
      <c r="F4575">
        <v>39</v>
      </c>
      <c r="G4575" t="s">
        <v>271</v>
      </c>
      <c r="H4575" t="s">
        <v>189</v>
      </c>
      <c r="I4575" t="s">
        <v>819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113</v>
      </c>
      <c r="D4576" t="s">
        <v>243</v>
      </c>
      <c r="E4576" t="s">
        <v>89</v>
      </c>
      <c r="F4576">
        <v>39</v>
      </c>
      <c r="G4576" t="s">
        <v>271</v>
      </c>
      <c r="H4576" t="s">
        <v>189</v>
      </c>
      <c r="I4576" t="s">
        <v>838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113</v>
      </c>
      <c r="D4577" t="s">
        <v>243</v>
      </c>
      <c r="E4577" t="s">
        <v>89</v>
      </c>
      <c r="F4577">
        <v>39</v>
      </c>
      <c r="G4577" t="s">
        <v>271</v>
      </c>
      <c r="H4577" t="s">
        <v>189</v>
      </c>
      <c r="I4577" t="s">
        <v>816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113</v>
      </c>
      <c r="D4578" t="s">
        <v>243</v>
      </c>
      <c r="E4578" t="s">
        <v>89</v>
      </c>
      <c r="F4578">
        <v>39</v>
      </c>
      <c r="G4578" t="s">
        <v>271</v>
      </c>
      <c r="H4578" t="s">
        <v>189</v>
      </c>
      <c r="I4578" t="s">
        <v>823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113</v>
      </c>
      <c r="D4579" t="s">
        <v>243</v>
      </c>
      <c r="E4579" t="s">
        <v>89</v>
      </c>
      <c r="F4579">
        <v>39</v>
      </c>
      <c r="G4579" t="s">
        <v>271</v>
      </c>
      <c r="H4579" t="s">
        <v>189</v>
      </c>
      <c r="I4579" t="s">
        <v>829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113</v>
      </c>
      <c r="D4580" t="s">
        <v>243</v>
      </c>
      <c r="E4580" t="s">
        <v>89</v>
      </c>
      <c r="F4580">
        <v>39</v>
      </c>
      <c r="G4580" t="s">
        <v>271</v>
      </c>
      <c r="H4580" t="s">
        <v>186</v>
      </c>
      <c r="I4580" t="s">
        <v>136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113</v>
      </c>
      <c r="D4581" t="s">
        <v>243</v>
      </c>
      <c r="E4581" t="s">
        <v>89</v>
      </c>
      <c r="F4581">
        <v>39</v>
      </c>
      <c r="G4581" t="s">
        <v>271</v>
      </c>
      <c r="H4581" t="s">
        <v>186</v>
      </c>
      <c r="I4581" t="s">
        <v>819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113</v>
      </c>
      <c r="D4582" t="s">
        <v>243</v>
      </c>
      <c r="E4582" t="s">
        <v>89</v>
      </c>
      <c r="F4582">
        <v>39</v>
      </c>
      <c r="G4582" t="s">
        <v>271</v>
      </c>
      <c r="H4582" t="s">
        <v>186</v>
      </c>
      <c r="I4582" t="s">
        <v>838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113</v>
      </c>
      <c r="D4583" t="s">
        <v>243</v>
      </c>
      <c r="E4583" t="s">
        <v>89</v>
      </c>
      <c r="F4583">
        <v>39</v>
      </c>
      <c r="G4583" t="s">
        <v>271</v>
      </c>
      <c r="H4583" t="s">
        <v>186</v>
      </c>
      <c r="I4583" t="s">
        <v>816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113</v>
      </c>
      <c r="D4584" t="s">
        <v>243</v>
      </c>
      <c r="E4584" t="s">
        <v>89</v>
      </c>
      <c r="F4584">
        <v>39</v>
      </c>
      <c r="G4584" t="s">
        <v>271</v>
      </c>
      <c r="H4584" t="s">
        <v>186</v>
      </c>
      <c r="I4584" t="s">
        <v>823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113</v>
      </c>
      <c r="D4585" t="s">
        <v>243</v>
      </c>
      <c r="E4585" t="s">
        <v>89</v>
      </c>
      <c r="F4585">
        <v>39</v>
      </c>
      <c r="G4585" t="s">
        <v>271</v>
      </c>
      <c r="H4585" t="s">
        <v>186</v>
      </c>
      <c r="I4585" t="s">
        <v>829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113</v>
      </c>
      <c r="D4586" t="s">
        <v>243</v>
      </c>
      <c r="E4586" t="s">
        <v>89</v>
      </c>
      <c r="F4586">
        <v>39</v>
      </c>
      <c r="G4586" t="s">
        <v>271</v>
      </c>
      <c r="H4586" t="s">
        <v>188</v>
      </c>
      <c r="I4586" t="s">
        <v>136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113</v>
      </c>
      <c r="D4587" t="s">
        <v>243</v>
      </c>
      <c r="E4587" t="s">
        <v>89</v>
      </c>
      <c r="F4587">
        <v>39</v>
      </c>
      <c r="G4587" t="s">
        <v>271</v>
      </c>
      <c r="H4587" t="s">
        <v>188</v>
      </c>
      <c r="I4587" t="s">
        <v>819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113</v>
      </c>
      <c r="D4588" t="s">
        <v>243</v>
      </c>
      <c r="E4588" t="s">
        <v>89</v>
      </c>
      <c r="F4588">
        <v>39</v>
      </c>
      <c r="G4588" t="s">
        <v>271</v>
      </c>
      <c r="H4588" t="s">
        <v>188</v>
      </c>
      <c r="I4588" t="s">
        <v>838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113</v>
      </c>
      <c r="D4589" t="s">
        <v>243</v>
      </c>
      <c r="E4589" t="s">
        <v>89</v>
      </c>
      <c r="F4589">
        <v>39</v>
      </c>
      <c r="G4589" t="s">
        <v>271</v>
      </c>
      <c r="H4589" t="s">
        <v>188</v>
      </c>
      <c r="I4589" t="s">
        <v>816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113</v>
      </c>
      <c r="D4590" t="s">
        <v>243</v>
      </c>
      <c r="E4590" t="s">
        <v>89</v>
      </c>
      <c r="F4590">
        <v>39</v>
      </c>
      <c r="G4590" t="s">
        <v>271</v>
      </c>
      <c r="H4590" t="s">
        <v>188</v>
      </c>
      <c r="I4590" t="s">
        <v>823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113</v>
      </c>
      <c r="D4591" t="s">
        <v>243</v>
      </c>
      <c r="E4591" t="s">
        <v>89</v>
      </c>
      <c r="F4591">
        <v>39</v>
      </c>
      <c r="G4591" t="s">
        <v>271</v>
      </c>
      <c r="H4591" t="s">
        <v>188</v>
      </c>
      <c r="I4591" t="s">
        <v>829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113</v>
      </c>
      <c r="D4592" t="s">
        <v>243</v>
      </c>
      <c r="E4592" t="s">
        <v>89</v>
      </c>
      <c r="F4592">
        <v>39</v>
      </c>
      <c r="G4592" t="s">
        <v>272</v>
      </c>
      <c r="H4592" t="s">
        <v>232</v>
      </c>
      <c r="I4592" t="s">
        <v>838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113</v>
      </c>
      <c r="D4593" t="s">
        <v>243</v>
      </c>
      <c r="E4593" t="s">
        <v>89</v>
      </c>
      <c r="F4593">
        <v>39</v>
      </c>
      <c r="G4593" t="s">
        <v>272</v>
      </c>
      <c r="H4593" t="s">
        <v>186</v>
      </c>
      <c r="I4593" t="s">
        <v>838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113</v>
      </c>
      <c r="D4594" t="s">
        <v>243</v>
      </c>
      <c r="E4594" t="s">
        <v>89</v>
      </c>
      <c r="F4594">
        <v>39</v>
      </c>
      <c r="G4594" t="s">
        <v>272</v>
      </c>
      <c r="H4594" t="s">
        <v>187</v>
      </c>
      <c r="I4594" t="s">
        <v>838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113</v>
      </c>
      <c r="D4595" t="s">
        <v>243</v>
      </c>
      <c r="E4595" t="s">
        <v>89</v>
      </c>
      <c r="F4595">
        <v>39</v>
      </c>
      <c r="G4595" t="s">
        <v>272</v>
      </c>
      <c r="H4595" t="s">
        <v>198</v>
      </c>
      <c r="I4595" t="s">
        <v>838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113</v>
      </c>
      <c r="D4596" t="s">
        <v>243</v>
      </c>
      <c r="E4596" t="s">
        <v>89</v>
      </c>
      <c r="F4596">
        <v>39</v>
      </c>
      <c r="G4596" t="s">
        <v>272</v>
      </c>
      <c r="H4596" t="s">
        <v>188</v>
      </c>
      <c r="I4596" t="s">
        <v>838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113</v>
      </c>
      <c r="D4597" t="s">
        <v>243</v>
      </c>
      <c r="E4597" t="s">
        <v>89</v>
      </c>
      <c r="F4597">
        <v>39</v>
      </c>
      <c r="G4597" t="s">
        <v>231</v>
      </c>
      <c r="H4597" t="s">
        <v>232</v>
      </c>
      <c r="I4597" t="s">
        <v>838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113</v>
      </c>
      <c r="D4598" t="s">
        <v>243</v>
      </c>
      <c r="E4598" t="s">
        <v>89</v>
      </c>
      <c r="F4598">
        <v>39</v>
      </c>
      <c r="G4598" t="s">
        <v>231</v>
      </c>
      <c r="H4598" t="s">
        <v>186</v>
      </c>
      <c r="I4598" t="s">
        <v>838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113</v>
      </c>
      <c r="D4599" t="s">
        <v>243</v>
      </c>
      <c r="E4599" t="s">
        <v>89</v>
      </c>
      <c r="F4599">
        <v>39</v>
      </c>
      <c r="G4599" t="s">
        <v>231</v>
      </c>
      <c r="H4599" t="s">
        <v>187</v>
      </c>
      <c r="I4599" t="s">
        <v>838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113</v>
      </c>
      <c r="D4600" t="s">
        <v>243</v>
      </c>
      <c r="E4600" t="s">
        <v>89</v>
      </c>
      <c r="F4600">
        <v>39</v>
      </c>
      <c r="G4600" t="s">
        <v>231</v>
      </c>
      <c r="H4600" t="s">
        <v>198</v>
      </c>
      <c r="I4600" t="s">
        <v>838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113</v>
      </c>
      <c r="D4601" t="s">
        <v>243</v>
      </c>
      <c r="E4601" t="s">
        <v>89</v>
      </c>
      <c r="F4601">
        <v>39</v>
      </c>
      <c r="G4601" t="s">
        <v>231</v>
      </c>
      <c r="H4601" t="s">
        <v>188</v>
      </c>
      <c r="I4601" t="s">
        <v>838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113</v>
      </c>
      <c r="D4602" t="s">
        <v>243</v>
      </c>
      <c r="E4602" t="s">
        <v>89</v>
      </c>
      <c r="F4602">
        <v>39</v>
      </c>
      <c r="G4602" t="s">
        <v>233</v>
      </c>
      <c r="H4602" t="s">
        <v>234</v>
      </c>
      <c r="I4602" t="s">
        <v>839</v>
      </c>
      <c r="J4602" s="73">
        <v>45719</v>
      </c>
    </row>
    <row r="4603" spans="1:10" x14ac:dyDescent="0.25">
      <c r="A4603" s="1" t="s">
        <v>27</v>
      </c>
      <c r="B4603">
        <v>401752797</v>
      </c>
      <c r="C4603" t="s">
        <v>113</v>
      </c>
      <c r="D4603" t="s">
        <v>243</v>
      </c>
      <c r="E4603" t="s">
        <v>89</v>
      </c>
      <c r="F4603">
        <v>39</v>
      </c>
      <c r="G4603" t="s">
        <v>233</v>
      </c>
      <c r="H4603" t="s">
        <v>236</v>
      </c>
      <c r="I4603" t="s">
        <v>839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113</v>
      </c>
      <c r="D4604" t="s">
        <v>243</v>
      </c>
      <c r="E4604" t="s">
        <v>89</v>
      </c>
      <c r="F4604">
        <v>39</v>
      </c>
      <c r="G4604" t="s">
        <v>233</v>
      </c>
      <c r="H4604" t="s">
        <v>198</v>
      </c>
      <c r="I4604" t="s">
        <v>839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113</v>
      </c>
      <c r="D4605" t="s">
        <v>243</v>
      </c>
      <c r="E4605" t="s">
        <v>89</v>
      </c>
      <c r="F4605">
        <v>39</v>
      </c>
      <c r="G4605" t="s">
        <v>233</v>
      </c>
      <c r="H4605" t="s">
        <v>237</v>
      </c>
      <c r="I4605" t="s">
        <v>839</v>
      </c>
      <c r="J4605" s="73">
        <v>45751</v>
      </c>
    </row>
    <row r="4606" spans="1:10" x14ac:dyDescent="0.25">
      <c r="A4606" s="1" t="s">
        <v>27</v>
      </c>
      <c r="B4606">
        <v>401752797</v>
      </c>
      <c r="C4606" t="s">
        <v>113</v>
      </c>
      <c r="D4606" t="s">
        <v>243</v>
      </c>
      <c r="E4606" t="s">
        <v>89</v>
      </c>
      <c r="F4606">
        <v>39</v>
      </c>
      <c r="G4606" t="s">
        <v>233</v>
      </c>
      <c r="H4606" t="s">
        <v>238</v>
      </c>
      <c r="I4606" t="s">
        <v>839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113</v>
      </c>
      <c r="D4607" t="s">
        <v>243</v>
      </c>
      <c r="E4607" t="s">
        <v>89</v>
      </c>
      <c r="F4607">
        <v>39</v>
      </c>
      <c r="G4607" t="s">
        <v>239</v>
      </c>
      <c r="H4607" t="s">
        <v>232</v>
      </c>
      <c r="I4607" t="s">
        <v>840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113</v>
      </c>
      <c r="D4608" t="s">
        <v>243</v>
      </c>
      <c r="E4608" t="s">
        <v>89</v>
      </c>
      <c r="F4608">
        <v>39</v>
      </c>
      <c r="G4608" t="s">
        <v>239</v>
      </c>
      <c r="H4608" t="s">
        <v>186</v>
      </c>
      <c r="I4608" t="s">
        <v>840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113</v>
      </c>
      <c r="D4609" t="s">
        <v>243</v>
      </c>
      <c r="E4609" t="s">
        <v>89</v>
      </c>
      <c r="F4609">
        <v>39</v>
      </c>
      <c r="G4609" t="s">
        <v>239</v>
      </c>
      <c r="H4609" t="s">
        <v>187</v>
      </c>
      <c r="I4609" t="s">
        <v>840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113</v>
      </c>
      <c r="D4610" t="s">
        <v>243</v>
      </c>
      <c r="E4610" t="s">
        <v>89</v>
      </c>
      <c r="F4610">
        <v>39</v>
      </c>
      <c r="G4610" t="s">
        <v>239</v>
      </c>
      <c r="H4610" t="s">
        <v>241</v>
      </c>
      <c r="I4610" t="s">
        <v>840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113</v>
      </c>
      <c r="D4611" t="s">
        <v>243</v>
      </c>
      <c r="E4611" t="s">
        <v>89</v>
      </c>
      <c r="F4611">
        <v>39</v>
      </c>
      <c r="G4611" t="s">
        <v>239</v>
      </c>
      <c r="H4611" t="s">
        <v>242</v>
      </c>
      <c r="I4611" t="s">
        <v>840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113</v>
      </c>
      <c r="D4612" t="s">
        <v>243</v>
      </c>
      <c r="E4612" t="s">
        <v>89</v>
      </c>
      <c r="F4612">
        <v>39</v>
      </c>
      <c r="G4612" t="s">
        <v>239</v>
      </c>
      <c r="H4612" t="s">
        <v>198</v>
      </c>
      <c r="I4612" t="s">
        <v>840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841</v>
      </c>
      <c r="D4613" t="s">
        <v>842</v>
      </c>
      <c r="E4613" t="s">
        <v>179</v>
      </c>
      <c r="F4613">
        <v>7</v>
      </c>
      <c r="G4613" t="s">
        <v>180</v>
      </c>
      <c r="H4613" t="s">
        <v>181</v>
      </c>
      <c r="I4613" t="s">
        <v>137</v>
      </c>
      <c r="J4613" t="s">
        <v>843</v>
      </c>
    </row>
    <row r="4614" spans="1:10" x14ac:dyDescent="0.25">
      <c r="A4614" s="1" t="s">
        <v>27</v>
      </c>
      <c r="B4614">
        <v>401752797</v>
      </c>
      <c r="C4614" t="s">
        <v>841</v>
      </c>
      <c r="D4614" t="s">
        <v>842</v>
      </c>
      <c r="E4614" t="s">
        <v>179</v>
      </c>
      <c r="F4614">
        <v>7</v>
      </c>
      <c r="G4614" t="s">
        <v>180</v>
      </c>
      <c r="H4614" t="s">
        <v>181</v>
      </c>
      <c r="I4614" t="s">
        <v>844</v>
      </c>
      <c r="J4614" s="73">
        <v>45821</v>
      </c>
    </row>
    <row r="4615" spans="1:10" x14ac:dyDescent="0.25">
      <c r="A4615" s="1" t="s">
        <v>27</v>
      </c>
      <c r="B4615">
        <v>401752797</v>
      </c>
      <c r="C4615" t="s">
        <v>841</v>
      </c>
      <c r="D4615" t="s">
        <v>842</v>
      </c>
      <c r="E4615" t="s">
        <v>179</v>
      </c>
      <c r="F4615">
        <v>7</v>
      </c>
      <c r="G4615" t="s">
        <v>180</v>
      </c>
      <c r="H4615" t="s">
        <v>186</v>
      </c>
      <c r="I4615" t="s">
        <v>137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841</v>
      </c>
      <c r="D4616" t="s">
        <v>842</v>
      </c>
      <c r="E4616" t="s">
        <v>179</v>
      </c>
      <c r="F4616">
        <v>7</v>
      </c>
      <c r="G4616" t="s">
        <v>180</v>
      </c>
      <c r="H4616" t="s">
        <v>186</v>
      </c>
      <c r="I4616" t="s">
        <v>844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841</v>
      </c>
      <c r="D4617" t="s">
        <v>842</v>
      </c>
      <c r="E4617" t="s">
        <v>179</v>
      </c>
      <c r="F4617">
        <v>7</v>
      </c>
      <c r="G4617" t="s">
        <v>180</v>
      </c>
      <c r="H4617" t="s">
        <v>187</v>
      </c>
      <c r="I4617" t="s">
        <v>137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841</v>
      </c>
      <c r="D4618" t="s">
        <v>842</v>
      </c>
      <c r="E4618" t="s">
        <v>179</v>
      </c>
      <c r="F4618">
        <v>7</v>
      </c>
      <c r="G4618" t="s">
        <v>180</v>
      </c>
      <c r="H4618" t="s">
        <v>187</v>
      </c>
      <c r="I4618" t="s">
        <v>844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841</v>
      </c>
      <c r="D4619" t="s">
        <v>842</v>
      </c>
      <c r="E4619" t="s">
        <v>179</v>
      </c>
      <c r="F4619">
        <v>7</v>
      </c>
      <c r="G4619" t="s">
        <v>180</v>
      </c>
      <c r="H4619" t="s">
        <v>188</v>
      </c>
      <c r="I4619" t="s">
        <v>137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841</v>
      </c>
      <c r="D4620" t="s">
        <v>842</v>
      </c>
      <c r="E4620" t="s">
        <v>179</v>
      </c>
      <c r="F4620">
        <v>7</v>
      </c>
      <c r="G4620" t="s">
        <v>180</v>
      </c>
      <c r="H4620" t="s">
        <v>188</v>
      </c>
      <c r="I4620" t="s">
        <v>844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841</v>
      </c>
      <c r="D4621" t="s">
        <v>842</v>
      </c>
      <c r="E4621" t="s">
        <v>179</v>
      </c>
      <c r="F4621">
        <v>7</v>
      </c>
      <c r="G4621" t="s">
        <v>180</v>
      </c>
      <c r="H4621" t="s">
        <v>189</v>
      </c>
      <c r="I4621" t="s">
        <v>137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841</v>
      </c>
      <c r="D4622" t="s">
        <v>842</v>
      </c>
      <c r="E4622" t="s">
        <v>179</v>
      </c>
      <c r="F4622">
        <v>7</v>
      </c>
      <c r="G4622" t="s">
        <v>180</v>
      </c>
      <c r="H4622" t="s">
        <v>189</v>
      </c>
      <c r="I4622" t="s">
        <v>844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841</v>
      </c>
      <c r="D4623" t="s">
        <v>842</v>
      </c>
      <c r="E4623" t="s">
        <v>179</v>
      </c>
      <c r="F4623">
        <v>7</v>
      </c>
      <c r="G4623" t="s">
        <v>180</v>
      </c>
      <c r="H4623" t="s">
        <v>190</v>
      </c>
      <c r="I4623" t="s">
        <v>137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841</v>
      </c>
      <c r="D4624" t="s">
        <v>842</v>
      </c>
      <c r="E4624" t="s">
        <v>179</v>
      </c>
      <c r="F4624">
        <v>7</v>
      </c>
      <c r="G4624" t="s">
        <v>180</v>
      </c>
      <c r="H4624" t="s">
        <v>190</v>
      </c>
      <c r="I4624" t="s">
        <v>844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841</v>
      </c>
      <c r="D4625" t="s">
        <v>842</v>
      </c>
      <c r="E4625" t="s">
        <v>179</v>
      </c>
      <c r="F4625">
        <v>7</v>
      </c>
      <c r="G4625" t="s">
        <v>192</v>
      </c>
      <c r="H4625" t="s">
        <v>193</v>
      </c>
      <c r="I4625" t="s">
        <v>845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841</v>
      </c>
      <c r="D4626" t="s">
        <v>842</v>
      </c>
      <c r="E4626" t="s">
        <v>179</v>
      </c>
      <c r="F4626">
        <v>7</v>
      </c>
      <c r="G4626" t="s">
        <v>192</v>
      </c>
      <c r="H4626" t="s">
        <v>193</v>
      </c>
      <c r="I4626" t="s">
        <v>846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841</v>
      </c>
      <c r="D4627" t="s">
        <v>842</v>
      </c>
      <c r="E4627" t="s">
        <v>179</v>
      </c>
      <c r="F4627">
        <v>7</v>
      </c>
      <c r="G4627" t="s">
        <v>192</v>
      </c>
      <c r="H4627" t="s">
        <v>193</v>
      </c>
      <c r="I4627" t="s">
        <v>847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841</v>
      </c>
      <c r="D4628" t="s">
        <v>842</v>
      </c>
      <c r="E4628" t="s">
        <v>179</v>
      </c>
      <c r="F4628">
        <v>7</v>
      </c>
      <c r="G4628" t="s">
        <v>192</v>
      </c>
      <c r="H4628" t="s">
        <v>193</v>
      </c>
      <c r="I4628" t="s">
        <v>848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841</v>
      </c>
      <c r="D4629" t="s">
        <v>842</v>
      </c>
      <c r="E4629" t="s">
        <v>179</v>
      </c>
      <c r="F4629">
        <v>7</v>
      </c>
      <c r="G4629" t="s">
        <v>192</v>
      </c>
      <c r="H4629" t="s">
        <v>193</v>
      </c>
      <c r="I4629" t="s">
        <v>137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841</v>
      </c>
      <c r="D4630" t="s">
        <v>842</v>
      </c>
      <c r="E4630" t="s">
        <v>179</v>
      </c>
      <c r="F4630">
        <v>7</v>
      </c>
      <c r="G4630" t="s">
        <v>192</v>
      </c>
      <c r="H4630" t="s">
        <v>186</v>
      </c>
      <c r="I4630" t="s">
        <v>845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841</v>
      </c>
      <c r="D4631" t="s">
        <v>842</v>
      </c>
      <c r="E4631" t="s">
        <v>179</v>
      </c>
      <c r="F4631">
        <v>7</v>
      </c>
      <c r="G4631" t="s">
        <v>192</v>
      </c>
      <c r="H4631" t="s">
        <v>186</v>
      </c>
      <c r="I4631" t="s">
        <v>846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841</v>
      </c>
      <c r="D4632" t="s">
        <v>842</v>
      </c>
      <c r="E4632" t="s">
        <v>179</v>
      </c>
      <c r="F4632">
        <v>7</v>
      </c>
      <c r="G4632" t="s">
        <v>192</v>
      </c>
      <c r="H4632" t="s">
        <v>186</v>
      </c>
      <c r="I4632" t="s">
        <v>847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841</v>
      </c>
      <c r="D4633" t="s">
        <v>842</v>
      </c>
      <c r="E4633" t="s">
        <v>179</v>
      </c>
      <c r="F4633">
        <v>7</v>
      </c>
      <c r="G4633" t="s">
        <v>192</v>
      </c>
      <c r="H4633" t="s">
        <v>186</v>
      </c>
      <c r="I4633" t="s">
        <v>848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841</v>
      </c>
      <c r="D4634" t="s">
        <v>842</v>
      </c>
      <c r="E4634" t="s">
        <v>179</v>
      </c>
      <c r="F4634">
        <v>7</v>
      </c>
      <c r="G4634" t="s">
        <v>192</v>
      </c>
      <c r="H4634" t="s">
        <v>186</v>
      </c>
      <c r="I4634" t="s">
        <v>137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841</v>
      </c>
      <c r="D4635" t="s">
        <v>842</v>
      </c>
      <c r="E4635" t="s">
        <v>179</v>
      </c>
      <c r="F4635">
        <v>7</v>
      </c>
      <c r="G4635" t="s">
        <v>192</v>
      </c>
      <c r="H4635" t="s">
        <v>187</v>
      </c>
      <c r="I4635" t="s">
        <v>845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841</v>
      </c>
      <c r="D4636" t="s">
        <v>842</v>
      </c>
      <c r="E4636" t="s">
        <v>179</v>
      </c>
      <c r="F4636">
        <v>7</v>
      </c>
      <c r="G4636" t="s">
        <v>192</v>
      </c>
      <c r="H4636" t="s">
        <v>187</v>
      </c>
      <c r="I4636" t="s">
        <v>846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841</v>
      </c>
      <c r="D4637" t="s">
        <v>842</v>
      </c>
      <c r="E4637" t="s">
        <v>179</v>
      </c>
      <c r="F4637">
        <v>7</v>
      </c>
      <c r="G4637" t="s">
        <v>192</v>
      </c>
      <c r="H4637" t="s">
        <v>187</v>
      </c>
      <c r="I4637" t="s">
        <v>847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841</v>
      </c>
      <c r="D4638" t="s">
        <v>842</v>
      </c>
      <c r="E4638" t="s">
        <v>179</v>
      </c>
      <c r="F4638">
        <v>7</v>
      </c>
      <c r="G4638" t="s">
        <v>192</v>
      </c>
      <c r="H4638" t="s">
        <v>187</v>
      </c>
      <c r="I4638" t="s">
        <v>848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841</v>
      </c>
      <c r="D4639" t="s">
        <v>842</v>
      </c>
      <c r="E4639" t="s">
        <v>179</v>
      </c>
      <c r="F4639">
        <v>7</v>
      </c>
      <c r="G4639" t="s">
        <v>192</v>
      </c>
      <c r="H4639" t="s">
        <v>187</v>
      </c>
      <c r="I4639" t="s">
        <v>137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841</v>
      </c>
      <c r="D4640" t="s">
        <v>842</v>
      </c>
      <c r="E4640" t="s">
        <v>179</v>
      </c>
      <c r="F4640">
        <v>7</v>
      </c>
      <c r="G4640" t="s">
        <v>192</v>
      </c>
      <c r="H4640" t="s">
        <v>188</v>
      </c>
      <c r="I4640" t="s">
        <v>845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841</v>
      </c>
      <c r="D4641" t="s">
        <v>842</v>
      </c>
      <c r="E4641" t="s">
        <v>179</v>
      </c>
      <c r="F4641">
        <v>7</v>
      </c>
      <c r="G4641" t="s">
        <v>192</v>
      </c>
      <c r="H4641" t="s">
        <v>188</v>
      </c>
      <c r="I4641" t="s">
        <v>846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841</v>
      </c>
      <c r="D4642" t="s">
        <v>842</v>
      </c>
      <c r="E4642" t="s">
        <v>179</v>
      </c>
      <c r="F4642">
        <v>7</v>
      </c>
      <c r="G4642" t="s">
        <v>192</v>
      </c>
      <c r="H4642" t="s">
        <v>188</v>
      </c>
      <c r="I4642" t="s">
        <v>847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841</v>
      </c>
      <c r="D4643" t="s">
        <v>842</v>
      </c>
      <c r="E4643" t="s">
        <v>179</v>
      </c>
      <c r="F4643">
        <v>7</v>
      </c>
      <c r="G4643" t="s">
        <v>192</v>
      </c>
      <c r="H4643" t="s">
        <v>188</v>
      </c>
      <c r="I4643" t="s">
        <v>848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841</v>
      </c>
      <c r="D4644" t="s">
        <v>842</v>
      </c>
      <c r="E4644" t="s">
        <v>179</v>
      </c>
      <c r="F4644">
        <v>7</v>
      </c>
      <c r="G4644" t="s">
        <v>192</v>
      </c>
      <c r="H4644" t="s">
        <v>188</v>
      </c>
      <c r="I4644" t="s">
        <v>137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841</v>
      </c>
      <c r="D4645" t="s">
        <v>842</v>
      </c>
      <c r="E4645" t="s">
        <v>179</v>
      </c>
      <c r="F4645">
        <v>7</v>
      </c>
      <c r="G4645" t="s">
        <v>192</v>
      </c>
      <c r="H4645" t="s">
        <v>198</v>
      </c>
      <c r="I4645" t="s">
        <v>845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841</v>
      </c>
      <c r="D4646" t="s">
        <v>842</v>
      </c>
      <c r="E4646" t="s">
        <v>179</v>
      </c>
      <c r="F4646">
        <v>7</v>
      </c>
      <c r="G4646" t="s">
        <v>192</v>
      </c>
      <c r="H4646" t="s">
        <v>198</v>
      </c>
      <c r="I4646" t="s">
        <v>846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841</v>
      </c>
      <c r="D4647" t="s">
        <v>842</v>
      </c>
      <c r="E4647" t="s">
        <v>179</v>
      </c>
      <c r="F4647">
        <v>7</v>
      </c>
      <c r="G4647" t="s">
        <v>192</v>
      </c>
      <c r="H4647" t="s">
        <v>198</v>
      </c>
      <c r="I4647" t="s">
        <v>847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841</v>
      </c>
      <c r="D4648" t="s">
        <v>842</v>
      </c>
      <c r="E4648" t="s">
        <v>179</v>
      </c>
      <c r="F4648">
        <v>7</v>
      </c>
      <c r="G4648" t="s">
        <v>192</v>
      </c>
      <c r="H4648" t="s">
        <v>198</v>
      </c>
      <c r="I4648" t="s">
        <v>848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841</v>
      </c>
      <c r="D4649" t="s">
        <v>842</v>
      </c>
      <c r="E4649" t="s">
        <v>179</v>
      </c>
      <c r="F4649">
        <v>7</v>
      </c>
      <c r="G4649" t="s">
        <v>192</v>
      </c>
      <c r="H4649" t="s">
        <v>198</v>
      </c>
      <c r="I4649" t="s">
        <v>137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841</v>
      </c>
      <c r="D4650" t="s">
        <v>842</v>
      </c>
      <c r="E4650" t="s">
        <v>179</v>
      </c>
      <c r="F4650">
        <v>7</v>
      </c>
      <c r="G4650" t="s">
        <v>199</v>
      </c>
      <c r="H4650" t="s">
        <v>0</v>
      </c>
      <c r="I4650" t="s">
        <v>138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841</v>
      </c>
      <c r="D4651" t="s">
        <v>842</v>
      </c>
      <c r="E4651" t="s">
        <v>179</v>
      </c>
      <c r="F4651">
        <v>7</v>
      </c>
      <c r="G4651" t="s">
        <v>199</v>
      </c>
      <c r="H4651" t="s">
        <v>0</v>
      </c>
      <c r="I4651" t="s">
        <v>848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841</v>
      </c>
      <c r="D4652" t="s">
        <v>842</v>
      </c>
      <c r="E4652" t="s">
        <v>179</v>
      </c>
      <c r="F4652">
        <v>7</v>
      </c>
      <c r="G4652" t="s">
        <v>199</v>
      </c>
      <c r="H4652" t="s">
        <v>0</v>
      </c>
      <c r="I4652" t="s">
        <v>849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841</v>
      </c>
      <c r="D4653" t="s">
        <v>842</v>
      </c>
      <c r="E4653" t="s">
        <v>179</v>
      </c>
      <c r="F4653">
        <v>7</v>
      </c>
      <c r="G4653" t="s">
        <v>199</v>
      </c>
      <c r="H4653" t="s">
        <v>0</v>
      </c>
      <c r="I4653" t="s">
        <v>850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841</v>
      </c>
      <c r="D4654" t="s">
        <v>842</v>
      </c>
      <c r="E4654" t="s">
        <v>179</v>
      </c>
      <c r="F4654">
        <v>7</v>
      </c>
      <c r="G4654" t="s">
        <v>199</v>
      </c>
      <c r="H4654" t="s">
        <v>0</v>
      </c>
      <c r="I4654" t="s">
        <v>845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841</v>
      </c>
      <c r="D4655" t="s">
        <v>842</v>
      </c>
      <c r="E4655" t="s">
        <v>179</v>
      </c>
      <c r="F4655">
        <v>7</v>
      </c>
      <c r="G4655" t="s">
        <v>199</v>
      </c>
      <c r="H4655" t="s">
        <v>0</v>
      </c>
      <c r="I4655" t="s">
        <v>851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841</v>
      </c>
      <c r="D4656" t="s">
        <v>842</v>
      </c>
      <c r="E4656" t="s">
        <v>179</v>
      </c>
      <c r="F4656">
        <v>7</v>
      </c>
      <c r="G4656" t="s">
        <v>199</v>
      </c>
      <c r="H4656" t="s">
        <v>0</v>
      </c>
      <c r="I4656" t="s">
        <v>852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841</v>
      </c>
      <c r="D4657" t="s">
        <v>842</v>
      </c>
      <c r="E4657" t="s">
        <v>179</v>
      </c>
      <c r="F4657">
        <v>7</v>
      </c>
      <c r="G4657" t="s">
        <v>199</v>
      </c>
      <c r="H4657" t="s">
        <v>0</v>
      </c>
      <c r="I4657" t="s">
        <v>853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841</v>
      </c>
      <c r="D4658" t="s">
        <v>842</v>
      </c>
      <c r="E4658" t="s">
        <v>179</v>
      </c>
      <c r="F4658">
        <v>7</v>
      </c>
      <c r="G4658" t="s">
        <v>199</v>
      </c>
      <c r="H4658" t="s">
        <v>0</v>
      </c>
      <c r="I4658" t="s">
        <v>854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841</v>
      </c>
      <c r="D4659" t="s">
        <v>842</v>
      </c>
      <c r="E4659" t="s">
        <v>179</v>
      </c>
      <c r="F4659">
        <v>7</v>
      </c>
      <c r="G4659" t="s">
        <v>199</v>
      </c>
      <c r="H4659" t="s">
        <v>0</v>
      </c>
      <c r="I4659" t="s">
        <v>847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841</v>
      </c>
      <c r="D4660" t="s">
        <v>842</v>
      </c>
      <c r="E4660" t="s">
        <v>179</v>
      </c>
      <c r="F4660">
        <v>7</v>
      </c>
      <c r="G4660" t="s">
        <v>199</v>
      </c>
      <c r="H4660" t="s">
        <v>0</v>
      </c>
      <c r="I4660" t="s">
        <v>855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841</v>
      </c>
      <c r="D4661" t="s">
        <v>842</v>
      </c>
      <c r="E4661" t="s">
        <v>179</v>
      </c>
      <c r="F4661">
        <v>7</v>
      </c>
      <c r="G4661" t="s">
        <v>199</v>
      </c>
      <c r="H4661" t="s">
        <v>186</v>
      </c>
      <c r="I4661" t="s">
        <v>138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841</v>
      </c>
      <c r="D4662" t="s">
        <v>842</v>
      </c>
      <c r="E4662" t="s">
        <v>179</v>
      </c>
      <c r="F4662">
        <v>7</v>
      </c>
      <c r="G4662" t="s">
        <v>199</v>
      </c>
      <c r="H4662" t="s">
        <v>186</v>
      </c>
      <c r="I4662" t="s">
        <v>848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841</v>
      </c>
      <c r="D4663" t="s">
        <v>842</v>
      </c>
      <c r="E4663" t="s">
        <v>179</v>
      </c>
      <c r="F4663">
        <v>7</v>
      </c>
      <c r="G4663" t="s">
        <v>199</v>
      </c>
      <c r="H4663" t="s">
        <v>186</v>
      </c>
      <c r="I4663" t="s">
        <v>849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841</v>
      </c>
      <c r="D4664" t="s">
        <v>842</v>
      </c>
      <c r="E4664" t="s">
        <v>179</v>
      </c>
      <c r="F4664">
        <v>7</v>
      </c>
      <c r="G4664" t="s">
        <v>199</v>
      </c>
      <c r="H4664" t="s">
        <v>186</v>
      </c>
      <c r="I4664" t="s">
        <v>850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841</v>
      </c>
      <c r="D4665" t="s">
        <v>842</v>
      </c>
      <c r="E4665" t="s">
        <v>179</v>
      </c>
      <c r="F4665">
        <v>7</v>
      </c>
      <c r="G4665" t="s">
        <v>199</v>
      </c>
      <c r="H4665" t="s">
        <v>186</v>
      </c>
      <c r="I4665" t="s">
        <v>845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841</v>
      </c>
      <c r="D4666" t="s">
        <v>842</v>
      </c>
      <c r="E4666" t="s">
        <v>179</v>
      </c>
      <c r="F4666">
        <v>7</v>
      </c>
      <c r="G4666" t="s">
        <v>199</v>
      </c>
      <c r="H4666" t="s">
        <v>186</v>
      </c>
      <c r="I4666" t="s">
        <v>851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841</v>
      </c>
      <c r="D4667" t="s">
        <v>842</v>
      </c>
      <c r="E4667" t="s">
        <v>179</v>
      </c>
      <c r="F4667">
        <v>7</v>
      </c>
      <c r="G4667" t="s">
        <v>199</v>
      </c>
      <c r="H4667" t="s">
        <v>186</v>
      </c>
      <c r="I4667" t="s">
        <v>852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841</v>
      </c>
      <c r="D4668" t="s">
        <v>842</v>
      </c>
      <c r="E4668" t="s">
        <v>179</v>
      </c>
      <c r="F4668">
        <v>7</v>
      </c>
      <c r="G4668" t="s">
        <v>199</v>
      </c>
      <c r="H4668" t="s">
        <v>186</v>
      </c>
      <c r="I4668" t="s">
        <v>853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841</v>
      </c>
      <c r="D4669" t="s">
        <v>842</v>
      </c>
      <c r="E4669" t="s">
        <v>179</v>
      </c>
      <c r="F4669">
        <v>7</v>
      </c>
      <c r="G4669" t="s">
        <v>199</v>
      </c>
      <c r="H4669" t="s">
        <v>186</v>
      </c>
      <c r="I4669" t="s">
        <v>854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841</v>
      </c>
      <c r="D4670" t="s">
        <v>842</v>
      </c>
      <c r="E4670" t="s">
        <v>179</v>
      </c>
      <c r="F4670">
        <v>7</v>
      </c>
      <c r="G4670" t="s">
        <v>199</v>
      </c>
      <c r="H4670" t="s">
        <v>186</v>
      </c>
      <c r="I4670" t="s">
        <v>847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841</v>
      </c>
      <c r="D4671" t="s">
        <v>842</v>
      </c>
      <c r="E4671" t="s">
        <v>179</v>
      </c>
      <c r="F4671">
        <v>7</v>
      </c>
      <c r="G4671" t="s">
        <v>199</v>
      </c>
      <c r="H4671" t="s">
        <v>186</v>
      </c>
      <c r="I4671" t="s">
        <v>855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841</v>
      </c>
      <c r="D4672" t="s">
        <v>842</v>
      </c>
      <c r="E4672" t="s">
        <v>179</v>
      </c>
      <c r="F4672">
        <v>7</v>
      </c>
      <c r="G4672" t="s">
        <v>199</v>
      </c>
      <c r="H4672" t="s">
        <v>187</v>
      </c>
      <c r="I4672" t="s">
        <v>138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841</v>
      </c>
      <c r="D4673" t="s">
        <v>842</v>
      </c>
      <c r="E4673" t="s">
        <v>179</v>
      </c>
      <c r="F4673">
        <v>7</v>
      </c>
      <c r="G4673" t="s">
        <v>199</v>
      </c>
      <c r="H4673" t="s">
        <v>187</v>
      </c>
      <c r="I4673" t="s">
        <v>848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841</v>
      </c>
      <c r="D4674" t="s">
        <v>842</v>
      </c>
      <c r="E4674" t="s">
        <v>179</v>
      </c>
      <c r="F4674">
        <v>7</v>
      </c>
      <c r="G4674" t="s">
        <v>199</v>
      </c>
      <c r="H4674" t="s">
        <v>187</v>
      </c>
      <c r="I4674" t="s">
        <v>849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841</v>
      </c>
      <c r="D4675" t="s">
        <v>842</v>
      </c>
      <c r="E4675" t="s">
        <v>179</v>
      </c>
      <c r="F4675">
        <v>7</v>
      </c>
      <c r="G4675" t="s">
        <v>199</v>
      </c>
      <c r="H4675" t="s">
        <v>187</v>
      </c>
      <c r="I4675" t="s">
        <v>850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841</v>
      </c>
      <c r="D4676" t="s">
        <v>842</v>
      </c>
      <c r="E4676" t="s">
        <v>179</v>
      </c>
      <c r="F4676">
        <v>7</v>
      </c>
      <c r="G4676" t="s">
        <v>199</v>
      </c>
      <c r="H4676" t="s">
        <v>187</v>
      </c>
      <c r="I4676" t="s">
        <v>845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841</v>
      </c>
      <c r="D4677" t="s">
        <v>842</v>
      </c>
      <c r="E4677" t="s">
        <v>179</v>
      </c>
      <c r="F4677">
        <v>7</v>
      </c>
      <c r="G4677" t="s">
        <v>199</v>
      </c>
      <c r="H4677" t="s">
        <v>187</v>
      </c>
      <c r="I4677" t="s">
        <v>851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841</v>
      </c>
      <c r="D4678" t="s">
        <v>842</v>
      </c>
      <c r="E4678" t="s">
        <v>179</v>
      </c>
      <c r="F4678">
        <v>7</v>
      </c>
      <c r="G4678" t="s">
        <v>199</v>
      </c>
      <c r="H4678" t="s">
        <v>187</v>
      </c>
      <c r="I4678" t="s">
        <v>852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841</v>
      </c>
      <c r="D4679" t="s">
        <v>842</v>
      </c>
      <c r="E4679" t="s">
        <v>179</v>
      </c>
      <c r="F4679">
        <v>7</v>
      </c>
      <c r="G4679" t="s">
        <v>199</v>
      </c>
      <c r="H4679" t="s">
        <v>187</v>
      </c>
      <c r="I4679" t="s">
        <v>853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841</v>
      </c>
      <c r="D4680" t="s">
        <v>842</v>
      </c>
      <c r="E4680" t="s">
        <v>179</v>
      </c>
      <c r="F4680">
        <v>7</v>
      </c>
      <c r="G4680" t="s">
        <v>199</v>
      </c>
      <c r="H4680" t="s">
        <v>187</v>
      </c>
      <c r="I4680" t="s">
        <v>854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841</v>
      </c>
      <c r="D4681" t="s">
        <v>842</v>
      </c>
      <c r="E4681" t="s">
        <v>179</v>
      </c>
      <c r="F4681">
        <v>7</v>
      </c>
      <c r="G4681" t="s">
        <v>199</v>
      </c>
      <c r="H4681" t="s">
        <v>187</v>
      </c>
      <c r="I4681" t="s">
        <v>847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841</v>
      </c>
      <c r="D4682" t="s">
        <v>842</v>
      </c>
      <c r="E4682" t="s">
        <v>179</v>
      </c>
      <c r="F4682">
        <v>7</v>
      </c>
      <c r="G4682" t="s">
        <v>199</v>
      </c>
      <c r="H4682" t="s">
        <v>187</v>
      </c>
      <c r="I4682" t="s">
        <v>855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841</v>
      </c>
      <c r="D4683" t="s">
        <v>842</v>
      </c>
      <c r="E4683" t="s">
        <v>179</v>
      </c>
      <c r="F4683">
        <v>7</v>
      </c>
      <c r="G4683" t="s">
        <v>199</v>
      </c>
      <c r="H4683" t="s">
        <v>188</v>
      </c>
      <c r="I4683" t="s">
        <v>138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841</v>
      </c>
      <c r="D4684" t="s">
        <v>842</v>
      </c>
      <c r="E4684" t="s">
        <v>179</v>
      </c>
      <c r="F4684">
        <v>7</v>
      </c>
      <c r="G4684" t="s">
        <v>199</v>
      </c>
      <c r="H4684" t="s">
        <v>188</v>
      </c>
      <c r="I4684" t="s">
        <v>848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841</v>
      </c>
      <c r="D4685" t="s">
        <v>842</v>
      </c>
      <c r="E4685" t="s">
        <v>179</v>
      </c>
      <c r="F4685">
        <v>7</v>
      </c>
      <c r="G4685" t="s">
        <v>199</v>
      </c>
      <c r="H4685" t="s">
        <v>188</v>
      </c>
      <c r="I4685" t="s">
        <v>849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841</v>
      </c>
      <c r="D4686" t="s">
        <v>842</v>
      </c>
      <c r="E4686" t="s">
        <v>179</v>
      </c>
      <c r="F4686">
        <v>7</v>
      </c>
      <c r="G4686" t="s">
        <v>199</v>
      </c>
      <c r="H4686" t="s">
        <v>188</v>
      </c>
      <c r="I4686" t="s">
        <v>850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841</v>
      </c>
      <c r="D4687" t="s">
        <v>842</v>
      </c>
      <c r="E4687" t="s">
        <v>179</v>
      </c>
      <c r="F4687">
        <v>7</v>
      </c>
      <c r="G4687" t="s">
        <v>199</v>
      </c>
      <c r="H4687" t="s">
        <v>188</v>
      </c>
      <c r="I4687" t="s">
        <v>845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841</v>
      </c>
      <c r="D4688" t="s">
        <v>842</v>
      </c>
      <c r="E4688" t="s">
        <v>179</v>
      </c>
      <c r="F4688">
        <v>7</v>
      </c>
      <c r="G4688" t="s">
        <v>199</v>
      </c>
      <c r="H4688" t="s">
        <v>188</v>
      </c>
      <c r="I4688" t="s">
        <v>851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841</v>
      </c>
      <c r="D4689" t="s">
        <v>842</v>
      </c>
      <c r="E4689" t="s">
        <v>179</v>
      </c>
      <c r="F4689">
        <v>7</v>
      </c>
      <c r="G4689" t="s">
        <v>199</v>
      </c>
      <c r="H4689" t="s">
        <v>188</v>
      </c>
      <c r="I4689" t="s">
        <v>852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841</v>
      </c>
      <c r="D4690" t="s">
        <v>842</v>
      </c>
      <c r="E4690" t="s">
        <v>179</v>
      </c>
      <c r="F4690">
        <v>7</v>
      </c>
      <c r="G4690" t="s">
        <v>199</v>
      </c>
      <c r="H4690" t="s">
        <v>188</v>
      </c>
      <c r="I4690" t="s">
        <v>853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841</v>
      </c>
      <c r="D4691" t="s">
        <v>842</v>
      </c>
      <c r="E4691" t="s">
        <v>179</v>
      </c>
      <c r="F4691">
        <v>7</v>
      </c>
      <c r="G4691" t="s">
        <v>199</v>
      </c>
      <c r="H4691" t="s">
        <v>188</v>
      </c>
      <c r="I4691" t="s">
        <v>854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841</v>
      </c>
      <c r="D4692" t="s">
        <v>842</v>
      </c>
      <c r="E4692" t="s">
        <v>179</v>
      </c>
      <c r="F4692">
        <v>7</v>
      </c>
      <c r="G4692" t="s">
        <v>199</v>
      </c>
      <c r="H4692" t="s">
        <v>188</v>
      </c>
      <c r="I4692" t="s">
        <v>847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841</v>
      </c>
      <c r="D4693" t="s">
        <v>842</v>
      </c>
      <c r="E4693" t="s">
        <v>179</v>
      </c>
      <c r="F4693">
        <v>7</v>
      </c>
      <c r="G4693" t="s">
        <v>199</v>
      </c>
      <c r="H4693" t="s">
        <v>188</v>
      </c>
      <c r="I4693" t="s">
        <v>855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841</v>
      </c>
      <c r="D4694" t="s">
        <v>842</v>
      </c>
      <c r="E4694" t="s">
        <v>179</v>
      </c>
      <c r="F4694">
        <v>7</v>
      </c>
      <c r="G4694" t="s">
        <v>199</v>
      </c>
      <c r="H4694" t="s">
        <v>198</v>
      </c>
      <c r="I4694" t="s">
        <v>138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841</v>
      </c>
      <c r="D4695" t="s">
        <v>842</v>
      </c>
      <c r="E4695" t="s">
        <v>179</v>
      </c>
      <c r="F4695">
        <v>7</v>
      </c>
      <c r="G4695" t="s">
        <v>199</v>
      </c>
      <c r="H4695" t="s">
        <v>198</v>
      </c>
      <c r="I4695" t="s">
        <v>848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841</v>
      </c>
      <c r="D4696" t="s">
        <v>842</v>
      </c>
      <c r="E4696" t="s">
        <v>179</v>
      </c>
      <c r="F4696">
        <v>7</v>
      </c>
      <c r="G4696" t="s">
        <v>199</v>
      </c>
      <c r="H4696" t="s">
        <v>198</v>
      </c>
      <c r="I4696" t="s">
        <v>849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841</v>
      </c>
      <c r="D4697" t="s">
        <v>842</v>
      </c>
      <c r="E4697" t="s">
        <v>179</v>
      </c>
      <c r="F4697">
        <v>7</v>
      </c>
      <c r="G4697" t="s">
        <v>199</v>
      </c>
      <c r="H4697" t="s">
        <v>198</v>
      </c>
      <c r="I4697" t="s">
        <v>850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841</v>
      </c>
      <c r="D4698" t="s">
        <v>842</v>
      </c>
      <c r="E4698" t="s">
        <v>179</v>
      </c>
      <c r="F4698">
        <v>7</v>
      </c>
      <c r="G4698" t="s">
        <v>199</v>
      </c>
      <c r="H4698" t="s">
        <v>198</v>
      </c>
      <c r="I4698" t="s">
        <v>845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841</v>
      </c>
      <c r="D4699" t="s">
        <v>842</v>
      </c>
      <c r="E4699" t="s">
        <v>179</v>
      </c>
      <c r="F4699">
        <v>7</v>
      </c>
      <c r="G4699" t="s">
        <v>199</v>
      </c>
      <c r="H4699" t="s">
        <v>198</v>
      </c>
      <c r="I4699" t="s">
        <v>851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841</v>
      </c>
      <c r="D4700" t="s">
        <v>842</v>
      </c>
      <c r="E4700" t="s">
        <v>179</v>
      </c>
      <c r="F4700">
        <v>7</v>
      </c>
      <c r="G4700" t="s">
        <v>199</v>
      </c>
      <c r="H4700" t="s">
        <v>198</v>
      </c>
      <c r="I4700" t="s">
        <v>852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841</v>
      </c>
      <c r="D4701" t="s">
        <v>842</v>
      </c>
      <c r="E4701" t="s">
        <v>179</v>
      </c>
      <c r="F4701">
        <v>7</v>
      </c>
      <c r="G4701" t="s">
        <v>199</v>
      </c>
      <c r="H4701" t="s">
        <v>198</v>
      </c>
      <c r="I4701" t="s">
        <v>853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841</v>
      </c>
      <c r="D4702" t="s">
        <v>842</v>
      </c>
      <c r="E4702" t="s">
        <v>179</v>
      </c>
      <c r="F4702">
        <v>7</v>
      </c>
      <c r="G4702" t="s">
        <v>199</v>
      </c>
      <c r="H4702" t="s">
        <v>198</v>
      </c>
      <c r="I4702" t="s">
        <v>854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841</v>
      </c>
      <c r="D4703" t="s">
        <v>842</v>
      </c>
      <c r="E4703" t="s">
        <v>179</v>
      </c>
      <c r="F4703">
        <v>7</v>
      </c>
      <c r="G4703" t="s">
        <v>199</v>
      </c>
      <c r="H4703" t="s">
        <v>198</v>
      </c>
      <c r="I4703" t="s">
        <v>847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841</v>
      </c>
      <c r="D4704" t="s">
        <v>842</v>
      </c>
      <c r="E4704" t="s">
        <v>179</v>
      </c>
      <c r="F4704">
        <v>7</v>
      </c>
      <c r="G4704" t="s">
        <v>199</v>
      </c>
      <c r="H4704" t="s">
        <v>198</v>
      </c>
      <c r="I4704" t="s">
        <v>855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841</v>
      </c>
      <c r="D4705" t="s">
        <v>842</v>
      </c>
      <c r="E4705" t="s">
        <v>179</v>
      </c>
      <c r="F4705">
        <v>7</v>
      </c>
      <c r="G4705" t="s">
        <v>90</v>
      </c>
      <c r="H4705" t="s">
        <v>206</v>
      </c>
      <c r="I4705" t="s">
        <v>856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841</v>
      </c>
      <c r="D4706" t="s">
        <v>842</v>
      </c>
      <c r="E4706" t="s">
        <v>179</v>
      </c>
      <c r="F4706">
        <v>7</v>
      </c>
      <c r="G4706" t="s">
        <v>90</v>
      </c>
      <c r="H4706" t="s">
        <v>206</v>
      </c>
      <c r="I4706" t="s">
        <v>857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841</v>
      </c>
      <c r="D4707" t="s">
        <v>842</v>
      </c>
      <c r="E4707" t="s">
        <v>179</v>
      </c>
      <c r="F4707">
        <v>7</v>
      </c>
      <c r="G4707" t="s">
        <v>90</v>
      </c>
      <c r="H4707" t="s">
        <v>206</v>
      </c>
      <c r="I4707" t="s">
        <v>858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841</v>
      </c>
      <c r="D4708" t="s">
        <v>842</v>
      </c>
      <c r="E4708" t="s">
        <v>179</v>
      </c>
      <c r="F4708">
        <v>7</v>
      </c>
      <c r="G4708" t="s">
        <v>90</v>
      </c>
      <c r="H4708" t="s">
        <v>206</v>
      </c>
      <c r="I4708" t="s">
        <v>859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841</v>
      </c>
      <c r="D4709" t="s">
        <v>842</v>
      </c>
      <c r="E4709" t="s">
        <v>179</v>
      </c>
      <c r="F4709">
        <v>7</v>
      </c>
      <c r="G4709" t="s">
        <v>90</v>
      </c>
      <c r="H4709" t="s">
        <v>206</v>
      </c>
      <c r="I4709" t="s">
        <v>860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841</v>
      </c>
      <c r="D4710" t="s">
        <v>842</v>
      </c>
      <c r="E4710" t="s">
        <v>179</v>
      </c>
      <c r="F4710">
        <v>7</v>
      </c>
      <c r="G4710" t="s">
        <v>90</v>
      </c>
      <c r="H4710" t="s">
        <v>206</v>
      </c>
      <c r="I4710" t="s">
        <v>861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841</v>
      </c>
      <c r="D4711" t="s">
        <v>842</v>
      </c>
      <c r="E4711" t="s">
        <v>179</v>
      </c>
      <c r="F4711">
        <v>7</v>
      </c>
      <c r="G4711" t="s">
        <v>90</v>
      </c>
      <c r="H4711" t="s">
        <v>206</v>
      </c>
      <c r="I4711" t="s">
        <v>862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841</v>
      </c>
      <c r="D4712" t="s">
        <v>842</v>
      </c>
      <c r="E4712" t="s">
        <v>179</v>
      </c>
      <c r="F4712">
        <v>7</v>
      </c>
      <c r="G4712" t="s">
        <v>90</v>
      </c>
      <c r="H4712" t="s">
        <v>206</v>
      </c>
      <c r="I4712" t="s">
        <v>863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841</v>
      </c>
      <c r="D4713" t="s">
        <v>842</v>
      </c>
      <c r="E4713" t="s">
        <v>179</v>
      </c>
      <c r="F4713">
        <v>7</v>
      </c>
      <c r="G4713" t="s">
        <v>90</v>
      </c>
      <c r="H4713" t="s">
        <v>206</v>
      </c>
      <c r="I4713" t="s">
        <v>864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841</v>
      </c>
      <c r="D4714" t="s">
        <v>842</v>
      </c>
      <c r="E4714" t="s">
        <v>179</v>
      </c>
      <c r="F4714">
        <v>7</v>
      </c>
      <c r="G4714" t="s">
        <v>90</v>
      </c>
      <c r="H4714" t="s">
        <v>206</v>
      </c>
      <c r="I4714" t="s">
        <v>865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841</v>
      </c>
      <c r="D4715" t="s">
        <v>842</v>
      </c>
      <c r="E4715" t="s">
        <v>179</v>
      </c>
      <c r="F4715">
        <v>7</v>
      </c>
      <c r="G4715" t="s">
        <v>90</v>
      </c>
      <c r="H4715" t="s">
        <v>206</v>
      </c>
      <c r="I4715" t="s">
        <v>866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841</v>
      </c>
      <c r="D4716" t="s">
        <v>842</v>
      </c>
      <c r="E4716" t="s">
        <v>179</v>
      </c>
      <c r="F4716">
        <v>7</v>
      </c>
      <c r="G4716" t="s">
        <v>90</v>
      </c>
      <c r="H4716" t="s">
        <v>206</v>
      </c>
      <c r="I4716" t="s">
        <v>867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841</v>
      </c>
      <c r="D4717" t="s">
        <v>842</v>
      </c>
      <c r="E4717" t="s">
        <v>179</v>
      </c>
      <c r="F4717">
        <v>7</v>
      </c>
      <c r="G4717" t="s">
        <v>90</v>
      </c>
      <c r="H4717" t="s">
        <v>206</v>
      </c>
      <c r="I4717" t="s">
        <v>868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841</v>
      </c>
      <c r="D4718" t="s">
        <v>842</v>
      </c>
      <c r="E4718" t="s">
        <v>179</v>
      </c>
      <c r="F4718">
        <v>7</v>
      </c>
      <c r="G4718" t="s">
        <v>90</v>
      </c>
      <c r="H4718" t="s">
        <v>206</v>
      </c>
      <c r="I4718" t="s">
        <v>869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841</v>
      </c>
      <c r="D4719" t="s">
        <v>842</v>
      </c>
      <c r="E4719" t="s">
        <v>179</v>
      </c>
      <c r="F4719">
        <v>7</v>
      </c>
      <c r="G4719" t="s">
        <v>90</v>
      </c>
      <c r="H4719" t="s">
        <v>206</v>
      </c>
      <c r="I4719" t="s">
        <v>870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841</v>
      </c>
      <c r="D4720" t="s">
        <v>842</v>
      </c>
      <c r="E4720" t="s">
        <v>179</v>
      </c>
      <c r="F4720">
        <v>7</v>
      </c>
      <c r="G4720" t="s">
        <v>90</v>
      </c>
      <c r="H4720" t="s">
        <v>206</v>
      </c>
      <c r="I4720" t="s">
        <v>871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841</v>
      </c>
      <c r="D4721" t="s">
        <v>842</v>
      </c>
      <c r="E4721" t="s">
        <v>179</v>
      </c>
      <c r="F4721">
        <v>7</v>
      </c>
      <c r="G4721" t="s">
        <v>90</v>
      </c>
      <c r="H4721" t="s">
        <v>206</v>
      </c>
      <c r="I4721" t="s">
        <v>872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841</v>
      </c>
      <c r="D4722" t="s">
        <v>842</v>
      </c>
      <c r="E4722" t="s">
        <v>179</v>
      </c>
      <c r="F4722">
        <v>7</v>
      </c>
      <c r="G4722" t="s">
        <v>90</v>
      </c>
      <c r="H4722" t="s">
        <v>206</v>
      </c>
      <c r="I4722" t="s">
        <v>873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841</v>
      </c>
      <c r="D4723" t="s">
        <v>842</v>
      </c>
      <c r="E4723" t="s">
        <v>179</v>
      </c>
      <c r="F4723">
        <v>7</v>
      </c>
      <c r="G4723" t="s">
        <v>90</v>
      </c>
      <c r="H4723" t="s">
        <v>206</v>
      </c>
      <c r="I4723" t="s">
        <v>853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841</v>
      </c>
      <c r="D4724" t="s">
        <v>842</v>
      </c>
      <c r="E4724" t="s">
        <v>179</v>
      </c>
      <c r="F4724">
        <v>7</v>
      </c>
      <c r="G4724" t="s">
        <v>90</v>
      </c>
      <c r="H4724" t="s">
        <v>206</v>
      </c>
      <c r="I4724" t="s">
        <v>874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841</v>
      </c>
      <c r="D4725" t="s">
        <v>842</v>
      </c>
      <c r="E4725" t="s">
        <v>179</v>
      </c>
      <c r="F4725">
        <v>7</v>
      </c>
      <c r="G4725" t="s">
        <v>90</v>
      </c>
      <c r="H4725" t="s">
        <v>206</v>
      </c>
      <c r="I4725" t="s">
        <v>850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841</v>
      </c>
      <c r="D4726" t="s">
        <v>842</v>
      </c>
      <c r="E4726" t="s">
        <v>179</v>
      </c>
      <c r="F4726">
        <v>7</v>
      </c>
      <c r="G4726" t="s">
        <v>90</v>
      </c>
      <c r="H4726" t="s">
        <v>206</v>
      </c>
      <c r="I4726" t="s">
        <v>875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841</v>
      </c>
      <c r="D4727" t="s">
        <v>842</v>
      </c>
      <c r="E4727" t="s">
        <v>179</v>
      </c>
      <c r="F4727">
        <v>7</v>
      </c>
      <c r="G4727" t="s">
        <v>90</v>
      </c>
      <c r="H4727" t="s">
        <v>206</v>
      </c>
      <c r="I4727" t="s">
        <v>876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841</v>
      </c>
      <c r="D4728" t="s">
        <v>842</v>
      </c>
      <c r="E4728" t="s">
        <v>179</v>
      </c>
      <c r="F4728">
        <v>7</v>
      </c>
      <c r="G4728" t="s">
        <v>90</v>
      </c>
      <c r="H4728" t="s">
        <v>206</v>
      </c>
      <c r="I4728" t="s">
        <v>877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841</v>
      </c>
      <c r="D4729" t="s">
        <v>842</v>
      </c>
      <c r="E4729" t="s">
        <v>179</v>
      </c>
      <c r="F4729">
        <v>7</v>
      </c>
      <c r="G4729" t="s">
        <v>90</v>
      </c>
      <c r="H4729" t="s">
        <v>206</v>
      </c>
      <c r="I4729" t="s">
        <v>878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841</v>
      </c>
      <c r="D4730" t="s">
        <v>842</v>
      </c>
      <c r="E4730" t="s">
        <v>179</v>
      </c>
      <c r="F4730">
        <v>7</v>
      </c>
      <c r="G4730" t="s">
        <v>90</v>
      </c>
      <c r="H4730" t="s">
        <v>227</v>
      </c>
      <c r="I4730" t="s">
        <v>856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841</v>
      </c>
      <c r="D4731" t="s">
        <v>842</v>
      </c>
      <c r="E4731" t="s">
        <v>179</v>
      </c>
      <c r="F4731">
        <v>7</v>
      </c>
      <c r="G4731" t="s">
        <v>90</v>
      </c>
      <c r="H4731" t="s">
        <v>227</v>
      </c>
      <c r="I4731" t="s">
        <v>857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841</v>
      </c>
      <c r="D4732" t="s">
        <v>842</v>
      </c>
      <c r="E4732" t="s">
        <v>179</v>
      </c>
      <c r="F4732">
        <v>7</v>
      </c>
      <c r="G4732" t="s">
        <v>90</v>
      </c>
      <c r="H4732" t="s">
        <v>227</v>
      </c>
      <c r="I4732" t="s">
        <v>858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841</v>
      </c>
      <c r="D4733" t="s">
        <v>842</v>
      </c>
      <c r="E4733" t="s">
        <v>179</v>
      </c>
      <c r="F4733">
        <v>7</v>
      </c>
      <c r="G4733" t="s">
        <v>90</v>
      </c>
      <c r="H4733" t="s">
        <v>227</v>
      </c>
      <c r="I4733" t="s">
        <v>859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841</v>
      </c>
      <c r="D4734" t="s">
        <v>842</v>
      </c>
      <c r="E4734" t="s">
        <v>179</v>
      </c>
      <c r="F4734">
        <v>7</v>
      </c>
      <c r="G4734" t="s">
        <v>90</v>
      </c>
      <c r="H4734" t="s">
        <v>227</v>
      </c>
      <c r="I4734" t="s">
        <v>860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841</v>
      </c>
      <c r="D4735" t="s">
        <v>842</v>
      </c>
      <c r="E4735" t="s">
        <v>179</v>
      </c>
      <c r="F4735">
        <v>7</v>
      </c>
      <c r="G4735" t="s">
        <v>90</v>
      </c>
      <c r="H4735" t="s">
        <v>227</v>
      </c>
      <c r="I4735" t="s">
        <v>861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841</v>
      </c>
      <c r="D4736" t="s">
        <v>842</v>
      </c>
      <c r="E4736" t="s">
        <v>179</v>
      </c>
      <c r="F4736">
        <v>7</v>
      </c>
      <c r="G4736" t="s">
        <v>90</v>
      </c>
      <c r="H4736" t="s">
        <v>227</v>
      </c>
      <c r="I4736" t="s">
        <v>862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841</v>
      </c>
      <c r="D4737" t="s">
        <v>842</v>
      </c>
      <c r="E4737" t="s">
        <v>179</v>
      </c>
      <c r="F4737">
        <v>7</v>
      </c>
      <c r="G4737" t="s">
        <v>90</v>
      </c>
      <c r="H4737" t="s">
        <v>227</v>
      </c>
      <c r="I4737" t="s">
        <v>863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841</v>
      </c>
      <c r="D4738" t="s">
        <v>842</v>
      </c>
      <c r="E4738" t="s">
        <v>179</v>
      </c>
      <c r="F4738">
        <v>7</v>
      </c>
      <c r="G4738" t="s">
        <v>90</v>
      </c>
      <c r="H4738" t="s">
        <v>227</v>
      </c>
      <c r="I4738" t="s">
        <v>864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841</v>
      </c>
      <c r="D4739" t="s">
        <v>842</v>
      </c>
      <c r="E4739" t="s">
        <v>179</v>
      </c>
      <c r="F4739">
        <v>7</v>
      </c>
      <c r="G4739" t="s">
        <v>90</v>
      </c>
      <c r="H4739" t="s">
        <v>227</v>
      </c>
      <c r="I4739" t="s">
        <v>865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841</v>
      </c>
      <c r="D4740" t="s">
        <v>842</v>
      </c>
      <c r="E4740" t="s">
        <v>179</v>
      </c>
      <c r="F4740">
        <v>7</v>
      </c>
      <c r="G4740" t="s">
        <v>90</v>
      </c>
      <c r="H4740" t="s">
        <v>227</v>
      </c>
      <c r="I4740" t="s">
        <v>866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841</v>
      </c>
      <c r="D4741" t="s">
        <v>842</v>
      </c>
      <c r="E4741" t="s">
        <v>179</v>
      </c>
      <c r="F4741">
        <v>7</v>
      </c>
      <c r="G4741" t="s">
        <v>90</v>
      </c>
      <c r="H4741" t="s">
        <v>227</v>
      </c>
      <c r="I4741" t="s">
        <v>867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841</v>
      </c>
      <c r="D4742" t="s">
        <v>842</v>
      </c>
      <c r="E4742" t="s">
        <v>179</v>
      </c>
      <c r="F4742">
        <v>7</v>
      </c>
      <c r="G4742" t="s">
        <v>90</v>
      </c>
      <c r="H4742" t="s">
        <v>227</v>
      </c>
      <c r="I4742" t="s">
        <v>868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841</v>
      </c>
      <c r="D4743" t="s">
        <v>842</v>
      </c>
      <c r="E4743" t="s">
        <v>179</v>
      </c>
      <c r="F4743">
        <v>7</v>
      </c>
      <c r="G4743" t="s">
        <v>90</v>
      </c>
      <c r="H4743" t="s">
        <v>227</v>
      </c>
      <c r="I4743" t="s">
        <v>869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841</v>
      </c>
      <c r="D4744" t="s">
        <v>842</v>
      </c>
      <c r="E4744" t="s">
        <v>179</v>
      </c>
      <c r="F4744">
        <v>7</v>
      </c>
      <c r="G4744" t="s">
        <v>90</v>
      </c>
      <c r="H4744" t="s">
        <v>227</v>
      </c>
      <c r="I4744" t="s">
        <v>870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841</v>
      </c>
      <c r="D4745" t="s">
        <v>842</v>
      </c>
      <c r="E4745" t="s">
        <v>179</v>
      </c>
      <c r="F4745">
        <v>7</v>
      </c>
      <c r="G4745" t="s">
        <v>90</v>
      </c>
      <c r="H4745" t="s">
        <v>227</v>
      </c>
      <c r="I4745" t="s">
        <v>871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841</v>
      </c>
      <c r="D4746" t="s">
        <v>842</v>
      </c>
      <c r="E4746" t="s">
        <v>179</v>
      </c>
      <c r="F4746">
        <v>7</v>
      </c>
      <c r="G4746" t="s">
        <v>90</v>
      </c>
      <c r="H4746" t="s">
        <v>227</v>
      </c>
      <c r="I4746" t="s">
        <v>872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841</v>
      </c>
      <c r="D4747" t="s">
        <v>842</v>
      </c>
      <c r="E4747" t="s">
        <v>179</v>
      </c>
      <c r="F4747">
        <v>7</v>
      </c>
      <c r="G4747" t="s">
        <v>90</v>
      </c>
      <c r="H4747" t="s">
        <v>227</v>
      </c>
      <c r="I4747" t="s">
        <v>873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841</v>
      </c>
      <c r="D4748" t="s">
        <v>842</v>
      </c>
      <c r="E4748" t="s">
        <v>179</v>
      </c>
      <c r="F4748">
        <v>7</v>
      </c>
      <c r="G4748" t="s">
        <v>90</v>
      </c>
      <c r="H4748" t="s">
        <v>227</v>
      </c>
      <c r="I4748" t="s">
        <v>853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841</v>
      </c>
      <c r="D4749" t="s">
        <v>842</v>
      </c>
      <c r="E4749" t="s">
        <v>179</v>
      </c>
      <c r="F4749">
        <v>7</v>
      </c>
      <c r="G4749" t="s">
        <v>90</v>
      </c>
      <c r="H4749" t="s">
        <v>227</v>
      </c>
      <c r="I4749" t="s">
        <v>874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841</v>
      </c>
      <c r="D4750" t="s">
        <v>842</v>
      </c>
      <c r="E4750" t="s">
        <v>179</v>
      </c>
      <c r="F4750">
        <v>7</v>
      </c>
      <c r="G4750" t="s">
        <v>90</v>
      </c>
      <c r="H4750" t="s">
        <v>227</v>
      </c>
      <c r="I4750" t="s">
        <v>850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841</v>
      </c>
      <c r="D4751" t="s">
        <v>842</v>
      </c>
      <c r="E4751" t="s">
        <v>179</v>
      </c>
      <c r="F4751">
        <v>7</v>
      </c>
      <c r="G4751" t="s">
        <v>90</v>
      </c>
      <c r="H4751" t="s">
        <v>227</v>
      </c>
      <c r="I4751" t="s">
        <v>875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841</v>
      </c>
      <c r="D4752" t="s">
        <v>842</v>
      </c>
      <c r="E4752" t="s">
        <v>179</v>
      </c>
      <c r="F4752">
        <v>7</v>
      </c>
      <c r="G4752" t="s">
        <v>90</v>
      </c>
      <c r="H4752" t="s">
        <v>227</v>
      </c>
      <c r="I4752" t="s">
        <v>876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841</v>
      </c>
      <c r="D4753" t="s">
        <v>842</v>
      </c>
      <c r="E4753" t="s">
        <v>179</v>
      </c>
      <c r="F4753">
        <v>7</v>
      </c>
      <c r="G4753" t="s">
        <v>90</v>
      </c>
      <c r="H4753" t="s">
        <v>227</v>
      </c>
      <c r="I4753" t="s">
        <v>877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841</v>
      </c>
      <c r="D4754" t="s">
        <v>842</v>
      </c>
      <c r="E4754" t="s">
        <v>179</v>
      </c>
      <c r="F4754">
        <v>7</v>
      </c>
      <c r="G4754" t="s">
        <v>90</v>
      </c>
      <c r="H4754" t="s">
        <v>227</v>
      </c>
      <c r="I4754" t="s">
        <v>878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841</v>
      </c>
      <c r="D4755" t="s">
        <v>842</v>
      </c>
      <c r="E4755" t="s">
        <v>179</v>
      </c>
      <c r="F4755">
        <v>7</v>
      </c>
      <c r="G4755" t="s">
        <v>90</v>
      </c>
      <c r="H4755" t="s">
        <v>228</v>
      </c>
      <c r="I4755" t="s">
        <v>856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841</v>
      </c>
      <c r="D4756" t="s">
        <v>842</v>
      </c>
      <c r="E4756" t="s">
        <v>179</v>
      </c>
      <c r="F4756">
        <v>7</v>
      </c>
      <c r="G4756" t="s">
        <v>90</v>
      </c>
      <c r="H4756" t="s">
        <v>228</v>
      </c>
      <c r="I4756" t="s">
        <v>857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841</v>
      </c>
      <c r="D4757" t="s">
        <v>842</v>
      </c>
      <c r="E4757" t="s">
        <v>179</v>
      </c>
      <c r="F4757">
        <v>7</v>
      </c>
      <c r="G4757" t="s">
        <v>90</v>
      </c>
      <c r="H4757" t="s">
        <v>228</v>
      </c>
      <c r="I4757" t="s">
        <v>858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841</v>
      </c>
      <c r="D4758" t="s">
        <v>842</v>
      </c>
      <c r="E4758" t="s">
        <v>179</v>
      </c>
      <c r="F4758">
        <v>7</v>
      </c>
      <c r="G4758" t="s">
        <v>90</v>
      </c>
      <c r="H4758" t="s">
        <v>228</v>
      </c>
      <c r="I4758" t="s">
        <v>859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841</v>
      </c>
      <c r="D4759" t="s">
        <v>842</v>
      </c>
      <c r="E4759" t="s">
        <v>179</v>
      </c>
      <c r="F4759">
        <v>7</v>
      </c>
      <c r="G4759" t="s">
        <v>90</v>
      </c>
      <c r="H4759" t="s">
        <v>228</v>
      </c>
      <c r="I4759" t="s">
        <v>860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841</v>
      </c>
      <c r="D4760" t="s">
        <v>842</v>
      </c>
      <c r="E4760" t="s">
        <v>179</v>
      </c>
      <c r="F4760">
        <v>7</v>
      </c>
      <c r="G4760" t="s">
        <v>90</v>
      </c>
      <c r="H4760" t="s">
        <v>228</v>
      </c>
      <c r="I4760" t="s">
        <v>861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841</v>
      </c>
      <c r="D4761" t="s">
        <v>842</v>
      </c>
      <c r="E4761" t="s">
        <v>179</v>
      </c>
      <c r="F4761">
        <v>7</v>
      </c>
      <c r="G4761" t="s">
        <v>90</v>
      </c>
      <c r="H4761" t="s">
        <v>228</v>
      </c>
      <c r="I4761" t="s">
        <v>862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841</v>
      </c>
      <c r="D4762" t="s">
        <v>842</v>
      </c>
      <c r="E4762" t="s">
        <v>179</v>
      </c>
      <c r="F4762">
        <v>7</v>
      </c>
      <c r="G4762" t="s">
        <v>90</v>
      </c>
      <c r="H4762" t="s">
        <v>228</v>
      </c>
      <c r="I4762" t="s">
        <v>863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841</v>
      </c>
      <c r="D4763" t="s">
        <v>842</v>
      </c>
      <c r="E4763" t="s">
        <v>179</v>
      </c>
      <c r="F4763">
        <v>7</v>
      </c>
      <c r="G4763" t="s">
        <v>90</v>
      </c>
      <c r="H4763" t="s">
        <v>228</v>
      </c>
      <c r="I4763" t="s">
        <v>864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841</v>
      </c>
      <c r="D4764" t="s">
        <v>842</v>
      </c>
      <c r="E4764" t="s">
        <v>179</v>
      </c>
      <c r="F4764">
        <v>7</v>
      </c>
      <c r="G4764" t="s">
        <v>90</v>
      </c>
      <c r="H4764" t="s">
        <v>228</v>
      </c>
      <c r="I4764" t="s">
        <v>865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841</v>
      </c>
      <c r="D4765" t="s">
        <v>842</v>
      </c>
      <c r="E4765" t="s">
        <v>179</v>
      </c>
      <c r="F4765">
        <v>7</v>
      </c>
      <c r="G4765" t="s">
        <v>90</v>
      </c>
      <c r="H4765" t="s">
        <v>228</v>
      </c>
      <c r="I4765" t="s">
        <v>866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841</v>
      </c>
      <c r="D4766" t="s">
        <v>842</v>
      </c>
      <c r="E4766" t="s">
        <v>179</v>
      </c>
      <c r="F4766">
        <v>7</v>
      </c>
      <c r="G4766" t="s">
        <v>90</v>
      </c>
      <c r="H4766" t="s">
        <v>228</v>
      </c>
      <c r="I4766" t="s">
        <v>867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841</v>
      </c>
      <c r="D4767" t="s">
        <v>842</v>
      </c>
      <c r="E4767" t="s">
        <v>179</v>
      </c>
      <c r="F4767">
        <v>7</v>
      </c>
      <c r="G4767" t="s">
        <v>90</v>
      </c>
      <c r="H4767" t="s">
        <v>228</v>
      </c>
      <c r="I4767" t="s">
        <v>868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841</v>
      </c>
      <c r="D4768" t="s">
        <v>842</v>
      </c>
      <c r="E4768" t="s">
        <v>179</v>
      </c>
      <c r="F4768">
        <v>7</v>
      </c>
      <c r="G4768" t="s">
        <v>90</v>
      </c>
      <c r="H4768" t="s">
        <v>228</v>
      </c>
      <c r="I4768" t="s">
        <v>869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841</v>
      </c>
      <c r="D4769" t="s">
        <v>842</v>
      </c>
      <c r="E4769" t="s">
        <v>179</v>
      </c>
      <c r="F4769">
        <v>7</v>
      </c>
      <c r="G4769" t="s">
        <v>90</v>
      </c>
      <c r="H4769" t="s">
        <v>228</v>
      </c>
      <c r="I4769" t="s">
        <v>870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841</v>
      </c>
      <c r="D4770" t="s">
        <v>842</v>
      </c>
      <c r="E4770" t="s">
        <v>179</v>
      </c>
      <c r="F4770">
        <v>7</v>
      </c>
      <c r="G4770" t="s">
        <v>90</v>
      </c>
      <c r="H4770" t="s">
        <v>228</v>
      </c>
      <c r="I4770" t="s">
        <v>871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841</v>
      </c>
      <c r="D4771" t="s">
        <v>842</v>
      </c>
      <c r="E4771" t="s">
        <v>179</v>
      </c>
      <c r="F4771">
        <v>7</v>
      </c>
      <c r="G4771" t="s">
        <v>90</v>
      </c>
      <c r="H4771" t="s">
        <v>228</v>
      </c>
      <c r="I4771" t="s">
        <v>872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841</v>
      </c>
      <c r="D4772" t="s">
        <v>842</v>
      </c>
      <c r="E4772" t="s">
        <v>179</v>
      </c>
      <c r="F4772">
        <v>7</v>
      </c>
      <c r="G4772" t="s">
        <v>90</v>
      </c>
      <c r="H4772" t="s">
        <v>228</v>
      </c>
      <c r="I4772" t="s">
        <v>873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841</v>
      </c>
      <c r="D4773" t="s">
        <v>842</v>
      </c>
      <c r="E4773" t="s">
        <v>179</v>
      </c>
      <c r="F4773">
        <v>7</v>
      </c>
      <c r="G4773" t="s">
        <v>90</v>
      </c>
      <c r="H4773" t="s">
        <v>228</v>
      </c>
      <c r="I4773" t="s">
        <v>853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841</v>
      </c>
      <c r="D4774" t="s">
        <v>842</v>
      </c>
      <c r="E4774" t="s">
        <v>179</v>
      </c>
      <c r="F4774">
        <v>7</v>
      </c>
      <c r="G4774" t="s">
        <v>90</v>
      </c>
      <c r="H4774" t="s">
        <v>228</v>
      </c>
      <c r="I4774" t="s">
        <v>874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841</v>
      </c>
      <c r="D4775" t="s">
        <v>842</v>
      </c>
      <c r="E4775" t="s">
        <v>179</v>
      </c>
      <c r="F4775">
        <v>7</v>
      </c>
      <c r="G4775" t="s">
        <v>90</v>
      </c>
      <c r="H4775" t="s">
        <v>228</v>
      </c>
      <c r="I4775" t="s">
        <v>850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841</v>
      </c>
      <c r="D4776" t="s">
        <v>842</v>
      </c>
      <c r="E4776" t="s">
        <v>179</v>
      </c>
      <c r="F4776">
        <v>7</v>
      </c>
      <c r="G4776" t="s">
        <v>90</v>
      </c>
      <c r="H4776" t="s">
        <v>228</v>
      </c>
      <c r="I4776" t="s">
        <v>875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841</v>
      </c>
      <c r="D4777" t="s">
        <v>842</v>
      </c>
      <c r="E4777" t="s">
        <v>179</v>
      </c>
      <c r="F4777">
        <v>7</v>
      </c>
      <c r="G4777" t="s">
        <v>90</v>
      </c>
      <c r="H4777" t="s">
        <v>228</v>
      </c>
      <c r="I4777" t="s">
        <v>876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841</v>
      </c>
      <c r="D4778" t="s">
        <v>842</v>
      </c>
      <c r="E4778" t="s">
        <v>179</v>
      </c>
      <c r="F4778">
        <v>7</v>
      </c>
      <c r="G4778" t="s">
        <v>90</v>
      </c>
      <c r="H4778" t="s">
        <v>228</v>
      </c>
      <c r="I4778" t="s">
        <v>877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841</v>
      </c>
      <c r="D4779" t="s">
        <v>842</v>
      </c>
      <c r="E4779" t="s">
        <v>179</v>
      </c>
      <c r="F4779">
        <v>7</v>
      </c>
      <c r="G4779" t="s">
        <v>90</v>
      </c>
      <c r="H4779" t="s">
        <v>228</v>
      </c>
      <c r="I4779" t="s">
        <v>878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841</v>
      </c>
      <c r="D4780" t="s">
        <v>842</v>
      </c>
      <c r="E4780" t="s">
        <v>179</v>
      </c>
      <c r="F4780">
        <v>7</v>
      </c>
      <c r="G4780" t="s">
        <v>90</v>
      </c>
      <c r="H4780" t="s">
        <v>229</v>
      </c>
      <c r="I4780" t="s">
        <v>856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841</v>
      </c>
      <c r="D4781" t="s">
        <v>842</v>
      </c>
      <c r="E4781" t="s">
        <v>179</v>
      </c>
      <c r="F4781">
        <v>7</v>
      </c>
      <c r="G4781" t="s">
        <v>90</v>
      </c>
      <c r="H4781" t="s">
        <v>229</v>
      </c>
      <c r="I4781" t="s">
        <v>857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841</v>
      </c>
      <c r="D4782" t="s">
        <v>842</v>
      </c>
      <c r="E4782" t="s">
        <v>179</v>
      </c>
      <c r="F4782">
        <v>7</v>
      </c>
      <c r="G4782" t="s">
        <v>90</v>
      </c>
      <c r="H4782" t="s">
        <v>229</v>
      </c>
      <c r="I4782" t="s">
        <v>858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841</v>
      </c>
      <c r="D4783" t="s">
        <v>842</v>
      </c>
      <c r="E4783" t="s">
        <v>179</v>
      </c>
      <c r="F4783">
        <v>7</v>
      </c>
      <c r="G4783" t="s">
        <v>90</v>
      </c>
      <c r="H4783" t="s">
        <v>229</v>
      </c>
      <c r="I4783" t="s">
        <v>859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841</v>
      </c>
      <c r="D4784" t="s">
        <v>842</v>
      </c>
      <c r="E4784" t="s">
        <v>179</v>
      </c>
      <c r="F4784">
        <v>7</v>
      </c>
      <c r="G4784" t="s">
        <v>90</v>
      </c>
      <c r="H4784" t="s">
        <v>229</v>
      </c>
      <c r="I4784" t="s">
        <v>860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841</v>
      </c>
      <c r="D4785" t="s">
        <v>842</v>
      </c>
      <c r="E4785" t="s">
        <v>179</v>
      </c>
      <c r="F4785">
        <v>7</v>
      </c>
      <c r="G4785" t="s">
        <v>90</v>
      </c>
      <c r="H4785" t="s">
        <v>229</v>
      </c>
      <c r="I4785" t="s">
        <v>861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841</v>
      </c>
      <c r="D4786" t="s">
        <v>842</v>
      </c>
      <c r="E4786" t="s">
        <v>179</v>
      </c>
      <c r="F4786">
        <v>7</v>
      </c>
      <c r="G4786" t="s">
        <v>90</v>
      </c>
      <c r="H4786" t="s">
        <v>229</v>
      </c>
      <c r="I4786" t="s">
        <v>862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841</v>
      </c>
      <c r="D4787" t="s">
        <v>842</v>
      </c>
      <c r="E4787" t="s">
        <v>179</v>
      </c>
      <c r="F4787">
        <v>7</v>
      </c>
      <c r="G4787" t="s">
        <v>90</v>
      </c>
      <c r="H4787" t="s">
        <v>229</v>
      </c>
      <c r="I4787" t="s">
        <v>863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841</v>
      </c>
      <c r="D4788" t="s">
        <v>842</v>
      </c>
      <c r="E4788" t="s">
        <v>179</v>
      </c>
      <c r="F4788">
        <v>7</v>
      </c>
      <c r="G4788" t="s">
        <v>90</v>
      </c>
      <c r="H4788" t="s">
        <v>229</v>
      </c>
      <c r="I4788" t="s">
        <v>864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841</v>
      </c>
      <c r="D4789" t="s">
        <v>842</v>
      </c>
      <c r="E4789" t="s">
        <v>179</v>
      </c>
      <c r="F4789">
        <v>7</v>
      </c>
      <c r="G4789" t="s">
        <v>90</v>
      </c>
      <c r="H4789" t="s">
        <v>229</v>
      </c>
      <c r="I4789" t="s">
        <v>865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841</v>
      </c>
      <c r="D4790" t="s">
        <v>842</v>
      </c>
      <c r="E4790" t="s">
        <v>179</v>
      </c>
      <c r="F4790">
        <v>7</v>
      </c>
      <c r="G4790" t="s">
        <v>90</v>
      </c>
      <c r="H4790" t="s">
        <v>229</v>
      </c>
      <c r="I4790" t="s">
        <v>866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841</v>
      </c>
      <c r="D4791" t="s">
        <v>842</v>
      </c>
      <c r="E4791" t="s">
        <v>179</v>
      </c>
      <c r="F4791">
        <v>7</v>
      </c>
      <c r="G4791" t="s">
        <v>90</v>
      </c>
      <c r="H4791" t="s">
        <v>229</v>
      </c>
      <c r="I4791" t="s">
        <v>867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841</v>
      </c>
      <c r="D4792" t="s">
        <v>842</v>
      </c>
      <c r="E4792" t="s">
        <v>179</v>
      </c>
      <c r="F4792">
        <v>7</v>
      </c>
      <c r="G4792" t="s">
        <v>90</v>
      </c>
      <c r="H4792" t="s">
        <v>229</v>
      </c>
      <c r="I4792" t="s">
        <v>868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841</v>
      </c>
      <c r="D4793" t="s">
        <v>842</v>
      </c>
      <c r="E4793" t="s">
        <v>179</v>
      </c>
      <c r="F4793">
        <v>7</v>
      </c>
      <c r="G4793" t="s">
        <v>90</v>
      </c>
      <c r="H4793" t="s">
        <v>229</v>
      </c>
      <c r="I4793" t="s">
        <v>869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841</v>
      </c>
      <c r="D4794" t="s">
        <v>842</v>
      </c>
      <c r="E4794" t="s">
        <v>179</v>
      </c>
      <c r="F4794">
        <v>7</v>
      </c>
      <c r="G4794" t="s">
        <v>90</v>
      </c>
      <c r="H4794" t="s">
        <v>229</v>
      </c>
      <c r="I4794" t="s">
        <v>870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841</v>
      </c>
      <c r="D4795" t="s">
        <v>842</v>
      </c>
      <c r="E4795" t="s">
        <v>179</v>
      </c>
      <c r="F4795">
        <v>7</v>
      </c>
      <c r="G4795" t="s">
        <v>90</v>
      </c>
      <c r="H4795" t="s">
        <v>229</v>
      </c>
      <c r="I4795" t="s">
        <v>871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841</v>
      </c>
      <c r="D4796" t="s">
        <v>842</v>
      </c>
      <c r="E4796" t="s">
        <v>179</v>
      </c>
      <c r="F4796">
        <v>7</v>
      </c>
      <c r="G4796" t="s">
        <v>90</v>
      </c>
      <c r="H4796" t="s">
        <v>229</v>
      </c>
      <c r="I4796" t="s">
        <v>872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841</v>
      </c>
      <c r="D4797" t="s">
        <v>842</v>
      </c>
      <c r="E4797" t="s">
        <v>179</v>
      </c>
      <c r="F4797">
        <v>7</v>
      </c>
      <c r="G4797" t="s">
        <v>90</v>
      </c>
      <c r="H4797" t="s">
        <v>229</v>
      </c>
      <c r="I4797" t="s">
        <v>873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841</v>
      </c>
      <c r="D4798" t="s">
        <v>842</v>
      </c>
      <c r="E4798" t="s">
        <v>179</v>
      </c>
      <c r="F4798">
        <v>7</v>
      </c>
      <c r="G4798" t="s">
        <v>90</v>
      </c>
      <c r="H4798" t="s">
        <v>229</v>
      </c>
      <c r="I4798" t="s">
        <v>853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841</v>
      </c>
      <c r="D4799" t="s">
        <v>842</v>
      </c>
      <c r="E4799" t="s">
        <v>179</v>
      </c>
      <c r="F4799">
        <v>7</v>
      </c>
      <c r="G4799" t="s">
        <v>90</v>
      </c>
      <c r="H4799" t="s">
        <v>229</v>
      </c>
      <c r="I4799" t="s">
        <v>874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841</v>
      </c>
      <c r="D4800" t="s">
        <v>842</v>
      </c>
      <c r="E4800" t="s">
        <v>179</v>
      </c>
      <c r="F4800">
        <v>7</v>
      </c>
      <c r="G4800" t="s">
        <v>90</v>
      </c>
      <c r="H4800" t="s">
        <v>229</v>
      </c>
      <c r="I4800" t="s">
        <v>850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841</v>
      </c>
      <c r="D4801" t="s">
        <v>842</v>
      </c>
      <c r="E4801" t="s">
        <v>179</v>
      </c>
      <c r="F4801">
        <v>7</v>
      </c>
      <c r="G4801" t="s">
        <v>90</v>
      </c>
      <c r="H4801" t="s">
        <v>229</v>
      </c>
      <c r="I4801" t="s">
        <v>875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841</v>
      </c>
      <c r="D4802" t="s">
        <v>842</v>
      </c>
      <c r="E4802" t="s">
        <v>179</v>
      </c>
      <c r="F4802">
        <v>7</v>
      </c>
      <c r="G4802" t="s">
        <v>90</v>
      </c>
      <c r="H4802" t="s">
        <v>229</v>
      </c>
      <c r="I4802" t="s">
        <v>876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841</v>
      </c>
      <c r="D4803" t="s">
        <v>842</v>
      </c>
      <c r="E4803" t="s">
        <v>179</v>
      </c>
      <c r="F4803">
        <v>7</v>
      </c>
      <c r="G4803" t="s">
        <v>90</v>
      </c>
      <c r="H4803" t="s">
        <v>229</v>
      </c>
      <c r="I4803" t="s">
        <v>877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841</v>
      </c>
      <c r="D4804" t="s">
        <v>842</v>
      </c>
      <c r="E4804" t="s">
        <v>179</v>
      </c>
      <c r="F4804">
        <v>7</v>
      </c>
      <c r="G4804" t="s">
        <v>90</v>
      </c>
      <c r="H4804" t="s">
        <v>229</v>
      </c>
      <c r="I4804" t="s">
        <v>878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841</v>
      </c>
      <c r="D4805" t="s">
        <v>842</v>
      </c>
      <c r="E4805" t="s">
        <v>179</v>
      </c>
      <c r="F4805">
        <v>7</v>
      </c>
      <c r="G4805" t="s">
        <v>90</v>
      </c>
      <c r="H4805" t="s">
        <v>91</v>
      </c>
      <c r="I4805" t="s">
        <v>856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841</v>
      </c>
      <c r="D4806" t="s">
        <v>842</v>
      </c>
      <c r="E4806" t="s">
        <v>179</v>
      </c>
      <c r="F4806">
        <v>7</v>
      </c>
      <c r="G4806" t="s">
        <v>90</v>
      </c>
      <c r="H4806" t="s">
        <v>91</v>
      </c>
      <c r="I4806" t="s">
        <v>857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841</v>
      </c>
      <c r="D4807" t="s">
        <v>842</v>
      </c>
      <c r="E4807" t="s">
        <v>179</v>
      </c>
      <c r="F4807">
        <v>7</v>
      </c>
      <c r="G4807" t="s">
        <v>90</v>
      </c>
      <c r="H4807" t="s">
        <v>91</v>
      </c>
      <c r="I4807" t="s">
        <v>858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841</v>
      </c>
      <c r="D4808" t="s">
        <v>842</v>
      </c>
      <c r="E4808" t="s">
        <v>179</v>
      </c>
      <c r="F4808">
        <v>7</v>
      </c>
      <c r="G4808" t="s">
        <v>90</v>
      </c>
      <c r="H4808" t="s">
        <v>91</v>
      </c>
      <c r="I4808" t="s">
        <v>859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841</v>
      </c>
      <c r="D4809" t="s">
        <v>842</v>
      </c>
      <c r="E4809" t="s">
        <v>179</v>
      </c>
      <c r="F4809">
        <v>7</v>
      </c>
      <c r="G4809" t="s">
        <v>90</v>
      </c>
      <c r="H4809" t="s">
        <v>91</v>
      </c>
      <c r="I4809" t="s">
        <v>860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841</v>
      </c>
      <c r="D4810" t="s">
        <v>842</v>
      </c>
      <c r="E4810" t="s">
        <v>179</v>
      </c>
      <c r="F4810">
        <v>7</v>
      </c>
      <c r="G4810" t="s">
        <v>90</v>
      </c>
      <c r="H4810" t="s">
        <v>91</v>
      </c>
      <c r="I4810" t="s">
        <v>861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841</v>
      </c>
      <c r="D4811" t="s">
        <v>842</v>
      </c>
      <c r="E4811" t="s">
        <v>179</v>
      </c>
      <c r="F4811">
        <v>7</v>
      </c>
      <c r="G4811" t="s">
        <v>90</v>
      </c>
      <c r="H4811" t="s">
        <v>91</v>
      </c>
      <c r="I4811" t="s">
        <v>862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841</v>
      </c>
      <c r="D4812" t="s">
        <v>842</v>
      </c>
      <c r="E4812" t="s">
        <v>179</v>
      </c>
      <c r="F4812">
        <v>7</v>
      </c>
      <c r="G4812" t="s">
        <v>90</v>
      </c>
      <c r="H4812" t="s">
        <v>91</v>
      </c>
      <c r="I4812" t="s">
        <v>863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841</v>
      </c>
      <c r="D4813" t="s">
        <v>842</v>
      </c>
      <c r="E4813" t="s">
        <v>179</v>
      </c>
      <c r="F4813">
        <v>7</v>
      </c>
      <c r="G4813" t="s">
        <v>90</v>
      </c>
      <c r="H4813" t="s">
        <v>91</v>
      </c>
      <c r="I4813" t="s">
        <v>864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841</v>
      </c>
      <c r="D4814" t="s">
        <v>842</v>
      </c>
      <c r="E4814" t="s">
        <v>179</v>
      </c>
      <c r="F4814">
        <v>7</v>
      </c>
      <c r="G4814" t="s">
        <v>90</v>
      </c>
      <c r="H4814" t="s">
        <v>91</v>
      </c>
      <c r="I4814" t="s">
        <v>865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841</v>
      </c>
      <c r="D4815" t="s">
        <v>842</v>
      </c>
      <c r="E4815" t="s">
        <v>179</v>
      </c>
      <c r="F4815">
        <v>7</v>
      </c>
      <c r="G4815" t="s">
        <v>90</v>
      </c>
      <c r="H4815" t="s">
        <v>91</v>
      </c>
      <c r="I4815" t="s">
        <v>866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841</v>
      </c>
      <c r="D4816" t="s">
        <v>842</v>
      </c>
      <c r="E4816" t="s">
        <v>179</v>
      </c>
      <c r="F4816">
        <v>7</v>
      </c>
      <c r="G4816" t="s">
        <v>90</v>
      </c>
      <c r="H4816" t="s">
        <v>91</v>
      </c>
      <c r="I4816" t="s">
        <v>867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841</v>
      </c>
      <c r="D4817" t="s">
        <v>842</v>
      </c>
      <c r="E4817" t="s">
        <v>179</v>
      </c>
      <c r="F4817">
        <v>7</v>
      </c>
      <c r="G4817" t="s">
        <v>90</v>
      </c>
      <c r="H4817" t="s">
        <v>91</v>
      </c>
      <c r="I4817" t="s">
        <v>868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841</v>
      </c>
      <c r="D4818" t="s">
        <v>842</v>
      </c>
      <c r="E4818" t="s">
        <v>179</v>
      </c>
      <c r="F4818">
        <v>7</v>
      </c>
      <c r="G4818" t="s">
        <v>90</v>
      </c>
      <c r="H4818" t="s">
        <v>91</v>
      </c>
      <c r="I4818" t="s">
        <v>869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841</v>
      </c>
      <c r="D4819" t="s">
        <v>842</v>
      </c>
      <c r="E4819" t="s">
        <v>179</v>
      </c>
      <c r="F4819">
        <v>7</v>
      </c>
      <c r="G4819" t="s">
        <v>90</v>
      </c>
      <c r="H4819" t="s">
        <v>91</v>
      </c>
      <c r="I4819" t="s">
        <v>870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841</v>
      </c>
      <c r="D4820" t="s">
        <v>842</v>
      </c>
      <c r="E4820" t="s">
        <v>179</v>
      </c>
      <c r="F4820">
        <v>7</v>
      </c>
      <c r="G4820" t="s">
        <v>90</v>
      </c>
      <c r="H4820" t="s">
        <v>91</v>
      </c>
      <c r="I4820" t="s">
        <v>871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841</v>
      </c>
      <c r="D4821" t="s">
        <v>842</v>
      </c>
      <c r="E4821" t="s">
        <v>179</v>
      </c>
      <c r="F4821">
        <v>7</v>
      </c>
      <c r="G4821" t="s">
        <v>90</v>
      </c>
      <c r="H4821" t="s">
        <v>91</v>
      </c>
      <c r="I4821" t="s">
        <v>872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841</v>
      </c>
      <c r="D4822" t="s">
        <v>842</v>
      </c>
      <c r="E4822" t="s">
        <v>179</v>
      </c>
      <c r="F4822">
        <v>7</v>
      </c>
      <c r="G4822" t="s">
        <v>90</v>
      </c>
      <c r="H4822" t="s">
        <v>91</v>
      </c>
      <c r="I4822" t="s">
        <v>873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841</v>
      </c>
      <c r="D4823" t="s">
        <v>842</v>
      </c>
      <c r="E4823" t="s">
        <v>179</v>
      </c>
      <c r="F4823">
        <v>7</v>
      </c>
      <c r="G4823" t="s">
        <v>90</v>
      </c>
      <c r="H4823" t="s">
        <v>91</v>
      </c>
      <c r="I4823" t="s">
        <v>853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841</v>
      </c>
      <c r="D4824" t="s">
        <v>842</v>
      </c>
      <c r="E4824" t="s">
        <v>179</v>
      </c>
      <c r="F4824">
        <v>7</v>
      </c>
      <c r="G4824" t="s">
        <v>90</v>
      </c>
      <c r="H4824" t="s">
        <v>91</v>
      </c>
      <c r="I4824" t="s">
        <v>874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841</v>
      </c>
      <c r="D4825" t="s">
        <v>842</v>
      </c>
      <c r="E4825" t="s">
        <v>179</v>
      </c>
      <c r="F4825">
        <v>7</v>
      </c>
      <c r="G4825" t="s">
        <v>90</v>
      </c>
      <c r="H4825" t="s">
        <v>91</v>
      </c>
      <c r="I4825" t="s">
        <v>850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841</v>
      </c>
      <c r="D4826" t="s">
        <v>842</v>
      </c>
      <c r="E4826" t="s">
        <v>179</v>
      </c>
      <c r="F4826">
        <v>7</v>
      </c>
      <c r="G4826" t="s">
        <v>90</v>
      </c>
      <c r="H4826" t="s">
        <v>91</v>
      </c>
      <c r="I4826" t="s">
        <v>875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841</v>
      </c>
      <c r="D4827" t="s">
        <v>842</v>
      </c>
      <c r="E4827" t="s">
        <v>179</v>
      </c>
      <c r="F4827">
        <v>7</v>
      </c>
      <c r="G4827" t="s">
        <v>90</v>
      </c>
      <c r="H4827" t="s">
        <v>91</v>
      </c>
      <c r="I4827" t="s">
        <v>876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841</v>
      </c>
      <c r="D4828" t="s">
        <v>842</v>
      </c>
      <c r="E4828" t="s">
        <v>179</v>
      </c>
      <c r="F4828">
        <v>7</v>
      </c>
      <c r="G4828" t="s">
        <v>90</v>
      </c>
      <c r="H4828" t="s">
        <v>91</v>
      </c>
      <c r="I4828" t="s">
        <v>877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841</v>
      </c>
      <c r="D4829" t="s">
        <v>842</v>
      </c>
      <c r="E4829" t="s">
        <v>179</v>
      </c>
      <c r="F4829">
        <v>7</v>
      </c>
      <c r="G4829" t="s">
        <v>90</v>
      </c>
      <c r="H4829" t="s">
        <v>91</v>
      </c>
      <c r="I4829" t="s">
        <v>878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841</v>
      </c>
      <c r="D4830" t="s">
        <v>842</v>
      </c>
      <c r="E4830" t="s">
        <v>179</v>
      </c>
      <c r="F4830">
        <v>7</v>
      </c>
      <c r="G4830" t="s">
        <v>90</v>
      </c>
      <c r="H4830" t="s">
        <v>230</v>
      </c>
      <c r="I4830" t="s">
        <v>856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841</v>
      </c>
      <c r="D4831" t="s">
        <v>842</v>
      </c>
      <c r="E4831" t="s">
        <v>179</v>
      </c>
      <c r="F4831">
        <v>7</v>
      </c>
      <c r="G4831" t="s">
        <v>90</v>
      </c>
      <c r="H4831" t="s">
        <v>230</v>
      </c>
      <c r="I4831" t="s">
        <v>857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841</v>
      </c>
      <c r="D4832" t="s">
        <v>842</v>
      </c>
      <c r="E4832" t="s">
        <v>179</v>
      </c>
      <c r="F4832">
        <v>7</v>
      </c>
      <c r="G4832" t="s">
        <v>90</v>
      </c>
      <c r="H4832" t="s">
        <v>230</v>
      </c>
      <c r="I4832" t="s">
        <v>858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841</v>
      </c>
      <c r="D4833" t="s">
        <v>842</v>
      </c>
      <c r="E4833" t="s">
        <v>179</v>
      </c>
      <c r="F4833">
        <v>7</v>
      </c>
      <c r="G4833" t="s">
        <v>90</v>
      </c>
      <c r="H4833" t="s">
        <v>230</v>
      </c>
      <c r="I4833" t="s">
        <v>859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841</v>
      </c>
      <c r="D4834" t="s">
        <v>842</v>
      </c>
      <c r="E4834" t="s">
        <v>179</v>
      </c>
      <c r="F4834">
        <v>7</v>
      </c>
      <c r="G4834" t="s">
        <v>90</v>
      </c>
      <c r="H4834" t="s">
        <v>230</v>
      </c>
      <c r="I4834" t="s">
        <v>860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841</v>
      </c>
      <c r="D4835" t="s">
        <v>842</v>
      </c>
      <c r="E4835" t="s">
        <v>179</v>
      </c>
      <c r="F4835">
        <v>7</v>
      </c>
      <c r="G4835" t="s">
        <v>90</v>
      </c>
      <c r="H4835" t="s">
        <v>230</v>
      </c>
      <c r="I4835" t="s">
        <v>861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841</v>
      </c>
      <c r="D4836" t="s">
        <v>842</v>
      </c>
      <c r="E4836" t="s">
        <v>179</v>
      </c>
      <c r="F4836">
        <v>7</v>
      </c>
      <c r="G4836" t="s">
        <v>90</v>
      </c>
      <c r="H4836" t="s">
        <v>230</v>
      </c>
      <c r="I4836" t="s">
        <v>862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841</v>
      </c>
      <c r="D4837" t="s">
        <v>842</v>
      </c>
      <c r="E4837" t="s">
        <v>179</v>
      </c>
      <c r="F4837">
        <v>7</v>
      </c>
      <c r="G4837" t="s">
        <v>90</v>
      </c>
      <c r="H4837" t="s">
        <v>230</v>
      </c>
      <c r="I4837" t="s">
        <v>863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841</v>
      </c>
      <c r="D4838" t="s">
        <v>842</v>
      </c>
      <c r="E4838" t="s">
        <v>179</v>
      </c>
      <c r="F4838">
        <v>7</v>
      </c>
      <c r="G4838" t="s">
        <v>90</v>
      </c>
      <c r="H4838" t="s">
        <v>230</v>
      </c>
      <c r="I4838" t="s">
        <v>864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841</v>
      </c>
      <c r="D4839" t="s">
        <v>842</v>
      </c>
      <c r="E4839" t="s">
        <v>179</v>
      </c>
      <c r="F4839">
        <v>7</v>
      </c>
      <c r="G4839" t="s">
        <v>90</v>
      </c>
      <c r="H4839" t="s">
        <v>230</v>
      </c>
      <c r="I4839" t="s">
        <v>865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841</v>
      </c>
      <c r="D4840" t="s">
        <v>842</v>
      </c>
      <c r="E4840" t="s">
        <v>179</v>
      </c>
      <c r="F4840">
        <v>7</v>
      </c>
      <c r="G4840" t="s">
        <v>90</v>
      </c>
      <c r="H4840" t="s">
        <v>230</v>
      </c>
      <c r="I4840" t="s">
        <v>866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841</v>
      </c>
      <c r="D4841" t="s">
        <v>842</v>
      </c>
      <c r="E4841" t="s">
        <v>179</v>
      </c>
      <c r="F4841">
        <v>7</v>
      </c>
      <c r="G4841" t="s">
        <v>90</v>
      </c>
      <c r="H4841" t="s">
        <v>230</v>
      </c>
      <c r="I4841" t="s">
        <v>867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841</v>
      </c>
      <c r="D4842" t="s">
        <v>842</v>
      </c>
      <c r="E4842" t="s">
        <v>179</v>
      </c>
      <c r="F4842">
        <v>7</v>
      </c>
      <c r="G4842" t="s">
        <v>90</v>
      </c>
      <c r="H4842" t="s">
        <v>230</v>
      </c>
      <c r="I4842" t="s">
        <v>868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841</v>
      </c>
      <c r="D4843" t="s">
        <v>842</v>
      </c>
      <c r="E4843" t="s">
        <v>179</v>
      </c>
      <c r="F4843">
        <v>7</v>
      </c>
      <c r="G4843" t="s">
        <v>90</v>
      </c>
      <c r="H4843" t="s">
        <v>230</v>
      </c>
      <c r="I4843" t="s">
        <v>869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841</v>
      </c>
      <c r="D4844" t="s">
        <v>842</v>
      </c>
      <c r="E4844" t="s">
        <v>179</v>
      </c>
      <c r="F4844">
        <v>7</v>
      </c>
      <c r="G4844" t="s">
        <v>90</v>
      </c>
      <c r="H4844" t="s">
        <v>230</v>
      </c>
      <c r="I4844" t="s">
        <v>870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841</v>
      </c>
      <c r="D4845" t="s">
        <v>842</v>
      </c>
      <c r="E4845" t="s">
        <v>179</v>
      </c>
      <c r="F4845">
        <v>7</v>
      </c>
      <c r="G4845" t="s">
        <v>90</v>
      </c>
      <c r="H4845" t="s">
        <v>230</v>
      </c>
      <c r="I4845" t="s">
        <v>871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841</v>
      </c>
      <c r="D4846" t="s">
        <v>842</v>
      </c>
      <c r="E4846" t="s">
        <v>179</v>
      </c>
      <c r="F4846">
        <v>7</v>
      </c>
      <c r="G4846" t="s">
        <v>90</v>
      </c>
      <c r="H4846" t="s">
        <v>230</v>
      </c>
      <c r="I4846" t="s">
        <v>872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841</v>
      </c>
      <c r="D4847" t="s">
        <v>842</v>
      </c>
      <c r="E4847" t="s">
        <v>179</v>
      </c>
      <c r="F4847">
        <v>7</v>
      </c>
      <c r="G4847" t="s">
        <v>90</v>
      </c>
      <c r="H4847" t="s">
        <v>230</v>
      </c>
      <c r="I4847" t="s">
        <v>873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841</v>
      </c>
      <c r="D4848" t="s">
        <v>842</v>
      </c>
      <c r="E4848" t="s">
        <v>179</v>
      </c>
      <c r="F4848">
        <v>7</v>
      </c>
      <c r="G4848" t="s">
        <v>90</v>
      </c>
      <c r="H4848" t="s">
        <v>230</v>
      </c>
      <c r="I4848" t="s">
        <v>853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841</v>
      </c>
      <c r="D4849" t="s">
        <v>842</v>
      </c>
      <c r="E4849" t="s">
        <v>179</v>
      </c>
      <c r="F4849">
        <v>7</v>
      </c>
      <c r="G4849" t="s">
        <v>90</v>
      </c>
      <c r="H4849" t="s">
        <v>230</v>
      </c>
      <c r="I4849" t="s">
        <v>874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841</v>
      </c>
      <c r="D4850" t="s">
        <v>842</v>
      </c>
      <c r="E4850" t="s">
        <v>179</v>
      </c>
      <c r="F4850">
        <v>7</v>
      </c>
      <c r="G4850" t="s">
        <v>90</v>
      </c>
      <c r="H4850" t="s">
        <v>230</v>
      </c>
      <c r="I4850" t="s">
        <v>850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841</v>
      </c>
      <c r="D4851" t="s">
        <v>842</v>
      </c>
      <c r="E4851" t="s">
        <v>179</v>
      </c>
      <c r="F4851">
        <v>7</v>
      </c>
      <c r="G4851" t="s">
        <v>90</v>
      </c>
      <c r="H4851" t="s">
        <v>230</v>
      </c>
      <c r="I4851" t="s">
        <v>875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841</v>
      </c>
      <c r="D4852" t="s">
        <v>842</v>
      </c>
      <c r="E4852" t="s">
        <v>179</v>
      </c>
      <c r="F4852">
        <v>7</v>
      </c>
      <c r="G4852" t="s">
        <v>90</v>
      </c>
      <c r="H4852" t="s">
        <v>230</v>
      </c>
      <c r="I4852" t="s">
        <v>876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841</v>
      </c>
      <c r="D4853" t="s">
        <v>842</v>
      </c>
      <c r="E4853" t="s">
        <v>179</v>
      </c>
      <c r="F4853">
        <v>7</v>
      </c>
      <c r="G4853" t="s">
        <v>90</v>
      </c>
      <c r="H4853" t="s">
        <v>230</v>
      </c>
      <c r="I4853" t="s">
        <v>877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841</v>
      </c>
      <c r="D4854" t="s">
        <v>842</v>
      </c>
      <c r="E4854" t="s">
        <v>179</v>
      </c>
      <c r="F4854">
        <v>7</v>
      </c>
      <c r="G4854" t="s">
        <v>90</v>
      </c>
      <c r="H4854" t="s">
        <v>230</v>
      </c>
      <c r="I4854" t="s">
        <v>878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841</v>
      </c>
      <c r="D4855" t="s">
        <v>842</v>
      </c>
      <c r="E4855" t="s">
        <v>179</v>
      </c>
      <c r="F4855">
        <v>7</v>
      </c>
      <c r="G4855" t="s">
        <v>90</v>
      </c>
      <c r="H4855" t="s">
        <v>188</v>
      </c>
      <c r="I4855" t="s">
        <v>856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841</v>
      </c>
      <c r="D4856" t="s">
        <v>842</v>
      </c>
      <c r="E4856" t="s">
        <v>179</v>
      </c>
      <c r="F4856">
        <v>7</v>
      </c>
      <c r="G4856" t="s">
        <v>90</v>
      </c>
      <c r="H4856" t="s">
        <v>188</v>
      </c>
      <c r="I4856" t="s">
        <v>857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841</v>
      </c>
      <c r="D4857" t="s">
        <v>842</v>
      </c>
      <c r="E4857" t="s">
        <v>179</v>
      </c>
      <c r="F4857">
        <v>7</v>
      </c>
      <c r="G4857" t="s">
        <v>90</v>
      </c>
      <c r="H4857" t="s">
        <v>188</v>
      </c>
      <c r="I4857" t="s">
        <v>858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841</v>
      </c>
      <c r="D4858" t="s">
        <v>842</v>
      </c>
      <c r="E4858" t="s">
        <v>179</v>
      </c>
      <c r="F4858">
        <v>7</v>
      </c>
      <c r="G4858" t="s">
        <v>90</v>
      </c>
      <c r="H4858" t="s">
        <v>188</v>
      </c>
      <c r="I4858" t="s">
        <v>859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841</v>
      </c>
      <c r="D4859" t="s">
        <v>842</v>
      </c>
      <c r="E4859" t="s">
        <v>179</v>
      </c>
      <c r="F4859">
        <v>7</v>
      </c>
      <c r="G4859" t="s">
        <v>90</v>
      </c>
      <c r="H4859" t="s">
        <v>188</v>
      </c>
      <c r="I4859" t="s">
        <v>860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841</v>
      </c>
      <c r="D4860" t="s">
        <v>842</v>
      </c>
      <c r="E4860" t="s">
        <v>179</v>
      </c>
      <c r="F4860">
        <v>7</v>
      </c>
      <c r="G4860" t="s">
        <v>90</v>
      </c>
      <c r="H4860" t="s">
        <v>188</v>
      </c>
      <c r="I4860" t="s">
        <v>861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841</v>
      </c>
      <c r="D4861" t="s">
        <v>842</v>
      </c>
      <c r="E4861" t="s">
        <v>179</v>
      </c>
      <c r="F4861">
        <v>7</v>
      </c>
      <c r="G4861" t="s">
        <v>90</v>
      </c>
      <c r="H4861" t="s">
        <v>188</v>
      </c>
      <c r="I4861" t="s">
        <v>862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841</v>
      </c>
      <c r="D4862" t="s">
        <v>842</v>
      </c>
      <c r="E4862" t="s">
        <v>179</v>
      </c>
      <c r="F4862">
        <v>7</v>
      </c>
      <c r="G4862" t="s">
        <v>90</v>
      </c>
      <c r="H4862" t="s">
        <v>188</v>
      </c>
      <c r="I4862" t="s">
        <v>863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841</v>
      </c>
      <c r="D4863" t="s">
        <v>842</v>
      </c>
      <c r="E4863" t="s">
        <v>179</v>
      </c>
      <c r="F4863">
        <v>7</v>
      </c>
      <c r="G4863" t="s">
        <v>90</v>
      </c>
      <c r="H4863" t="s">
        <v>188</v>
      </c>
      <c r="I4863" t="s">
        <v>864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841</v>
      </c>
      <c r="D4864" t="s">
        <v>842</v>
      </c>
      <c r="E4864" t="s">
        <v>179</v>
      </c>
      <c r="F4864">
        <v>7</v>
      </c>
      <c r="G4864" t="s">
        <v>90</v>
      </c>
      <c r="H4864" t="s">
        <v>188</v>
      </c>
      <c r="I4864" t="s">
        <v>865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841</v>
      </c>
      <c r="D4865" t="s">
        <v>842</v>
      </c>
      <c r="E4865" t="s">
        <v>179</v>
      </c>
      <c r="F4865">
        <v>7</v>
      </c>
      <c r="G4865" t="s">
        <v>90</v>
      </c>
      <c r="H4865" t="s">
        <v>188</v>
      </c>
      <c r="I4865" t="s">
        <v>866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841</v>
      </c>
      <c r="D4866" t="s">
        <v>842</v>
      </c>
      <c r="E4866" t="s">
        <v>179</v>
      </c>
      <c r="F4866">
        <v>7</v>
      </c>
      <c r="G4866" t="s">
        <v>90</v>
      </c>
      <c r="H4866" t="s">
        <v>188</v>
      </c>
      <c r="I4866" t="s">
        <v>867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841</v>
      </c>
      <c r="D4867" t="s">
        <v>842</v>
      </c>
      <c r="E4867" t="s">
        <v>179</v>
      </c>
      <c r="F4867">
        <v>7</v>
      </c>
      <c r="G4867" t="s">
        <v>90</v>
      </c>
      <c r="H4867" t="s">
        <v>188</v>
      </c>
      <c r="I4867" t="s">
        <v>868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841</v>
      </c>
      <c r="D4868" t="s">
        <v>842</v>
      </c>
      <c r="E4868" t="s">
        <v>179</v>
      </c>
      <c r="F4868">
        <v>7</v>
      </c>
      <c r="G4868" t="s">
        <v>90</v>
      </c>
      <c r="H4868" t="s">
        <v>188</v>
      </c>
      <c r="I4868" t="s">
        <v>869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841</v>
      </c>
      <c r="D4869" t="s">
        <v>842</v>
      </c>
      <c r="E4869" t="s">
        <v>179</v>
      </c>
      <c r="F4869">
        <v>7</v>
      </c>
      <c r="G4869" t="s">
        <v>90</v>
      </c>
      <c r="H4869" t="s">
        <v>188</v>
      </c>
      <c r="I4869" t="s">
        <v>870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841</v>
      </c>
      <c r="D4870" t="s">
        <v>842</v>
      </c>
      <c r="E4870" t="s">
        <v>179</v>
      </c>
      <c r="F4870">
        <v>7</v>
      </c>
      <c r="G4870" t="s">
        <v>90</v>
      </c>
      <c r="H4870" t="s">
        <v>188</v>
      </c>
      <c r="I4870" t="s">
        <v>871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841</v>
      </c>
      <c r="D4871" t="s">
        <v>842</v>
      </c>
      <c r="E4871" t="s">
        <v>179</v>
      </c>
      <c r="F4871">
        <v>7</v>
      </c>
      <c r="G4871" t="s">
        <v>90</v>
      </c>
      <c r="H4871" t="s">
        <v>188</v>
      </c>
      <c r="I4871" t="s">
        <v>872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841</v>
      </c>
      <c r="D4872" t="s">
        <v>842</v>
      </c>
      <c r="E4872" t="s">
        <v>179</v>
      </c>
      <c r="F4872">
        <v>7</v>
      </c>
      <c r="G4872" t="s">
        <v>90</v>
      </c>
      <c r="H4872" t="s">
        <v>188</v>
      </c>
      <c r="I4872" t="s">
        <v>873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841</v>
      </c>
      <c r="D4873" t="s">
        <v>842</v>
      </c>
      <c r="E4873" t="s">
        <v>179</v>
      </c>
      <c r="F4873">
        <v>7</v>
      </c>
      <c r="G4873" t="s">
        <v>90</v>
      </c>
      <c r="H4873" t="s">
        <v>188</v>
      </c>
      <c r="I4873" t="s">
        <v>853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841</v>
      </c>
      <c r="D4874" t="s">
        <v>842</v>
      </c>
      <c r="E4874" t="s">
        <v>179</v>
      </c>
      <c r="F4874">
        <v>7</v>
      </c>
      <c r="G4874" t="s">
        <v>90</v>
      </c>
      <c r="H4874" t="s">
        <v>188</v>
      </c>
      <c r="I4874" t="s">
        <v>874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841</v>
      </c>
      <c r="D4875" t="s">
        <v>842</v>
      </c>
      <c r="E4875" t="s">
        <v>179</v>
      </c>
      <c r="F4875">
        <v>7</v>
      </c>
      <c r="G4875" t="s">
        <v>90</v>
      </c>
      <c r="H4875" t="s">
        <v>188</v>
      </c>
      <c r="I4875" t="s">
        <v>850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841</v>
      </c>
      <c r="D4876" t="s">
        <v>842</v>
      </c>
      <c r="E4876" t="s">
        <v>179</v>
      </c>
      <c r="F4876">
        <v>7</v>
      </c>
      <c r="G4876" t="s">
        <v>90</v>
      </c>
      <c r="H4876" t="s">
        <v>188</v>
      </c>
      <c r="I4876" t="s">
        <v>875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841</v>
      </c>
      <c r="D4877" t="s">
        <v>842</v>
      </c>
      <c r="E4877" t="s">
        <v>179</v>
      </c>
      <c r="F4877">
        <v>7</v>
      </c>
      <c r="G4877" t="s">
        <v>90</v>
      </c>
      <c r="H4877" t="s">
        <v>188</v>
      </c>
      <c r="I4877" t="s">
        <v>876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841</v>
      </c>
      <c r="D4878" t="s">
        <v>842</v>
      </c>
      <c r="E4878" t="s">
        <v>179</v>
      </c>
      <c r="F4878">
        <v>7</v>
      </c>
      <c r="G4878" t="s">
        <v>90</v>
      </c>
      <c r="H4878" t="s">
        <v>188</v>
      </c>
      <c r="I4878" t="s">
        <v>877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841</v>
      </c>
      <c r="D4879" t="s">
        <v>842</v>
      </c>
      <c r="E4879" t="s">
        <v>179</v>
      </c>
      <c r="F4879">
        <v>7</v>
      </c>
      <c r="G4879" t="s">
        <v>90</v>
      </c>
      <c r="H4879" t="s">
        <v>188</v>
      </c>
      <c r="I4879" t="s">
        <v>878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841</v>
      </c>
      <c r="D4880" t="s">
        <v>842</v>
      </c>
      <c r="E4880" t="s">
        <v>179</v>
      </c>
      <c r="F4880">
        <v>7</v>
      </c>
      <c r="G4880" t="s">
        <v>272</v>
      </c>
      <c r="H4880" t="s">
        <v>232</v>
      </c>
      <c r="I4880" t="s">
        <v>879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841</v>
      </c>
      <c r="D4881" t="s">
        <v>842</v>
      </c>
      <c r="E4881" t="s">
        <v>179</v>
      </c>
      <c r="F4881">
        <v>7</v>
      </c>
      <c r="G4881" t="s">
        <v>272</v>
      </c>
      <c r="H4881" t="s">
        <v>232</v>
      </c>
      <c r="I4881" t="s">
        <v>845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841</v>
      </c>
      <c r="D4882" t="s">
        <v>842</v>
      </c>
      <c r="E4882" t="s">
        <v>179</v>
      </c>
      <c r="F4882">
        <v>7</v>
      </c>
      <c r="G4882" t="s">
        <v>272</v>
      </c>
      <c r="H4882" t="s">
        <v>186</v>
      </c>
      <c r="I4882" t="s">
        <v>879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841</v>
      </c>
      <c r="D4883" t="s">
        <v>842</v>
      </c>
      <c r="E4883" t="s">
        <v>179</v>
      </c>
      <c r="F4883">
        <v>7</v>
      </c>
      <c r="G4883" t="s">
        <v>272</v>
      </c>
      <c r="H4883" t="s">
        <v>186</v>
      </c>
      <c r="I4883" t="s">
        <v>845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841</v>
      </c>
      <c r="D4884" t="s">
        <v>842</v>
      </c>
      <c r="E4884" t="s">
        <v>179</v>
      </c>
      <c r="F4884">
        <v>7</v>
      </c>
      <c r="G4884" t="s">
        <v>272</v>
      </c>
      <c r="H4884" t="s">
        <v>187</v>
      </c>
      <c r="I4884" t="s">
        <v>879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841</v>
      </c>
      <c r="D4885" t="s">
        <v>842</v>
      </c>
      <c r="E4885" t="s">
        <v>179</v>
      </c>
      <c r="F4885">
        <v>7</v>
      </c>
      <c r="G4885" t="s">
        <v>272</v>
      </c>
      <c r="H4885" t="s">
        <v>187</v>
      </c>
      <c r="I4885" t="s">
        <v>845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841</v>
      </c>
      <c r="D4886" t="s">
        <v>842</v>
      </c>
      <c r="E4886" t="s">
        <v>179</v>
      </c>
      <c r="F4886">
        <v>7</v>
      </c>
      <c r="G4886" t="s">
        <v>272</v>
      </c>
      <c r="H4886" t="s">
        <v>198</v>
      </c>
      <c r="I4886" t="s">
        <v>879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841</v>
      </c>
      <c r="D4887" t="s">
        <v>842</v>
      </c>
      <c r="E4887" t="s">
        <v>179</v>
      </c>
      <c r="F4887">
        <v>7</v>
      </c>
      <c r="G4887" t="s">
        <v>272</v>
      </c>
      <c r="H4887" t="s">
        <v>198</v>
      </c>
      <c r="I4887" t="s">
        <v>845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841</v>
      </c>
      <c r="D4888" t="s">
        <v>842</v>
      </c>
      <c r="E4888" t="s">
        <v>179</v>
      </c>
      <c r="F4888">
        <v>7</v>
      </c>
      <c r="G4888" t="s">
        <v>272</v>
      </c>
      <c r="H4888" t="s">
        <v>188</v>
      </c>
      <c r="I4888" t="s">
        <v>879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841</v>
      </c>
      <c r="D4889" t="s">
        <v>842</v>
      </c>
      <c r="E4889" t="s">
        <v>179</v>
      </c>
      <c r="F4889">
        <v>7</v>
      </c>
      <c r="G4889" t="s">
        <v>272</v>
      </c>
      <c r="H4889" t="s">
        <v>188</v>
      </c>
      <c r="I4889" t="s">
        <v>845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841</v>
      </c>
      <c r="D4890" t="s">
        <v>842</v>
      </c>
      <c r="E4890" t="s">
        <v>179</v>
      </c>
      <c r="F4890">
        <v>7</v>
      </c>
      <c r="G4890" t="s">
        <v>233</v>
      </c>
      <c r="H4890" t="s">
        <v>234</v>
      </c>
      <c r="I4890" t="s">
        <v>880</v>
      </c>
      <c r="J4890" t="s">
        <v>368</v>
      </c>
    </row>
    <row r="4891" spans="1:10" x14ac:dyDescent="0.25">
      <c r="A4891" s="1" t="s">
        <v>27</v>
      </c>
      <c r="B4891">
        <v>401752797</v>
      </c>
      <c r="C4891" t="s">
        <v>841</v>
      </c>
      <c r="D4891" t="s">
        <v>842</v>
      </c>
      <c r="E4891" t="s">
        <v>179</v>
      </c>
      <c r="F4891">
        <v>7</v>
      </c>
      <c r="G4891" t="s">
        <v>233</v>
      </c>
      <c r="H4891" t="s">
        <v>236</v>
      </c>
      <c r="I4891" t="s">
        <v>880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841</v>
      </c>
      <c r="D4892" t="s">
        <v>842</v>
      </c>
      <c r="E4892" t="s">
        <v>179</v>
      </c>
      <c r="F4892">
        <v>7</v>
      </c>
      <c r="G4892" t="s">
        <v>233</v>
      </c>
      <c r="H4892" t="s">
        <v>198</v>
      </c>
      <c r="I4892" t="s">
        <v>880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841</v>
      </c>
      <c r="D4893" t="s">
        <v>842</v>
      </c>
      <c r="E4893" t="s">
        <v>179</v>
      </c>
      <c r="F4893">
        <v>7</v>
      </c>
      <c r="G4893" t="s">
        <v>233</v>
      </c>
      <c r="H4893" t="s">
        <v>237</v>
      </c>
      <c r="I4893" t="s">
        <v>880</v>
      </c>
      <c r="J4893" s="73">
        <v>45658</v>
      </c>
    </row>
    <row r="4894" spans="1:10" x14ac:dyDescent="0.25">
      <c r="A4894" s="1" t="s">
        <v>27</v>
      </c>
      <c r="B4894">
        <v>401752797</v>
      </c>
      <c r="C4894" t="s">
        <v>841</v>
      </c>
      <c r="D4894" t="s">
        <v>842</v>
      </c>
      <c r="E4894" t="s">
        <v>179</v>
      </c>
      <c r="F4894">
        <v>7</v>
      </c>
      <c r="G4894" t="s">
        <v>233</v>
      </c>
      <c r="H4894" t="s">
        <v>238</v>
      </c>
      <c r="I4894" t="s">
        <v>880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841</v>
      </c>
      <c r="D4895" t="s">
        <v>842</v>
      </c>
      <c r="E4895" t="s">
        <v>179</v>
      </c>
      <c r="F4895">
        <v>7</v>
      </c>
      <c r="G4895" t="s">
        <v>239</v>
      </c>
      <c r="H4895" t="s">
        <v>232</v>
      </c>
      <c r="I4895" t="s">
        <v>881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841</v>
      </c>
      <c r="D4896" t="s">
        <v>842</v>
      </c>
      <c r="E4896" t="s">
        <v>179</v>
      </c>
      <c r="F4896">
        <v>7</v>
      </c>
      <c r="G4896" t="s">
        <v>239</v>
      </c>
      <c r="H4896" t="s">
        <v>186</v>
      </c>
      <c r="I4896" t="s">
        <v>881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841</v>
      </c>
      <c r="D4897" t="s">
        <v>842</v>
      </c>
      <c r="E4897" t="s">
        <v>179</v>
      </c>
      <c r="F4897">
        <v>7</v>
      </c>
      <c r="G4897" t="s">
        <v>239</v>
      </c>
      <c r="H4897" t="s">
        <v>187</v>
      </c>
      <c r="I4897" t="s">
        <v>881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841</v>
      </c>
      <c r="D4898" t="s">
        <v>842</v>
      </c>
      <c r="E4898" t="s">
        <v>179</v>
      </c>
      <c r="F4898">
        <v>7</v>
      </c>
      <c r="G4898" t="s">
        <v>239</v>
      </c>
      <c r="H4898" t="s">
        <v>241</v>
      </c>
      <c r="I4898" t="s">
        <v>881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841</v>
      </c>
      <c r="D4899" t="s">
        <v>842</v>
      </c>
      <c r="E4899" t="s">
        <v>179</v>
      </c>
      <c r="F4899">
        <v>7</v>
      </c>
      <c r="G4899" t="s">
        <v>239</v>
      </c>
      <c r="H4899" t="s">
        <v>242</v>
      </c>
      <c r="I4899" t="s">
        <v>881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841</v>
      </c>
      <c r="D4900" t="s">
        <v>842</v>
      </c>
      <c r="E4900" t="s">
        <v>179</v>
      </c>
      <c r="F4900">
        <v>7</v>
      </c>
      <c r="G4900" t="s">
        <v>239</v>
      </c>
      <c r="H4900" t="s">
        <v>198</v>
      </c>
      <c r="I4900" t="s">
        <v>881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162</v>
      </c>
      <c r="D4901" t="s">
        <v>243</v>
      </c>
      <c r="E4901" t="s">
        <v>89</v>
      </c>
      <c r="F4901">
        <v>31</v>
      </c>
      <c r="G4901" t="s">
        <v>180</v>
      </c>
      <c r="H4901" t="s">
        <v>181</v>
      </c>
      <c r="I4901" t="s">
        <v>882</v>
      </c>
      <c r="J4901" t="s">
        <v>370</v>
      </c>
    </row>
    <row r="4902" spans="1:10" x14ac:dyDescent="0.25">
      <c r="A4902" s="1" t="s">
        <v>27</v>
      </c>
      <c r="B4902">
        <v>401752801</v>
      </c>
      <c r="C4902" t="s">
        <v>162</v>
      </c>
      <c r="D4902" t="s">
        <v>243</v>
      </c>
      <c r="E4902" t="s">
        <v>89</v>
      </c>
      <c r="F4902">
        <v>31</v>
      </c>
      <c r="G4902" t="s">
        <v>180</v>
      </c>
      <c r="H4902" t="s">
        <v>181</v>
      </c>
      <c r="I4902" t="s">
        <v>883</v>
      </c>
      <c r="J4902" s="73">
        <v>45691</v>
      </c>
    </row>
    <row r="4903" spans="1:10" x14ac:dyDescent="0.25">
      <c r="A4903" s="1" t="s">
        <v>27</v>
      </c>
      <c r="B4903">
        <v>401752801</v>
      </c>
      <c r="C4903" t="s">
        <v>162</v>
      </c>
      <c r="D4903" t="s">
        <v>243</v>
      </c>
      <c r="E4903" t="s">
        <v>89</v>
      </c>
      <c r="F4903">
        <v>31</v>
      </c>
      <c r="G4903" t="s">
        <v>180</v>
      </c>
      <c r="H4903" t="s">
        <v>186</v>
      </c>
      <c r="I4903" t="s">
        <v>882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162</v>
      </c>
      <c r="D4904" t="s">
        <v>243</v>
      </c>
      <c r="E4904" t="s">
        <v>89</v>
      </c>
      <c r="F4904">
        <v>31</v>
      </c>
      <c r="G4904" t="s">
        <v>180</v>
      </c>
      <c r="H4904" t="s">
        <v>186</v>
      </c>
      <c r="I4904" t="s">
        <v>883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162</v>
      </c>
      <c r="D4905" t="s">
        <v>243</v>
      </c>
      <c r="E4905" t="s">
        <v>89</v>
      </c>
      <c r="F4905">
        <v>31</v>
      </c>
      <c r="G4905" t="s">
        <v>180</v>
      </c>
      <c r="H4905" t="s">
        <v>187</v>
      </c>
      <c r="I4905" t="s">
        <v>882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162</v>
      </c>
      <c r="D4906" t="s">
        <v>243</v>
      </c>
      <c r="E4906" t="s">
        <v>89</v>
      </c>
      <c r="F4906">
        <v>31</v>
      </c>
      <c r="G4906" t="s">
        <v>180</v>
      </c>
      <c r="H4906" t="s">
        <v>187</v>
      </c>
      <c r="I4906" t="s">
        <v>883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162</v>
      </c>
      <c r="D4907" t="s">
        <v>243</v>
      </c>
      <c r="E4907" t="s">
        <v>89</v>
      </c>
      <c r="F4907">
        <v>31</v>
      </c>
      <c r="G4907" t="s">
        <v>180</v>
      </c>
      <c r="H4907" t="s">
        <v>188</v>
      </c>
      <c r="I4907" t="s">
        <v>882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162</v>
      </c>
      <c r="D4908" t="s">
        <v>243</v>
      </c>
      <c r="E4908" t="s">
        <v>89</v>
      </c>
      <c r="F4908">
        <v>31</v>
      </c>
      <c r="G4908" t="s">
        <v>180</v>
      </c>
      <c r="H4908" t="s">
        <v>188</v>
      </c>
      <c r="I4908" t="s">
        <v>883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162</v>
      </c>
      <c r="D4909" t="s">
        <v>243</v>
      </c>
      <c r="E4909" t="s">
        <v>89</v>
      </c>
      <c r="F4909">
        <v>31</v>
      </c>
      <c r="G4909" t="s">
        <v>180</v>
      </c>
      <c r="H4909" t="s">
        <v>189</v>
      </c>
      <c r="I4909" t="s">
        <v>882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162</v>
      </c>
      <c r="D4910" t="s">
        <v>243</v>
      </c>
      <c r="E4910" t="s">
        <v>89</v>
      </c>
      <c r="F4910">
        <v>31</v>
      </c>
      <c r="G4910" t="s">
        <v>180</v>
      </c>
      <c r="H4910" t="s">
        <v>189</v>
      </c>
      <c r="I4910" t="s">
        <v>883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162</v>
      </c>
      <c r="D4911" t="s">
        <v>243</v>
      </c>
      <c r="E4911" t="s">
        <v>89</v>
      </c>
      <c r="F4911">
        <v>31</v>
      </c>
      <c r="G4911" t="s">
        <v>180</v>
      </c>
      <c r="H4911" t="s">
        <v>190</v>
      </c>
      <c r="I4911" t="s">
        <v>882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162</v>
      </c>
      <c r="D4912" t="s">
        <v>243</v>
      </c>
      <c r="E4912" t="s">
        <v>89</v>
      </c>
      <c r="F4912">
        <v>31</v>
      </c>
      <c r="G4912" t="s">
        <v>180</v>
      </c>
      <c r="H4912" t="s">
        <v>190</v>
      </c>
      <c r="I4912" t="s">
        <v>883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162</v>
      </c>
      <c r="D4913" t="s">
        <v>243</v>
      </c>
      <c r="E4913" t="s">
        <v>89</v>
      </c>
      <c r="F4913">
        <v>31</v>
      </c>
      <c r="G4913" t="s">
        <v>192</v>
      </c>
      <c r="H4913" t="s">
        <v>193</v>
      </c>
      <c r="I4913" t="s">
        <v>161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162</v>
      </c>
      <c r="D4914" t="s">
        <v>243</v>
      </c>
      <c r="E4914" t="s">
        <v>89</v>
      </c>
      <c r="F4914">
        <v>31</v>
      </c>
      <c r="G4914" t="s">
        <v>192</v>
      </c>
      <c r="H4914" t="s">
        <v>193</v>
      </c>
      <c r="I4914" t="s">
        <v>883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162</v>
      </c>
      <c r="D4915" t="s">
        <v>243</v>
      </c>
      <c r="E4915" t="s">
        <v>89</v>
      </c>
      <c r="F4915">
        <v>31</v>
      </c>
      <c r="G4915" t="s">
        <v>192</v>
      </c>
      <c r="H4915" t="s">
        <v>193</v>
      </c>
      <c r="I4915" t="s">
        <v>884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162</v>
      </c>
      <c r="D4916" t="s">
        <v>243</v>
      </c>
      <c r="E4916" t="s">
        <v>89</v>
      </c>
      <c r="F4916">
        <v>31</v>
      </c>
      <c r="G4916" t="s">
        <v>192</v>
      </c>
      <c r="H4916" t="s">
        <v>193</v>
      </c>
      <c r="I4916" t="s">
        <v>882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162</v>
      </c>
      <c r="D4917" t="s">
        <v>243</v>
      </c>
      <c r="E4917" t="s">
        <v>89</v>
      </c>
      <c r="F4917">
        <v>31</v>
      </c>
      <c r="G4917" t="s">
        <v>192</v>
      </c>
      <c r="H4917" t="s">
        <v>193</v>
      </c>
      <c r="I4917" t="s">
        <v>885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162</v>
      </c>
      <c r="D4918" t="s">
        <v>243</v>
      </c>
      <c r="E4918" t="s">
        <v>89</v>
      </c>
      <c r="F4918">
        <v>31</v>
      </c>
      <c r="G4918" t="s">
        <v>192</v>
      </c>
      <c r="H4918" t="s">
        <v>193</v>
      </c>
      <c r="I4918" t="s">
        <v>184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162</v>
      </c>
      <c r="D4919" t="s">
        <v>243</v>
      </c>
      <c r="E4919" t="s">
        <v>89</v>
      </c>
      <c r="F4919">
        <v>31</v>
      </c>
      <c r="G4919" t="s">
        <v>192</v>
      </c>
      <c r="H4919" t="s">
        <v>186</v>
      </c>
      <c r="I4919" t="s">
        <v>161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162</v>
      </c>
      <c r="D4920" t="s">
        <v>243</v>
      </c>
      <c r="E4920" t="s">
        <v>89</v>
      </c>
      <c r="F4920">
        <v>31</v>
      </c>
      <c r="G4920" t="s">
        <v>192</v>
      </c>
      <c r="H4920" t="s">
        <v>186</v>
      </c>
      <c r="I4920" t="s">
        <v>883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162</v>
      </c>
      <c r="D4921" t="s">
        <v>243</v>
      </c>
      <c r="E4921" t="s">
        <v>89</v>
      </c>
      <c r="F4921">
        <v>31</v>
      </c>
      <c r="G4921" t="s">
        <v>192</v>
      </c>
      <c r="H4921" t="s">
        <v>186</v>
      </c>
      <c r="I4921" t="s">
        <v>884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162</v>
      </c>
      <c r="D4922" t="s">
        <v>243</v>
      </c>
      <c r="E4922" t="s">
        <v>89</v>
      </c>
      <c r="F4922">
        <v>31</v>
      </c>
      <c r="G4922" t="s">
        <v>192</v>
      </c>
      <c r="H4922" t="s">
        <v>186</v>
      </c>
      <c r="I4922" t="s">
        <v>882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162</v>
      </c>
      <c r="D4923" t="s">
        <v>243</v>
      </c>
      <c r="E4923" t="s">
        <v>89</v>
      </c>
      <c r="F4923">
        <v>31</v>
      </c>
      <c r="G4923" t="s">
        <v>192</v>
      </c>
      <c r="H4923" t="s">
        <v>186</v>
      </c>
      <c r="I4923" t="s">
        <v>885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162</v>
      </c>
      <c r="D4924" t="s">
        <v>243</v>
      </c>
      <c r="E4924" t="s">
        <v>89</v>
      </c>
      <c r="F4924">
        <v>31</v>
      </c>
      <c r="G4924" t="s">
        <v>192</v>
      </c>
      <c r="H4924" t="s">
        <v>186</v>
      </c>
      <c r="I4924" t="s">
        <v>184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162</v>
      </c>
      <c r="D4925" t="s">
        <v>243</v>
      </c>
      <c r="E4925" t="s">
        <v>89</v>
      </c>
      <c r="F4925">
        <v>31</v>
      </c>
      <c r="G4925" t="s">
        <v>192</v>
      </c>
      <c r="H4925" t="s">
        <v>187</v>
      </c>
      <c r="I4925" t="s">
        <v>161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162</v>
      </c>
      <c r="D4926" t="s">
        <v>243</v>
      </c>
      <c r="E4926" t="s">
        <v>89</v>
      </c>
      <c r="F4926">
        <v>31</v>
      </c>
      <c r="G4926" t="s">
        <v>192</v>
      </c>
      <c r="H4926" t="s">
        <v>187</v>
      </c>
      <c r="I4926" t="s">
        <v>883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162</v>
      </c>
      <c r="D4927" t="s">
        <v>243</v>
      </c>
      <c r="E4927" t="s">
        <v>89</v>
      </c>
      <c r="F4927">
        <v>31</v>
      </c>
      <c r="G4927" t="s">
        <v>192</v>
      </c>
      <c r="H4927" t="s">
        <v>187</v>
      </c>
      <c r="I4927" t="s">
        <v>884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162</v>
      </c>
      <c r="D4928" t="s">
        <v>243</v>
      </c>
      <c r="E4928" t="s">
        <v>89</v>
      </c>
      <c r="F4928">
        <v>31</v>
      </c>
      <c r="G4928" t="s">
        <v>192</v>
      </c>
      <c r="H4928" t="s">
        <v>187</v>
      </c>
      <c r="I4928" t="s">
        <v>882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162</v>
      </c>
      <c r="D4929" t="s">
        <v>243</v>
      </c>
      <c r="E4929" t="s">
        <v>89</v>
      </c>
      <c r="F4929">
        <v>31</v>
      </c>
      <c r="G4929" t="s">
        <v>192</v>
      </c>
      <c r="H4929" t="s">
        <v>187</v>
      </c>
      <c r="I4929" t="s">
        <v>885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162</v>
      </c>
      <c r="D4930" t="s">
        <v>243</v>
      </c>
      <c r="E4930" t="s">
        <v>89</v>
      </c>
      <c r="F4930">
        <v>31</v>
      </c>
      <c r="G4930" t="s">
        <v>192</v>
      </c>
      <c r="H4930" t="s">
        <v>187</v>
      </c>
      <c r="I4930" t="s">
        <v>184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162</v>
      </c>
      <c r="D4931" t="s">
        <v>243</v>
      </c>
      <c r="E4931" t="s">
        <v>89</v>
      </c>
      <c r="F4931">
        <v>31</v>
      </c>
      <c r="G4931" t="s">
        <v>192</v>
      </c>
      <c r="H4931" t="s">
        <v>188</v>
      </c>
      <c r="I4931" t="s">
        <v>161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162</v>
      </c>
      <c r="D4932" t="s">
        <v>243</v>
      </c>
      <c r="E4932" t="s">
        <v>89</v>
      </c>
      <c r="F4932">
        <v>31</v>
      </c>
      <c r="G4932" t="s">
        <v>192</v>
      </c>
      <c r="H4932" t="s">
        <v>188</v>
      </c>
      <c r="I4932" t="s">
        <v>883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162</v>
      </c>
      <c r="D4933" t="s">
        <v>243</v>
      </c>
      <c r="E4933" t="s">
        <v>89</v>
      </c>
      <c r="F4933">
        <v>31</v>
      </c>
      <c r="G4933" t="s">
        <v>192</v>
      </c>
      <c r="H4933" t="s">
        <v>188</v>
      </c>
      <c r="I4933" t="s">
        <v>884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162</v>
      </c>
      <c r="D4934" t="s">
        <v>243</v>
      </c>
      <c r="E4934" t="s">
        <v>89</v>
      </c>
      <c r="F4934">
        <v>31</v>
      </c>
      <c r="G4934" t="s">
        <v>192</v>
      </c>
      <c r="H4934" t="s">
        <v>188</v>
      </c>
      <c r="I4934" t="s">
        <v>882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162</v>
      </c>
      <c r="D4935" t="s">
        <v>243</v>
      </c>
      <c r="E4935" t="s">
        <v>89</v>
      </c>
      <c r="F4935">
        <v>31</v>
      </c>
      <c r="G4935" t="s">
        <v>192</v>
      </c>
      <c r="H4935" t="s">
        <v>188</v>
      </c>
      <c r="I4935" t="s">
        <v>885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162</v>
      </c>
      <c r="D4936" t="s">
        <v>243</v>
      </c>
      <c r="E4936" t="s">
        <v>89</v>
      </c>
      <c r="F4936">
        <v>31</v>
      </c>
      <c r="G4936" t="s">
        <v>192</v>
      </c>
      <c r="H4936" t="s">
        <v>188</v>
      </c>
      <c r="I4936" t="s">
        <v>184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162</v>
      </c>
      <c r="D4937" t="s">
        <v>243</v>
      </c>
      <c r="E4937" t="s">
        <v>89</v>
      </c>
      <c r="F4937">
        <v>31</v>
      </c>
      <c r="G4937" t="s">
        <v>192</v>
      </c>
      <c r="H4937" t="s">
        <v>198</v>
      </c>
      <c r="I4937" t="s">
        <v>161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162</v>
      </c>
      <c r="D4938" t="s">
        <v>243</v>
      </c>
      <c r="E4938" t="s">
        <v>89</v>
      </c>
      <c r="F4938">
        <v>31</v>
      </c>
      <c r="G4938" t="s">
        <v>192</v>
      </c>
      <c r="H4938" t="s">
        <v>198</v>
      </c>
      <c r="I4938" t="s">
        <v>883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162</v>
      </c>
      <c r="D4939" t="s">
        <v>243</v>
      </c>
      <c r="E4939" t="s">
        <v>89</v>
      </c>
      <c r="F4939">
        <v>31</v>
      </c>
      <c r="G4939" t="s">
        <v>192</v>
      </c>
      <c r="H4939" t="s">
        <v>198</v>
      </c>
      <c r="I4939" t="s">
        <v>884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162</v>
      </c>
      <c r="D4940" t="s">
        <v>243</v>
      </c>
      <c r="E4940" t="s">
        <v>89</v>
      </c>
      <c r="F4940">
        <v>31</v>
      </c>
      <c r="G4940" t="s">
        <v>192</v>
      </c>
      <c r="H4940" t="s">
        <v>198</v>
      </c>
      <c r="I4940" t="s">
        <v>882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162</v>
      </c>
      <c r="D4941" t="s">
        <v>243</v>
      </c>
      <c r="E4941" t="s">
        <v>89</v>
      </c>
      <c r="F4941">
        <v>31</v>
      </c>
      <c r="G4941" t="s">
        <v>192</v>
      </c>
      <c r="H4941" t="s">
        <v>198</v>
      </c>
      <c r="I4941" t="s">
        <v>885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162</v>
      </c>
      <c r="D4942" t="s">
        <v>243</v>
      </c>
      <c r="E4942" t="s">
        <v>89</v>
      </c>
      <c r="F4942">
        <v>31</v>
      </c>
      <c r="G4942" t="s">
        <v>192</v>
      </c>
      <c r="H4942" t="s">
        <v>198</v>
      </c>
      <c r="I4942" t="s">
        <v>184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162</v>
      </c>
      <c r="D4943" t="s">
        <v>243</v>
      </c>
      <c r="E4943" t="s">
        <v>89</v>
      </c>
      <c r="F4943">
        <v>31</v>
      </c>
      <c r="G4943" t="s">
        <v>199</v>
      </c>
      <c r="H4943" t="s">
        <v>0</v>
      </c>
      <c r="I4943" t="s">
        <v>886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162</v>
      </c>
      <c r="D4944" t="s">
        <v>243</v>
      </c>
      <c r="E4944" t="s">
        <v>89</v>
      </c>
      <c r="F4944">
        <v>31</v>
      </c>
      <c r="G4944" t="s">
        <v>199</v>
      </c>
      <c r="H4944" t="s">
        <v>0</v>
      </c>
      <c r="I4944" t="s">
        <v>887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162</v>
      </c>
      <c r="D4945" t="s">
        <v>243</v>
      </c>
      <c r="E4945" t="s">
        <v>89</v>
      </c>
      <c r="F4945">
        <v>31</v>
      </c>
      <c r="G4945" t="s">
        <v>199</v>
      </c>
      <c r="H4945" t="s">
        <v>0</v>
      </c>
      <c r="I4945" t="s">
        <v>161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162</v>
      </c>
      <c r="D4946" t="s">
        <v>243</v>
      </c>
      <c r="E4946" t="s">
        <v>89</v>
      </c>
      <c r="F4946">
        <v>31</v>
      </c>
      <c r="G4946" t="s">
        <v>199</v>
      </c>
      <c r="H4946" t="s">
        <v>0</v>
      </c>
      <c r="I4946" t="s">
        <v>888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162</v>
      </c>
      <c r="D4947" t="s">
        <v>243</v>
      </c>
      <c r="E4947" t="s">
        <v>89</v>
      </c>
      <c r="F4947">
        <v>31</v>
      </c>
      <c r="G4947" t="s">
        <v>199</v>
      </c>
      <c r="H4947" t="s">
        <v>0</v>
      </c>
      <c r="I4947" t="s">
        <v>889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162</v>
      </c>
      <c r="D4948" t="s">
        <v>243</v>
      </c>
      <c r="E4948" t="s">
        <v>89</v>
      </c>
      <c r="F4948">
        <v>31</v>
      </c>
      <c r="G4948" t="s">
        <v>199</v>
      </c>
      <c r="H4948" t="s">
        <v>0</v>
      </c>
      <c r="I4948" t="s">
        <v>591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162</v>
      </c>
      <c r="D4949" t="s">
        <v>243</v>
      </c>
      <c r="E4949" t="s">
        <v>89</v>
      </c>
      <c r="F4949">
        <v>31</v>
      </c>
      <c r="G4949" t="s">
        <v>199</v>
      </c>
      <c r="H4949" t="s">
        <v>0</v>
      </c>
      <c r="I4949" t="s">
        <v>884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162</v>
      </c>
      <c r="D4950" t="s">
        <v>243</v>
      </c>
      <c r="E4950" t="s">
        <v>89</v>
      </c>
      <c r="F4950">
        <v>31</v>
      </c>
      <c r="G4950" t="s">
        <v>199</v>
      </c>
      <c r="H4950" t="s">
        <v>186</v>
      </c>
      <c r="I4950" t="s">
        <v>886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162</v>
      </c>
      <c r="D4951" t="s">
        <v>243</v>
      </c>
      <c r="E4951" t="s">
        <v>89</v>
      </c>
      <c r="F4951">
        <v>31</v>
      </c>
      <c r="G4951" t="s">
        <v>199</v>
      </c>
      <c r="H4951" t="s">
        <v>186</v>
      </c>
      <c r="I4951" t="s">
        <v>887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162</v>
      </c>
      <c r="D4952" t="s">
        <v>243</v>
      </c>
      <c r="E4952" t="s">
        <v>89</v>
      </c>
      <c r="F4952">
        <v>31</v>
      </c>
      <c r="G4952" t="s">
        <v>199</v>
      </c>
      <c r="H4952" t="s">
        <v>186</v>
      </c>
      <c r="I4952" t="s">
        <v>161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162</v>
      </c>
      <c r="D4953" t="s">
        <v>243</v>
      </c>
      <c r="E4953" t="s">
        <v>89</v>
      </c>
      <c r="F4953">
        <v>31</v>
      </c>
      <c r="G4953" t="s">
        <v>199</v>
      </c>
      <c r="H4953" t="s">
        <v>186</v>
      </c>
      <c r="I4953" t="s">
        <v>888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162</v>
      </c>
      <c r="D4954" t="s">
        <v>243</v>
      </c>
      <c r="E4954" t="s">
        <v>89</v>
      </c>
      <c r="F4954">
        <v>31</v>
      </c>
      <c r="G4954" t="s">
        <v>199</v>
      </c>
      <c r="H4954" t="s">
        <v>186</v>
      </c>
      <c r="I4954" t="s">
        <v>889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162</v>
      </c>
      <c r="D4955" t="s">
        <v>243</v>
      </c>
      <c r="E4955" t="s">
        <v>89</v>
      </c>
      <c r="F4955">
        <v>31</v>
      </c>
      <c r="G4955" t="s">
        <v>199</v>
      </c>
      <c r="H4955" t="s">
        <v>186</v>
      </c>
      <c r="I4955" t="s">
        <v>591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162</v>
      </c>
      <c r="D4956" t="s">
        <v>243</v>
      </c>
      <c r="E4956" t="s">
        <v>89</v>
      </c>
      <c r="F4956">
        <v>31</v>
      </c>
      <c r="G4956" t="s">
        <v>199</v>
      </c>
      <c r="H4956" t="s">
        <v>186</v>
      </c>
      <c r="I4956" t="s">
        <v>884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162</v>
      </c>
      <c r="D4957" t="s">
        <v>243</v>
      </c>
      <c r="E4957" t="s">
        <v>89</v>
      </c>
      <c r="F4957">
        <v>31</v>
      </c>
      <c r="G4957" t="s">
        <v>199</v>
      </c>
      <c r="H4957" t="s">
        <v>187</v>
      </c>
      <c r="I4957" t="s">
        <v>886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162</v>
      </c>
      <c r="D4958" t="s">
        <v>243</v>
      </c>
      <c r="E4958" t="s">
        <v>89</v>
      </c>
      <c r="F4958">
        <v>31</v>
      </c>
      <c r="G4958" t="s">
        <v>199</v>
      </c>
      <c r="H4958" t="s">
        <v>187</v>
      </c>
      <c r="I4958" t="s">
        <v>887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162</v>
      </c>
      <c r="D4959" t="s">
        <v>243</v>
      </c>
      <c r="E4959" t="s">
        <v>89</v>
      </c>
      <c r="F4959">
        <v>31</v>
      </c>
      <c r="G4959" t="s">
        <v>199</v>
      </c>
      <c r="H4959" t="s">
        <v>187</v>
      </c>
      <c r="I4959" t="s">
        <v>161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162</v>
      </c>
      <c r="D4960" t="s">
        <v>243</v>
      </c>
      <c r="E4960" t="s">
        <v>89</v>
      </c>
      <c r="F4960">
        <v>31</v>
      </c>
      <c r="G4960" t="s">
        <v>199</v>
      </c>
      <c r="H4960" t="s">
        <v>187</v>
      </c>
      <c r="I4960" t="s">
        <v>888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162</v>
      </c>
      <c r="D4961" t="s">
        <v>243</v>
      </c>
      <c r="E4961" t="s">
        <v>89</v>
      </c>
      <c r="F4961">
        <v>31</v>
      </c>
      <c r="G4961" t="s">
        <v>199</v>
      </c>
      <c r="H4961" t="s">
        <v>187</v>
      </c>
      <c r="I4961" t="s">
        <v>889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162</v>
      </c>
      <c r="D4962" t="s">
        <v>243</v>
      </c>
      <c r="E4962" t="s">
        <v>89</v>
      </c>
      <c r="F4962">
        <v>31</v>
      </c>
      <c r="G4962" t="s">
        <v>199</v>
      </c>
      <c r="H4962" t="s">
        <v>187</v>
      </c>
      <c r="I4962" t="s">
        <v>591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162</v>
      </c>
      <c r="D4963" t="s">
        <v>243</v>
      </c>
      <c r="E4963" t="s">
        <v>89</v>
      </c>
      <c r="F4963">
        <v>31</v>
      </c>
      <c r="G4963" t="s">
        <v>199</v>
      </c>
      <c r="H4963" t="s">
        <v>187</v>
      </c>
      <c r="I4963" t="s">
        <v>884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162</v>
      </c>
      <c r="D4964" t="s">
        <v>243</v>
      </c>
      <c r="E4964" t="s">
        <v>89</v>
      </c>
      <c r="F4964">
        <v>31</v>
      </c>
      <c r="G4964" t="s">
        <v>199</v>
      </c>
      <c r="H4964" t="s">
        <v>188</v>
      </c>
      <c r="I4964" t="s">
        <v>886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162</v>
      </c>
      <c r="D4965" t="s">
        <v>243</v>
      </c>
      <c r="E4965" t="s">
        <v>89</v>
      </c>
      <c r="F4965">
        <v>31</v>
      </c>
      <c r="G4965" t="s">
        <v>199</v>
      </c>
      <c r="H4965" t="s">
        <v>188</v>
      </c>
      <c r="I4965" t="s">
        <v>887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162</v>
      </c>
      <c r="D4966" t="s">
        <v>243</v>
      </c>
      <c r="E4966" t="s">
        <v>89</v>
      </c>
      <c r="F4966">
        <v>31</v>
      </c>
      <c r="G4966" t="s">
        <v>199</v>
      </c>
      <c r="H4966" t="s">
        <v>188</v>
      </c>
      <c r="I4966" t="s">
        <v>161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162</v>
      </c>
      <c r="D4967" t="s">
        <v>243</v>
      </c>
      <c r="E4967" t="s">
        <v>89</v>
      </c>
      <c r="F4967">
        <v>31</v>
      </c>
      <c r="G4967" t="s">
        <v>199</v>
      </c>
      <c r="H4967" t="s">
        <v>188</v>
      </c>
      <c r="I4967" t="s">
        <v>888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162</v>
      </c>
      <c r="D4968" t="s">
        <v>243</v>
      </c>
      <c r="E4968" t="s">
        <v>89</v>
      </c>
      <c r="F4968">
        <v>31</v>
      </c>
      <c r="G4968" t="s">
        <v>199</v>
      </c>
      <c r="H4968" t="s">
        <v>188</v>
      </c>
      <c r="I4968" t="s">
        <v>889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162</v>
      </c>
      <c r="D4969" t="s">
        <v>243</v>
      </c>
      <c r="E4969" t="s">
        <v>89</v>
      </c>
      <c r="F4969">
        <v>31</v>
      </c>
      <c r="G4969" t="s">
        <v>199</v>
      </c>
      <c r="H4969" t="s">
        <v>188</v>
      </c>
      <c r="I4969" t="s">
        <v>591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162</v>
      </c>
      <c r="D4970" t="s">
        <v>243</v>
      </c>
      <c r="E4970" t="s">
        <v>89</v>
      </c>
      <c r="F4970">
        <v>31</v>
      </c>
      <c r="G4970" t="s">
        <v>199</v>
      </c>
      <c r="H4970" t="s">
        <v>188</v>
      </c>
      <c r="I4970" t="s">
        <v>884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162</v>
      </c>
      <c r="D4971" t="s">
        <v>243</v>
      </c>
      <c r="E4971" t="s">
        <v>89</v>
      </c>
      <c r="F4971">
        <v>31</v>
      </c>
      <c r="G4971" t="s">
        <v>199</v>
      </c>
      <c r="H4971" t="s">
        <v>198</v>
      </c>
      <c r="I4971" t="s">
        <v>886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162</v>
      </c>
      <c r="D4972" t="s">
        <v>243</v>
      </c>
      <c r="E4972" t="s">
        <v>89</v>
      </c>
      <c r="F4972">
        <v>31</v>
      </c>
      <c r="G4972" t="s">
        <v>199</v>
      </c>
      <c r="H4972" t="s">
        <v>198</v>
      </c>
      <c r="I4972" t="s">
        <v>887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162</v>
      </c>
      <c r="D4973" t="s">
        <v>243</v>
      </c>
      <c r="E4973" t="s">
        <v>89</v>
      </c>
      <c r="F4973">
        <v>31</v>
      </c>
      <c r="G4973" t="s">
        <v>199</v>
      </c>
      <c r="H4973" t="s">
        <v>198</v>
      </c>
      <c r="I4973" t="s">
        <v>161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162</v>
      </c>
      <c r="D4974" t="s">
        <v>243</v>
      </c>
      <c r="E4974" t="s">
        <v>89</v>
      </c>
      <c r="F4974">
        <v>31</v>
      </c>
      <c r="G4974" t="s">
        <v>199</v>
      </c>
      <c r="H4974" t="s">
        <v>198</v>
      </c>
      <c r="I4974" t="s">
        <v>888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162</v>
      </c>
      <c r="D4975" t="s">
        <v>243</v>
      </c>
      <c r="E4975" t="s">
        <v>89</v>
      </c>
      <c r="F4975">
        <v>31</v>
      </c>
      <c r="G4975" t="s">
        <v>199</v>
      </c>
      <c r="H4975" t="s">
        <v>198</v>
      </c>
      <c r="I4975" t="s">
        <v>889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162</v>
      </c>
      <c r="D4976" t="s">
        <v>243</v>
      </c>
      <c r="E4976" t="s">
        <v>89</v>
      </c>
      <c r="F4976">
        <v>31</v>
      </c>
      <c r="G4976" t="s">
        <v>199</v>
      </c>
      <c r="H4976" t="s">
        <v>198</v>
      </c>
      <c r="I4976" t="s">
        <v>591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162</v>
      </c>
      <c r="D4977" t="s">
        <v>243</v>
      </c>
      <c r="E4977" t="s">
        <v>89</v>
      </c>
      <c r="F4977">
        <v>31</v>
      </c>
      <c r="G4977" t="s">
        <v>199</v>
      </c>
      <c r="H4977" t="s">
        <v>198</v>
      </c>
      <c r="I4977" t="s">
        <v>884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162</v>
      </c>
      <c r="D4978" t="s">
        <v>243</v>
      </c>
      <c r="E4978" t="s">
        <v>89</v>
      </c>
      <c r="F4978">
        <v>31</v>
      </c>
      <c r="G4978" t="s">
        <v>203</v>
      </c>
      <c r="H4978" t="s">
        <v>204</v>
      </c>
      <c r="I4978" t="s">
        <v>161</v>
      </c>
      <c r="J4978">
        <v>1</v>
      </c>
    </row>
    <row r="4979" spans="1:10" x14ac:dyDescent="0.25">
      <c r="A4979" s="1" t="s">
        <v>27</v>
      </c>
      <c r="B4979">
        <v>401752801</v>
      </c>
      <c r="C4979" t="s">
        <v>162</v>
      </c>
      <c r="D4979" t="s">
        <v>243</v>
      </c>
      <c r="E4979" t="s">
        <v>89</v>
      </c>
      <c r="F4979">
        <v>31</v>
      </c>
      <c r="G4979" t="s">
        <v>203</v>
      </c>
      <c r="H4979" t="s">
        <v>205</v>
      </c>
      <c r="I4979" t="s">
        <v>161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162</v>
      </c>
      <c r="D4980" t="s">
        <v>243</v>
      </c>
      <c r="E4980" t="s">
        <v>89</v>
      </c>
      <c r="F4980">
        <v>31</v>
      </c>
      <c r="G4980" t="s">
        <v>203</v>
      </c>
      <c r="H4980" t="s">
        <v>0</v>
      </c>
      <c r="I4980" t="s">
        <v>161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162</v>
      </c>
      <c r="D4981" t="s">
        <v>243</v>
      </c>
      <c r="E4981" t="s">
        <v>89</v>
      </c>
      <c r="F4981">
        <v>31</v>
      </c>
      <c r="G4981" t="s">
        <v>90</v>
      </c>
      <c r="H4981" t="s">
        <v>206</v>
      </c>
      <c r="I4981" t="s">
        <v>890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162</v>
      </c>
      <c r="D4982" t="s">
        <v>243</v>
      </c>
      <c r="E4982" t="s">
        <v>89</v>
      </c>
      <c r="F4982">
        <v>31</v>
      </c>
      <c r="G4982" t="s">
        <v>90</v>
      </c>
      <c r="H4982" t="s">
        <v>206</v>
      </c>
      <c r="I4982" t="s">
        <v>891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162</v>
      </c>
      <c r="D4983" t="s">
        <v>243</v>
      </c>
      <c r="E4983" t="s">
        <v>89</v>
      </c>
      <c r="F4983">
        <v>31</v>
      </c>
      <c r="G4983" t="s">
        <v>90</v>
      </c>
      <c r="H4983" t="s">
        <v>206</v>
      </c>
      <c r="I4983" t="s">
        <v>892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162</v>
      </c>
      <c r="D4984" t="s">
        <v>243</v>
      </c>
      <c r="E4984" t="s">
        <v>89</v>
      </c>
      <c r="F4984">
        <v>31</v>
      </c>
      <c r="G4984" t="s">
        <v>90</v>
      </c>
      <c r="H4984" t="s">
        <v>206</v>
      </c>
      <c r="I4984" t="s">
        <v>893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162</v>
      </c>
      <c r="D4985" t="s">
        <v>243</v>
      </c>
      <c r="E4985" t="s">
        <v>89</v>
      </c>
      <c r="F4985">
        <v>31</v>
      </c>
      <c r="G4985" t="s">
        <v>90</v>
      </c>
      <c r="H4985" t="s">
        <v>206</v>
      </c>
      <c r="I4985" t="s">
        <v>894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162</v>
      </c>
      <c r="D4986" t="s">
        <v>243</v>
      </c>
      <c r="E4986" t="s">
        <v>89</v>
      </c>
      <c r="F4986">
        <v>31</v>
      </c>
      <c r="G4986" t="s">
        <v>90</v>
      </c>
      <c r="H4986" t="s">
        <v>206</v>
      </c>
      <c r="I4986" t="s">
        <v>895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162</v>
      </c>
      <c r="D4987" t="s">
        <v>243</v>
      </c>
      <c r="E4987" t="s">
        <v>89</v>
      </c>
      <c r="F4987">
        <v>31</v>
      </c>
      <c r="G4987" t="s">
        <v>90</v>
      </c>
      <c r="H4987" t="s">
        <v>206</v>
      </c>
      <c r="I4987" t="s">
        <v>896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162</v>
      </c>
      <c r="D4988" t="s">
        <v>243</v>
      </c>
      <c r="E4988" t="s">
        <v>89</v>
      </c>
      <c r="F4988">
        <v>31</v>
      </c>
      <c r="G4988" t="s">
        <v>90</v>
      </c>
      <c r="H4988" t="s">
        <v>206</v>
      </c>
      <c r="I4988" t="s">
        <v>897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162</v>
      </c>
      <c r="D4989" t="s">
        <v>243</v>
      </c>
      <c r="E4989" t="s">
        <v>89</v>
      </c>
      <c r="F4989">
        <v>31</v>
      </c>
      <c r="G4989" t="s">
        <v>90</v>
      </c>
      <c r="H4989" t="s">
        <v>206</v>
      </c>
      <c r="I4989" t="s">
        <v>898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162</v>
      </c>
      <c r="D4990" t="s">
        <v>243</v>
      </c>
      <c r="E4990" t="s">
        <v>89</v>
      </c>
      <c r="F4990">
        <v>31</v>
      </c>
      <c r="G4990" t="s">
        <v>90</v>
      </c>
      <c r="H4990" t="s">
        <v>206</v>
      </c>
      <c r="I4990" t="s">
        <v>899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162</v>
      </c>
      <c r="D4991" t="s">
        <v>243</v>
      </c>
      <c r="E4991" t="s">
        <v>89</v>
      </c>
      <c r="F4991">
        <v>31</v>
      </c>
      <c r="G4991" t="s">
        <v>90</v>
      </c>
      <c r="H4991" t="s">
        <v>206</v>
      </c>
      <c r="I4991" t="s">
        <v>900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162</v>
      </c>
      <c r="D4992" t="s">
        <v>243</v>
      </c>
      <c r="E4992" t="s">
        <v>89</v>
      </c>
      <c r="F4992">
        <v>31</v>
      </c>
      <c r="G4992" t="s">
        <v>90</v>
      </c>
      <c r="H4992" t="s">
        <v>206</v>
      </c>
      <c r="I4992" t="s">
        <v>901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162</v>
      </c>
      <c r="D4993" t="s">
        <v>243</v>
      </c>
      <c r="E4993" t="s">
        <v>89</v>
      </c>
      <c r="F4993">
        <v>31</v>
      </c>
      <c r="G4993" t="s">
        <v>90</v>
      </c>
      <c r="H4993" t="s">
        <v>206</v>
      </c>
      <c r="I4993" t="s">
        <v>902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162</v>
      </c>
      <c r="D4994" t="s">
        <v>243</v>
      </c>
      <c r="E4994" t="s">
        <v>89</v>
      </c>
      <c r="F4994">
        <v>31</v>
      </c>
      <c r="G4994" t="s">
        <v>90</v>
      </c>
      <c r="H4994" t="s">
        <v>206</v>
      </c>
      <c r="I4994" t="s">
        <v>903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162</v>
      </c>
      <c r="D4995" t="s">
        <v>243</v>
      </c>
      <c r="E4995" t="s">
        <v>89</v>
      </c>
      <c r="F4995">
        <v>31</v>
      </c>
      <c r="G4995" t="s">
        <v>90</v>
      </c>
      <c r="H4995" t="s">
        <v>206</v>
      </c>
      <c r="I4995" t="s">
        <v>904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162</v>
      </c>
      <c r="D4996" t="s">
        <v>243</v>
      </c>
      <c r="E4996" t="s">
        <v>89</v>
      </c>
      <c r="F4996">
        <v>31</v>
      </c>
      <c r="G4996" t="s">
        <v>90</v>
      </c>
      <c r="H4996" t="s">
        <v>206</v>
      </c>
      <c r="I4996" t="s">
        <v>905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162</v>
      </c>
      <c r="D4997" t="s">
        <v>243</v>
      </c>
      <c r="E4997" t="s">
        <v>89</v>
      </c>
      <c r="F4997">
        <v>31</v>
      </c>
      <c r="G4997" t="s">
        <v>90</v>
      </c>
      <c r="H4997" t="s">
        <v>206</v>
      </c>
      <c r="I4997" t="s">
        <v>906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162</v>
      </c>
      <c r="D4998" t="s">
        <v>243</v>
      </c>
      <c r="E4998" t="s">
        <v>89</v>
      </c>
      <c r="F4998">
        <v>31</v>
      </c>
      <c r="G4998" t="s">
        <v>90</v>
      </c>
      <c r="H4998" t="s">
        <v>206</v>
      </c>
      <c r="I4998" t="s">
        <v>907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162</v>
      </c>
      <c r="D4999" t="s">
        <v>243</v>
      </c>
      <c r="E4999" t="s">
        <v>89</v>
      </c>
      <c r="F4999">
        <v>31</v>
      </c>
      <c r="G4999" t="s">
        <v>90</v>
      </c>
      <c r="H4999" t="s">
        <v>206</v>
      </c>
      <c r="I4999" t="s">
        <v>908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162</v>
      </c>
      <c r="D5000" t="s">
        <v>243</v>
      </c>
      <c r="E5000" t="s">
        <v>89</v>
      </c>
      <c r="F5000">
        <v>31</v>
      </c>
      <c r="G5000" t="s">
        <v>90</v>
      </c>
      <c r="H5000" t="s">
        <v>206</v>
      </c>
      <c r="I5000" t="s">
        <v>909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162</v>
      </c>
      <c r="D5001" t="s">
        <v>243</v>
      </c>
      <c r="E5001" t="s">
        <v>89</v>
      </c>
      <c r="F5001">
        <v>31</v>
      </c>
      <c r="G5001" t="s">
        <v>90</v>
      </c>
      <c r="H5001" t="s">
        <v>206</v>
      </c>
      <c r="I5001" t="s">
        <v>910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162</v>
      </c>
      <c r="D5002" t="s">
        <v>243</v>
      </c>
      <c r="E5002" t="s">
        <v>89</v>
      </c>
      <c r="F5002">
        <v>31</v>
      </c>
      <c r="G5002" t="s">
        <v>90</v>
      </c>
      <c r="H5002" t="s">
        <v>206</v>
      </c>
      <c r="I5002" t="s">
        <v>911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162</v>
      </c>
      <c r="D5003" t="s">
        <v>243</v>
      </c>
      <c r="E5003" t="s">
        <v>89</v>
      </c>
      <c r="F5003">
        <v>31</v>
      </c>
      <c r="G5003" t="s">
        <v>90</v>
      </c>
      <c r="H5003" t="s">
        <v>227</v>
      </c>
      <c r="I5003" t="s">
        <v>890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162</v>
      </c>
      <c r="D5004" t="s">
        <v>243</v>
      </c>
      <c r="E5004" t="s">
        <v>89</v>
      </c>
      <c r="F5004">
        <v>31</v>
      </c>
      <c r="G5004" t="s">
        <v>90</v>
      </c>
      <c r="H5004" t="s">
        <v>227</v>
      </c>
      <c r="I5004" t="s">
        <v>891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162</v>
      </c>
      <c r="D5005" t="s">
        <v>243</v>
      </c>
      <c r="E5005" t="s">
        <v>89</v>
      </c>
      <c r="F5005">
        <v>31</v>
      </c>
      <c r="G5005" t="s">
        <v>90</v>
      </c>
      <c r="H5005" t="s">
        <v>227</v>
      </c>
      <c r="I5005" t="s">
        <v>892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162</v>
      </c>
      <c r="D5006" t="s">
        <v>243</v>
      </c>
      <c r="E5006" t="s">
        <v>89</v>
      </c>
      <c r="F5006">
        <v>31</v>
      </c>
      <c r="G5006" t="s">
        <v>90</v>
      </c>
      <c r="H5006" t="s">
        <v>227</v>
      </c>
      <c r="I5006" t="s">
        <v>893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162</v>
      </c>
      <c r="D5007" t="s">
        <v>243</v>
      </c>
      <c r="E5007" t="s">
        <v>89</v>
      </c>
      <c r="F5007">
        <v>31</v>
      </c>
      <c r="G5007" t="s">
        <v>90</v>
      </c>
      <c r="H5007" t="s">
        <v>227</v>
      </c>
      <c r="I5007" t="s">
        <v>894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162</v>
      </c>
      <c r="D5008" t="s">
        <v>243</v>
      </c>
      <c r="E5008" t="s">
        <v>89</v>
      </c>
      <c r="F5008">
        <v>31</v>
      </c>
      <c r="G5008" t="s">
        <v>90</v>
      </c>
      <c r="H5008" t="s">
        <v>227</v>
      </c>
      <c r="I5008" t="s">
        <v>895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162</v>
      </c>
      <c r="D5009" t="s">
        <v>243</v>
      </c>
      <c r="E5009" t="s">
        <v>89</v>
      </c>
      <c r="F5009">
        <v>31</v>
      </c>
      <c r="G5009" t="s">
        <v>90</v>
      </c>
      <c r="H5009" t="s">
        <v>227</v>
      </c>
      <c r="I5009" t="s">
        <v>896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162</v>
      </c>
      <c r="D5010" t="s">
        <v>243</v>
      </c>
      <c r="E5010" t="s">
        <v>89</v>
      </c>
      <c r="F5010">
        <v>31</v>
      </c>
      <c r="G5010" t="s">
        <v>90</v>
      </c>
      <c r="H5010" t="s">
        <v>227</v>
      </c>
      <c r="I5010" t="s">
        <v>897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162</v>
      </c>
      <c r="D5011" t="s">
        <v>243</v>
      </c>
      <c r="E5011" t="s">
        <v>89</v>
      </c>
      <c r="F5011">
        <v>31</v>
      </c>
      <c r="G5011" t="s">
        <v>90</v>
      </c>
      <c r="H5011" t="s">
        <v>227</v>
      </c>
      <c r="I5011" t="s">
        <v>898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162</v>
      </c>
      <c r="D5012" t="s">
        <v>243</v>
      </c>
      <c r="E5012" t="s">
        <v>89</v>
      </c>
      <c r="F5012">
        <v>31</v>
      </c>
      <c r="G5012" t="s">
        <v>90</v>
      </c>
      <c r="H5012" t="s">
        <v>227</v>
      </c>
      <c r="I5012" t="s">
        <v>899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162</v>
      </c>
      <c r="D5013" t="s">
        <v>243</v>
      </c>
      <c r="E5013" t="s">
        <v>89</v>
      </c>
      <c r="F5013">
        <v>31</v>
      </c>
      <c r="G5013" t="s">
        <v>90</v>
      </c>
      <c r="H5013" t="s">
        <v>227</v>
      </c>
      <c r="I5013" t="s">
        <v>900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162</v>
      </c>
      <c r="D5014" t="s">
        <v>243</v>
      </c>
      <c r="E5014" t="s">
        <v>89</v>
      </c>
      <c r="F5014">
        <v>31</v>
      </c>
      <c r="G5014" t="s">
        <v>90</v>
      </c>
      <c r="H5014" t="s">
        <v>227</v>
      </c>
      <c r="I5014" t="s">
        <v>901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162</v>
      </c>
      <c r="D5015" t="s">
        <v>243</v>
      </c>
      <c r="E5015" t="s">
        <v>89</v>
      </c>
      <c r="F5015">
        <v>31</v>
      </c>
      <c r="G5015" t="s">
        <v>90</v>
      </c>
      <c r="H5015" t="s">
        <v>227</v>
      </c>
      <c r="I5015" t="s">
        <v>902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162</v>
      </c>
      <c r="D5016" t="s">
        <v>243</v>
      </c>
      <c r="E5016" t="s">
        <v>89</v>
      </c>
      <c r="F5016">
        <v>31</v>
      </c>
      <c r="G5016" t="s">
        <v>90</v>
      </c>
      <c r="H5016" t="s">
        <v>227</v>
      </c>
      <c r="I5016" t="s">
        <v>903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162</v>
      </c>
      <c r="D5017" t="s">
        <v>243</v>
      </c>
      <c r="E5017" t="s">
        <v>89</v>
      </c>
      <c r="F5017">
        <v>31</v>
      </c>
      <c r="G5017" t="s">
        <v>90</v>
      </c>
      <c r="H5017" t="s">
        <v>227</v>
      </c>
      <c r="I5017" t="s">
        <v>904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162</v>
      </c>
      <c r="D5018" t="s">
        <v>243</v>
      </c>
      <c r="E5018" t="s">
        <v>89</v>
      </c>
      <c r="F5018">
        <v>31</v>
      </c>
      <c r="G5018" t="s">
        <v>90</v>
      </c>
      <c r="H5018" t="s">
        <v>227</v>
      </c>
      <c r="I5018" t="s">
        <v>905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162</v>
      </c>
      <c r="D5019" t="s">
        <v>243</v>
      </c>
      <c r="E5019" t="s">
        <v>89</v>
      </c>
      <c r="F5019">
        <v>31</v>
      </c>
      <c r="G5019" t="s">
        <v>90</v>
      </c>
      <c r="H5019" t="s">
        <v>227</v>
      </c>
      <c r="I5019" t="s">
        <v>906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162</v>
      </c>
      <c r="D5020" t="s">
        <v>243</v>
      </c>
      <c r="E5020" t="s">
        <v>89</v>
      </c>
      <c r="F5020">
        <v>31</v>
      </c>
      <c r="G5020" t="s">
        <v>90</v>
      </c>
      <c r="H5020" t="s">
        <v>227</v>
      </c>
      <c r="I5020" t="s">
        <v>907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162</v>
      </c>
      <c r="D5021" t="s">
        <v>243</v>
      </c>
      <c r="E5021" t="s">
        <v>89</v>
      </c>
      <c r="F5021">
        <v>31</v>
      </c>
      <c r="G5021" t="s">
        <v>90</v>
      </c>
      <c r="H5021" t="s">
        <v>227</v>
      </c>
      <c r="I5021" t="s">
        <v>908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162</v>
      </c>
      <c r="D5022" t="s">
        <v>243</v>
      </c>
      <c r="E5022" t="s">
        <v>89</v>
      </c>
      <c r="F5022">
        <v>31</v>
      </c>
      <c r="G5022" t="s">
        <v>90</v>
      </c>
      <c r="H5022" t="s">
        <v>227</v>
      </c>
      <c r="I5022" t="s">
        <v>909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162</v>
      </c>
      <c r="D5023" t="s">
        <v>243</v>
      </c>
      <c r="E5023" t="s">
        <v>89</v>
      </c>
      <c r="F5023">
        <v>31</v>
      </c>
      <c r="G5023" t="s">
        <v>90</v>
      </c>
      <c r="H5023" t="s">
        <v>227</v>
      </c>
      <c r="I5023" t="s">
        <v>910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162</v>
      </c>
      <c r="D5024" t="s">
        <v>243</v>
      </c>
      <c r="E5024" t="s">
        <v>89</v>
      </c>
      <c r="F5024">
        <v>31</v>
      </c>
      <c r="G5024" t="s">
        <v>90</v>
      </c>
      <c r="H5024" t="s">
        <v>227</v>
      </c>
      <c r="I5024" t="s">
        <v>911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162</v>
      </c>
      <c r="D5025" t="s">
        <v>243</v>
      </c>
      <c r="E5025" t="s">
        <v>89</v>
      </c>
      <c r="F5025">
        <v>31</v>
      </c>
      <c r="G5025" t="s">
        <v>90</v>
      </c>
      <c r="H5025" t="s">
        <v>228</v>
      </c>
      <c r="I5025" t="s">
        <v>890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162</v>
      </c>
      <c r="D5026" t="s">
        <v>243</v>
      </c>
      <c r="E5026" t="s">
        <v>89</v>
      </c>
      <c r="F5026">
        <v>31</v>
      </c>
      <c r="G5026" t="s">
        <v>90</v>
      </c>
      <c r="H5026" t="s">
        <v>228</v>
      </c>
      <c r="I5026" t="s">
        <v>891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162</v>
      </c>
      <c r="D5027" t="s">
        <v>243</v>
      </c>
      <c r="E5027" t="s">
        <v>89</v>
      </c>
      <c r="F5027">
        <v>31</v>
      </c>
      <c r="G5027" t="s">
        <v>90</v>
      </c>
      <c r="H5027" t="s">
        <v>228</v>
      </c>
      <c r="I5027" t="s">
        <v>892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162</v>
      </c>
      <c r="D5028" t="s">
        <v>243</v>
      </c>
      <c r="E5028" t="s">
        <v>89</v>
      </c>
      <c r="F5028">
        <v>31</v>
      </c>
      <c r="G5028" t="s">
        <v>90</v>
      </c>
      <c r="H5028" t="s">
        <v>228</v>
      </c>
      <c r="I5028" t="s">
        <v>893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162</v>
      </c>
      <c r="D5029" t="s">
        <v>243</v>
      </c>
      <c r="E5029" t="s">
        <v>89</v>
      </c>
      <c r="F5029">
        <v>31</v>
      </c>
      <c r="G5029" t="s">
        <v>90</v>
      </c>
      <c r="H5029" t="s">
        <v>228</v>
      </c>
      <c r="I5029" t="s">
        <v>894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162</v>
      </c>
      <c r="D5030" t="s">
        <v>243</v>
      </c>
      <c r="E5030" t="s">
        <v>89</v>
      </c>
      <c r="F5030">
        <v>31</v>
      </c>
      <c r="G5030" t="s">
        <v>90</v>
      </c>
      <c r="H5030" t="s">
        <v>228</v>
      </c>
      <c r="I5030" t="s">
        <v>895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162</v>
      </c>
      <c r="D5031" t="s">
        <v>243</v>
      </c>
      <c r="E5031" t="s">
        <v>89</v>
      </c>
      <c r="F5031">
        <v>31</v>
      </c>
      <c r="G5031" t="s">
        <v>90</v>
      </c>
      <c r="H5031" t="s">
        <v>228</v>
      </c>
      <c r="I5031" t="s">
        <v>896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162</v>
      </c>
      <c r="D5032" t="s">
        <v>243</v>
      </c>
      <c r="E5032" t="s">
        <v>89</v>
      </c>
      <c r="F5032">
        <v>31</v>
      </c>
      <c r="G5032" t="s">
        <v>90</v>
      </c>
      <c r="H5032" t="s">
        <v>228</v>
      </c>
      <c r="I5032" t="s">
        <v>897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162</v>
      </c>
      <c r="D5033" t="s">
        <v>243</v>
      </c>
      <c r="E5033" t="s">
        <v>89</v>
      </c>
      <c r="F5033">
        <v>31</v>
      </c>
      <c r="G5033" t="s">
        <v>90</v>
      </c>
      <c r="H5033" t="s">
        <v>228</v>
      </c>
      <c r="I5033" t="s">
        <v>898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162</v>
      </c>
      <c r="D5034" t="s">
        <v>243</v>
      </c>
      <c r="E5034" t="s">
        <v>89</v>
      </c>
      <c r="F5034">
        <v>31</v>
      </c>
      <c r="G5034" t="s">
        <v>90</v>
      </c>
      <c r="H5034" t="s">
        <v>228</v>
      </c>
      <c r="I5034" t="s">
        <v>899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162</v>
      </c>
      <c r="D5035" t="s">
        <v>243</v>
      </c>
      <c r="E5035" t="s">
        <v>89</v>
      </c>
      <c r="F5035">
        <v>31</v>
      </c>
      <c r="G5035" t="s">
        <v>90</v>
      </c>
      <c r="H5035" t="s">
        <v>228</v>
      </c>
      <c r="I5035" t="s">
        <v>900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162</v>
      </c>
      <c r="D5036" t="s">
        <v>243</v>
      </c>
      <c r="E5036" t="s">
        <v>89</v>
      </c>
      <c r="F5036">
        <v>31</v>
      </c>
      <c r="G5036" t="s">
        <v>90</v>
      </c>
      <c r="H5036" t="s">
        <v>228</v>
      </c>
      <c r="I5036" t="s">
        <v>901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162</v>
      </c>
      <c r="D5037" t="s">
        <v>243</v>
      </c>
      <c r="E5037" t="s">
        <v>89</v>
      </c>
      <c r="F5037">
        <v>31</v>
      </c>
      <c r="G5037" t="s">
        <v>90</v>
      </c>
      <c r="H5037" t="s">
        <v>228</v>
      </c>
      <c r="I5037" t="s">
        <v>902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162</v>
      </c>
      <c r="D5038" t="s">
        <v>243</v>
      </c>
      <c r="E5038" t="s">
        <v>89</v>
      </c>
      <c r="F5038">
        <v>31</v>
      </c>
      <c r="G5038" t="s">
        <v>90</v>
      </c>
      <c r="H5038" t="s">
        <v>228</v>
      </c>
      <c r="I5038" t="s">
        <v>903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162</v>
      </c>
      <c r="D5039" t="s">
        <v>243</v>
      </c>
      <c r="E5039" t="s">
        <v>89</v>
      </c>
      <c r="F5039">
        <v>31</v>
      </c>
      <c r="G5039" t="s">
        <v>90</v>
      </c>
      <c r="H5039" t="s">
        <v>228</v>
      </c>
      <c r="I5039" t="s">
        <v>904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162</v>
      </c>
      <c r="D5040" t="s">
        <v>243</v>
      </c>
      <c r="E5040" t="s">
        <v>89</v>
      </c>
      <c r="F5040">
        <v>31</v>
      </c>
      <c r="G5040" t="s">
        <v>90</v>
      </c>
      <c r="H5040" t="s">
        <v>228</v>
      </c>
      <c r="I5040" t="s">
        <v>905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162</v>
      </c>
      <c r="D5041" t="s">
        <v>243</v>
      </c>
      <c r="E5041" t="s">
        <v>89</v>
      </c>
      <c r="F5041">
        <v>31</v>
      </c>
      <c r="G5041" t="s">
        <v>90</v>
      </c>
      <c r="H5041" t="s">
        <v>228</v>
      </c>
      <c r="I5041" t="s">
        <v>906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162</v>
      </c>
      <c r="D5042" t="s">
        <v>243</v>
      </c>
      <c r="E5042" t="s">
        <v>89</v>
      </c>
      <c r="F5042">
        <v>31</v>
      </c>
      <c r="G5042" t="s">
        <v>90</v>
      </c>
      <c r="H5042" t="s">
        <v>228</v>
      </c>
      <c r="I5042" t="s">
        <v>907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162</v>
      </c>
      <c r="D5043" t="s">
        <v>243</v>
      </c>
      <c r="E5043" t="s">
        <v>89</v>
      </c>
      <c r="F5043">
        <v>31</v>
      </c>
      <c r="G5043" t="s">
        <v>90</v>
      </c>
      <c r="H5043" t="s">
        <v>228</v>
      </c>
      <c r="I5043" t="s">
        <v>908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162</v>
      </c>
      <c r="D5044" t="s">
        <v>243</v>
      </c>
      <c r="E5044" t="s">
        <v>89</v>
      </c>
      <c r="F5044">
        <v>31</v>
      </c>
      <c r="G5044" t="s">
        <v>90</v>
      </c>
      <c r="H5044" t="s">
        <v>228</v>
      </c>
      <c r="I5044" t="s">
        <v>909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162</v>
      </c>
      <c r="D5045" t="s">
        <v>243</v>
      </c>
      <c r="E5045" t="s">
        <v>89</v>
      </c>
      <c r="F5045">
        <v>31</v>
      </c>
      <c r="G5045" t="s">
        <v>90</v>
      </c>
      <c r="H5045" t="s">
        <v>228</v>
      </c>
      <c r="I5045" t="s">
        <v>910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162</v>
      </c>
      <c r="D5046" t="s">
        <v>243</v>
      </c>
      <c r="E5046" t="s">
        <v>89</v>
      </c>
      <c r="F5046">
        <v>31</v>
      </c>
      <c r="G5046" t="s">
        <v>90</v>
      </c>
      <c r="H5046" t="s">
        <v>228</v>
      </c>
      <c r="I5046" t="s">
        <v>911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162</v>
      </c>
      <c r="D5047" t="s">
        <v>243</v>
      </c>
      <c r="E5047" t="s">
        <v>89</v>
      </c>
      <c r="F5047">
        <v>31</v>
      </c>
      <c r="G5047" t="s">
        <v>90</v>
      </c>
      <c r="H5047" t="s">
        <v>229</v>
      </c>
      <c r="I5047" t="s">
        <v>890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162</v>
      </c>
      <c r="D5048" t="s">
        <v>243</v>
      </c>
      <c r="E5048" t="s">
        <v>89</v>
      </c>
      <c r="F5048">
        <v>31</v>
      </c>
      <c r="G5048" t="s">
        <v>90</v>
      </c>
      <c r="H5048" t="s">
        <v>229</v>
      </c>
      <c r="I5048" t="s">
        <v>891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162</v>
      </c>
      <c r="D5049" t="s">
        <v>243</v>
      </c>
      <c r="E5049" t="s">
        <v>89</v>
      </c>
      <c r="F5049">
        <v>31</v>
      </c>
      <c r="G5049" t="s">
        <v>90</v>
      </c>
      <c r="H5049" t="s">
        <v>229</v>
      </c>
      <c r="I5049" t="s">
        <v>892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162</v>
      </c>
      <c r="D5050" t="s">
        <v>243</v>
      </c>
      <c r="E5050" t="s">
        <v>89</v>
      </c>
      <c r="F5050">
        <v>31</v>
      </c>
      <c r="G5050" t="s">
        <v>90</v>
      </c>
      <c r="H5050" t="s">
        <v>229</v>
      </c>
      <c r="I5050" t="s">
        <v>893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162</v>
      </c>
      <c r="D5051" t="s">
        <v>243</v>
      </c>
      <c r="E5051" t="s">
        <v>89</v>
      </c>
      <c r="F5051">
        <v>31</v>
      </c>
      <c r="G5051" t="s">
        <v>90</v>
      </c>
      <c r="H5051" t="s">
        <v>229</v>
      </c>
      <c r="I5051" t="s">
        <v>894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162</v>
      </c>
      <c r="D5052" t="s">
        <v>243</v>
      </c>
      <c r="E5052" t="s">
        <v>89</v>
      </c>
      <c r="F5052">
        <v>31</v>
      </c>
      <c r="G5052" t="s">
        <v>90</v>
      </c>
      <c r="H5052" t="s">
        <v>229</v>
      </c>
      <c r="I5052" t="s">
        <v>895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162</v>
      </c>
      <c r="D5053" t="s">
        <v>243</v>
      </c>
      <c r="E5053" t="s">
        <v>89</v>
      </c>
      <c r="F5053">
        <v>31</v>
      </c>
      <c r="G5053" t="s">
        <v>90</v>
      </c>
      <c r="H5053" t="s">
        <v>229</v>
      </c>
      <c r="I5053" t="s">
        <v>896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162</v>
      </c>
      <c r="D5054" t="s">
        <v>243</v>
      </c>
      <c r="E5054" t="s">
        <v>89</v>
      </c>
      <c r="F5054">
        <v>31</v>
      </c>
      <c r="G5054" t="s">
        <v>90</v>
      </c>
      <c r="H5054" t="s">
        <v>229</v>
      </c>
      <c r="I5054" t="s">
        <v>897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162</v>
      </c>
      <c r="D5055" t="s">
        <v>243</v>
      </c>
      <c r="E5055" t="s">
        <v>89</v>
      </c>
      <c r="F5055">
        <v>31</v>
      </c>
      <c r="G5055" t="s">
        <v>90</v>
      </c>
      <c r="H5055" t="s">
        <v>229</v>
      </c>
      <c r="I5055" t="s">
        <v>898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162</v>
      </c>
      <c r="D5056" t="s">
        <v>243</v>
      </c>
      <c r="E5056" t="s">
        <v>89</v>
      </c>
      <c r="F5056">
        <v>31</v>
      </c>
      <c r="G5056" t="s">
        <v>90</v>
      </c>
      <c r="H5056" t="s">
        <v>229</v>
      </c>
      <c r="I5056" t="s">
        <v>899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162</v>
      </c>
      <c r="D5057" t="s">
        <v>243</v>
      </c>
      <c r="E5057" t="s">
        <v>89</v>
      </c>
      <c r="F5057">
        <v>31</v>
      </c>
      <c r="G5057" t="s">
        <v>90</v>
      </c>
      <c r="H5057" t="s">
        <v>229</v>
      </c>
      <c r="I5057" t="s">
        <v>900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162</v>
      </c>
      <c r="D5058" t="s">
        <v>243</v>
      </c>
      <c r="E5058" t="s">
        <v>89</v>
      </c>
      <c r="F5058">
        <v>31</v>
      </c>
      <c r="G5058" t="s">
        <v>90</v>
      </c>
      <c r="H5058" t="s">
        <v>229</v>
      </c>
      <c r="I5058" t="s">
        <v>901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162</v>
      </c>
      <c r="D5059" t="s">
        <v>243</v>
      </c>
      <c r="E5059" t="s">
        <v>89</v>
      </c>
      <c r="F5059">
        <v>31</v>
      </c>
      <c r="G5059" t="s">
        <v>90</v>
      </c>
      <c r="H5059" t="s">
        <v>229</v>
      </c>
      <c r="I5059" t="s">
        <v>902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162</v>
      </c>
      <c r="D5060" t="s">
        <v>243</v>
      </c>
      <c r="E5060" t="s">
        <v>89</v>
      </c>
      <c r="F5060">
        <v>31</v>
      </c>
      <c r="G5060" t="s">
        <v>90</v>
      </c>
      <c r="H5060" t="s">
        <v>229</v>
      </c>
      <c r="I5060" t="s">
        <v>903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162</v>
      </c>
      <c r="D5061" t="s">
        <v>243</v>
      </c>
      <c r="E5061" t="s">
        <v>89</v>
      </c>
      <c r="F5061">
        <v>31</v>
      </c>
      <c r="G5061" t="s">
        <v>90</v>
      </c>
      <c r="H5061" t="s">
        <v>229</v>
      </c>
      <c r="I5061" t="s">
        <v>904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162</v>
      </c>
      <c r="D5062" t="s">
        <v>243</v>
      </c>
      <c r="E5062" t="s">
        <v>89</v>
      </c>
      <c r="F5062">
        <v>31</v>
      </c>
      <c r="G5062" t="s">
        <v>90</v>
      </c>
      <c r="H5062" t="s">
        <v>229</v>
      </c>
      <c r="I5062" t="s">
        <v>905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162</v>
      </c>
      <c r="D5063" t="s">
        <v>243</v>
      </c>
      <c r="E5063" t="s">
        <v>89</v>
      </c>
      <c r="F5063">
        <v>31</v>
      </c>
      <c r="G5063" t="s">
        <v>90</v>
      </c>
      <c r="H5063" t="s">
        <v>229</v>
      </c>
      <c r="I5063" t="s">
        <v>906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162</v>
      </c>
      <c r="D5064" t="s">
        <v>243</v>
      </c>
      <c r="E5064" t="s">
        <v>89</v>
      </c>
      <c r="F5064">
        <v>31</v>
      </c>
      <c r="G5064" t="s">
        <v>90</v>
      </c>
      <c r="H5064" t="s">
        <v>229</v>
      </c>
      <c r="I5064" t="s">
        <v>907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162</v>
      </c>
      <c r="D5065" t="s">
        <v>243</v>
      </c>
      <c r="E5065" t="s">
        <v>89</v>
      </c>
      <c r="F5065">
        <v>31</v>
      </c>
      <c r="G5065" t="s">
        <v>90</v>
      </c>
      <c r="H5065" t="s">
        <v>229</v>
      </c>
      <c r="I5065" t="s">
        <v>908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162</v>
      </c>
      <c r="D5066" t="s">
        <v>243</v>
      </c>
      <c r="E5066" t="s">
        <v>89</v>
      </c>
      <c r="F5066">
        <v>31</v>
      </c>
      <c r="G5066" t="s">
        <v>90</v>
      </c>
      <c r="H5066" t="s">
        <v>229</v>
      </c>
      <c r="I5066" t="s">
        <v>909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162</v>
      </c>
      <c r="D5067" t="s">
        <v>243</v>
      </c>
      <c r="E5067" t="s">
        <v>89</v>
      </c>
      <c r="F5067">
        <v>31</v>
      </c>
      <c r="G5067" t="s">
        <v>90</v>
      </c>
      <c r="H5067" t="s">
        <v>229</v>
      </c>
      <c r="I5067" t="s">
        <v>910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162</v>
      </c>
      <c r="D5068" t="s">
        <v>243</v>
      </c>
      <c r="E5068" t="s">
        <v>89</v>
      </c>
      <c r="F5068">
        <v>31</v>
      </c>
      <c r="G5068" t="s">
        <v>90</v>
      </c>
      <c r="H5068" t="s">
        <v>229</v>
      </c>
      <c r="I5068" t="s">
        <v>911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162</v>
      </c>
      <c r="D5069" t="s">
        <v>243</v>
      </c>
      <c r="E5069" t="s">
        <v>89</v>
      </c>
      <c r="F5069">
        <v>31</v>
      </c>
      <c r="G5069" t="s">
        <v>90</v>
      </c>
      <c r="H5069" t="s">
        <v>91</v>
      </c>
      <c r="I5069" t="s">
        <v>890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162</v>
      </c>
      <c r="D5070" t="s">
        <v>243</v>
      </c>
      <c r="E5070" t="s">
        <v>89</v>
      </c>
      <c r="F5070">
        <v>31</v>
      </c>
      <c r="G5070" t="s">
        <v>90</v>
      </c>
      <c r="H5070" t="s">
        <v>91</v>
      </c>
      <c r="I5070" t="s">
        <v>891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162</v>
      </c>
      <c r="D5071" t="s">
        <v>243</v>
      </c>
      <c r="E5071" t="s">
        <v>89</v>
      </c>
      <c r="F5071">
        <v>31</v>
      </c>
      <c r="G5071" t="s">
        <v>90</v>
      </c>
      <c r="H5071" t="s">
        <v>91</v>
      </c>
      <c r="I5071" t="s">
        <v>892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162</v>
      </c>
      <c r="D5072" t="s">
        <v>243</v>
      </c>
      <c r="E5072" t="s">
        <v>89</v>
      </c>
      <c r="F5072">
        <v>31</v>
      </c>
      <c r="G5072" t="s">
        <v>90</v>
      </c>
      <c r="H5072" t="s">
        <v>91</v>
      </c>
      <c r="I5072" t="s">
        <v>893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162</v>
      </c>
      <c r="D5073" t="s">
        <v>243</v>
      </c>
      <c r="E5073" t="s">
        <v>89</v>
      </c>
      <c r="F5073">
        <v>31</v>
      </c>
      <c r="G5073" t="s">
        <v>90</v>
      </c>
      <c r="H5073" t="s">
        <v>91</v>
      </c>
      <c r="I5073" t="s">
        <v>894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162</v>
      </c>
      <c r="D5074" t="s">
        <v>243</v>
      </c>
      <c r="E5074" t="s">
        <v>89</v>
      </c>
      <c r="F5074">
        <v>31</v>
      </c>
      <c r="G5074" t="s">
        <v>90</v>
      </c>
      <c r="H5074" t="s">
        <v>91</v>
      </c>
      <c r="I5074" t="s">
        <v>895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162</v>
      </c>
      <c r="D5075" t="s">
        <v>243</v>
      </c>
      <c r="E5075" t="s">
        <v>89</v>
      </c>
      <c r="F5075">
        <v>31</v>
      </c>
      <c r="G5075" t="s">
        <v>90</v>
      </c>
      <c r="H5075" t="s">
        <v>91</v>
      </c>
      <c r="I5075" t="s">
        <v>896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162</v>
      </c>
      <c r="D5076" t="s">
        <v>243</v>
      </c>
      <c r="E5076" t="s">
        <v>89</v>
      </c>
      <c r="F5076">
        <v>31</v>
      </c>
      <c r="G5076" t="s">
        <v>90</v>
      </c>
      <c r="H5076" t="s">
        <v>91</v>
      </c>
      <c r="I5076" t="s">
        <v>897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162</v>
      </c>
      <c r="D5077" t="s">
        <v>243</v>
      </c>
      <c r="E5077" t="s">
        <v>89</v>
      </c>
      <c r="F5077">
        <v>31</v>
      </c>
      <c r="G5077" t="s">
        <v>90</v>
      </c>
      <c r="H5077" t="s">
        <v>91</v>
      </c>
      <c r="I5077" t="s">
        <v>898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162</v>
      </c>
      <c r="D5078" t="s">
        <v>243</v>
      </c>
      <c r="E5078" t="s">
        <v>89</v>
      </c>
      <c r="F5078">
        <v>31</v>
      </c>
      <c r="G5078" t="s">
        <v>90</v>
      </c>
      <c r="H5078" t="s">
        <v>91</v>
      </c>
      <c r="I5078" t="s">
        <v>899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162</v>
      </c>
      <c r="D5079" t="s">
        <v>243</v>
      </c>
      <c r="E5079" t="s">
        <v>89</v>
      </c>
      <c r="F5079">
        <v>31</v>
      </c>
      <c r="G5079" t="s">
        <v>90</v>
      </c>
      <c r="H5079" t="s">
        <v>91</v>
      </c>
      <c r="I5079" t="s">
        <v>900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162</v>
      </c>
      <c r="D5080" t="s">
        <v>243</v>
      </c>
      <c r="E5080" t="s">
        <v>89</v>
      </c>
      <c r="F5080">
        <v>31</v>
      </c>
      <c r="G5080" t="s">
        <v>90</v>
      </c>
      <c r="H5080" t="s">
        <v>91</v>
      </c>
      <c r="I5080" t="s">
        <v>901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162</v>
      </c>
      <c r="D5081" t="s">
        <v>243</v>
      </c>
      <c r="E5081" t="s">
        <v>89</v>
      </c>
      <c r="F5081">
        <v>31</v>
      </c>
      <c r="G5081" t="s">
        <v>90</v>
      </c>
      <c r="H5081" t="s">
        <v>91</v>
      </c>
      <c r="I5081" t="s">
        <v>902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162</v>
      </c>
      <c r="D5082" t="s">
        <v>243</v>
      </c>
      <c r="E5082" t="s">
        <v>89</v>
      </c>
      <c r="F5082">
        <v>31</v>
      </c>
      <c r="G5082" t="s">
        <v>90</v>
      </c>
      <c r="H5082" t="s">
        <v>91</v>
      </c>
      <c r="I5082" t="s">
        <v>903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162</v>
      </c>
      <c r="D5083" t="s">
        <v>243</v>
      </c>
      <c r="E5083" t="s">
        <v>89</v>
      </c>
      <c r="F5083">
        <v>31</v>
      </c>
      <c r="G5083" t="s">
        <v>90</v>
      </c>
      <c r="H5083" t="s">
        <v>91</v>
      </c>
      <c r="I5083" t="s">
        <v>904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162</v>
      </c>
      <c r="D5084" t="s">
        <v>243</v>
      </c>
      <c r="E5084" t="s">
        <v>89</v>
      </c>
      <c r="F5084">
        <v>31</v>
      </c>
      <c r="G5084" t="s">
        <v>90</v>
      </c>
      <c r="H5084" t="s">
        <v>91</v>
      </c>
      <c r="I5084" t="s">
        <v>905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162</v>
      </c>
      <c r="D5085" t="s">
        <v>243</v>
      </c>
      <c r="E5085" t="s">
        <v>89</v>
      </c>
      <c r="F5085">
        <v>31</v>
      </c>
      <c r="G5085" t="s">
        <v>90</v>
      </c>
      <c r="H5085" t="s">
        <v>91</v>
      </c>
      <c r="I5085" t="s">
        <v>906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162</v>
      </c>
      <c r="D5086" t="s">
        <v>243</v>
      </c>
      <c r="E5086" t="s">
        <v>89</v>
      </c>
      <c r="F5086">
        <v>31</v>
      </c>
      <c r="G5086" t="s">
        <v>90</v>
      </c>
      <c r="H5086" t="s">
        <v>91</v>
      </c>
      <c r="I5086" t="s">
        <v>907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162</v>
      </c>
      <c r="D5087" t="s">
        <v>243</v>
      </c>
      <c r="E5087" t="s">
        <v>89</v>
      </c>
      <c r="F5087">
        <v>31</v>
      </c>
      <c r="G5087" t="s">
        <v>90</v>
      </c>
      <c r="H5087" t="s">
        <v>91</v>
      </c>
      <c r="I5087" t="s">
        <v>908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162</v>
      </c>
      <c r="D5088" t="s">
        <v>243</v>
      </c>
      <c r="E5088" t="s">
        <v>89</v>
      </c>
      <c r="F5088">
        <v>31</v>
      </c>
      <c r="G5088" t="s">
        <v>90</v>
      </c>
      <c r="H5088" t="s">
        <v>91</v>
      </c>
      <c r="I5088" t="s">
        <v>909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162</v>
      </c>
      <c r="D5089" t="s">
        <v>243</v>
      </c>
      <c r="E5089" t="s">
        <v>89</v>
      </c>
      <c r="F5089">
        <v>31</v>
      </c>
      <c r="G5089" t="s">
        <v>90</v>
      </c>
      <c r="H5089" t="s">
        <v>91</v>
      </c>
      <c r="I5089" t="s">
        <v>910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162</v>
      </c>
      <c r="D5090" t="s">
        <v>243</v>
      </c>
      <c r="E5090" t="s">
        <v>89</v>
      </c>
      <c r="F5090">
        <v>31</v>
      </c>
      <c r="G5090" t="s">
        <v>90</v>
      </c>
      <c r="H5090" t="s">
        <v>91</v>
      </c>
      <c r="I5090" t="s">
        <v>911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162</v>
      </c>
      <c r="D5091" t="s">
        <v>243</v>
      </c>
      <c r="E5091" t="s">
        <v>89</v>
      </c>
      <c r="F5091">
        <v>31</v>
      </c>
      <c r="G5091" t="s">
        <v>90</v>
      </c>
      <c r="H5091" t="s">
        <v>230</v>
      </c>
      <c r="I5091" t="s">
        <v>890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162</v>
      </c>
      <c r="D5092" t="s">
        <v>243</v>
      </c>
      <c r="E5092" t="s">
        <v>89</v>
      </c>
      <c r="F5092">
        <v>31</v>
      </c>
      <c r="G5092" t="s">
        <v>90</v>
      </c>
      <c r="H5092" t="s">
        <v>230</v>
      </c>
      <c r="I5092" t="s">
        <v>891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162</v>
      </c>
      <c r="D5093" t="s">
        <v>243</v>
      </c>
      <c r="E5093" t="s">
        <v>89</v>
      </c>
      <c r="F5093">
        <v>31</v>
      </c>
      <c r="G5093" t="s">
        <v>90</v>
      </c>
      <c r="H5093" t="s">
        <v>230</v>
      </c>
      <c r="I5093" t="s">
        <v>892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162</v>
      </c>
      <c r="D5094" t="s">
        <v>243</v>
      </c>
      <c r="E5094" t="s">
        <v>89</v>
      </c>
      <c r="F5094">
        <v>31</v>
      </c>
      <c r="G5094" t="s">
        <v>90</v>
      </c>
      <c r="H5094" t="s">
        <v>230</v>
      </c>
      <c r="I5094" t="s">
        <v>893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162</v>
      </c>
      <c r="D5095" t="s">
        <v>243</v>
      </c>
      <c r="E5095" t="s">
        <v>89</v>
      </c>
      <c r="F5095">
        <v>31</v>
      </c>
      <c r="G5095" t="s">
        <v>90</v>
      </c>
      <c r="H5095" t="s">
        <v>230</v>
      </c>
      <c r="I5095" t="s">
        <v>894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162</v>
      </c>
      <c r="D5096" t="s">
        <v>243</v>
      </c>
      <c r="E5096" t="s">
        <v>89</v>
      </c>
      <c r="F5096">
        <v>31</v>
      </c>
      <c r="G5096" t="s">
        <v>90</v>
      </c>
      <c r="H5096" t="s">
        <v>230</v>
      </c>
      <c r="I5096" t="s">
        <v>895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162</v>
      </c>
      <c r="D5097" t="s">
        <v>243</v>
      </c>
      <c r="E5097" t="s">
        <v>89</v>
      </c>
      <c r="F5097">
        <v>31</v>
      </c>
      <c r="G5097" t="s">
        <v>90</v>
      </c>
      <c r="H5097" t="s">
        <v>230</v>
      </c>
      <c r="I5097" t="s">
        <v>896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162</v>
      </c>
      <c r="D5098" t="s">
        <v>243</v>
      </c>
      <c r="E5098" t="s">
        <v>89</v>
      </c>
      <c r="F5098">
        <v>31</v>
      </c>
      <c r="G5098" t="s">
        <v>90</v>
      </c>
      <c r="H5098" t="s">
        <v>230</v>
      </c>
      <c r="I5098" t="s">
        <v>897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162</v>
      </c>
      <c r="D5099" t="s">
        <v>243</v>
      </c>
      <c r="E5099" t="s">
        <v>89</v>
      </c>
      <c r="F5099">
        <v>31</v>
      </c>
      <c r="G5099" t="s">
        <v>90</v>
      </c>
      <c r="H5099" t="s">
        <v>230</v>
      </c>
      <c r="I5099" t="s">
        <v>898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162</v>
      </c>
      <c r="D5100" t="s">
        <v>243</v>
      </c>
      <c r="E5100" t="s">
        <v>89</v>
      </c>
      <c r="F5100">
        <v>31</v>
      </c>
      <c r="G5100" t="s">
        <v>90</v>
      </c>
      <c r="H5100" t="s">
        <v>230</v>
      </c>
      <c r="I5100" t="s">
        <v>899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162</v>
      </c>
      <c r="D5101" t="s">
        <v>243</v>
      </c>
      <c r="E5101" t="s">
        <v>89</v>
      </c>
      <c r="F5101">
        <v>31</v>
      </c>
      <c r="G5101" t="s">
        <v>90</v>
      </c>
      <c r="H5101" t="s">
        <v>230</v>
      </c>
      <c r="I5101" t="s">
        <v>900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162</v>
      </c>
      <c r="D5102" t="s">
        <v>243</v>
      </c>
      <c r="E5102" t="s">
        <v>89</v>
      </c>
      <c r="F5102">
        <v>31</v>
      </c>
      <c r="G5102" t="s">
        <v>90</v>
      </c>
      <c r="H5102" t="s">
        <v>230</v>
      </c>
      <c r="I5102" t="s">
        <v>901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162</v>
      </c>
      <c r="D5103" t="s">
        <v>243</v>
      </c>
      <c r="E5103" t="s">
        <v>89</v>
      </c>
      <c r="F5103">
        <v>31</v>
      </c>
      <c r="G5103" t="s">
        <v>90</v>
      </c>
      <c r="H5103" t="s">
        <v>230</v>
      </c>
      <c r="I5103" t="s">
        <v>902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162</v>
      </c>
      <c r="D5104" t="s">
        <v>243</v>
      </c>
      <c r="E5104" t="s">
        <v>89</v>
      </c>
      <c r="F5104">
        <v>31</v>
      </c>
      <c r="G5104" t="s">
        <v>90</v>
      </c>
      <c r="H5104" t="s">
        <v>230</v>
      </c>
      <c r="I5104" t="s">
        <v>903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162</v>
      </c>
      <c r="D5105" t="s">
        <v>243</v>
      </c>
      <c r="E5105" t="s">
        <v>89</v>
      </c>
      <c r="F5105">
        <v>31</v>
      </c>
      <c r="G5105" t="s">
        <v>90</v>
      </c>
      <c r="H5105" t="s">
        <v>230</v>
      </c>
      <c r="I5105" t="s">
        <v>904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162</v>
      </c>
      <c r="D5106" t="s">
        <v>243</v>
      </c>
      <c r="E5106" t="s">
        <v>89</v>
      </c>
      <c r="F5106">
        <v>31</v>
      </c>
      <c r="G5106" t="s">
        <v>90</v>
      </c>
      <c r="H5106" t="s">
        <v>230</v>
      </c>
      <c r="I5106" t="s">
        <v>905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162</v>
      </c>
      <c r="D5107" t="s">
        <v>243</v>
      </c>
      <c r="E5107" t="s">
        <v>89</v>
      </c>
      <c r="F5107">
        <v>31</v>
      </c>
      <c r="G5107" t="s">
        <v>90</v>
      </c>
      <c r="H5107" t="s">
        <v>230</v>
      </c>
      <c r="I5107" t="s">
        <v>906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162</v>
      </c>
      <c r="D5108" t="s">
        <v>243</v>
      </c>
      <c r="E5108" t="s">
        <v>89</v>
      </c>
      <c r="F5108">
        <v>31</v>
      </c>
      <c r="G5108" t="s">
        <v>90</v>
      </c>
      <c r="H5108" t="s">
        <v>230</v>
      </c>
      <c r="I5108" t="s">
        <v>907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162</v>
      </c>
      <c r="D5109" t="s">
        <v>243</v>
      </c>
      <c r="E5109" t="s">
        <v>89</v>
      </c>
      <c r="F5109">
        <v>31</v>
      </c>
      <c r="G5109" t="s">
        <v>90</v>
      </c>
      <c r="H5109" t="s">
        <v>230</v>
      </c>
      <c r="I5109" t="s">
        <v>908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162</v>
      </c>
      <c r="D5110" t="s">
        <v>243</v>
      </c>
      <c r="E5110" t="s">
        <v>89</v>
      </c>
      <c r="F5110">
        <v>31</v>
      </c>
      <c r="G5110" t="s">
        <v>90</v>
      </c>
      <c r="H5110" t="s">
        <v>230</v>
      </c>
      <c r="I5110" t="s">
        <v>909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162</v>
      </c>
      <c r="D5111" t="s">
        <v>243</v>
      </c>
      <c r="E5111" t="s">
        <v>89</v>
      </c>
      <c r="F5111">
        <v>31</v>
      </c>
      <c r="G5111" t="s">
        <v>90</v>
      </c>
      <c r="H5111" t="s">
        <v>230</v>
      </c>
      <c r="I5111" t="s">
        <v>910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162</v>
      </c>
      <c r="D5112" t="s">
        <v>243</v>
      </c>
      <c r="E5112" t="s">
        <v>89</v>
      </c>
      <c r="F5112">
        <v>31</v>
      </c>
      <c r="G5112" t="s">
        <v>90</v>
      </c>
      <c r="H5112" t="s">
        <v>230</v>
      </c>
      <c r="I5112" t="s">
        <v>911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162</v>
      </c>
      <c r="D5113" t="s">
        <v>243</v>
      </c>
      <c r="E5113" t="s">
        <v>89</v>
      </c>
      <c r="F5113">
        <v>31</v>
      </c>
      <c r="G5113" t="s">
        <v>90</v>
      </c>
      <c r="H5113" t="s">
        <v>188</v>
      </c>
      <c r="I5113" t="s">
        <v>890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162</v>
      </c>
      <c r="D5114" t="s">
        <v>243</v>
      </c>
      <c r="E5114" t="s">
        <v>89</v>
      </c>
      <c r="F5114">
        <v>31</v>
      </c>
      <c r="G5114" t="s">
        <v>90</v>
      </c>
      <c r="H5114" t="s">
        <v>188</v>
      </c>
      <c r="I5114" t="s">
        <v>891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162</v>
      </c>
      <c r="D5115" t="s">
        <v>243</v>
      </c>
      <c r="E5115" t="s">
        <v>89</v>
      </c>
      <c r="F5115">
        <v>31</v>
      </c>
      <c r="G5115" t="s">
        <v>90</v>
      </c>
      <c r="H5115" t="s">
        <v>188</v>
      </c>
      <c r="I5115" t="s">
        <v>892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162</v>
      </c>
      <c r="D5116" t="s">
        <v>243</v>
      </c>
      <c r="E5116" t="s">
        <v>89</v>
      </c>
      <c r="F5116">
        <v>31</v>
      </c>
      <c r="G5116" t="s">
        <v>90</v>
      </c>
      <c r="H5116" t="s">
        <v>188</v>
      </c>
      <c r="I5116" t="s">
        <v>893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162</v>
      </c>
      <c r="D5117" t="s">
        <v>243</v>
      </c>
      <c r="E5117" t="s">
        <v>89</v>
      </c>
      <c r="F5117">
        <v>31</v>
      </c>
      <c r="G5117" t="s">
        <v>90</v>
      </c>
      <c r="H5117" t="s">
        <v>188</v>
      </c>
      <c r="I5117" t="s">
        <v>894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162</v>
      </c>
      <c r="D5118" t="s">
        <v>243</v>
      </c>
      <c r="E5118" t="s">
        <v>89</v>
      </c>
      <c r="F5118">
        <v>31</v>
      </c>
      <c r="G5118" t="s">
        <v>90</v>
      </c>
      <c r="H5118" t="s">
        <v>188</v>
      </c>
      <c r="I5118" t="s">
        <v>895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162</v>
      </c>
      <c r="D5119" t="s">
        <v>243</v>
      </c>
      <c r="E5119" t="s">
        <v>89</v>
      </c>
      <c r="F5119">
        <v>31</v>
      </c>
      <c r="G5119" t="s">
        <v>90</v>
      </c>
      <c r="H5119" t="s">
        <v>188</v>
      </c>
      <c r="I5119" t="s">
        <v>896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162</v>
      </c>
      <c r="D5120" t="s">
        <v>243</v>
      </c>
      <c r="E5120" t="s">
        <v>89</v>
      </c>
      <c r="F5120">
        <v>31</v>
      </c>
      <c r="G5120" t="s">
        <v>90</v>
      </c>
      <c r="H5120" t="s">
        <v>188</v>
      </c>
      <c r="I5120" t="s">
        <v>897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162</v>
      </c>
      <c r="D5121" t="s">
        <v>243</v>
      </c>
      <c r="E5121" t="s">
        <v>89</v>
      </c>
      <c r="F5121">
        <v>31</v>
      </c>
      <c r="G5121" t="s">
        <v>90</v>
      </c>
      <c r="H5121" t="s">
        <v>188</v>
      </c>
      <c r="I5121" t="s">
        <v>898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162</v>
      </c>
      <c r="D5122" t="s">
        <v>243</v>
      </c>
      <c r="E5122" t="s">
        <v>89</v>
      </c>
      <c r="F5122">
        <v>31</v>
      </c>
      <c r="G5122" t="s">
        <v>90</v>
      </c>
      <c r="H5122" t="s">
        <v>188</v>
      </c>
      <c r="I5122" t="s">
        <v>899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162</v>
      </c>
      <c r="D5123" t="s">
        <v>243</v>
      </c>
      <c r="E5123" t="s">
        <v>89</v>
      </c>
      <c r="F5123">
        <v>31</v>
      </c>
      <c r="G5123" t="s">
        <v>90</v>
      </c>
      <c r="H5123" t="s">
        <v>188</v>
      </c>
      <c r="I5123" t="s">
        <v>900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162</v>
      </c>
      <c r="D5124" t="s">
        <v>243</v>
      </c>
      <c r="E5124" t="s">
        <v>89</v>
      </c>
      <c r="F5124">
        <v>31</v>
      </c>
      <c r="G5124" t="s">
        <v>90</v>
      </c>
      <c r="H5124" t="s">
        <v>188</v>
      </c>
      <c r="I5124" t="s">
        <v>901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162</v>
      </c>
      <c r="D5125" t="s">
        <v>243</v>
      </c>
      <c r="E5125" t="s">
        <v>89</v>
      </c>
      <c r="F5125">
        <v>31</v>
      </c>
      <c r="G5125" t="s">
        <v>90</v>
      </c>
      <c r="H5125" t="s">
        <v>188</v>
      </c>
      <c r="I5125" t="s">
        <v>902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162</v>
      </c>
      <c r="D5126" t="s">
        <v>243</v>
      </c>
      <c r="E5126" t="s">
        <v>89</v>
      </c>
      <c r="F5126">
        <v>31</v>
      </c>
      <c r="G5126" t="s">
        <v>90</v>
      </c>
      <c r="H5126" t="s">
        <v>188</v>
      </c>
      <c r="I5126" t="s">
        <v>903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162</v>
      </c>
      <c r="D5127" t="s">
        <v>243</v>
      </c>
      <c r="E5127" t="s">
        <v>89</v>
      </c>
      <c r="F5127">
        <v>31</v>
      </c>
      <c r="G5127" t="s">
        <v>90</v>
      </c>
      <c r="H5127" t="s">
        <v>188</v>
      </c>
      <c r="I5127" t="s">
        <v>904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162</v>
      </c>
      <c r="D5128" t="s">
        <v>243</v>
      </c>
      <c r="E5128" t="s">
        <v>89</v>
      </c>
      <c r="F5128">
        <v>31</v>
      </c>
      <c r="G5128" t="s">
        <v>90</v>
      </c>
      <c r="H5128" t="s">
        <v>188</v>
      </c>
      <c r="I5128" t="s">
        <v>905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162</v>
      </c>
      <c r="D5129" t="s">
        <v>243</v>
      </c>
      <c r="E5129" t="s">
        <v>89</v>
      </c>
      <c r="F5129">
        <v>31</v>
      </c>
      <c r="G5129" t="s">
        <v>90</v>
      </c>
      <c r="H5129" t="s">
        <v>188</v>
      </c>
      <c r="I5129" t="s">
        <v>906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162</v>
      </c>
      <c r="D5130" t="s">
        <v>243</v>
      </c>
      <c r="E5130" t="s">
        <v>89</v>
      </c>
      <c r="F5130">
        <v>31</v>
      </c>
      <c r="G5130" t="s">
        <v>90</v>
      </c>
      <c r="H5130" t="s">
        <v>188</v>
      </c>
      <c r="I5130" t="s">
        <v>907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162</v>
      </c>
      <c r="D5131" t="s">
        <v>243</v>
      </c>
      <c r="E5131" t="s">
        <v>89</v>
      </c>
      <c r="F5131">
        <v>31</v>
      </c>
      <c r="G5131" t="s">
        <v>90</v>
      </c>
      <c r="H5131" t="s">
        <v>188</v>
      </c>
      <c r="I5131" t="s">
        <v>908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162</v>
      </c>
      <c r="D5132" t="s">
        <v>243</v>
      </c>
      <c r="E5132" t="s">
        <v>89</v>
      </c>
      <c r="F5132">
        <v>31</v>
      </c>
      <c r="G5132" t="s">
        <v>90</v>
      </c>
      <c r="H5132" t="s">
        <v>188</v>
      </c>
      <c r="I5132" t="s">
        <v>909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162</v>
      </c>
      <c r="D5133" t="s">
        <v>243</v>
      </c>
      <c r="E5133" t="s">
        <v>89</v>
      </c>
      <c r="F5133">
        <v>31</v>
      </c>
      <c r="G5133" t="s">
        <v>90</v>
      </c>
      <c r="H5133" t="s">
        <v>188</v>
      </c>
      <c r="I5133" t="s">
        <v>910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162</v>
      </c>
      <c r="D5134" t="s">
        <v>243</v>
      </c>
      <c r="E5134" t="s">
        <v>89</v>
      </c>
      <c r="F5134">
        <v>31</v>
      </c>
      <c r="G5134" t="s">
        <v>90</v>
      </c>
      <c r="H5134" t="s">
        <v>188</v>
      </c>
      <c r="I5134" t="s">
        <v>911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162</v>
      </c>
      <c r="D5135" t="s">
        <v>243</v>
      </c>
      <c r="E5135" t="s">
        <v>89</v>
      </c>
      <c r="F5135">
        <v>31</v>
      </c>
      <c r="G5135" t="s">
        <v>272</v>
      </c>
      <c r="H5135" t="s">
        <v>232</v>
      </c>
      <c r="I5135" t="s">
        <v>884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162</v>
      </c>
      <c r="D5136" t="s">
        <v>243</v>
      </c>
      <c r="E5136" t="s">
        <v>89</v>
      </c>
      <c r="F5136">
        <v>31</v>
      </c>
      <c r="G5136" t="s">
        <v>272</v>
      </c>
      <c r="H5136" t="s">
        <v>186</v>
      </c>
      <c r="I5136" t="s">
        <v>884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162</v>
      </c>
      <c r="D5137" t="s">
        <v>243</v>
      </c>
      <c r="E5137" t="s">
        <v>89</v>
      </c>
      <c r="F5137">
        <v>31</v>
      </c>
      <c r="G5137" t="s">
        <v>272</v>
      </c>
      <c r="H5137" t="s">
        <v>187</v>
      </c>
      <c r="I5137" t="s">
        <v>884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162</v>
      </c>
      <c r="D5138" t="s">
        <v>243</v>
      </c>
      <c r="E5138" t="s">
        <v>89</v>
      </c>
      <c r="F5138">
        <v>31</v>
      </c>
      <c r="G5138" t="s">
        <v>272</v>
      </c>
      <c r="H5138" t="s">
        <v>198</v>
      </c>
      <c r="I5138" t="s">
        <v>884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162</v>
      </c>
      <c r="D5139" t="s">
        <v>243</v>
      </c>
      <c r="E5139" t="s">
        <v>89</v>
      </c>
      <c r="F5139">
        <v>31</v>
      </c>
      <c r="G5139" t="s">
        <v>272</v>
      </c>
      <c r="H5139" t="s">
        <v>188</v>
      </c>
      <c r="I5139" t="s">
        <v>884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162</v>
      </c>
      <c r="D5140" t="s">
        <v>243</v>
      </c>
      <c r="E5140" t="s">
        <v>89</v>
      </c>
      <c r="F5140">
        <v>31</v>
      </c>
      <c r="G5140" t="s">
        <v>231</v>
      </c>
      <c r="H5140" t="s">
        <v>232</v>
      </c>
      <c r="I5140" t="s">
        <v>887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162</v>
      </c>
      <c r="D5141" t="s">
        <v>243</v>
      </c>
      <c r="E5141" t="s">
        <v>89</v>
      </c>
      <c r="F5141">
        <v>31</v>
      </c>
      <c r="G5141" t="s">
        <v>231</v>
      </c>
      <c r="H5141" t="s">
        <v>186</v>
      </c>
      <c r="I5141" t="s">
        <v>887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162</v>
      </c>
      <c r="D5142" t="s">
        <v>243</v>
      </c>
      <c r="E5142" t="s">
        <v>89</v>
      </c>
      <c r="F5142">
        <v>31</v>
      </c>
      <c r="G5142" t="s">
        <v>231</v>
      </c>
      <c r="H5142" t="s">
        <v>187</v>
      </c>
      <c r="I5142" t="s">
        <v>887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162</v>
      </c>
      <c r="D5143" t="s">
        <v>243</v>
      </c>
      <c r="E5143" t="s">
        <v>89</v>
      </c>
      <c r="F5143">
        <v>31</v>
      </c>
      <c r="G5143" t="s">
        <v>231</v>
      </c>
      <c r="H5143" t="s">
        <v>198</v>
      </c>
      <c r="I5143" t="s">
        <v>887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162</v>
      </c>
      <c r="D5144" t="s">
        <v>243</v>
      </c>
      <c r="E5144" t="s">
        <v>89</v>
      </c>
      <c r="F5144">
        <v>31</v>
      </c>
      <c r="G5144" t="s">
        <v>231</v>
      </c>
      <c r="H5144" t="s">
        <v>188</v>
      </c>
      <c r="I5144" t="s">
        <v>887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162</v>
      </c>
      <c r="D5145" t="s">
        <v>243</v>
      </c>
      <c r="E5145" t="s">
        <v>89</v>
      </c>
      <c r="F5145">
        <v>31</v>
      </c>
      <c r="G5145" t="s">
        <v>233</v>
      </c>
      <c r="H5145" t="s">
        <v>234</v>
      </c>
      <c r="I5145" t="s">
        <v>912</v>
      </c>
      <c r="J5145" s="73">
        <v>45658</v>
      </c>
    </row>
    <row r="5146" spans="1:10" x14ac:dyDescent="0.25">
      <c r="A5146" s="1" t="s">
        <v>27</v>
      </c>
      <c r="B5146">
        <v>401752801</v>
      </c>
      <c r="C5146" t="s">
        <v>162</v>
      </c>
      <c r="D5146" t="s">
        <v>243</v>
      </c>
      <c r="E5146" t="s">
        <v>89</v>
      </c>
      <c r="F5146">
        <v>31</v>
      </c>
      <c r="G5146" t="s">
        <v>233</v>
      </c>
      <c r="H5146" t="s">
        <v>236</v>
      </c>
      <c r="I5146" t="s">
        <v>912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162</v>
      </c>
      <c r="D5147" t="s">
        <v>243</v>
      </c>
      <c r="E5147" t="s">
        <v>89</v>
      </c>
      <c r="F5147">
        <v>31</v>
      </c>
      <c r="G5147" t="s">
        <v>233</v>
      </c>
      <c r="H5147" t="s">
        <v>198</v>
      </c>
      <c r="I5147" t="s">
        <v>912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162</v>
      </c>
      <c r="D5148" t="s">
        <v>243</v>
      </c>
      <c r="E5148" t="s">
        <v>89</v>
      </c>
      <c r="F5148">
        <v>31</v>
      </c>
      <c r="G5148" t="s">
        <v>233</v>
      </c>
      <c r="H5148" t="s">
        <v>237</v>
      </c>
      <c r="I5148" t="s">
        <v>912</v>
      </c>
      <c r="J5148" s="73">
        <v>45751</v>
      </c>
    </row>
    <row r="5149" spans="1:10" x14ac:dyDescent="0.25">
      <c r="A5149" s="1" t="s">
        <v>27</v>
      </c>
      <c r="B5149">
        <v>401752801</v>
      </c>
      <c r="C5149" t="s">
        <v>162</v>
      </c>
      <c r="D5149" t="s">
        <v>243</v>
      </c>
      <c r="E5149" t="s">
        <v>89</v>
      </c>
      <c r="F5149">
        <v>31</v>
      </c>
      <c r="G5149" t="s">
        <v>233</v>
      </c>
      <c r="H5149" t="s">
        <v>238</v>
      </c>
      <c r="I5149" t="s">
        <v>912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162</v>
      </c>
      <c r="D5150" t="s">
        <v>243</v>
      </c>
      <c r="E5150" t="s">
        <v>89</v>
      </c>
      <c r="F5150">
        <v>31</v>
      </c>
      <c r="G5150" t="s">
        <v>239</v>
      </c>
      <c r="H5150" t="s">
        <v>232</v>
      </c>
      <c r="I5150" t="s">
        <v>913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162</v>
      </c>
      <c r="D5151" t="s">
        <v>243</v>
      </c>
      <c r="E5151" t="s">
        <v>89</v>
      </c>
      <c r="F5151">
        <v>31</v>
      </c>
      <c r="G5151" t="s">
        <v>239</v>
      </c>
      <c r="H5151" t="s">
        <v>186</v>
      </c>
      <c r="I5151" t="s">
        <v>913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162</v>
      </c>
      <c r="D5152" t="s">
        <v>243</v>
      </c>
      <c r="E5152" t="s">
        <v>89</v>
      </c>
      <c r="F5152">
        <v>31</v>
      </c>
      <c r="G5152" t="s">
        <v>239</v>
      </c>
      <c r="H5152" t="s">
        <v>187</v>
      </c>
      <c r="I5152" t="s">
        <v>913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162</v>
      </c>
      <c r="D5153" t="s">
        <v>243</v>
      </c>
      <c r="E5153" t="s">
        <v>89</v>
      </c>
      <c r="F5153">
        <v>31</v>
      </c>
      <c r="G5153" t="s">
        <v>239</v>
      </c>
      <c r="H5153" t="s">
        <v>241</v>
      </c>
      <c r="I5153" t="s">
        <v>913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162</v>
      </c>
      <c r="D5154" t="s">
        <v>243</v>
      </c>
      <c r="E5154" t="s">
        <v>89</v>
      </c>
      <c r="F5154">
        <v>31</v>
      </c>
      <c r="G5154" t="s">
        <v>239</v>
      </c>
      <c r="H5154" t="s">
        <v>242</v>
      </c>
      <c r="I5154" t="s">
        <v>913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162</v>
      </c>
      <c r="D5155" t="s">
        <v>243</v>
      </c>
      <c r="E5155" t="s">
        <v>89</v>
      </c>
      <c r="F5155">
        <v>31</v>
      </c>
      <c r="G5155" t="s">
        <v>239</v>
      </c>
      <c r="H5155" t="s">
        <v>198</v>
      </c>
      <c r="I5155" t="s">
        <v>913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159</v>
      </c>
      <c r="D5156" t="s">
        <v>914</v>
      </c>
      <c r="E5156" t="s">
        <v>179</v>
      </c>
      <c r="F5156">
        <v>16</v>
      </c>
      <c r="G5156" t="s">
        <v>180</v>
      </c>
      <c r="H5156" t="s">
        <v>181</v>
      </c>
      <c r="I5156" t="s">
        <v>915</v>
      </c>
      <c r="J5156" t="s">
        <v>626</v>
      </c>
    </row>
    <row r="5157" spans="1:10" x14ac:dyDescent="0.25">
      <c r="A5157" s="1" t="s">
        <v>27</v>
      </c>
      <c r="B5157">
        <v>401757225</v>
      </c>
      <c r="C5157" t="s">
        <v>159</v>
      </c>
      <c r="D5157" t="s">
        <v>914</v>
      </c>
      <c r="E5157" t="s">
        <v>179</v>
      </c>
      <c r="F5157">
        <v>16</v>
      </c>
      <c r="G5157" t="s">
        <v>180</v>
      </c>
      <c r="H5157" t="s">
        <v>181</v>
      </c>
      <c r="I5157" t="s">
        <v>916</v>
      </c>
      <c r="J5157" s="73">
        <v>45659</v>
      </c>
    </row>
    <row r="5158" spans="1:10" x14ac:dyDescent="0.25">
      <c r="A5158" s="1" t="s">
        <v>27</v>
      </c>
      <c r="B5158">
        <v>401757225</v>
      </c>
      <c r="C5158" t="s">
        <v>159</v>
      </c>
      <c r="D5158" t="s">
        <v>914</v>
      </c>
      <c r="E5158" t="s">
        <v>179</v>
      </c>
      <c r="F5158">
        <v>16</v>
      </c>
      <c r="G5158" t="s">
        <v>180</v>
      </c>
      <c r="H5158" t="s">
        <v>186</v>
      </c>
      <c r="I5158" t="s">
        <v>915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159</v>
      </c>
      <c r="D5159" t="s">
        <v>914</v>
      </c>
      <c r="E5159" t="s">
        <v>179</v>
      </c>
      <c r="F5159">
        <v>16</v>
      </c>
      <c r="G5159" t="s">
        <v>180</v>
      </c>
      <c r="H5159" t="s">
        <v>186</v>
      </c>
      <c r="I5159" t="s">
        <v>916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159</v>
      </c>
      <c r="D5160" t="s">
        <v>914</v>
      </c>
      <c r="E5160" t="s">
        <v>179</v>
      </c>
      <c r="F5160">
        <v>16</v>
      </c>
      <c r="G5160" t="s">
        <v>180</v>
      </c>
      <c r="H5160" t="s">
        <v>187</v>
      </c>
      <c r="I5160" t="s">
        <v>915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159</v>
      </c>
      <c r="D5161" t="s">
        <v>914</v>
      </c>
      <c r="E5161" t="s">
        <v>179</v>
      </c>
      <c r="F5161">
        <v>16</v>
      </c>
      <c r="G5161" t="s">
        <v>180</v>
      </c>
      <c r="H5161" t="s">
        <v>187</v>
      </c>
      <c r="I5161" t="s">
        <v>916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159</v>
      </c>
      <c r="D5162" t="s">
        <v>914</v>
      </c>
      <c r="E5162" t="s">
        <v>179</v>
      </c>
      <c r="F5162">
        <v>16</v>
      </c>
      <c r="G5162" t="s">
        <v>180</v>
      </c>
      <c r="H5162" t="s">
        <v>188</v>
      </c>
      <c r="I5162" t="s">
        <v>915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159</v>
      </c>
      <c r="D5163" t="s">
        <v>914</v>
      </c>
      <c r="E5163" t="s">
        <v>179</v>
      </c>
      <c r="F5163">
        <v>16</v>
      </c>
      <c r="G5163" t="s">
        <v>180</v>
      </c>
      <c r="H5163" t="s">
        <v>188</v>
      </c>
      <c r="I5163" t="s">
        <v>916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159</v>
      </c>
      <c r="D5164" t="s">
        <v>914</v>
      </c>
      <c r="E5164" t="s">
        <v>179</v>
      </c>
      <c r="F5164">
        <v>16</v>
      </c>
      <c r="G5164" t="s">
        <v>180</v>
      </c>
      <c r="H5164" t="s">
        <v>189</v>
      </c>
      <c r="I5164" t="s">
        <v>915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159</v>
      </c>
      <c r="D5165" t="s">
        <v>914</v>
      </c>
      <c r="E5165" t="s">
        <v>179</v>
      </c>
      <c r="F5165">
        <v>16</v>
      </c>
      <c r="G5165" t="s">
        <v>180</v>
      </c>
      <c r="H5165" t="s">
        <v>189</v>
      </c>
      <c r="I5165" t="s">
        <v>916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159</v>
      </c>
      <c r="D5166" t="s">
        <v>914</v>
      </c>
      <c r="E5166" t="s">
        <v>179</v>
      </c>
      <c r="F5166">
        <v>16</v>
      </c>
      <c r="G5166" t="s">
        <v>192</v>
      </c>
      <c r="H5166" t="s">
        <v>193</v>
      </c>
      <c r="I5166" t="s">
        <v>917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159</v>
      </c>
      <c r="D5167" t="s">
        <v>914</v>
      </c>
      <c r="E5167" t="s">
        <v>179</v>
      </c>
      <c r="F5167">
        <v>16</v>
      </c>
      <c r="G5167" t="s">
        <v>192</v>
      </c>
      <c r="H5167" t="s">
        <v>193</v>
      </c>
      <c r="I5167" t="s">
        <v>918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159</v>
      </c>
      <c r="D5168" t="s">
        <v>914</v>
      </c>
      <c r="E5168" t="s">
        <v>179</v>
      </c>
      <c r="F5168">
        <v>16</v>
      </c>
      <c r="G5168" t="s">
        <v>192</v>
      </c>
      <c r="H5168" t="s">
        <v>193</v>
      </c>
      <c r="I5168" t="s">
        <v>919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159</v>
      </c>
      <c r="D5169" t="s">
        <v>914</v>
      </c>
      <c r="E5169" t="s">
        <v>179</v>
      </c>
      <c r="F5169">
        <v>16</v>
      </c>
      <c r="G5169" t="s">
        <v>192</v>
      </c>
      <c r="H5169" t="s">
        <v>193</v>
      </c>
      <c r="I5169" t="s">
        <v>158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159</v>
      </c>
      <c r="D5170" t="s">
        <v>914</v>
      </c>
      <c r="E5170" t="s">
        <v>179</v>
      </c>
      <c r="F5170">
        <v>16</v>
      </c>
      <c r="G5170" t="s">
        <v>192</v>
      </c>
      <c r="H5170" t="s">
        <v>193</v>
      </c>
      <c r="I5170" t="s">
        <v>915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159</v>
      </c>
      <c r="D5171" t="s">
        <v>914</v>
      </c>
      <c r="E5171" t="s">
        <v>179</v>
      </c>
      <c r="F5171">
        <v>16</v>
      </c>
      <c r="G5171" t="s">
        <v>192</v>
      </c>
      <c r="H5171" t="s">
        <v>186</v>
      </c>
      <c r="I5171" t="s">
        <v>917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159</v>
      </c>
      <c r="D5172" t="s">
        <v>914</v>
      </c>
      <c r="E5172" t="s">
        <v>179</v>
      </c>
      <c r="F5172">
        <v>16</v>
      </c>
      <c r="G5172" t="s">
        <v>192</v>
      </c>
      <c r="H5172" t="s">
        <v>186</v>
      </c>
      <c r="I5172" t="s">
        <v>918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159</v>
      </c>
      <c r="D5173" t="s">
        <v>914</v>
      </c>
      <c r="E5173" t="s">
        <v>179</v>
      </c>
      <c r="F5173">
        <v>16</v>
      </c>
      <c r="G5173" t="s">
        <v>192</v>
      </c>
      <c r="H5173" t="s">
        <v>186</v>
      </c>
      <c r="I5173" t="s">
        <v>919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159</v>
      </c>
      <c r="D5174" t="s">
        <v>914</v>
      </c>
      <c r="E5174" t="s">
        <v>179</v>
      </c>
      <c r="F5174">
        <v>16</v>
      </c>
      <c r="G5174" t="s">
        <v>192</v>
      </c>
      <c r="H5174" t="s">
        <v>186</v>
      </c>
      <c r="I5174" t="s">
        <v>158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159</v>
      </c>
      <c r="D5175" t="s">
        <v>914</v>
      </c>
      <c r="E5175" t="s">
        <v>179</v>
      </c>
      <c r="F5175">
        <v>16</v>
      </c>
      <c r="G5175" t="s">
        <v>192</v>
      </c>
      <c r="H5175" t="s">
        <v>186</v>
      </c>
      <c r="I5175" t="s">
        <v>915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159</v>
      </c>
      <c r="D5176" t="s">
        <v>914</v>
      </c>
      <c r="E5176" t="s">
        <v>179</v>
      </c>
      <c r="F5176">
        <v>16</v>
      </c>
      <c r="G5176" t="s">
        <v>192</v>
      </c>
      <c r="H5176" t="s">
        <v>187</v>
      </c>
      <c r="I5176" t="s">
        <v>917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159</v>
      </c>
      <c r="D5177" t="s">
        <v>914</v>
      </c>
      <c r="E5177" t="s">
        <v>179</v>
      </c>
      <c r="F5177">
        <v>16</v>
      </c>
      <c r="G5177" t="s">
        <v>192</v>
      </c>
      <c r="H5177" t="s">
        <v>187</v>
      </c>
      <c r="I5177" t="s">
        <v>918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159</v>
      </c>
      <c r="D5178" t="s">
        <v>914</v>
      </c>
      <c r="E5178" t="s">
        <v>179</v>
      </c>
      <c r="F5178">
        <v>16</v>
      </c>
      <c r="G5178" t="s">
        <v>192</v>
      </c>
      <c r="H5178" t="s">
        <v>187</v>
      </c>
      <c r="I5178" t="s">
        <v>919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159</v>
      </c>
      <c r="D5179" t="s">
        <v>914</v>
      </c>
      <c r="E5179" t="s">
        <v>179</v>
      </c>
      <c r="F5179">
        <v>16</v>
      </c>
      <c r="G5179" t="s">
        <v>192</v>
      </c>
      <c r="H5179" t="s">
        <v>187</v>
      </c>
      <c r="I5179" t="s">
        <v>158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159</v>
      </c>
      <c r="D5180" t="s">
        <v>914</v>
      </c>
      <c r="E5180" t="s">
        <v>179</v>
      </c>
      <c r="F5180">
        <v>16</v>
      </c>
      <c r="G5180" t="s">
        <v>192</v>
      </c>
      <c r="H5180" t="s">
        <v>187</v>
      </c>
      <c r="I5180" t="s">
        <v>915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159</v>
      </c>
      <c r="D5181" t="s">
        <v>914</v>
      </c>
      <c r="E5181" t="s">
        <v>179</v>
      </c>
      <c r="F5181">
        <v>16</v>
      </c>
      <c r="G5181" t="s">
        <v>192</v>
      </c>
      <c r="H5181" t="s">
        <v>188</v>
      </c>
      <c r="I5181" t="s">
        <v>917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159</v>
      </c>
      <c r="D5182" t="s">
        <v>914</v>
      </c>
      <c r="E5182" t="s">
        <v>179</v>
      </c>
      <c r="F5182">
        <v>16</v>
      </c>
      <c r="G5182" t="s">
        <v>192</v>
      </c>
      <c r="H5182" t="s">
        <v>188</v>
      </c>
      <c r="I5182" t="s">
        <v>918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159</v>
      </c>
      <c r="D5183" t="s">
        <v>914</v>
      </c>
      <c r="E5183" t="s">
        <v>179</v>
      </c>
      <c r="F5183">
        <v>16</v>
      </c>
      <c r="G5183" t="s">
        <v>192</v>
      </c>
      <c r="H5183" t="s">
        <v>188</v>
      </c>
      <c r="I5183" t="s">
        <v>919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159</v>
      </c>
      <c r="D5184" t="s">
        <v>914</v>
      </c>
      <c r="E5184" t="s">
        <v>179</v>
      </c>
      <c r="F5184">
        <v>16</v>
      </c>
      <c r="G5184" t="s">
        <v>192</v>
      </c>
      <c r="H5184" t="s">
        <v>188</v>
      </c>
      <c r="I5184" t="s">
        <v>158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159</v>
      </c>
      <c r="D5185" t="s">
        <v>914</v>
      </c>
      <c r="E5185" t="s">
        <v>179</v>
      </c>
      <c r="F5185">
        <v>16</v>
      </c>
      <c r="G5185" t="s">
        <v>192</v>
      </c>
      <c r="H5185" t="s">
        <v>188</v>
      </c>
      <c r="I5185" t="s">
        <v>915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159</v>
      </c>
      <c r="D5186" t="s">
        <v>914</v>
      </c>
      <c r="E5186" t="s">
        <v>179</v>
      </c>
      <c r="F5186">
        <v>16</v>
      </c>
      <c r="G5186" t="s">
        <v>192</v>
      </c>
      <c r="H5186" t="s">
        <v>198</v>
      </c>
      <c r="I5186" t="s">
        <v>917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159</v>
      </c>
      <c r="D5187" t="s">
        <v>914</v>
      </c>
      <c r="E5187" t="s">
        <v>179</v>
      </c>
      <c r="F5187">
        <v>16</v>
      </c>
      <c r="G5187" t="s">
        <v>192</v>
      </c>
      <c r="H5187" t="s">
        <v>198</v>
      </c>
      <c r="I5187" t="s">
        <v>918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159</v>
      </c>
      <c r="D5188" t="s">
        <v>914</v>
      </c>
      <c r="E5188" t="s">
        <v>179</v>
      </c>
      <c r="F5188">
        <v>16</v>
      </c>
      <c r="G5188" t="s">
        <v>192</v>
      </c>
      <c r="H5188" t="s">
        <v>198</v>
      </c>
      <c r="I5188" t="s">
        <v>919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159</v>
      </c>
      <c r="D5189" t="s">
        <v>914</v>
      </c>
      <c r="E5189" t="s">
        <v>179</v>
      </c>
      <c r="F5189">
        <v>16</v>
      </c>
      <c r="G5189" t="s">
        <v>192</v>
      </c>
      <c r="H5189" t="s">
        <v>198</v>
      </c>
      <c r="I5189" t="s">
        <v>158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159</v>
      </c>
      <c r="D5190" t="s">
        <v>914</v>
      </c>
      <c r="E5190" t="s">
        <v>179</v>
      </c>
      <c r="F5190">
        <v>16</v>
      </c>
      <c r="G5190" t="s">
        <v>192</v>
      </c>
      <c r="H5190" t="s">
        <v>198</v>
      </c>
      <c r="I5190" t="s">
        <v>915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159</v>
      </c>
      <c r="D5191" t="s">
        <v>914</v>
      </c>
      <c r="E5191" t="s">
        <v>179</v>
      </c>
      <c r="F5191">
        <v>16</v>
      </c>
      <c r="G5191" t="s">
        <v>199</v>
      </c>
      <c r="H5191" t="s">
        <v>0</v>
      </c>
      <c r="I5191" t="s">
        <v>158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159</v>
      </c>
      <c r="D5192" t="s">
        <v>914</v>
      </c>
      <c r="E5192" t="s">
        <v>179</v>
      </c>
      <c r="F5192">
        <v>16</v>
      </c>
      <c r="G5192" t="s">
        <v>199</v>
      </c>
      <c r="H5192" t="s">
        <v>0</v>
      </c>
      <c r="I5192" t="s">
        <v>920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159</v>
      </c>
      <c r="D5193" t="s">
        <v>914</v>
      </c>
      <c r="E5193" t="s">
        <v>179</v>
      </c>
      <c r="F5193">
        <v>16</v>
      </c>
      <c r="G5193" t="s">
        <v>199</v>
      </c>
      <c r="H5193" t="s">
        <v>0</v>
      </c>
      <c r="I5193" t="s">
        <v>917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159</v>
      </c>
      <c r="D5194" t="s">
        <v>914</v>
      </c>
      <c r="E5194" t="s">
        <v>179</v>
      </c>
      <c r="F5194">
        <v>16</v>
      </c>
      <c r="G5194" t="s">
        <v>199</v>
      </c>
      <c r="H5194" t="s">
        <v>0</v>
      </c>
      <c r="I5194" t="s">
        <v>918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159</v>
      </c>
      <c r="D5195" t="s">
        <v>914</v>
      </c>
      <c r="E5195" t="s">
        <v>179</v>
      </c>
      <c r="F5195">
        <v>16</v>
      </c>
      <c r="G5195" t="s">
        <v>199</v>
      </c>
      <c r="H5195" t="s">
        <v>0</v>
      </c>
      <c r="I5195" t="s">
        <v>921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159</v>
      </c>
      <c r="D5196" t="s">
        <v>914</v>
      </c>
      <c r="E5196" t="s">
        <v>179</v>
      </c>
      <c r="F5196">
        <v>16</v>
      </c>
      <c r="G5196" t="s">
        <v>199</v>
      </c>
      <c r="H5196" t="s">
        <v>0</v>
      </c>
      <c r="I5196" t="s">
        <v>919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159</v>
      </c>
      <c r="D5197" t="s">
        <v>914</v>
      </c>
      <c r="E5197" t="s">
        <v>179</v>
      </c>
      <c r="F5197">
        <v>16</v>
      </c>
      <c r="G5197" t="s">
        <v>199</v>
      </c>
      <c r="H5197" t="s">
        <v>0</v>
      </c>
      <c r="I5197" t="s">
        <v>922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159</v>
      </c>
      <c r="D5198" t="s">
        <v>914</v>
      </c>
      <c r="E5198" t="s">
        <v>179</v>
      </c>
      <c r="F5198">
        <v>16</v>
      </c>
      <c r="G5198" t="s">
        <v>199</v>
      </c>
      <c r="H5198" t="s">
        <v>0</v>
      </c>
      <c r="I5198" t="s">
        <v>923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159</v>
      </c>
      <c r="D5199" t="s">
        <v>914</v>
      </c>
      <c r="E5199" t="s">
        <v>179</v>
      </c>
      <c r="F5199">
        <v>16</v>
      </c>
      <c r="G5199" t="s">
        <v>199</v>
      </c>
      <c r="H5199" t="s">
        <v>186</v>
      </c>
      <c r="I5199" t="s">
        <v>158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159</v>
      </c>
      <c r="D5200" t="s">
        <v>914</v>
      </c>
      <c r="E5200" t="s">
        <v>179</v>
      </c>
      <c r="F5200">
        <v>16</v>
      </c>
      <c r="G5200" t="s">
        <v>199</v>
      </c>
      <c r="H5200" t="s">
        <v>186</v>
      </c>
      <c r="I5200" t="s">
        <v>920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159</v>
      </c>
      <c r="D5201" t="s">
        <v>914</v>
      </c>
      <c r="E5201" t="s">
        <v>179</v>
      </c>
      <c r="F5201">
        <v>16</v>
      </c>
      <c r="G5201" t="s">
        <v>199</v>
      </c>
      <c r="H5201" t="s">
        <v>186</v>
      </c>
      <c r="I5201" t="s">
        <v>917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159</v>
      </c>
      <c r="D5202" t="s">
        <v>914</v>
      </c>
      <c r="E5202" t="s">
        <v>179</v>
      </c>
      <c r="F5202">
        <v>16</v>
      </c>
      <c r="G5202" t="s">
        <v>199</v>
      </c>
      <c r="H5202" t="s">
        <v>186</v>
      </c>
      <c r="I5202" t="s">
        <v>918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159</v>
      </c>
      <c r="D5203" t="s">
        <v>914</v>
      </c>
      <c r="E5203" t="s">
        <v>179</v>
      </c>
      <c r="F5203">
        <v>16</v>
      </c>
      <c r="G5203" t="s">
        <v>199</v>
      </c>
      <c r="H5203" t="s">
        <v>186</v>
      </c>
      <c r="I5203" t="s">
        <v>921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159</v>
      </c>
      <c r="D5204" t="s">
        <v>914</v>
      </c>
      <c r="E5204" t="s">
        <v>179</v>
      </c>
      <c r="F5204">
        <v>16</v>
      </c>
      <c r="G5204" t="s">
        <v>199</v>
      </c>
      <c r="H5204" t="s">
        <v>186</v>
      </c>
      <c r="I5204" t="s">
        <v>919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159</v>
      </c>
      <c r="D5205" t="s">
        <v>914</v>
      </c>
      <c r="E5205" t="s">
        <v>179</v>
      </c>
      <c r="F5205">
        <v>16</v>
      </c>
      <c r="G5205" t="s">
        <v>199</v>
      </c>
      <c r="H5205" t="s">
        <v>186</v>
      </c>
      <c r="I5205" t="s">
        <v>922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159</v>
      </c>
      <c r="D5206" t="s">
        <v>914</v>
      </c>
      <c r="E5206" t="s">
        <v>179</v>
      </c>
      <c r="F5206">
        <v>16</v>
      </c>
      <c r="G5206" t="s">
        <v>199</v>
      </c>
      <c r="H5206" t="s">
        <v>186</v>
      </c>
      <c r="I5206" t="s">
        <v>923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159</v>
      </c>
      <c r="D5207" t="s">
        <v>914</v>
      </c>
      <c r="E5207" t="s">
        <v>179</v>
      </c>
      <c r="F5207">
        <v>16</v>
      </c>
      <c r="G5207" t="s">
        <v>199</v>
      </c>
      <c r="H5207" t="s">
        <v>187</v>
      </c>
      <c r="I5207" t="s">
        <v>158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159</v>
      </c>
      <c r="D5208" t="s">
        <v>914</v>
      </c>
      <c r="E5208" t="s">
        <v>179</v>
      </c>
      <c r="F5208">
        <v>16</v>
      </c>
      <c r="G5208" t="s">
        <v>199</v>
      </c>
      <c r="H5208" t="s">
        <v>187</v>
      </c>
      <c r="I5208" t="s">
        <v>920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159</v>
      </c>
      <c r="D5209" t="s">
        <v>914</v>
      </c>
      <c r="E5209" t="s">
        <v>179</v>
      </c>
      <c r="F5209">
        <v>16</v>
      </c>
      <c r="G5209" t="s">
        <v>199</v>
      </c>
      <c r="H5209" t="s">
        <v>187</v>
      </c>
      <c r="I5209" t="s">
        <v>917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159</v>
      </c>
      <c r="D5210" t="s">
        <v>914</v>
      </c>
      <c r="E5210" t="s">
        <v>179</v>
      </c>
      <c r="F5210">
        <v>16</v>
      </c>
      <c r="G5210" t="s">
        <v>199</v>
      </c>
      <c r="H5210" t="s">
        <v>187</v>
      </c>
      <c r="I5210" t="s">
        <v>918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159</v>
      </c>
      <c r="D5211" t="s">
        <v>914</v>
      </c>
      <c r="E5211" t="s">
        <v>179</v>
      </c>
      <c r="F5211">
        <v>16</v>
      </c>
      <c r="G5211" t="s">
        <v>199</v>
      </c>
      <c r="H5211" t="s">
        <v>187</v>
      </c>
      <c r="I5211" t="s">
        <v>921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159</v>
      </c>
      <c r="D5212" t="s">
        <v>914</v>
      </c>
      <c r="E5212" t="s">
        <v>179</v>
      </c>
      <c r="F5212">
        <v>16</v>
      </c>
      <c r="G5212" t="s">
        <v>199</v>
      </c>
      <c r="H5212" t="s">
        <v>187</v>
      </c>
      <c r="I5212" t="s">
        <v>919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159</v>
      </c>
      <c r="D5213" t="s">
        <v>914</v>
      </c>
      <c r="E5213" t="s">
        <v>179</v>
      </c>
      <c r="F5213">
        <v>16</v>
      </c>
      <c r="G5213" t="s">
        <v>199</v>
      </c>
      <c r="H5213" t="s">
        <v>187</v>
      </c>
      <c r="I5213" t="s">
        <v>922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159</v>
      </c>
      <c r="D5214" t="s">
        <v>914</v>
      </c>
      <c r="E5214" t="s">
        <v>179</v>
      </c>
      <c r="F5214">
        <v>16</v>
      </c>
      <c r="G5214" t="s">
        <v>199</v>
      </c>
      <c r="H5214" t="s">
        <v>187</v>
      </c>
      <c r="I5214" t="s">
        <v>923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159</v>
      </c>
      <c r="D5215" t="s">
        <v>914</v>
      </c>
      <c r="E5215" t="s">
        <v>179</v>
      </c>
      <c r="F5215">
        <v>16</v>
      </c>
      <c r="G5215" t="s">
        <v>199</v>
      </c>
      <c r="H5215" t="s">
        <v>188</v>
      </c>
      <c r="I5215" t="s">
        <v>158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159</v>
      </c>
      <c r="D5216" t="s">
        <v>914</v>
      </c>
      <c r="E5216" t="s">
        <v>179</v>
      </c>
      <c r="F5216">
        <v>16</v>
      </c>
      <c r="G5216" t="s">
        <v>199</v>
      </c>
      <c r="H5216" t="s">
        <v>188</v>
      </c>
      <c r="I5216" t="s">
        <v>920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159</v>
      </c>
      <c r="D5217" t="s">
        <v>914</v>
      </c>
      <c r="E5217" t="s">
        <v>179</v>
      </c>
      <c r="F5217">
        <v>16</v>
      </c>
      <c r="G5217" t="s">
        <v>199</v>
      </c>
      <c r="H5217" t="s">
        <v>188</v>
      </c>
      <c r="I5217" t="s">
        <v>917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159</v>
      </c>
      <c r="D5218" t="s">
        <v>914</v>
      </c>
      <c r="E5218" t="s">
        <v>179</v>
      </c>
      <c r="F5218">
        <v>16</v>
      </c>
      <c r="G5218" t="s">
        <v>199</v>
      </c>
      <c r="H5218" t="s">
        <v>188</v>
      </c>
      <c r="I5218" t="s">
        <v>918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159</v>
      </c>
      <c r="D5219" t="s">
        <v>914</v>
      </c>
      <c r="E5219" t="s">
        <v>179</v>
      </c>
      <c r="F5219">
        <v>16</v>
      </c>
      <c r="G5219" t="s">
        <v>199</v>
      </c>
      <c r="H5219" t="s">
        <v>188</v>
      </c>
      <c r="I5219" t="s">
        <v>921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159</v>
      </c>
      <c r="D5220" t="s">
        <v>914</v>
      </c>
      <c r="E5220" t="s">
        <v>179</v>
      </c>
      <c r="F5220">
        <v>16</v>
      </c>
      <c r="G5220" t="s">
        <v>199</v>
      </c>
      <c r="H5220" t="s">
        <v>188</v>
      </c>
      <c r="I5220" t="s">
        <v>919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159</v>
      </c>
      <c r="D5221" t="s">
        <v>914</v>
      </c>
      <c r="E5221" t="s">
        <v>179</v>
      </c>
      <c r="F5221">
        <v>16</v>
      </c>
      <c r="G5221" t="s">
        <v>199</v>
      </c>
      <c r="H5221" t="s">
        <v>188</v>
      </c>
      <c r="I5221" t="s">
        <v>922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159</v>
      </c>
      <c r="D5222" t="s">
        <v>914</v>
      </c>
      <c r="E5222" t="s">
        <v>179</v>
      </c>
      <c r="F5222">
        <v>16</v>
      </c>
      <c r="G5222" t="s">
        <v>199</v>
      </c>
      <c r="H5222" t="s">
        <v>188</v>
      </c>
      <c r="I5222" t="s">
        <v>923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159</v>
      </c>
      <c r="D5223" t="s">
        <v>914</v>
      </c>
      <c r="E5223" t="s">
        <v>179</v>
      </c>
      <c r="F5223">
        <v>16</v>
      </c>
      <c r="G5223" t="s">
        <v>199</v>
      </c>
      <c r="H5223" t="s">
        <v>198</v>
      </c>
      <c r="I5223" t="s">
        <v>158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159</v>
      </c>
      <c r="D5224" t="s">
        <v>914</v>
      </c>
      <c r="E5224" t="s">
        <v>179</v>
      </c>
      <c r="F5224">
        <v>16</v>
      </c>
      <c r="G5224" t="s">
        <v>199</v>
      </c>
      <c r="H5224" t="s">
        <v>198</v>
      </c>
      <c r="I5224" t="s">
        <v>920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159</v>
      </c>
      <c r="D5225" t="s">
        <v>914</v>
      </c>
      <c r="E5225" t="s">
        <v>179</v>
      </c>
      <c r="F5225">
        <v>16</v>
      </c>
      <c r="G5225" t="s">
        <v>199</v>
      </c>
      <c r="H5225" t="s">
        <v>198</v>
      </c>
      <c r="I5225" t="s">
        <v>917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159</v>
      </c>
      <c r="D5226" t="s">
        <v>914</v>
      </c>
      <c r="E5226" t="s">
        <v>179</v>
      </c>
      <c r="F5226">
        <v>16</v>
      </c>
      <c r="G5226" t="s">
        <v>199</v>
      </c>
      <c r="H5226" t="s">
        <v>198</v>
      </c>
      <c r="I5226" t="s">
        <v>918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159</v>
      </c>
      <c r="D5227" t="s">
        <v>914</v>
      </c>
      <c r="E5227" t="s">
        <v>179</v>
      </c>
      <c r="F5227">
        <v>16</v>
      </c>
      <c r="G5227" t="s">
        <v>199</v>
      </c>
      <c r="H5227" t="s">
        <v>198</v>
      </c>
      <c r="I5227" t="s">
        <v>921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159</v>
      </c>
      <c r="D5228" t="s">
        <v>914</v>
      </c>
      <c r="E5228" t="s">
        <v>179</v>
      </c>
      <c r="F5228">
        <v>16</v>
      </c>
      <c r="G5228" t="s">
        <v>199</v>
      </c>
      <c r="H5228" t="s">
        <v>198</v>
      </c>
      <c r="I5228" t="s">
        <v>919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159</v>
      </c>
      <c r="D5229" t="s">
        <v>914</v>
      </c>
      <c r="E5229" t="s">
        <v>179</v>
      </c>
      <c r="F5229">
        <v>16</v>
      </c>
      <c r="G5229" t="s">
        <v>199</v>
      </c>
      <c r="H5229" t="s">
        <v>198</v>
      </c>
      <c r="I5229" t="s">
        <v>922</v>
      </c>
      <c r="J5229">
        <v>2</v>
      </c>
    </row>
    <row r="5230" spans="1:10" x14ac:dyDescent="0.25">
      <c r="A5230" s="1" t="s">
        <v>27</v>
      </c>
      <c r="B5230">
        <v>401757225</v>
      </c>
      <c r="C5230" t="s">
        <v>159</v>
      </c>
      <c r="D5230" t="s">
        <v>914</v>
      </c>
      <c r="E5230" t="s">
        <v>179</v>
      </c>
      <c r="F5230">
        <v>16</v>
      </c>
      <c r="G5230" t="s">
        <v>199</v>
      </c>
      <c r="H5230" t="s">
        <v>198</v>
      </c>
      <c r="I5230" t="s">
        <v>923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159</v>
      </c>
      <c r="D5231" t="s">
        <v>914</v>
      </c>
      <c r="E5231" t="s">
        <v>179</v>
      </c>
      <c r="F5231">
        <v>16</v>
      </c>
      <c r="G5231" t="s">
        <v>90</v>
      </c>
      <c r="H5231" t="s">
        <v>206</v>
      </c>
      <c r="I5231" t="s">
        <v>924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159</v>
      </c>
      <c r="D5232" t="s">
        <v>914</v>
      </c>
      <c r="E5232" t="s">
        <v>179</v>
      </c>
      <c r="F5232">
        <v>16</v>
      </c>
      <c r="G5232" t="s">
        <v>90</v>
      </c>
      <c r="H5232" t="s">
        <v>206</v>
      </c>
      <c r="I5232" t="s">
        <v>925</v>
      </c>
      <c r="J5232">
        <v>8</v>
      </c>
    </row>
    <row r="5233" spans="1:10" x14ac:dyDescent="0.25">
      <c r="A5233" s="1" t="s">
        <v>27</v>
      </c>
      <c r="B5233">
        <v>401757225</v>
      </c>
      <c r="C5233" t="s">
        <v>159</v>
      </c>
      <c r="D5233" t="s">
        <v>914</v>
      </c>
      <c r="E5233" t="s">
        <v>179</v>
      </c>
      <c r="F5233">
        <v>16</v>
      </c>
      <c r="G5233" t="s">
        <v>90</v>
      </c>
      <c r="H5233" t="s">
        <v>206</v>
      </c>
      <c r="I5233" t="s">
        <v>926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159</v>
      </c>
      <c r="D5234" t="s">
        <v>914</v>
      </c>
      <c r="E5234" t="s">
        <v>179</v>
      </c>
      <c r="F5234">
        <v>16</v>
      </c>
      <c r="G5234" t="s">
        <v>90</v>
      </c>
      <c r="H5234" t="s">
        <v>206</v>
      </c>
      <c r="I5234" t="s">
        <v>927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159</v>
      </c>
      <c r="D5235" t="s">
        <v>914</v>
      </c>
      <c r="E5235" t="s">
        <v>179</v>
      </c>
      <c r="F5235">
        <v>16</v>
      </c>
      <c r="G5235" t="s">
        <v>90</v>
      </c>
      <c r="H5235" t="s">
        <v>206</v>
      </c>
      <c r="I5235" t="s">
        <v>928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159</v>
      </c>
      <c r="D5236" t="s">
        <v>914</v>
      </c>
      <c r="E5236" t="s">
        <v>179</v>
      </c>
      <c r="F5236">
        <v>16</v>
      </c>
      <c r="G5236" t="s">
        <v>90</v>
      </c>
      <c r="H5236" t="s">
        <v>206</v>
      </c>
      <c r="I5236" t="s">
        <v>929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159</v>
      </c>
      <c r="D5237" t="s">
        <v>914</v>
      </c>
      <c r="E5237" t="s">
        <v>179</v>
      </c>
      <c r="F5237">
        <v>16</v>
      </c>
      <c r="G5237" t="s">
        <v>90</v>
      </c>
      <c r="H5237" t="s">
        <v>206</v>
      </c>
      <c r="I5237" t="s">
        <v>930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159</v>
      </c>
      <c r="D5238" t="s">
        <v>914</v>
      </c>
      <c r="E5238" t="s">
        <v>179</v>
      </c>
      <c r="F5238">
        <v>16</v>
      </c>
      <c r="G5238" t="s">
        <v>90</v>
      </c>
      <c r="H5238" t="s">
        <v>206</v>
      </c>
      <c r="I5238" t="s">
        <v>931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159</v>
      </c>
      <c r="D5239" t="s">
        <v>914</v>
      </c>
      <c r="E5239" t="s">
        <v>179</v>
      </c>
      <c r="F5239">
        <v>16</v>
      </c>
      <c r="G5239" t="s">
        <v>90</v>
      </c>
      <c r="H5239" t="s">
        <v>206</v>
      </c>
      <c r="I5239" t="s">
        <v>932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159</v>
      </c>
      <c r="D5240" t="s">
        <v>914</v>
      </c>
      <c r="E5240" t="s">
        <v>179</v>
      </c>
      <c r="F5240">
        <v>16</v>
      </c>
      <c r="G5240" t="s">
        <v>90</v>
      </c>
      <c r="H5240" t="s">
        <v>206</v>
      </c>
      <c r="I5240" t="s">
        <v>933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159</v>
      </c>
      <c r="D5241" t="s">
        <v>914</v>
      </c>
      <c r="E5241" t="s">
        <v>179</v>
      </c>
      <c r="F5241">
        <v>16</v>
      </c>
      <c r="G5241" t="s">
        <v>90</v>
      </c>
      <c r="H5241" t="s">
        <v>206</v>
      </c>
      <c r="I5241" t="s">
        <v>934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159</v>
      </c>
      <c r="D5242" t="s">
        <v>914</v>
      </c>
      <c r="E5242" t="s">
        <v>179</v>
      </c>
      <c r="F5242">
        <v>16</v>
      </c>
      <c r="G5242" t="s">
        <v>90</v>
      </c>
      <c r="H5242" t="s">
        <v>206</v>
      </c>
      <c r="I5242" t="s">
        <v>935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159</v>
      </c>
      <c r="D5243" t="s">
        <v>914</v>
      </c>
      <c r="E5243" t="s">
        <v>179</v>
      </c>
      <c r="F5243">
        <v>16</v>
      </c>
      <c r="G5243" t="s">
        <v>90</v>
      </c>
      <c r="H5243" t="s">
        <v>206</v>
      </c>
      <c r="I5243" t="s">
        <v>936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159</v>
      </c>
      <c r="D5244" t="s">
        <v>914</v>
      </c>
      <c r="E5244" t="s">
        <v>179</v>
      </c>
      <c r="F5244">
        <v>16</v>
      </c>
      <c r="G5244" t="s">
        <v>90</v>
      </c>
      <c r="H5244" t="s">
        <v>206</v>
      </c>
      <c r="I5244" t="s">
        <v>937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159</v>
      </c>
      <c r="D5245" t="s">
        <v>914</v>
      </c>
      <c r="E5245" t="s">
        <v>179</v>
      </c>
      <c r="F5245">
        <v>16</v>
      </c>
      <c r="G5245" t="s">
        <v>90</v>
      </c>
      <c r="H5245" t="s">
        <v>206</v>
      </c>
      <c r="I5245" t="s">
        <v>938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159</v>
      </c>
      <c r="D5246" t="s">
        <v>914</v>
      </c>
      <c r="E5246" t="s">
        <v>179</v>
      </c>
      <c r="F5246">
        <v>16</v>
      </c>
      <c r="G5246" t="s">
        <v>90</v>
      </c>
      <c r="H5246" t="s">
        <v>206</v>
      </c>
      <c r="I5246" t="s">
        <v>939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159</v>
      </c>
      <c r="D5247" t="s">
        <v>914</v>
      </c>
      <c r="E5247" t="s">
        <v>179</v>
      </c>
      <c r="F5247">
        <v>16</v>
      </c>
      <c r="G5247" t="s">
        <v>90</v>
      </c>
      <c r="H5247" t="s">
        <v>206</v>
      </c>
      <c r="I5247" t="s">
        <v>940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159</v>
      </c>
      <c r="D5248" t="s">
        <v>914</v>
      </c>
      <c r="E5248" t="s">
        <v>179</v>
      </c>
      <c r="F5248">
        <v>16</v>
      </c>
      <c r="G5248" t="s">
        <v>90</v>
      </c>
      <c r="H5248" t="s">
        <v>206</v>
      </c>
      <c r="I5248" t="s">
        <v>941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159</v>
      </c>
      <c r="D5249" t="s">
        <v>914</v>
      </c>
      <c r="E5249" t="s">
        <v>179</v>
      </c>
      <c r="F5249">
        <v>16</v>
      </c>
      <c r="G5249" t="s">
        <v>90</v>
      </c>
      <c r="H5249" t="s">
        <v>206</v>
      </c>
      <c r="I5249" t="s">
        <v>918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159</v>
      </c>
      <c r="D5250" t="s">
        <v>914</v>
      </c>
      <c r="E5250" t="s">
        <v>179</v>
      </c>
      <c r="F5250">
        <v>16</v>
      </c>
      <c r="G5250" t="s">
        <v>90</v>
      </c>
      <c r="H5250" t="s">
        <v>206</v>
      </c>
      <c r="I5250" t="s">
        <v>942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159</v>
      </c>
      <c r="D5251" t="s">
        <v>914</v>
      </c>
      <c r="E5251" t="s">
        <v>179</v>
      </c>
      <c r="F5251">
        <v>16</v>
      </c>
      <c r="G5251" t="s">
        <v>90</v>
      </c>
      <c r="H5251" t="s">
        <v>227</v>
      </c>
      <c r="I5251" t="s">
        <v>924</v>
      </c>
      <c r="J5251">
        <v>4</v>
      </c>
    </row>
    <row r="5252" spans="1:10" x14ac:dyDescent="0.25">
      <c r="A5252" s="1" t="s">
        <v>27</v>
      </c>
      <c r="B5252">
        <v>401757225</v>
      </c>
      <c r="C5252" t="s">
        <v>159</v>
      </c>
      <c r="D5252" t="s">
        <v>914</v>
      </c>
      <c r="E5252" t="s">
        <v>179</v>
      </c>
      <c r="F5252">
        <v>16</v>
      </c>
      <c r="G5252" t="s">
        <v>90</v>
      </c>
      <c r="H5252" t="s">
        <v>227</v>
      </c>
      <c r="I5252" t="s">
        <v>925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159</v>
      </c>
      <c r="D5253" t="s">
        <v>914</v>
      </c>
      <c r="E5253" t="s">
        <v>179</v>
      </c>
      <c r="F5253">
        <v>16</v>
      </c>
      <c r="G5253" t="s">
        <v>90</v>
      </c>
      <c r="H5253" t="s">
        <v>227</v>
      </c>
      <c r="I5253" t="s">
        <v>926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159</v>
      </c>
      <c r="D5254" t="s">
        <v>914</v>
      </c>
      <c r="E5254" t="s">
        <v>179</v>
      </c>
      <c r="F5254">
        <v>16</v>
      </c>
      <c r="G5254" t="s">
        <v>90</v>
      </c>
      <c r="H5254" t="s">
        <v>227</v>
      </c>
      <c r="I5254" t="s">
        <v>927</v>
      </c>
      <c r="J5254">
        <v>5</v>
      </c>
    </row>
    <row r="5255" spans="1:10" x14ac:dyDescent="0.25">
      <c r="A5255" s="1" t="s">
        <v>27</v>
      </c>
      <c r="B5255">
        <v>401757225</v>
      </c>
      <c r="C5255" t="s">
        <v>159</v>
      </c>
      <c r="D5255" t="s">
        <v>914</v>
      </c>
      <c r="E5255" t="s">
        <v>179</v>
      </c>
      <c r="F5255">
        <v>16</v>
      </c>
      <c r="G5255" t="s">
        <v>90</v>
      </c>
      <c r="H5255" t="s">
        <v>227</v>
      </c>
      <c r="I5255" t="s">
        <v>928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159</v>
      </c>
      <c r="D5256" t="s">
        <v>914</v>
      </c>
      <c r="E5256" t="s">
        <v>179</v>
      </c>
      <c r="F5256">
        <v>16</v>
      </c>
      <c r="G5256" t="s">
        <v>90</v>
      </c>
      <c r="H5256" t="s">
        <v>227</v>
      </c>
      <c r="I5256" t="s">
        <v>929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159</v>
      </c>
      <c r="D5257" t="s">
        <v>914</v>
      </c>
      <c r="E5257" t="s">
        <v>179</v>
      </c>
      <c r="F5257">
        <v>16</v>
      </c>
      <c r="G5257" t="s">
        <v>90</v>
      </c>
      <c r="H5257" t="s">
        <v>227</v>
      </c>
      <c r="I5257" t="s">
        <v>930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159</v>
      </c>
      <c r="D5258" t="s">
        <v>914</v>
      </c>
      <c r="E5258" t="s">
        <v>179</v>
      </c>
      <c r="F5258">
        <v>16</v>
      </c>
      <c r="G5258" t="s">
        <v>90</v>
      </c>
      <c r="H5258" t="s">
        <v>227</v>
      </c>
      <c r="I5258" t="s">
        <v>931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159</v>
      </c>
      <c r="D5259" t="s">
        <v>914</v>
      </c>
      <c r="E5259" t="s">
        <v>179</v>
      </c>
      <c r="F5259">
        <v>16</v>
      </c>
      <c r="G5259" t="s">
        <v>90</v>
      </c>
      <c r="H5259" t="s">
        <v>227</v>
      </c>
      <c r="I5259" t="s">
        <v>932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159</v>
      </c>
      <c r="D5260" t="s">
        <v>914</v>
      </c>
      <c r="E5260" t="s">
        <v>179</v>
      </c>
      <c r="F5260">
        <v>16</v>
      </c>
      <c r="G5260" t="s">
        <v>90</v>
      </c>
      <c r="H5260" t="s">
        <v>227</v>
      </c>
      <c r="I5260" t="s">
        <v>933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159</v>
      </c>
      <c r="D5261" t="s">
        <v>914</v>
      </c>
      <c r="E5261" t="s">
        <v>179</v>
      </c>
      <c r="F5261">
        <v>16</v>
      </c>
      <c r="G5261" t="s">
        <v>90</v>
      </c>
      <c r="H5261" t="s">
        <v>227</v>
      </c>
      <c r="I5261" t="s">
        <v>934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159</v>
      </c>
      <c r="D5262" t="s">
        <v>914</v>
      </c>
      <c r="E5262" t="s">
        <v>179</v>
      </c>
      <c r="F5262">
        <v>16</v>
      </c>
      <c r="G5262" t="s">
        <v>90</v>
      </c>
      <c r="H5262" t="s">
        <v>227</v>
      </c>
      <c r="I5262" t="s">
        <v>935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159</v>
      </c>
      <c r="D5263" t="s">
        <v>914</v>
      </c>
      <c r="E5263" t="s">
        <v>179</v>
      </c>
      <c r="F5263">
        <v>16</v>
      </c>
      <c r="G5263" t="s">
        <v>90</v>
      </c>
      <c r="H5263" t="s">
        <v>227</v>
      </c>
      <c r="I5263" t="s">
        <v>936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159</v>
      </c>
      <c r="D5264" t="s">
        <v>914</v>
      </c>
      <c r="E5264" t="s">
        <v>179</v>
      </c>
      <c r="F5264">
        <v>16</v>
      </c>
      <c r="G5264" t="s">
        <v>90</v>
      </c>
      <c r="H5264" t="s">
        <v>227</v>
      </c>
      <c r="I5264" t="s">
        <v>937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159</v>
      </c>
      <c r="D5265" t="s">
        <v>914</v>
      </c>
      <c r="E5265" t="s">
        <v>179</v>
      </c>
      <c r="F5265">
        <v>16</v>
      </c>
      <c r="G5265" t="s">
        <v>90</v>
      </c>
      <c r="H5265" t="s">
        <v>227</v>
      </c>
      <c r="I5265" t="s">
        <v>938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159</v>
      </c>
      <c r="D5266" t="s">
        <v>914</v>
      </c>
      <c r="E5266" t="s">
        <v>179</v>
      </c>
      <c r="F5266">
        <v>16</v>
      </c>
      <c r="G5266" t="s">
        <v>90</v>
      </c>
      <c r="H5266" t="s">
        <v>227</v>
      </c>
      <c r="I5266" t="s">
        <v>939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159</v>
      </c>
      <c r="D5267" t="s">
        <v>914</v>
      </c>
      <c r="E5267" t="s">
        <v>179</v>
      </c>
      <c r="F5267">
        <v>16</v>
      </c>
      <c r="G5267" t="s">
        <v>90</v>
      </c>
      <c r="H5267" t="s">
        <v>227</v>
      </c>
      <c r="I5267" t="s">
        <v>940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159</v>
      </c>
      <c r="D5268" t="s">
        <v>914</v>
      </c>
      <c r="E5268" t="s">
        <v>179</v>
      </c>
      <c r="F5268">
        <v>16</v>
      </c>
      <c r="G5268" t="s">
        <v>90</v>
      </c>
      <c r="H5268" t="s">
        <v>227</v>
      </c>
      <c r="I5268" t="s">
        <v>941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159</v>
      </c>
      <c r="D5269" t="s">
        <v>914</v>
      </c>
      <c r="E5269" t="s">
        <v>179</v>
      </c>
      <c r="F5269">
        <v>16</v>
      </c>
      <c r="G5269" t="s">
        <v>90</v>
      </c>
      <c r="H5269" t="s">
        <v>227</v>
      </c>
      <c r="I5269" t="s">
        <v>918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159</v>
      </c>
      <c r="D5270" t="s">
        <v>914</v>
      </c>
      <c r="E5270" t="s">
        <v>179</v>
      </c>
      <c r="F5270">
        <v>16</v>
      </c>
      <c r="G5270" t="s">
        <v>90</v>
      </c>
      <c r="H5270" t="s">
        <v>227</v>
      </c>
      <c r="I5270" t="s">
        <v>942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159</v>
      </c>
      <c r="D5271" t="s">
        <v>914</v>
      </c>
      <c r="E5271" t="s">
        <v>179</v>
      </c>
      <c r="F5271">
        <v>16</v>
      </c>
      <c r="G5271" t="s">
        <v>90</v>
      </c>
      <c r="H5271" t="s">
        <v>228</v>
      </c>
      <c r="I5271" t="s">
        <v>924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159</v>
      </c>
      <c r="D5272" t="s">
        <v>914</v>
      </c>
      <c r="E5272" t="s">
        <v>179</v>
      </c>
      <c r="F5272">
        <v>16</v>
      </c>
      <c r="G5272" t="s">
        <v>90</v>
      </c>
      <c r="H5272" t="s">
        <v>228</v>
      </c>
      <c r="I5272" t="s">
        <v>925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159</v>
      </c>
      <c r="D5273" t="s">
        <v>914</v>
      </c>
      <c r="E5273" t="s">
        <v>179</v>
      </c>
      <c r="F5273">
        <v>16</v>
      </c>
      <c r="G5273" t="s">
        <v>90</v>
      </c>
      <c r="H5273" t="s">
        <v>228</v>
      </c>
      <c r="I5273" t="s">
        <v>926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159</v>
      </c>
      <c r="D5274" t="s">
        <v>914</v>
      </c>
      <c r="E5274" t="s">
        <v>179</v>
      </c>
      <c r="F5274">
        <v>16</v>
      </c>
      <c r="G5274" t="s">
        <v>90</v>
      </c>
      <c r="H5274" t="s">
        <v>228</v>
      </c>
      <c r="I5274" t="s">
        <v>927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159</v>
      </c>
      <c r="D5275" t="s">
        <v>914</v>
      </c>
      <c r="E5275" t="s">
        <v>179</v>
      </c>
      <c r="F5275">
        <v>16</v>
      </c>
      <c r="G5275" t="s">
        <v>90</v>
      </c>
      <c r="H5275" t="s">
        <v>228</v>
      </c>
      <c r="I5275" t="s">
        <v>928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159</v>
      </c>
      <c r="D5276" t="s">
        <v>914</v>
      </c>
      <c r="E5276" t="s">
        <v>179</v>
      </c>
      <c r="F5276">
        <v>16</v>
      </c>
      <c r="G5276" t="s">
        <v>90</v>
      </c>
      <c r="H5276" t="s">
        <v>228</v>
      </c>
      <c r="I5276" t="s">
        <v>929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159</v>
      </c>
      <c r="D5277" t="s">
        <v>914</v>
      </c>
      <c r="E5277" t="s">
        <v>179</v>
      </c>
      <c r="F5277">
        <v>16</v>
      </c>
      <c r="G5277" t="s">
        <v>90</v>
      </c>
      <c r="H5277" t="s">
        <v>228</v>
      </c>
      <c r="I5277" t="s">
        <v>930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159</v>
      </c>
      <c r="D5278" t="s">
        <v>914</v>
      </c>
      <c r="E5278" t="s">
        <v>179</v>
      </c>
      <c r="F5278">
        <v>16</v>
      </c>
      <c r="G5278" t="s">
        <v>90</v>
      </c>
      <c r="H5278" t="s">
        <v>228</v>
      </c>
      <c r="I5278" t="s">
        <v>931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159</v>
      </c>
      <c r="D5279" t="s">
        <v>914</v>
      </c>
      <c r="E5279" t="s">
        <v>179</v>
      </c>
      <c r="F5279">
        <v>16</v>
      </c>
      <c r="G5279" t="s">
        <v>90</v>
      </c>
      <c r="H5279" t="s">
        <v>228</v>
      </c>
      <c r="I5279" t="s">
        <v>932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159</v>
      </c>
      <c r="D5280" t="s">
        <v>914</v>
      </c>
      <c r="E5280" t="s">
        <v>179</v>
      </c>
      <c r="F5280">
        <v>16</v>
      </c>
      <c r="G5280" t="s">
        <v>90</v>
      </c>
      <c r="H5280" t="s">
        <v>228</v>
      </c>
      <c r="I5280" t="s">
        <v>933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159</v>
      </c>
      <c r="D5281" t="s">
        <v>914</v>
      </c>
      <c r="E5281" t="s">
        <v>179</v>
      </c>
      <c r="F5281">
        <v>16</v>
      </c>
      <c r="G5281" t="s">
        <v>90</v>
      </c>
      <c r="H5281" t="s">
        <v>228</v>
      </c>
      <c r="I5281" t="s">
        <v>934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159</v>
      </c>
      <c r="D5282" t="s">
        <v>914</v>
      </c>
      <c r="E5282" t="s">
        <v>179</v>
      </c>
      <c r="F5282">
        <v>16</v>
      </c>
      <c r="G5282" t="s">
        <v>90</v>
      </c>
      <c r="H5282" t="s">
        <v>228</v>
      </c>
      <c r="I5282" t="s">
        <v>935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159</v>
      </c>
      <c r="D5283" t="s">
        <v>914</v>
      </c>
      <c r="E5283" t="s">
        <v>179</v>
      </c>
      <c r="F5283">
        <v>16</v>
      </c>
      <c r="G5283" t="s">
        <v>90</v>
      </c>
      <c r="H5283" t="s">
        <v>228</v>
      </c>
      <c r="I5283" t="s">
        <v>936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159</v>
      </c>
      <c r="D5284" t="s">
        <v>914</v>
      </c>
      <c r="E5284" t="s">
        <v>179</v>
      </c>
      <c r="F5284">
        <v>16</v>
      </c>
      <c r="G5284" t="s">
        <v>90</v>
      </c>
      <c r="H5284" t="s">
        <v>228</v>
      </c>
      <c r="I5284" t="s">
        <v>937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159</v>
      </c>
      <c r="D5285" t="s">
        <v>914</v>
      </c>
      <c r="E5285" t="s">
        <v>179</v>
      </c>
      <c r="F5285">
        <v>16</v>
      </c>
      <c r="G5285" t="s">
        <v>90</v>
      </c>
      <c r="H5285" t="s">
        <v>228</v>
      </c>
      <c r="I5285" t="s">
        <v>938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159</v>
      </c>
      <c r="D5286" t="s">
        <v>914</v>
      </c>
      <c r="E5286" t="s">
        <v>179</v>
      </c>
      <c r="F5286">
        <v>16</v>
      </c>
      <c r="G5286" t="s">
        <v>90</v>
      </c>
      <c r="H5286" t="s">
        <v>228</v>
      </c>
      <c r="I5286" t="s">
        <v>939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159</v>
      </c>
      <c r="D5287" t="s">
        <v>914</v>
      </c>
      <c r="E5287" t="s">
        <v>179</v>
      </c>
      <c r="F5287">
        <v>16</v>
      </c>
      <c r="G5287" t="s">
        <v>90</v>
      </c>
      <c r="H5287" t="s">
        <v>228</v>
      </c>
      <c r="I5287" t="s">
        <v>940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159</v>
      </c>
      <c r="D5288" t="s">
        <v>914</v>
      </c>
      <c r="E5288" t="s">
        <v>179</v>
      </c>
      <c r="F5288">
        <v>16</v>
      </c>
      <c r="G5288" t="s">
        <v>90</v>
      </c>
      <c r="H5288" t="s">
        <v>228</v>
      </c>
      <c r="I5288" t="s">
        <v>941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159</v>
      </c>
      <c r="D5289" t="s">
        <v>914</v>
      </c>
      <c r="E5289" t="s">
        <v>179</v>
      </c>
      <c r="F5289">
        <v>16</v>
      </c>
      <c r="G5289" t="s">
        <v>90</v>
      </c>
      <c r="H5289" t="s">
        <v>228</v>
      </c>
      <c r="I5289" t="s">
        <v>918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159</v>
      </c>
      <c r="D5290" t="s">
        <v>914</v>
      </c>
      <c r="E5290" t="s">
        <v>179</v>
      </c>
      <c r="F5290">
        <v>16</v>
      </c>
      <c r="G5290" t="s">
        <v>90</v>
      </c>
      <c r="H5290" t="s">
        <v>228</v>
      </c>
      <c r="I5290" t="s">
        <v>942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159</v>
      </c>
      <c r="D5291" t="s">
        <v>914</v>
      </c>
      <c r="E5291" t="s">
        <v>179</v>
      </c>
      <c r="F5291">
        <v>16</v>
      </c>
      <c r="G5291" t="s">
        <v>90</v>
      </c>
      <c r="H5291" t="s">
        <v>229</v>
      </c>
      <c r="I5291" t="s">
        <v>924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159</v>
      </c>
      <c r="D5292" t="s">
        <v>914</v>
      </c>
      <c r="E5292" t="s">
        <v>179</v>
      </c>
      <c r="F5292">
        <v>16</v>
      </c>
      <c r="G5292" t="s">
        <v>90</v>
      </c>
      <c r="H5292" t="s">
        <v>229</v>
      </c>
      <c r="I5292" t="s">
        <v>925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159</v>
      </c>
      <c r="D5293" t="s">
        <v>914</v>
      </c>
      <c r="E5293" t="s">
        <v>179</v>
      </c>
      <c r="F5293">
        <v>16</v>
      </c>
      <c r="G5293" t="s">
        <v>90</v>
      </c>
      <c r="H5293" t="s">
        <v>229</v>
      </c>
      <c r="I5293" t="s">
        <v>926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159</v>
      </c>
      <c r="D5294" t="s">
        <v>914</v>
      </c>
      <c r="E5294" t="s">
        <v>179</v>
      </c>
      <c r="F5294">
        <v>16</v>
      </c>
      <c r="G5294" t="s">
        <v>90</v>
      </c>
      <c r="H5294" t="s">
        <v>229</v>
      </c>
      <c r="I5294" t="s">
        <v>927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159</v>
      </c>
      <c r="D5295" t="s">
        <v>914</v>
      </c>
      <c r="E5295" t="s">
        <v>179</v>
      </c>
      <c r="F5295">
        <v>16</v>
      </c>
      <c r="G5295" t="s">
        <v>90</v>
      </c>
      <c r="H5295" t="s">
        <v>229</v>
      </c>
      <c r="I5295" t="s">
        <v>928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159</v>
      </c>
      <c r="D5296" t="s">
        <v>914</v>
      </c>
      <c r="E5296" t="s">
        <v>179</v>
      </c>
      <c r="F5296">
        <v>16</v>
      </c>
      <c r="G5296" t="s">
        <v>90</v>
      </c>
      <c r="H5296" t="s">
        <v>229</v>
      </c>
      <c r="I5296" t="s">
        <v>929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159</v>
      </c>
      <c r="D5297" t="s">
        <v>914</v>
      </c>
      <c r="E5297" t="s">
        <v>179</v>
      </c>
      <c r="F5297">
        <v>16</v>
      </c>
      <c r="G5297" t="s">
        <v>90</v>
      </c>
      <c r="H5297" t="s">
        <v>229</v>
      </c>
      <c r="I5297" t="s">
        <v>930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159</v>
      </c>
      <c r="D5298" t="s">
        <v>914</v>
      </c>
      <c r="E5298" t="s">
        <v>179</v>
      </c>
      <c r="F5298">
        <v>16</v>
      </c>
      <c r="G5298" t="s">
        <v>90</v>
      </c>
      <c r="H5298" t="s">
        <v>229</v>
      </c>
      <c r="I5298" t="s">
        <v>931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159</v>
      </c>
      <c r="D5299" t="s">
        <v>914</v>
      </c>
      <c r="E5299" t="s">
        <v>179</v>
      </c>
      <c r="F5299">
        <v>16</v>
      </c>
      <c r="G5299" t="s">
        <v>90</v>
      </c>
      <c r="H5299" t="s">
        <v>229</v>
      </c>
      <c r="I5299" t="s">
        <v>932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159</v>
      </c>
      <c r="D5300" t="s">
        <v>914</v>
      </c>
      <c r="E5300" t="s">
        <v>179</v>
      </c>
      <c r="F5300">
        <v>16</v>
      </c>
      <c r="G5300" t="s">
        <v>90</v>
      </c>
      <c r="H5300" t="s">
        <v>229</v>
      </c>
      <c r="I5300" t="s">
        <v>933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159</v>
      </c>
      <c r="D5301" t="s">
        <v>914</v>
      </c>
      <c r="E5301" t="s">
        <v>179</v>
      </c>
      <c r="F5301">
        <v>16</v>
      </c>
      <c r="G5301" t="s">
        <v>90</v>
      </c>
      <c r="H5301" t="s">
        <v>229</v>
      </c>
      <c r="I5301" t="s">
        <v>934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159</v>
      </c>
      <c r="D5302" t="s">
        <v>914</v>
      </c>
      <c r="E5302" t="s">
        <v>179</v>
      </c>
      <c r="F5302">
        <v>16</v>
      </c>
      <c r="G5302" t="s">
        <v>90</v>
      </c>
      <c r="H5302" t="s">
        <v>229</v>
      </c>
      <c r="I5302" t="s">
        <v>935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159</v>
      </c>
      <c r="D5303" t="s">
        <v>914</v>
      </c>
      <c r="E5303" t="s">
        <v>179</v>
      </c>
      <c r="F5303">
        <v>16</v>
      </c>
      <c r="G5303" t="s">
        <v>90</v>
      </c>
      <c r="H5303" t="s">
        <v>229</v>
      </c>
      <c r="I5303" t="s">
        <v>936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159</v>
      </c>
      <c r="D5304" t="s">
        <v>914</v>
      </c>
      <c r="E5304" t="s">
        <v>179</v>
      </c>
      <c r="F5304">
        <v>16</v>
      </c>
      <c r="G5304" t="s">
        <v>90</v>
      </c>
      <c r="H5304" t="s">
        <v>229</v>
      </c>
      <c r="I5304" t="s">
        <v>937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159</v>
      </c>
      <c r="D5305" t="s">
        <v>914</v>
      </c>
      <c r="E5305" t="s">
        <v>179</v>
      </c>
      <c r="F5305">
        <v>16</v>
      </c>
      <c r="G5305" t="s">
        <v>90</v>
      </c>
      <c r="H5305" t="s">
        <v>229</v>
      </c>
      <c r="I5305" t="s">
        <v>938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159</v>
      </c>
      <c r="D5306" t="s">
        <v>914</v>
      </c>
      <c r="E5306" t="s">
        <v>179</v>
      </c>
      <c r="F5306">
        <v>16</v>
      </c>
      <c r="G5306" t="s">
        <v>90</v>
      </c>
      <c r="H5306" t="s">
        <v>229</v>
      </c>
      <c r="I5306" t="s">
        <v>939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159</v>
      </c>
      <c r="D5307" t="s">
        <v>914</v>
      </c>
      <c r="E5307" t="s">
        <v>179</v>
      </c>
      <c r="F5307">
        <v>16</v>
      </c>
      <c r="G5307" t="s">
        <v>90</v>
      </c>
      <c r="H5307" t="s">
        <v>229</v>
      </c>
      <c r="I5307" t="s">
        <v>940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159</v>
      </c>
      <c r="D5308" t="s">
        <v>914</v>
      </c>
      <c r="E5308" t="s">
        <v>179</v>
      </c>
      <c r="F5308">
        <v>16</v>
      </c>
      <c r="G5308" t="s">
        <v>90</v>
      </c>
      <c r="H5308" t="s">
        <v>229</v>
      </c>
      <c r="I5308" t="s">
        <v>941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159</v>
      </c>
      <c r="D5309" t="s">
        <v>914</v>
      </c>
      <c r="E5309" t="s">
        <v>179</v>
      </c>
      <c r="F5309">
        <v>16</v>
      </c>
      <c r="G5309" t="s">
        <v>90</v>
      </c>
      <c r="H5309" t="s">
        <v>229</v>
      </c>
      <c r="I5309" t="s">
        <v>918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159</v>
      </c>
      <c r="D5310" t="s">
        <v>914</v>
      </c>
      <c r="E5310" t="s">
        <v>179</v>
      </c>
      <c r="F5310">
        <v>16</v>
      </c>
      <c r="G5310" t="s">
        <v>90</v>
      </c>
      <c r="H5310" t="s">
        <v>229</v>
      </c>
      <c r="I5310" t="s">
        <v>942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159</v>
      </c>
      <c r="D5311" t="s">
        <v>914</v>
      </c>
      <c r="E5311" t="s">
        <v>179</v>
      </c>
      <c r="F5311">
        <v>16</v>
      </c>
      <c r="G5311" t="s">
        <v>90</v>
      </c>
      <c r="H5311" t="s">
        <v>91</v>
      </c>
      <c r="I5311" t="s">
        <v>924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159</v>
      </c>
      <c r="D5312" t="s">
        <v>914</v>
      </c>
      <c r="E5312" t="s">
        <v>179</v>
      </c>
      <c r="F5312">
        <v>16</v>
      </c>
      <c r="G5312" t="s">
        <v>90</v>
      </c>
      <c r="H5312" t="s">
        <v>91</v>
      </c>
      <c r="I5312" t="s">
        <v>925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159</v>
      </c>
      <c r="D5313" t="s">
        <v>914</v>
      </c>
      <c r="E5313" t="s">
        <v>179</v>
      </c>
      <c r="F5313">
        <v>16</v>
      </c>
      <c r="G5313" t="s">
        <v>90</v>
      </c>
      <c r="H5313" t="s">
        <v>91</v>
      </c>
      <c r="I5313" t="s">
        <v>926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159</v>
      </c>
      <c r="D5314" t="s">
        <v>914</v>
      </c>
      <c r="E5314" t="s">
        <v>179</v>
      </c>
      <c r="F5314">
        <v>16</v>
      </c>
      <c r="G5314" t="s">
        <v>90</v>
      </c>
      <c r="H5314" t="s">
        <v>91</v>
      </c>
      <c r="I5314" t="s">
        <v>927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159</v>
      </c>
      <c r="D5315" t="s">
        <v>914</v>
      </c>
      <c r="E5315" t="s">
        <v>179</v>
      </c>
      <c r="F5315">
        <v>16</v>
      </c>
      <c r="G5315" t="s">
        <v>90</v>
      </c>
      <c r="H5315" t="s">
        <v>91</v>
      </c>
      <c r="I5315" t="s">
        <v>928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159</v>
      </c>
      <c r="D5316" t="s">
        <v>914</v>
      </c>
      <c r="E5316" t="s">
        <v>179</v>
      </c>
      <c r="F5316">
        <v>16</v>
      </c>
      <c r="G5316" t="s">
        <v>90</v>
      </c>
      <c r="H5316" t="s">
        <v>91</v>
      </c>
      <c r="I5316" t="s">
        <v>929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159</v>
      </c>
      <c r="D5317" t="s">
        <v>914</v>
      </c>
      <c r="E5317" t="s">
        <v>179</v>
      </c>
      <c r="F5317">
        <v>16</v>
      </c>
      <c r="G5317" t="s">
        <v>90</v>
      </c>
      <c r="H5317" t="s">
        <v>91</v>
      </c>
      <c r="I5317" t="s">
        <v>930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159</v>
      </c>
      <c r="D5318" t="s">
        <v>914</v>
      </c>
      <c r="E5318" t="s">
        <v>179</v>
      </c>
      <c r="F5318">
        <v>16</v>
      </c>
      <c r="G5318" t="s">
        <v>90</v>
      </c>
      <c r="H5318" t="s">
        <v>91</v>
      </c>
      <c r="I5318" t="s">
        <v>931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159</v>
      </c>
      <c r="D5319" t="s">
        <v>914</v>
      </c>
      <c r="E5319" t="s">
        <v>179</v>
      </c>
      <c r="F5319">
        <v>16</v>
      </c>
      <c r="G5319" t="s">
        <v>90</v>
      </c>
      <c r="H5319" t="s">
        <v>91</v>
      </c>
      <c r="I5319" t="s">
        <v>932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159</v>
      </c>
      <c r="D5320" t="s">
        <v>914</v>
      </c>
      <c r="E5320" t="s">
        <v>179</v>
      </c>
      <c r="F5320">
        <v>16</v>
      </c>
      <c r="G5320" t="s">
        <v>90</v>
      </c>
      <c r="H5320" t="s">
        <v>91</v>
      </c>
      <c r="I5320" t="s">
        <v>933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159</v>
      </c>
      <c r="D5321" t="s">
        <v>914</v>
      </c>
      <c r="E5321" t="s">
        <v>179</v>
      </c>
      <c r="F5321">
        <v>16</v>
      </c>
      <c r="G5321" t="s">
        <v>90</v>
      </c>
      <c r="H5321" t="s">
        <v>91</v>
      </c>
      <c r="I5321" t="s">
        <v>934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159</v>
      </c>
      <c r="D5322" t="s">
        <v>914</v>
      </c>
      <c r="E5322" t="s">
        <v>179</v>
      </c>
      <c r="F5322">
        <v>16</v>
      </c>
      <c r="G5322" t="s">
        <v>90</v>
      </c>
      <c r="H5322" t="s">
        <v>91</v>
      </c>
      <c r="I5322" t="s">
        <v>935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159</v>
      </c>
      <c r="D5323" t="s">
        <v>914</v>
      </c>
      <c r="E5323" t="s">
        <v>179</v>
      </c>
      <c r="F5323">
        <v>16</v>
      </c>
      <c r="G5323" t="s">
        <v>90</v>
      </c>
      <c r="H5323" t="s">
        <v>91</v>
      </c>
      <c r="I5323" t="s">
        <v>936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159</v>
      </c>
      <c r="D5324" t="s">
        <v>914</v>
      </c>
      <c r="E5324" t="s">
        <v>179</v>
      </c>
      <c r="F5324">
        <v>16</v>
      </c>
      <c r="G5324" t="s">
        <v>90</v>
      </c>
      <c r="H5324" t="s">
        <v>91</v>
      </c>
      <c r="I5324" t="s">
        <v>937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159</v>
      </c>
      <c r="D5325" t="s">
        <v>914</v>
      </c>
      <c r="E5325" t="s">
        <v>179</v>
      </c>
      <c r="F5325">
        <v>16</v>
      </c>
      <c r="G5325" t="s">
        <v>90</v>
      </c>
      <c r="H5325" t="s">
        <v>91</v>
      </c>
      <c r="I5325" t="s">
        <v>938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159</v>
      </c>
      <c r="D5326" t="s">
        <v>914</v>
      </c>
      <c r="E5326" t="s">
        <v>179</v>
      </c>
      <c r="F5326">
        <v>16</v>
      </c>
      <c r="G5326" t="s">
        <v>90</v>
      </c>
      <c r="H5326" t="s">
        <v>91</v>
      </c>
      <c r="I5326" t="s">
        <v>939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159</v>
      </c>
      <c r="D5327" t="s">
        <v>914</v>
      </c>
      <c r="E5327" t="s">
        <v>179</v>
      </c>
      <c r="F5327">
        <v>16</v>
      </c>
      <c r="G5327" t="s">
        <v>90</v>
      </c>
      <c r="H5327" t="s">
        <v>91</v>
      </c>
      <c r="I5327" t="s">
        <v>940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159</v>
      </c>
      <c r="D5328" t="s">
        <v>914</v>
      </c>
      <c r="E5328" t="s">
        <v>179</v>
      </c>
      <c r="F5328">
        <v>16</v>
      </c>
      <c r="G5328" t="s">
        <v>90</v>
      </c>
      <c r="H5328" t="s">
        <v>91</v>
      </c>
      <c r="I5328" t="s">
        <v>941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159</v>
      </c>
      <c r="D5329" t="s">
        <v>914</v>
      </c>
      <c r="E5329" t="s">
        <v>179</v>
      </c>
      <c r="F5329">
        <v>16</v>
      </c>
      <c r="G5329" t="s">
        <v>90</v>
      </c>
      <c r="H5329" t="s">
        <v>91</v>
      </c>
      <c r="I5329" t="s">
        <v>918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159</v>
      </c>
      <c r="D5330" t="s">
        <v>914</v>
      </c>
      <c r="E5330" t="s">
        <v>179</v>
      </c>
      <c r="F5330">
        <v>16</v>
      </c>
      <c r="G5330" t="s">
        <v>90</v>
      </c>
      <c r="H5330" t="s">
        <v>91</v>
      </c>
      <c r="I5330" t="s">
        <v>942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159</v>
      </c>
      <c r="D5331" t="s">
        <v>914</v>
      </c>
      <c r="E5331" t="s">
        <v>179</v>
      </c>
      <c r="F5331">
        <v>16</v>
      </c>
      <c r="G5331" t="s">
        <v>90</v>
      </c>
      <c r="H5331" t="s">
        <v>230</v>
      </c>
      <c r="I5331" t="s">
        <v>924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159</v>
      </c>
      <c r="D5332" t="s">
        <v>914</v>
      </c>
      <c r="E5332" t="s">
        <v>179</v>
      </c>
      <c r="F5332">
        <v>16</v>
      </c>
      <c r="G5332" t="s">
        <v>90</v>
      </c>
      <c r="H5332" t="s">
        <v>230</v>
      </c>
      <c r="I5332" t="s">
        <v>925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159</v>
      </c>
      <c r="D5333" t="s">
        <v>914</v>
      </c>
      <c r="E5333" t="s">
        <v>179</v>
      </c>
      <c r="F5333">
        <v>16</v>
      </c>
      <c r="G5333" t="s">
        <v>90</v>
      </c>
      <c r="H5333" t="s">
        <v>230</v>
      </c>
      <c r="I5333" t="s">
        <v>926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159</v>
      </c>
      <c r="D5334" t="s">
        <v>914</v>
      </c>
      <c r="E5334" t="s">
        <v>179</v>
      </c>
      <c r="F5334">
        <v>16</v>
      </c>
      <c r="G5334" t="s">
        <v>90</v>
      </c>
      <c r="H5334" t="s">
        <v>230</v>
      </c>
      <c r="I5334" t="s">
        <v>927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159</v>
      </c>
      <c r="D5335" t="s">
        <v>914</v>
      </c>
      <c r="E5335" t="s">
        <v>179</v>
      </c>
      <c r="F5335">
        <v>16</v>
      </c>
      <c r="G5335" t="s">
        <v>90</v>
      </c>
      <c r="H5335" t="s">
        <v>230</v>
      </c>
      <c r="I5335" t="s">
        <v>928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159</v>
      </c>
      <c r="D5336" t="s">
        <v>914</v>
      </c>
      <c r="E5336" t="s">
        <v>179</v>
      </c>
      <c r="F5336">
        <v>16</v>
      </c>
      <c r="G5336" t="s">
        <v>90</v>
      </c>
      <c r="H5336" t="s">
        <v>230</v>
      </c>
      <c r="I5336" t="s">
        <v>929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159</v>
      </c>
      <c r="D5337" t="s">
        <v>914</v>
      </c>
      <c r="E5337" t="s">
        <v>179</v>
      </c>
      <c r="F5337">
        <v>16</v>
      </c>
      <c r="G5337" t="s">
        <v>90</v>
      </c>
      <c r="H5337" t="s">
        <v>230</v>
      </c>
      <c r="I5337" t="s">
        <v>930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159</v>
      </c>
      <c r="D5338" t="s">
        <v>914</v>
      </c>
      <c r="E5338" t="s">
        <v>179</v>
      </c>
      <c r="F5338">
        <v>16</v>
      </c>
      <c r="G5338" t="s">
        <v>90</v>
      </c>
      <c r="H5338" t="s">
        <v>230</v>
      </c>
      <c r="I5338" t="s">
        <v>931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159</v>
      </c>
      <c r="D5339" t="s">
        <v>914</v>
      </c>
      <c r="E5339" t="s">
        <v>179</v>
      </c>
      <c r="F5339">
        <v>16</v>
      </c>
      <c r="G5339" t="s">
        <v>90</v>
      </c>
      <c r="H5339" t="s">
        <v>230</v>
      </c>
      <c r="I5339" t="s">
        <v>932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159</v>
      </c>
      <c r="D5340" t="s">
        <v>914</v>
      </c>
      <c r="E5340" t="s">
        <v>179</v>
      </c>
      <c r="F5340">
        <v>16</v>
      </c>
      <c r="G5340" t="s">
        <v>90</v>
      </c>
      <c r="H5340" t="s">
        <v>230</v>
      </c>
      <c r="I5340" t="s">
        <v>933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159</v>
      </c>
      <c r="D5341" t="s">
        <v>914</v>
      </c>
      <c r="E5341" t="s">
        <v>179</v>
      </c>
      <c r="F5341">
        <v>16</v>
      </c>
      <c r="G5341" t="s">
        <v>90</v>
      </c>
      <c r="H5341" t="s">
        <v>230</v>
      </c>
      <c r="I5341" t="s">
        <v>934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159</v>
      </c>
      <c r="D5342" t="s">
        <v>914</v>
      </c>
      <c r="E5342" t="s">
        <v>179</v>
      </c>
      <c r="F5342">
        <v>16</v>
      </c>
      <c r="G5342" t="s">
        <v>90</v>
      </c>
      <c r="H5342" t="s">
        <v>230</v>
      </c>
      <c r="I5342" t="s">
        <v>935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159</v>
      </c>
      <c r="D5343" t="s">
        <v>914</v>
      </c>
      <c r="E5343" t="s">
        <v>179</v>
      </c>
      <c r="F5343">
        <v>16</v>
      </c>
      <c r="G5343" t="s">
        <v>90</v>
      </c>
      <c r="H5343" t="s">
        <v>230</v>
      </c>
      <c r="I5343" t="s">
        <v>936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159</v>
      </c>
      <c r="D5344" t="s">
        <v>914</v>
      </c>
      <c r="E5344" t="s">
        <v>179</v>
      </c>
      <c r="F5344">
        <v>16</v>
      </c>
      <c r="G5344" t="s">
        <v>90</v>
      </c>
      <c r="H5344" t="s">
        <v>230</v>
      </c>
      <c r="I5344" t="s">
        <v>937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159</v>
      </c>
      <c r="D5345" t="s">
        <v>914</v>
      </c>
      <c r="E5345" t="s">
        <v>179</v>
      </c>
      <c r="F5345">
        <v>16</v>
      </c>
      <c r="G5345" t="s">
        <v>90</v>
      </c>
      <c r="H5345" t="s">
        <v>230</v>
      </c>
      <c r="I5345" t="s">
        <v>938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159</v>
      </c>
      <c r="D5346" t="s">
        <v>914</v>
      </c>
      <c r="E5346" t="s">
        <v>179</v>
      </c>
      <c r="F5346">
        <v>16</v>
      </c>
      <c r="G5346" t="s">
        <v>90</v>
      </c>
      <c r="H5346" t="s">
        <v>230</v>
      </c>
      <c r="I5346" t="s">
        <v>939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159</v>
      </c>
      <c r="D5347" t="s">
        <v>914</v>
      </c>
      <c r="E5347" t="s">
        <v>179</v>
      </c>
      <c r="F5347">
        <v>16</v>
      </c>
      <c r="G5347" t="s">
        <v>90</v>
      </c>
      <c r="H5347" t="s">
        <v>230</v>
      </c>
      <c r="I5347" t="s">
        <v>940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159</v>
      </c>
      <c r="D5348" t="s">
        <v>914</v>
      </c>
      <c r="E5348" t="s">
        <v>179</v>
      </c>
      <c r="F5348">
        <v>16</v>
      </c>
      <c r="G5348" t="s">
        <v>90</v>
      </c>
      <c r="H5348" t="s">
        <v>230</v>
      </c>
      <c r="I5348" t="s">
        <v>941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159</v>
      </c>
      <c r="D5349" t="s">
        <v>914</v>
      </c>
      <c r="E5349" t="s">
        <v>179</v>
      </c>
      <c r="F5349">
        <v>16</v>
      </c>
      <c r="G5349" t="s">
        <v>90</v>
      </c>
      <c r="H5349" t="s">
        <v>230</v>
      </c>
      <c r="I5349" t="s">
        <v>918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159</v>
      </c>
      <c r="D5350" t="s">
        <v>914</v>
      </c>
      <c r="E5350" t="s">
        <v>179</v>
      </c>
      <c r="F5350">
        <v>16</v>
      </c>
      <c r="G5350" t="s">
        <v>90</v>
      </c>
      <c r="H5350" t="s">
        <v>230</v>
      </c>
      <c r="I5350" t="s">
        <v>942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159</v>
      </c>
      <c r="D5351" t="s">
        <v>914</v>
      </c>
      <c r="E5351" t="s">
        <v>179</v>
      </c>
      <c r="F5351">
        <v>16</v>
      </c>
      <c r="G5351" t="s">
        <v>90</v>
      </c>
      <c r="H5351" t="s">
        <v>188</v>
      </c>
      <c r="I5351" t="s">
        <v>924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159</v>
      </c>
      <c r="D5352" t="s">
        <v>914</v>
      </c>
      <c r="E5352" t="s">
        <v>179</v>
      </c>
      <c r="F5352">
        <v>16</v>
      </c>
      <c r="G5352" t="s">
        <v>90</v>
      </c>
      <c r="H5352" t="s">
        <v>188</v>
      </c>
      <c r="I5352" t="s">
        <v>925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159</v>
      </c>
      <c r="D5353" t="s">
        <v>914</v>
      </c>
      <c r="E5353" t="s">
        <v>179</v>
      </c>
      <c r="F5353">
        <v>16</v>
      </c>
      <c r="G5353" t="s">
        <v>90</v>
      </c>
      <c r="H5353" t="s">
        <v>188</v>
      </c>
      <c r="I5353" t="s">
        <v>926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159</v>
      </c>
      <c r="D5354" t="s">
        <v>914</v>
      </c>
      <c r="E5354" t="s">
        <v>179</v>
      </c>
      <c r="F5354">
        <v>16</v>
      </c>
      <c r="G5354" t="s">
        <v>90</v>
      </c>
      <c r="H5354" t="s">
        <v>188</v>
      </c>
      <c r="I5354" t="s">
        <v>927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159</v>
      </c>
      <c r="D5355" t="s">
        <v>914</v>
      </c>
      <c r="E5355" t="s">
        <v>179</v>
      </c>
      <c r="F5355">
        <v>16</v>
      </c>
      <c r="G5355" t="s">
        <v>90</v>
      </c>
      <c r="H5355" t="s">
        <v>188</v>
      </c>
      <c r="I5355" t="s">
        <v>928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159</v>
      </c>
      <c r="D5356" t="s">
        <v>914</v>
      </c>
      <c r="E5356" t="s">
        <v>179</v>
      </c>
      <c r="F5356">
        <v>16</v>
      </c>
      <c r="G5356" t="s">
        <v>90</v>
      </c>
      <c r="H5356" t="s">
        <v>188</v>
      </c>
      <c r="I5356" t="s">
        <v>929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159</v>
      </c>
      <c r="D5357" t="s">
        <v>914</v>
      </c>
      <c r="E5357" t="s">
        <v>179</v>
      </c>
      <c r="F5357">
        <v>16</v>
      </c>
      <c r="G5357" t="s">
        <v>90</v>
      </c>
      <c r="H5357" t="s">
        <v>188</v>
      </c>
      <c r="I5357" t="s">
        <v>930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159</v>
      </c>
      <c r="D5358" t="s">
        <v>914</v>
      </c>
      <c r="E5358" t="s">
        <v>179</v>
      </c>
      <c r="F5358">
        <v>16</v>
      </c>
      <c r="G5358" t="s">
        <v>90</v>
      </c>
      <c r="H5358" t="s">
        <v>188</v>
      </c>
      <c r="I5358" t="s">
        <v>931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159</v>
      </c>
      <c r="D5359" t="s">
        <v>914</v>
      </c>
      <c r="E5359" t="s">
        <v>179</v>
      </c>
      <c r="F5359">
        <v>16</v>
      </c>
      <c r="G5359" t="s">
        <v>90</v>
      </c>
      <c r="H5359" t="s">
        <v>188</v>
      </c>
      <c r="I5359" t="s">
        <v>932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159</v>
      </c>
      <c r="D5360" t="s">
        <v>914</v>
      </c>
      <c r="E5360" t="s">
        <v>179</v>
      </c>
      <c r="F5360">
        <v>16</v>
      </c>
      <c r="G5360" t="s">
        <v>90</v>
      </c>
      <c r="H5360" t="s">
        <v>188</v>
      </c>
      <c r="I5360" t="s">
        <v>933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159</v>
      </c>
      <c r="D5361" t="s">
        <v>914</v>
      </c>
      <c r="E5361" t="s">
        <v>179</v>
      </c>
      <c r="F5361">
        <v>16</v>
      </c>
      <c r="G5361" t="s">
        <v>90</v>
      </c>
      <c r="H5361" t="s">
        <v>188</v>
      </c>
      <c r="I5361" t="s">
        <v>934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159</v>
      </c>
      <c r="D5362" t="s">
        <v>914</v>
      </c>
      <c r="E5362" t="s">
        <v>179</v>
      </c>
      <c r="F5362">
        <v>16</v>
      </c>
      <c r="G5362" t="s">
        <v>90</v>
      </c>
      <c r="H5362" t="s">
        <v>188</v>
      </c>
      <c r="I5362" t="s">
        <v>935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159</v>
      </c>
      <c r="D5363" t="s">
        <v>914</v>
      </c>
      <c r="E5363" t="s">
        <v>179</v>
      </c>
      <c r="F5363">
        <v>16</v>
      </c>
      <c r="G5363" t="s">
        <v>90</v>
      </c>
      <c r="H5363" t="s">
        <v>188</v>
      </c>
      <c r="I5363" t="s">
        <v>936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159</v>
      </c>
      <c r="D5364" t="s">
        <v>914</v>
      </c>
      <c r="E5364" t="s">
        <v>179</v>
      </c>
      <c r="F5364">
        <v>16</v>
      </c>
      <c r="G5364" t="s">
        <v>90</v>
      </c>
      <c r="H5364" t="s">
        <v>188</v>
      </c>
      <c r="I5364" t="s">
        <v>937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159</v>
      </c>
      <c r="D5365" t="s">
        <v>914</v>
      </c>
      <c r="E5365" t="s">
        <v>179</v>
      </c>
      <c r="F5365">
        <v>16</v>
      </c>
      <c r="G5365" t="s">
        <v>90</v>
      </c>
      <c r="H5365" t="s">
        <v>188</v>
      </c>
      <c r="I5365" t="s">
        <v>938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159</v>
      </c>
      <c r="D5366" t="s">
        <v>914</v>
      </c>
      <c r="E5366" t="s">
        <v>179</v>
      </c>
      <c r="F5366">
        <v>16</v>
      </c>
      <c r="G5366" t="s">
        <v>90</v>
      </c>
      <c r="H5366" t="s">
        <v>188</v>
      </c>
      <c r="I5366" t="s">
        <v>939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159</v>
      </c>
      <c r="D5367" t="s">
        <v>914</v>
      </c>
      <c r="E5367" t="s">
        <v>179</v>
      </c>
      <c r="F5367">
        <v>16</v>
      </c>
      <c r="G5367" t="s">
        <v>90</v>
      </c>
      <c r="H5367" t="s">
        <v>188</v>
      </c>
      <c r="I5367" t="s">
        <v>940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159</v>
      </c>
      <c r="D5368" t="s">
        <v>914</v>
      </c>
      <c r="E5368" t="s">
        <v>179</v>
      </c>
      <c r="F5368">
        <v>16</v>
      </c>
      <c r="G5368" t="s">
        <v>90</v>
      </c>
      <c r="H5368" t="s">
        <v>188</v>
      </c>
      <c r="I5368" t="s">
        <v>941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159</v>
      </c>
      <c r="D5369" t="s">
        <v>914</v>
      </c>
      <c r="E5369" t="s">
        <v>179</v>
      </c>
      <c r="F5369">
        <v>16</v>
      </c>
      <c r="G5369" t="s">
        <v>90</v>
      </c>
      <c r="H5369" t="s">
        <v>188</v>
      </c>
      <c r="I5369" t="s">
        <v>918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159</v>
      </c>
      <c r="D5370" t="s">
        <v>914</v>
      </c>
      <c r="E5370" t="s">
        <v>179</v>
      </c>
      <c r="F5370">
        <v>16</v>
      </c>
      <c r="G5370" t="s">
        <v>90</v>
      </c>
      <c r="H5370" t="s">
        <v>188</v>
      </c>
      <c r="I5370" t="s">
        <v>942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159</v>
      </c>
      <c r="D5371" t="s">
        <v>914</v>
      </c>
      <c r="E5371" t="s">
        <v>179</v>
      </c>
      <c r="F5371">
        <v>16</v>
      </c>
      <c r="G5371" t="s">
        <v>272</v>
      </c>
      <c r="H5371" t="s">
        <v>232</v>
      </c>
      <c r="I5371" t="s">
        <v>919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159</v>
      </c>
      <c r="D5372" t="s">
        <v>914</v>
      </c>
      <c r="E5372" t="s">
        <v>179</v>
      </c>
      <c r="F5372">
        <v>16</v>
      </c>
      <c r="G5372" t="s">
        <v>272</v>
      </c>
      <c r="H5372" t="s">
        <v>186</v>
      </c>
      <c r="I5372" t="s">
        <v>919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159</v>
      </c>
      <c r="D5373" t="s">
        <v>914</v>
      </c>
      <c r="E5373" t="s">
        <v>179</v>
      </c>
      <c r="F5373">
        <v>16</v>
      </c>
      <c r="G5373" t="s">
        <v>272</v>
      </c>
      <c r="H5373" t="s">
        <v>187</v>
      </c>
      <c r="I5373" t="s">
        <v>919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159</v>
      </c>
      <c r="D5374" t="s">
        <v>914</v>
      </c>
      <c r="E5374" t="s">
        <v>179</v>
      </c>
      <c r="F5374">
        <v>16</v>
      </c>
      <c r="G5374" t="s">
        <v>272</v>
      </c>
      <c r="H5374" t="s">
        <v>198</v>
      </c>
      <c r="I5374" t="s">
        <v>919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159</v>
      </c>
      <c r="D5375" t="s">
        <v>914</v>
      </c>
      <c r="E5375" t="s">
        <v>179</v>
      </c>
      <c r="F5375">
        <v>16</v>
      </c>
      <c r="G5375" t="s">
        <v>272</v>
      </c>
      <c r="H5375" t="s">
        <v>188</v>
      </c>
      <c r="I5375" t="s">
        <v>919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159</v>
      </c>
      <c r="D5376" t="s">
        <v>914</v>
      </c>
      <c r="E5376" t="s">
        <v>179</v>
      </c>
      <c r="F5376">
        <v>16</v>
      </c>
      <c r="G5376" t="s">
        <v>231</v>
      </c>
      <c r="H5376" t="s">
        <v>232</v>
      </c>
      <c r="I5376" t="s">
        <v>917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159</v>
      </c>
      <c r="D5377" t="s">
        <v>914</v>
      </c>
      <c r="E5377" t="s">
        <v>179</v>
      </c>
      <c r="F5377">
        <v>16</v>
      </c>
      <c r="G5377" t="s">
        <v>231</v>
      </c>
      <c r="H5377" t="s">
        <v>186</v>
      </c>
      <c r="I5377" t="s">
        <v>917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159</v>
      </c>
      <c r="D5378" t="s">
        <v>914</v>
      </c>
      <c r="E5378" t="s">
        <v>179</v>
      </c>
      <c r="F5378">
        <v>16</v>
      </c>
      <c r="G5378" t="s">
        <v>231</v>
      </c>
      <c r="H5378" t="s">
        <v>187</v>
      </c>
      <c r="I5378" t="s">
        <v>917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159</v>
      </c>
      <c r="D5379" t="s">
        <v>914</v>
      </c>
      <c r="E5379" t="s">
        <v>179</v>
      </c>
      <c r="F5379">
        <v>16</v>
      </c>
      <c r="G5379" t="s">
        <v>231</v>
      </c>
      <c r="H5379" t="s">
        <v>198</v>
      </c>
      <c r="I5379" t="s">
        <v>917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159</v>
      </c>
      <c r="D5380" t="s">
        <v>914</v>
      </c>
      <c r="E5380" t="s">
        <v>179</v>
      </c>
      <c r="F5380">
        <v>16</v>
      </c>
      <c r="G5380" t="s">
        <v>231</v>
      </c>
      <c r="H5380" t="s">
        <v>188</v>
      </c>
      <c r="I5380" t="s">
        <v>917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159</v>
      </c>
      <c r="D5381" t="s">
        <v>914</v>
      </c>
      <c r="E5381" t="s">
        <v>179</v>
      </c>
      <c r="F5381">
        <v>16</v>
      </c>
      <c r="G5381" t="s">
        <v>233</v>
      </c>
      <c r="H5381" t="s">
        <v>234</v>
      </c>
      <c r="I5381" t="s">
        <v>943</v>
      </c>
      <c r="J5381" s="73">
        <v>45658</v>
      </c>
    </row>
    <row r="5382" spans="1:10" x14ac:dyDescent="0.25">
      <c r="A5382" s="1" t="s">
        <v>27</v>
      </c>
      <c r="B5382">
        <v>401757225</v>
      </c>
      <c r="C5382" t="s">
        <v>159</v>
      </c>
      <c r="D5382" t="s">
        <v>914</v>
      </c>
      <c r="E5382" t="s">
        <v>179</v>
      </c>
      <c r="F5382">
        <v>16</v>
      </c>
      <c r="G5382" t="s">
        <v>233</v>
      </c>
      <c r="H5382" t="s">
        <v>236</v>
      </c>
      <c r="I5382" t="s">
        <v>943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159</v>
      </c>
      <c r="D5383" t="s">
        <v>914</v>
      </c>
      <c r="E5383" t="s">
        <v>179</v>
      </c>
      <c r="F5383">
        <v>16</v>
      </c>
      <c r="G5383" t="s">
        <v>233</v>
      </c>
      <c r="H5383" t="s">
        <v>198</v>
      </c>
      <c r="I5383" t="s">
        <v>943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159</v>
      </c>
      <c r="D5384" t="s">
        <v>914</v>
      </c>
      <c r="E5384" t="s">
        <v>179</v>
      </c>
      <c r="F5384">
        <v>16</v>
      </c>
      <c r="G5384" t="s">
        <v>233</v>
      </c>
      <c r="H5384" t="s">
        <v>237</v>
      </c>
      <c r="I5384" t="s">
        <v>943</v>
      </c>
      <c r="J5384" s="73">
        <v>45658</v>
      </c>
    </row>
    <row r="5385" spans="1:10" x14ac:dyDescent="0.25">
      <c r="A5385" s="1" t="s">
        <v>27</v>
      </c>
      <c r="B5385">
        <v>401757225</v>
      </c>
      <c r="C5385" t="s">
        <v>159</v>
      </c>
      <c r="D5385" t="s">
        <v>914</v>
      </c>
      <c r="E5385" t="s">
        <v>179</v>
      </c>
      <c r="F5385">
        <v>16</v>
      </c>
      <c r="G5385" t="s">
        <v>233</v>
      </c>
      <c r="H5385" t="s">
        <v>238</v>
      </c>
      <c r="I5385" t="s">
        <v>943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159</v>
      </c>
      <c r="D5386" t="s">
        <v>914</v>
      </c>
      <c r="E5386" t="s">
        <v>179</v>
      </c>
      <c r="F5386">
        <v>16</v>
      </c>
      <c r="G5386" t="s">
        <v>239</v>
      </c>
      <c r="H5386" t="s">
        <v>232</v>
      </c>
      <c r="I5386" t="s">
        <v>944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159</v>
      </c>
      <c r="D5387" t="s">
        <v>914</v>
      </c>
      <c r="E5387" t="s">
        <v>179</v>
      </c>
      <c r="F5387">
        <v>16</v>
      </c>
      <c r="G5387" t="s">
        <v>239</v>
      </c>
      <c r="H5387" t="s">
        <v>232</v>
      </c>
      <c r="I5387" t="s">
        <v>915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159</v>
      </c>
      <c r="D5388" t="s">
        <v>914</v>
      </c>
      <c r="E5388" t="s">
        <v>179</v>
      </c>
      <c r="F5388">
        <v>16</v>
      </c>
      <c r="G5388" t="s">
        <v>239</v>
      </c>
      <c r="H5388" t="s">
        <v>186</v>
      </c>
      <c r="I5388" t="s">
        <v>944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159</v>
      </c>
      <c r="D5389" t="s">
        <v>914</v>
      </c>
      <c r="E5389" t="s">
        <v>179</v>
      </c>
      <c r="F5389">
        <v>16</v>
      </c>
      <c r="G5389" t="s">
        <v>239</v>
      </c>
      <c r="H5389" t="s">
        <v>186</v>
      </c>
      <c r="I5389" t="s">
        <v>915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159</v>
      </c>
      <c r="D5390" t="s">
        <v>914</v>
      </c>
      <c r="E5390" t="s">
        <v>179</v>
      </c>
      <c r="F5390">
        <v>16</v>
      </c>
      <c r="G5390" t="s">
        <v>239</v>
      </c>
      <c r="H5390" t="s">
        <v>187</v>
      </c>
      <c r="I5390" t="s">
        <v>944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159</v>
      </c>
      <c r="D5391" t="s">
        <v>914</v>
      </c>
      <c r="E5391" t="s">
        <v>179</v>
      </c>
      <c r="F5391">
        <v>16</v>
      </c>
      <c r="G5391" t="s">
        <v>239</v>
      </c>
      <c r="H5391" t="s">
        <v>187</v>
      </c>
      <c r="I5391" t="s">
        <v>915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159</v>
      </c>
      <c r="D5392" t="s">
        <v>914</v>
      </c>
      <c r="E5392" t="s">
        <v>179</v>
      </c>
      <c r="F5392">
        <v>16</v>
      </c>
      <c r="G5392" t="s">
        <v>239</v>
      </c>
      <c r="H5392" t="s">
        <v>241</v>
      </c>
      <c r="I5392" t="s">
        <v>944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159</v>
      </c>
      <c r="D5393" t="s">
        <v>914</v>
      </c>
      <c r="E5393" t="s">
        <v>179</v>
      </c>
      <c r="F5393">
        <v>16</v>
      </c>
      <c r="G5393" t="s">
        <v>239</v>
      </c>
      <c r="H5393" t="s">
        <v>241</v>
      </c>
      <c r="I5393" t="s">
        <v>915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159</v>
      </c>
      <c r="D5394" t="s">
        <v>914</v>
      </c>
      <c r="E5394" t="s">
        <v>179</v>
      </c>
      <c r="F5394">
        <v>16</v>
      </c>
      <c r="G5394" t="s">
        <v>239</v>
      </c>
      <c r="H5394" t="s">
        <v>242</v>
      </c>
      <c r="I5394" t="s">
        <v>944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159</v>
      </c>
      <c r="D5395" t="s">
        <v>914</v>
      </c>
      <c r="E5395" t="s">
        <v>179</v>
      </c>
      <c r="F5395">
        <v>16</v>
      </c>
      <c r="G5395" t="s">
        <v>239</v>
      </c>
      <c r="H5395" t="s">
        <v>242</v>
      </c>
      <c r="I5395" t="s">
        <v>915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159</v>
      </c>
      <c r="D5396" t="s">
        <v>914</v>
      </c>
      <c r="E5396" t="s">
        <v>179</v>
      </c>
      <c r="F5396">
        <v>16</v>
      </c>
      <c r="G5396" t="s">
        <v>239</v>
      </c>
      <c r="H5396" t="s">
        <v>198</v>
      </c>
      <c r="I5396" t="s">
        <v>944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159</v>
      </c>
      <c r="D5397" t="s">
        <v>914</v>
      </c>
      <c r="E5397" t="s">
        <v>179</v>
      </c>
      <c r="F5397">
        <v>16</v>
      </c>
      <c r="G5397" t="s">
        <v>239</v>
      </c>
      <c r="H5397" t="s">
        <v>198</v>
      </c>
      <c r="I5397" t="s">
        <v>915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97</v>
      </c>
      <c r="D5398" t="s">
        <v>408</v>
      </c>
      <c r="E5398" t="s">
        <v>179</v>
      </c>
      <c r="F5398">
        <v>17</v>
      </c>
      <c r="G5398" t="s">
        <v>180</v>
      </c>
      <c r="H5398" t="s">
        <v>181</v>
      </c>
      <c r="I5398" t="s">
        <v>945</v>
      </c>
      <c r="J5398" t="s">
        <v>946</v>
      </c>
    </row>
    <row r="5399" spans="1:10" x14ac:dyDescent="0.25">
      <c r="A5399" s="1" t="s">
        <v>27</v>
      </c>
      <c r="B5399">
        <v>401752665</v>
      </c>
      <c r="C5399" t="s">
        <v>97</v>
      </c>
      <c r="D5399" t="s">
        <v>408</v>
      </c>
      <c r="E5399" t="s">
        <v>179</v>
      </c>
      <c r="F5399">
        <v>17</v>
      </c>
      <c r="G5399" t="s">
        <v>180</v>
      </c>
      <c r="H5399" t="s">
        <v>186</v>
      </c>
      <c r="I5399" t="s">
        <v>945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97</v>
      </c>
      <c r="D5400" t="s">
        <v>408</v>
      </c>
      <c r="E5400" t="s">
        <v>179</v>
      </c>
      <c r="F5400">
        <v>17</v>
      </c>
      <c r="G5400" t="s">
        <v>180</v>
      </c>
      <c r="H5400" t="s">
        <v>187</v>
      </c>
      <c r="I5400" t="s">
        <v>945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97</v>
      </c>
      <c r="D5401" t="s">
        <v>408</v>
      </c>
      <c r="E5401" t="s">
        <v>179</v>
      </c>
      <c r="F5401">
        <v>17</v>
      </c>
      <c r="G5401" t="s">
        <v>180</v>
      </c>
      <c r="H5401" t="s">
        <v>188</v>
      </c>
      <c r="I5401" t="s">
        <v>945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97</v>
      </c>
      <c r="D5402" t="s">
        <v>408</v>
      </c>
      <c r="E5402" t="s">
        <v>179</v>
      </c>
      <c r="F5402">
        <v>17</v>
      </c>
      <c r="G5402" t="s">
        <v>180</v>
      </c>
      <c r="H5402" t="s">
        <v>189</v>
      </c>
      <c r="I5402" t="s">
        <v>945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97</v>
      </c>
      <c r="D5403" t="s">
        <v>408</v>
      </c>
      <c r="E5403" t="s">
        <v>179</v>
      </c>
      <c r="F5403">
        <v>17</v>
      </c>
      <c r="G5403" t="s">
        <v>180</v>
      </c>
      <c r="H5403" t="s">
        <v>190</v>
      </c>
      <c r="I5403" t="s">
        <v>945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97</v>
      </c>
      <c r="D5404" t="s">
        <v>408</v>
      </c>
      <c r="E5404" t="s">
        <v>179</v>
      </c>
      <c r="F5404">
        <v>17</v>
      </c>
      <c r="G5404" t="s">
        <v>192</v>
      </c>
      <c r="H5404" t="s">
        <v>193</v>
      </c>
      <c r="I5404" t="s">
        <v>947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97</v>
      </c>
      <c r="D5405" t="s">
        <v>408</v>
      </c>
      <c r="E5405" t="s">
        <v>179</v>
      </c>
      <c r="F5405">
        <v>17</v>
      </c>
      <c r="G5405" t="s">
        <v>192</v>
      </c>
      <c r="H5405" t="s">
        <v>193</v>
      </c>
      <c r="I5405" t="s">
        <v>948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97</v>
      </c>
      <c r="D5406" t="s">
        <v>408</v>
      </c>
      <c r="E5406" t="s">
        <v>179</v>
      </c>
      <c r="F5406">
        <v>17</v>
      </c>
      <c r="G5406" t="s">
        <v>192</v>
      </c>
      <c r="H5406" t="s">
        <v>193</v>
      </c>
      <c r="I5406" t="s">
        <v>945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97</v>
      </c>
      <c r="D5407" t="s">
        <v>408</v>
      </c>
      <c r="E5407" t="s">
        <v>179</v>
      </c>
      <c r="F5407">
        <v>17</v>
      </c>
      <c r="G5407" t="s">
        <v>192</v>
      </c>
      <c r="H5407" t="s">
        <v>193</v>
      </c>
      <c r="I5407" t="s">
        <v>949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97</v>
      </c>
      <c r="D5408" t="s">
        <v>408</v>
      </c>
      <c r="E5408" t="s">
        <v>179</v>
      </c>
      <c r="F5408">
        <v>17</v>
      </c>
      <c r="G5408" t="s">
        <v>192</v>
      </c>
      <c r="H5408" t="s">
        <v>193</v>
      </c>
      <c r="I5408" t="s">
        <v>950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97</v>
      </c>
      <c r="D5409" t="s">
        <v>408</v>
      </c>
      <c r="E5409" t="s">
        <v>179</v>
      </c>
      <c r="F5409">
        <v>17</v>
      </c>
      <c r="G5409" t="s">
        <v>192</v>
      </c>
      <c r="H5409" t="s">
        <v>193</v>
      </c>
      <c r="I5409" t="s">
        <v>951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97</v>
      </c>
      <c r="D5410" t="s">
        <v>408</v>
      </c>
      <c r="E5410" t="s">
        <v>179</v>
      </c>
      <c r="F5410">
        <v>17</v>
      </c>
      <c r="G5410" t="s">
        <v>192</v>
      </c>
      <c r="H5410" t="s">
        <v>186</v>
      </c>
      <c r="I5410" t="s">
        <v>947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97</v>
      </c>
      <c r="D5411" t="s">
        <v>408</v>
      </c>
      <c r="E5411" t="s">
        <v>179</v>
      </c>
      <c r="F5411">
        <v>17</v>
      </c>
      <c r="G5411" t="s">
        <v>192</v>
      </c>
      <c r="H5411" t="s">
        <v>186</v>
      </c>
      <c r="I5411" t="s">
        <v>948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97</v>
      </c>
      <c r="D5412" t="s">
        <v>408</v>
      </c>
      <c r="E5412" t="s">
        <v>179</v>
      </c>
      <c r="F5412">
        <v>17</v>
      </c>
      <c r="G5412" t="s">
        <v>192</v>
      </c>
      <c r="H5412" t="s">
        <v>186</v>
      </c>
      <c r="I5412" t="s">
        <v>945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97</v>
      </c>
      <c r="D5413" t="s">
        <v>408</v>
      </c>
      <c r="E5413" t="s">
        <v>179</v>
      </c>
      <c r="F5413">
        <v>17</v>
      </c>
      <c r="G5413" t="s">
        <v>192</v>
      </c>
      <c r="H5413" t="s">
        <v>186</v>
      </c>
      <c r="I5413" t="s">
        <v>949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97</v>
      </c>
      <c r="D5414" t="s">
        <v>408</v>
      </c>
      <c r="E5414" t="s">
        <v>179</v>
      </c>
      <c r="F5414">
        <v>17</v>
      </c>
      <c r="G5414" t="s">
        <v>192</v>
      </c>
      <c r="H5414" t="s">
        <v>186</v>
      </c>
      <c r="I5414" t="s">
        <v>950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97</v>
      </c>
      <c r="D5415" t="s">
        <v>408</v>
      </c>
      <c r="E5415" t="s">
        <v>179</v>
      </c>
      <c r="F5415">
        <v>17</v>
      </c>
      <c r="G5415" t="s">
        <v>192</v>
      </c>
      <c r="H5415" t="s">
        <v>186</v>
      </c>
      <c r="I5415" t="s">
        <v>951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97</v>
      </c>
      <c r="D5416" t="s">
        <v>408</v>
      </c>
      <c r="E5416" t="s">
        <v>179</v>
      </c>
      <c r="F5416">
        <v>17</v>
      </c>
      <c r="G5416" t="s">
        <v>192</v>
      </c>
      <c r="H5416" t="s">
        <v>187</v>
      </c>
      <c r="I5416" t="s">
        <v>947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97</v>
      </c>
      <c r="D5417" t="s">
        <v>408</v>
      </c>
      <c r="E5417" t="s">
        <v>179</v>
      </c>
      <c r="F5417">
        <v>17</v>
      </c>
      <c r="G5417" t="s">
        <v>192</v>
      </c>
      <c r="H5417" t="s">
        <v>187</v>
      </c>
      <c r="I5417" t="s">
        <v>948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97</v>
      </c>
      <c r="D5418" t="s">
        <v>408</v>
      </c>
      <c r="E5418" t="s">
        <v>179</v>
      </c>
      <c r="F5418">
        <v>17</v>
      </c>
      <c r="G5418" t="s">
        <v>192</v>
      </c>
      <c r="H5418" t="s">
        <v>187</v>
      </c>
      <c r="I5418" t="s">
        <v>945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97</v>
      </c>
      <c r="D5419" t="s">
        <v>408</v>
      </c>
      <c r="E5419" t="s">
        <v>179</v>
      </c>
      <c r="F5419">
        <v>17</v>
      </c>
      <c r="G5419" t="s">
        <v>192</v>
      </c>
      <c r="H5419" t="s">
        <v>187</v>
      </c>
      <c r="I5419" t="s">
        <v>949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97</v>
      </c>
      <c r="D5420" t="s">
        <v>408</v>
      </c>
      <c r="E5420" t="s">
        <v>179</v>
      </c>
      <c r="F5420">
        <v>17</v>
      </c>
      <c r="G5420" t="s">
        <v>192</v>
      </c>
      <c r="H5420" t="s">
        <v>187</v>
      </c>
      <c r="I5420" t="s">
        <v>950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97</v>
      </c>
      <c r="D5421" t="s">
        <v>408</v>
      </c>
      <c r="E5421" t="s">
        <v>179</v>
      </c>
      <c r="F5421">
        <v>17</v>
      </c>
      <c r="G5421" t="s">
        <v>192</v>
      </c>
      <c r="H5421" t="s">
        <v>187</v>
      </c>
      <c r="I5421" t="s">
        <v>951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97</v>
      </c>
      <c r="D5422" t="s">
        <v>408</v>
      </c>
      <c r="E5422" t="s">
        <v>179</v>
      </c>
      <c r="F5422">
        <v>17</v>
      </c>
      <c r="G5422" t="s">
        <v>192</v>
      </c>
      <c r="H5422" t="s">
        <v>188</v>
      </c>
      <c r="I5422" t="s">
        <v>947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97</v>
      </c>
      <c r="D5423" t="s">
        <v>408</v>
      </c>
      <c r="E5423" t="s">
        <v>179</v>
      </c>
      <c r="F5423">
        <v>17</v>
      </c>
      <c r="G5423" t="s">
        <v>192</v>
      </c>
      <c r="H5423" t="s">
        <v>188</v>
      </c>
      <c r="I5423" t="s">
        <v>948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97</v>
      </c>
      <c r="D5424" t="s">
        <v>408</v>
      </c>
      <c r="E5424" t="s">
        <v>179</v>
      </c>
      <c r="F5424">
        <v>17</v>
      </c>
      <c r="G5424" t="s">
        <v>192</v>
      </c>
      <c r="H5424" t="s">
        <v>188</v>
      </c>
      <c r="I5424" t="s">
        <v>945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97</v>
      </c>
      <c r="D5425" t="s">
        <v>408</v>
      </c>
      <c r="E5425" t="s">
        <v>179</v>
      </c>
      <c r="F5425">
        <v>17</v>
      </c>
      <c r="G5425" t="s">
        <v>192</v>
      </c>
      <c r="H5425" t="s">
        <v>188</v>
      </c>
      <c r="I5425" t="s">
        <v>949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97</v>
      </c>
      <c r="D5426" t="s">
        <v>408</v>
      </c>
      <c r="E5426" t="s">
        <v>179</v>
      </c>
      <c r="F5426">
        <v>17</v>
      </c>
      <c r="G5426" t="s">
        <v>192</v>
      </c>
      <c r="H5426" t="s">
        <v>188</v>
      </c>
      <c r="I5426" t="s">
        <v>950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97</v>
      </c>
      <c r="D5427" t="s">
        <v>408</v>
      </c>
      <c r="E5427" t="s">
        <v>179</v>
      </c>
      <c r="F5427">
        <v>17</v>
      </c>
      <c r="G5427" t="s">
        <v>192</v>
      </c>
      <c r="H5427" t="s">
        <v>188</v>
      </c>
      <c r="I5427" t="s">
        <v>951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97</v>
      </c>
      <c r="D5428" t="s">
        <v>408</v>
      </c>
      <c r="E5428" t="s">
        <v>179</v>
      </c>
      <c r="F5428">
        <v>17</v>
      </c>
      <c r="G5428" t="s">
        <v>192</v>
      </c>
      <c r="H5428" t="s">
        <v>198</v>
      </c>
      <c r="I5428" t="s">
        <v>947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97</v>
      </c>
      <c r="D5429" t="s">
        <v>408</v>
      </c>
      <c r="E5429" t="s">
        <v>179</v>
      </c>
      <c r="F5429">
        <v>17</v>
      </c>
      <c r="G5429" t="s">
        <v>192</v>
      </c>
      <c r="H5429" t="s">
        <v>198</v>
      </c>
      <c r="I5429" t="s">
        <v>948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97</v>
      </c>
      <c r="D5430" t="s">
        <v>408</v>
      </c>
      <c r="E5430" t="s">
        <v>179</v>
      </c>
      <c r="F5430">
        <v>17</v>
      </c>
      <c r="G5430" t="s">
        <v>192</v>
      </c>
      <c r="H5430" t="s">
        <v>198</v>
      </c>
      <c r="I5430" t="s">
        <v>945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97</v>
      </c>
      <c r="D5431" t="s">
        <v>408</v>
      </c>
      <c r="E5431" t="s">
        <v>179</v>
      </c>
      <c r="F5431">
        <v>17</v>
      </c>
      <c r="G5431" t="s">
        <v>192</v>
      </c>
      <c r="H5431" t="s">
        <v>198</v>
      </c>
      <c r="I5431" t="s">
        <v>949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97</v>
      </c>
      <c r="D5432" t="s">
        <v>408</v>
      </c>
      <c r="E5432" t="s">
        <v>179</v>
      </c>
      <c r="F5432">
        <v>17</v>
      </c>
      <c r="G5432" t="s">
        <v>192</v>
      </c>
      <c r="H5432" t="s">
        <v>198</v>
      </c>
      <c r="I5432" t="s">
        <v>950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97</v>
      </c>
      <c r="D5433" t="s">
        <v>408</v>
      </c>
      <c r="E5433" t="s">
        <v>179</v>
      </c>
      <c r="F5433">
        <v>17</v>
      </c>
      <c r="G5433" t="s">
        <v>192</v>
      </c>
      <c r="H5433" t="s">
        <v>198</v>
      </c>
      <c r="I5433" t="s">
        <v>951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97</v>
      </c>
      <c r="D5434" t="s">
        <v>408</v>
      </c>
      <c r="E5434" t="s">
        <v>179</v>
      </c>
      <c r="F5434">
        <v>17</v>
      </c>
      <c r="G5434" t="s">
        <v>199</v>
      </c>
      <c r="H5434" t="s">
        <v>0</v>
      </c>
      <c r="I5434" t="s">
        <v>950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97</v>
      </c>
      <c r="D5435" t="s">
        <v>408</v>
      </c>
      <c r="E5435" t="s">
        <v>179</v>
      </c>
      <c r="F5435">
        <v>17</v>
      </c>
      <c r="G5435" t="s">
        <v>199</v>
      </c>
      <c r="H5435" t="s">
        <v>0</v>
      </c>
      <c r="I5435" t="s">
        <v>952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97</v>
      </c>
      <c r="D5436" t="s">
        <v>408</v>
      </c>
      <c r="E5436" t="s">
        <v>179</v>
      </c>
      <c r="F5436">
        <v>17</v>
      </c>
      <c r="G5436" t="s">
        <v>199</v>
      </c>
      <c r="H5436" t="s">
        <v>0</v>
      </c>
      <c r="I5436" t="s">
        <v>99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97</v>
      </c>
      <c r="D5437" t="s">
        <v>408</v>
      </c>
      <c r="E5437" t="s">
        <v>179</v>
      </c>
      <c r="F5437">
        <v>17</v>
      </c>
      <c r="G5437" t="s">
        <v>199</v>
      </c>
      <c r="H5437" t="s">
        <v>0</v>
      </c>
      <c r="I5437" t="s">
        <v>953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97</v>
      </c>
      <c r="D5438" t="s">
        <v>408</v>
      </c>
      <c r="E5438" t="s">
        <v>179</v>
      </c>
      <c r="F5438">
        <v>17</v>
      </c>
      <c r="G5438" t="s">
        <v>199</v>
      </c>
      <c r="H5438" t="s">
        <v>0</v>
      </c>
      <c r="I5438" t="s">
        <v>949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97</v>
      </c>
      <c r="D5439" t="s">
        <v>408</v>
      </c>
      <c r="E5439" t="s">
        <v>179</v>
      </c>
      <c r="F5439">
        <v>17</v>
      </c>
      <c r="G5439" t="s">
        <v>199</v>
      </c>
      <c r="H5439" t="s">
        <v>0</v>
      </c>
      <c r="I5439" t="s">
        <v>954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97</v>
      </c>
      <c r="D5440" t="s">
        <v>408</v>
      </c>
      <c r="E5440" t="s">
        <v>179</v>
      </c>
      <c r="F5440">
        <v>17</v>
      </c>
      <c r="G5440" t="s">
        <v>199</v>
      </c>
      <c r="H5440" t="s">
        <v>0</v>
      </c>
      <c r="I5440" t="s">
        <v>948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97</v>
      </c>
      <c r="D5441" t="s">
        <v>408</v>
      </c>
      <c r="E5441" t="s">
        <v>179</v>
      </c>
      <c r="F5441">
        <v>17</v>
      </c>
      <c r="G5441" t="s">
        <v>199</v>
      </c>
      <c r="H5441" t="s">
        <v>0</v>
      </c>
      <c r="I5441" t="s">
        <v>947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97</v>
      </c>
      <c r="D5442" t="s">
        <v>408</v>
      </c>
      <c r="E5442" t="s">
        <v>179</v>
      </c>
      <c r="F5442">
        <v>17</v>
      </c>
      <c r="G5442" t="s">
        <v>199</v>
      </c>
      <c r="H5442" t="s">
        <v>186</v>
      </c>
      <c r="I5442" t="s">
        <v>950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97</v>
      </c>
      <c r="D5443" t="s">
        <v>408</v>
      </c>
      <c r="E5443" t="s">
        <v>179</v>
      </c>
      <c r="F5443">
        <v>17</v>
      </c>
      <c r="G5443" t="s">
        <v>199</v>
      </c>
      <c r="H5443" t="s">
        <v>186</v>
      </c>
      <c r="I5443" t="s">
        <v>952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97</v>
      </c>
      <c r="D5444" t="s">
        <v>408</v>
      </c>
      <c r="E5444" t="s">
        <v>179</v>
      </c>
      <c r="F5444">
        <v>17</v>
      </c>
      <c r="G5444" t="s">
        <v>199</v>
      </c>
      <c r="H5444" t="s">
        <v>186</v>
      </c>
      <c r="I5444" t="s">
        <v>99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97</v>
      </c>
      <c r="D5445" t="s">
        <v>408</v>
      </c>
      <c r="E5445" t="s">
        <v>179</v>
      </c>
      <c r="F5445">
        <v>17</v>
      </c>
      <c r="G5445" t="s">
        <v>199</v>
      </c>
      <c r="H5445" t="s">
        <v>186</v>
      </c>
      <c r="I5445" t="s">
        <v>953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97</v>
      </c>
      <c r="D5446" t="s">
        <v>408</v>
      </c>
      <c r="E5446" t="s">
        <v>179</v>
      </c>
      <c r="F5446">
        <v>17</v>
      </c>
      <c r="G5446" t="s">
        <v>199</v>
      </c>
      <c r="H5446" t="s">
        <v>186</v>
      </c>
      <c r="I5446" t="s">
        <v>949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97</v>
      </c>
      <c r="D5447" t="s">
        <v>408</v>
      </c>
      <c r="E5447" t="s">
        <v>179</v>
      </c>
      <c r="F5447">
        <v>17</v>
      </c>
      <c r="G5447" t="s">
        <v>199</v>
      </c>
      <c r="H5447" t="s">
        <v>186</v>
      </c>
      <c r="I5447" t="s">
        <v>954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97</v>
      </c>
      <c r="D5448" t="s">
        <v>408</v>
      </c>
      <c r="E5448" t="s">
        <v>179</v>
      </c>
      <c r="F5448">
        <v>17</v>
      </c>
      <c r="G5448" t="s">
        <v>199</v>
      </c>
      <c r="H5448" t="s">
        <v>186</v>
      </c>
      <c r="I5448" t="s">
        <v>948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97</v>
      </c>
      <c r="D5449" t="s">
        <v>408</v>
      </c>
      <c r="E5449" t="s">
        <v>179</v>
      </c>
      <c r="F5449">
        <v>17</v>
      </c>
      <c r="G5449" t="s">
        <v>199</v>
      </c>
      <c r="H5449" t="s">
        <v>186</v>
      </c>
      <c r="I5449" t="s">
        <v>947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97</v>
      </c>
      <c r="D5450" t="s">
        <v>408</v>
      </c>
      <c r="E5450" t="s">
        <v>179</v>
      </c>
      <c r="F5450">
        <v>17</v>
      </c>
      <c r="G5450" t="s">
        <v>199</v>
      </c>
      <c r="H5450" t="s">
        <v>187</v>
      </c>
      <c r="I5450" t="s">
        <v>950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97</v>
      </c>
      <c r="D5451" t="s">
        <v>408</v>
      </c>
      <c r="E5451" t="s">
        <v>179</v>
      </c>
      <c r="F5451">
        <v>17</v>
      </c>
      <c r="G5451" t="s">
        <v>199</v>
      </c>
      <c r="H5451" t="s">
        <v>187</v>
      </c>
      <c r="I5451" t="s">
        <v>952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97</v>
      </c>
      <c r="D5452" t="s">
        <v>408</v>
      </c>
      <c r="E5452" t="s">
        <v>179</v>
      </c>
      <c r="F5452">
        <v>17</v>
      </c>
      <c r="G5452" t="s">
        <v>199</v>
      </c>
      <c r="H5452" t="s">
        <v>187</v>
      </c>
      <c r="I5452" t="s">
        <v>99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97</v>
      </c>
      <c r="D5453" t="s">
        <v>408</v>
      </c>
      <c r="E5453" t="s">
        <v>179</v>
      </c>
      <c r="F5453">
        <v>17</v>
      </c>
      <c r="G5453" t="s">
        <v>199</v>
      </c>
      <c r="H5453" t="s">
        <v>187</v>
      </c>
      <c r="I5453" t="s">
        <v>953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97</v>
      </c>
      <c r="D5454" t="s">
        <v>408</v>
      </c>
      <c r="E5454" t="s">
        <v>179</v>
      </c>
      <c r="F5454">
        <v>17</v>
      </c>
      <c r="G5454" t="s">
        <v>199</v>
      </c>
      <c r="H5454" t="s">
        <v>187</v>
      </c>
      <c r="I5454" t="s">
        <v>949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97</v>
      </c>
      <c r="D5455" t="s">
        <v>408</v>
      </c>
      <c r="E5455" t="s">
        <v>179</v>
      </c>
      <c r="F5455">
        <v>17</v>
      </c>
      <c r="G5455" t="s">
        <v>199</v>
      </c>
      <c r="H5455" t="s">
        <v>187</v>
      </c>
      <c r="I5455" t="s">
        <v>954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97</v>
      </c>
      <c r="D5456" t="s">
        <v>408</v>
      </c>
      <c r="E5456" t="s">
        <v>179</v>
      </c>
      <c r="F5456">
        <v>17</v>
      </c>
      <c r="G5456" t="s">
        <v>199</v>
      </c>
      <c r="H5456" t="s">
        <v>187</v>
      </c>
      <c r="I5456" t="s">
        <v>948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97</v>
      </c>
      <c r="D5457" t="s">
        <v>408</v>
      </c>
      <c r="E5457" t="s">
        <v>179</v>
      </c>
      <c r="F5457">
        <v>17</v>
      </c>
      <c r="G5457" t="s">
        <v>199</v>
      </c>
      <c r="H5457" t="s">
        <v>187</v>
      </c>
      <c r="I5457" t="s">
        <v>947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97</v>
      </c>
      <c r="D5458" t="s">
        <v>408</v>
      </c>
      <c r="E5458" t="s">
        <v>179</v>
      </c>
      <c r="F5458">
        <v>17</v>
      </c>
      <c r="G5458" t="s">
        <v>199</v>
      </c>
      <c r="H5458" t="s">
        <v>188</v>
      </c>
      <c r="I5458" t="s">
        <v>950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97</v>
      </c>
      <c r="D5459" t="s">
        <v>408</v>
      </c>
      <c r="E5459" t="s">
        <v>179</v>
      </c>
      <c r="F5459">
        <v>17</v>
      </c>
      <c r="G5459" t="s">
        <v>199</v>
      </c>
      <c r="H5459" t="s">
        <v>188</v>
      </c>
      <c r="I5459" t="s">
        <v>952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97</v>
      </c>
      <c r="D5460" t="s">
        <v>408</v>
      </c>
      <c r="E5460" t="s">
        <v>179</v>
      </c>
      <c r="F5460">
        <v>17</v>
      </c>
      <c r="G5460" t="s">
        <v>199</v>
      </c>
      <c r="H5460" t="s">
        <v>188</v>
      </c>
      <c r="I5460" t="s">
        <v>99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97</v>
      </c>
      <c r="D5461" t="s">
        <v>408</v>
      </c>
      <c r="E5461" t="s">
        <v>179</v>
      </c>
      <c r="F5461">
        <v>17</v>
      </c>
      <c r="G5461" t="s">
        <v>199</v>
      </c>
      <c r="H5461" t="s">
        <v>188</v>
      </c>
      <c r="I5461" t="s">
        <v>953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97</v>
      </c>
      <c r="D5462" t="s">
        <v>408</v>
      </c>
      <c r="E5462" t="s">
        <v>179</v>
      </c>
      <c r="F5462">
        <v>17</v>
      </c>
      <c r="G5462" t="s">
        <v>199</v>
      </c>
      <c r="H5462" t="s">
        <v>188</v>
      </c>
      <c r="I5462" t="s">
        <v>949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97</v>
      </c>
      <c r="D5463" t="s">
        <v>408</v>
      </c>
      <c r="E5463" t="s">
        <v>179</v>
      </c>
      <c r="F5463">
        <v>17</v>
      </c>
      <c r="G5463" t="s">
        <v>199</v>
      </c>
      <c r="H5463" t="s">
        <v>188</v>
      </c>
      <c r="I5463" t="s">
        <v>954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97</v>
      </c>
      <c r="D5464" t="s">
        <v>408</v>
      </c>
      <c r="E5464" t="s">
        <v>179</v>
      </c>
      <c r="F5464">
        <v>17</v>
      </c>
      <c r="G5464" t="s">
        <v>199</v>
      </c>
      <c r="H5464" t="s">
        <v>188</v>
      </c>
      <c r="I5464" t="s">
        <v>948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97</v>
      </c>
      <c r="D5465" t="s">
        <v>408</v>
      </c>
      <c r="E5465" t="s">
        <v>179</v>
      </c>
      <c r="F5465">
        <v>17</v>
      </c>
      <c r="G5465" t="s">
        <v>199</v>
      </c>
      <c r="H5465" t="s">
        <v>188</v>
      </c>
      <c r="I5465" t="s">
        <v>947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97</v>
      </c>
      <c r="D5466" t="s">
        <v>408</v>
      </c>
      <c r="E5466" t="s">
        <v>179</v>
      </c>
      <c r="F5466">
        <v>17</v>
      </c>
      <c r="G5466" t="s">
        <v>199</v>
      </c>
      <c r="H5466" t="s">
        <v>198</v>
      </c>
      <c r="I5466" t="s">
        <v>950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97</v>
      </c>
      <c r="D5467" t="s">
        <v>408</v>
      </c>
      <c r="E5467" t="s">
        <v>179</v>
      </c>
      <c r="F5467">
        <v>17</v>
      </c>
      <c r="G5467" t="s">
        <v>199</v>
      </c>
      <c r="H5467" t="s">
        <v>198</v>
      </c>
      <c r="I5467" t="s">
        <v>952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97</v>
      </c>
      <c r="D5468" t="s">
        <v>408</v>
      </c>
      <c r="E5468" t="s">
        <v>179</v>
      </c>
      <c r="F5468">
        <v>17</v>
      </c>
      <c r="G5468" t="s">
        <v>199</v>
      </c>
      <c r="H5468" t="s">
        <v>198</v>
      </c>
      <c r="I5468" t="s">
        <v>99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97</v>
      </c>
      <c r="D5469" t="s">
        <v>408</v>
      </c>
      <c r="E5469" t="s">
        <v>179</v>
      </c>
      <c r="F5469">
        <v>17</v>
      </c>
      <c r="G5469" t="s">
        <v>199</v>
      </c>
      <c r="H5469" t="s">
        <v>198</v>
      </c>
      <c r="I5469" t="s">
        <v>953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97</v>
      </c>
      <c r="D5470" t="s">
        <v>408</v>
      </c>
      <c r="E5470" t="s">
        <v>179</v>
      </c>
      <c r="F5470">
        <v>17</v>
      </c>
      <c r="G5470" t="s">
        <v>199</v>
      </c>
      <c r="H5470" t="s">
        <v>198</v>
      </c>
      <c r="I5470" t="s">
        <v>949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97</v>
      </c>
      <c r="D5471" t="s">
        <v>408</v>
      </c>
      <c r="E5471" t="s">
        <v>179</v>
      </c>
      <c r="F5471">
        <v>17</v>
      </c>
      <c r="G5471" t="s">
        <v>199</v>
      </c>
      <c r="H5471" t="s">
        <v>198</v>
      </c>
      <c r="I5471" t="s">
        <v>954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97</v>
      </c>
      <c r="D5472" t="s">
        <v>408</v>
      </c>
      <c r="E5472" t="s">
        <v>179</v>
      </c>
      <c r="F5472">
        <v>17</v>
      </c>
      <c r="G5472" t="s">
        <v>199</v>
      </c>
      <c r="H5472" t="s">
        <v>198</v>
      </c>
      <c r="I5472" t="s">
        <v>948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97</v>
      </c>
      <c r="D5473" t="s">
        <v>408</v>
      </c>
      <c r="E5473" t="s">
        <v>179</v>
      </c>
      <c r="F5473">
        <v>17</v>
      </c>
      <c r="G5473" t="s">
        <v>199</v>
      </c>
      <c r="H5473" t="s">
        <v>198</v>
      </c>
      <c r="I5473" t="s">
        <v>947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97</v>
      </c>
      <c r="D5474" t="s">
        <v>408</v>
      </c>
      <c r="E5474" t="s">
        <v>179</v>
      </c>
      <c r="F5474">
        <v>17</v>
      </c>
      <c r="G5474" t="s">
        <v>203</v>
      </c>
      <c r="H5474" t="s">
        <v>204</v>
      </c>
      <c r="I5474" t="s">
        <v>945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97</v>
      </c>
      <c r="D5475" t="s">
        <v>408</v>
      </c>
      <c r="E5475" t="s">
        <v>179</v>
      </c>
      <c r="F5475">
        <v>17</v>
      </c>
      <c r="G5475" t="s">
        <v>203</v>
      </c>
      <c r="H5475" t="s">
        <v>204</v>
      </c>
      <c r="I5475" t="s">
        <v>955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97</v>
      </c>
      <c r="D5476" t="s">
        <v>408</v>
      </c>
      <c r="E5476" t="s">
        <v>179</v>
      </c>
      <c r="F5476">
        <v>17</v>
      </c>
      <c r="G5476" t="s">
        <v>203</v>
      </c>
      <c r="H5476" t="s">
        <v>205</v>
      </c>
      <c r="I5476" t="s">
        <v>945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97</v>
      </c>
      <c r="D5477" t="s">
        <v>408</v>
      </c>
      <c r="E5477" t="s">
        <v>179</v>
      </c>
      <c r="F5477">
        <v>17</v>
      </c>
      <c r="G5477" t="s">
        <v>203</v>
      </c>
      <c r="H5477" t="s">
        <v>205</v>
      </c>
      <c r="I5477" t="s">
        <v>955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97</v>
      </c>
      <c r="D5478" t="s">
        <v>408</v>
      </c>
      <c r="E5478" t="s">
        <v>179</v>
      </c>
      <c r="F5478">
        <v>17</v>
      </c>
      <c r="G5478" t="s">
        <v>203</v>
      </c>
      <c r="H5478" t="s">
        <v>0</v>
      </c>
      <c r="I5478" t="s">
        <v>945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97</v>
      </c>
      <c r="D5479" t="s">
        <v>408</v>
      </c>
      <c r="E5479" t="s">
        <v>179</v>
      </c>
      <c r="F5479">
        <v>17</v>
      </c>
      <c r="G5479" t="s">
        <v>203</v>
      </c>
      <c r="H5479" t="s">
        <v>0</v>
      </c>
      <c r="I5479" t="s">
        <v>955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97</v>
      </c>
      <c r="D5480" t="s">
        <v>408</v>
      </c>
      <c r="E5480" t="s">
        <v>179</v>
      </c>
      <c r="F5480">
        <v>17</v>
      </c>
      <c r="G5480" t="s">
        <v>90</v>
      </c>
      <c r="H5480" t="s">
        <v>206</v>
      </c>
      <c r="I5480" t="s">
        <v>956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97</v>
      </c>
      <c r="D5481" t="s">
        <v>408</v>
      </c>
      <c r="E5481" t="s">
        <v>179</v>
      </c>
      <c r="F5481">
        <v>17</v>
      </c>
      <c r="G5481" t="s">
        <v>90</v>
      </c>
      <c r="H5481" t="s">
        <v>206</v>
      </c>
      <c r="I5481" t="s">
        <v>957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97</v>
      </c>
      <c r="D5482" t="s">
        <v>408</v>
      </c>
      <c r="E5482" t="s">
        <v>179</v>
      </c>
      <c r="F5482">
        <v>17</v>
      </c>
      <c r="G5482" t="s">
        <v>90</v>
      </c>
      <c r="H5482" t="s">
        <v>206</v>
      </c>
      <c r="I5482" t="s">
        <v>958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97</v>
      </c>
      <c r="D5483" t="s">
        <v>408</v>
      </c>
      <c r="E5483" t="s">
        <v>179</v>
      </c>
      <c r="F5483">
        <v>17</v>
      </c>
      <c r="G5483" t="s">
        <v>90</v>
      </c>
      <c r="H5483" t="s">
        <v>206</v>
      </c>
      <c r="I5483" t="s">
        <v>959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97</v>
      </c>
      <c r="D5484" t="s">
        <v>408</v>
      </c>
      <c r="E5484" t="s">
        <v>179</v>
      </c>
      <c r="F5484">
        <v>17</v>
      </c>
      <c r="G5484" t="s">
        <v>90</v>
      </c>
      <c r="H5484" t="s">
        <v>206</v>
      </c>
      <c r="I5484" t="s">
        <v>960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97</v>
      </c>
      <c r="D5485" t="s">
        <v>408</v>
      </c>
      <c r="E5485" t="s">
        <v>179</v>
      </c>
      <c r="F5485">
        <v>17</v>
      </c>
      <c r="G5485" t="s">
        <v>90</v>
      </c>
      <c r="H5485" t="s">
        <v>206</v>
      </c>
      <c r="I5485" t="s">
        <v>961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97</v>
      </c>
      <c r="D5486" t="s">
        <v>408</v>
      </c>
      <c r="E5486" t="s">
        <v>179</v>
      </c>
      <c r="F5486">
        <v>17</v>
      </c>
      <c r="G5486" t="s">
        <v>90</v>
      </c>
      <c r="H5486" t="s">
        <v>206</v>
      </c>
      <c r="I5486" t="s">
        <v>962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97</v>
      </c>
      <c r="D5487" t="s">
        <v>408</v>
      </c>
      <c r="E5487" t="s">
        <v>179</v>
      </c>
      <c r="F5487">
        <v>17</v>
      </c>
      <c r="G5487" t="s">
        <v>90</v>
      </c>
      <c r="H5487" t="s">
        <v>206</v>
      </c>
      <c r="I5487" t="s">
        <v>963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97</v>
      </c>
      <c r="D5488" t="s">
        <v>408</v>
      </c>
      <c r="E5488" t="s">
        <v>179</v>
      </c>
      <c r="F5488">
        <v>17</v>
      </c>
      <c r="G5488" t="s">
        <v>90</v>
      </c>
      <c r="H5488" t="s">
        <v>206</v>
      </c>
      <c r="I5488" t="s">
        <v>964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97</v>
      </c>
      <c r="D5489" t="s">
        <v>408</v>
      </c>
      <c r="E5489" t="s">
        <v>179</v>
      </c>
      <c r="F5489">
        <v>17</v>
      </c>
      <c r="G5489" t="s">
        <v>90</v>
      </c>
      <c r="H5489" t="s">
        <v>206</v>
      </c>
      <c r="I5489" t="s">
        <v>965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97</v>
      </c>
      <c r="D5490" t="s">
        <v>408</v>
      </c>
      <c r="E5490" t="s">
        <v>179</v>
      </c>
      <c r="F5490">
        <v>17</v>
      </c>
      <c r="G5490" t="s">
        <v>90</v>
      </c>
      <c r="H5490" t="s">
        <v>206</v>
      </c>
      <c r="I5490" t="s">
        <v>966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97</v>
      </c>
      <c r="D5491" t="s">
        <v>408</v>
      </c>
      <c r="E5491" t="s">
        <v>179</v>
      </c>
      <c r="F5491">
        <v>17</v>
      </c>
      <c r="G5491" t="s">
        <v>90</v>
      </c>
      <c r="H5491" t="s">
        <v>206</v>
      </c>
      <c r="I5491" t="s">
        <v>967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97</v>
      </c>
      <c r="D5492" t="s">
        <v>408</v>
      </c>
      <c r="E5492" t="s">
        <v>179</v>
      </c>
      <c r="F5492">
        <v>17</v>
      </c>
      <c r="G5492" t="s">
        <v>90</v>
      </c>
      <c r="H5492" t="s">
        <v>206</v>
      </c>
      <c r="I5492" t="s">
        <v>968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97</v>
      </c>
      <c r="D5493" t="s">
        <v>408</v>
      </c>
      <c r="E5493" t="s">
        <v>179</v>
      </c>
      <c r="F5493">
        <v>17</v>
      </c>
      <c r="G5493" t="s">
        <v>90</v>
      </c>
      <c r="H5493" t="s">
        <v>206</v>
      </c>
      <c r="I5493" t="s">
        <v>969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97</v>
      </c>
      <c r="D5494" t="s">
        <v>408</v>
      </c>
      <c r="E5494" t="s">
        <v>179</v>
      </c>
      <c r="F5494">
        <v>17</v>
      </c>
      <c r="G5494" t="s">
        <v>90</v>
      </c>
      <c r="H5494" t="s">
        <v>206</v>
      </c>
      <c r="I5494" t="s">
        <v>970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97</v>
      </c>
      <c r="D5495" t="s">
        <v>408</v>
      </c>
      <c r="E5495" t="s">
        <v>179</v>
      </c>
      <c r="F5495">
        <v>17</v>
      </c>
      <c r="G5495" t="s">
        <v>90</v>
      </c>
      <c r="H5495" t="s">
        <v>206</v>
      </c>
      <c r="I5495" t="s">
        <v>971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97</v>
      </c>
      <c r="D5496" t="s">
        <v>408</v>
      </c>
      <c r="E5496" t="s">
        <v>179</v>
      </c>
      <c r="F5496">
        <v>17</v>
      </c>
      <c r="G5496" t="s">
        <v>90</v>
      </c>
      <c r="H5496" t="s">
        <v>206</v>
      </c>
      <c r="I5496" t="s">
        <v>972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97</v>
      </c>
      <c r="D5497" t="s">
        <v>408</v>
      </c>
      <c r="E5497" t="s">
        <v>179</v>
      </c>
      <c r="F5497">
        <v>17</v>
      </c>
      <c r="G5497" t="s">
        <v>90</v>
      </c>
      <c r="H5497" t="s">
        <v>206</v>
      </c>
      <c r="I5497" t="s">
        <v>973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97</v>
      </c>
      <c r="D5498" t="s">
        <v>408</v>
      </c>
      <c r="E5498" t="s">
        <v>179</v>
      </c>
      <c r="F5498">
        <v>17</v>
      </c>
      <c r="G5498" t="s">
        <v>90</v>
      </c>
      <c r="H5498" t="s">
        <v>206</v>
      </c>
      <c r="I5498" t="s">
        <v>974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97</v>
      </c>
      <c r="D5499" t="s">
        <v>408</v>
      </c>
      <c r="E5499" t="s">
        <v>179</v>
      </c>
      <c r="F5499">
        <v>17</v>
      </c>
      <c r="G5499" t="s">
        <v>90</v>
      </c>
      <c r="H5499" t="s">
        <v>206</v>
      </c>
      <c r="I5499" t="s">
        <v>975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97</v>
      </c>
      <c r="D5500" t="s">
        <v>408</v>
      </c>
      <c r="E5500" t="s">
        <v>179</v>
      </c>
      <c r="F5500">
        <v>17</v>
      </c>
      <c r="G5500" t="s">
        <v>90</v>
      </c>
      <c r="H5500" t="s">
        <v>206</v>
      </c>
      <c r="I5500" t="s">
        <v>976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97</v>
      </c>
      <c r="D5501" t="s">
        <v>408</v>
      </c>
      <c r="E5501" t="s">
        <v>179</v>
      </c>
      <c r="F5501">
        <v>17</v>
      </c>
      <c r="G5501" t="s">
        <v>90</v>
      </c>
      <c r="H5501" t="s">
        <v>227</v>
      </c>
      <c r="I5501" t="s">
        <v>956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97</v>
      </c>
      <c r="D5502" t="s">
        <v>408</v>
      </c>
      <c r="E5502" t="s">
        <v>179</v>
      </c>
      <c r="F5502">
        <v>17</v>
      </c>
      <c r="G5502" t="s">
        <v>90</v>
      </c>
      <c r="H5502" t="s">
        <v>227</v>
      </c>
      <c r="I5502" t="s">
        <v>957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97</v>
      </c>
      <c r="D5503" t="s">
        <v>408</v>
      </c>
      <c r="E5503" t="s">
        <v>179</v>
      </c>
      <c r="F5503">
        <v>17</v>
      </c>
      <c r="G5503" t="s">
        <v>90</v>
      </c>
      <c r="H5503" t="s">
        <v>227</v>
      </c>
      <c r="I5503" t="s">
        <v>958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97</v>
      </c>
      <c r="D5504" t="s">
        <v>408</v>
      </c>
      <c r="E5504" t="s">
        <v>179</v>
      </c>
      <c r="F5504">
        <v>17</v>
      </c>
      <c r="G5504" t="s">
        <v>90</v>
      </c>
      <c r="H5504" t="s">
        <v>227</v>
      </c>
      <c r="I5504" t="s">
        <v>959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97</v>
      </c>
      <c r="D5505" t="s">
        <v>408</v>
      </c>
      <c r="E5505" t="s">
        <v>179</v>
      </c>
      <c r="F5505">
        <v>17</v>
      </c>
      <c r="G5505" t="s">
        <v>90</v>
      </c>
      <c r="H5505" t="s">
        <v>227</v>
      </c>
      <c r="I5505" t="s">
        <v>960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97</v>
      </c>
      <c r="D5506" t="s">
        <v>408</v>
      </c>
      <c r="E5506" t="s">
        <v>179</v>
      </c>
      <c r="F5506">
        <v>17</v>
      </c>
      <c r="G5506" t="s">
        <v>90</v>
      </c>
      <c r="H5506" t="s">
        <v>227</v>
      </c>
      <c r="I5506" t="s">
        <v>961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97</v>
      </c>
      <c r="D5507" t="s">
        <v>408</v>
      </c>
      <c r="E5507" t="s">
        <v>179</v>
      </c>
      <c r="F5507">
        <v>17</v>
      </c>
      <c r="G5507" t="s">
        <v>90</v>
      </c>
      <c r="H5507" t="s">
        <v>227</v>
      </c>
      <c r="I5507" t="s">
        <v>962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97</v>
      </c>
      <c r="D5508" t="s">
        <v>408</v>
      </c>
      <c r="E5508" t="s">
        <v>179</v>
      </c>
      <c r="F5508">
        <v>17</v>
      </c>
      <c r="G5508" t="s">
        <v>90</v>
      </c>
      <c r="H5508" t="s">
        <v>227</v>
      </c>
      <c r="I5508" t="s">
        <v>963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97</v>
      </c>
      <c r="D5509" t="s">
        <v>408</v>
      </c>
      <c r="E5509" t="s">
        <v>179</v>
      </c>
      <c r="F5509">
        <v>17</v>
      </c>
      <c r="G5509" t="s">
        <v>90</v>
      </c>
      <c r="H5509" t="s">
        <v>227</v>
      </c>
      <c r="I5509" t="s">
        <v>964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97</v>
      </c>
      <c r="D5510" t="s">
        <v>408</v>
      </c>
      <c r="E5510" t="s">
        <v>179</v>
      </c>
      <c r="F5510">
        <v>17</v>
      </c>
      <c r="G5510" t="s">
        <v>90</v>
      </c>
      <c r="H5510" t="s">
        <v>227</v>
      </c>
      <c r="I5510" t="s">
        <v>965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97</v>
      </c>
      <c r="D5511" t="s">
        <v>408</v>
      </c>
      <c r="E5511" t="s">
        <v>179</v>
      </c>
      <c r="F5511">
        <v>17</v>
      </c>
      <c r="G5511" t="s">
        <v>90</v>
      </c>
      <c r="H5511" t="s">
        <v>227</v>
      </c>
      <c r="I5511" t="s">
        <v>966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97</v>
      </c>
      <c r="D5512" t="s">
        <v>408</v>
      </c>
      <c r="E5512" t="s">
        <v>179</v>
      </c>
      <c r="F5512">
        <v>17</v>
      </c>
      <c r="G5512" t="s">
        <v>90</v>
      </c>
      <c r="H5512" t="s">
        <v>227</v>
      </c>
      <c r="I5512" t="s">
        <v>967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97</v>
      </c>
      <c r="D5513" t="s">
        <v>408</v>
      </c>
      <c r="E5513" t="s">
        <v>179</v>
      </c>
      <c r="F5513">
        <v>17</v>
      </c>
      <c r="G5513" t="s">
        <v>90</v>
      </c>
      <c r="H5513" t="s">
        <v>227</v>
      </c>
      <c r="I5513" t="s">
        <v>968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97</v>
      </c>
      <c r="D5514" t="s">
        <v>408</v>
      </c>
      <c r="E5514" t="s">
        <v>179</v>
      </c>
      <c r="F5514">
        <v>17</v>
      </c>
      <c r="G5514" t="s">
        <v>90</v>
      </c>
      <c r="H5514" t="s">
        <v>227</v>
      </c>
      <c r="I5514" t="s">
        <v>969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97</v>
      </c>
      <c r="D5515" t="s">
        <v>408</v>
      </c>
      <c r="E5515" t="s">
        <v>179</v>
      </c>
      <c r="F5515">
        <v>17</v>
      </c>
      <c r="G5515" t="s">
        <v>90</v>
      </c>
      <c r="H5515" t="s">
        <v>227</v>
      </c>
      <c r="I5515" t="s">
        <v>970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97</v>
      </c>
      <c r="D5516" t="s">
        <v>408</v>
      </c>
      <c r="E5516" t="s">
        <v>179</v>
      </c>
      <c r="F5516">
        <v>17</v>
      </c>
      <c r="G5516" t="s">
        <v>90</v>
      </c>
      <c r="H5516" t="s">
        <v>227</v>
      </c>
      <c r="I5516" t="s">
        <v>971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97</v>
      </c>
      <c r="D5517" t="s">
        <v>408</v>
      </c>
      <c r="E5517" t="s">
        <v>179</v>
      </c>
      <c r="F5517">
        <v>17</v>
      </c>
      <c r="G5517" t="s">
        <v>90</v>
      </c>
      <c r="H5517" t="s">
        <v>227</v>
      </c>
      <c r="I5517" t="s">
        <v>972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97</v>
      </c>
      <c r="D5518" t="s">
        <v>408</v>
      </c>
      <c r="E5518" t="s">
        <v>179</v>
      </c>
      <c r="F5518">
        <v>17</v>
      </c>
      <c r="G5518" t="s">
        <v>90</v>
      </c>
      <c r="H5518" t="s">
        <v>227</v>
      </c>
      <c r="I5518" t="s">
        <v>973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97</v>
      </c>
      <c r="D5519" t="s">
        <v>408</v>
      </c>
      <c r="E5519" t="s">
        <v>179</v>
      </c>
      <c r="F5519">
        <v>17</v>
      </c>
      <c r="G5519" t="s">
        <v>90</v>
      </c>
      <c r="H5519" t="s">
        <v>227</v>
      </c>
      <c r="I5519" t="s">
        <v>974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97</v>
      </c>
      <c r="D5520" t="s">
        <v>408</v>
      </c>
      <c r="E5520" t="s">
        <v>179</v>
      </c>
      <c r="F5520">
        <v>17</v>
      </c>
      <c r="G5520" t="s">
        <v>90</v>
      </c>
      <c r="H5520" t="s">
        <v>227</v>
      </c>
      <c r="I5520" t="s">
        <v>975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97</v>
      </c>
      <c r="D5521" t="s">
        <v>408</v>
      </c>
      <c r="E5521" t="s">
        <v>179</v>
      </c>
      <c r="F5521">
        <v>17</v>
      </c>
      <c r="G5521" t="s">
        <v>90</v>
      </c>
      <c r="H5521" t="s">
        <v>227</v>
      </c>
      <c r="I5521" t="s">
        <v>976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97</v>
      </c>
      <c r="D5522" t="s">
        <v>408</v>
      </c>
      <c r="E5522" t="s">
        <v>179</v>
      </c>
      <c r="F5522">
        <v>17</v>
      </c>
      <c r="G5522" t="s">
        <v>90</v>
      </c>
      <c r="H5522" t="s">
        <v>228</v>
      </c>
      <c r="I5522" t="s">
        <v>956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97</v>
      </c>
      <c r="D5523" t="s">
        <v>408</v>
      </c>
      <c r="E5523" t="s">
        <v>179</v>
      </c>
      <c r="F5523">
        <v>17</v>
      </c>
      <c r="G5523" t="s">
        <v>90</v>
      </c>
      <c r="H5523" t="s">
        <v>228</v>
      </c>
      <c r="I5523" t="s">
        <v>957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97</v>
      </c>
      <c r="D5524" t="s">
        <v>408</v>
      </c>
      <c r="E5524" t="s">
        <v>179</v>
      </c>
      <c r="F5524">
        <v>17</v>
      </c>
      <c r="G5524" t="s">
        <v>90</v>
      </c>
      <c r="H5524" t="s">
        <v>228</v>
      </c>
      <c r="I5524" t="s">
        <v>958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97</v>
      </c>
      <c r="D5525" t="s">
        <v>408</v>
      </c>
      <c r="E5525" t="s">
        <v>179</v>
      </c>
      <c r="F5525">
        <v>17</v>
      </c>
      <c r="G5525" t="s">
        <v>90</v>
      </c>
      <c r="H5525" t="s">
        <v>228</v>
      </c>
      <c r="I5525" t="s">
        <v>959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97</v>
      </c>
      <c r="D5526" t="s">
        <v>408</v>
      </c>
      <c r="E5526" t="s">
        <v>179</v>
      </c>
      <c r="F5526">
        <v>17</v>
      </c>
      <c r="G5526" t="s">
        <v>90</v>
      </c>
      <c r="H5526" t="s">
        <v>228</v>
      </c>
      <c r="I5526" t="s">
        <v>960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97</v>
      </c>
      <c r="D5527" t="s">
        <v>408</v>
      </c>
      <c r="E5527" t="s">
        <v>179</v>
      </c>
      <c r="F5527">
        <v>17</v>
      </c>
      <c r="G5527" t="s">
        <v>90</v>
      </c>
      <c r="H5527" t="s">
        <v>228</v>
      </c>
      <c r="I5527" t="s">
        <v>961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97</v>
      </c>
      <c r="D5528" t="s">
        <v>408</v>
      </c>
      <c r="E5528" t="s">
        <v>179</v>
      </c>
      <c r="F5528">
        <v>17</v>
      </c>
      <c r="G5528" t="s">
        <v>90</v>
      </c>
      <c r="H5528" t="s">
        <v>228</v>
      </c>
      <c r="I5528" t="s">
        <v>962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97</v>
      </c>
      <c r="D5529" t="s">
        <v>408</v>
      </c>
      <c r="E5529" t="s">
        <v>179</v>
      </c>
      <c r="F5529">
        <v>17</v>
      </c>
      <c r="G5529" t="s">
        <v>90</v>
      </c>
      <c r="H5529" t="s">
        <v>228</v>
      </c>
      <c r="I5529" t="s">
        <v>963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97</v>
      </c>
      <c r="D5530" t="s">
        <v>408</v>
      </c>
      <c r="E5530" t="s">
        <v>179</v>
      </c>
      <c r="F5530">
        <v>17</v>
      </c>
      <c r="G5530" t="s">
        <v>90</v>
      </c>
      <c r="H5530" t="s">
        <v>228</v>
      </c>
      <c r="I5530" t="s">
        <v>964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97</v>
      </c>
      <c r="D5531" t="s">
        <v>408</v>
      </c>
      <c r="E5531" t="s">
        <v>179</v>
      </c>
      <c r="F5531">
        <v>17</v>
      </c>
      <c r="G5531" t="s">
        <v>90</v>
      </c>
      <c r="H5531" t="s">
        <v>228</v>
      </c>
      <c r="I5531" t="s">
        <v>965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97</v>
      </c>
      <c r="D5532" t="s">
        <v>408</v>
      </c>
      <c r="E5532" t="s">
        <v>179</v>
      </c>
      <c r="F5532">
        <v>17</v>
      </c>
      <c r="G5532" t="s">
        <v>90</v>
      </c>
      <c r="H5532" t="s">
        <v>228</v>
      </c>
      <c r="I5532" t="s">
        <v>966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97</v>
      </c>
      <c r="D5533" t="s">
        <v>408</v>
      </c>
      <c r="E5533" t="s">
        <v>179</v>
      </c>
      <c r="F5533">
        <v>17</v>
      </c>
      <c r="G5533" t="s">
        <v>90</v>
      </c>
      <c r="H5533" t="s">
        <v>228</v>
      </c>
      <c r="I5533" t="s">
        <v>967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97</v>
      </c>
      <c r="D5534" t="s">
        <v>408</v>
      </c>
      <c r="E5534" t="s">
        <v>179</v>
      </c>
      <c r="F5534">
        <v>17</v>
      </c>
      <c r="G5534" t="s">
        <v>90</v>
      </c>
      <c r="H5534" t="s">
        <v>228</v>
      </c>
      <c r="I5534" t="s">
        <v>968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97</v>
      </c>
      <c r="D5535" t="s">
        <v>408</v>
      </c>
      <c r="E5535" t="s">
        <v>179</v>
      </c>
      <c r="F5535">
        <v>17</v>
      </c>
      <c r="G5535" t="s">
        <v>90</v>
      </c>
      <c r="H5535" t="s">
        <v>228</v>
      </c>
      <c r="I5535" t="s">
        <v>969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97</v>
      </c>
      <c r="D5536" t="s">
        <v>408</v>
      </c>
      <c r="E5536" t="s">
        <v>179</v>
      </c>
      <c r="F5536">
        <v>17</v>
      </c>
      <c r="G5536" t="s">
        <v>90</v>
      </c>
      <c r="H5536" t="s">
        <v>228</v>
      </c>
      <c r="I5536" t="s">
        <v>970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97</v>
      </c>
      <c r="D5537" t="s">
        <v>408</v>
      </c>
      <c r="E5537" t="s">
        <v>179</v>
      </c>
      <c r="F5537">
        <v>17</v>
      </c>
      <c r="G5537" t="s">
        <v>90</v>
      </c>
      <c r="H5537" t="s">
        <v>228</v>
      </c>
      <c r="I5537" t="s">
        <v>971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97</v>
      </c>
      <c r="D5538" t="s">
        <v>408</v>
      </c>
      <c r="E5538" t="s">
        <v>179</v>
      </c>
      <c r="F5538">
        <v>17</v>
      </c>
      <c r="G5538" t="s">
        <v>90</v>
      </c>
      <c r="H5538" t="s">
        <v>228</v>
      </c>
      <c r="I5538" t="s">
        <v>972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97</v>
      </c>
      <c r="D5539" t="s">
        <v>408</v>
      </c>
      <c r="E5539" t="s">
        <v>179</v>
      </c>
      <c r="F5539">
        <v>17</v>
      </c>
      <c r="G5539" t="s">
        <v>90</v>
      </c>
      <c r="H5539" t="s">
        <v>228</v>
      </c>
      <c r="I5539" t="s">
        <v>973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97</v>
      </c>
      <c r="D5540" t="s">
        <v>408</v>
      </c>
      <c r="E5540" t="s">
        <v>179</v>
      </c>
      <c r="F5540">
        <v>17</v>
      </c>
      <c r="G5540" t="s">
        <v>90</v>
      </c>
      <c r="H5540" t="s">
        <v>228</v>
      </c>
      <c r="I5540" t="s">
        <v>974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97</v>
      </c>
      <c r="D5541" t="s">
        <v>408</v>
      </c>
      <c r="E5541" t="s">
        <v>179</v>
      </c>
      <c r="F5541">
        <v>17</v>
      </c>
      <c r="G5541" t="s">
        <v>90</v>
      </c>
      <c r="H5541" t="s">
        <v>228</v>
      </c>
      <c r="I5541" t="s">
        <v>975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97</v>
      </c>
      <c r="D5542" t="s">
        <v>408</v>
      </c>
      <c r="E5542" t="s">
        <v>179</v>
      </c>
      <c r="F5542">
        <v>17</v>
      </c>
      <c r="G5542" t="s">
        <v>90</v>
      </c>
      <c r="H5542" t="s">
        <v>228</v>
      </c>
      <c r="I5542" t="s">
        <v>976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97</v>
      </c>
      <c r="D5543" t="s">
        <v>408</v>
      </c>
      <c r="E5543" t="s">
        <v>179</v>
      </c>
      <c r="F5543">
        <v>17</v>
      </c>
      <c r="G5543" t="s">
        <v>90</v>
      </c>
      <c r="H5543" t="s">
        <v>229</v>
      </c>
      <c r="I5543" t="s">
        <v>956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97</v>
      </c>
      <c r="D5544" t="s">
        <v>408</v>
      </c>
      <c r="E5544" t="s">
        <v>179</v>
      </c>
      <c r="F5544">
        <v>17</v>
      </c>
      <c r="G5544" t="s">
        <v>90</v>
      </c>
      <c r="H5544" t="s">
        <v>229</v>
      </c>
      <c r="I5544" t="s">
        <v>957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97</v>
      </c>
      <c r="D5545" t="s">
        <v>408</v>
      </c>
      <c r="E5545" t="s">
        <v>179</v>
      </c>
      <c r="F5545">
        <v>17</v>
      </c>
      <c r="G5545" t="s">
        <v>90</v>
      </c>
      <c r="H5545" t="s">
        <v>229</v>
      </c>
      <c r="I5545" t="s">
        <v>958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97</v>
      </c>
      <c r="D5546" t="s">
        <v>408</v>
      </c>
      <c r="E5546" t="s">
        <v>179</v>
      </c>
      <c r="F5546">
        <v>17</v>
      </c>
      <c r="G5546" t="s">
        <v>90</v>
      </c>
      <c r="H5546" t="s">
        <v>229</v>
      </c>
      <c r="I5546" t="s">
        <v>959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97</v>
      </c>
      <c r="D5547" t="s">
        <v>408</v>
      </c>
      <c r="E5547" t="s">
        <v>179</v>
      </c>
      <c r="F5547">
        <v>17</v>
      </c>
      <c r="G5547" t="s">
        <v>90</v>
      </c>
      <c r="H5547" t="s">
        <v>229</v>
      </c>
      <c r="I5547" t="s">
        <v>960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97</v>
      </c>
      <c r="D5548" t="s">
        <v>408</v>
      </c>
      <c r="E5548" t="s">
        <v>179</v>
      </c>
      <c r="F5548">
        <v>17</v>
      </c>
      <c r="G5548" t="s">
        <v>90</v>
      </c>
      <c r="H5548" t="s">
        <v>229</v>
      </c>
      <c r="I5548" t="s">
        <v>961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97</v>
      </c>
      <c r="D5549" t="s">
        <v>408</v>
      </c>
      <c r="E5549" t="s">
        <v>179</v>
      </c>
      <c r="F5549">
        <v>17</v>
      </c>
      <c r="G5549" t="s">
        <v>90</v>
      </c>
      <c r="H5549" t="s">
        <v>229</v>
      </c>
      <c r="I5549" t="s">
        <v>962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97</v>
      </c>
      <c r="D5550" t="s">
        <v>408</v>
      </c>
      <c r="E5550" t="s">
        <v>179</v>
      </c>
      <c r="F5550">
        <v>17</v>
      </c>
      <c r="G5550" t="s">
        <v>90</v>
      </c>
      <c r="H5550" t="s">
        <v>229</v>
      </c>
      <c r="I5550" t="s">
        <v>963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97</v>
      </c>
      <c r="D5551" t="s">
        <v>408</v>
      </c>
      <c r="E5551" t="s">
        <v>179</v>
      </c>
      <c r="F5551">
        <v>17</v>
      </c>
      <c r="G5551" t="s">
        <v>90</v>
      </c>
      <c r="H5551" t="s">
        <v>229</v>
      </c>
      <c r="I5551" t="s">
        <v>964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97</v>
      </c>
      <c r="D5552" t="s">
        <v>408</v>
      </c>
      <c r="E5552" t="s">
        <v>179</v>
      </c>
      <c r="F5552">
        <v>17</v>
      </c>
      <c r="G5552" t="s">
        <v>90</v>
      </c>
      <c r="H5552" t="s">
        <v>229</v>
      </c>
      <c r="I5552" t="s">
        <v>965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97</v>
      </c>
      <c r="D5553" t="s">
        <v>408</v>
      </c>
      <c r="E5553" t="s">
        <v>179</v>
      </c>
      <c r="F5553">
        <v>17</v>
      </c>
      <c r="G5553" t="s">
        <v>90</v>
      </c>
      <c r="H5553" t="s">
        <v>229</v>
      </c>
      <c r="I5553" t="s">
        <v>966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97</v>
      </c>
      <c r="D5554" t="s">
        <v>408</v>
      </c>
      <c r="E5554" t="s">
        <v>179</v>
      </c>
      <c r="F5554">
        <v>17</v>
      </c>
      <c r="G5554" t="s">
        <v>90</v>
      </c>
      <c r="H5554" t="s">
        <v>229</v>
      </c>
      <c r="I5554" t="s">
        <v>967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97</v>
      </c>
      <c r="D5555" t="s">
        <v>408</v>
      </c>
      <c r="E5555" t="s">
        <v>179</v>
      </c>
      <c r="F5555">
        <v>17</v>
      </c>
      <c r="G5555" t="s">
        <v>90</v>
      </c>
      <c r="H5555" t="s">
        <v>229</v>
      </c>
      <c r="I5555" t="s">
        <v>968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97</v>
      </c>
      <c r="D5556" t="s">
        <v>408</v>
      </c>
      <c r="E5556" t="s">
        <v>179</v>
      </c>
      <c r="F5556">
        <v>17</v>
      </c>
      <c r="G5556" t="s">
        <v>90</v>
      </c>
      <c r="H5556" t="s">
        <v>229</v>
      </c>
      <c r="I5556" t="s">
        <v>969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97</v>
      </c>
      <c r="D5557" t="s">
        <v>408</v>
      </c>
      <c r="E5557" t="s">
        <v>179</v>
      </c>
      <c r="F5557">
        <v>17</v>
      </c>
      <c r="G5557" t="s">
        <v>90</v>
      </c>
      <c r="H5557" t="s">
        <v>229</v>
      </c>
      <c r="I5557" t="s">
        <v>970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97</v>
      </c>
      <c r="D5558" t="s">
        <v>408</v>
      </c>
      <c r="E5558" t="s">
        <v>179</v>
      </c>
      <c r="F5558">
        <v>17</v>
      </c>
      <c r="G5558" t="s">
        <v>90</v>
      </c>
      <c r="H5558" t="s">
        <v>229</v>
      </c>
      <c r="I5558" t="s">
        <v>971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97</v>
      </c>
      <c r="D5559" t="s">
        <v>408</v>
      </c>
      <c r="E5559" t="s">
        <v>179</v>
      </c>
      <c r="F5559">
        <v>17</v>
      </c>
      <c r="G5559" t="s">
        <v>90</v>
      </c>
      <c r="H5559" t="s">
        <v>229</v>
      </c>
      <c r="I5559" t="s">
        <v>972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97</v>
      </c>
      <c r="D5560" t="s">
        <v>408</v>
      </c>
      <c r="E5560" t="s">
        <v>179</v>
      </c>
      <c r="F5560">
        <v>17</v>
      </c>
      <c r="G5560" t="s">
        <v>90</v>
      </c>
      <c r="H5560" t="s">
        <v>229</v>
      </c>
      <c r="I5560" t="s">
        <v>973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97</v>
      </c>
      <c r="D5561" t="s">
        <v>408</v>
      </c>
      <c r="E5561" t="s">
        <v>179</v>
      </c>
      <c r="F5561">
        <v>17</v>
      </c>
      <c r="G5561" t="s">
        <v>90</v>
      </c>
      <c r="H5561" t="s">
        <v>229</v>
      </c>
      <c r="I5561" t="s">
        <v>974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97</v>
      </c>
      <c r="D5562" t="s">
        <v>408</v>
      </c>
      <c r="E5562" t="s">
        <v>179</v>
      </c>
      <c r="F5562">
        <v>17</v>
      </c>
      <c r="G5562" t="s">
        <v>90</v>
      </c>
      <c r="H5562" t="s">
        <v>229</v>
      </c>
      <c r="I5562" t="s">
        <v>975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97</v>
      </c>
      <c r="D5563" t="s">
        <v>408</v>
      </c>
      <c r="E5563" t="s">
        <v>179</v>
      </c>
      <c r="F5563">
        <v>17</v>
      </c>
      <c r="G5563" t="s">
        <v>90</v>
      </c>
      <c r="H5563" t="s">
        <v>229</v>
      </c>
      <c r="I5563" t="s">
        <v>976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97</v>
      </c>
      <c r="D5564" t="s">
        <v>408</v>
      </c>
      <c r="E5564" t="s">
        <v>179</v>
      </c>
      <c r="F5564">
        <v>17</v>
      </c>
      <c r="G5564" t="s">
        <v>90</v>
      </c>
      <c r="H5564" t="s">
        <v>91</v>
      </c>
      <c r="I5564" t="s">
        <v>956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97</v>
      </c>
      <c r="D5565" t="s">
        <v>408</v>
      </c>
      <c r="E5565" t="s">
        <v>179</v>
      </c>
      <c r="F5565">
        <v>17</v>
      </c>
      <c r="G5565" t="s">
        <v>90</v>
      </c>
      <c r="H5565" t="s">
        <v>91</v>
      </c>
      <c r="I5565" t="s">
        <v>957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97</v>
      </c>
      <c r="D5566" t="s">
        <v>408</v>
      </c>
      <c r="E5566" t="s">
        <v>179</v>
      </c>
      <c r="F5566">
        <v>17</v>
      </c>
      <c r="G5566" t="s">
        <v>90</v>
      </c>
      <c r="H5566" t="s">
        <v>91</v>
      </c>
      <c r="I5566" t="s">
        <v>958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97</v>
      </c>
      <c r="D5567" t="s">
        <v>408</v>
      </c>
      <c r="E5567" t="s">
        <v>179</v>
      </c>
      <c r="F5567">
        <v>17</v>
      </c>
      <c r="G5567" t="s">
        <v>90</v>
      </c>
      <c r="H5567" t="s">
        <v>91</v>
      </c>
      <c r="I5567" t="s">
        <v>959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97</v>
      </c>
      <c r="D5568" t="s">
        <v>408</v>
      </c>
      <c r="E5568" t="s">
        <v>179</v>
      </c>
      <c r="F5568">
        <v>17</v>
      </c>
      <c r="G5568" t="s">
        <v>90</v>
      </c>
      <c r="H5568" t="s">
        <v>91</v>
      </c>
      <c r="I5568" t="s">
        <v>960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97</v>
      </c>
      <c r="D5569" t="s">
        <v>408</v>
      </c>
      <c r="E5569" t="s">
        <v>179</v>
      </c>
      <c r="F5569">
        <v>17</v>
      </c>
      <c r="G5569" t="s">
        <v>90</v>
      </c>
      <c r="H5569" t="s">
        <v>91</v>
      </c>
      <c r="I5569" t="s">
        <v>961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97</v>
      </c>
      <c r="D5570" t="s">
        <v>408</v>
      </c>
      <c r="E5570" t="s">
        <v>179</v>
      </c>
      <c r="F5570">
        <v>17</v>
      </c>
      <c r="G5570" t="s">
        <v>90</v>
      </c>
      <c r="H5570" t="s">
        <v>91</v>
      </c>
      <c r="I5570" t="s">
        <v>962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97</v>
      </c>
      <c r="D5571" t="s">
        <v>408</v>
      </c>
      <c r="E5571" t="s">
        <v>179</v>
      </c>
      <c r="F5571">
        <v>17</v>
      </c>
      <c r="G5571" t="s">
        <v>90</v>
      </c>
      <c r="H5571" t="s">
        <v>91</v>
      </c>
      <c r="I5571" t="s">
        <v>963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97</v>
      </c>
      <c r="D5572" t="s">
        <v>408</v>
      </c>
      <c r="E5572" t="s">
        <v>179</v>
      </c>
      <c r="F5572">
        <v>17</v>
      </c>
      <c r="G5572" t="s">
        <v>90</v>
      </c>
      <c r="H5572" t="s">
        <v>91</v>
      </c>
      <c r="I5572" t="s">
        <v>964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97</v>
      </c>
      <c r="D5573" t="s">
        <v>408</v>
      </c>
      <c r="E5573" t="s">
        <v>179</v>
      </c>
      <c r="F5573">
        <v>17</v>
      </c>
      <c r="G5573" t="s">
        <v>90</v>
      </c>
      <c r="H5573" t="s">
        <v>91</v>
      </c>
      <c r="I5573" t="s">
        <v>965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97</v>
      </c>
      <c r="D5574" t="s">
        <v>408</v>
      </c>
      <c r="E5574" t="s">
        <v>179</v>
      </c>
      <c r="F5574">
        <v>17</v>
      </c>
      <c r="G5574" t="s">
        <v>90</v>
      </c>
      <c r="H5574" t="s">
        <v>91</v>
      </c>
      <c r="I5574" t="s">
        <v>966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97</v>
      </c>
      <c r="D5575" t="s">
        <v>408</v>
      </c>
      <c r="E5575" t="s">
        <v>179</v>
      </c>
      <c r="F5575">
        <v>17</v>
      </c>
      <c r="G5575" t="s">
        <v>90</v>
      </c>
      <c r="H5575" t="s">
        <v>91</v>
      </c>
      <c r="I5575" t="s">
        <v>967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97</v>
      </c>
      <c r="D5576" t="s">
        <v>408</v>
      </c>
      <c r="E5576" t="s">
        <v>179</v>
      </c>
      <c r="F5576">
        <v>17</v>
      </c>
      <c r="G5576" t="s">
        <v>90</v>
      </c>
      <c r="H5576" t="s">
        <v>91</v>
      </c>
      <c r="I5576" t="s">
        <v>968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97</v>
      </c>
      <c r="D5577" t="s">
        <v>408</v>
      </c>
      <c r="E5577" t="s">
        <v>179</v>
      </c>
      <c r="F5577">
        <v>17</v>
      </c>
      <c r="G5577" t="s">
        <v>90</v>
      </c>
      <c r="H5577" t="s">
        <v>91</v>
      </c>
      <c r="I5577" t="s">
        <v>969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97</v>
      </c>
      <c r="D5578" t="s">
        <v>408</v>
      </c>
      <c r="E5578" t="s">
        <v>179</v>
      </c>
      <c r="F5578">
        <v>17</v>
      </c>
      <c r="G5578" t="s">
        <v>90</v>
      </c>
      <c r="H5578" t="s">
        <v>91</v>
      </c>
      <c r="I5578" t="s">
        <v>970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97</v>
      </c>
      <c r="D5579" t="s">
        <v>408</v>
      </c>
      <c r="E5579" t="s">
        <v>179</v>
      </c>
      <c r="F5579">
        <v>17</v>
      </c>
      <c r="G5579" t="s">
        <v>90</v>
      </c>
      <c r="H5579" t="s">
        <v>91</v>
      </c>
      <c r="I5579" t="s">
        <v>971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97</v>
      </c>
      <c r="D5580" t="s">
        <v>408</v>
      </c>
      <c r="E5580" t="s">
        <v>179</v>
      </c>
      <c r="F5580">
        <v>17</v>
      </c>
      <c r="G5580" t="s">
        <v>90</v>
      </c>
      <c r="H5580" t="s">
        <v>91</v>
      </c>
      <c r="I5580" t="s">
        <v>972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97</v>
      </c>
      <c r="D5581" t="s">
        <v>408</v>
      </c>
      <c r="E5581" t="s">
        <v>179</v>
      </c>
      <c r="F5581">
        <v>17</v>
      </c>
      <c r="G5581" t="s">
        <v>90</v>
      </c>
      <c r="H5581" t="s">
        <v>91</v>
      </c>
      <c r="I5581" t="s">
        <v>973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97</v>
      </c>
      <c r="D5582" t="s">
        <v>408</v>
      </c>
      <c r="E5582" t="s">
        <v>179</v>
      </c>
      <c r="F5582">
        <v>17</v>
      </c>
      <c r="G5582" t="s">
        <v>90</v>
      </c>
      <c r="H5582" t="s">
        <v>91</v>
      </c>
      <c r="I5582" t="s">
        <v>974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97</v>
      </c>
      <c r="D5583" t="s">
        <v>408</v>
      </c>
      <c r="E5583" t="s">
        <v>179</v>
      </c>
      <c r="F5583">
        <v>17</v>
      </c>
      <c r="G5583" t="s">
        <v>90</v>
      </c>
      <c r="H5583" t="s">
        <v>91</v>
      </c>
      <c r="I5583" t="s">
        <v>975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97</v>
      </c>
      <c r="D5584" t="s">
        <v>408</v>
      </c>
      <c r="E5584" t="s">
        <v>179</v>
      </c>
      <c r="F5584">
        <v>17</v>
      </c>
      <c r="G5584" t="s">
        <v>90</v>
      </c>
      <c r="H5584" t="s">
        <v>91</v>
      </c>
      <c r="I5584" t="s">
        <v>976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97</v>
      </c>
      <c r="D5585" t="s">
        <v>408</v>
      </c>
      <c r="E5585" t="s">
        <v>179</v>
      </c>
      <c r="F5585">
        <v>17</v>
      </c>
      <c r="G5585" t="s">
        <v>90</v>
      </c>
      <c r="H5585" t="s">
        <v>230</v>
      </c>
      <c r="I5585" t="s">
        <v>956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97</v>
      </c>
      <c r="D5586" t="s">
        <v>408</v>
      </c>
      <c r="E5586" t="s">
        <v>179</v>
      </c>
      <c r="F5586">
        <v>17</v>
      </c>
      <c r="G5586" t="s">
        <v>90</v>
      </c>
      <c r="H5586" t="s">
        <v>230</v>
      </c>
      <c r="I5586" t="s">
        <v>957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97</v>
      </c>
      <c r="D5587" t="s">
        <v>408</v>
      </c>
      <c r="E5587" t="s">
        <v>179</v>
      </c>
      <c r="F5587">
        <v>17</v>
      </c>
      <c r="G5587" t="s">
        <v>90</v>
      </c>
      <c r="H5587" t="s">
        <v>230</v>
      </c>
      <c r="I5587" t="s">
        <v>958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97</v>
      </c>
      <c r="D5588" t="s">
        <v>408</v>
      </c>
      <c r="E5588" t="s">
        <v>179</v>
      </c>
      <c r="F5588">
        <v>17</v>
      </c>
      <c r="G5588" t="s">
        <v>90</v>
      </c>
      <c r="H5588" t="s">
        <v>230</v>
      </c>
      <c r="I5588" t="s">
        <v>959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97</v>
      </c>
      <c r="D5589" t="s">
        <v>408</v>
      </c>
      <c r="E5589" t="s">
        <v>179</v>
      </c>
      <c r="F5589">
        <v>17</v>
      </c>
      <c r="G5589" t="s">
        <v>90</v>
      </c>
      <c r="H5589" t="s">
        <v>230</v>
      </c>
      <c r="I5589" t="s">
        <v>960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97</v>
      </c>
      <c r="D5590" t="s">
        <v>408</v>
      </c>
      <c r="E5590" t="s">
        <v>179</v>
      </c>
      <c r="F5590">
        <v>17</v>
      </c>
      <c r="G5590" t="s">
        <v>90</v>
      </c>
      <c r="H5590" t="s">
        <v>230</v>
      </c>
      <c r="I5590" t="s">
        <v>961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97</v>
      </c>
      <c r="D5591" t="s">
        <v>408</v>
      </c>
      <c r="E5591" t="s">
        <v>179</v>
      </c>
      <c r="F5591">
        <v>17</v>
      </c>
      <c r="G5591" t="s">
        <v>90</v>
      </c>
      <c r="H5591" t="s">
        <v>230</v>
      </c>
      <c r="I5591" t="s">
        <v>962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97</v>
      </c>
      <c r="D5592" t="s">
        <v>408</v>
      </c>
      <c r="E5592" t="s">
        <v>179</v>
      </c>
      <c r="F5592">
        <v>17</v>
      </c>
      <c r="G5592" t="s">
        <v>90</v>
      </c>
      <c r="H5592" t="s">
        <v>230</v>
      </c>
      <c r="I5592" t="s">
        <v>963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97</v>
      </c>
      <c r="D5593" t="s">
        <v>408</v>
      </c>
      <c r="E5593" t="s">
        <v>179</v>
      </c>
      <c r="F5593">
        <v>17</v>
      </c>
      <c r="G5593" t="s">
        <v>90</v>
      </c>
      <c r="H5593" t="s">
        <v>230</v>
      </c>
      <c r="I5593" t="s">
        <v>964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97</v>
      </c>
      <c r="D5594" t="s">
        <v>408</v>
      </c>
      <c r="E5594" t="s">
        <v>179</v>
      </c>
      <c r="F5594">
        <v>17</v>
      </c>
      <c r="G5594" t="s">
        <v>90</v>
      </c>
      <c r="H5594" t="s">
        <v>230</v>
      </c>
      <c r="I5594" t="s">
        <v>965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97</v>
      </c>
      <c r="D5595" t="s">
        <v>408</v>
      </c>
      <c r="E5595" t="s">
        <v>179</v>
      </c>
      <c r="F5595">
        <v>17</v>
      </c>
      <c r="G5595" t="s">
        <v>90</v>
      </c>
      <c r="H5595" t="s">
        <v>230</v>
      </c>
      <c r="I5595" t="s">
        <v>966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97</v>
      </c>
      <c r="D5596" t="s">
        <v>408</v>
      </c>
      <c r="E5596" t="s">
        <v>179</v>
      </c>
      <c r="F5596">
        <v>17</v>
      </c>
      <c r="G5596" t="s">
        <v>90</v>
      </c>
      <c r="H5596" t="s">
        <v>230</v>
      </c>
      <c r="I5596" t="s">
        <v>967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97</v>
      </c>
      <c r="D5597" t="s">
        <v>408</v>
      </c>
      <c r="E5597" t="s">
        <v>179</v>
      </c>
      <c r="F5597">
        <v>17</v>
      </c>
      <c r="G5597" t="s">
        <v>90</v>
      </c>
      <c r="H5597" t="s">
        <v>230</v>
      </c>
      <c r="I5597" t="s">
        <v>968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97</v>
      </c>
      <c r="D5598" t="s">
        <v>408</v>
      </c>
      <c r="E5598" t="s">
        <v>179</v>
      </c>
      <c r="F5598">
        <v>17</v>
      </c>
      <c r="G5598" t="s">
        <v>90</v>
      </c>
      <c r="H5598" t="s">
        <v>230</v>
      </c>
      <c r="I5598" t="s">
        <v>969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97</v>
      </c>
      <c r="D5599" t="s">
        <v>408</v>
      </c>
      <c r="E5599" t="s">
        <v>179</v>
      </c>
      <c r="F5599">
        <v>17</v>
      </c>
      <c r="G5599" t="s">
        <v>90</v>
      </c>
      <c r="H5599" t="s">
        <v>230</v>
      </c>
      <c r="I5599" t="s">
        <v>970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97</v>
      </c>
      <c r="D5600" t="s">
        <v>408</v>
      </c>
      <c r="E5600" t="s">
        <v>179</v>
      </c>
      <c r="F5600">
        <v>17</v>
      </c>
      <c r="G5600" t="s">
        <v>90</v>
      </c>
      <c r="H5600" t="s">
        <v>230</v>
      </c>
      <c r="I5600" t="s">
        <v>971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97</v>
      </c>
      <c r="D5601" t="s">
        <v>408</v>
      </c>
      <c r="E5601" t="s">
        <v>179</v>
      </c>
      <c r="F5601">
        <v>17</v>
      </c>
      <c r="G5601" t="s">
        <v>90</v>
      </c>
      <c r="H5601" t="s">
        <v>230</v>
      </c>
      <c r="I5601" t="s">
        <v>972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97</v>
      </c>
      <c r="D5602" t="s">
        <v>408</v>
      </c>
      <c r="E5602" t="s">
        <v>179</v>
      </c>
      <c r="F5602">
        <v>17</v>
      </c>
      <c r="G5602" t="s">
        <v>90</v>
      </c>
      <c r="H5602" t="s">
        <v>230</v>
      </c>
      <c r="I5602" t="s">
        <v>973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97</v>
      </c>
      <c r="D5603" t="s">
        <v>408</v>
      </c>
      <c r="E5603" t="s">
        <v>179</v>
      </c>
      <c r="F5603">
        <v>17</v>
      </c>
      <c r="G5603" t="s">
        <v>90</v>
      </c>
      <c r="H5603" t="s">
        <v>230</v>
      </c>
      <c r="I5603" t="s">
        <v>974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97</v>
      </c>
      <c r="D5604" t="s">
        <v>408</v>
      </c>
      <c r="E5604" t="s">
        <v>179</v>
      </c>
      <c r="F5604">
        <v>17</v>
      </c>
      <c r="G5604" t="s">
        <v>90</v>
      </c>
      <c r="H5604" t="s">
        <v>230</v>
      </c>
      <c r="I5604" t="s">
        <v>975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97</v>
      </c>
      <c r="D5605" t="s">
        <v>408</v>
      </c>
      <c r="E5605" t="s">
        <v>179</v>
      </c>
      <c r="F5605">
        <v>17</v>
      </c>
      <c r="G5605" t="s">
        <v>90</v>
      </c>
      <c r="H5605" t="s">
        <v>230</v>
      </c>
      <c r="I5605" t="s">
        <v>976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97</v>
      </c>
      <c r="D5606" t="s">
        <v>408</v>
      </c>
      <c r="E5606" t="s">
        <v>179</v>
      </c>
      <c r="F5606">
        <v>17</v>
      </c>
      <c r="G5606" t="s">
        <v>90</v>
      </c>
      <c r="H5606" t="s">
        <v>188</v>
      </c>
      <c r="I5606" t="s">
        <v>956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97</v>
      </c>
      <c r="D5607" t="s">
        <v>408</v>
      </c>
      <c r="E5607" t="s">
        <v>179</v>
      </c>
      <c r="F5607">
        <v>17</v>
      </c>
      <c r="G5607" t="s">
        <v>90</v>
      </c>
      <c r="H5607" t="s">
        <v>188</v>
      </c>
      <c r="I5607" t="s">
        <v>957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97</v>
      </c>
      <c r="D5608" t="s">
        <v>408</v>
      </c>
      <c r="E5608" t="s">
        <v>179</v>
      </c>
      <c r="F5608">
        <v>17</v>
      </c>
      <c r="G5608" t="s">
        <v>90</v>
      </c>
      <c r="H5608" t="s">
        <v>188</v>
      </c>
      <c r="I5608" t="s">
        <v>958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97</v>
      </c>
      <c r="D5609" t="s">
        <v>408</v>
      </c>
      <c r="E5609" t="s">
        <v>179</v>
      </c>
      <c r="F5609">
        <v>17</v>
      </c>
      <c r="G5609" t="s">
        <v>90</v>
      </c>
      <c r="H5609" t="s">
        <v>188</v>
      </c>
      <c r="I5609" t="s">
        <v>959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97</v>
      </c>
      <c r="D5610" t="s">
        <v>408</v>
      </c>
      <c r="E5610" t="s">
        <v>179</v>
      </c>
      <c r="F5610">
        <v>17</v>
      </c>
      <c r="G5610" t="s">
        <v>90</v>
      </c>
      <c r="H5610" t="s">
        <v>188</v>
      </c>
      <c r="I5610" t="s">
        <v>960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97</v>
      </c>
      <c r="D5611" t="s">
        <v>408</v>
      </c>
      <c r="E5611" t="s">
        <v>179</v>
      </c>
      <c r="F5611">
        <v>17</v>
      </c>
      <c r="G5611" t="s">
        <v>90</v>
      </c>
      <c r="H5611" t="s">
        <v>188</v>
      </c>
      <c r="I5611" t="s">
        <v>961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97</v>
      </c>
      <c r="D5612" t="s">
        <v>408</v>
      </c>
      <c r="E5612" t="s">
        <v>179</v>
      </c>
      <c r="F5612">
        <v>17</v>
      </c>
      <c r="G5612" t="s">
        <v>90</v>
      </c>
      <c r="H5612" t="s">
        <v>188</v>
      </c>
      <c r="I5612" t="s">
        <v>962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97</v>
      </c>
      <c r="D5613" t="s">
        <v>408</v>
      </c>
      <c r="E5613" t="s">
        <v>179</v>
      </c>
      <c r="F5613">
        <v>17</v>
      </c>
      <c r="G5613" t="s">
        <v>90</v>
      </c>
      <c r="H5613" t="s">
        <v>188</v>
      </c>
      <c r="I5613" t="s">
        <v>963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97</v>
      </c>
      <c r="D5614" t="s">
        <v>408</v>
      </c>
      <c r="E5614" t="s">
        <v>179</v>
      </c>
      <c r="F5614">
        <v>17</v>
      </c>
      <c r="G5614" t="s">
        <v>90</v>
      </c>
      <c r="H5614" t="s">
        <v>188</v>
      </c>
      <c r="I5614" t="s">
        <v>964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97</v>
      </c>
      <c r="D5615" t="s">
        <v>408</v>
      </c>
      <c r="E5615" t="s">
        <v>179</v>
      </c>
      <c r="F5615">
        <v>17</v>
      </c>
      <c r="G5615" t="s">
        <v>90</v>
      </c>
      <c r="H5615" t="s">
        <v>188</v>
      </c>
      <c r="I5615" t="s">
        <v>965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97</v>
      </c>
      <c r="D5616" t="s">
        <v>408</v>
      </c>
      <c r="E5616" t="s">
        <v>179</v>
      </c>
      <c r="F5616">
        <v>17</v>
      </c>
      <c r="G5616" t="s">
        <v>90</v>
      </c>
      <c r="H5616" t="s">
        <v>188</v>
      </c>
      <c r="I5616" t="s">
        <v>966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97</v>
      </c>
      <c r="D5617" t="s">
        <v>408</v>
      </c>
      <c r="E5617" t="s">
        <v>179</v>
      </c>
      <c r="F5617">
        <v>17</v>
      </c>
      <c r="G5617" t="s">
        <v>90</v>
      </c>
      <c r="H5617" t="s">
        <v>188</v>
      </c>
      <c r="I5617" t="s">
        <v>967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97</v>
      </c>
      <c r="D5618" t="s">
        <v>408</v>
      </c>
      <c r="E5618" t="s">
        <v>179</v>
      </c>
      <c r="F5618">
        <v>17</v>
      </c>
      <c r="G5618" t="s">
        <v>90</v>
      </c>
      <c r="H5618" t="s">
        <v>188</v>
      </c>
      <c r="I5618" t="s">
        <v>968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97</v>
      </c>
      <c r="D5619" t="s">
        <v>408</v>
      </c>
      <c r="E5619" t="s">
        <v>179</v>
      </c>
      <c r="F5619">
        <v>17</v>
      </c>
      <c r="G5619" t="s">
        <v>90</v>
      </c>
      <c r="H5619" t="s">
        <v>188</v>
      </c>
      <c r="I5619" t="s">
        <v>969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97</v>
      </c>
      <c r="D5620" t="s">
        <v>408</v>
      </c>
      <c r="E5620" t="s">
        <v>179</v>
      </c>
      <c r="F5620">
        <v>17</v>
      </c>
      <c r="G5620" t="s">
        <v>90</v>
      </c>
      <c r="H5620" t="s">
        <v>188</v>
      </c>
      <c r="I5620" t="s">
        <v>970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97</v>
      </c>
      <c r="D5621" t="s">
        <v>408</v>
      </c>
      <c r="E5621" t="s">
        <v>179</v>
      </c>
      <c r="F5621">
        <v>17</v>
      </c>
      <c r="G5621" t="s">
        <v>90</v>
      </c>
      <c r="H5621" t="s">
        <v>188</v>
      </c>
      <c r="I5621" t="s">
        <v>971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97</v>
      </c>
      <c r="D5622" t="s">
        <v>408</v>
      </c>
      <c r="E5622" t="s">
        <v>179</v>
      </c>
      <c r="F5622">
        <v>17</v>
      </c>
      <c r="G5622" t="s">
        <v>90</v>
      </c>
      <c r="H5622" t="s">
        <v>188</v>
      </c>
      <c r="I5622" t="s">
        <v>972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97</v>
      </c>
      <c r="D5623" t="s">
        <v>408</v>
      </c>
      <c r="E5623" t="s">
        <v>179</v>
      </c>
      <c r="F5623">
        <v>17</v>
      </c>
      <c r="G5623" t="s">
        <v>90</v>
      </c>
      <c r="H5623" t="s">
        <v>188</v>
      </c>
      <c r="I5623" t="s">
        <v>973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97</v>
      </c>
      <c r="D5624" t="s">
        <v>408</v>
      </c>
      <c r="E5624" t="s">
        <v>179</v>
      </c>
      <c r="F5624">
        <v>17</v>
      </c>
      <c r="G5624" t="s">
        <v>90</v>
      </c>
      <c r="H5624" t="s">
        <v>188</v>
      </c>
      <c r="I5624" t="s">
        <v>974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97</v>
      </c>
      <c r="D5625" t="s">
        <v>408</v>
      </c>
      <c r="E5625" t="s">
        <v>179</v>
      </c>
      <c r="F5625">
        <v>17</v>
      </c>
      <c r="G5625" t="s">
        <v>90</v>
      </c>
      <c r="H5625" t="s">
        <v>188</v>
      </c>
      <c r="I5625" t="s">
        <v>975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97</v>
      </c>
      <c r="D5626" t="s">
        <v>408</v>
      </c>
      <c r="E5626" t="s">
        <v>179</v>
      </c>
      <c r="F5626">
        <v>17</v>
      </c>
      <c r="G5626" t="s">
        <v>90</v>
      </c>
      <c r="H5626" t="s">
        <v>188</v>
      </c>
      <c r="I5626" t="s">
        <v>976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97</v>
      </c>
      <c r="D5627" t="s">
        <v>408</v>
      </c>
      <c r="E5627" t="s">
        <v>179</v>
      </c>
      <c r="F5627">
        <v>17</v>
      </c>
      <c r="G5627" t="s">
        <v>233</v>
      </c>
      <c r="H5627" t="s">
        <v>234</v>
      </c>
      <c r="I5627" t="s">
        <v>977</v>
      </c>
      <c r="J5627" s="73">
        <v>45659</v>
      </c>
    </row>
    <row r="5628" spans="1:10" x14ac:dyDescent="0.25">
      <c r="A5628" s="1" t="s">
        <v>27</v>
      </c>
      <c r="B5628">
        <v>401752665</v>
      </c>
      <c r="C5628" t="s">
        <v>97</v>
      </c>
      <c r="D5628" t="s">
        <v>408</v>
      </c>
      <c r="E5628" t="s">
        <v>179</v>
      </c>
      <c r="F5628">
        <v>17</v>
      </c>
      <c r="G5628" t="s">
        <v>233</v>
      </c>
      <c r="H5628" t="s">
        <v>236</v>
      </c>
      <c r="I5628" t="s">
        <v>977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97</v>
      </c>
      <c r="D5629" t="s">
        <v>408</v>
      </c>
      <c r="E5629" t="s">
        <v>179</v>
      </c>
      <c r="F5629">
        <v>17</v>
      </c>
      <c r="G5629" t="s">
        <v>233</v>
      </c>
      <c r="H5629" t="s">
        <v>198</v>
      </c>
      <c r="I5629" t="s">
        <v>977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97</v>
      </c>
      <c r="D5630" t="s">
        <v>408</v>
      </c>
      <c r="E5630" t="s">
        <v>179</v>
      </c>
      <c r="F5630">
        <v>17</v>
      </c>
      <c r="G5630" t="s">
        <v>233</v>
      </c>
      <c r="H5630" t="s">
        <v>237</v>
      </c>
      <c r="I5630" t="s">
        <v>977</v>
      </c>
      <c r="J5630" s="73">
        <v>45690</v>
      </c>
    </row>
    <row r="5631" spans="1:10" x14ac:dyDescent="0.25">
      <c r="A5631" s="1" t="s">
        <v>27</v>
      </c>
      <c r="B5631">
        <v>401752665</v>
      </c>
      <c r="C5631" t="s">
        <v>97</v>
      </c>
      <c r="D5631" t="s">
        <v>408</v>
      </c>
      <c r="E5631" t="s">
        <v>179</v>
      </c>
      <c r="F5631">
        <v>17</v>
      </c>
      <c r="G5631" t="s">
        <v>233</v>
      </c>
      <c r="H5631" t="s">
        <v>238</v>
      </c>
      <c r="I5631" t="s">
        <v>977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97</v>
      </c>
      <c r="D5632" t="s">
        <v>408</v>
      </c>
      <c r="E5632" t="s">
        <v>179</v>
      </c>
      <c r="F5632">
        <v>17</v>
      </c>
      <c r="G5632" t="s">
        <v>239</v>
      </c>
      <c r="H5632" t="s">
        <v>232</v>
      </c>
      <c r="I5632" t="s">
        <v>978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97</v>
      </c>
      <c r="D5633" t="s">
        <v>408</v>
      </c>
      <c r="E5633" t="s">
        <v>179</v>
      </c>
      <c r="F5633">
        <v>17</v>
      </c>
      <c r="G5633" t="s">
        <v>239</v>
      </c>
      <c r="H5633" t="s">
        <v>186</v>
      </c>
      <c r="I5633" t="s">
        <v>978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97</v>
      </c>
      <c r="D5634" t="s">
        <v>408</v>
      </c>
      <c r="E5634" t="s">
        <v>179</v>
      </c>
      <c r="F5634">
        <v>17</v>
      </c>
      <c r="G5634" t="s">
        <v>239</v>
      </c>
      <c r="H5634" t="s">
        <v>187</v>
      </c>
      <c r="I5634" t="s">
        <v>978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97</v>
      </c>
      <c r="D5635" t="s">
        <v>408</v>
      </c>
      <c r="E5635" t="s">
        <v>179</v>
      </c>
      <c r="F5635">
        <v>17</v>
      </c>
      <c r="G5635" t="s">
        <v>239</v>
      </c>
      <c r="H5635" t="s">
        <v>241</v>
      </c>
      <c r="I5635" t="s">
        <v>978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97</v>
      </c>
      <c r="D5636" t="s">
        <v>408</v>
      </c>
      <c r="E5636" t="s">
        <v>179</v>
      </c>
      <c r="F5636">
        <v>17</v>
      </c>
      <c r="G5636" t="s">
        <v>239</v>
      </c>
      <c r="H5636" t="s">
        <v>242</v>
      </c>
      <c r="I5636" t="s">
        <v>978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97</v>
      </c>
      <c r="D5637" t="s">
        <v>408</v>
      </c>
      <c r="E5637" t="s">
        <v>179</v>
      </c>
      <c r="F5637">
        <v>17</v>
      </c>
      <c r="G5637" t="s">
        <v>239</v>
      </c>
      <c r="H5637" t="s">
        <v>198</v>
      </c>
      <c r="I5637" t="s">
        <v>978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83</v>
      </c>
      <c r="D5638" t="s">
        <v>88</v>
      </c>
      <c r="E5638" t="s">
        <v>89</v>
      </c>
      <c r="F5638">
        <v>10</v>
      </c>
      <c r="G5638" t="s">
        <v>180</v>
      </c>
      <c r="H5638" t="s">
        <v>181</v>
      </c>
      <c r="I5638" t="s">
        <v>979</v>
      </c>
      <c r="J5638" t="s">
        <v>980</v>
      </c>
    </row>
    <row r="5639" spans="1:10" x14ac:dyDescent="0.25">
      <c r="A5639" s="1" t="s">
        <v>27</v>
      </c>
      <c r="B5639">
        <v>401752671</v>
      </c>
      <c r="C5639" t="s">
        <v>83</v>
      </c>
      <c r="D5639" t="s">
        <v>88</v>
      </c>
      <c r="E5639" t="s">
        <v>89</v>
      </c>
      <c r="F5639">
        <v>10</v>
      </c>
      <c r="G5639" t="s">
        <v>180</v>
      </c>
      <c r="H5639" t="s">
        <v>186</v>
      </c>
      <c r="I5639" t="s">
        <v>979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83</v>
      </c>
      <c r="D5640" t="s">
        <v>88</v>
      </c>
      <c r="E5640" t="s">
        <v>89</v>
      </c>
      <c r="F5640">
        <v>10</v>
      </c>
      <c r="G5640" t="s">
        <v>180</v>
      </c>
      <c r="H5640" t="s">
        <v>187</v>
      </c>
      <c r="I5640" t="s">
        <v>979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83</v>
      </c>
      <c r="D5641" t="s">
        <v>88</v>
      </c>
      <c r="E5641" t="s">
        <v>89</v>
      </c>
      <c r="F5641">
        <v>10</v>
      </c>
      <c r="G5641" t="s">
        <v>180</v>
      </c>
      <c r="H5641" t="s">
        <v>188</v>
      </c>
      <c r="I5641" t="s">
        <v>979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83</v>
      </c>
      <c r="D5642" t="s">
        <v>88</v>
      </c>
      <c r="E5642" t="s">
        <v>89</v>
      </c>
      <c r="F5642">
        <v>10</v>
      </c>
      <c r="G5642" t="s">
        <v>180</v>
      </c>
      <c r="H5642" t="s">
        <v>189</v>
      </c>
      <c r="I5642" t="s">
        <v>979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83</v>
      </c>
      <c r="D5643" t="s">
        <v>88</v>
      </c>
      <c r="E5643" t="s">
        <v>89</v>
      </c>
      <c r="F5643">
        <v>10</v>
      </c>
      <c r="G5643" t="s">
        <v>192</v>
      </c>
      <c r="H5643" t="s">
        <v>193</v>
      </c>
      <c r="I5643" t="s">
        <v>981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83</v>
      </c>
      <c r="D5644" t="s">
        <v>88</v>
      </c>
      <c r="E5644" t="s">
        <v>89</v>
      </c>
      <c r="F5644">
        <v>10</v>
      </c>
      <c r="G5644" t="s">
        <v>192</v>
      </c>
      <c r="H5644" t="s">
        <v>193</v>
      </c>
      <c r="I5644" t="s">
        <v>982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83</v>
      </c>
      <c r="D5645" t="s">
        <v>88</v>
      </c>
      <c r="E5645" t="s">
        <v>89</v>
      </c>
      <c r="F5645">
        <v>10</v>
      </c>
      <c r="G5645" t="s">
        <v>192</v>
      </c>
      <c r="H5645" t="s">
        <v>193</v>
      </c>
      <c r="I5645" t="s">
        <v>983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83</v>
      </c>
      <c r="D5646" t="s">
        <v>88</v>
      </c>
      <c r="E5646" t="s">
        <v>89</v>
      </c>
      <c r="F5646">
        <v>10</v>
      </c>
      <c r="G5646" t="s">
        <v>192</v>
      </c>
      <c r="H5646" t="s">
        <v>193</v>
      </c>
      <c r="I5646" t="s">
        <v>984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83</v>
      </c>
      <c r="D5647" t="s">
        <v>88</v>
      </c>
      <c r="E5647" t="s">
        <v>89</v>
      </c>
      <c r="F5647">
        <v>10</v>
      </c>
      <c r="G5647" t="s">
        <v>192</v>
      </c>
      <c r="H5647" t="s">
        <v>193</v>
      </c>
      <c r="I5647" t="s">
        <v>979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83</v>
      </c>
      <c r="D5648" t="s">
        <v>88</v>
      </c>
      <c r="E5648" t="s">
        <v>89</v>
      </c>
      <c r="F5648">
        <v>10</v>
      </c>
      <c r="G5648" t="s">
        <v>192</v>
      </c>
      <c r="H5648" t="s">
        <v>193</v>
      </c>
      <c r="I5648" t="s">
        <v>184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83</v>
      </c>
      <c r="D5649" t="s">
        <v>88</v>
      </c>
      <c r="E5649" t="s">
        <v>89</v>
      </c>
      <c r="F5649">
        <v>10</v>
      </c>
      <c r="G5649" t="s">
        <v>192</v>
      </c>
      <c r="H5649" t="s">
        <v>193</v>
      </c>
      <c r="I5649" t="s">
        <v>985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83</v>
      </c>
      <c r="D5650" t="s">
        <v>88</v>
      </c>
      <c r="E5650" t="s">
        <v>89</v>
      </c>
      <c r="F5650">
        <v>10</v>
      </c>
      <c r="G5650" t="s">
        <v>192</v>
      </c>
      <c r="H5650" t="s">
        <v>186</v>
      </c>
      <c r="I5650" t="s">
        <v>981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83</v>
      </c>
      <c r="D5651" t="s">
        <v>88</v>
      </c>
      <c r="E5651" t="s">
        <v>89</v>
      </c>
      <c r="F5651">
        <v>10</v>
      </c>
      <c r="G5651" t="s">
        <v>192</v>
      </c>
      <c r="H5651" t="s">
        <v>186</v>
      </c>
      <c r="I5651" t="s">
        <v>982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83</v>
      </c>
      <c r="D5652" t="s">
        <v>88</v>
      </c>
      <c r="E5652" t="s">
        <v>89</v>
      </c>
      <c r="F5652">
        <v>10</v>
      </c>
      <c r="G5652" t="s">
        <v>192</v>
      </c>
      <c r="H5652" t="s">
        <v>186</v>
      </c>
      <c r="I5652" t="s">
        <v>983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83</v>
      </c>
      <c r="D5653" t="s">
        <v>88</v>
      </c>
      <c r="E5653" t="s">
        <v>89</v>
      </c>
      <c r="F5653">
        <v>10</v>
      </c>
      <c r="G5653" t="s">
        <v>192</v>
      </c>
      <c r="H5653" t="s">
        <v>186</v>
      </c>
      <c r="I5653" t="s">
        <v>984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83</v>
      </c>
      <c r="D5654" t="s">
        <v>88</v>
      </c>
      <c r="E5654" t="s">
        <v>89</v>
      </c>
      <c r="F5654">
        <v>10</v>
      </c>
      <c r="G5654" t="s">
        <v>192</v>
      </c>
      <c r="H5654" t="s">
        <v>186</v>
      </c>
      <c r="I5654" t="s">
        <v>979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83</v>
      </c>
      <c r="D5655" t="s">
        <v>88</v>
      </c>
      <c r="E5655" t="s">
        <v>89</v>
      </c>
      <c r="F5655">
        <v>10</v>
      </c>
      <c r="G5655" t="s">
        <v>192</v>
      </c>
      <c r="H5655" t="s">
        <v>186</v>
      </c>
      <c r="I5655" t="s">
        <v>184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83</v>
      </c>
      <c r="D5656" t="s">
        <v>88</v>
      </c>
      <c r="E5656" t="s">
        <v>89</v>
      </c>
      <c r="F5656">
        <v>10</v>
      </c>
      <c r="G5656" t="s">
        <v>192</v>
      </c>
      <c r="H5656" t="s">
        <v>186</v>
      </c>
      <c r="I5656" t="s">
        <v>985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83</v>
      </c>
      <c r="D5657" t="s">
        <v>88</v>
      </c>
      <c r="E5657" t="s">
        <v>89</v>
      </c>
      <c r="F5657">
        <v>10</v>
      </c>
      <c r="G5657" t="s">
        <v>192</v>
      </c>
      <c r="H5657" t="s">
        <v>187</v>
      </c>
      <c r="I5657" t="s">
        <v>981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83</v>
      </c>
      <c r="D5658" t="s">
        <v>88</v>
      </c>
      <c r="E5658" t="s">
        <v>89</v>
      </c>
      <c r="F5658">
        <v>10</v>
      </c>
      <c r="G5658" t="s">
        <v>192</v>
      </c>
      <c r="H5658" t="s">
        <v>187</v>
      </c>
      <c r="I5658" t="s">
        <v>982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83</v>
      </c>
      <c r="D5659" t="s">
        <v>88</v>
      </c>
      <c r="E5659" t="s">
        <v>89</v>
      </c>
      <c r="F5659">
        <v>10</v>
      </c>
      <c r="G5659" t="s">
        <v>192</v>
      </c>
      <c r="H5659" t="s">
        <v>187</v>
      </c>
      <c r="I5659" t="s">
        <v>983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83</v>
      </c>
      <c r="D5660" t="s">
        <v>88</v>
      </c>
      <c r="E5660" t="s">
        <v>89</v>
      </c>
      <c r="F5660">
        <v>10</v>
      </c>
      <c r="G5660" t="s">
        <v>192</v>
      </c>
      <c r="H5660" t="s">
        <v>187</v>
      </c>
      <c r="I5660" t="s">
        <v>984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83</v>
      </c>
      <c r="D5661" t="s">
        <v>88</v>
      </c>
      <c r="E5661" t="s">
        <v>89</v>
      </c>
      <c r="F5661">
        <v>10</v>
      </c>
      <c r="G5661" t="s">
        <v>192</v>
      </c>
      <c r="H5661" t="s">
        <v>187</v>
      </c>
      <c r="I5661" t="s">
        <v>979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83</v>
      </c>
      <c r="D5662" t="s">
        <v>88</v>
      </c>
      <c r="E5662" t="s">
        <v>89</v>
      </c>
      <c r="F5662">
        <v>10</v>
      </c>
      <c r="G5662" t="s">
        <v>192</v>
      </c>
      <c r="H5662" t="s">
        <v>187</v>
      </c>
      <c r="I5662" t="s">
        <v>184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83</v>
      </c>
      <c r="D5663" t="s">
        <v>88</v>
      </c>
      <c r="E5663" t="s">
        <v>89</v>
      </c>
      <c r="F5663">
        <v>10</v>
      </c>
      <c r="G5663" t="s">
        <v>192</v>
      </c>
      <c r="H5663" t="s">
        <v>187</v>
      </c>
      <c r="I5663" t="s">
        <v>985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83</v>
      </c>
      <c r="D5664" t="s">
        <v>88</v>
      </c>
      <c r="E5664" t="s">
        <v>89</v>
      </c>
      <c r="F5664">
        <v>10</v>
      </c>
      <c r="G5664" t="s">
        <v>192</v>
      </c>
      <c r="H5664" t="s">
        <v>188</v>
      </c>
      <c r="I5664" t="s">
        <v>981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83</v>
      </c>
      <c r="D5665" t="s">
        <v>88</v>
      </c>
      <c r="E5665" t="s">
        <v>89</v>
      </c>
      <c r="F5665">
        <v>10</v>
      </c>
      <c r="G5665" t="s">
        <v>192</v>
      </c>
      <c r="H5665" t="s">
        <v>188</v>
      </c>
      <c r="I5665" t="s">
        <v>982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83</v>
      </c>
      <c r="D5666" t="s">
        <v>88</v>
      </c>
      <c r="E5666" t="s">
        <v>89</v>
      </c>
      <c r="F5666">
        <v>10</v>
      </c>
      <c r="G5666" t="s">
        <v>192</v>
      </c>
      <c r="H5666" t="s">
        <v>188</v>
      </c>
      <c r="I5666" t="s">
        <v>983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83</v>
      </c>
      <c r="D5667" t="s">
        <v>88</v>
      </c>
      <c r="E5667" t="s">
        <v>89</v>
      </c>
      <c r="F5667">
        <v>10</v>
      </c>
      <c r="G5667" t="s">
        <v>192</v>
      </c>
      <c r="H5667" t="s">
        <v>188</v>
      </c>
      <c r="I5667" t="s">
        <v>984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83</v>
      </c>
      <c r="D5668" t="s">
        <v>88</v>
      </c>
      <c r="E5668" t="s">
        <v>89</v>
      </c>
      <c r="F5668">
        <v>10</v>
      </c>
      <c r="G5668" t="s">
        <v>192</v>
      </c>
      <c r="H5668" t="s">
        <v>188</v>
      </c>
      <c r="I5668" t="s">
        <v>979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83</v>
      </c>
      <c r="D5669" t="s">
        <v>88</v>
      </c>
      <c r="E5669" t="s">
        <v>89</v>
      </c>
      <c r="F5669">
        <v>10</v>
      </c>
      <c r="G5669" t="s">
        <v>192</v>
      </c>
      <c r="H5669" t="s">
        <v>188</v>
      </c>
      <c r="I5669" t="s">
        <v>184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83</v>
      </c>
      <c r="D5670" t="s">
        <v>88</v>
      </c>
      <c r="E5670" t="s">
        <v>89</v>
      </c>
      <c r="F5670">
        <v>10</v>
      </c>
      <c r="G5670" t="s">
        <v>192</v>
      </c>
      <c r="H5670" t="s">
        <v>188</v>
      </c>
      <c r="I5670" t="s">
        <v>985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83</v>
      </c>
      <c r="D5671" t="s">
        <v>88</v>
      </c>
      <c r="E5671" t="s">
        <v>89</v>
      </c>
      <c r="F5671">
        <v>10</v>
      </c>
      <c r="G5671" t="s">
        <v>192</v>
      </c>
      <c r="H5671" t="s">
        <v>198</v>
      </c>
      <c r="I5671" t="s">
        <v>981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83</v>
      </c>
      <c r="D5672" t="s">
        <v>88</v>
      </c>
      <c r="E5672" t="s">
        <v>89</v>
      </c>
      <c r="F5672">
        <v>10</v>
      </c>
      <c r="G5672" t="s">
        <v>192</v>
      </c>
      <c r="H5672" t="s">
        <v>198</v>
      </c>
      <c r="I5672" t="s">
        <v>982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83</v>
      </c>
      <c r="D5673" t="s">
        <v>88</v>
      </c>
      <c r="E5673" t="s">
        <v>89</v>
      </c>
      <c r="F5673">
        <v>10</v>
      </c>
      <c r="G5673" t="s">
        <v>192</v>
      </c>
      <c r="H5673" t="s">
        <v>198</v>
      </c>
      <c r="I5673" t="s">
        <v>983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83</v>
      </c>
      <c r="D5674" t="s">
        <v>88</v>
      </c>
      <c r="E5674" t="s">
        <v>89</v>
      </c>
      <c r="F5674">
        <v>10</v>
      </c>
      <c r="G5674" t="s">
        <v>192</v>
      </c>
      <c r="H5674" t="s">
        <v>198</v>
      </c>
      <c r="I5674" t="s">
        <v>984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83</v>
      </c>
      <c r="D5675" t="s">
        <v>88</v>
      </c>
      <c r="E5675" t="s">
        <v>89</v>
      </c>
      <c r="F5675">
        <v>10</v>
      </c>
      <c r="G5675" t="s">
        <v>192</v>
      </c>
      <c r="H5675" t="s">
        <v>198</v>
      </c>
      <c r="I5675" t="s">
        <v>979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83</v>
      </c>
      <c r="D5676" t="s">
        <v>88</v>
      </c>
      <c r="E5676" t="s">
        <v>89</v>
      </c>
      <c r="F5676">
        <v>10</v>
      </c>
      <c r="G5676" t="s">
        <v>192</v>
      </c>
      <c r="H5676" t="s">
        <v>198</v>
      </c>
      <c r="I5676" t="s">
        <v>184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83</v>
      </c>
      <c r="D5677" t="s">
        <v>88</v>
      </c>
      <c r="E5677" t="s">
        <v>89</v>
      </c>
      <c r="F5677">
        <v>10</v>
      </c>
      <c r="G5677" t="s">
        <v>192</v>
      </c>
      <c r="H5677" t="s">
        <v>198</v>
      </c>
      <c r="I5677" t="s">
        <v>985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83</v>
      </c>
      <c r="D5678" t="s">
        <v>88</v>
      </c>
      <c r="E5678" t="s">
        <v>89</v>
      </c>
      <c r="F5678">
        <v>10</v>
      </c>
      <c r="G5678" t="s">
        <v>199</v>
      </c>
      <c r="H5678" t="s">
        <v>0</v>
      </c>
      <c r="I5678" t="s">
        <v>986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83</v>
      </c>
      <c r="D5679" t="s">
        <v>88</v>
      </c>
      <c r="E5679" t="s">
        <v>89</v>
      </c>
      <c r="F5679">
        <v>10</v>
      </c>
      <c r="G5679" t="s">
        <v>199</v>
      </c>
      <c r="H5679" t="s">
        <v>0</v>
      </c>
      <c r="I5679" t="s">
        <v>983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83</v>
      </c>
      <c r="D5680" t="s">
        <v>88</v>
      </c>
      <c r="E5680" t="s">
        <v>89</v>
      </c>
      <c r="F5680">
        <v>10</v>
      </c>
      <c r="G5680" t="s">
        <v>199</v>
      </c>
      <c r="H5680" t="s">
        <v>0</v>
      </c>
      <c r="I5680" t="s">
        <v>982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83</v>
      </c>
      <c r="D5681" t="s">
        <v>88</v>
      </c>
      <c r="E5681" t="s">
        <v>89</v>
      </c>
      <c r="F5681">
        <v>10</v>
      </c>
      <c r="G5681" t="s">
        <v>199</v>
      </c>
      <c r="H5681" t="s">
        <v>0</v>
      </c>
      <c r="I5681" t="s">
        <v>987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83</v>
      </c>
      <c r="D5682" t="s">
        <v>88</v>
      </c>
      <c r="E5682" t="s">
        <v>89</v>
      </c>
      <c r="F5682">
        <v>10</v>
      </c>
      <c r="G5682" t="s">
        <v>199</v>
      </c>
      <c r="H5682" t="s">
        <v>0</v>
      </c>
      <c r="I5682" t="s">
        <v>988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83</v>
      </c>
      <c r="D5683" t="s">
        <v>88</v>
      </c>
      <c r="E5683" t="s">
        <v>89</v>
      </c>
      <c r="F5683">
        <v>10</v>
      </c>
      <c r="G5683" t="s">
        <v>199</v>
      </c>
      <c r="H5683" t="s">
        <v>0</v>
      </c>
      <c r="I5683" t="s">
        <v>981</v>
      </c>
      <c r="J5683">
        <v>2</v>
      </c>
    </row>
    <row r="5684" spans="1:10" x14ac:dyDescent="0.25">
      <c r="A5684" s="1" t="s">
        <v>27</v>
      </c>
      <c r="B5684">
        <v>401752671</v>
      </c>
      <c r="C5684" t="s">
        <v>83</v>
      </c>
      <c r="D5684" t="s">
        <v>88</v>
      </c>
      <c r="E5684" t="s">
        <v>89</v>
      </c>
      <c r="F5684">
        <v>10</v>
      </c>
      <c r="G5684" t="s">
        <v>199</v>
      </c>
      <c r="H5684" t="s">
        <v>0</v>
      </c>
      <c r="I5684" t="s">
        <v>989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83</v>
      </c>
      <c r="D5685" t="s">
        <v>88</v>
      </c>
      <c r="E5685" t="s">
        <v>89</v>
      </c>
      <c r="F5685">
        <v>10</v>
      </c>
      <c r="G5685" t="s">
        <v>199</v>
      </c>
      <c r="H5685" t="s">
        <v>186</v>
      </c>
      <c r="I5685" t="s">
        <v>986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83</v>
      </c>
      <c r="D5686" t="s">
        <v>88</v>
      </c>
      <c r="E5686" t="s">
        <v>89</v>
      </c>
      <c r="F5686">
        <v>10</v>
      </c>
      <c r="G5686" t="s">
        <v>199</v>
      </c>
      <c r="H5686" t="s">
        <v>186</v>
      </c>
      <c r="I5686" t="s">
        <v>983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83</v>
      </c>
      <c r="D5687" t="s">
        <v>88</v>
      </c>
      <c r="E5687" t="s">
        <v>89</v>
      </c>
      <c r="F5687">
        <v>10</v>
      </c>
      <c r="G5687" t="s">
        <v>199</v>
      </c>
      <c r="H5687" t="s">
        <v>186</v>
      </c>
      <c r="I5687" t="s">
        <v>982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83</v>
      </c>
      <c r="D5688" t="s">
        <v>88</v>
      </c>
      <c r="E5688" t="s">
        <v>89</v>
      </c>
      <c r="F5688">
        <v>10</v>
      </c>
      <c r="G5688" t="s">
        <v>199</v>
      </c>
      <c r="H5688" t="s">
        <v>186</v>
      </c>
      <c r="I5688" t="s">
        <v>987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83</v>
      </c>
      <c r="D5689" t="s">
        <v>88</v>
      </c>
      <c r="E5689" t="s">
        <v>89</v>
      </c>
      <c r="F5689">
        <v>10</v>
      </c>
      <c r="G5689" t="s">
        <v>199</v>
      </c>
      <c r="H5689" t="s">
        <v>186</v>
      </c>
      <c r="I5689" t="s">
        <v>988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83</v>
      </c>
      <c r="D5690" t="s">
        <v>88</v>
      </c>
      <c r="E5690" t="s">
        <v>89</v>
      </c>
      <c r="F5690">
        <v>10</v>
      </c>
      <c r="G5690" t="s">
        <v>199</v>
      </c>
      <c r="H5690" t="s">
        <v>186</v>
      </c>
      <c r="I5690" t="s">
        <v>981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83</v>
      </c>
      <c r="D5691" t="s">
        <v>88</v>
      </c>
      <c r="E5691" t="s">
        <v>89</v>
      </c>
      <c r="F5691">
        <v>10</v>
      </c>
      <c r="G5691" t="s">
        <v>199</v>
      </c>
      <c r="H5691" t="s">
        <v>186</v>
      </c>
      <c r="I5691" t="s">
        <v>989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83</v>
      </c>
      <c r="D5692" t="s">
        <v>88</v>
      </c>
      <c r="E5692" t="s">
        <v>89</v>
      </c>
      <c r="F5692">
        <v>10</v>
      </c>
      <c r="G5692" t="s">
        <v>199</v>
      </c>
      <c r="H5692" t="s">
        <v>187</v>
      </c>
      <c r="I5692" t="s">
        <v>986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83</v>
      </c>
      <c r="D5693" t="s">
        <v>88</v>
      </c>
      <c r="E5693" t="s">
        <v>89</v>
      </c>
      <c r="F5693">
        <v>10</v>
      </c>
      <c r="G5693" t="s">
        <v>199</v>
      </c>
      <c r="H5693" t="s">
        <v>187</v>
      </c>
      <c r="I5693" t="s">
        <v>983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83</v>
      </c>
      <c r="D5694" t="s">
        <v>88</v>
      </c>
      <c r="E5694" t="s">
        <v>89</v>
      </c>
      <c r="F5694">
        <v>10</v>
      </c>
      <c r="G5694" t="s">
        <v>199</v>
      </c>
      <c r="H5694" t="s">
        <v>187</v>
      </c>
      <c r="I5694" t="s">
        <v>982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83</v>
      </c>
      <c r="D5695" t="s">
        <v>88</v>
      </c>
      <c r="E5695" t="s">
        <v>89</v>
      </c>
      <c r="F5695">
        <v>10</v>
      </c>
      <c r="G5695" t="s">
        <v>199</v>
      </c>
      <c r="H5695" t="s">
        <v>187</v>
      </c>
      <c r="I5695" t="s">
        <v>987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83</v>
      </c>
      <c r="D5696" t="s">
        <v>88</v>
      </c>
      <c r="E5696" t="s">
        <v>89</v>
      </c>
      <c r="F5696">
        <v>10</v>
      </c>
      <c r="G5696" t="s">
        <v>199</v>
      </c>
      <c r="H5696" t="s">
        <v>187</v>
      </c>
      <c r="I5696" t="s">
        <v>988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83</v>
      </c>
      <c r="D5697" t="s">
        <v>88</v>
      </c>
      <c r="E5697" t="s">
        <v>89</v>
      </c>
      <c r="F5697">
        <v>10</v>
      </c>
      <c r="G5697" t="s">
        <v>199</v>
      </c>
      <c r="H5697" t="s">
        <v>187</v>
      </c>
      <c r="I5697" t="s">
        <v>981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83</v>
      </c>
      <c r="D5698" t="s">
        <v>88</v>
      </c>
      <c r="E5698" t="s">
        <v>89</v>
      </c>
      <c r="F5698">
        <v>10</v>
      </c>
      <c r="G5698" t="s">
        <v>199</v>
      </c>
      <c r="H5698" t="s">
        <v>187</v>
      </c>
      <c r="I5698" t="s">
        <v>989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83</v>
      </c>
      <c r="D5699" t="s">
        <v>88</v>
      </c>
      <c r="E5699" t="s">
        <v>89</v>
      </c>
      <c r="F5699">
        <v>10</v>
      </c>
      <c r="G5699" t="s">
        <v>199</v>
      </c>
      <c r="H5699" t="s">
        <v>188</v>
      </c>
      <c r="I5699" t="s">
        <v>986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83</v>
      </c>
      <c r="D5700" t="s">
        <v>88</v>
      </c>
      <c r="E5700" t="s">
        <v>89</v>
      </c>
      <c r="F5700">
        <v>10</v>
      </c>
      <c r="G5700" t="s">
        <v>199</v>
      </c>
      <c r="H5700" t="s">
        <v>188</v>
      </c>
      <c r="I5700" t="s">
        <v>983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83</v>
      </c>
      <c r="D5701" t="s">
        <v>88</v>
      </c>
      <c r="E5701" t="s">
        <v>89</v>
      </c>
      <c r="F5701">
        <v>10</v>
      </c>
      <c r="G5701" t="s">
        <v>199</v>
      </c>
      <c r="H5701" t="s">
        <v>188</v>
      </c>
      <c r="I5701" t="s">
        <v>982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83</v>
      </c>
      <c r="D5702" t="s">
        <v>88</v>
      </c>
      <c r="E5702" t="s">
        <v>89</v>
      </c>
      <c r="F5702">
        <v>10</v>
      </c>
      <c r="G5702" t="s">
        <v>199</v>
      </c>
      <c r="H5702" t="s">
        <v>188</v>
      </c>
      <c r="I5702" t="s">
        <v>987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83</v>
      </c>
      <c r="D5703" t="s">
        <v>88</v>
      </c>
      <c r="E5703" t="s">
        <v>89</v>
      </c>
      <c r="F5703">
        <v>10</v>
      </c>
      <c r="G5703" t="s">
        <v>199</v>
      </c>
      <c r="H5703" t="s">
        <v>188</v>
      </c>
      <c r="I5703" t="s">
        <v>988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83</v>
      </c>
      <c r="D5704" t="s">
        <v>88</v>
      </c>
      <c r="E5704" t="s">
        <v>89</v>
      </c>
      <c r="F5704">
        <v>10</v>
      </c>
      <c r="G5704" t="s">
        <v>199</v>
      </c>
      <c r="H5704" t="s">
        <v>188</v>
      </c>
      <c r="I5704" t="s">
        <v>981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83</v>
      </c>
      <c r="D5705" t="s">
        <v>88</v>
      </c>
      <c r="E5705" t="s">
        <v>89</v>
      </c>
      <c r="F5705">
        <v>10</v>
      </c>
      <c r="G5705" t="s">
        <v>199</v>
      </c>
      <c r="H5705" t="s">
        <v>188</v>
      </c>
      <c r="I5705" t="s">
        <v>989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83</v>
      </c>
      <c r="D5706" t="s">
        <v>88</v>
      </c>
      <c r="E5706" t="s">
        <v>89</v>
      </c>
      <c r="F5706">
        <v>10</v>
      </c>
      <c r="G5706" t="s">
        <v>199</v>
      </c>
      <c r="H5706" t="s">
        <v>198</v>
      </c>
      <c r="I5706" t="s">
        <v>986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83</v>
      </c>
      <c r="D5707" t="s">
        <v>88</v>
      </c>
      <c r="E5707" t="s">
        <v>89</v>
      </c>
      <c r="F5707">
        <v>10</v>
      </c>
      <c r="G5707" t="s">
        <v>199</v>
      </c>
      <c r="H5707" t="s">
        <v>198</v>
      </c>
      <c r="I5707" t="s">
        <v>983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83</v>
      </c>
      <c r="D5708" t="s">
        <v>88</v>
      </c>
      <c r="E5708" t="s">
        <v>89</v>
      </c>
      <c r="F5708">
        <v>10</v>
      </c>
      <c r="G5708" t="s">
        <v>199</v>
      </c>
      <c r="H5708" t="s">
        <v>198</v>
      </c>
      <c r="I5708" t="s">
        <v>982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83</v>
      </c>
      <c r="D5709" t="s">
        <v>88</v>
      </c>
      <c r="E5709" t="s">
        <v>89</v>
      </c>
      <c r="F5709">
        <v>10</v>
      </c>
      <c r="G5709" t="s">
        <v>199</v>
      </c>
      <c r="H5709" t="s">
        <v>198</v>
      </c>
      <c r="I5709" t="s">
        <v>987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83</v>
      </c>
      <c r="D5710" t="s">
        <v>88</v>
      </c>
      <c r="E5710" t="s">
        <v>89</v>
      </c>
      <c r="F5710">
        <v>10</v>
      </c>
      <c r="G5710" t="s">
        <v>199</v>
      </c>
      <c r="H5710" t="s">
        <v>198</v>
      </c>
      <c r="I5710" t="s">
        <v>988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83</v>
      </c>
      <c r="D5711" t="s">
        <v>88</v>
      </c>
      <c r="E5711" t="s">
        <v>89</v>
      </c>
      <c r="F5711">
        <v>10</v>
      </c>
      <c r="G5711" t="s">
        <v>199</v>
      </c>
      <c r="H5711" t="s">
        <v>198</v>
      </c>
      <c r="I5711" t="s">
        <v>981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83</v>
      </c>
      <c r="D5712" t="s">
        <v>88</v>
      </c>
      <c r="E5712" t="s">
        <v>89</v>
      </c>
      <c r="F5712">
        <v>10</v>
      </c>
      <c r="G5712" t="s">
        <v>199</v>
      </c>
      <c r="H5712" t="s">
        <v>198</v>
      </c>
      <c r="I5712" t="s">
        <v>989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83</v>
      </c>
      <c r="D5713" t="s">
        <v>88</v>
      </c>
      <c r="E5713" t="s">
        <v>89</v>
      </c>
      <c r="F5713">
        <v>10</v>
      </c>
      <c r="G5713" t="s">
        <v>203</v>
      </c>
      <c r="H5713" t="s">
        <v>204</v>
      </c>
      <c r="I5713" t="s">
        <v>990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83</v>
      </c>
      <c r="D5714" t="s">
        <v>88</v>
      </c>
      <c r="E5714" t="s">
        <v>89</v>
      </c>
      <c r="F5714">
        <v>10</v>
      </c>
      <c r="G5714" t="s">
        <v>203</v>
      </c>
      <c r="H5714" t="s">
        <v>205</v>
      </c>
      <c r="I5714" t="s">
        <v>990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83</v>
      </c>
      <c r="D5715" t="s">
        <v>88</v>
      </c>
      <c r="E5715" t="s">
        <v>89</v>
      </c>
      <c r="F5715">
        <v>10</v>
      </c>
      <c r="G5715" t="s">
        <v>203</v>
      </c>
      <c r="H5715" t="s">
        <v>0</v>
      </c>
      <c r="I5715" t="s">
        <v>990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83</v>
      </c>
      <c r="D5716" t="s">
        <v>88</v>
      </c>
      <c r="E5716" t="s">
        <v>89</v>
      </c>
      <c r="F5716">
        <v>10</v>
      </c>
      <c r="G5716" t="s">
        <v>90</v>
      </c>
      <c r="H5716" t="s">
        <v>206</v>
      </c>
      <c r="I5716" t="s">
        <v>991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83</v>
      </c>
      <c r="D5717" t="s">
        <v>88</v>
      </c>
      <c r="E5717" t="s">
        <v>89</v>
      </c>
      <c r="F5717">
        <v>10</v>
      </c>
      <c r="G5717" t="s">
        <v>90</v>
      </c>
      <c r="H5717" t="s">
        <v>206</v>
      </c>
      <c r="I5717" t="s">
        <v>992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83</v>
      </c>
      <c r="D5718" t="s">
        <v>88</v>
      </c>
      <c r="E5718" t="s">
        <v>89</v>
      </c>
      <c r="F5718">
        <v>10</v>
      </c>
      <c r="G5718" t="s">
        <v>90</v>
      </c>
      <c r="H5718" t="s">
        <v>206</v>
      </c>
      <c r="I5718" t="s">
        <v>993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83</v>
      </c>
      <c r="D5719" t="s">
        <v>88</v>
      </c>
      <c r="E5719" t="s">
        <v>89</v>
      </c>
      <c r="F5719">
        <v>10</v>
      </c>
      <c r="G5719" t="s">
        <v>90</v>
      </c>
      <c r="H5719" t="s">
        <v>206</v>
      </c>
      <c r="I5719" t="s">
        <v>994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83</v>
      </c>
      <c r="D5720" t="s">
        <v>88</v>
      </c>
      <c r="E5720" t="s">
        <v>89</v>
      </c>
      <c r="F5720">
        <v>10</v>
      </c>
      <c r="G5720" t="s">
        <v>90</v>
      </c>
      <c r="H5720" t="s">
        <v>206</v>
      </c>
      <c r="I5720" t="s">
        <v>995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83</v>
      </c>
      <c r="D5721" t="s">
        <v>88</v>
      </c>
      <c r="E5721" t="s">
        <v>89</v>
      </c>
      <c r="F5721">
        <v>10</v>
      </c>
      <c r="G5721" t="s">
        <v>90</v>
      </c>
      <c r="H5721" t="s">
        <v>206</v>
      </c>
      <c r="I5721" t="s">
        <v>996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83</v>
      </c>
      <c r="D5722" t="s">
        <v>88</v>
      </c>
      <c r="E5722" t="s">
        <v>89</v>
      </c>
      <c r="F5722">
        <v>10</v>
      </c>
      <c r="G5722" t="s">
        <v>90</v>
      </c>
      <c r="H5722" t="s">
        <v>206</v>
      </c>
      <c r="I5722" t="s">
        <v>990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83</v>
      </c>
      <c r="D5723" t="s">
        <v>88</v>
      </c>
      <c r="E5723" t="s">
        <v>89</v>
      </c>
      <c r="F5723">
        <v>10</v>
      </c>
      <c r="G5723" t="s">
        <v>90</v>
      </c>
      <c r="H5723" t="s">
        <v>206</v>
      </c>
      <c r="I5723" t="s">
        <v>997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83</v>
      </c>
      <c r="D5724" t="s">
        <v>88</v>
      </c>
      <c r="E5724" t="s">
        <v>89</v>
      </c>
      <c r="F5724">
        <v>10</v>
      </c>
      <c r="G5724" t="s">
        <v>90</v>
      </c>
      <c r="H5724" t="s">
        <v>206</v>
      </c>
      <c r="I5724" t="s">
        <v>998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83</v>
      </c>
      <c r="D5725" t="s">
        <v>88</v>
      </c>
      <c r="E5725" t="s">
        <v>89</v>
      </c>
      <c r="F5725">
        <v>10</v>
      </c>
      <c r="G5725" t="s">
        <v>90</v>
      </c>
      <c r="H5725" t="s">
        <v>206</v>
      </c>
      <c r="I5725" t="s">
        <v>999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83</v>
      </c>
      <c r="D5726" t="s">
        <v>88</v>
      </c>
      <c r="E5726" t="s">
        <v>89</v>
      </c>
      <c r="F5726">
        <v>10</v>
      </c>
      <c r="G5726" t="s">
        <v>90</v>
      </c>
      <c r="H5726" t="s">
        <v>206</v>
      </c>
      <c r="I5726" t="s">
        <v>1000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83</v>
      </c>
      <c r="D5727" t="s">
        <v>88</v>
      </c>
      <c r="E5727" t="s">
        <v>89</v>
      </c>
      <c r="F5727">
        <v>10</v>
      </c>
      <c r="G5727" t="s">
        <v>90</v>
      </c>
      <c r="H5727" t="s">
        <v>206</v>
      </c>
      <c r="I5727" t="s">
        <v>1001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83</v>
      </c>
      <c r="D5728" t="s">
        <v>88</v>
      </c>
      <c r="E5728" t="s">
        <v>89</v>
      </c>
      <c r="F5728">
        <v>10</v>
      </c>
      <c r="G5728" t="s">
        <v>90</v>
      </c>
      <c r="H5728" t="s">
        <v>206</v>
      </c>
      <c r="I5728" t="s">
        <v>1002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83</v>
      </c>
      <c r="D5729" t="s">
        <v>88</v>
      </c>
      <c r="E5729" t="s">
        <v>89</v>
      </c>
      <c r="F5729">
        <v>10</v>
      </c>
      <c r="G5729" t="s">
        <v>90</v>
      </c>
      <c r="H5729" t="s">
        <v>206</v>
      </c>
      <c r="I5729" t="s">
        <v>1003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83</v>
      </c>
      <c r="D5730" t="s">
        <v>88</v>
      </c>
      <c r="E5730" t="s">
        <v>89</v>
      </c>
      <c r="F5730">
        <v>10</v>
      </c>
      <c r="G5730" t="s">
        <v>90</v>
      </c>
      <c r="H5730" t="s">
        <v>206</v>
      </c>
      <c r="I5730" t="s">
        <v>1004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83</v>
      </c>
      <c r="D5731" t="s">
        <v>88</v>
      </c>
      <c r="E5731" t="s">
        <v>89</v>
      </c>
      <c r="F5731">
        <v>10</v>
      </c>
      <c r="G5731" t="s">
        <v>90</v>
      </c>
      <c r="H5731" t="s">
        <v>206</v>
      </c>
      <c r="I5731" t="s">
        <v>1005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83</v>
      </c>
      <c r="D5732" t="s">
        <v>88</v>
      </c>
      <c r="E5732" t="s">
        <v>89</v>
      </c>
      <c r="F5732">
        <v>10</v>
      </c>
      <c r="G5732" t="s">
        <v>90</v>
      </c>
      <c r="H5732" t="s">
        <v>206</v>
      </c>
      <c r="I5732" t="s">
        <v>1006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83</v>
      </c>
      <c r="D5733" t="s">
        <v>88</v>
      </c>
      <c r="E5733" t="s">
        <v>89</v>
      </c>
      <c r="F5733">
        <v>10</v>
      </c>
      <c r="G5733" t="s">
        <v>90</v>
      </c>
      <c r="H5733" t="s">
        <v>206</v>
      </c>
      <c r="I5733" t="s">
        <v>1007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83</v>
      </c>
      <c r="D5734" t="s">
        <v>88</v>
      </c>
      <c r="E5734" t="s">
        <v>89</v>
      </c>
      <c r="F5734">
        <v>10</v>
      </c>
      <c r="G5734" t="s">
        <v>90</v>
      </c>
      <c r="H5734" t="s">
        <v>206</v>
      </c>
      <c r="I5734" t="s">
        <v>1008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83</v>
      </c>
      <c r="D5735" t="s">
        <v>88</v>
      </c>
      <c r="E5735" t="s">
        <v>89</v>
      </c>
      <c r="F5735">
        <v>10</v>
      </c>
      <c r="G5735" t="s">
        <v>90</v>
      </c>
      <c r="H5735" t="s">
        <v>206</v>
      </c>
      <c r="I5735" t="s">
        <v>1009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83</v>
      </c>
      <c r="D5736" t="s">
        <v>88</v>
      </c>
      <c r="E5736" t="s">
        <v>89</v>
      </c>
      <c r="F5736">
        <v>10</v>
      </c>
      <c r="G5736" t="s">
        <v>90</v>
      </c>
      <c r="H5736" t="s">
        <v>227</v>
      </c>
      <c r="I5736" t="s">
        <v>991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83</v>
      </c>
      <c r="D5737" t="s">
        <v>88</v>
      </c>
      <c r="E5737" t="s">
        <v>89</v>
      </c>
      <c r="F5737">
        <v>10</v>
      </c>
      <c r="G5737" t="s">
        <v>90</v>
      </c>
      <c r="H5737" t="s">
        <v>227</v>
      </c>
      <c r="I5737" t="s">
        <v>992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83</v>
      </c>
      <c r="D5738" t="s">
        <v>88</v>
      </c>
      <c r="E5738" t="s">
        <v>89</v>
      </c>
      <c r="F5738">
        <v>10</v>
      </c>
      <c r="G5738" t="s">
        <v>90</v>
      </c>
      <c r="H5738" t="s">
        <v>227</v>
      </c>
      <c r="I5738" t="s">
        <v>993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83</v>
      </c>
      <c r="D5739" t="s">
        <v>88</v>
      </c>
      <c r="E5739" t="s">
        <v>89</v>
      </c>
      <c r="F5739">
        <v>10</v>
      </c>
      <c r="G5739" t="s">
        <v>90</v>
      </c>
      <c r="H5739" t="s">
        <v>227</v>
      </c>
      <c r="I5739" t="s">
        <v>994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83</v>
      </c>
      <c r="D5740" t="s">
        <v>88</v>
      </c>
      <c r="E5740" t="s">
        <v>89</v>
      </c>
      <c r="F5740">
        <v>10</v>
      </c>
      <c r="G5740" t="s">
        <v>90</v>
      </c>
      <c r="H5740" t="s">
        <v>227</v>
      </c>
      <c r="I5740" t="s">
        <v>995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83</v>
      </c>
      <c r="D5741" t="s">
        <v>88</v>
      </c>
      <c r="E5741" t="s">
        <v>89</v>
      </c>
      <c r="F5741">
        <v>10</v>
      </c>
      <c r="G5741" t="s">
        <v>90</v>
      </c>
      <c r="H5741" t="s">
        <v>227</v>
      </c>
      <c r="I5741" t="s">
        <v>996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83</v>
      </c>
      <c r="D5742" t="s">
        <v>88</v>
      </c>
      <c r="E5742" t="s">
        <v>89</v>
      </c>
      <c r="F5742">
        <v>10</v>
      </c>
      <c r="G5742" t="s">
        <v>90</v>
      </c>
      <c r="H5742" t="s">
        <v>227</v>
      </c>
      <c r="I5742" t="s">
        <v>990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83</v>
      </c>
      <c r="D5743" t="s">
        <v>88</v>
      </c>
      <c r="E5743" t="s">
        <v>89</v>
      </c>
      <c r="F5743">
        <v>10</v>
      </c>
      <c r="G5743" t="s">
        <v>90</v>
      </c>
      <c r="H5743" t="s">
        <v>227</v>
      </c>
      <c r="I5743" t="s">
        <v>997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83</v>
      </c>
      <c r="D5744" t="s">
        <v>88</v>
      </c>
      <c r="E5744" t="s">
        <v>89</v>
      </c>
      <c r="F5744">
        <v>10</v>
      </c>
      <c r="G5744" t="s">
        <v>90</v>
      </c>
      <c r="H5744" t="s">
        <v>227</v>
      </c>
      <c r="I5744" t="s">
        <v>998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83</v>
      </c>
      <c r="D5745" t="s">
        <v>88</v>
      </c>
      <c r="E5745" t="s">
        <v>89</v>
      </c>
      <c r="F5745">
        <v>10</v>
      </c>
      <c r="G5745" t="s">
        <v>90</v>
      </c>
      <c r="H5745" t="s">
        <v>227</v>
      </c>
      <c r="I5745" t="s">
        <v>999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83</v>
      </c>
      <c r="D5746" t="s">
        <v>88</v>
      </c>
      <c r="E5746" t="s">
        <v>89</v>
      </c>
      <c r="F5746">
        <v>10</v>
      </c>
      <c r="G5746" t="s">
        <v>90</v>
      </c>
      <c r="H5746" t="s">
        <v>227</v>
      </c>
      <c r="I5746" t="s">
        <v>1000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83</v>
      </c>
      <c r="D5747" t="s">
        <v>88</v>
      </c>
      <c r="E5747" t="s">
        <v>89</v>
      </c>
      <c r="F5747">
        <v>10</v>
      </c>
      <c r="G5747" t="s">
        <v>90</v>
      </c>
      <c r="H5747" t="s">
        <v>227</v>
      </c>
      <c r="I5747" t="s">
        <v>1001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83</v>
      </c>
      <c r="D5748" t="s">
        <v>88</v>
      </c>
      <c r="E5748" t="s">
        <v>89</v>
      </c>
      <c r="F5748">
        <v>10</v>
      </c>
      <c r="G5748" t="s">
        <v>90</v>
      </c>
      <c r="H5748" t="s">
        <v>227</v>
      </c>
      <c r="I5748" t="s">
        <v>1002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83</v>
      </c>
      <c r="D5749" t="s">
        <v>88</v>
      </c>
      <c r="E5749" t="s">
        <v>89</v>
      </c>
      <c r="F5749">
        <v>10</v>
      </c>
      <c r="G5749" t="s">
        <v>90</v>
      </c>
      <c r="H5749" t="s">
        <v>227</v>
      </c>
      <c r="I5749" t="s">
        <v>1003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83</v>
      </c>
      <c r="D5750" t="s">
        <v>88</v>
      </c>
      <c r="E5750" t="s">
        <v>89</v>
      </c>
      <c r="F5750">
        <v>10</v>
      </c>
      <c r="G5750" t="s">
        <v>90</v>
      </c>
      <c r="H5750" t="s">
        <v>227</v>
      </c>
      <c r="I5750" t="s">
        <v>1004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83</v>
      </c>
      <c r="D5751" t="s">
        <v>88</v>
      </c>
      <c r="E5751" t="s">
        <v>89</v>
      </c>
      <c r="F5751">
        <v>10</v>
      </c>
      <c r="G5751" t="s">
        <v>90</v>
      </c>
      <c r="H5751" t="s">
        <v>227</v>
      </c>
      <c r="I5751" t="s">
        <v>1005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83</v>
      </c>
      <c r="D5752" t="s">
        <v>88</v>
      </c>
      <c r="E5752" t="s">
        <v>89</v>
      </c>
      <c r="F5752">
        <v>10</v>
      </c>
      <c r="G5752" t="s">
        <v>90</v>
      </c>
      <c r="H5752" t="s">
        <v>227</v>
      </c>
      <c r="I5752" t="s">
        <v>1006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83</v>
      </c>
      <c r="D5753" t="s">
        <v>88</v>
      </c>
      <c r="E5753" t="s">
        <v>89</v>
      </c>
      <c r="F5753">
        <v>10</v>
      </c>
      <c r="G5753" t="s">
        <v>90</v>
      </c>
      <c r="H5753" t="s">
        <v>227</v>
      </c>
      <c r="I5753" t="s">
        <v>1007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83</v>
      </c>
      <c r="D5754" t="s">
        <v>88</v>
      </c>
      <c r="E5754" t="s">
        <v>89</v>
      </c>
      <c r="F5754">
        <v>10</v>
      </c>
      <c r="G5754" t="s">
        <v>90</v>
      </c>
      <c r="H5754" t="s">
        <v>227</v>
      </c>
      <c r="I5754" t="s">
        <v>1008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83</v>
      </c>
      <c r="D5755" t="s">
        <v>88</v>
      </c>
      <c r="E5755" t="s">
        <v>89</v>
      </c>
      <c r="F5755">
        <v>10</v>
      </c>
      <c r="G5755" t="s">
        <v>90</v>
      </c>
      <c r="H5755" t="s">
        <v>227</v>
      </c>
      <c r="I5755" t="s">
        <v>1009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83</v>
      </c>
      <c r="D5756" t="s">
        <v>88</v>
      </c>
      <c r="E5756" t="s">
        <v>89</v>
      </c>
      <c r="F5756">
        <v>10</v>
      </c>
      <c r="G5756" t="s">
        <v>90</v>
      </c>
      <c r="H5756" t="s">
        <v>228</v>
      </c>
      <c r="I5756" t="s">
        <v>991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83</v>
      </c>
      <c r="D5757" t="s">
        <v>88</v>
      </c>
      <c r="E5757" t="s">
        <v>89</v>
      </c>
      <c r="F5757">
        <v>10</v>
      </c>
      <c r="G5757" t="s">
        <v>90</v>
      </c>
      <c r="H5757" t="s">
        <v>228</v>
      </c>
      <c r="I5757" t="s">
        <v>992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83</v>
      </c>
      <c r="D5758" t="s">
        <v>88</v>
      </c>
      <c r="E5758" t="s">
        <v>89</v>
      </c>
      <c r="F5758">
        <v>10</v>
      </c>
      <c r="G5758" t="s">
        <v>90</v>
      </c>
      <c r="H5758" t="s">
        <v>228</v>
      </c>
      <c r="I5758" t="s">
        <v>993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83</v>
      </c>
      <c r="D5759" t="s">
        <v>88</v>
      </c>
      <c r="E5759" t="s">
        <v>89</v>
      </c>
      <c r="F5759">
        <v>10</v>
      </c>
      <c r="G5759" t="s">
        <v>90</v>
      </c>
      <c r="H5759" t="s">
        <v>228</v>
      </c>
      <c r="I5759" t="s">
        <v>994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83</v>
      </c>
      <c r="D5760" t="s">
        <v>88</v>
      </c>
      <c r="E5760" t="s">
        <v>89</v>
      </c>
      <c r="F5760">
        <v>10</v>
      </c>
      <c r="G5760" t="s">
        <v>90</v>
      </c>
      <c r="H5760" t="s">
        <v>228</v>
      </c>
      <c r="I5760" t="s">
        <v>995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83</v>
      </c>
      <c r="D5761" t="s">
        <v>88</v>
      </c>
      <c r="E5761" t="s">
        <v>89</v>
      </c>
      <c r="F5761">
        <v>10</v>
      </c>
      <c r="G5761" t="s">
        <v>90</v>
      </c>
      <c r="H5761" t="s">
        <v>228</v>
      </c>
      <c r="I5761" t="s">
        <v>996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83</v>
      </c>
      <c r="D5762" t="s">
        <v>88</v>
      </c>
      <c r="E5762" t="s">
        <v>89</v>
      </c>
      <c r="F5762">
        <v>10</v>
      </c>
      <c r="G5762" t="s">
        <v>90</v>
      </c>
      <c r="H5762" t="s">
        <v>228</v>
      </c>
      <c r="I5762" t="s">
        <v>990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83</v>
      </c>
      <c r="D5763" t="s">
        <v>88</v>
      </c>
      <c r="E5763" t="s">
        <v>89</v>
      </c>
      <c r="F5763">
        <v>10</v>
      </c>
      <c r="G5763" t="s">
        <v>90</v>
      </c>
      <c r="H5763" t="s">
        <v>228</v>
      </c>
      <c r="I5763" t="s">
        <v>997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83</v>
      </c>
      <c r="D5764" t="s">
        <v>88</v>
      </c>
      <c r="E5764" t="s">
        <v>89</v>
      </c>
      <c r="F5764">
        <v>10</v>
      </c>
      <c r="G5764" t="s">
        <v>90</v>
      </c>
      <c r="H5764" t="s">
        <v>228</v>
      </c>
      <c r="I5764" t="s">
        <v>998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83</v>
      </c>
      <c r="D5765" t="s">
        <v>88</v>
      </c>
      <c r="E5765" t="s">
        <v>89</v>
      </c>
      <c r="F5765">
        <v>10</v>
      </c>
      <c r="G5765" t="s">
        <v>90</v>
      </c>
      <c r="H5765" t="s">
        <v>228</v>
      </c>
      <c r="I5765" t="s">
        <v>999</v>
      </c>
      <c r="J5765">
        <v>0</v>
      </c>
    </row>
    <row r="5766" spans="1:10" x14ac:dyDescent="0.25">
      <c r="A5766" s="1" t="s">
        <v>27</v>
      </c>
      <c r="B5766">
        <v>401752671</v>
      </c>
      <c r="C5766" t="s">
        <v>83</v>
      </c>
      <c r="D5766" t="s">
        <v>88</v>
      </c>
      <c r="E5766" t="s">
        <v>89</v>
      </c>
      <c r="F5766">
        <v>10</v>
      </c>
      <c r="G5766" t="s">
        <v>90</v>
      </c>
      <c r="H5766" t="s">
        <v>228</v>
      </c>
      <c r="I5766" t="s">
        <v>1000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83</v>
      </c>
      <c r="D5767" t="s">
        <v>88</v>
      </c>
      <c r="E5767" t="s">
        <v>89</v>
      </c>
      <c r="F5767">
        <v>10</v>
      </c>
      <c r="G5767" t="s">
        <v>90</v>
      </c>
      <c r="H5767" t="s">
        <v>228</v>
      </c>
      <c r="I5767" t="s">
        <v>1001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83</v>
      </c>
      <c r="D5768" t="s">
        <v>88</v>
      </c>
      <c r="E5768" t="s">
        <v>89</v>
      </c>
      <c r="F5768">
        <v>10</v>
      </c>
      <c r="G5768" t="s">
        <v>90</v>
      </c>
      <c r="H5768" t="s">
        <v>228</v>
      </c>
      <c r="I5768" t="s">
        <v>1002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83</v>
      </c>
      <c r="D5769" t="s">
        <v>88</v>
      </c>
      <c r="E5769" t="s">
        <v>89</v>
      </c>
      <c r="F5769">
        <v>10</v>
      </c>
      <c r="G5769" t="s">
        <v>90</v>
      </c>
      <c r="H5769" t="s">
        <v>228</v>
      </c>
      <c r="I5769" t="s">
        <v>1003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83</v>
      </c>
      <c r="D5770" t="s">
        <v>88</v>
      </c>
      <c r="E5770" t="s">
        <v>89</v>
      </c>
      <c r="F5770">
        <v>10</v>
      </c>
      <c r="G5770" t="s">
        <v>90</v>
      </c>
      <c r="H5770" t="s">
        <v>228</v>
      </c>
      <c r="I5770" t="s">
        <v>1004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83</v>
      </c>
      <c r="D5771" t="s">
        <v>88</v>
      </c>
      <c r="E5771" t="s">
        <v>89</v>
      </c>
      <c r="F5771">
        <v>10</v>
      </c>
      <c r="G5771" t="s">
        <v>90</v>
      </c>
      <c r="H5771" t="s">
        <v>228</v>
      </c>
      <c r="I5771" t="s">
        <v>1005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83</v>
      </c>
      <c r="D5772" t="s">
        <v>88</v>
      </c>
      <c r="E5772" t="s">
        <v>89</v>
      </c>
      <c r="F5772">
        <v>10</v>
      </c>
      <c r="G5772" t="s">
        <v>90</v>
      </c>
      <c r="H5772" t="s">
        <v>228</v>
      </c>
      <c r="I5772" t="s">
        <v>1006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83</v>
      </c>
      <c r="D5773" t="s">
        <v>88</v>
      </c>
      <c r="E5773" t="s">
        <v>89</v>
      </c>
      <c r="F5773">
        <v>10</v>
      </c>
      <c r="G5773" t="s">
        <v>90</v>
      </c>
      <c r="H5773" t="s">
        <v>228</v>
      </c>
      <c r="I5773" t="s">
        <v>1007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83</v>
      </c>
      <c r="D5774" t="s">
        <v>88</v>
      </c>
      <c r="E5774" t="s">
        <v>89</v>
      </c>
      <c r="F5774">
        <v>10</v>
      </c>
      <c r="G5774" t="s">
        <v>90</v>
      </c>
      <c r="H5774" t="s">
        <v>228</v>
      </c>
      <c r="I5774" t="s">
        <v>1008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83</v>
      </c>
      <c r="D5775" t="s">
        <v>88</v>
      </c>
      <c r="E5775" t="s">
        <v>89</v>
      </c>
      <c r="F5775">
        <v>10</v>
      </c>
      <c r="G5775" t="s">
        <v>90</v>
      </c>
      <c r="H5775" t="s">
        <v>228</v>
      </c>
      <c r="I5775" t="s">
        <v>1009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83</v>
      </c>
      <c r="D5776" t="s">
        <v>88</v>
      </c>
      <c r="E5776" t="s">
        <v>89</v>
      </c>
      <c r="F5776">
        <v>10</v>
      </c>
      <c r="G5776" t="s">
        <v>90</v>
      </c>
      <c r="H5776" t="s">
        <v>229</v>
      </c>
      <c r="I5776" t="s">
        <v>991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83</v>
      </c>
      <c r="D5777" t="s">
        <v>88</v>
      </c>
      <c r="E5777" t="s">
        <v>89</v>
      </c>
      <c r="F5777">
        <v>10</v>
      </c>
      <c r="G5777" t="s">
        <v>90</v>
      </c>
      <c r="H5777" t="s">
        <v>229</v>
      </c>
      <c r="I5777" t="s">
        <v>992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83</v>
      </c>
      <c r="D5778" t="s">
        <v>88</v>
      </c>
      <c r="E5778" t="s">
        <v>89</v>
      </c>
      <c r="F5778">
        <v>10</v>
      </c>
      <c r="G5778" t="s">
        <v>90</v>
      </c>
      <c r="H5778" t="s">
        <v>229</v>
      </c>
      <c r="I5778" t="s">
        <v>993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83</v>
      </c>
      <c r="D5779" t="s">
        <v>88</v>
      </c>
      <c r="E5779" t="s">
        <v>89</v>
      </c>
      <c r="F5779">
        <v>10</v>
      </c>
      <c r="G5779" t="s">
        <v>90</v>
      </c>
      <c r="H5779" t="s">
        <v>229</v>
      </c>
      <c r="I5779" t="s">
        <v>994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83</v>
      </c>
      <c r="D5780" t="s">
        <v>88</v>
      </c>
      <c r="E5780" t="s">
        <v>89</v>
      </c>
      <c r="F5780">
        <v>10</v>
      </c>
      <c r="G5780" t="s">
        <v>90</v>
      </c>
      <c r="H5780" t="s">
        <v>229</v>
      </c>
      <c r="I5780" t="s">
        <v>995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83</v>
      </c>
      <c r="D5781" t="s">
        <v>88</v>
      </c>
      <c r="E5781" t="s">
        <v>89</v>
      </c>
      <c r="F5781">
        <v>10</v>
      </c>
      <c r="G5781" t="s">
        <v>90</v>
      </c>
      <c r="H5781" t="s">
        <v>229</v>
      </c>
      <c r="I5781" t="s">
        <v>996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83</v>
      </c>
      <c r="D5782" t="s">
        <v>88</v>
      </c>
      <c r="E5782" t="s">
        <v>89</v>
      </c>
      <c r="F5782">
        <v>10</v>
      </c>
      <c r="G5782" t="s">
        <v>90</v>
      </c>
      <c r="H5782" t="s">
        <v>229</v>
      </c>
      <c r="I5782" t="s">
        <v>990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83</v>
      </c>
      <c r="D5783" t="s">
        <v>88</v>
      </c>
      <c r="E5783" t="s">
        <v>89</v>
      </c>
      <c r="F5783">
        <v>10</v>
      </c>
      <c r="G5783" t="s">
        <v>90</v>
      </c>
      <c r="H5783" t="s">
        <v>229</v>
      </c>
      <c r="I5783" t="s">
        <v>997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83</v>
      </c>
      <c r="D5784" t="s">
        <v>88</v>
      </c>
      <c r="E5784" t="s">
        <v>89</v>
      </c>
      <c r="F5784">
        <v>10</v>
      </c>
      <c r="G5784" t="s">
        <v>90</v>
      </c>
      <c r="H5784" t="s">
        <v>229</v>
      </c>
      <c r="I5784" t="s">
        <v>998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83</v>
      </c>
      <c r="D5785" t="s">
        <v>88</v>
      </c>
      <c r="E5785" t="s">
        <v>89</v>
      </c>
      <c r="F5785">
        <v>10</v>
      </c>
      <c r="G5785" t="s">
        <v>90</v>
      </c>
      <c r="H5785" t="s">
        <v>229</v>
      </c>
      <c r="I5785" t="s">
        <v>999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83</v>
      </c>
      <c r="D5786" t="s">
        <v>88</v>
      </c>
      <c r="E5786" t="s">
        <v>89</v>
      </c>
      <c r="F5786">
        <v>10</v>
      </c>
      <c r="G5786" t="s">
        <v>90</v>
      </c>
      <c r="H5786" t="s">
        <v>229</v>
      </c>
      <c r="I5786" t="s">
        <v>1000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83</v>
      </c>
      <c r="D5787" t="s">
        <v>88</v>
      </c>
      <c r="E5787" t="s">
        <v>89</v>
      </c>
      <c r="F5787">
        <v>10</v>
      </c>
      <c r="G5787" t="s">
        <v>90</v>
      </c>
      <c r="H5787" t="s">
        <v>229</v>
      </c>
      <c r="I5787" t="s">
        <v>1001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83</v>
      </c>
      <c r="D5788" t="s">
        <v>88</v>
      </c>
      <c r="E5788" t="s">
        <v>89</v>
      </c>
      <c r="F5788">
        <v>10</v>
      </c>
      <c r="G5788" t="s">
        <v>90</v>
      </c>
      <c r="H5788" t="s">
        <v>229</v>
      </c>
      <c r="I5788" t="s">
        <v>1002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83</v>
      </c>
      <c r="D5789" t="s">
        <v>88</v>
      </c>
      <c r="E5789" t="s">
        <v>89</v>
      </c>
      <c r="F5789">
        <v>10</v>
      </c>
      <c r="G5789" t="s">
        <v>90</v>
      </c>
      <c r="H5789" t="s">
        <v>229</v>
      </c>
      <c r="I5789" t="s">
        <v>1003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83</v>
      </c>
      <c r="D5790" t="s">
        <v>88</v>
      </c>
      <c r="E5790" t="s">
        <v>89</v>
      </c>
      <c r="F5790">
        <v>10</v>
      </c>
      <c r="G5790" t="s">
        <v>90</v>
      </c>
      <c r="H5790" t="s">
        <v>229</v>
      </c>
      <c r="I5790" t="s">
        <v>1004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83</v>
      </c>
      <c r="D5791" t="s">
        <v>88</v>
      </c>
      <c r="E5791" t="s">
        <v>89</v>
      </c>
      <c r="F5791">
        <v>10</v>
      </c>
      <c r="G5791" t="s">
        <v>90</v>
      </c>
      <c r="H5791" t="s">
        <v>229</v>
      </c>
      <c r="I5791" t="s">
        <v>1005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83</v>
      </c>
      <c r="D5792" t="s">
        <v>88</v>
      </c>
      <c r="E5792" t="s">
        <v>89</v>
      </c>
      <c r="F5792">
        <v>10</v>
      </c>
      <c r="G5792" t="s">
        <v>90</v>
      </c>
      <c r="H5792" t="s">
        <v>229</v>
      </c>
      <c r="I5792" t="s">
        <v>1006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83</v>
      </c>
      <c r="D5793" t="s">
        <v>88</v>
      </c>
      <c r="E5793" t="s">
        <v>89</v>
      </c>
      <c r="F5793">
        <v>10</v>
      </c>
      <c r="G5793" t="s">
        <v>90</v>
      </c>
      <c r="H5793" t="s">
        <v>229</v>
      </c>
      <c r="I5793" t="s">
        <v>1007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83</v>
      </c>
      <c r="D5794" t="s">
        <v>88</v>
      </c>
      <c r="E5794" t="s">
        <v>89</v>
      </c>
      <c r="F5794">
        <v>10</v>
      </c>
      <c r="G5794" t="s">
        <v>90</v>
      </c>
      <c r="H5794" t="s">
        <v>229</v>
      </c>
      <c r="I5794" t="s">
        <v>1008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83</v>
      </c>
      <c r="D5795" t="s">
        <v>88</v>
      </c>
      <c r="E5795" t="s">
        <v>89</v>
      </c>
      <c r="F5795">
        <v>10</v>
      </c>
      <c r="G5795" t="s">
        <v>90</v>
      </c>
      <c r="H5795" t="s">
        <v>229</v>
      </c>
      <c r="I5795" t="s">
        <v>1009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83</v>
      </c>
      <c r="D5796" t="s">
        <v>88</v>
      </c>
      <c r="E5796" t="s">
        <v>89</v>
      </c>
      <c r="F5796">
        <v>10</v>
      </c>
      <c r="G5796" t="s">
        <v>90</v>
      </c>
      <c r="H5796" t="s">
        <v>91</v>
      </c>
      <c r="I5796" t="s">
        <v>991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83</v>
      </c>
      <c r="D5797" t="s">
        <v>88</v>
      </c>
      <c r="E5797" t="s">
        <v>89</v>
      </c>
      <c r="F5797">
        <v>10</v>
      </c>
      <c r="G5797" t="s">
        <v>90</v>
      </c>
      <c r="H5797" t="s">
        <v>91</v>
      </c>
      <c r="I5797" t="s">
        <v>992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83</v>
      </c>
      <c r="D5798" t="s">
        <v>88</v>
      </c>
      <c r="E5798" t="s">
        <v>89</v>
      </c>
      <c r="F5798">
        <v>10</v>
      </c>
      <c r="G5798" t="s">
        <v>90</v>
      </c>
      <c r="H5798" t="s">
        <v>91</v>
      </c>
      <c r="I5798" t="s">
        <v>993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83</v>
      </c>
      <c r="D5799" t="s">
        <v>88</v>
      </c>
      <c r="E5799" t="s">
        <v>89</v>
      </c>
      <c r="F5799">
        <v>10</v>
      </c>
      <c r="G5799" t="s">
        <v>90</v>
      </c>
      <c r="H5799" t="s">
        <v>91</v>
      </c>
      <c r="I5799" t="s">
        <v>994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83</v>
      </c>
      <c r="D5800" t="s">
        <v>88</v>
      </c>
      <c r="E5800" t="s">
        <v>89</v>
      </c>
      <c r="F5800">
        <v>10</v>
      </c>
      <c r="G5800" t="s">
        <v>90</v>
      </c>
      <c r="H5800" t="s">
        <v>91</v>
      </c>
      <c r="I5800" t="s">
        <v>995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83</v>
      </c>
      <c r="D5801" t="s">
        <v>88</v>
      </c>
      <c r="E5801" t="s">
        <v>89</v>
      </c>
      <c r="F5801">
        <v>10</v>
      </c>
      <c r="G5801" t="s">
        <v>90</v>
      </c>
      <c r="H5801" t="s">
        <v>91</v>
      </c>
      <c r="I5801" t="s">
        <v>996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83</v>
      </c>
      <c r="D5802" t="s">
        <v>88</v>
      </c>
      <c r="E5802" t="s">
        <v>89</v>
      </c>
      <c r="F5802">
        <v>10</v>
      </c>
      <c r="G5802" t="s">
        <v>90</v>
      </c>
      <c r="H5802" t="s">
        <v>91</v>
      </c>
      <c r="I5802" t="s">
        <v>990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83</v>
      </c>
      <c r="D5803" t="s">
        <v>88</v>
      </c>
      <c r="E5803" t="s">
        <v>89</v>
      </c>
      <c r="F5803">
        <v>10</v>
      </c>
      <c r="G5803" t="s">
        <v>90</v>
      </c>
      <c r="H5803" t="s">
        <v>91</v>
      </c>
      <c r="I5803" t="s">
        <v>997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83</v>
      </c>
      <c r="D5804" t="s">
        <v>88</v>
      </c>
      <c r="E5804" t="s">
        <v>89</v>
      </c>
      <c r="F5804">
        <v>10</v>
      </c>
      <c r="G5804" t="s">
        <v>90</v>
      </c>
      <c r="H5804" t="s">
        <v>91</v>
      </c>
      <c r="I5804" t="s">
        <v>998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83</v>
      </c>
      <c r="D5805" t="s">
        <v>88</v>
      </c>
      <c r="E5805" t="s">
        <v>89</v>
      </c>
      <c r="F5805">
        <v>10</v>
      </c>
      <c r="G5805" t="s">
        <v>90</v>
      </c>
      <c r="H5805" t="s">
        <v>91</v>
      </c>
      <c r="I5805" t="s">
        <v>999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83</v>
      </c>
      <c r="D5806" t="s">
        <v>88</v>
      </c>
      <c r="E5806" t="s">
        <v>89</v>
      </c>
      <c r="F5806">
        <v>10</v>
      </c>
      <c r="G5806" t="s">
        <v>90</v>
      </c>
      <c r="H5806" t="s">
        <v>91</v>
      </c>
      <c r="I5806" t="s">
        <v>1000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83</v>
      </c>
      <c r="D5807" t="s">
        <v>88</v>
      </c>
      <c r="E5807" t="s">
        <v>89</v>
      </c>
      <c r="F5807">
        <v>10</v>
      </c>
      <c r="G5807" t="s">
        <v>90</v>
      </c>
      <c r="H5807" t="s">
        <v>91</v>
      </c>
      <c r="I5807" t="s">
        <v>1001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83</v>
      </c>
      <c r="D5808" t="s">
        <v>88</v>
      </c>
      <c r="E5808" t="s">
        <v>89</v>
      </c>
      <c r="F5808">
        <v>10</v>
      </c>
      <c r="G5808" t="s">
        <v>90</v>
      </c>
      <c r="H5808" t="s">
        <v>91</v>
      </c>
      <c r="I5808" t="s">
        <v>1002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83</v>
      </c>
      <c r="D5809" t="s">
        <v>88</v>
      </c>
      <c r="E5809" t="s">
        <v>89</v>
      </c>
      <c r="F5809">
        <v>10</v>
      </c>
      <c r="G5809" t="s">
        <v>90</v>
      </c>
      <c r="H5809" t="s">
        <v>91</v>
      </c>
      <c r="I5809" t="s">
        <v>1003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83</v>
      </c>
      <c r="D5810" t="s">
        <v>88</v>
      </c>
      <c r="E5810" t="s">
        <v>89</v>
      </c>
      <c r="F5810">
        <v>10</v>
      </c>
      <c r="G5810" t="s">
        <v>90</v>
      </c>
      <c r="H5810" t="s">
        <v>91</v>
      </c>
      <c r="I5810" t="s">
        <v>1004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83</v>
      </c>
      <c r="D5811" t="s">
        <v>88</v>
      </c>
      <c r="E5811" t="s">
        <v>89</v>
      </c>
      <c r="F5811">
        <v>10</v>
      </c>
      <c r="G5811" t="s">
        <v>90</v>
      </c>
      <c r="H5811" t="s">
        <v>91</v>
      </c>
      <c r="I5811" t="s">
        <v>1005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83</v>
      </c>
      <c r="D5812" t="s">
        <v>88</v>
      </c>
      <c r="E5812" t="s">
        <v>89</v>
      </c>
      <c r="F5812">
        <v>10</v>
      </c>
      <c r="G5812" t="s">
        <v>90</v>
      </c>
      <c r="H5812" t="s">
        <v>91</v>
      </c>
      <c r="I5812" t="s">
        <v>1006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83</v>
      </c>
      <c r="D5813" t="s">
        <v>88</v>
      </c>
      <c r="E5813" t="s">
        <v>89</v>
      </c>
      <c r="F5813">
        <v>10</v>
      </c>
      <c r="G5813" t="s">
        <v>90</v>
      </c>
      <c r="H5813" t="s">
        <v>91</v>
      </c>
      <c r="I5813" t="s">
        <v>1007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83</v>
      </c>
      <c r="D5814" t="s">
        <v>88</v>
      </c>
      <c r="E5814" t="s">
        <v>89</v>
      </c>
      <c r="F5814">
        <v>10</v>
      </c>
      <c r="G5814" t="s">
        <v>90</v>
      </c>
      <c r="H5814" t="s">
        <v>91</v>
      </c>
      <c r="I5814" t="s">
        <v>1008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83</v>
      </c>
      <c r="D5815" t="s">
        <v>88</v>
      </c>
      <c r="E5815" t="s">
        <v>89</v>
      </c>
      <c r="F5815">
        <v>10</v>
      </c>
      <c r="G5815" t="s">
        <v>90</v>
      </c>
      <c r="H5815" t="s">
        <v>91</v>
      </c>
      <c r="I5815" t="s">
        <v>1009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83</v>
      </c>
      <c r="D5816" t="s">
        <v>88</v>
      </c>
      <c r="E5816" t="s">
        <v>89</v>
      </c>
      <c r="F5816">
        <v>10</v>
      </c>
      <c r="G5816" t="s">
        <v>90</v>
      </c>
      <c r="H5816" t="s">
        <v>230</v>
      </c>
      <c r="I5816" t="s">
        <v>991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83</v>
      </c>
      <c r="D5817" t="s">
        <v>88</v>
      </c>
      <c r="E5817" t="s">
        <v>89</v>
      </c>
      <c r="F5817">
        <v>10</v>
      </c>
      <c r="G5817" t="s">
        <v>90</v>
      </c>
      <c r="H5817" t="s">
        <v>230</v>
      </c>
      <c r="I5817" t="s">
        <v>992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83</v>
      </c>
      <c r="D5818" t="s">
        <v>88</v>
      </c>
      <c r="E5818" t="s">
        <v>89</v>
      </c>
      <c r="F5818">
        <v>10</v>
      </c>
      <c r="G5818" t="s">
        <v>90</v>
      </c>
      <c r="H5818" t="s">
        <v>230</v>
      </c>
      <c r="I5818" t="s">
        <v>993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83</v>
      </c>
      <c r="D5819" t="s">
        <v>88</v>
      </c>
      <c r="E5819" t="s">
        <v>89</v>
      </c>
      <c r="F5819">
        <v>10</v>
      </c>
      <c r="G5819" t="s">
        <v>90</v>
      </c>
      <c r="H5819" t="s">
        <v>230</v>
      </c>
      <c r="I5819" t="s">
        <v>994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83</v>
      </c>
      <c r="D5820" t="s">
        <v>88</v>
      </c>
      <c r="E5820" t="s">
        <v>89</v>
      </c>
      <c r="F5820">
        <v>10</v>
      </c>
      <c r="G5820" t="s">
        <v>90</v>
      </c>
      <c r="H5820" t="s">
        <v>230</v>
      </c>
      <c r="I5820" t="s">
        <v>995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83</v>
      </c>
      <c r="D5821" t="s">
        <v>88</v>
      </c>
      <c r="E5821" t="s">
        <v>89</v>
      </c>
      <c r="F5821">
        <v>10</v>
      </c>
      <c r="G5821" t="s">
        <v>90</v>
      </c>
      <c r="H5821" t="s">
        <v>230</v>
      </c>
      <c r="I5821" t="s">
        <v>996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83</v>
      </c>
      <c r="D5822" t="s">
        <v>88</v>
      </c>
      <c r="E5822" t="s">
        <v>89</v>
      </c>
      <c r="F5822">
        <v>10</v>
      </c>
      <c r="G5822" t="s">
        <v>90</v>
      </c>
      <c r="H5822" t="s">
        <v>230</v>
      </c>
      <c r="I5822" t="s">
        <v>990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83</v>
      </c>
      <c r="D5823" t="s">
        <v>88</v>
      </c>
      <c r="E5823" t="s">
        <v>89</v>
      </c>
      <c r="F5823">
        <v>10</v>
      </c>
      <c r="G5823" t="s">
        <v>90</v>
      </c>
      <c r="H5823" t="s">
        <v>230</v>
      </c>
      <c r="I5823" t="s">
        <v>997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83</v>
      </c>
      <c r="D5824" t="s">
        <v>88</v>
      </c>
      <c r="E5824" t="s">
        <v>89</v>
      </c>
      <c r="F5824">
        <v>10</v>
      </c>
      <c r="G5824" t="s">
        <v>90</v>
      </c>
      <c r="H5824" t="s">
        <v>230</v>
      </c>
      <c r="I5824" t="s">
        <v>998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83</v>
      </c>
      <c r="D5825" t="s">
        <v>88</v>
      </c>
      <c r="E5825" t="s">
        <v>89</v>
      </c>
      <c r="F5825">
        <v>10</v>
      </c>
      <c r="G5825" t="s">
        <v>90</v>
      </c>
      <c r="H5825" t="s">
        <v>230</v>
      </c>
      <c r="I5825" t="s">
        <v>999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83</v>
      </c>
      <c r="D5826" t="s">
        <v>88</v>
      </c>
      <c r="E5826" t="s">
        <v>89</v>
      </c>
      <c r="F5826">
        <v>10</v>
      </c>
      <c r="G5826" t="s">
        <v>90</v>
      </c>
      <c r="H5826" t="s">
        <v>230</v>
      </c>
      <c r="I5826" t="s">
        <v>1000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83</v>
      </c>
      <c r="D5827" t="s">
        <v>88</v>
      </c>
      <c r="E5827" t="s">
        <v>89</v>
      </c>
      <c r="F5827">
        <v>10</v>
      </c>
      <c r="G5827" t="s">
        <v>90</v>
      </c>
      <c r="H5827" t="s">
        <v>230</v>
      </c>
      <c r="I5827" t="s">
        <v>1001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83</v>
      </c>
      <c r="D5828" t="s">
        <v>88</v>
      </c>
      <c r="E5828" t="s">
        <v>89</v>
      </c>
      <c r="F5828">
        <v>10</v>
      </c>
      <c r="G5828" t="s">
        <v>90</v>
      </c>
      <c r="H5828" t="s">
        <v>230</v>
      </c>
      <c r="I5828" t="s">
        <v>1002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83</v>
      </c>
      <c r="D5829" t="s">
        <v>88</v>
      </c>
      <c r="E5829" t="s">
        <v>89</v>
      </c>
      <c r="F5829">
        <v>10</v>
      </c>
      <c r="G5829" t="s">
        <v>90</v>
      </c>
      <c r="H5829" t="s">
        <v>230</v>
      </c>
      <c r="I5829" t="s">
        <v>1003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83</v>
      </c>
      <c r="D5830" t="s">
        <v>88</v>
      </c>
      <c r="E5830" t="s">
        <v>89</v>
      </c>
      <c r="F5830">
        <v>10</v>
      </c>
      <c r="G5830" t="s">
        <v>90</v>
      </c>
      <c r="H5830" t="s">
        <v>230</v>
      </c>
      <c r="I5830" t="s">
        <v>1004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83</v>
      </c>
      <c r="D5831" t="s">
        <v>88</v>
      </c>
      <c r="E5831" t="s">
        <v>89</v>
      </c>
      <c r="F5831">
        <v>10</v>
      </c>
      <c r="G5831" t="s">
        <v>90</v>
      </c>
      <c r="H5831" t="s">
        <v>230</v>
      </c>
      <c r="I5831" t="s">
        <v>1005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83</v>
      </c>
      <c r="D5832" t="s">
        <v>88</v>
      </c>
      <c r="E5832" t="s">
        <v>89</v>
      </c>
      <c r="F5832">
        <v>10</v>
      </c>
      <c r="G5832" t="s">
        <v>90</v>
      </c>
      <c r="H5832" t="s">
        <v>230</v>
      </c>
      <c r="I5832" t="s">
        <v>1006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83</v>
      </c>
      <c r="D5833" t="s">
        <v>88</v>
      </c>
      <c r="E5833" t="s">
        <v>89</v>
      </c>
      <c r="F5833">
        <v>10</v>
      </c>
      <c r="G5833" t="s">
        <v>90</v>
      </c>
      <c r="H5833" t="s">
        <v>230</v>
      </c>
      <c r="I5833" t="s">
        <v>1007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83</v>
      </c>
      <c r="D5834" t="s">
        <v>88</v>
      </c>
      <c r="E5834" t="s">
        <v>89</v>
      </c>
      <c r="F5834">
        <v>10</v>
      </c>
      <c r="G5834" t="s">
        <v>90</v>
      </c>
      <c r="H5834" t="s">
        <v>230</v>
      </c>
      <c r="I5834" t="s">
        <v>1008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83</v>
      </c>
      <c r="D5835" t="s">
        <v>88</v>
      </c>
      <c r="E5835" t="s">
        <v>89</v>
      </c>
      <c r="F5835">
        <v>10</v>
      </c>
      <c r="G5835" t="s">
        <v>90</v>
      </c>
      <c r="H5835" t="s">
        <v>230</v>
      </c>
      <c r="I5835" t="s">
        <v>1009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83</v>
      </c>
      <c r="D5836" t="s">
        <v>88</v>
      </c>
      <c r="E5836" t="s">
        <v>89</v>
      </c>
      <c r="F5836">
        <v>10</v>
      </c>
      <c r="G5836" t="s">
        <v>90</v>
      </c>
      <c r="H5836" t="s">
        <v>188</v>
      </c>
      <c r="I5836" t="s">
        <v>991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83</v>
      </c>
      <c r="D5837" t="s">
        <v>88</v>
      </c>
      <c r="E5837" t="s">
        <v>89</v>
      </c>
      <c r="F5837">
        <v>10</v>
      </c>
      <c r="G5837" t="s">
        <v>90</v>
      </c>
      <c r="H5837" t="s">
        <v>188</v>
      </c>
      <c r="I5837" t="s">
        <v>992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83</v>
      </c>
      <c r="D5838" t="s">
        <v>88</v>
      </c>
      <c r="E5838" t="s">
        <v>89</v>
      </c>
      <c r="F5838">
        <v>10</v>
      </c>
      <c r="G5838" t="s">
        <v>90</v>
      </c>
      <c r="H5838" t="s">
        <v>188</v>
      </c>
      <c r="I5838" t="s">
        <v>993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83</v>
      </c>
      <c r="D5839" t="s">
        <v>88</v>
      </c>
      <c r="E5839" t="s">
        <v>89</v>
      </c>
      <c r="F5839">
        <v>10</v>
      </c>
      <c r="G5839" t="s">
        <v>90</v>
      </c>
      <c r="H5839" t="s">
        <v>188</v>
      </c>
      <c r="I5839" t="s">
        <v>994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83</v>
      </c>
      <c r="D5840" t="s">
        <v>88</v>
      </c>
      <c r="E5840" t="s">
        <v>89</v>
      </c>
      <c r="F5840">
        <v>10</v>
      </c>
      <c r="G5840" t="s">
        <v>90</v>
      </c>
      <c r="H5840" t="s">
        <v>188</v>
      </c>
      <c r="I5840" t="s">
        <v>995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83</v>
      </c>
      <c r="D5841" t="s">
        <v>88</v>
      </c>
      <c r="E5841" t="s">
        <v>89</v>
      </c>
      <c r="F5841">
        <v>10</v>
      </c>
      <c r="G5841" t="s">
        <v>90</v>
      </c>
      <c r="H5841" t="s">
        <v>188</v>
      </c>
      <c r="I5841" t="s">
        <v>996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83</v>
      </c>
      <c r="D5842" t="s">
        <v>88</v>
      </c>
      <c r="E5842" t="s">
        <v>89</v>
      </c>
      <c r="F5842">
        <v>10</v>
      </c>
      <c r="G5842" t="s">
        <v>90</v>
      </c>
      <c r="H5842" t="s">
        <v>188</v>
      </c>
      <c r="I5842" t="s">
        <v>990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83</v>
      </c>
      <c r="D5843" t="s">
        <v>88</v>
      </c>
      <c r="E5843" t="s">
        <v>89</v>
      </c>
      <c r="F5843">
        <v>10</v>
      </c>
      <c r="G5843" t="s">
        <v>90</v>
      </c>
      <c r="H5843" t="s">
        <v>188</v>
      </c>
      <c r="I5843" t="s">
        <v>997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83</v>
      </c>
      <c r="D5844" t="s">
        <v>88</v>
      </c>
      <c r="E5844" t="s">
        <v>89</v>
      </c>
      <c r="F5844">
        <v>10</v>
      </c>
      <c r="G5844" t="s">
        <v>90</v>
      </c>
      <c r="H5844" t="s">
        <v>188</v>
      </c>
      <c r="I5844" t="s">
        <v>998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83</v>
      </c>
      <c r="D5845" t="s">
        <v>88</v>
      </c>
      <c r="E5845" t="s">
        <v>89</v>
      </c>
      <c r="F5845">
        <v>10</v>
      </c>
      <c r="G5845" t="s">
        <v>90</v>
      </c>
      <c r="H5845" t="s">
        <v>188</v>
      </c>
      <c r="I5845" t="s">
        <v>999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83</v>
      </c>
      <c r="D5846" t="s">
        <v>88</v>
      </c>
      <c r="E5846" t="s">
        <v>89</v>
      </c>
      <c r="F5846">
        <v>10</v>
      </c>
      <c r="G5846" t="s">
        <v>90</v>
      </c>
      <c r="H5846" t="s">
        <v>188</v>
      </c>
      <c r="I5846" t="s">
        <v>1000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83</v>
      </c>
      <c r="D5847" t="s">
        <v>88</v>
      </c>
      <c r="E5847" t="s">
        <v>89</v>
      </c>
      <c r="F5847">
        <v>10</v>
      </c>
      <c r="G5847" t="s">
        <v>90</v>
      </c>
      <c r="H5847" t="s">
        <v>188</v>
      </c>
      <c r="I5847" t="s">
        <v>1001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83</v>
      </c>
      <c r="D5848" t="s">
        <v>88</v>
      </c>
      <c r="E5848" t="s">
        <v>89</v>
      </c>
      <c r="F5848">
        <v>10</v>
      </c>
      <c r="G5848" t="s">
        <v>90</v>
      </c>
      <c r="H5848" t="s">
        <v>188</v>
      </c>
      <c r="I5848" t="s">
        <v>1002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83</v>
      </c>
      <c r="D5849" t="s">
        <v>88</v>
      </c>
      <c r="E5849" t="s">
        <v>89</v>
      </c>
      <c r="F5849">
        <v>10</v>
      </c>
      <c r="G5849" t="s">
        <v>90</v>
      </c>
      <c r="H5849" t="s">
        <v>188</v>
      </c>
      <c r="I5849" t="s">
        <v>1003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83</v>
      </c>
      <c r="D5850" t="s">
        <v>88</v>
      </c>
      <c r="E5850" t="s">
        <v>89</v>
      </c>
      <c r="F5850">
        <v>10</v>
      </c>
      <c r="G5850" t="s">
        <v>90</v>
      </c>
      <c r="H5850" t="s">
        <v>188</v>
      </c>
      <c r="I5850" t="s">
        <v>1004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83</v>
      </c>
      <c r="D5851" t="s">
        <v>88</v>
      </c>
      <c r="E5851" t="s">
        <v>89</v>
      </c>
      <c r="F5851">
        <v>10</v>
      </c>
      <c r="G5851" t="s">
        <v>90</v>
      </c>
      <c r="H5851" t="s">
        <v>188</v>
      </c>
      <c r="I5851" t="s">
        <v>1005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83</v>
      </c>
      <c r="D5852" t="s">
        <v>88</v>
      </c>
      <c r="E5852" t="s">
        <v>89</v>
      </c>
      <c r="F5852">
        <v>10</v>
      </c>
      <c r="G5852" t="s">
        <v>90</v>
      </c>
      <c r="H5852" t="s">
        <v>188</v>
      </c>
      <c r="I5852" t="s">
        <v>1006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83</v>
      </c>
      <c r="D5853" t="s">
        <v>88</v>
      </c>
      <c r="E5853" t="s">
        <v>89</v>
      </c>
      <c r="F5853">
        <v>10</v>
      </c>
      <c r="G5853" t="s">
        <v>90</v>
      </c>
      <c r="H5853" t="s">
        <v>188</v>
      </c>
      <c r="I5853" t="s">
        <v>1007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83</v>
      </c>
      <c r="D5854" t="s">
        <v>88</v>
      </c>
      <c r="E5854" t="s">
        <v>89</v>
      </c>
      <c r="F5854">
        <v>10</v>
      </c>
      <c r="G5854" t="s">
        <v>90</v>
      </c>
      <c r="H5854" t="s">
        <v>188</v>
      </c>
      <c r="I5854" t="s">
        <v>1008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83</v>
      </c>
      <c r="D5855" t="s">
        <v>88</v>
      </c>
      <c r="E5855" t="s">
        <v>89</v>
      </c>
      <c r="F5855">
        <v>10</v>
      </c>
      <c r="G5855" t="s">
        <v>90</v>
      </c>
      <c r="H5855" t="s">
        <v>188</v>
      </c>
      <c r="I5855" t="s">
        <v>1009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83</v>
      </c>
      <c r="D5856" t="s">
        <v>88</v>
      </c>
      <c r="E5856" t="s">
        <v>89</v>
      </c>
      <c r="F5856">
        <v>10</v>
      </c>
      <c r="G5856" t="s">
        <v>231</v>
      </c>
      <c r="H5856" t="s">
        <v>232</v>
      </c>
      <c r="I5856" t="s">
        <v>986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83</v>
      </c>
      <c r="D5857" t="s">
        <v>88</v>
      </c>
      <c r="E5857" t="s">
        <v>89</v>
      </c>
      <c r="F5857">
        <v>10</v>
      </c>
      <c r="G5857" t="s">
        <v>231</v>
      </c>
      <c r="H5857" t="s">
        <v>186</v>
      </c>
      <c r="I5857" t="s">
        <v>986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83</v>
      </c>
      <c r="D5858" t="s">
        <v>88</v>
      </c>
      <c r="E5858" t="s">
        <v>89</v>
      </c>
      <c r="F5858">
        <v>10</v>
      </c>
      <c r="G5858" t="s">
        <v>231</v>
      </c>
      <c r="H5858" t="s">
        <v>187</v>
      </c>
      <c r="I5858" t="s">
        <v>986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83</v>
      </c>
      <c r="D5859" t="s">
        <v>88</v>
      </c>
      <c r="E5859" t="s">
        <v>89</v>
      </c>
      <c r="F5859">
        <v>10</v>
      </c>
      <c r="G5859" t="s">
        <v>231</v>
      </c>
      <c r="H5859" t="s">
        <v>198</v>
      </c>
      <c r="I5859" t="s">
        <v>986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83</v>
      </c>
      <c r="D5860" t="s">
        <v>88</v>
      </c>
      <c r="E5860" t="s">
        <v>89</v>
      </c>
      <c r="F5860">
        <v>10</v>
      </c>
      <c r="G5860" t="s">
        <v>231</v>
      </c>
      <c r="H5860" t="s">
        <v>188</v>
      </c>
      <c r="I5860" t="s">
        <v>986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83</v>
      </c>
      <c r="D5861" t="s">
        <v>88</v>
      </c>
      <c r="E5861" t="s">
        <v>89</v>
      </c>
      <c r="F5861">
        <v>10</v>
      </c>
      <c r="G5861" t="s">
        <v>233</v>
      </c>
      <c r="H5861" t="s">
        <v>234</v>
      </c>
      <c r="I5861" t="s">
        <v>1010</v>
      </c>
      <c r="J5861" s="73">
        <v>45659</v>
      </c>
    </row>
    <row r="5862" spans="1:10" x14ac:dyDescent="0.25">
      <c r="A5862" s="1" t="s">
        <v>27</v>
      </c>
      <c r="B5862">
        <v>401752671</v>
      </c>
      <c r="C5862" t="s">
        <v>83</v>
      </c>
      <c r="D5862" t="s">
        <v>88</v>
      </c>
      <c r="E5862" t="s">
        <v>89</v>
      </c>
      <c r="F5862">
        <v>10</v>
      </c>
      <c r="G5862" t="s">
        <v>233</v>
      </c>
      <c r="H5862" t="s">
        <v>236</v>
      </c>
      <c r="I5862" t="s">
        <v>1010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83</v>
      </c>
      <c r="D5863" t="s">
        <v>88</v>
      </c>
      <c r="E5863" t="s">
        <v>89</v>
      </c>
      <c r="F5863">
        <v>10</v>
      </c>
      <c r="G5863" t="s">
        <v>233</v>
      </c>
      <c r="H5863" t="s">
        <v>198</v>
      </c>
      <c r="I5863" t="s">
        <v>1010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83</v>
      </c>
      <c r="D5864" t="s">
        <v>88</v>
      </c>
      <c r="E5864" t="s">
        <v>89</v>
      </c>
      <c r="F5864">
        <v>10</v>
      </c>
      <c r="G5864" t="s">
        <v>233</v>
      </c>
      <c r="H5864" t="s">
        <v>237</v>
      </c>
      <c r="I5864" t="s">
        <v>1010</v>
      </c>
      <c r="J5864" s="73">
        <v>45658</v>
      </c>
    </row>
    <row r="5865" spans="1:10" x14ac:dyDescent="0.25">
      <c r="A5865" s="1" t="s">
        <v>27</v>
      </c>
      <c r="B5865">
        <v>401752671</v>
      </c>
      <c r="C5865" t="s">
        <v>83</v>
      </c>
      <c r="D5865" t="s">
        <v>88</v>
      </c>
      <c r="E5865" t="s">
        <v>89</v>
      </c>
      <c r="F5865">
        <v>10</v>
      </c>
      <c r="G5865" t="s">
        <v>233</v>
      </c>
      <c r="H5865" t="s">
        <v>238</v>
      </c>
      <c r="I5865" t="s">
        <v>1010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83</v>
      </c>
      <c r="D5866" t="s">
        <v>88</v>
      </c>
      <c r="E5866" t="s">
        <v>89</v>
      </c>
      <c r="F5866">
        <v>10</v>
      </c>
      <c r="G5866" t="s">
        <v>239</v>
      </c>
      <c r="H5866" t="s">
        <v>232</v>
      </c>
      <c r="I5866" t="s">
        <v>1011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83</v>
      </c>
      <c r="D5867" t="s">
        <v>88</v>
      </c>
      <c r="E5867" t="s">
        <v>89</v>
      </c>
      <c r="F5867">
        <v>10</v>
      </c>
      <c r="G5867" t="s">
        <v>239</v>
      </c>
      <c r="H5867" t="s">
        <v>232</v>
      </c>
      <c r="I5867" t="s">
        <v>1010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83</v>
      </c>
      <c r="D5868" t="s">
        <v>88</v>
      </c>
      <c r="E5868" t="s">
        <v>89</v>
      </c>
      <c r="F5868">
        <v>10</v>
      </c>
      <c r="G5868" t="s">
        <v>239</v>
      </c>
      <c r="H5868" t="s">
        <v>186</v>
      </c>
      <c r="I5868" t="s">
        <v>1011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83</v>
      </c>
      <c r="D5869" t="s">
        <v>88</v>
      </c>
      <c r="E5869" t="s">
        <v>89</v>
      </c>
      <c r="F5869">
        <v>10</v>
      </c>
      <c r="G5869" t="s">
        <v>239</v>
      </c>
      <c r="H5869" t="s">
        <v>186</v>
      </c>
      <c r="I5869" t="s">
        <v>1010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83</v>
      </c>
      <c r="D5870" t="s">
        <v>88</v>
      </c>
      <c r="E5870" t="s">
        <v>89</v>
      </c>
      <c r="F5870">
        <v>10</v>
      </c>
      <c r="G5870" t="s">
        <v>239</v>
      </c>
      <c r="H5870" t="s">
        <v>187</v>
      </c>
      <c r="I5870" t="s">
        <v>1011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83</v>
      </c>
      <c r="D5871" t="s">
        <v>88</v>
      </c>
      <c r="E5871" t="s">
        <v>89</v>
      </c>
      <c r="F5871">
        <v>10</v>
      </c>
      <c r="G5871" t="s">
        <v>239</v>
      </c>
      <c r="H5871" t="s">
        <v>187</v>
      </c>
      <c r="I5871" t="s">
        <v>1010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83</v>
      </c>
      <c r="D5872" t="s">
        <v>88</v>
      </c>
      <c r="E5872" t="s">
        <v>89</v>
      </c>
      <c r="F5872">
        <v>10</v>
      </c>
      <c r="G5872" t="s">
        <v>239</v>
      </c>
      <c r="H5872" t="s">
        <v>241</v>
      </c>
      <c r="I5872" t="s">
        <v>1011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83</v>
      </c>
      <c r="D5873" t="s">
        <v>88</v>
      </c>
      <c r="E5873" t="s">
        <v>89</v>
      </c>
      <c r="F5873">
        <v>10</v>
      </c>
      <c r="G5873" t="s">
        <v>239</v>
      </c>
      <c r="H5873" t="s">
        <v>241</v>
      </c>
      <c r="I5873" t="s">
        <v>1010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83</v>
      </c>
      <c r="D5874" t="s">
        <v>88</v>
      </c>
      <c r="E5874" t="s">
        <v>89</v>
      </c>
      <c r="F5874">
        <v>10</v>
      </c>
      <c r="G5874" t="s">
        <v>239</v>
      </c>
      <c r="H5874" t="s">
        <v>242</v>
      </c>
      <c r="I5874" t="s">
        <v>1011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83</v>
      </c>
      <c r="D5875" t="s">
        <v>88</v>
      </c>
      <c r="E5875" t="s">
        <v>89</v>
      </c>
      <c r="F5875">
        <v>10</v>
      </c>
      <c r="G5875" t="s">
        <v>239</v>
      </c>
      <c r="H5875" t="s">
        <v>242</v>
      </c>
      <c r="I5875" t="s">
        <v>1010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83</v>
      </c>
      <c r="D5876" t="s">
        <v>88</v>
      </c>
      <c r="E5876" t="s">
        <v>89</v>
      </c>
      <c r="F5876">
        <v>10</v>
      </c>
      <c r="G5876" t="s">
        <v>239</v>
      </c>
      <c r="H5876" t="s">
        <v>198</v>
      </c>
      <c r="I5876" t="s">
        <v>1011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83</v>
      </c>
      <c r="D5877" t="s">
        <v>88</v>
      </c>
      <c r="E5877" t="s">
        <v>89</v>
      </c>
      <c r="F5877">
        <v>10</v>
      </c>
      <c r="G5877" t="s">
        <v>239</v>
      </c>
      <c r="H5877" t="s">
        <v>198</v>
      </c>
      <c r="I5877" t="s">
        <v>1010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80</v>
      </c>
      <c r="D5878" t="s">
        <v>408</v>
      </c>
      <c r="E5878" t="s">
        <v>179</v>
      </c>
      <c r="F5878">
        <v>17</v>
      </c>
      <c r="G5878" t="s">
        <v>180</v>
      </c>
      <c r="H5878" t="s">
        <v>181</v>
      </c>
      <c r="I5878" t="s">
        <v>1012</v>
      </c>
      <c r="J5878" t="s">
        <v>1013</v>
      </c>
    </row>
    <row r="5879" spans="1:10" x14ac:dyDescent="0.25">
      <c r="A5879" s="1" t="s">
        <v>27</v>
      </c>
      <c r="B5879">
        <v>401752671</v>
      </c>
      <c r="C5879" t="s">
        <v>80</v>
      </c>
      <c r="D5879" t="s">
        <v>408</v>
      </c>
      <c r="E5879" t="s">
        <v>179</v>
      </c>
      <c r="F5879">
        <v>17</v>
      </c>
      <c r="G5879" t="s">
        <v>180</v>
      </c>
      <c r="H5879" t="s">
        <v>181</v>
      </c>
      <c r="I5879" t="s">
        <v>1014</v>
      </c>
      <c r="J5879" s="73">
        <v>45658</v>
      </c>
    </row>
    <row r="5880" spans="1:10" x14ac:dyDescent="0.25">
      <c r="A5880" s="1" t="s">
        <v>27</v>
      </c>
      <c r="B5880">
        <v>401752671</v>
      </c>
      <c r="C5880" t="s">
        <v>80</v>
      </c>
      <c r="D5880" t="s">
        <v>408</v>
      </c>
      <c r="E5880" t="s">
        <v>179</v>
      </c>
      <c r="F5880">
        <v>17</v>
      </c>
      <c r="G5880" t="s">
        <v>180</v>
      </c>
      <c r="H5880" t="s">
        <v>186</v>
      </c>
      <c r="I5880" t="s">
        <v>1012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80</v>
      </c>
      <c r="D5881" t="s">
        <v>408</v>
      </c>
      <c r="E5881" t="s">
        <v>179</v>
      </c>
      <c r="F5881">
        <v>17</v>
      </c>
      <c r="G5881" t="s">
        <v>180</v>
      </c>
      <c r="H5881" t="s">
        <v>186</v>
      </c>
      <c r="I5881" t="s">
        <v>1014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80</v>
      </c>
      <c r="D5882" t="s">
        <v>408</v>
      </c>
      <c r="E5882" t="s">
        <v>179</v>
      </c>
      <c r="F5882">
        <v>17</v>
      </c>
      <c r="G5882" t="s">
        <v>180</v>
      </c>
      <c r="H5882" t="s">
        <v>187</v>
      </c>
      <c r="I5882" t="s">
        <v>1012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80</v>
      </c>
      <c r="D5883" t="s">
        <v>408</v>
      </c>
      <c r="E5883" t="s">
        <v>179</v>
      </c>
      <c r="F5883">
        <v>17</v>
      </c>
      <c r="G5883" t="s">
        <v>180</v>
      </c>
      <c r="H5883" t="s">
        <v>187</v>
      </c>
      <c r="I5883" t="s">
        <v>1014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80</v>
      </c>
      <c r="D5884" t="s">
        <v>408</v>
      </c>
      <c r="E5884" t="s">
        <v>179</v>
      </c>
      <c r="F5884">
        <v>17</v>
      </c>
      <c r="G5884" t="s">
        <v>180</v>
      </c>
      <c r="H5884" t="s">
        <v>188</v>
      </c>
      <c r="I5884" t="s">
        <v>1012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80</v>
      </c>
      <c r="D5885" t="s">
        <v>408</v>
      </c>
      <c r="E5885" t="s">
        <v>179</v>
      </c>
      <c r="F5885">
        <v>17</v>
      </c>
      <c r="G5885" t="s">
        <v>180</v>
      </c>
      <c r="H5885" t="s">
        <v>188</v>
      </c>
      <c r="I5885" t="s">
        <v>1014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80</v>
      </c>
      <c r="D5886" t="s">
        <v>408</v>
      </c>
      <c r="E5886" t="s">
        <v>179</v>
      </c>
      <c r="F5886">
        <v>17</v>
      </c>
      <c r="G5886" t="s">
        <v>180</v>
      </c>
      <c r="H5886" t="s">
        <v>189</v>
      </c>
      <c r="I5886" t="s">
        <v>1012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80</v>
      </c>
      <c r="D5887" t="s">
        <v>408</v>
      </c>
      <c r="E5887" t="s">
        <v>179</v>
      </c>
      <c r="F5887">
        <v>17</v>
      </c>
      <c r="G5887" t="s">
        <v>180</v>
      </c>
      <c r="H5887" t="s">
        <v>189</v>
      </c>
      <c r="I5887" t="s">
        <v>1014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80</v>
      </c>
      <c r="D5888" t="s">
        <v>408</v>
      </c>
      <c r="E5888" t="s">
        <v>179</v>
      </c>
      <c r="F5888">
        <v>17</v>
      </c>
      <c r="G5888" t="s">
        <v>192</v>
      </c>
      <c r="H5888" t="s">
        <v>193</v>
      </c>
      <c r="I5888" t="s">
        <v>1015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80</v>
      </c>
      <c r="D5889" t="s">
        <v>408</v>
      </c>
      <c r="E5889" t="s">
        <v>179</v>
      </c>
      <c r="F5889">
        <v>17</v>
      </c>
      <c r="G5889" t="s">
        <v>192</v>
      </c>
      <c r="H5889" t="s">
        <v>193</v>
      </c>
      <c r="I5889" t="s">
        <v>1014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80</v>
      </c>
      <c r="D5890" t="s">
        <v>408</v>
      </c>
      <c r="E5890" t="s">
        <v>179</v>
      </c>
      <c r="F5890">
        <v>17</v>
      </c>
      <c r="G5890" t="s">
        <v>192</v>
      </c>
      <c r="H5890" t="s">
        <v>193</v>
      </c>
      <c r="I5890" t="s">
        <v>1016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80</v>
      </c>
      <c r="D5891" t="s">
        <v>408</v>
      </c>
      <c r="E5891" t="s">
        <v>179</v>
      </c>
      <c r="F5891">
        <v>17</v>
      </c>
      <c r="G5891" t="s">
        <v>192</v>
      </c>
      <c r="H5891" t="s">
        <v>193</v>
      </c>
      <c r="I5891" t="s">
        <v>1012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80</v>
      </c>
      <c r="D5892" t="s">
        <v>408</v>
      </c>
      <c r="E5892" t="s">
        <v>179</v>
      </c>
      <c r="F5892">
        <v>17</v>
      </c>
      <c r="G5892" t="s">
        <v>192</v>
      </c>
      <c r="H5892" t="s">
        <v>193</v>
      </c>
      <c r="I5892" t="s">
        <v>1017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80</v>
      </c>
      <c r="D5893" t="s">
        <v>408</v>
      </c>
      <c r="E5893" t="s">
        <v>179</v>
      </c>
      <c r="F5893">
        <v>17</v>
      </c>
      <c r="G5893" t="s">
        <v>192</v>
      </c>
      <c r="H5893" t="s">
        <v>193</v>
      </c>
      <c r="I5893" t="s">
        <v>1018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80</v>
      </c>
      <c r="D5894" t="s">
        <v>408</v>
      </c>
      <c r="E5894" t="s">
        <v>179</v>
      </c>
      <c r="F5894">
        <v>17</v>
      </c>
      <c r="G5894" t="s">
        <v>192</v>
      </c>
      <c r="H5894" t="s">
        <v>193</v>
      </c>
      <c r="I5894" t="s">
        <v>184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80</v>
      </c>
      <c r="D5895" t="s">
        <v>408</v>
      </c>
      <c r="E5895" t="s">
        <v>179</v>
      </c>
      <c r="F5895">
        <v>17</v>
      </c>
      <c r="G5895" t="s">
        <v>192</v>
      </c>
      <c r="H5895" t="s">
        <v>186</v>
      </c>
      <c r="I5895" t="s">
        <v>1015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80</v>
      </c>
      <c r="D5896" t="s">
        <v>408</v>
      </c>
      <c r="E5896" t="s">
        <v>179</v>
      </c>
      <c r="F5896">
        <v>17</v>
      </c>
      <c r="G5896" t="s">
        <v>192</v>
      </c>
      <c r="H5896" t="s">
        <v>186</v>
      </c>
      <c r="I5896" t="s">
        <v>1014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80</v>
      </c>
      <c r="D5897" t="s">
        <v>408</v>
      </c>
      <c r="E5897" t="s">
        <v>179</v>
      </c>
      <c r="F5897">
        <v>17</v>
      </c>
      <c r="G5897" t="s">
        <v>192</v>
      </c>
      <c r="H5897" t="s">
        <v>186</v>
      </c>
      <c r="I5897" t="s">
        <v>1016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80</v>
      </c>
      <c r="D5898" t="s">
        <v>408</v>
      </c>
      <c r="E5898" t="s">
        <v>179</v>
      </c>
      <c r="F5898">
        <v>17</v>
      </c>
      <c r="G5898" t="s">
        <v>192</v>
      </c>
      <c r="H5898" t="s">
        <v>186</v>
      </c>
      <c r="I5898" t="s">
        <v>1012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80</v>
      </c>
      <c r="D5899" t="s">
        <v>408</v>
      </c>
      <c r="E5899" t="s">
        <v>179</v>
      </c>
      <c r="F5899">
        <v>17</v>
      </c>
      <c r="G5899" t="s">
        <v>192</v>
      </c>
      <c r="H5899" t="s">
        <v>186</v>
      </c>
      <c r="I5899" t="s">
        <v>1017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80</v>
      </c>
      <c r="D5900" t="s">
        <v>408</v>
      </c>
      <c r="E5900" t="s">
        <v>179</v>
      </c>
      <c r="F5900">
        <v>17</v>
      </c>
      <c r="G5900" t="s">
        <v>192</v>
      </c>
      <c r="H5900" t="s">
        <v>186</v>
      </c>
      <c r="I5900" t="s">
        <v>1018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80</v>
      </c>
      <c r="D5901" t="s">
        <v>408</v>
      </c>
      <c r="E5901" t="s">
        <v>179</v>
      </c>
      <c r="F5901">
        <v>17</v>
      </c>
      <c r="G5901" t="s">
        <v>192</v>
      </c>
      <c r="H5901" t="s">
        <v>186</v>
      </c>
      <c r="I5901" t="s">
        <v>184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80</v>
      </c>
      <c r="D5902" t="s">
        <v>408</v>
      </c>
      <c r="E5902" t="s">
        <v>179</v>
      </c>
      <c r="F5902">
        <v>17</v>
      </c>
      <c r="G5902" t="s">
        <v>192</v>
      </c>
      <c r="H5902" t="s">
        <v>187</v>
      </c>
      <c r="I5902" t="s">
        <v>1015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80</v>
      </c>
      <c r="D5903" t="s">
        <v>408</v>
      </c>
      <c r="E5903" t="s">
        <v>179</v>
      </c>
      <c r="F5903">
        <v>17</v>
      </c>
      <c r="G5903" t="s">
        <v>192</v>
      </c>
      <c r="H5903" t="s">
        <v>187</v>
      </c>
      <c r="I5903" t="s">
        <v>1014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80</v>
      </c>
      <c r="D5904" t="s">
        <v>408</v>
      </c>
      <c r="E5904" t="s">
        <v>179</v>
      </c>
      <c r="F5904">
        <v>17</v>
      </c>
      <c r="G5904" t="s">
        <v>192</v>
      </c>
      <c r="H5904" t="s">
        <v>187</v>
      </c>
      <c r="I5904" t="s">
        <v>1016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80</v>
      </c>
      <c r="D5905" t="s">
        <v>408</v>
      </c>
      <c r="E5905" t="s">
        <v>179</v>
      </c>
      <c r="F5905">
        <v>17</v>
      </c>
      <c r="G5905" t="s">
        <v>192</v>
      </c>
      <c r="H5905" t="s">
        <v>187</v>
      </c>
      <c r="I5905" t="s">
        <v>1012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80</v>
      </c>
      <c r="D5906" t="s">
        <v>408</v>
      </c>
      <c r="E5906" t="s">
        <v>179</v>
      </c>
      <c r="F5906">
        <v>17</v>
      </c>
      <c r="G5906" t="s">
        <v>192</v>
      </c>
      <c r="H5906" t="s">
        <v>187</v>
      </c>
      <c r="I5906" t="s">
        <v>1017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80</v>
      </c>
      <c r="D5907" t="s">
        <v>408</v>
      </c>
      <c r="E5907" t="s">
        <v>179</v>
      </c>
      <c r="F5907">
        <v>17</v>
      </c>
      <c r="G5907" t="s">
        <v>192</v>
      </c>
      <c r="H5907" t="s">
        <v>187</v>
      </c>
      <c r="I5907" t="s">
        <v>1018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80</v>
      </c>
      <c r="D5908" t="s">
        <v>408</v>
      </c>
      <c r="E5908" t="s">
        <v>179</v>
      </c>
      <c r="F5908">
        <v>17</v>
      </c>
      <c r="G5908" t="s">
        <v>192</v>
      </c>
      <c r="H5908" t="s">
        <v>187</v>
      </c>
      <c r="I5908" t="s">
        <v>184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80</v>
      </c>
      <c r="D5909" t="s">
        <v>408</v>
      </c>
      <c r="E5909" t="s">
        <v>179</v>
      </c>
      <c r="F5909">
        <v>17</v>
      </c>
      <c r="G5909" t="s">
        <v>192</v>
      </c>
      <c r="H5909" t="s">
        <v>188</v>
      </c>
      <c r="I5909" t="s">
        <v>1015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80</v>
      </c>
      <c r="D5910" t="s">
        <v>408</v>
      </c>
      <c r="E5910" t="s">
        <v>179</v>
      </c>
      <c r="F5910">
        <v>17</v>
      </c>
      <c r="G5910" t="s">
        <v>192</v>
      </c>
      <c r="H5910" t="s">
        <v>188</v>
      </c>
      <c r="I5910" t="s">
        <v>1014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80</v>
      </c>
      <c r="D5911" t="s">
        <v>408</v>
      </c>
      <c r="E5911" t="s">
        <v>179</v>
      </c>
      <c r="F5911">
        <v>17</v>
      </c>
      <c r="G5911" t="s">
        <v>192</v>
      </c>
      <c r="H5911" t="s">
        <v>188</v>
      </c>
      <c r="I5911" t="s">
        <v>1016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80</v>
      </c>
      <c r="D5912" t="s">
        <v>408</v>
      </c>
      <c r="E5912" t="s">
        <v>179</v>
      </c>
      <c r="F5912">
        <v>17</v>
      </c>
      <c r="G5912" t="s">
        <v>192</v>
      </c>
      <c r="H5912" t="s">
        <v>188</v>
      </c>
      <c r="I5912" t="s">
        <v>1012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80</v>
      </c>
      <c r="D5913" t="s">
        <v>408</v>
      </c>
      <c r="E5913" t="s">
        <v>179</v>
      </c>
      <c r="F5913">
        <v>17</v>
      </c>
      <c r="G5913" t="s">
        <v>192</v>
      </c>
      <c r="H5913" t="s">
        <v>188</v>
      </c>
      <c r="I5913" t="s">
        <v>1017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80</v>
      </c>
      <c r="D5914" t="s">
        <v>408</v>
      </c>
      <c r="E5914" t="s">
        <v>179</v>
      </c>
      <c r="F5914">
        <v>17</v>
      </c>
      <c r="G5914" t="s">
        <v>192</v>
      </c>
      <c r="H5914" t="s">
        <v>188</v>
      </c>
      <c r="I5914" t="s">
        <v>1018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80</v>
      </c>
      <c r="D5915" t="s">
        <v>408</v>
      </c>
      <c r="E5915" t="s">
        <v>179</v>
      </c>
      <c r="F5915">
        <v>17</v>
      </c>
      <c r="G5915" t="s">
        <v>192</v>
      </c>
      <c r="H5915" t="s">
        <v>188</v>
      </c>
      <c r="I5915" t="s">
        <v>184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80</v>
      </c>
      <c r="D5916" t="s">
        <v>408</v>
      </c>
      <c r="E5916" t="s">
        <v>179</v>
      </c>
      <c r="F5916">
        <v>17</v>
      </c>
      <c r="G5916" t="s">
        <v>192</v>
      </c>
      <c r="H5916" t="s">
        <v>198</v>
      </c>
      <c r="I5916" t="s">
        <v>1015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80</v>
      </c>
      <c r="D5917" t="s">
        <v>408</v>
      </c>
      <c r="E5917" t="s">
        <v>179</v>
      </c>
      <c r="F5917">
        <v>17</v>
      </c>
      <c r="G5917" t="s">
        <v>192</v>
      </c>
      <c r="H5917" t="s">
        <v>198</v>
      </c>
      <c r="I5917" t="s">
        <v>1014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80</v>
      </c>
      <c r="D5918" t="s">
        <v>408</v>
      </c>
      <c r="E5918" t="s">
        <v>179</v>
      </c>
      <c r="F5918">
        <v>17</v>
      </c>
      <c r="G5918" t="s">
        <v>192</v>
      </c>
      <c r="H5918" t="s">
        <v>198</v>
      </c>
      <c r="I5918" t="s">
        <v>1016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80</v>
      </c>
      <c r="D5919" t="s">
        <v>408</v>
      </c>
      <c r="E5919" t="s">
        <v>179</v>
      </c>
      <c r="F5919">
        <v>17</v>
      </c>
      <c r="G5919" t="s">
        <v>192</v>
      </c>
      <c r="H5919" t="s">
        <v>198</v>
      </c>
      <c r="I5919" t="s">
        <v>1012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80</v>
      </c>
      <c r="D5920" t="s">
        <v>408</v>
      </c>
      <c r="E5920" t="s">
        <v>179</v>
      </c>
      <c r="F5920">
        <v>17</v>
      </c>
      <c r="G5920" t="s">
        <v>192</v>
      </c>
      <c r="H5920" t="s">
        <v>198</v>
      </c>
      <c r="I5920" t="s">
        <v>1017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80</v>
      </c>
      <c r="D5921" t="s">
        <v>408</v>
      </c>
      <c r="E5921" t="s">
        <v>179</v>
      </c>
      <c r="F5921">
        <v>17</v>
      </c>
      <c r="G5921" t="s">
        <v>192</v>
      </c>
      <c r="H5921" t="s">
        <v>198</v>
      </c>
      <c r="I5921" t="s">
        <v>1018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80</v>
      </c>
      <c r="D5922" t="s">
        <v>408</v>
      </c>
      <c r="E5922" t="s">
        <v>179</v>
      </c>
      <c r="F5922">
        <v>17</v>
      </c>
      <c r="G5922" t="s">
        <v>192</v>
      </c>
      <c r="H5922" t="s">
        <v>198</v>
      </c>
      <c r="I5922" t="s">
        <v>184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80</v>
      </c>
      <c r="D5923" t="s">
        <v>408</v>
      </c>
      <c r="E5923" t="s">
        <v>179</v>
      </c>
      <c r="F5923">
        <v>17</v>
      </c>
      <c r="G5923" t="s">
        <v>199</v>
      </c>
      <c r="H5923" t="s">
        <v>0</v>
      </c>
      <c r="I5923" t="s">
        <v>1019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80</v>
      </c>
      <c r="D5924" t="s">
        <v>408</v>
      </c>
      <c r="E5924" t="s">
        <v>179</v>
      </c>
      <c r="F5924">
        <v>17</v>
      </c>
      <c r="G5924" t="s">
        <v>199</v>
      </c>
      <c r="H5924" t="s">
        <v>0</v>
      </c>
      <c r="I5924" t="s">
        <v>1016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80</v>
      </c>
      <c r="D5925" t="s">
        <v>408</v>
      </c>
      <c r="E5925" t="s">
        <v>179</v>
      </c>
      <c r="F5925">
        <v>17</v>
      </c>
      <c r="G5925" t="s">
        <v>199</v>
      </c>
      <c r="H5925" t="s">
        <v>0</v>
      </c>
      <c r="I5925" t="s">
        <v>1020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80</v>
      </c>
      <c r="D5926" t="s">
        <v>408</v>
      </c>
      <c r="E5926" t="s">
        <v>179</v>
      </c>
      <c r="F5926">
        <v>17</v>
      </c>
      <c r="G5926" t="s">
        <v>199</v>
      </c>
      <c r="H5926" t="s">
        <v>0</v>
      </c>
      <c r="I5926" t="s">
        <v>1015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80</v>
      </c>
      <c r="D5927" t="s">
        <v>408</v>
      </c>
      <c r="E5927" t="s">
        <v>179</v>
      </c>
      <c r="F5927">
        <v>17</v>
      </c>
      <c r="G5927" t="s">
        <v>199</v>
      </c>
      <c r="H5927" t="s">
        <v>0</v>
      </c>
      <c r="I5927" t="s">
        <v>1014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80</v>
      </c>
      <c r="D5928" t="s">
        <v>408</v>
      </c>
      <c r="E5928" t="s">
        <v>179</v>
      </c>
      <c r="F5928">
        <v>17</v>
      </c>
      <c r="G5928" t="s">
        <v>199</v>
      </c>
      <c r="H5928" t="s">
        <v>0</v>
      </c>
      <c r="I5928" t="s">
        <v>1021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80</v>
      </c>
      <c r="D5929" t="s">
        <v>408</v>
      </c>
      <c r="E5929" t="s">
        <v>179</v>
      </c>
      <c r="F5929">
        <v>17</v>
      </c>
      <c r="G5929" t="s">
        <v>199</v>
      </c>
      <c r="H5929" t="s">
        <v>0</v>
      </c>
      <c r="I5929" t="s">
        <v>1022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80</v>
      </c>
      <c r="D5930" t="s">
        <v>408</v>
      </c>
      <c r="E5930" t="s">
        <v>179</v>
      </c>
      <c r="F5930">
        <v>17</v>
      </c>
      <c r="G5930" t="s">
        <v>199</v>
      </c>
      <c r="H5930" t="s">
        <v>0</v>
      </c>
      <c r="I5930" t="s">
        <v>1023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80</v>
      </c>
      <c r="D5931" t="s">
        <v>408</v>
      </c>
      <c r="E5931" t="s">
        <v>179</v>
      </c>
      <c r="F5931">
        <v>17</v>
      </c>
      <c r="G5931" t="s">
        <v>199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80</v>
      </c>
      <c r="D5932" t="s">
        <v>408</v>
      </c>
      <c r="E5932" t="s">
        <v>179</v>
      </c>
      <c r="F5932">
        <v>17</v>
      </c>
      <c r="G5932" t="s">
        <v>199</v>
      </c>
      <c r="H5932" t="s">
        <v>186</v>
      </c>
      <c r="I5932" t="s">
        <v>1019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80</v>
      </c>
      <c r="D5933" t="s">
        <v>408</v>
      </c>
      <c r="E5933" t="s">
        <v>179</v>
      </c>
      <c r="F5933">
        <v>17</v>
      </c>
      <c r="G5933" t="s">
        <v>199</v>
      </c>
      <c r="H5933" t="s">
        <v>186</v>
      </c>
      <c r="I5933" t="s">
        <v>1016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80</v>
      </c>
      <c r="D5934" t="s">
        <v>408</v>
      </c>
      <c r="E5934" t="s">
        <v>179</v>
      </c>
      <c r="F5934">
        <v>17</v>
      </c>
      <c r="G5934" t="s">
        <v>199</v>
      </c>
      <c r="H5934" t="s">
        <v>186</v>
      </c>
      <c r="I5934" t="s">
        <v>1020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80</v>
      </c>
      <c r="D5935" t="s">
        <v>408</v>
      </c>
      <c r="E5935" t="s">
        <v>179</v>
      </c>
      <c r="F5935">
        <v>17</v>
      </c>
      <c r="G5935" t="s">
        <v>199</v>
      </c>
      <c r="H5935" t="s">
        <v>186</v>
      </c>
      <c r="I5935" t="s">
        <v>1015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80</v>
      </c>
      <c r="D5936" t="s">
        <v>408</v>
      </c>
      <c r="E5936" t="s">
        <v>179</v>
      </c>
      <c r="F5936">
        <v>17</v>
      </c>
      <c r="G5936" t="s">
        <v>199</v>
      </c>
      <c r="H5936" t="s">
        <v>186</v>
      </c>
      <c r="I5936" t="s">
        <v>1014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80</v>
      </c>
      <c r="D5937" t="s">
        <v>408</v>
      </c>
      <c r="E5937" t="s">
        <v>179</v>
      </c>
      <c r="F5937">
        <v>17</v>
      </c>
      <c r="G5937" t="s">
        <v>199</v>
      </c>
      <c r="H5937" t="s">
        <v>186</v>
      </c>
      <c r="I5937" t="s">
        <v>1021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80</v>
      </c>
      <c r="D5938" t="s">
        <v>408</v>
      </c>
      <c r="E5938" t="s">
        <v>179</v>
      </c>
      <c r="F5938">
        <v>17</v>
      </c>
      <c r="G5938" t="s">
        <v>199</v>
      </c>
      <c r="H5938" t="s">
        <v>186</v>
      </c>
      <c r="I5938" t="s">
        <v>1022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80</v>
      </c>
      <c r="D5939" t="s">
        <v>408</v>
      </c>
      <c r="E5939" t="s">
        <v>179</v>
      </c>
      <c r="F5939">
        <v>17</v>
      </c>
      <c r="G5939" t="s">
        <v>199</v>
      </c>
      <c r="H5939" t="s">
        <v>186</v>
      </c>
      <c r="I5939" t="s">
        <v>1023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80</v>
      </c>
      <c r="D5940" t="s">
        <v>408</v>
      </c>
      <c r="E5940" t="s">
        <v>179</v>
      </c>
      <c r="F5940">
        <v>17</v>
      </c>
      <c r="G5940" t="s">
        <v>199</v>
      </c>
      <c r="H5940" t="s">
        <v>186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80</v>
      </c>
      <c r="D5941" t="s">
        <v>408</v>
      </c>
      <c r="E5941" t="s">
        <v>179</v>
      </c>
      <c r="F5941">
        <v>17</v>
      </c>
      <c r="G5941" t="s">
        <v>199</v>
      </c>
      <c r="H5941" t="s">
        <v>187</v>
      </c>
      <c r="I5941" t="s">
        <v>1019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80</v>
      </c>
      <c r="D5942" t="s">
        <v>408</v>
      </c>
      <c r="E5942" t="s">
        <v>179</v>
      </c>
      <c r="F5942">
        <v>17</v>
      </c>
      <c r="G5942" t="s">
        <v>199</v>
      </c>
      <c r="H5942" t="s">
        <v>187</v>
      </c>
      <c r="I5942" t="s">
        <v>1016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80</v>
      </c>
      <c r="D5943" t="s">
        <v>408</v>
      </c>
      <c r="E5943" t="s">
        <v>179</v>
      </c>
      <c r="F5943">
        <v>17</v>
      </c>
      <c r="G5943" t="s">
        <v>199</v>
      </c>
      <c r="H5943" t="s">
        <v>187</v>
      </c>
      <c r="I5943" t="s">
        <v>1020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80</v>
      </c>
      <c r="D5944" t="s">
        <v>408</v>
      </c>
      <c r="E5944" t="s">
        <v>179</v>
      </c>
      <c r="F5944">
        <v>17</v>
      </c>
      <c r="G5944" t="s">
        <v>199</v>
      </c>
      <c r="H5944" t="s">
        <v>187</v>
      </c>
      <c r="I5944" t="s">
        <v>1015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80</v>
      </c>
      <c r="D5945" t="s">
        <v>408</v>
      </c>
      <c r="E5945" t="s">
        <v>179</v>
      </c>
      <c r="F5945">
        <v>17</v>
      </c>
      <c r="G5945" t="s">
        <v>199</v>
      </c>
      <c r="H5945" t="s">
        <v>187</v>
      </c>
      <c r="I5945" t="s">
        <v>1014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80</v>
      </c>
      <c r="D5946" t="s">
        <v>408</v>
      </c>
      <c r="E5946" t="s">
        <v>179</v>
      </c>
      <c r="F5946">
        <v>17</v>
      </c>
      <c r="G5946" t="s">
        <v>199</v>
      </c>
      <c r="H5946" t="s">
        <v>187</v>
      </c>
      <c r="I5946" t="s">
        <v>1021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80</v>
      </c>
      <c r="D5947" t="s">
        <v>408</v>
      </c>
      <c r="E5947" t="s">
        <v>179</v>
      </c>
      <c r="F5947">
        <v>17</v>
      </c>
      <c r="G5947" t="s">
        <v>199</v>
      </c>
      <c r="H5947" t="s">
        <v>187</v>
      </c>
      <c r="I5947" t="s">
        <v>1022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80</v>
      </c>
      <c r="D5948" t="s">
        <v>408</v>
      </c>
      <c r="E5948" t="s">
        <v>179</v>
      </c>
      <c r="F5948">
        <v>17</v>
      </c>
      <c r="G5948" t="s">
        <v>199</v>
      </c>
      <c r="H5948" t="s">
        <v>187</v>
      </c>
      <c r="I5948" t="s">
        <v>1023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80</v>
      </c>
      <c r="D5949" t="s">
        <v>408</v>
      </c>
      <c r="E5949" t="s">
        <v>179</v>
      </c>
      <c r="F5949">
        <v>17</v>
      </c>
      <c r="G5949" t="s">
        <v>199</v>
      </c>
      <c r="H5949" t="s">
        <v>187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80</v>
      </c>
      <c r="D5950" t="s">
        <v>408</v>
      </c>
      <c r="E5950" t="s">
        <v>179</v>
      </c>
      <c r="F5950">
        <v>17</v>
      </c>
      <c r="G5950" t="s">
        <v>199</v>
      </c>
      <c r="H5950" t="s">
        <v>188</v>
      </c>
      <c r="I5950" t="s">
        <v>1019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80</v>
      </c>
      <c r="D5951" t="s">
        <v>408</v>
      </c>
      <c r="E5951" t="s">
        <v>179</v>
      </c>
      <c r="F5951">
        <v>17</v>
      </c>
      <c r="G5951" t="s">
        <v>199</v>
      </c>
      <c r="H5951" t="s">
        <v>188</v>
      </c>
      <c r="I5951" t="s">
        <v>1016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80</v>
      </c>
      <c r="D5952" t="s">
        <v>408</v>
      </c>
      <c r="E5952" t="s">
        <v>179</v>
      </c>
      <c r="F5952">
        <v>17</v>
      </c>
      <c r="G5952" t="s">
        <v>199</v>
      </c>
      <c r="H5952" t="s">
        <v>188</v>
      </c>
      <c r="I5952" t="s">
        <v>1020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80</v>
      </c>
      <c r="D5953" t="s">
        <v>408</v>
      </c>
      <c r="E5953" t="s">
        <v>179</v>
      </c>
      <c r="F5953">
        <v>17</v>
      </c>
      <c r="G5953" t="s">
        <v>199</v>
      </c>
      <c r="H5953" t="s">
        <v>188</v>
      </c>
      <c r="I5953" t="s">
        <v>1015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80</v>
      </c>
      <c r="D5954" t="s">
        <v>408</v>
      </c>
      <c r="E5954" t="s">
        <v>179</v>
      </c>
      <c r="F5954">
        <v>17</v>
      </c>
      <c r="G5954" t="s">
        <v>199</v>
      </c>
      <c r="H5954" t="s">
        <v>188</v>
      </c>
      <c r="I5954" t="s">
        <v>1014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80</v>
      </c>
      <c r="D5955" t="s">
        <v>408</v>
      </c>
      <c r="E5955" t="s">
        <v>179</v>
      </c>
      <c r="F5955">
        <v>17</v>
      </c>
      <c r="G5955" t="s">
        <v>199</v>
      </c>
      <c r="H5955" t="s">
        <v>188</v>
      </c>
      <c r="I5955" t="s">
        <v>1021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80</v>
      </c>
      <c r="D5956" t="s">
        <v>408</v>
      </c>
      <c r="E5956" t="s">
        <v>179</v>
      </c>
      <c r="F5956">
        <v>17</v>
      </c>
      <c r="G5956" t="s">
        <v>199</v>
      </c>
      <c r="H5956" t="s">
        <v>188</v>
      </c>
      <c r="I5956" t="s">
        <v>1022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80</v>
      </c>
      <c r="D5957" t="s">
        <v>408</v>
      </c>
      <c r="E5957" t="s">
        <v>179</v>
      </c>
      <c r="F5957">
        <v>17</v>
      </c>
      <c r="G5957" t="s">
        <v>199</v>
      </c>
      <c r="H5957" t="s">
        <v>188</v>
      </c>
      <c r="I5957" t="s">
        <v>1023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80</v>
      </c>
      <c r="D5958" t="s">
        <v>408</v>
      </c>
      <c r="E5958" t="s">
        <v>179</v>
      </c>
      <c r="F5958">
        <v>17</v>
      </c>
      <c r="G5958" t="s">
        <v>199</v>
      </c>
      <c r="H5958" t="s">
        <v>188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80</v>
      </c>
      <c r="D5959" t="s">
        <v>408</v>
      </c>
      <c r="E5959" t="s">
        <v>179</v>
      </c>
      <c r="F5959">
        <v>17</v>
      </c>
      <c r="G5959" t="s">
        <v>199</v>
      </c>
      <c r="H5959" t="s">
        <v>198</v>
      </c>
      <c r="I5959" t="s">
        <v>1019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80</v>
      </c>
      <c r="D5960" t="s">
        <v>408</v>
      </c>
      <c r="E5960" t="s">
        <v>179</v>
      </c>
      <c r="F5960">
        <v>17</v>
      </c>
      <c r="G5960" t="s">
        <v>199</v>
      </c>
      <c r="H5960" t="s">
        <v>198</v>
      </c>
      <c r="I5960" t="s">
        <v>1016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80</v>
      </c>
      <c r="D5961" t="s">
        <v>408</v>
      </c>
      <c r="E5961" t="s">
        <v>179</v>
      </c>
      <c r="F5961">
        <v>17</v>
      </c>
      <c r="G5961" t="s">
        <v>199</v>
      </c>
      <c r="H5961" t="s">
        <v>198</v>
      </c>
      <c r="I5961" t="s">
        <v>1020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80</v>
      </c>
      <c r="D5962" t="s">
        <v>408</v>
      </c>
      <c r="E5962" t="s">
        <v>179</v>
      </c>
      <c r="F5962">
        <v>17</v>
      </c>
      <c r="G5962" t="s">
        <v>199</v>
      </c>
      <c r="H5962" t="s">
        <v>198</v>
      </c>
      <c r="I5962" t="s">
        <v>1015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80</v>
      </c>
      <c r="D5963" t="s">
        <v>408</v>
      </c>
      <c r="E5963" t="s">
        <v>179</v>
      </c>
      <c r="F5963">
        <v>17</v>
      </c>
      <c r="G5963" t="s">
        <v>199</v>
      </c>
      <c r="H5963" t="s">
        <v>198</v>
      </c>
      <c r="I5963" t="s">
        <v>1014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80</v>
      </c>
      <c r="D5964" t="s">
        <v>408</v>
      </c>
      <c r="E5964" t="s">
        <v>179</v>
      </c>
      <c r="F5964">
        <v>17</v>
      </c>
      <c r="G5964" t="s">
        <v>199</v>
      </c>
      <c r="H5964" t="s">
        <v>198</v>
      </c>
      <c r="I5964" t="s">
        <v>1021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80</v>
      </c>
      <c r="D5965" t="s">
        <v>408</v>
      </c>
      <c r="E5965" t="s">
        <v>179</v>
      </c>
      <c r="F5965">
        <v>17</v>
      </c>
      <c r="G5965" t="s">
        <v>199</v>
      </c>
      <c r="H5965" t="s">
        <v>198</v>
      </c>
      <c r="I5965" t="s">
        <v>1022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80</v>
      </c>
      <c r="D5966" t="s">
        <v>408</v>
      </c>
      <c r="E5966" t="s">
        <v>179</v>
      </c>
      <c r="F5966">
        <v>17</v>
      </c>
      <c r="G5966" t="s">
        <v>199</v>
      </c>
      <c r="H5966" t="s">
        <v>198</v>
      </c>
      <c r="I5966" t="s">
        <v>1023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80</v>
      </c>
      <c r="D5967" t="s">
        <v>408</v>
      </c>
      <c r="E5967" t="s">
        <v>179</v>
      </c>
      <c r="F5967">
        <v>17</v>
      </c>
      <c r="G5967" t="s">
        <v>199</v>
      </c>
      <c r="H5967" t="s">
        <v>198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80</v>
      </c>
      <c r="D5968" t="s">
        <v>408</v>
      </c>
      <c r="E5968" t="s">
        <v>179</v>
      </c>
      <c r="F5968">
        <v>17</v>
      </c>
      <c r="G5968" t="s">
        <v>203</v>
      </c>
      <c r="H5968" t="s">
        <v>204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80</v>
      </c>
      <c r="D5969" t="s">
        <v>408</v>
      </c>
      <c r="E5969" t="s">
        <v>179</v>
      </c>
      <c r="F5969">
        <v>17</v>
      </c>
      <c r="G5969" t="s">
        <v>203</v>
      </c>
      <c r="H5969" t="s">
        <v>204</v>
      </c>
      <c r="I5969" t="s">
        <v>1021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80</v>
      </c>
      <c r="D5970" t="s">
        <v>408</v>
      </c>
      <c r="E5970" t="s">
        <v>179</v>
      </c>
      <c r="F5970">
        <v>17</v>
      </c>
      <c r="G5970" t="s">
        <v>203</v>
      </c>
      <c r="H5970" t="s">
        <v>205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80</v>
      </c>
      <c r="D5971" t="s">
        <v>408</v>
      </c>
      <c r="E5971" t="s">
        <v>179</v>
      </c>
      <c r="F5971">
        <v>17</v>
      </c>
      <c r="G5971" t="s">
        <v>203</v>
      </c>
      <c r="H5971" t="s">
        <v>205</v>
      </c>
      <c r="I5971" t="s">
        <v>1021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80</v>
      </c>
      <c r="D5972" t="s">
        <v>408</v>
      </c>
      <c r="E5972" t="s">
        <v>179</v>
      </c>
      <c r="F5972">
        <v>17</v>
      </c>
      <c r="G5972" t="s">
        <v>203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80</v>
      </c>
      <c r="D5973" t="s">
        <v>408</v>
      </c>
      <c r="E5973" t="s">
        <v>179</v>
      </c>
      <c r="F5973">
        <v>17</v>
      </c>
      <c r="G5973" t="s">
        <v>203</v>
      </c>
      <c r="H5973" t="s">
        <v>0</v>
      </c>
      <c r="I5973" t="s">
        <v>1021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80</v>
      </c>
      <c r="D5974" t="s">
        <v>408</v>
      </c>
      <c r="E5974" t="s">
        <v>179</v>
      </c>
      <c r="F5974">
        <v>17</v>
      </c>
      <c r="G5974" t="s">
        <v>90</v>
      </c>
      <c r="H5974" t="s">
        <v>206</v>
      </c>
      <c r="I5974" t="s">
        <v>1025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80</v>
      </c>
      <c r="D5975" t="s">
        <v>408</v>
      </c>
      <c r="E5975" t="s">
        <v>179</v>
      </c>
      <c r="F5975">
        <v>17</v>
      </c>
      <c r="G5975" t="s">
        <v>90</v>
      </c>
      <c r="H5975" t="s">
        <v>206</v>
      </c>
      <c r="I5975" t="s">
        <v>1026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80</v>
      </c>
      <c r="D5976" t="s">
        <v>408</v>
      </c>
      <c r="E5976" t="s">
        <v>179</v>
      </c>
      <c r="F5976">
        <v>17</v>
      </c>
      <c r="G5976" t="s">
        <v>90</v>
      </c>
      <c r="H5976" t="s">
        <v>206</v>
      </c>
      <c r="I5976" t="s">
        <v>1027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80</v>
      </c>
      <c r="D5977" t="s">
        <v>408</v>
      </c>
      <c r="E5977" t="s">
        <v>179</v>
      </c>
      <c r="F5977">
        <v>17</v>
      </c>
      <c r="G5977" t="s">
        <v>90</v>
      </c>
      <c r="H5977" t="s">
        <v>206</v>
      </c>
      <c r="I5977" t="s">
        <v>1028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80</v>
      </c>
      <c r="D5978" t="s">
        <v>408</v>
      </c>
      <c r="E5978" t="s">
        <v>179</v>
      </c>
      <c r="F5978">
        <v>17</v>
      </c>
      <c r="G5978" t="s">
        <v>90</v>
      </c>
      <c r="H5978" t="s">
        <v>206</v>
      </c>
      <c r="I5978" t="s">
        <v>1029</v>
      </c>
      <c r="J5978">
        <v>3</v>
      </c>
    </row>
    <row r="5979" spans="1:10" x14ac:dyDescent="0.25">
      <c r="A5979" s="1" t="s">
        <v>27</v>
      </c>
      <c r="B5979">
        <v>401752671</v>
      </c>
      <c r="C5979" t="s">
        <v>80</v>
      </c>
      <c r="D5979" t="s">
        <v>408</v>
      </c>
      <c r="E5979" t="s">
        <v>179</v>
      </c>
      <c r="F5979">
        <v>17</v>
      </c>
      <c r="G5979" t="s">
        <v>90</v>
      </c>
      <c r="H5979" t="s">
        <v>206</v>
      </c>
      <c r="I5979" t="s">
        <v>111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80</v>
      </c>
      <c r="D5980" t="s">
        <v>408</v>
      </c>
      <c r="E5980" t="s">
        <v>179</v>
      </c>
      <c r="F5980">
        <v>17</v>
      </c>
      <c r="G5980" t="s">
        <v>90</v>
      </c>
      <c r="H5980" t="s">
        <v>206</v>
      </c>
      <c r="I5980" t="s">
        <v>1030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80</v>
      </c>
      <c r="D5981" t="s">
        <v>408</v>
      </c>
      <c r="E5981" t="s">
        <v>179</v>
      </c>
      <c r="F5981">
        <v>17</v>
      </c>
      <c r="G5981" t="s">
        <v>90</v>
      </c>
      <c r="H5981" t="s">
        <v>206</v>
      </c>
      <c r="I5981" t="s">
        <v>1031</v>
      </c>
      <c r="J5981">
        <v>2</v>
      </c>
    </row>
    <row r="5982" spans="1:10" x14ac:dyDescent="0.25">
      <c r="A5982" s="1" t="s">
        <v>27</v>
      </c>
      <c r="B5982">
        <v>401752671</v>
      </c>
      <c r="C5982" t="s">
        <v>80</v>
      </c>
      <c r="D5982" t="s">
        <v>408</v>
      </c>
      <c r="E5982" t="s">
        <v>179</v>
      </c>
      <c r="F5982">
        <v>17</v>
      </c>
      <c r="G5982" t="s">
        <v>90</v>
      </c>
      <c r="H5982" t="s">
        <v>206</v>
      </c>
      <c r="I5982" t="s">
        <v>1032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80</v>
      </c>
      <c r="D5983" t="s">
        <v>408</v>
      </c>
      <c r="E5983" t="s">
        <v>179</v>
      </c>
      <c r="F5983">
        <v>17</v>
      </c>
      <c r="G5983" t="s">
        <v>90</v>
      </c>
      <c r="H5983" t="s">
        <v>206</v>
      </c>
      <c r="I5983" t="s">
        <v>1033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80</v>
      </c>
      <c r="D5984" t="s">
        <v>408</v>
      </c>
      <c r="E5984" t="s">
        <v>179</v>
      </c>
      <c r="F5984">
        <v>17</v>
      </c>
      <c r="G5984" t="s">
        <v>90</v>
      </c>
      <c r="H5984" t="s">
        <v>206</v>
      </c>
      <c r="I5984" t="s">
        <v>1034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80</v>
      </c>
      <c r="D5985" t="s">
        <v>408</v>
      </c>
      <c r="E5985" t="s">
        <v>179</v>
      </c>
      <c r="F5985">
        <v>17</v>
      </c>
      <c r="G5985" t="s">
        <v>90</v>
      </c>
      <c r="H5985" t="s">
        <v>206</v>
      </c>
      <c r="I5985" t="s">
        <v>1035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80</v>
      </c>
      <c r="D5986" t="s">
        <v>408</v>
      </c>
      <c r="E5986" t="s">
        <v>179</v>
      </c>
      <c r="F5986">
        <v>17</v>
      </c>
      <c r="G5986" t="s">
        <v>90</v>
      </c>
      <c r="H5986" t="s">
        <v>206</v>
      </c>
      <c r="I5986" t="s">
        <v>1036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80</v>
      </c>
      <c r="D5987" t="s">
        <v>408</v>
      </c>
      <c r="E5987" t="s">
        <v>179</v>
      </c>
      <c r="F5987">
        <v>17</v>
      </c>
      <c r="G5987" t="s">
        <v>90</v>
      </c>
      <c r="H5987" t="s">
        <v>206</v>
      </c>
      <c r="I5987" t="s">
        <v>1021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80</v>
      </c>
      <c r="D5988" t="s">
        <v>408</v>
      </c>
      <c r="E5988" t="s">
        <v>179</v>
      </c>
      <c r="F5988">
        <v>17</v>
      </c>
      <c r="G5988" t="s">
        <v>90</v>
      </c>
      <c r="H5988" t="s">
        <v>206</v>
      </c>
      <c r="I5988" t="s">
        <v>1037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80</v>
      </c>
      <c r="D5989" t="s">
        <v>408</v>
      </c>
      <c r="E5989" t="s">
        <v>179</v>
      </c>
      <c r="F5989">
        <v>17</v>
      </c>
      <c r="G5989" t="s">
        <v>90</v>
      </c>
      <c r="H5989" t="s">
        <v>206</v>
      </c>
      <c r="I5989" t="s">
        <v>1038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80</v>
      </c>
      <c r="D5990" t="s">
        <v>408</v>
      </c>
      <c r="E5990" t="s">
        <v>179</v>
      </c>
      <c r="F5990">
        <v>17</v>
      </c>
      <c r="G5990" t="s">
        <v>90</v>
      </c>
      <c r="H5990" t="s">
        <v>206</v>
      </c>
      <c r="I5990" t="s">
        <v>1039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80</v>
      </c>
      <c r="D5991" t="s">
        <v>408</v>
      </c>
      <c r="E5991" t="s">
        <v>179</v>
      </c>
      <c r="F5991">
        <v>17</v>
      </c>
      <c r="G5991" t="s">
        <v>90</v>
      </c>
      <c r="H5991" t="s">
        <v>206</v>
      </c>
      <c r="I5991" t="s">
        <v>1040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80</v>
      </c>
      <c r="D5992" t="s">
        <v>408</v>
      </c>
      <c r="E5992" t="s">
        <v>179</v>
      </c>
      <c r="F5992">
        <v>17</v>
      </c>
      <c r="G5992" t="s">
        <v>90</v>
      </c>
      <c r="H5992" t="s">
        <v>227</v>
      </c>
      <c r="I5992" t="s">
        <v>1025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80</v>
      </c>
      <c r="D5993" t="s">
        <v>408</v>
      </c>
      <c r="E5993" t="s">
        <v>179</v>
      </c>
      <c r="F5993">
        <v>17</v>
      </c>
      <c r="G5993" t="s">
        <v>90</v>
      </c>
      <c r="H5993" t="s">
        <v>227</v>
      </c>
      <c r="I5993" t="s">
        <v>1026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80</v>
      </c>
      <c r="D5994" t="s">
        <v>408</v>
      </c>
      <c r="E5994" t="s">
        <v>179</v>
      </c>
      <c r="F5994">
        <v>17</v>
      </c>
      <c r="G5994" t="s">
        <v>90</v>
      </c>
      <c r="H5994" t="s">
        <v>227</v>
      </c>
      <c r="I5994" t="s">
        <v>1027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80</v>
      </c>
      <c r="D5995" t="s">
        <v>408</v>
      </c>
      <c r="E5995" t="s">
        <v>179</v>
      </c>
      <c r="F5995">
        <v>17</v>
      </c>
      <c r="G5995" t="s">
        <v>90</v>
      </c>
      <c r="H5995" t="s">
        <v>227</v>
      </c>
      <c r="I5995" t="s">
        <v>1028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80</v>
      </c>
      <c r="D5996" t="s">
        <v>408</v>
      </c>
      <c r="E5996" t="s">
        <v>179</v>
      </c>
      <c r="F5996">
        <v>17</v>
      </c>
      <c r="G5996" t="s">
        <v>90</v>
      </c>
      <c r="H5996" t="s">
        <v>227</v>
      </c>
      <c r="I5996" t="s">
        <v>1029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80</v>
      </c>
      <c r="D5997" t="s">
        <v>408</v>
      </c>
      <c r="E5997" t="s">
        <v>179</v>
      </c>
      <c r="F5997">
        <v>17</v>
      </c>
      <c r="G5997" t="s">
        <v>90</v>
      </c>
      <c r="H5997" t="s">
        <v>227</v>
      </c>
      <c r="I5997" t="s">
        <v>111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80</v>
      </c>
      <c r="D5998" t="s">
        <v>408</v>
      </c>
      <c r="E5998" t="s">
        <v>179</v>
      </c>
      <c r="F5998">
        <v>17</v>
      </c>
      <c r="G5998" t="s">
        <v>90</v>
      </c>
      <c r="H5998" t="s">
        <v>227</v>
      </c>
      <c r="I5998" t="s">
        <v>1030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80</v>
      </c>
      <c r="D5999" t="s">
        <v>408</v>
      </c>
      <c r="E5999" t="s">
        <v>179</v>
      </c>
      <c r="F5999">
        <v>17</v>
      </c>
      <c r="G5999" t="s">
        <v>90</v>
      </c>
      <c r="H5999" t="s">
        <v>227</v>
      </c>
      <c r="I5999" t="s">
        <v>1031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80</v>
      </c>
      <c r="D6000" t="s">
        <v>408</v>
      </c>
      <c r="E6000" t="s">
        <v>179</v>
      </c>
      <c r="F6000">
        <v>17</v>
      </c>
      <c r="G6000" t="s">
        <v>90</v>
      </c>
      <c r="H6000" t="s">
        <v>227</v>
      </c>
      <c r="I6000" t="s">
        <v>1032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80</v>
      </c>
      <c r="D6001" t="s">
        <v>408</v>
      </c>
      <c r="E6001" t="s">
        <v>179</v>
      </c>
      <c r="F6001">
        <v>17</v>
      </c>
      <c r="G6001" t="s">
        <v>90</v>
      </c>
      <c r="H6001" t="s">
        <v>227</v>
      </c>
      <c r="I6001" t="s">
        <v>1033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80</v>
      </c>
      <c r="D6002" t="s">
        <v>408</v>
      </c>
      <c r="E6002" t="s">
        <v>179</v>
      </c>
      <c r="F6002">
        <v>17</v>
      </c>
      <c r="G6002" t="s">
        <v>90</v>
      </c>
      <c r="H6002" t="s">
        <v>227</v>
      </c>
      <c r="I6002" t="s">
        <v>1034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80</v>
      </c>
      <c r="D6003" t="s">
        <v>408</v>
      </c>
      <c r="E6003" t="s">
        <v>179</v>
      </c>
      <c r="F6003">
        <v>17</v>
      </c>
      <c r="G6003" t="s">
        <v>90</v>
      </c>
      <c r="H6003" t="s">
        <v>227</v>
      </c>
      <c r="I6003" t="s">
        <v>1035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80</v>
      </c>
      <c r="D6004" t="s">
        <v>408</v>
      </c>
      <c r="E6004" t="s">
        <v>179</v>
      </c>
      <c r="F6004">
        <v>17</v>
      </c>
      <c r="G6004" t="s">
        <v>90</v>
      </c>
      <c r="H6004" t="s">
        <v>227</v>
      </c>
      <c r="I6004" t="s">
        <v>1036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80</v>
      </c>
      <c r="D6005" t="s">
        <v>408</v>
      </c>
      <c r="E6005" t="s">
        <v>179</v>
      </c>
      <c r="F6005">
        <v>17</v>
      </c>
      <c r="G6005" t="s">
        <v>90</v>
      </c>
      <c r="H6005" t="s">
        <v>227</v>
      </c>
      <c r="I6005" t="s">
        <v>1021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80</v>
      </c>
      <c r="D6006" t="s">
        <v>408</v>
      </c>
      <c r="E6006" t="s">
        <v>179</v>
      </c>
      <c r="F6006">
        <v>17</v>
      </c>
      <c r="G6006" t="s">
        <v>90</v>
      </c>
      <c r="H6006" t="s">
        <v>227</v>
      </c>
      <c r="I6006" t="s">
        <v>1037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80</v>
      </c>
      <c r="D6007" t="s">
        <v>408</v>
      </c>
      <c r="E6007" t="s">
        <v>179</v>
      </c>
      <c r="F6007">
        <v>17</v>
      </c>
      <c r="G6007" t="s">
        <v>90</v>
      </c>
      <c r="H6007" t="s">
        <v>227</v>
      </c>
      <c r="I6007" t="s">
        <v>1038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80</v>
      </c>
      <c r="D6008" t="s">
        <v>408</v>
      </c>
      <c r="E6008" t="s">
        <v>179</v>
      </c>
      <c r="F6008">
        <v>17</v>
      </c>
      <c r="G6008" t="s">
        <v>90</v>
      </c>
      <c r="H6008" t="s">
        <v>227</v>
      </c>
      <c r="I6008" t="s">
        <v>1039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80</v>
      </c>
      <c r="D6009" t="s">
        <v>408</v>
      </c>
      <c r="E6009" t="s">
        <v>179</v>
      </c>
      <c r="F6009">
        <v>17</v>
      </c>
      <c r="G6009" t="s">
        <v>90</v>
      </c>
      <c r="H6009" t="s">
        <v>227</v>
      </c>
      <c r="I6009" t="s">
        <v>1040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80</v>
      </c>
      <c r="D6010" t="s">
        <v>408</v>
      </c>
      <c r="E6010" t="s">
        <v>179</v>
      </c>
      <c r="F6010">
        <v>17</v>
      </c>
      <c r="G6010" t="s">
        <v>90</v>
      </c>
      <c r="H6010" t="s">
        <v>228</v>
      </c>
      <c r="I6010" t="s">
        <v>1025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80</v>
      </c>
      <c r="D6011" t="s">
        <v>408</v>
      </c>
      <c r="E6011" t="s">
        <v>179</v>
      </c>
      <c r="F6011">
        <v>17</v>
      </c>
      <c r="G6011" t="s">
        <v>90</v>
      </c>
      <c r="H6011" t="s">
        <v>228</v>
      </c>
      <c r="I6011" t="s">
        <v>1026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80</v>
      </c>
      <c r="D6012" t="s">
        <v>408</v>
      </c>
      <c r="E6012" t="s">
        <v>179</v>
      </c>
      <c r="F6012">
        <v>17</v>
      </c>
      <c r="G6012" t="s">
        <v>90</v>
      </c>
      <c r="H6012" t="s">
        <v>228</v>
      </c>
      <c r="I6012" t="s">
        <v>1027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80</v>
      </c>
      <c r="D6013" t="s">
        <v>408</v>
      </c>
      <c r="E6013" t="s">
        <v>179</v>
      </c>
      <c r="F6013">
        <v>17</v>
      </c>
      <c r="G6013" t="s">
        <v>90</v>
      </c>
      <c r="H6013" t="s">
        <v>228</v>
      </c>
      <c r="I6013" t="s">
        <v>1028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80</v>
      </c>
      <c r="D6014" t="s">
        <v>408</v>
      </c>
      <c r="E6014" t="s">
        <v>179</v>
      </c>
      <c r="F6014">
        <v>17</v>
      </c>
      <c r="G6014" t="s">
        <v>90</v>
      </c>
      <c r="H6014" t="s">
        <v>228</v>
      </c>
      <c r="I6014" t="s">
        <v>1029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80</v>
      </c>
      <c r="D6015" t="s">
        <v>408</v>
      </c>
      <c r="E6015" t="s">
        <v>179</v>
      </c>
      <c r="F6015">
        <v>17</v>
      </c>
      <c r="G6015" t="s">
        <v>90</v>
      </c>
      <c r="H6015" t="s">
        <v>228</v>
      </c>
      <c r="I6015" t="s">
        <v>111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80</v>
      </c>
      <c r="D6016" t="s">
        <v>408</v>
      </c>
      <c r="E6016" t="s">
        <v>179</v>
      </c>
      <c r="F6016">
        <v>17</v>
      </c>
      <c r="G6016" t="s">
        <v>90</v>
      </c>
      <c r="H6016" t="s">
        <v>228</v>
      </c>
      <c r="I6016" t="s">
        <v>1030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80</v>
      </c>
      <c r="D6017" t="s">
        <v>408</v>
      </c>
      <c r="E6017" t="s">
        <v>179</v>
      </c>
      <c r="F6017">
        <v>17</v>
      </c>
      <c r="G6017" t="s">
        <v>90</v>
      </c>
      <c r="H6017" t="s">
        <v>228</v>
      </c>
      <c r="I6017" t="s">
        <v>1031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80</v>
      </c>
      <c r="D6018" t="s">
        <v>408</v>
      </c>
      <c r="E6018" t="s">
        <v>179</v>
      </c>
      <c r="F6018">
        <v>17</v>
      </c>
      <c r="G6018" t="s">
        <v>90</v>
      </c>
      <c r="H6018" t="s">
        <v>228</v>
      </c>
      <c r="I6018" t="s">
        <v>1032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80</v>
      </c>
      <c r="D6019" t="s">
        <v>408</v>
      </c>
      <c r="E6019" t="s">
        <v>179</v>
      </c>
      <c r="F6019">
        <v>17</v>
      </c>
      <c r="G6019" t="s">
        <v>90</v>
      </c>
      <c r="H6019" t="s">
        <v>228</v>
      </c>
      <c r="I6019" t="s">
        <v>1033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80</v>
      </c>
      <c r="D6020" t="s">
        <v>408</v>
      </c>
      <c r="E6020" t="s">
        <v>179</v>
      </c>
      <c r="F6020">
        <v>17</v>
      </c>
      <c r="G6020" t="s">
        <v>90</v>
      </c>
      <c r="H6020" t="s">
        <v>228</v>
      </c>
      <c r="I6020" t="s">
        <v>1034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80</v>
      </c>
      <c r="D6021" t="s">
        <v>408</v>
      </c>
      <c r="E6021" t="s">
        <v>179</v>
      </c>
      <c r="F6021">
        <v>17</v>
      </c>
      <c r="G6021" t="s">
        <v>90</v>
      </c>
      <c r="H6021" t="s">
        <v>228</v>
      </c>
      <c r="I6021" t="s">
        <v>1035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80</v>
      </c>
      <c r="D6022" t="s">
        <v>408</v>
      </c>
      <c r="E6022" t="s">
        <v>179</v>
      </c>
      <c r="F6022">
        <v>17</v>
      </c>
      <c r="G6022" t="s">
        <v>90</v>
      </c>
      <c r="H6022" t="s">
        <v>228</v>
      </c>
      <c r="I6022" t="s">
        <v>1036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80</v>
      </c>
      <c r="D6023" t="s">
        <v>408</v>
      </c>
      <c r="E6023" t="s">
        <v>179</v>
      </c>
      <c r="F6023">
        <v>17</v>
      </c>
      <c r="G6023" t="s">
        <v>90</v>
      </c>
      <c r="H6023" t="s">
        <v>228</v>
      </c>
      <c r="I6023" t="s">
        <v>1021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80</v>
      </c>
      <c r="D6024" t="s">
        <v>408</v>
      </c>
      <c r="E6024" t="s">
        <v>179</v>
      </c>
      <c r="F6024">
        <v>17</v>
      </c>
      <c r="G6024" t="s">
        <v>90</v>
      </c>
      <c r="H6024" t="s">
        <v>228</v>
      </c>
      <c r="I6024" t="s">
        <v>1037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80</v>
      </c>
      <c r="D6025" t="s">
        <v>408</v>
      </c>
      <c r="E6025" t="s">
        <v>179</v>
      </c>
      <c r="F6025">
        <v>17</v>
      </c>
      <c r="G6025" t="s">
        <v>90</v>
      </c>
      <c r="H6025" t="s">
        <v>228</v>
      </c>
      <c r="I6025" t="s">
        <v>1038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80</v>
      </c>
      <c r="D6026" t="s">
        <v>408</v>
      </c>
      <c r="E6026" t="s">
        <v>179</v>
      </c>
      <c r="F6026">
        <v>17</v>
      </c>
      <c r="G6026" t="s">
        <v>90</v>
      </c>
      <c r="H6026" t="s">
        <v>228</v>
      </c>
      <c r="I6026" t="s">
        <v>1039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80</v>
      </c>
      <c r="D6027" t="s">
        <v>408</v>
      </c>
      <c r="E6027" t="s">
        <v>179</v>
      </c>
      <c r="F6027">
        <v>17</v>
      </c>
      <c r="G6027" t="s">
        <v>90</v>
      </c>
      <c r="H6027" t="s">
        <v>228</v>
      </c>
      <c r="I6027" t="s">
        <v>1040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80</v>
      </c>
      <c r="D6028" t="s">
        <v>408</v>
      </c>
      <c r="E6028" t="s">
        <v>179</v>
      </c>
      <c r="F6028">
        <v>17</v>
      </c>
      <c r="G6028" t="s">
        <v>90</v>
      </c>
      <c r="H6028" t="s">
        <v>229</v>
      </c>
      <c r="I6028" t="s">
        <v>1025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80</v>
      </c>
      <c r="D6029" t="s">
        <v>408</v>
      </c>
      <c r="E6029" t="s">
        <v>179</v>
      </c>
      <c r="F6029">
        <v>17</v>
      </c>
      <c r="G6029" t="s">
        <v>90</v>
      </c>
      <c r="H6029" t="s">
        <v>229</v>
      </c>
      <c r="I6029" t="s">
        <v>1026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80</v>
      </c>
      <c r="D6030" t="s">
        <v>408</v>
      </c>
      <c r="E6030" t="s">
        <v>179</v>
      </c>
      <c r="F6030">
        <v>17</v>
      </c>
      <c r="G6030" t="s">
        <v>90</v>
      </c>
      <c r="H6030" t="s">
        <v>229</v>
      </c>
      <c r="I6030" t="s">
        <v>1027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80</v>
      </c>
      <c r="D6031" t="s">
        <v>408</v>
      </c>
      <c r="E6031" t="s">
        <v>179</v>
      </c>
      <c r="F6031">
        <v>17</v>
      </c>
      <c r="G6031" t="s">
        <v>90</v>
      </c>
      <c r="H6031" t="s">
        <v>229</v>
      </c>
      <c r="I6031" t="s">
        <v>1028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80</v>
      </c>
      <c r="D6032" t="s">
        <v>408</v>
      </c>
      <c r="E6032" t="s">
        <v>179</v>
      </c>
      <c r="F6032">
        <v>17</v>
      </c>
      <c r="G6032" t="s">
        <v>90</v>
      </c>
      <c r="H6032" t="s">
        <v>229</v>
      </c>
      <c r="I6032" t="s">
        <v>1029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80</v>
      </c>
      <c r="D6033" t="s">
        <v>408</v>
      </c>
      <c r="E6033" t="s">
        <v>179</v>
      </c>
      <c r="F6033">
        <v>17</v>
      </c>
      <c r="G6033" t="s">
        <v>90</v>
      </c>
      <c r="H6033" t="s">
        <v>229</v>
      </c>
      <c r="I6033" t="s">
        <v>111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80</v>
      </c>
      <c r="D6034" t="s">
        <v>408</v>
      </c>
      <c r="E6034" t="s">
        <v>179</v>
      </c>
      <c r="F6034">
        <v>17</v>
      </c>
      <c r="G6034" t="s">
        <v>90</v>
      </c>
      <c r="H6034" t="s">
        <v>229</v>
      </c>
      <c r="I6034" t="s">
        <v>1030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80</v>
      </c>
      <c r="D6035" t="s">
        <v>408</v>
      </c>
      <c r="E6035" t="s">
        <v>179</v>
      </c>
      <c r="F6035">
        <v>17</v>
      </c>
      <c r="G6035" t="s">
        <v>90</v>
      </c>
      <c r="H6035" t="s">
        <v>229</v>
      </c>
      <c r="I6035" t="s">
        <v>1031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80</v>
      </c>
      <c r="D6036" t="s">
        <v>408</v>
      </c>
      <c r="E6036" t="s">
        <v>179</v>
      </c>
      <c r="F6036">
        <v>17</v>
      </c>
      <c r="G6036" t="s">
        <v>90</v>
      </c>
      <c r="H6036" t="s">
        <v>229</v>
      </c>
      <c r="I6036" t="s">
        <v>1032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80</v>
      </c>
      <c r="D6037" t="s">
        <v>408</v>
      </c>
      <c r="E6037" t="s">
        <v>179</v>
      </c>
      <c r="F6037">
        <v>17</v>
      </c>
      <c r="G6037" t="s">
        <v>90</v>
      </c>
      <c r="H6037" t="s">
        <v>229</v>
      </c>
      <c r="I6037" t="s">
        <v>1033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80</v>
      </c>
      <c r="D6038" t="s">
        <v>408</v>
      </c>
      <c r="E6038" t="s">
        <v>179</v>
      </c>
      <c r="F6038">
        <v>17</v>
      </c>
      <c r="G6038" t="s">
        <v>90</v>
      </c>
      <c r="H6038" t="s">
        <v>229</v>
      </c>
      <c r="I6038" t="s">
        <v>1034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80</v>
      </c>
      <c r="D6039" t="s">
        <v>408</v>
      </c>
      <c r="E6039" t="s">
        <v>179</v>
      </c>
      <c r="F6039">
        <v>17</v>
      </c>
      <c r="G6039" t="s">
        <v>90</v>
      </c>
      <c r="H6039" t="s">
        <v>229</v>
      </c>
      <c r="I6039" t="s">
        <v>1035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80</v>
      </c>
      <c r="D6040" t="s">
        <v>408</v>
      </c>
      <c r="E6040" t="s">
        <v>179</v>
      </c>
      <c r="F6040">
        <v>17</v>
      </c>
      <c r="G6040" t="s">
        <v>90</v>
      </c>
      <c r="H6040" t="s">
        <v>229</v>
      </c>
      <c r="I6040" t="s">
        <v>1036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80</v>
      </c>
      <c r="D6041" t="s">
        <v>408</v>
      </c>
      <c r="E6041" t="s">
        <v>179</v>
      </c>
      <c r="F6041">
        <v>17</v>
      </c>
      <c r="G6041" t="s">
        <v>90</v>
      </c>
      <c r="H6041" t="s">
        <v>229</v>
      </c>
      <c r="I6041" t="s">
        <v>1021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80</v>
      </c>
      <c r="D6042" t="s">
        <v>408</v>
      </c>
      <c r="E6042" t="s">
        <v>179</v>
      </c>
      <c r="F6042">
        <v>17</v>
      </c>
      <c r="G6042" t="s">
        <v>90</v>
      </c>
      <c r="H6042" t="s">
        <v>229</v>
      </c>
      <c r="I6042" t="s">
        <v>1037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80</v>
      </c>
      <c r="D6043" t="s">
        <v>408</v>
      </c>
      <c r="E6043" t="s">
        <v>179</v>
      </c>
      <c r="F6043">
        <v>17</v>
      </c>
      <c r="G6043" t="s">
        <v>90</v>
      </c>
      <c r="H6043" t="s">
        <v>229</v>
      </c>
      <c r="I6043" t="s">
        <v>1038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80</v>
      </c>
      <c r="D6044" t="s">
        <v>408</v>
      </c>
      <c r="E6044" t="s">
        <v>179</v>
      </c>
      <c r="F6044">
        <v>17</v>
      </c>
      <c r="G6044" t="s">
        <v>90</v>
      </c>
      <c r="H6044" t="s">
        <v>229</v>
      </c>
      <c r="I6044" t="s">
        <v>1039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80</v>
      </c>
      <c r="D6045" t="s">
        <v>408</v>
      </c>
      <c r="E6045" t="s">
        <v>179</v>
      </c>
      <c r="F6045">
        <v>17</v>
      </c>
      <c r="G6045" t="s">
        <v>90</v>
      </c>
      <c r="H6045" t="s">
        <v>229</v>
      </c>
      <c r="I6045" t="s">
        <v>1040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80</v>
      </c>
      <c r="D6046" t="s">
        <v>408</v>
      </c>
      <c r="E6046" t="s">
        <v>179</v>
      </c>
      <c r="F6046">
        <v>17</v>
      </c>
      <c r="G6046" t="s">
        <v>90</v>
      </c>
      <c r="H6046" t="s">
        <v>91</v>
      </c>
      <c r="I6046" t="s">
        <v>1025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80</v>
      </c>
      <c r="D6047" t="s">
        <v>408</v>
      </c>
      <c r="E6047" t="s">
        <v>179</v>
      </c>
      <c r="F6047">
        <v>17</v>
      </c>
      <c r="G6047" t="s">
        <v>90</v>
      </c>
      <c r="H6047" t="s">
        <v>91</v>
      </c>
      <c r="I6047" t="s">
        <v>1026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80</v>
      </c>
      <c r="D6048" t="s">
        <v>408</v>
      </c>
      <c r="E6048" t="s">
        <v>179</v>
      </c>
      <c r="F6048">
        <v>17</v>
      </c>
      <c r="G6048" t="s">
        <v>90</v>
      </c>
      <c r="H6048" t="s">
        <v>91</v>
      </c>
      <c r="I6048" t="s">
        <v>1027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80</v>
      </c>
      <c r="D6049" t="s">
        <v>408</v>
      </c>
      <c r="E6049" t="s">
        <v>179</v>
      </c>
      <c r="F6049">
        <v>17</v>
      </c>
      <c r="G6049" t="s">
        <v>90</v>
      </c>
      <c r="H6049" t="s">
        <v>91</v>
      </c>
      <c r="I6049" t="s">
        <v>1028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80</v>
      </c>
      <c r="D6050" t="s">
        <v>408</v>
      </c>
      <c r="E6050" t="s">
        <v>179</v>
      </c>
      <c r="F6050">
        <v>17</v>
      </c>
      <c r="G6050" t="s">
        <v>90</v>
      </c>
      <c r="H6050" t="s">
        <v>91</v>
      </c>
      <c r="I6050" t="s">
        <v>1029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80</v>
      </c>
      <c r="D6051" t="s">
        <v>408</v>
      </c>
      <c r="E6051" t="s">
        <v>179</v>
      </c>
      <c r="F6051">
        <v>17</v>
      </c>
      <c r="G6051" t="s">
        <v>90</v>
      </c>
      <c r="H6051" t="s">
        <v>91</v>
      </c>
      <c r="I6051" t="s">
        <v>111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80</v>
      </c>
      <c r="D6052" t="s">
        <v>408</v>
      </c>
      <c r="E6052" t="s">
        <v>179</v>
      </c>
      <c r="F6052">
        <v>17</v>
      </c>
      <c r="G6052" t="s">
        <v>90</v>
      </c>
      <c r="H6052" t="s">
        <v>91</v>
      </c>
      <c r="I6052" t="s">
        <v>1030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80</v>
      </c>
      <c r="D6053" t="s">
        <v>408</v>
      </c>
      <c r="E6053" t="s">
        <v>179</v>
      </c>
      <c r="F6053">
        <v>17</v>
      </c>
      <c r="G6053" t="s">
        <v>90</v>
      </c>
      <c r="H6053" t="s">
        <v>91</v>
      </c>
      <c r="I6053" t="s">
        <v>1031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80</v>
      </c>
      <c r="D6054" t="s">
        <v>408</v>
      </c>
      <c r="E6054" t="s">
        <v>179</v>
      </c>
      <c r="F6054">
        <v>17</v>
      </c>
      <c r="G6054" t="s">
        <v>90</v>
      </c>
      <c r="H6054" t="s">
        <v>91</v>
      </c>
      <c r="I6054" t="s">
        <v>1032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80</v>
      </c>
      <c r="D6055" t="s">
        <v>408</v>
      </c>
      <c r="E6055" t="s">
        <v>179</v>
      </c>
      <c r="F6055">
        <v>17</v>
      </c>
      <c r="G6055" t="s">
        <v>90</v>
      </c>
      <c r="H6055" t="s">
        <v>91</v>
      </c>
      <c r="I6055" t="s">
        <v>1033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80</v>
      </c>
      <c r="D6056" t="s">
        <v>408</v>
      </c>
      <c r="E6056" t="s">
        <v>179</v>
      </c>
      <c r="F6056">
        <v>17</v>
      </c>
      <c r="G6056" t="s">
        <v>90</v>
      </c>
      <c r="H6056" t="s">
        <v>91</v>
      </c>
      <c r="I6056" t="s">
        <v>1034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80</v>
      </c>
      <c r="D6057" t="s">
        <v>408</v>
      </c>
      <c r="E6057" t="s">
        <v>179</v>
      </c>
      <c r="F6057">
        <v>17</v>
      </c>
      <c r="G6057" t="s">
        <v>90</v>
      </c>
      <c r="H6057" t="s">
        <v>91</v>
      </c>
      <c r="I6057" t="s">
        <v>1035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80</v>
      </c>
      <c r="D6058" t="s">
        <v>408</v>
      </c>
      <c r="E6058" t="s">
        <v>179</v>
      </c>
      <c r="F6058">
        <v>17</v>
      </c>
      <c r="G6058" t="s">
        <v>90</v>
      </c>
      <c r="H6058" t="s">
        <v>91</v>
      </c>
      <c r="I6058" t="s">
        <v>1036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80</v>
      </c>
      <c r="D6059" t="s">
        <v>408</v>
      </c>
      <c r="E6059" t="s">
        <v>179</v>
      </c>
      <c r="F6059">
        <v>17</v>
      </c>
      <c r="G6059" t="s">
        <v>90</v>
      </c>
      <c r="H6059" t="s">
        <v>91</v>
      </c>
      <c r="I6059" t="s">
        <v>1021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80</v>
      </c>
      <c r="D6060" t="s">
        <v>408</v>
      </c>
      <c r="E6060" t="s">
        <v>179</v>
      </c>
      <c r="F6060">
        <v>17</v>
      </c>
      <c r="G6060" t="s">
        <v>90</v>
      </c>
      <c r="H6060" t="s">
        <v>91</v>
      </c>
      <c r="I6060" t="s">
        <v>1037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80</v>
      </c>
      <c r="D6061" t="s">
        <v>408</v>
      </c>
      <c r="E6061" t="s">
        <v>179</v>
      </c>
      <c r="F6061">
        <v>17</v>
      </c>
      <c r="G6061" t="s">
        <v>90</v>
      </c>
      <c r="H6061" t="s">
        <v>91</v>
      </c>
      <c r="I6061" t="s">
        <v>1038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80</v>
      </c>
      <c r="D6062" t="s">
        <v>408</v>
      </c>
      <c r="E6062" t="s">
        <v>179</v>
      </c>
      <c r="F6062">
        <v>17</v>
      </c>
      <c r="G6062" t="s">
        <v>90</v>
      </c>
      <c r="H6062" t="s">
        <v>91</v>
      </c>
      <c r="I6062" t="s">
        <v>1039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80</v>
      </c>
      <c r="D6063" t="s">
        <v>408</v>
      </c>
      <c r="E6063" t="s">
        <v>179</v>
      </c>
      <c r="F6063">
        <v>17</v>
      </c>
      <c r="G6063" t="s">
        <v>90</v>
      </c>
      <c r="H6063" t="s">
        <v>91</v>
      </c>
      <c r="I6063" t="s">
        <v>1040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80</v>
      </c>
      <c r="D6064" t="s">
        <v>408</v>
      </c>
      <c r="E6064" t="s">
        <v>179</v>
      </c>
      <c r="F6064">
        <v>17</v>
      </c>
      <c r="G6064" t="s">
        <v>90</v>
      </c>
      <c r="H6064" t="s">
        <v>230</v>
      </c>
      <c r="I6064" t="s">
        <v>1025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80</v>
      </c>
      <c r="D6065" t="s">
        <v>408</v>
      </c>
      <c r="E6065" t="s">
        <v>179</v>
      </c>
      <c r="F6065">
        <v>17</v>
      </c>
      <c r="G6065" t="s">
        <v>90</v>
      </c>
      <c r="H6065" t="s">
        <v>230</v>
      </c>
      <c r="I6065" t="s">
        <v>1026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80</v>
      </c>
      <c r="D6066" t="s">
        <v>408</v>
      </c>
      <c r="E6066" t="s">
        <v>179</v>
      </c>
      <c r="F6066">
        <v>17</v>
      </c>
      <c r="G6066" t="s">
        <v>90</v>
      </c>
      <c r="H6066" t="s">
        <v>230</v>
      </c>
      <c r="I6066" t="s">
        <v>1027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80</v>
      </c>
      <c r="D6067" t="s">
        <v>408</v>
      </c>
      <c r="E6067" t="s">
        <v>179</v>
      </c>
      <c r="F6067">
        <v>17</v>
      </c>
      <c r="G6067" t="s">
        <v>90</v>
      </c>
      <c r="H6067" t="s">
        <v>230</v>
      </c>
      <c r="I6067" t="s">
        <v>1028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80</v>
      </c>
      <c r="D6068" t="s">
        <v>408</v>
      </c>
      <c r="E6068" t="s">
        <v>179</v>
      </c>
      <c r="F6068">
        <v>17</v>
      </c>
      <c r="G6068" t="s">
        <v>90</v>
      </c>
      <c r="H6068" t="s">
        <v>230</v>
      </c>
      <c r="I6068" t="s">
        <v>1029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80</v>
      </c>
      <c r="D6069" t="s">
        <v>408</v>
      </c>
      <c r="E6069" t="s">
        <v>179</v>
      </c>
      <c r="F6069">
        <v>17</v>
      </c>
      <c r="G6069" t="s">
        <v>90</v>
      </c>
      <c r="H6069" t="s">
        <v>230</v>
      </c>
      <c r="I6069" t="s">
        <v>111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80</v>
      </c>
      <c r="D6070" t="s">
        <v>408</v>
      </c>
      <c r="E6070" t="s">
        <v>179</v>
      </c>
      <c r="F6070">
        <v>17</v>
      </c>
      <c r="G6070" t="s">
        <v>90</v>
      </c>
      <c r="H6070" t="s">
        <v>230</v>
      </c>
      <c r="I6070" t="s">
        <v>1030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80</v>
      </c>
      <c r="D6071" t="s">
        <v>408</v>
      </c>
      <c r="E6071" t="s">
        <v>179</v>
      </c>
      <c r="F6071">
        <v>17</v>
      </c>
      <c r="G6071" t="s">
        <v>90</v>
      </c>
      <c r="H6071" t="s">
        <v>230</v>
      </c>
      <c r="I6071" t="s">
        <v>1031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80</v>
      </c>
      <c r="D6072" t="s">
        <v>408</v>
      </c>
      <c r="E6072" t="s">
        <v>179</v>
      </c>
      <c r="F6072">
        <v>17</v>
      </c>
      <c r="G6072" t="s">
        <v>90</v>
      </c>
      <c r="H6072" t="s">
        <v>230</v>
      </c>
      <c r="I6072" t="s">
        <v>1032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80</v>
      </c>
      <c r="D6073" t="s">
        <v>408</v>
      </c>
      <c r="E6073" t="s">
        <v>179</v>
      </c>
      <c r="F6073">
        <v>17</v>
      </c>
      <c r="G6073" t="s">
        <v>90</v>
      </c>
      <c r="H6073" t="s">
        <v>230</v>
      </c>
      <c r="I6073" t="s">
        <v>1033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80</v>
      </c>
      <c r="D6074" t="s">
        <v>408</v>
      </c>
      <c r="E6074" t="s">
        <v>179</v>
      </c>
      <c r="F6074">
        <v>17</v>
      </c>
      <c r="G6074" t="s">
        <v>90</v>
      </c>
      <c r="H6074" t="s">
        <v>230</v>
      </c>
      <c r="I6074" t="s">
        <v>1034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80</v>
      </c>
      <c r="D6075" t="s">
        <v>408</v>
      </c>
      <c r="E6075" t="s">
        <v>179</v>
      </c>
      <c r="F6075">
        <v>17</v>
      </c>
      <c r="G6075" t="s">
        <v>90</v>
      </c>
      <c r="H6075" t="s">
        <v>230</v>
      </c>
      <c r="I6075" t="s">
        <v>1035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80</v>
      </c>
      <c r="D6076" t="s">
        <v>408</v>
      </c>
      <c r="E6076" t="s">
        <v>179</v>
      </c>
      <c r="F6076">
        <v>17</v>
      </c>
      <c r="G6076" t="s">
        <v>90</v>
      </c>
      <c r="H6076" t="s">
        <v>230</v>
      </c>
      <c r="I6076" t="s">
        <v>1036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80</v>
      </c>
      <c r="D6077" t="s">
        <v>408</v>
      </c>
      <c r="E6077" t="s">
        <v>179</v>
      </c>
      <c r="F6077">
        <v>17</v>
      </c>
      <c r="G6077" t="s">
        <v>90</v>
      </c>
      <c r="H6077" t="s">
        <v>230</v>
      </c>
      <c r="I6077" t="s">
        <v>1021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80</v>
      </c>
      <c r="D6078" t="s">
        <v>408</v>
      </c>
      <c r="E6078" t="s">
        <v>179</v>
      </c>
      <c r="F6078">
        <v>17</v>
      </c>
      <c r="G6078" t="s">
        <v>90</v>
      </c>
      <c r="H6078" t="s">
        <v>230</v>
      </c>
      <c r="I6078" t="s">
        <v>1037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80</v>
      </c>
      <c r="D6079" t="s">
        <v>408</v>
      </c>
      <c r="E6079" t="s">
        <v>179</v>
      </c>
      <c r="F6079">
        <v>17</v>
      </c>
      <c r="G6079" t="s">
        <v>90</v>
      </c>
      <c r="H6079" t="s">
        <v>230</v>
      </c>
      <c r="I6079" t="s">
        <v>1038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80</v>
      </c>
      <c r="D6080" t="s">
        <v>408</v>
      </c>
      <c r="E6080" t="s">
        <v>179</v>
      </c>
      <c r="F6080">
        <v>17</v>
      </c>
      <c r="G6080" t="s">
        <v>90</v>
      </c>
      <c r="H6080" t="s">
        <v>230</v>
      </c>
      <c r="I6080" t="s">
        <v>1039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80</v>
      </c>
      <c r="D6081" t="s">
        <v>408</v>
      </c>
      <c r="E6081" t="s">
        <v>179</v>
      </c>
      <c r="F6081">
        <v>17</v>
      </c>
      <c r="G6081" t="s">
        <v>90</v>
      </c>
      <c r="H6081" t="s">
        <v>230</v>
      </c>
      <c r="I6081" t="s">
        <v>1040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80</v>
      </c>
      <c r="D6082" t="s">
        <v>408</v>
      </c>
      <c r="E6082" t="s">
        <v>179</v>
      </c>
      <c r="F6082">
        <v>17</v>
      </c>
      <c r="G6082" t="s">
        <v>90</v>
      </c>
      <c r="H6082" t="s">
        <v>188</v>
      </c>
      <c r="I6082" t="s">
        <v>1025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80</v>
      </c>
      <c r="D6083" t="s">
        <v>408</v>
      </c>
      <c r="E6083" t="s">
        <v>179</v>
      </c>
      <c r="F6083">
        <v>17</v>
      </c>
      <c r="G6083" t="s">
        <v>90</v>
      </c>
      <c r="H6083" t="s">
        <v>188</v>
      </c>
      <c r="I6083" t="s">
        <v>1026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80</v>
      </c>
      <c r="D6084" t="s">
        <v>408</v>
      </c>
      <c r="E6084" t="s">
        <v>179</v>
      </c>
      <c r="F6084">
        <v>17</v>
      </c>
      <c r="G6084" t="s">
        <v>90</v>
      </c>
      <c r="H6084" t="s">
        <v>188</v>
      </c>
      <c r="I6084" t="s">
        <v>1027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80</v>
      </c>
      <c r="D6085" t="s">
        <v>408</v>
      </c>
      <c r="E6085" t="s">
        <v>179</v>
      </c>
      <c r="F6085">
        <v>17</v>
      </c>
      <c r="G6085" t="s">
        <v>90</v>
      </c>
      <c r="H6085" t="s">
        <v>188</v>
      </c>
      <c r="I6085" t="s">
        <v>1028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80</v>
      </c>
      <c r="D6086" t="s">
        <v>408</v>
      </c>
      <c r="E6086" t="s">
        <v>179</v>
      </c>
      <c r="F6086">
        <v>17</v>
      </c>
      <c r="G6086" t="s">
        <v>90</v>
      </c>
      <c r="H6086" t="s">
        <v>188</v>
      </c>
      <c r="I6086" t="s">
        <v>1029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80</v>
      </c>
      <c r="D6087" t="s">
        <v>408</v>
      </c>
      <c r="E6087" t="s">
        <v>179</v>
      </c>
      <c r="F6087">
        <v>17</v>
      </c>
      <c r="G6087" t="s">
        <v>90</v>
      </c>
      <c r="H6087" t="s">
        <v>188</v>
      </c>
      <c r="I6087" t="s">
        <v>111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80</v>
      </c>
      <c r="D6088" t="s">
        <v>408</v>
      </c>
      <c r="E6088" t="s">
        <v>179</v>
      </c>
      <c r="F6088">
        <v>17</v>
      </c>
      <c r="G6088" t="s">
        <v>90</v>
      </c>
      <c r="H6088" t="s">
        <v>188</v>
      </c>
      <c r="I6088" t="s">
        <v>1030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80</v>
      </c>
      <c r="D6089" t="s">
        <v>408</v>
      </c>
      <c r="E6089" t="s">
        <v>179</v>
      </c>
      <c r="F6089">
        <v>17</v>
      </c>
      <c r="G6089" t="s">
        <v>90</v>
      </c>
      <c r="H6089" t="s">
        <v>188</v>
      </c>
      <c r="I6089" t="s">
        <v>1031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80</v>
      </c>
      <c r="D6090" t="s">
        <v>408</v>
      </c>
      <c r="E6090" t="s">
        <v>179</v>
      </c>
      <c r="F6090">
        <v>17</v>
      </c>
      <c r="G6090" t="s">
        <v>90</v>
      </c>
      <c r="H6090" t="s">
        <v>188</v>
      </c>
      <c r="I6090" t="s">
        <v>1032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80</v>
      </c>
      <c r="D6091" t="s">
        <v>408</v>
      </c>
      <c r="E6091" t="s">
        <v>179</v>
      </c>
      <c r="F6091">
        <v>17</v>
      </c>
      <c r="G6091" t="s">
        <v>90</v>
      </c>
      <c r="H6091" t="s">
        <v>188</v>
      </c>
      <c r="I6091" t="s">
        <v>1033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80</v>
      </c>
      <c r="D6092" t="s">
        <v>408</v>
      </c>
      <c r="E6092" t="s">
        <v>179</v>
      </c>
      <c r="F6092">
        <v>17</v>
      </c>
      <c r="G6092" t="s">
        <v>90</v>
      </c>
      <c r="H6092" t="s">
        <v>188</v>
      </c>
      <c r="I6092" t="s">
        <v>1034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80</v>
      </c>
      <c r="D6093" t="s">
        <v>408</v>
      </c>
      <c r="E6093" t="s">
        <v>179</v>
      </c>
      <c r="F6093">
        <v>17</v>
      </c>
      <c r="G6093" t="s">
        <v>90</v>
      </c>
      <c r="H6093" t="s">
        <v>188</v>
      </c>
      <c r="I6093" t="s">
        <v>1035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80</v>
      </c>
      <c r="D6094" t="s">
        <v>408</v>
      </c>
      <c r="E6094" t="s">
        <v>179</v>
      </c>
      <c r="F6094">
        <v>17</v>
      </c>
      <c r="G6094" t="s">
        <v>90</v>
      </c>
      <c r="H6094" t="s">
        <v>188</v>
      </c>
      <c r="I6094" t="s">
        <v>1036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80</v>
      </c>
      <c r="D6095" t="s">
        <v>408</v>
      </c>
      <c r="E6095" t="s">
        <v>179</v>
      </c>
      <c r="F6095">
        <v>17</v>
      </c>
      <c r="G6095" t="s">
        <v>90</v>
      </c>
      <c r="H6095" t="s">
        <v>188</v>
      </c>
      <c r="I6095" t="s">
        <v>1021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80</v>
      </c>
      <c r="D6096" t="s">
        <v>408</v>
      </c>
      <c r="E6096" t="s">
        <v>179</v>
      </c>
      <c r="F6096">
        <v>17</v>
      </c>
      <c r="G6096" t="s">
        <v>90</v>
      </c>
      <c r="H6096" t="s">
        <v>188</v>
      </c>
      <c r="I6096" t="s">
        <v>1037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80</v>
      </c>
      <c r="D6097" t="s">
        <v>408</v>
      </c>
      <c r="E6097" t="s">
        <v>179</v>
      </c>
      <c r="F6097">
        <v>17</v>
      </c>
      <c r="G6097" t="s">
        <v>90</v>
      </c>
      <c r="H6097" t="s">
        <v>188</v>
      </c>
      <c r="I6097" t="s">
        <v>1038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80</v>
      </c>
      <c r="D6098" t="s">
        <v>408</v>
      </c>
      <c r="E6098" t="s">
        <v>179</v>
      </c>
      <c r="F6098">
        <v>17</v>
      </c>
      <c r="G6098" t="s">
        <v>90</v>
      </c>
      <c r="H6098" t="s">
        <v>188</v>
      </c>
      <c r="I6098" t="s">
        <v>1039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80</v>
      </c>
      <c r="D6099" t="s">
        <v>408</v>
      </c>
      <c r="E6099" t="s">
        <v>179</v>
      </c>
      <c r="F6099">
        <v>17</v>
      </c>
      <c r="G6099" t="s">
        <v>90</v>
      </c>
      <c r="H6099" t="s">
        <v>188</v>
      </c>
      <c r="I6099" t="s">
        <v>1040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80</v>
      </c>
      <c r="D6100" t="s">
        <v>408</v>
      </c>
      <c r="E6100" t="s">
        <v>179</v>
      </c>
      <c r="F6100">
        <v>17</v>
      </c>
      <c r="G6100" t="s">
        <v>271</v>
      </c>
      <c r="H6100" t="s">
        <v>189</v>
      </c>
      <c r="I6100" t="s">
        <v>1030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80</v>
      </c>
      <c r="D6101" t="s">
        <v>408</v>
      </c>
      <c r="E6101" t="s">
        <v>179</v>
      </c>
      <c r="F6101">
        <v>17</v>
      </c>
      <c r="G6101" t="s">
        <v>271</v>
      </c>
      <c r="H6101" t="s">
        <v>186</v>
      </c>
      <c r="I6101" t="s">
        <v>1030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80</v>
      </c>
      <c r="D6102" t="s">
        <v>408</v>
      </c>
      <c r="E6102" t="s">
        <v>179</v>
      </c>
      <c r="F6102">
        <v>17</v>
      </c>
      <c r="G6102" t="s">
        <v>271</v>
      </c>
      <c r="H6102" t="s">
        <v>188</v>
      </c>
      <c r="I6102" t="s">
        <v>1030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80</v>
      </c>
      <c r="D6103" t="s">
        <v>408</v>
      </c>
      <c r="E6103" t="s">
        <v>179</v>
      </c>
      <c r="F6103">
        <v>17</v>
      </c>
      <c r="G6103" t="s">
        <v>231</v>
      </c>
      <c r="H6103" t="s">
        <v>232</v>
      </c>
      <c r="I6103" t="s">
        <v>1014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80</v>
      </c>
      <c r="D6104" t="s">
        <v>408</v>
      </c>
      <c r="E6104" t="s">
        <v>179</v>
      </c>
      <c r="F6104">
        <v>17</v>
      </c>
      <c r="G6104" t="s">
        <v>231</v>
      </c>
      <c r="H6104" t="s">
        <v>186</v>
      </c>
      <c r="I6104" t="s">
        <v>1014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80</v>
      </c>
      <c r="D6105" t="s">
        <v>408</v>
      </c>
      <c r="E6105" t="s">
        <v>179</v>
      </c>
      <c r="F6105">
        <v>17</v>
      </c>
      <c r="G6105" t="s">
        <v>231</v>
      </c>
      <c r="H6105" t="s">
        <v>187</v>
      </c>
      <c r="I6105" t="s">
        <v>1014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80</v>
      </c>
      <c r="D6106" t="s">
        <v>408</v>
      </c>
      <c r="E6106" t="s">
        <v>179</v>
      </c>
      <c r="F6106">
        <v>17</v>
      </c>
      <c r="G6106" t="s">
        <v>231</v>
      </c>
      <c r="H6106" t="s">
        <v>198</v>
      </c>
      <c r="I6106" t="s">
        <v>1014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80</v>
      </c>
      <c r="D6107" t="s">
        <v>408</v>
      </c>
      <c r="E6107" t="s">
        <v>179</v>
      </c>
      <c r="F6107">
        <v>17</v>
      </c>
      <c r="G6107" t="s">
        <v>231</v>
      </c>
      <c r="H6107" t="s">
        <v>188</v>
      </c>
      <c r="I6107" t="s">
        <v>1014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80</v>
      </c>
      <c r="D6108" t="s">
        <v>408</v>
      </c>
      <c r="E6108" t="s">
        <v>179</v>
      </c>
      <c r="F6108">
        <v>17</v>
      </c>
      <c r="G6108" t="s">
        <v>233</v>
      </c>
      <c r="H6108" t="s">
        <v>234</v>
      </c>
      <c r="I6108" t="s">
        <v>1041</v>
      </c>
      <c r="J6108" s="73">
        <v>45659</v>
      </c>
    </row>
    <row r="6109" spans="1:10" x14ac:dyDescent="0.25">
      <c r="A6109" s="1" t="s">
        <v>27</v>
      </c>
      <c r="B6109">
        <v>401752671</v>
      </c>
      <c r="C6109" t="s">
        <v>80</v>
      </c>
      <c r="D6109" t="s">
        <v>408</v>
      </c>
      <c r="E6109" t="s">
        <v>179</v>
      </c>
      <c r="F6109">
        <v>17</v>
      </c>
      <c r="G6109" t="s">
        <v>233</v>
      </c>
      <c r="H6109" t="s">
        <v>236</v>
      </c>
      <c r="I6109" t="s">
        <v>1041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80</v>
      </c>
      <c r="D6110" t="s">
        <v>408</v>
      </c>
      <c r="E6110" t="s">
        <v>179</v>
      </c>
      <c r="F6110">
        <v>17</v>
      </c>
      <c r="G6110" t="s">
        <v>233</v>
      </c>
      <c r="H6110" t="s">
        <v>198</v>
      </c>
      <c r="I6110" t="s">
        <v>1041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80</v>
      </c>
      <c r="D6111" t="s">
        <v>408</v>
      </c>
      <c r="E6111" t="s">
        <v>179</v>
      </c>
      <c r="F6111">
        <v>17</v>
      </c>
      <c r="G6111" t="s">
        <v>233</v>
      </c>
      <c r="H6111" t="s">
        <v>237</v>
      </c>
      <c r="I6111" t="s">
        <v>1041</v>
      </c>
      <c r="J6111" s="73">
        <v>45690</v>
      </c>
    </row>
    <row r="6112" spans="1:10" x14ac:dyDescent="0.25">
      <c r="A6112" s="1" t="s">
        <v>27</v>
      </c>
      <c r="B6112">
        <v>401752671</v>
      </c>
      <c r="C6112" t="s">
        <v>80</v>
      </c>
      <c r="D6112" t="s">
        <v>408</v>
      </c>
      <c r="E6112" t="s">
        <v>179</v>
      </c>
      <c r="F6112">
        <v>17</v>
      </c>
      <c r="G6112" t="s">
        <v>233</v>
      </c>
      <c r="H6112" t="s">
        <v>238</v>
      </c>
      <c r="I6112" t="s">
        <v>1041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80</v>
      </c>
      <c r="D6113" t="s">
        <v>408</v>
      </c>
      <c r="E6113" t="s">
        <v>179</v>
      </c>
      <c r="F6113">
        <v>17</v>
      </c>
      <c r="G6113" t="s">
        <v>239</v>
      </c>
      <c r="H6113" t="s">
        <v>232</v>
      </c>
      <c r="I6113" t="s">
        <v>1042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80</v>
      </c>
      <c r="D6114" t="s">
        <v>408</v>
      </c>
      <c r="E6114" t="s">
        <v>179</v>
      </c>
      <c r="F6114">
        <v>17</v>
      </c>
      <c r="G6114" t="s">
        <v>239</v>
      </c>
      <c r="H6114" t="s">
        <v>186</v>
      </c>
      <c r="I6114" t="s">
        <v>1042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80</v>
      </c>
      <c r="D6115" t="s">
        <v>408</v>
      </c>
      <c r="E6115" t="s">
        <v>179</v>
      </c>
      <c r="F6115">
        <v>17</v>
      </c>
      <c r="G6115" t="s">
        <v>239</v>
      </c>
      <c r="H6115" t="s">
        <v>187</v>
      </c>
      <c r="I6115" t="s">
        <v>1042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80</v>
      </c>
      <c r="D6116" t="s">
        <v>408</v>
      </c>
      <c r="E6116" t="s">
        <v>179</v>
      </c>
      <c r="F6116">
        <v>17</v>
      </c>
      <c r="G6116" t="s">
        <v>239</v>
      </c>
      <c r="H6116" t="s">
        <v>241</v>
      </c>
      <c r="I6116" t="s">
        <v>1042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80</v>
      </c>
      <c r="D6117" t="s">
        <v>408</v>
      </c>
      <c r="E6117" t="s">
        <v>179</v>
      </c>
      <c r="F6117">
        <v>17</v>
      </c>
      <c r="G6117" t="s">
        <v>239</v>
      </c>
      <c r="H6117" t="s">
        <v>242</v>
      </c>
      <c r="I6117" t="s">
        <v>1042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80</v>
      </c>
      <c r="D6118" t="s">
        <v>408</v>
      </c>
      <c r="E6118" t="s">
        <v>179</v>
      </c>
      <c r="F6118">
        <v>17</v>
      </c>
      <c r="G6118" t="s">
        <v>239</v>
      </c>
      <c r="H6118" t="s">
        <v>198</v>
      </c>
      <c r="I6118" t="s">
        <v>1042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172</v>
      </c>
      <c r="D6119" t="s">
        <v>88</v>
      </c>
      <c r="E6119" t="s">
        <v>179</v>
      </c>
      <c r="F6119">
        <v>34</v>
      </c>
      <c r="G6119" t="s">
        <v>180</v>
      </c>
      <c r="H6119" t="s">
        <v>181</v>
      </c>
      <c r="I6119" t="s">
        <v>1043</v>
      </c>
      <c r="J6119" t="s">
        <v>1044</v>
      </c>
    </row>
    <row r="6120" spans="1:10" x14ac:dyDescent="0.25">
      <c r="A6120" s="1" t="s">
        <v>27</v>
      </c>
      <c r="B6120">
        <v>401752936</v>
      </c>
      <c r="C6120" t="s">
        <v>172</v>
      </c>
      <c r="D6120" t="s">
        <v>88</v>
      </c>
      <c r="E6120" t="s">
        <v>179</v>
      </c>
      <c r="F6120">
        <v>34</v>
      </c>
      <c r="G6120" t="s">
        <v>180</v>
      </c>
      <c r="H6120" t="s">
        <v>186</v>
      </c>
      <c r="I6120" t="s">
        <v>1043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172</v>
      </c>
      <c r="D6121" t="s">
        <v>88</v>
      </c>
      <c r="E6121" t="s">
        <v>179</v>
      </c>
      <c r="F6121">
        <v>34</v>
      </c>
      <c r="G6121" t="s">
        <v>180</v>
      </c>
      <c r="H6121" t="s">
        <v>187</v>
      </c>
      <c r="I6121" t="s">
        <v>1043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172</v>
      </c>
      <c r="D6122" t="s">
        <v>88</v>
      </c>
      <c r="E6122" t="s">
        <v>179</v>
      </c>
      <c r="F6122">
        <v>34</v>
      </c>
      <c r="G6122" t="s">
        <v>180</v>
      </c>
      <c r="H6122" t="s">
        <v>188</v>
      </c>
      <c r="I6122" t="s">
        <v>1043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172</v>
      </c>
      <c r="D6123" t="s">
        <v>88</v>
      </c>
      <c r="E6123" t="s">
        <v>179</v>
      </c>
      <c r="F6123">
        <v>34</v>
      </c>
      <c r="G6123" t="s">
        <v>180</v>
      </c>
      <c r="H6123" t="s">
        <v>189</v>
      </c>
      <c r="I6123" t="s">
        <v>1043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172</v>
      </c>
      <c r="D6124" t="s">
        <v>88</v>
      </c>
      <c r="E6124" t="s">
        <v>179</v>
      </c>
      <c r="F6124">
        <v>34</v>
      </c>
      <c r="G6124" t="s">
        <v>192</v>
      </c>
      <c r="H6124" t="s">
        <v>193</v>
      </c>
      <c r="I6124" t="s">
        <v>1045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172</v>
      </c>
      <c r="D6125" t="s">
        <v>88</v>
      </c>
      <c r="E6125" t="s">
        <v>179</v>
      </c>
      <c r="F6125">
        <v>34</v>
      </c>
      <c r="G6125" t="s">
        <v>192</v>
      </c>
      <c r="H6125" t="s">
        <v>193</v>
      </c>
      <c r="I6125" t="s">
        <v>1046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172</v>
      </c>
      <c r="D6126" t="s">
        <v>88</v>
      </c>
      <c r="E6126" t="s">
        <v>179</v>
      </c>
      <c r="F6126">
        <v>34</v>
      </c>
      <c r="G6126" t="s">
        <v>192</v>
      </c>
      <c r="H6126" t="s">
        <v>193</v>
      </c>
      <c r="I6126" t="s">
        <v>1043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172</v>
      </c>
      <c r="D6127" t="s">
        <v>88</v>
      </c>
      <c r="E6127" t="s">
        <v>179</v>
      </c>
      <c r="F6127">
        <v>34</v>
      </c>
      <c r="G6127" t="s">
        <v>192</v>
      </c>
      <c r="H6127" t="s">
        <v>193</v>
      </c>
      <c r="I6127" t="s">
        <v>1047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172</v>
      </c>
      <c r="D6128" t="s">
        <v>88</v>
      </c>
      <c r="E6128" t="s">
        <v>179</v>
      </c>
      <c r="F6128">
        <v>34</v>
      </c>
      <c r="G6128" t="s">
        <v>192</v>
      </c>
      <c r="H6128" t="s">
        <v>193</v>
      </c>
      <c r="I6128" t="s">
        <v>1048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172</v>
      </c>
      <c r="D6129" t="s">
        <v>88</v>
      </c>
      <c r="E6129" t="s">
        <v>179</v>
      </c>
      <c r="F6129">
        <v>34</v>
      </c>
      <c r="G6129" t="s">
        <v>192</v>
      </c>
      <c r="H6129" t="s">
        <v>193</v>
      </c>
      <c r="I6129" t="s">
        <v>184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172</v>
      </c>
      <c r="D6130" t="s">
        <v>88</v>
      </c>
      <c r="E6130" t="s">
        <v>179</v>
      </c>
      <c r="F6130">
        <v>34</v>
      </c>
      <c r="G6130" t="s">
        <v>192</v>
      </c>
      <c r="H6130" t="s">
        <v>186</v>
      </c>
      <c r="I6130" t="s">
        <v>1045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172</v>
      </c>
      <c r="D6131" t="s">
        <v>88</v>
      </c>
      <c r="E6131" t="s">
        <v>179</v>
      </c>
      <c r="F6131">
        <v>34</v>
      </c>
      <c r="G6131" t="s">
        <v>192</v>
      </c>
      <c r="H6131" t="s">
        <v>186</v>
      </c>
      <c r="I6131" t="s">
        <v>1046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172</v>
      </c>
      <c r="D6132" t="s">
        <v>88</v>
      </c>
      <c r="E6132" t="s">
        <v>179</v>
      </c>
      <c r="F6132">
        <v>34</v>
      </c>
      <c r="G6132" t="s">
        <v>192</v>
      </c>
      <c r="H6132" t="s">
        <v>186</v>
      </c>
      <c r="I6132" t="s">
        <v>1043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172</v>
      </c>
      <c r="D6133" t="s">
        <v>88</v>
      </c>
      <c r="E6133" t="s">
        <v>179</v>
      </c>
      <c r="F6133">
        <v>34</v>
      </c>
      <c r="G6133" t="s">
        <v>192</v>
      </c>
      <c r="H6133" t="s">
        <v>186</v>
      </c>
      <c r="I6133" t="s">
        <v>1047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172</v>
      </c>
      <c r="D6134" t="s">
        <v>88</v>
      </c>
      <c r="E6134" t="s">
        <v>179</v>
      </c>
      <c r="F6134">
        <v>34</v>
      </c>
      <c r="G6134" t="s">
        <v>192</v>
      </c>
      <c r="H6134" t="s">
        <v>186</v>
      </c>
      <c r="I6134" t="s">
        <v>1048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172</v>
      </c>
      <c r="D6135" t="s">
        <v>88</v>
      </c>
      <c r="E6135" t="s">
        <v>179</v>
      </c>
      <c r="F6135">
        <v>34</v>
      </c>
      <c r="G6135" t="s">
        <v>192</v>
      </c>
      <c r="H6135" t="s">
        <v>186</v>
      </c>
      <c r="I6135" t="s">
        <v>184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172</v>
      </c>
      <c r="D6136" t="s">
        <v>88</v>
      </c>
      <c r="E6136" t="s">
        <v>179</v>
      </c>
      <c r="F6136">
        <v>34</v>
      </c>
      <c r="G6136" t="s">
        <v>192</v>
      </c>
      <c r="H6136" t="s">
        <v>187</v>
      </c>
      <c r="I6136" t="s">
        <v>1045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172</v>
      </c>
      <c r="D6137" t="s">
        <v>88</v>
      </c>
      <c r="E6137" t="s">
        <v>179</v>
      </c>
      <c r="F6137">
        <v>34</v>
      </c>
      <c r="G6137" t="s">
        <v>192</v>
      </c>
      <c r="H6137" t="s">
        <v>187</v>
      </c>
      <c r="I6137" t="s">
        <v>1046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172</v>
      </c>
      <c r="D6138" t="s">
        <v>88</v>
      </c>
      <c r="E6138" t="s">
        <v>179</v>
      </c>
      <c r="F6138">
        <v>34</v>
      </c>
      <c r="G6138" t="s">
        <v>192</v>
      </c>
      <c r="H6138" t="s">
        <v>187</v>
      </c>
      <c r="I6138" t="s">
        <v>1043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172</v>
      </c>
      <c r="D6139" t="s">
        <v>88</v>
      </c>
      <c r="E6139" t="s">
        <v>179</v>
      </c>
      <c r="F6139">
        <v>34</v>
      </c>
      <c r="G6139" t="s">
        <v>192</v>
      </c>
      <c r="H6139" t="s">
        <v>187</v>
      </c>
      <c r="I6139" t="s">
        <v>1047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172</v>
      </c>
      <c r="D6140" t="s">
        <v>88</v>
      </c>
      <c r="E6140" t="s">
        <v>179</v>
      </c>
      <c r="F6140">
        <v>34</v>
      </c>
      <c r="G6140" t="s">
        <v>192</v>
      </c>
      <c r="H6140" t="s">
        <v>187</v>
      </c>
      <c r="I6140" t="s">
        <v>1048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172</v>
      </c>
      <c r="D6141" t="s">
        <v>88</v>
      </c>
      <c r="E6141" t="s">
        <v>179</v>
      </c>
      <c r="F6141">
        <v>34</v>
      </c>
      <c r="G6141" t="s">
        <v>192</v>
      </c>
      <c r="H6141" t="s">
        <v>187</v>
      </c>
      <c r="I6141" t="s">
        <v>184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172</v>
      </c>
      <c r="D6142" t="s">
        <v>88</v>
      </c>
      <c r="E6142" t="s">
        <v>179</v>
      </c>
      <c r="F6142">
        <v>34</v>
      </c>
      <c r="G6142" t="s">
        <v>192</v>
      </c>
      <c r="H6142" t="s">
        <v>188</v>
      </c>
      <c r="I6142" t="s">
        <v>1045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172</v>
      </c>
      <c r="D6143" t="s">
        <v>88</v>
      </c>
      <c r="E6143" t="s">
        <v>179</v>
      </c>
      <c r="F6143">
        <v>34</v>
      </c>
      <c r="G6143" t="s">
        <v>192</v>
      </c>
      <c r="H6143" t="s">
        <v>188</v>
      </c>
      <c r="I6143" t="s">
        <v>1046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172</v>
      </c>
      <c r="D6144" t="s">
        <v>88</v>
      </c>
      <c r="E6144" t="s">
        <v>179</v>
      </c>
      <c r="F6144">
        <v>34</v>
      </c>
      <c r="G6144" t="s">
        <v>192</v>
      </c>
      <c r="H6144" t="s">
        <v>188</v>
      </c>
      <c r="I6144" t="s">
        <v>1043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172</v>
      </c>
      <c r="D6145" t="s">
        <v>88</v>
      </c>
      <c r="E6145" t="s">
        <v>179</v>
      </c>
      <c r="F6145">
        <v>34</v>
      </c>
      <c r="G6145" t="s">
        <v>192</v>
      </c>
      <c r="H6145" t="s">
        <v>188</v>
      </c>
      <c r="I6145" t="s">
        <v>1047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172</v>
      </c>
      <c r="D6146" t="s">
        <v>88</v>
      </c>
      <c r="E6146" t="s">
        <v>179</v>
      </c>
      <c r="F6146">
        <v>34</v>
      </c>
      <c r="G6146" t="s">
        <v>192</v>
      </c>
      <c r="H6146" t="s">
        <v>188</v>
      </c>
      <c r="I6146" t="s">
        <v>1048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172</v>
      </c>
      <c r="D6147" t="s">
        <v>88</v>
      </c>
      <c r="E6147" t="s">
        <v>179</v>
      </c>
      <c r="F6147">
        <v>34</v>
      </c>
      <c r="G6147" t="s">
        <v>192</v>
      </c>
      <c r="H6147" t="s">
        <v>188</v>
      </c>
      <c r="I6147" t="s">
        <v>184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172</v>
      </c>
      <c r="D6148" t="s">
        <v>88</v>
      </c>
      <c r="E6148" t="s">
        <v>179</v>
      </c>
      <c r="F6148">
        <v>34</v>
      </c>
      <c r="G6148" t="s">
        <v>192</v>
      </c>
      <c r="H6148" t="s">
        <v>198</v>
      </c>
      <c r="I6148" t="s">
        <v>1045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172</v>
      </c>
      <c r="D6149" t="s">
        <v>88</v>
      </c>
      <c r="E6149" t="s">
        <v>179</v>
      </c>
      <c r="F6149">
        <v>34</v>
      </c>
      <c r="G6149" t="s">
        <v>192</v>
      </c>
      <c r="H6149" t="s">
        <v>198</v>
      </c>
      <c r="I6149" t="s">
        <v>1046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172</v>
      </c>
      <c r="D6150" t="s">
        <v>88</v>
      </c>
      <c r="E6150" t="s">
        <v>179</v>
      </c>
      <c r="F6150">
        <v>34</v>
      </c>
      <c r="G6150" t="s">
        <v>192</v>
      </c>
      <c r="H6150" t="s">
        <v>198</v>
      </c>
      <c r="I6150" t="s">
        <v>1043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172</v>
      </c>
      <c r="D6151" t="s">
        <v>88</v>
      </c>
      <c r="E6151" t="s">
        <v>179</v>
      </c>
      <c r="F6151">
        <v>34</v>
      </c>
      <c r="G6151" t="s">
        <v>192</v>
      </c>
      <c r="H6151" t="s">
        <v>198</v>
      </c>
      <c r="I6151" t="s">
        <v>1047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172</v>
      </c>
      <c r="D6152" t="s">
        <v>88</v>
      </c>
      <c r="E6152" t="s">
        <v>179</v>
      </c>
      <c r="F6152">
        <v>34</v>
      </c>
      <c r="G6152" t="s">
        <v>192</v>
      </c>
      <c r="H6152" t="s">
        <v>198</v>
      </c>
      <c r="I6152" t="s">
        <v>1048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172</v>
      </c>
      <c r="D6153" t="s">
        <v>88</v>
      </c>
      <c r="E6153" t="s">
        <v>179</v>
      </c>
      <c r="F6153">
        <v>34</v>
      </c>
      <c r="G6153" t="s">
        <v>192</v>
      </c>
      <c r="H6153" t="s">
        <v>198</v>
      </c>
      <c r="I6153" t="s">
        <v>184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172</v>
      </c>
      <c r="D6154" t="s">
        <v>88</v>
      </c>
      <c r="E6154" t="s">
        <v>179</v>
      </c>
      <c r="F6154">
        <v>34</v>
      </c>
      <c r="G6154" t="s">
        <v>199</v>
      </c>
      <c r="H6154" t="s">
        <v>0</v>
      </c>
      <c r="I6154" t="s">
        <v>1049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172</v>
      </c>
      <c r="D6155" t="s">
        <v>88</v>
      </c>
      <c r="E6155" t="s">
        <v>179</v>
      </c>
      <c r="F6155">
        <v>34</v>
      </c>
      <c r="G6155" t="s">
        <v>199</v>
      </c>
      <c r="H6155" t="s">
        <v>0</v>
      </c>
      <c r="I6155" t="s">
        <v>1050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172</v>
      </c>
      <c r="D6156" t="s">
        <v>88</v>
      </c>
      <c r="E6156" t="s">
        <v>179</v>
      </c>
      <c r="F6156">
        <v>34</v>
      </c>
      <c r="G6156" t="s">
        <v>199</v>
      </c>
      <c r="H6156" t="s">
        <v>0</v>
      </c>
      <c r="I6156" t="s">
        <v>1051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172</v>
      </c>
      <c r="D6157" t="s">
        <v>88</v>
      </c>
      <c r="E6157" t="s">
        <v>179</v>
      </c>
      <c r="F6157">
        <v>34</v>
      </c>
      <c r="G6157" t="s">
        <v>199</v>
      </c>
      <c r="H6157" t="s">
        <v>0</v>
      </c>
      <c r="I6157" t="s">
        <v>1052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172</v>
      </c>
      <c r="D6158" t="s">
        <v>88</v>
      </c>
      <c r="E6158" t="s">
        <v>179</v>
      </c>
      <c r="F6158">
        <v>34</v>
      </c>
      <c r="G6158" t="s">
        <v>199</v>
      </c>
      <c r="H6158" t="s">
        <v>0</v>
      </c>
      <c r="I6158" t="s">
        <v>176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172</v>
      </c>
      <c r="D6159" t="s">
        <v>88</v>
      </c>
      <c r="E6159" t="s">
        <v>179</v>
      </c>
      <c r="F6159">
        <v>34</v>
      </c>
      <c r="G6159" t="s">
        <v>199</v>
      </c>
      <c r="H6159" t="s">
        <v>0</v>
      </c>
      <c r="I6159" t="s">
        <v>1053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172</v>
      </c>
      <c r="D6160" t="s">
        <v>88</v>
      </c>
      <c r="E6160" t="s">
        <v>179</v>
      </c>
      <c r="F6160">
        <v>34</v>
      </c>
      <c r="G6160" t="s">
        <v>199</v>
      </c>
      <c r="H6160" t="s">
        <v>0</v>
      </c>
      <c r="I6160" t="s">
        <v>1054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172</v>
      </c>
      <c r="D6161" t="s">
        <v>88</v>
      </c>
      <c r="E6161" t="s">
        <v>179</v>
      </c>
      <c r="F6161">
        <v>34</v>
      </c>
      <c r="G6161" t="s">
        <v>199</v>
      </c>
      <c r="H6161" t="s">
        <v>0</v>
      </c>
      <c r="I6161" t="s">
        <v>1045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172</v>
      </c>
      <c r="D6162" t="s">
        <v>88</v>
      </c>
      <c r="E6162" t="s">
        <v>179</v>
      </c>
      <c r="F6162">
        <v>34</v>
      </c>
      <c r="G6162" t="s">
        <v>199</v>
      </c>
      <c r="H6162" t="s">
        <v>0</v>
      </c>
      <c r="I6162" t="s">
        <v>1046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172</v>
      </c>
      <c r="D6163" t="s">
        <v>88</v>
      </c>
      <c r="E6163" t="s">
        <v>179</v>
      </c>
      <c r="F6163">
        <v>34</v>
      </c>
      <c r="G6163" t="s">
        <v>199</v>
      </c>
      <c r="H6163" t="s">
        <v>186</v>
      </c>
      <c r="I6163" t="s">
        <v>1049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172</v>
      </c>
      <c r="D6164" t="s">
        <v>88</v>
      </c>
      <c r="E6164" t="s">
        <v>179</v>
      </c>
      <c r="F6164">
        <v>34</v>
      </c>
      <c r="G6164" t="s">
        <v>199</v>
      </c>
      <c r="H6164" t="s">
        <v>186</v>
      </c>
      <c r="I6164" t="s">
        <v>1050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172</v>
      </c>
      <c r="D6165" t="s">
        <v>88</v>
      </c>
      <c r="E6165" t="s">
        <v>179</v>
      </c>
      <c r="F6165">
        <v>34</v>
      </c>
      <c r="G6165" t="s">
        <v>199</v>
      </c>
      <c r="H6165" t="s">
        <v>186</v>
      </c>
      <c r="I6165" t="s">
        <v>1051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172</v>
      </c>
      <c r="D6166" t="s">
        <v>88</v>
      </c>
      <c r="E6166" t="s">
        <v>179</v>
      </c>
      <c r="F6166">
        <v>34</v>
      </c>
      <c r="G6166" t="s">
        <v>199</v>
      </c>
      <c r="H6166" t="s">
        <v>186</v>
      </c>
      <c r="I6166" t="s">
        <v>1052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172</v>
      </c>
      <c r="D6167" t="s">
        <v>88</v>
      </c>
      <c r="E6167" t="s">
        <v>179</v>
      </c>
      <c r="F6167">
        <v>34</v>
      </c>
      <c r="G6167" t="s">
        <v>199</v>
      </c>
      <c r="H6167" t="s">
        <v>186</v>
      </c>
      <c r="I6167" t="s">
        <v>176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172</v>
      </c>
      <c r="D6168" t="s">
        <v>88</v>
      </c>
      <c r="E6168" t="s">
        <v>179</v>
      </c>
      <c r="F6168">
        <v>34</v>
      </c>
      <c r="G6168" t="s">
        <v>199</v>
      </c>
      <c r="H6168" t="s">
        <v>186</v>
      </c>
      <c r="I6168" t="s">
        <v>1053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172</v>
      </c>
      <c r="D6169" t="s">
        <v>88</v>
      </c>
      <c r="E6169" t="s">
        <v>179</v>
      </c>
      <c r="F6169">
        <v>34</v>
      </c>
      <c r="G6169" t="s">
        <v>199</v>
      </c>
      <c r="H6169" t="s">
        <v>186</v>
      </c>
      <c r="I6169" t="s">
        <v>1054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172</v>
      </c>
      <c r="D6170" t="s">
        <v>88</v>
      </c>
      <c r="E6170" t="s">
        <v>179</v>
      </c>
      <c r="F6170">
        <v>34</v>
      </c>
      <c r="G6170" t="s">
        <v>199</v>
      </c>
      <c r="H6170" t="s">
        <v>186</v>
      </c>
      <c r="I6170" t="s">
        <v>1045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172</v>
      </c>
      <c r="D6171" t="s">
        <v>88</v>
      </c>
      <c r="E6171" t="s">
        <v>179</v>
      </c>
      <c r="F6171">
        <v>34</v>
      </c>
      <c r="G6171" t="s">
        <v>199</v>
      </c>
      <c r="H6171" t="s">
        <v>186</v>
      </c>
      <c r="I6171" t="s">
        <v>1046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172</v>
      </c>
      <c r="D6172" t="s">
        <v>88</v>
      </c>
      <c r="E6172" t="s">
        <v>179</v>
      </c>
      <c r="F6172">
        <v>34</v>
      </c>
      <c r="G6172" t="s">
        <v>199</v>
      </c>
      <c r="H6172" t="s">
        <v>187</v>
      </c>
      <c r="I6172" t="s">
        <v>1049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172</v>
      </c>
      <c r="D6173" t="s">
        <v>88</v>
      </c>
      <c r="E6173" t="s">
        <v>179</v>
      </c>
      <c r="F6173">
        <v>34</v>
      </c>
      <c r="G6173" t="s">
        <v>199</v>
      </c>
      <c r="H6173" t="s">
        <v>187</v>
      </c>
      <c r="I6173" t="s">
        <v>1050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172</v>
      </c>
      <c r="D6174" t="s">
        <v>88</v>
      </c>
      <c r="E6174" t="s">
        <v>179</v>
      </c>
      <c r="F6174">
        <v>34</v>
      </c>
      <c r="G6174" t="s">
        <v>199</v>
      </c>
      <c r="H6174" t="s">
        <v>187</v>
      </c>
      <c r="I6174" t="s">
        <v>1051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172</v>
      </c>
      <c r="D6175" t="s">
        <v>88</v>
      </c>
      <c r="E6175" t="s">
        <v>179</v>
      </c>
      <c r="F6175">
        <v>34</v>
      </c>
      <c r="G6175" t="s">
        <v>199</v>
      </c>
      <c r="H6175" t="s">
        <v>187</v>
      </c>
      <c r="I6175" t="s">
        <v>1052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172</v>
      </c>
      <c r="D6176" t="s">
        <v>88</v>
      </c>
      <c r="E6176" t="s">
        <v>179</v>
      </c>
      <c r="F6176">
        <v>34</v>
      </c>
      <c r="G6176" t="s">
        <v>199</v>
      </c>
      <c r="H6176" t="s">
        <v>187</v>
      </c>
      <c r="I6176" t="s">
        <v>176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172</v>
      </c>
      <c r="D6177" t="s">
        <v>88</v>
      </c>
      <c r="E6177" t="s">
        <v>179</v>
      </c>
      <c r="F6177">
        <v>34</v>
      </c>
      <c r="G6177" t="s">
        <v>199</v>
      </c>
      <c r="H6177" t="s">
        <v>187</v>
      </c>
      <c r="I6177" t="s">
        <v>1053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172</v>
      </c>
      <c r="D6178" t="s">
        <v>88</v>
      </c>
      <c r="E6178" t="s">
        <v>179</v>
      </c>
      <c r="F6178">
        <v>34</v>
      </c>
      <c r="G6178" t="s">
        <v>199</v>
      </c>
      <c r="H6178" t="s">
        <v>187</v>
      </c>
      <c r="I6178" t="s">
        <v>1054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172</v>
      </c>
      <c r="D6179" t="s">
        <v>88</v>
      </c>
      <c r="E6179" t="s">
        <v>179</v>
      </c>
      <c r="F6179">
        <v>34</v>
      </c>
      <c r="G6179" t="s">
        <v>199</v>
      </c>
      <c r="H6179" t="s">
        <v>187</v>
      </c>
      <c r="I6179" t="s">
        <v>1045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172</v>
      </c>
      <c r="D6180" t="s">
        <v>88</v>
      </c>
      <c r="E6180" t="s">
        <v>179</v>
      </c>
      <c r="F6180">
        <v>34</v>
      </c>
      <c r="G6180" t="s">
        <v>199</v>
      </c>
      <c r="H6180" t="s">
        <v>187</v>
      </c>
      <c r="I6180" t="s">
        <v>1046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172</v>
      </c>
      <c r="D6181" t="s">
        <v>88</v>
      </c>
      <c r="E6181" t="s">
        <v>179</v>
      </c>
      <c r="F6181">
        <v>34</v>
      </c>
      <c r="G6181" t="s">
        <v>199</v>
      </c>
      <c r="H6181" t="s">
        <v>188</v>
      </c>
      <c r="I6181" t="s">
        <v>1049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172</v>
      </c>
      <c r="D6182" t="s">
        <v>88</v>
      </c>
      <c r="E6182" t="s">
        <v>179</v>
      </c>
      <c r="F6182">
        <v>34</v>
      </c>
      <c r="G6182" t="s">
        <v>199</v>
      </c>
      <c r="H6182" t="s">
        <v>188</v>
      </c>
      <c r="I6182" t="s">
        <v>1050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172</v>
      </c>
      <c r="D6183" t="s">
        <v>88</v>
      </c>
      <c r="E6183" t="s">
        <v>179</v>
      </c>
      <c r="F6183">
        <v>34</v>
      </c>
      <c r="G6183" t="s">
        <v>199</v>
      </c>
      <c r="H6183" t="s">
        <v>188</v>
      </c>
      <c r="I6183" t="s">
        <v>1051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172</v>
      </c>
      <c r="D6184" t="s">
        <v>88</v>
      </c>
      <c r="E6184" t="s">
        <v>179</v>
      </c>
      <c r="F6184">
        <v>34</v>
      </c>
      <c r="G6184" t="s">
        <v>199</v>
      </c>
      <c r="H6184" t="s">
        <v>188</v>
      </c>
      <c r="I6184" t="s">
        <v>1052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172</v>
      </c>
      <c r="D6185" t="s">
        <v>88</v>
      </c>
      <c r="E6185" t="s">
        <v>179</v>
      </c>
      <c r="F6185">
        <v>34</v>
      </c>
      <c r="G6185" t="s">
        <v>199</v>
      </c>
      <c r="H6185" t="s">
        <v>188</v>
      </c>
      <c r="I6185" t="s">
        <v>176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172</v>
      </c>
      <c r="D6186" t="s">
        <v>88</v>
      </c>
      <c r="E6186" t="s">
        <v>179</v>
      </c>
      <c r="F6186">
        <v>34</v>
      </c>
      <c r="G6186" t="s">
        <v>199</v>
      </c>
      <c r="H6186" t="s">
        <v>188</v>
      </c>
      <c r="I6186" t="s">
        <v>1053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172</v>
      </c>
      <c r="D6187" t="s">
        <v>88</v>
      </c>
      <c r="E6187" t="s">
        <v>179</v>
      </c>
      <c r="F6187">
        <v>34</v>
      </c>
      <c r="G6187" t="s">
        <v>199</v>
      </c>
      <c r="H6187" t="s">
        <v>188</v>
      </c>
      <c r="I6187" t="s">
        <v>1054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172</v>
      </c>
      <c r="D6188" t="s">
        <v>88</v>
      </c>
      <c r="E6188" t="s">
        <v>179</v>
      </c>
      <c r="F6188">
        <v>34</v>
      </c>
      <c r="G6188" t="s">
        <v>199</v>
      </c>
      <c r="H6188" t="s">
        <v>188</v>
      </c>
      <c r="I6188" t="s">
        <v>1045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172</v>
      </c>
      <c r="D6189" t="s">
        <v>88</v>
      </c>
      <c r="E6189" t="s">
        <v>179</v>
      </c>
      <c r="F6189">
        <v>34</v>
      </c>
      <c r="G6189" t="s">
        <v>199</v>
      </c>
      <c r="H6189" t="s">
        <v>188</v>
      </c>
      <c r="I6189" t="s">
        <v>1046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172</v>
      </c>
      <c r="D6190" t="s">
        <v>88</v>
      </c>
      <c r="E6190" t="s">
        <v>179</v>
      </c>
      <c r="F6190">
        <v>34</v>
      </c>
      <c r="G6190" t="s">
        <v>199</v>
      </c>
      <c r="H6190" t="s">
        <v>198</v>
      </c>
      <c r="I6190" t="s">
        <v>1049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172</v>
      </c>
      <c r="D6191" t="s">
        <v>88</v>
      </c>
      <c r="E6191" t="s">
        <v>179</v>
      </c>
      <c r="F6191">
        <v>34</v>
      </c>
      <c r="G6191" t="s">
        <v>199</v>
      </c>
      <c r="H6191" t="s">
        <v>198</v>
      </c>
      <c r="I6191" t="s">
        <v>1050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172</v>
      </c>
      <c r="D6192" t="s">
        <v>88</v>
      </c>
      <c r="E6192" t="s">
        <v>179</v>
      </c>
      <c r="F6192">
        <v>34</v>
      </c>
      <c r="G6192" t="s">
        <v>199</v>
      </c>
      <c r="H6192" t="s">
        <v>198</v>
      </c>
      <c r="I6192" t="s">
        <v>1051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172</v>
      </c>
      <c r="D6193" t="s">
        <v>88</v>
      </c>
      <c r="E6193" t="s">
        <v>179</v>
      </c>
      <c r="F6193">
        <v>34</v>
      </c>
      <c r="G6193" t="s">
        <v>199</v>
      </c>
      <c r="H6193" t="s">
        <v>198</v>
      </c>
      <c r="I6193" t="s">
        <v>1052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172</v>
      </c>
      <c r="D6194" t="s">
        <v>88</v>
      </c>
      <c r="E6194" t="s">
        <v>179</v>
      </c>
      <c r="F6194">
        <v>34</v>
      </c>
      <c r="G6194" t="s">
        <v>199</v>
      </c>
      <c r="H6194" t="s">
        <v>198</v>
      </c>
      <c r="I6194" t="s">
        <v>176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172</v>
      </c>
      <c r="D6195" t="s">
        <v>88</v>
      </c>
      <c r="E6195" t="s">
        <v>179</v>
      </c>
      <c r="F6195">
        <v>34</v>
      </c>
      <c r="G6195" t="s">
        <v>199</v>
      </c>
      <c r="H6195" t="s">
        <v>198</v>
      </c>
      <c r="I6195" t="s">
        <v>1053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172</v>
      </c>
      <c r="D6196" t="s">
        <v>88</v>
      </c>
      <c r="E6196" t="s">
        <v>179</v>
      </c>
      <c r="F6196">
        <v>34</v>
      </c>
      <c r="G6196" t="s">
        <v>199</v>
      </c>
      <c r="H6196" t="s">
        <v>198</v>
      </c>
      <c r="I6196" t="s">
        <v>1054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172</v>
      </c>
      <c r="D6197" t="s">
        <v>88</v>
      </c>
      <c r="E6197" t="s">
        <v>179</v>
      </c>
      <c r="F6197">
        <v>34</v>
      </c>
      <c r="G6197" t="s">
        <v>199</v>
      </c>
      <c r="H6197" t="s">
        <v>198</v>
      </c>
      <c r="I6197" t="s">
        <v>1045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172</v>
      </c>
      <c r="D6198" t="s">
        <v>88</v>
      </c>
      <c r="E6198" t="s">
        <v>179</v>
      </c>
      <c r="F6198">
        <v>34</v>
      </c>
      <c r="G6198" t="s">
        <v>199</v>
      </c>
      <c r="H6198" t="s">
        <v>198</v>
      </c>
      <c r="I6198" t="s">
        <v>1046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172</v>
      </c>
      <c r="D6199" t="s">
        <v>88</v>
      </c>
      <c r="E6199" t="s">
        <v>179</v>
      </c>
      <c r="F6199">
        <v>34</v>
      </c>
      <c r="G6199" t="s">
        <v>203</v>
      </c>
      <c r="H6199" t="s">
        <v>204</v>
      </c>
      <c r="I6199" t="s">
        <v>184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172</v>
      </c>
      <c r="D6200" t="s">
        <v>88</v>
      </c>
      <c r="E6200" t="s">
        <v>179</v>
      </c>
      <c r="F6200">
        <v>34</v>
      </c>
      <c r="G6200" t="s">
        <v>203</v>
      </c>
      <c r="H6200" t="s">
        <v>204</v>
      </c>
      <c r="I6200" t="s">
        <v>1055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172</v>
      </c>
      <c r="D6201" t="s">
        <v>88</v>
      </c>
      <c r="E6201" t="s">
        <v>179</v>
      </c>
      <c r="F6201">
        <v>34</v>
      </c>
      <c r="G6201" t="s">
        <v>203</v>
      </c>
      <c r="H6201" t="s">
        <v>205</v>
      </c>
      <c r="I6201" t="s">
        <v>184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172</v>
      </c>
      <c r="D6202" t="s">
        <v>88</v>
      </c>
      <c r="E6202" t="s">
        <v>179</v>
      </c>
      <c r="F6202">
        <v>34</v>
      </c>
      <c r="G6202" t="s">
        <v>203</v>
      </c>
      <c r="H6202" t="s">
        <v>205</v>
      </c>
      <c r="I6202" t="s">
        <v>1055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172</v>
      </c>
      <c r="D6203" t="s">
        <v>88</v>
      </c>
      <c r="E6203" t="s">
        <v>179</v>
      </c>
      <c r="F6203">
        <v>34</v>
      </c>
      <c r="G6203" t="s">
        <v>203</v>
      </c>
      <c r="H6203" t="s">
        <v>0</v>
      </c>
      <c r="I6203" t="s">
        <v>184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172</v>
      </c>
      <c r="D6204" t="s">
        <v>88</v>
      </c>
      <c r="E6204" t="s">
        <v>179</v>
      </c>
      <c r="F6204">
        <v>34</v>
      </c>
      <c r="G6204" t="s">
        <v>203</v>
      </c>
      <c r="H6204" t="s">
        <v>0</v>
      </c>
      <c r="I6204" t="s">
        <v>1055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172</v>
      </c>
      <c r="D6205" t="s">
        <v>88</v>
      </c>
      <c r="E6205" t="s">
        <v>179</v>
      </c>
      <c r="F6205">
        <v>34</v>
      </c>
      <c r="G6205" t="s">
        <v>90</v>
      </c>
      <c r="H6205" t="s">
        <v>206</v>
      </c>
      <c r="I6205" t="s">
        <v>1056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172</v>
      </c>
      <c r="D6206" t="s">
        <v>88</v>
      </c>
      <c r="E6206" t="s">
        <v>179</v>
      </c>
      <c r="F6206">
        <v>34</v>
      </c>
      <c r="G6206" t="s">
        <v>90</v>
      </c>
      <c r="H6206" t="s">
        <v>227</v>
      </c>
      <c r="I6206" t="s">
        <v>1056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172</v>
      </c>
      <c r="D6207" t="s">
        <v>88</v>
      </c>
      <c r="E6207" t="s">
        <v>179</v>
      </c>
      <c r="F6207">
        <v>34</v>
      </c>
      <c r="G6207" t="s">
        <v>90</v>
      </c>
      <c r="H6207" t="s">
        <v>228</v>
      </c>
      <c r="I6207" t="s">
        <v>1056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172</v>
      </c>
      <c r="D6208" t="s">
        <v>88</v>
      </c>
      <c r="E6208" t="s">
        <v>179</v>
      </c>
      <c r="F6208">
        <v>34</v>
      </c>
      <c r="G6208" t="s">
        <v>90</v>
      </c>
      <c r="H6208" t="s">
        <v>229</v>
      </c>
      <c r="I6208" t="s">
        <v>1056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172</v>
      </c>
      <c r="D6209" t="s">
        <v>88</v>
      </c>
      <c r="E6209" t="s">
        <v>179</v>
      </c>
      <c r="F6209">
        <v>34</v>
      </c>
      <c r="G6209" t="s">
        <v>90</v>
      </c>
      <c r="H6209" t="s">
        <v>91</v>
      </c>
      <c r="I6209" t="s">
        <v>1056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172</v>
      </c>
      <c r="D6210" t="s">
        <v>88</v>
      </c>
      <c r="E6210" t="s">
        <v>179</v>
      </c>
      <c r="F6210">
        <v>34</v>
      </c>
      <c r="G6210" t="s">
        <v>90</v>
      </c>
      <c r="H6210" t="s">
        <v>230</v>
      </c>
      <c r="I6210" t="s">
        <v>1056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172</v>
      </c>
      <c r="D6211" t="s">
        <v>88</v>
      </c>
      <c r="E6211" t="s">
        <v>179</v>
      </c>
      <c r="F6211">
        <v>34</v>
      </c>
      <c r="G6211" t="s">
        <v>90</v>
      </c>
      <c r="H6211" t="s">
        <v>188</v>
      </c>
      <c r="I6211" t="s">
        <v>1056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172</v>
      </c>
      <c r="D6212" t="s">
        <v>88</v>
      </c>
      <c r="E6212" t="s">
        <v>179</v>
      </c>
      <c r="F6212">
        <v>34</v>
      </c>
      <c r="G6212" t="s">
        <v>271</v>
      </c>
      <c r="H6212" t="s">
        <v>189</v>
      </c>
      <c r="I6212" t="s">
        <v>1056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172</v>
      </c>
      <c r="D6213" t="s">
        <v>88</v>
      </c>
      <c r="E6213" t="s">
        <v>179</v>
      </c>
      <c r="F6213">
        <v>34</v>
      </c>
      <c r="G6213" t="s">
        <v>271</v>
      </c>
      <c r="H6213" t="s">
        <v>186</v>
      </c>
      <c r="I6213" t="s">
        <v>1056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172</v>
      </c>
      <c r="D6214" t="s">
        <v>88</v>
      </c>
      <c r="E6214" t="s">
        <v>179</v>
      </c>
      <c r="F6214">
        <v>34</v>
      </c>
      <c r="G6214" t="s">
        <v>271</v>
      </c>
      <c r="H6214" t="s">
        <v>188</v>
      </c>
      <c r="I6214" t="s">
        <v>1056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172</v>
      </c>
      <c r="D6215" t="s">
        <v>88</v>
      </c>
      <c r="E6215" t="s">
        <v>179</v>
      </c>
      <c r="F6215">
        <v>34</v>
      </c>
      <c r="G6215" t="s">
        <v>272</v>
      </c>
      <c r="H6215" t="s">
        <v>232</v>
      </c>
      <c r="I6215" t="s">
        <v>176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172</v>
      </c>
      <c r="D6216" t="s">
        <v>88</v>
      </c>
      <c r="E6216" t="s">
        <v>179</v>
      </c>
      <c r="F6216">
        <v>34</v>
      </c>
      <c r="G6216" t="s">
        <v>272</v>
      </c>
      <c r="H6216" t="s">
        <v>186</v>
      </c>
      <c r="I6216" t="s">
        <v>176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172</v>
      </c>
      <c r="D6217" t="s">
        <v>88</v>
      </c>
      <c r="E6217" t="s">
        <v>179</v>
      </c>
      <c r="F6217">
        <v>34</v>
      </c>
      <c r="G6217" t="s">
        <v>272</v>
      </c>
      <c r="H6217" t="s">
        <v>187</v>
      </c>
      <c r="I6217" t="s">
        <v>176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172</v>
      </c>
      <c r="D6218" t="s">
        <v>88</v>
      </c>
      <c r="E6218" t="s">
        <v>179</v>
      </c>
      <c r="F6218">
        <v>34</v>
      </c>
      <c r="G6218" t="s">
        <v>272</v>
      </c>
      <c r="H6218" t="s">
        <v>198</v>
      </c>
      <c r="I6218" t="s">
        <v>176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172</v>
      </c>
      <c r="D6219" t="s">
        <v>88</v>
      </c>
      <c r="E6219" t="s">
        <v>179</v>
      </c>
      <c r="F6219">
        <v>34</v>
      </c>
      <c r="G6219" t="s">
        <v>272</v>
      </c>
      <c r="H6219" t="s">
        <v>188</v>
      </c>
      <c r="I6219" t="s">
        <v>176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172</v>
      </c>
      <c r="D6220" t="s">
        <v>88</v>
      </c>
      <c r="E6220" t="s">
        <v>179</v>
      </c>
      <c r="F6220">
        <v>34</v>
      </c>
      <c r="G6220" t="s">
        <v>231</v>
      </c>
      <c r="H6220" t="s">
        <v>232</v>
      </c>
      <c r="I6220" t="s">
        <v>176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172</v>
      </c>
      <c r="D6221" t="s">
        <v>88</v>
      </c>
      <c r="E6221" t="s">
        <v>179</v>
      </c>
      <c r="F6221">
        <v>34</v>
      </c>
      <c r="G6221" t="s">
        <v>231</v>
      </c>
      <c r="H6221" t="s">
        <v>186</v>
      </c>
      <c r="I6221" t="s">
        <v>176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172</v>
      </c>
      <c r="D6222" t="s">
        <v>88</v>
      </c>
      <c r="E6222" t="s">
        <v>179</v>
      </c>
      <c r="F6222">
        <v>34</v>
      </c>
      <c r="G6222" t="s">
        <v>231</v>
      </c>
      <c r="H6222" t="s">
        <v>187</v>
      </c>
      <c r="I6222" t="s">
        <v>176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172</v>
      </c>
      <c r="D6223" t="s">
        <v>88</v>
      </c>
      <c r="E6223" t="s">
        <v>179</v>
      </c>
      <c r="F6223">
        <v>34</v>
      </c>
      <c r="G6223" t="s">
        <v>231</v>
      </c>
      <c r="H6223" t="s">
        <v>198</v>
      </c>
      <c r="I6223" t="s">
        <v>176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172</v>
      </c>
      <c r="D6224" t="s">
        <v>88</v>
      </c>
      <c r="E6224" t="s">
        <v>179</v>
      </c>
      <c r="F6224">
        <v>34</v>
      </c>
      <c r="G6224" t="s">
        <v>231</v>
      </c>
      <c r="H6224" t="s">
        <v>188</v>
      </c>
      <c r="I6224" t="s">
        <v>176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172</v>
      </c>
      <c r="D6225" t="s">
        <v>88</v>
      </c>
      <c r="E6225" t="s">
        <v>179</v>
      </c>
      <c r="F6225">
        <v>34</v>
      </c>
      <c r="G6225" t="s">
        <v>233</v>
      </c>
      <c r="H6225" t="s">
        <v>234</v>
      </c>
      <c r="I6225" t="s">
        <v>1057</v>
      </c>
      <c r="J6225" s="73">
        <v>45658</v>
      </c>
    </row>
    <row r="6226" spans="1:10" x14ac:dyDescent="0.25">
      <c r="A6226" s="1" t="s">
        <v>27</v>
      </c>
      <c r="B6226">
        <v>401752936</v>
      </c>
      <c r="C6226" t="s">
        <v>172</v>
      </c>
      <c r="D6226" t="s">
        <v>88</v>
      </c>
      <c r="E6226" t="s">
        <v>179</v>
      </c>
      <c r="F6226">
        <v>34</v>
      </c>
      <c r="G6226" t="s">
        <v>233</v>
      </c>
      <c r="H6226" t="s">
        <v>234</v>
      </c>
      <c r="I6226" t="s">
        <v>1058</v>
      </c>
      <c r="J6226" s="73">
        <v>45658</v>
      </c>
    </row>
    <row r="6227" spans="1:10" x14ac:dyDescent="0.25">
      <c r="A6227" s="1" t="s">
        <v>27</v>
      </c>
      <c r="B6227">
        <v>401752936</v>
      </c>
      <c r="C6227" t="s">
        <v>172</v>
      </c>
      <c r="D6227" t="s">
        <v>88</v>
      </c>
      <c r="E6227" t="s">
        <v>179</v>
      </c>
      <c r="F6227">
        <v>34</v>
      </c>
      <c r="G6227" t="s">
        <v>233</v>
      </c>
      <c r="H6227" t="s">
        <v>236</v>
      </c>
      <c r="I6227" t="s">
        <v>1057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172</v>
      </c>
      <c r="D6228" t="s">
        <v>88</v>
      </c>
      <c r="E6228" t="s">
        <v>179</v>
      </c>
      <c r="F6228">
        <v>34</v>
      </c>
      <c r="G6228" t="s">
        <v>233</v>
      </c>
      <c r="H6228" t="s">
        <v>236</v>
      </c>
      <c r="I6228" t="s">
        <v>1058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172</v>
      </c>
      <c r="D6229" t="s">
        <v>88</v>
      </c>
      <c r="E6229" t="s">
        <v>179</v>
      </c>
      <c r="F6229">
        <v>34</v>
      </c>
      <c r="G6229" t="s">
        <v>233</v>
      </c>
      <c r="H6229" t="s">
        <v>198</v>
      </c>
      <c r="I6229" t="s">
        <v>1057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172</v>
      </c>
      <c r="D6230" t="s">
        <v>88</v>
      </c>
      <c r="E6230" t="s">
        <v>179</v>
      </c>
      <c r="F6230">
        <v>34</v>
      </c>
      <c r="G6230" t="s">
        <v>233</v>
      </c>
      <c r="H6230" t="s">
        <v>198</v>
      </c>
      <c r="I6230" t="s">
        <v>1058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172</v>
      </c>
      <c r="D6231" t="s">
        <v>88</v>
      </c>
      <c r="E6231" t="s">
        <v>179</v>
      </c>
      <c r="F6231">
        <v>34</v>
      </c>
      <c r="G6231" t="s">
        <v>233</v>
      </c>
      <c r="H6231" t="s">
        <v>237</v>
      </c>
      <c r="I6231" t="s">
        <v>1057</v>
      </c>
      <c r="J6231" s="73">
        <v>45751</v>
      </c>
    </row>
    <row r="6232" spans="1:10" x14ac:dyDescent="0.25">
      <c r="A6232" s="1" t="s">
        <v>27</v>
      </c>
      <c r="B6232">
        <v>401752936</v>
      </c>
      <c r="C6232" t="s">
        <v>172</v>
      </c>
      <c r="D6232" t="s">
        <v>88</v>
      </c>
      <c r="E6232" t="s">
        <v>179</v>
      </c>
      <c r="F6232">
        <v>34</v>
      </c>
      <c r="G6232" t="s">
        <v>233</v>
      </c>
      <c r="H6232" t="s">
        <v>237</v>
      </c>
      <c r="I6232" t="s">
        <v>1058</v>
      </c>
      <c r="J6232" t="s">
        <v>368</v>
      </c>
    </row>
    <row r="6233" spans="1:10" x14ac:dyDescent="0.25">
      <c r="A6233" s="1" t="s">
        <v>27</v>
      </c>
      <c r="B6233">
        <v>401752936</v>
      </c>
      <c r="C6233" t="s">
        <v>172</v>
      </c>
      <c r="D6233" t="s">
        <v>88</v>
      </c>
      <c r="E6233" t="s">
        <v>179</v>
      </c>
      <c r="F6233">
        <v>34</v>
      </c>
      <c r="G6233" t="s">
        <v>233</v>
      </c>
      <c r="H6233" t="s">
        <v>238</v>
      </c>
      <c r="I6233" t="s">
        <v>1057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172</v>
      </c>
      <c r="D6234" t="s">
        <v>88</v>
      </c>
      <c r="E6234" t="s">
        <v>179</v>
      </c>
      <c r="F6234">
        <v>34</v>
      </c>
      <c r="G6234" t="s">
        <v>233</v>
      </c>
      <c r="H6234" t="s">
        <v>238</v>
      </c>
      <c r="I6234" t="s">
        <v>1058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172</v>
      </c>
      <c r="D6235" t="s">
        <v>88</v>
      </c>
      <c r="E6235" t="s">
        <v>179</v>
      </c>
      <c r="F6235">
        <v>34</v>
      </c>
      <c r="G6235" t="s">
        <v>239</v>
      </c>
      <c r="H6235" t="s">
        <v>232</v>
      </c>
      <c r="I6235" t="s">
        <v>1059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172</v>
      </c>
      <c r="D6236" t="s">
        <v>88</v>
      </c>
      <c r="E6236" t="s">
        <v>179</v>
      </c>
      <c r="F6236">
        <v>34</v>
      </c>
      <c r="G6236" t="s">
        <v>239</v>
      </c>
      <c r="H6236" t="s">
        <v>232</v>
      </c>
      <c r="I6236" t="s">
        <v>1060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172</v>
      </c>
      <c r="D6237" t="s">
        <v>88</v>
      </c>
      <c r="E6237" t="s">
        <v>179</v>
      </c>
      <c r="F6237">
        <v>34</v>
      </c>
      <c r="G6237" t="s">
        <v>239</v>
      </c>
      <c r="H6237" t="s">
        <v>186</v>
      </c>
      <c r="I6237" t="s">
        <v>1059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172</v>
      </c>
      <c r="D6238" t="s">
        <v>88</v>
      </c>
      <c r="E6238" t="s">
        <v>179</v>
      </c>
      <c r="F6238">
        <v>34</v>
      </c>
      <c r="G6238" t="s">
        <v>239</v>
      </c>
      <c r="H6238" t="s">
        <v>186</v>
      </c>
      <c r="I6238" t="s">
        <v>1060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172</v>
      </c>
      <c r="D6239" t="s">
        <v>88</v>
      </c>
      <c r="E6239" t="s">
        <v>179</v>
      </c>
      <c r="F6239">
        <v>34</v>
      </c>
      <c r="G6239" t="s">
        <v>239</v>
      </c>
      <c r="H6239" t="s">
        <v>187</v>
      </c>
      <c r="I6239" t="s">
        <v>1059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172</v>
      </c>
      <c r="D6240" t="s">
        <v>88</v>
      </c>
      <c r="E6240" t="s">
        <v>179</v>
      </c>
      <c r="F6240">
        <v>34</v>
      </c>
      <c r="G6240" t="s">
        <v>239</v>
      </c>
      <c r="H6240" t="s">
        <v>187</v>
      </c>
      <c r="I6240" t="s">
        <v>1060</v>
      </c>
      <c r="J6240">
        <v>33</v>
      </c>
    </row>
    <row r="6241" spans="1:10" x14ac:dyDescent="0.25">
      <c r="A6241" s="1" t="s">
        <v>27</v>
      </c>
      <c r="B6241">
        <v>401752936</v>
      </c>
      <c r="C6241" t="s">
        <v>172</v>
      </c>
      <c r="D6241" t="s">
        <v>88</v>
      </c>
      <c r="E6241" t="s">
        <v>179</v>
      </c>
      <c r="F6241">
        <v>34</v>
      </c>
      <c r="G6241" t="s">
        <v>239</v>
      </c>
      <c r="H6241" t="s">
        <v>241</v>
      </c>
      <c r="I6241" t="s">
        <v>1059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172</v>
      </c>
      <c r="D6242" t="s">
        <v>88</v>
      </c>
      <c r="E6242" t="s">
        <v>179</v>
      </c>
      <c r="F6242">
        <v>34</v>
      </c>
      <c r="G6242" t="s">
        <v>239</v>
      </c>
      <c r="H6242" t="s">
        <v>241</v>
      </c>
      <c r="I6242" t="s">
        <v>1060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172</v>
      </c>
      <c r="D6243" t="s">
        <v>88</v>
      </c>
      <c r="E6243" t="s">
        <v>179</v>
      </c>
      <c r="F6243">
        <v>34</v>
      </c>
      <c r="G6243" t="s">
        <v>239</v>
      </c>
      <c r="H6243" t="s">
        <v>242</v>
      </c>
      <c r="I6243" t="s">
        <v>1059</v>
      </c>
      <c r="J6243">
        <v>2</v>
      </c>
    </row>
    <row r="6244" spans="1:10" x14ac:dyDescent="0.25">
      <c r="A6244" s="1" t="s">
        <v>27</v>
      </c>
      <c r="B6244">
        <v>401752936</v>
      </c>
      <c r="C6244" t="s">
        <v>172</v>
      </c>
      <c r="D6244" t="s">
        <v>88</v>
      </c>
      <c r="E6244" t="s">
        <v>179</v>
      </c>
      <c r="F6244">
        <v>34</v>
      </c>
      <c r="G6244" t="s">
        <v>239</v>
      </c>
      <c r="H6244" t="s">
        <v>242</v>
      </c>
      <c r="I6244" t="s">
        <v>1060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172</v>
      </c>
      <c r="D6245" t="s">
        <v>88</v>
      </c>
      <c r="E6245" t="s">
        <v>179</v>
      </c>
      <c r="F6245">
        <v>34</v>
      </c>
      <c r="G6245" t="s">
        <v>239</v>
      </c>
      <c r="H6245" t="s">
        <v>198</v>
      </c>
      <c r="I6245" t="s">
        <v>1059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172</v>
      </c>
      <c r="D6246" t="s">
        <v>88</v>
      </c>
      <c r="E6246" t="s">
        <v>179</v>
      </c>
      <c r="F6246">
        <v>34</v>
      </c>
      <c r="G6246" t="s">
        <v>239</v>
      </c>
      <c r="H6246" t="s">
        <v>198</v>
      </c>
      <c r="I6246" t="s">
        <v>1060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171</v>
      </c>
      <c r="D6247" t="s">
        <v>1061</v>
      </c>
      <c r="E6247" t="s">
        <v>89</v>
      </c>
      <c r="F6247">
        <v>15</v>
      </c>
      <c r="G6247" t="s">
        <v>180</v>
      </c>
      <c r="H6247" t="s">
        <v>181</v>
      </c>
      <c r="I6247" t="s">
        <v>1062</v>
      </c>
      <c r="J6247" t="s">
        <v>1063</v>
      </c>
    </row>
    <row r="6248" spans="1:10" x14ac:dyDescent="0.25">
      <c r="A6248" s="1" t="s">
        <v>27</v>
      </c>
      <c r="B6248">
        <v>401752936</v>
      </c>
      <c r="C6248" t="s">
        <v>171</v>
      </c>
      <c r="D6248" t="s">
        <v>1061</v>
      </c>
      <c r="E6248" t="s">
        <v>89</v>
      </c>
      <c r="F6248">
        <v>15</v>
      </c>
      <c r="G6248" t="s">
        <v>180</v>
      </c>
      <c r="H6248" t="s">
        <v>181</v>
      </c>
      <c r="I6248" t="s">
        <v>1064</v>
      </c>
      <c r="J6248" s="73">
        <v>45658</v>
      </c>
    </row>
    <row r="6249" spans="1:10" x14ac:dyDescent="0.25">
      <c r="A6249" s="1" t="s">
        <v>27</v>
      </c>
      <c r="B6249">
        <v>401752936</v>
      </c>
      <c r="C6249" t="s">
        <v>171</v>
      </c>
      <c r="D6249" t="s">
        <v>1061</v>
      </c>
      <c r="E6249" t="s">
        <v>89</v>
      </c>
      <c r="F6249">
        <v>15</v>
      </c>
      <c r="G6249" t="s">
        <v>180</v>
      </c>
      <c r="H6249" t="s">
        <v>186</v>
      </c>
      <c r="I6249" t="s">
        <v>1062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171</v>
      </c>
      <c r="D6250" t="s">
        <v>1061</v>
      </c>
      <c r="E6250" t="s">
        <v>89</v>
      </c>
      <c r="F6250">
        <v>15</v>
      </c>
      <c r="G6250" t="s">
        <v>180</v>
      </c>
      <c r="H6250" t="s">
        <v>186</v>
      </c>
      <c r="I6250" t="s">
        <v>1064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171</v>
      </c>
      <c r="D6251" t="s">
        <v>1061</v>
      </c>
      <c r="E6251" t="s">
        <v>89</v>
      </c>
      <c r="F6251">
        <v>15</v>
      </c>
      <c r="G6251" t="s">
        <v>180</v>
      </c>
      <c r="H6251" t="s">
        <v>187</v>
      </c>
      <c r="I6251" t="s">
        <v>1062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171</v>
      </c>
      <c r="D6252" t="s">
        <v>1061</v>
      </c>
      <c r="E6252" t="s">
        <v>89</v>
      </c>
      <c r="F6252">
        <v>15</v>
      </c>
      <c r="G6252" t="s">
        <v>180</v>
      </c>
      <c r="H6252" t="s">
        <v>187</v>
      </c>
      <c r="I6252" t="s">
        <v>1064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171</v>
      </c>
      <c r="D6253" t="s">
        <v>1061</v>
      </c>
      <c r="E6253" t="s">
        <v>89</v>
      </c>
      <c r="F6253">
        <v>15</v>
      </c>
      <c r="G6253" t="s">
        <v>180</v>
      </c>
      <c r="H6253" t="s">
        <v>188</v>
      </c>
      <c r="I6253" t="s">
        <v>1062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171</v>
      </c>
      <c r="D6254" t="s">
        <v>1061</v>
      </c>
      <c r="E6254" t="s">
        <v>89</v>
      </c>
      <c r="F6254">
        <v>15</v>
      </c>
      <c r="G6254" t="s">
        <v>180</v>
      </c>
      <c r="H6254" t="s">
        <v>188</v>
      </c>
      <c r="I6254" t="s">
        <v>1064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171</v>
      </c>
      <c r="D6255" t="s">
        <v>1061</v>
      </c>
      <c r="E6255" t="s">
        <v>89</v>
      </c>
      <c r="F6255">
        <v>15</v>
      </c>
      <c r="G6255" t="s">
        <v>180</v>
      </c>
      <c r="H6255" t="s">
        <v>189</v>
      </c>
      <c r="I6255" t="s">
        <v>1062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171</v>
      </c>
      <c r="D6256" t="s">
        <v>1061</v>
      </c>
      <c r="E6256" t="s">
        <v>89</v>
      </c>
      <c r="F6256">
        <v>15</v>
      </c>
      <c r="G6256" t="s">
        <v>180</v>
      </c>
      <c r="H6256" t="s">
        <v>189</v>
      </c>
      <c r="I6256" t="s">
        <v>1064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171</v>
      </c>
      <c r="D6257" t="s">
        <v>1061</v>
      </c>
      <c r="E6257" t="s">
        <v>89</v>
      </c>
      <c r="F6257">
        <v>15</v>
      </c>
      <c r="G6257" t="s">
        <v>192</v>
      </c>
      <c r="H6257" t="s">
        <v>193</v>
      </c>
      <c r="I6257" t="s">
        <v>170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171</v>
      </c>
      <c r="D6258" t="s">
        <v>1061</v>
      </c>
      <c r="E6258" t="s">
        <v>89</v>
      </c>
      <c r="F6258">
        <v>15</v>
      </c>
      <c r="G6258" t="s">
        <v>192</v>
      </c>
      <c r="H6258" t="s">
        <v>193</v>
      </c>
      <c r="I6258" t="s">
        <v>1062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171</v>
      </c>
      <c r="D6259" t="s">
        <v>1061</v>
      </c>
      <c r="E6259" t="s">
        <v>89</v>
      </c>
      <c r="F6259">
        <v>15</v>
      </c>
      <c r="G6259" t="s">
        <v>192</v>
      </c>
      <c r="H6259" t="s">
        <v>193</v>
      </c>
      <c r="I6259" t="s">
        <v>1065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171</v>
      </c>
      <c r="D6260" t="s">
        <v>1061</v>
      </c>
      <c r="E6260" t="s">
        <v>89</v>
      </c>
      <c r="F6260">
        <v>15</v>
      </c>
      <c r="G6260" t="s">
        <v>192</v>
      </c>
      <c r="H6260" t="s">
        <v>193</v>
      </c>
      <c r="I6260" t="s">
        <v>1064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171</v>
      </c>
      <c r="D6261" t="s">
        <v>1061</v>
      </c>
      <c r="E6261" t="s">
        <v>89</v>
      </c>
      <c r="F6261">
        <v>15</v>
      </c>
      <c r="G6261" t="s">
        <v>192</v>
      </c>
      <c r="H6261" t="s">
        <v>193</v>
      </c>
      <c r="I6261" t="s">
        <v>1066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171</v>
      </c>
      <c r="D6262" t="s">
        <v>1061</v>
      </c>
      <c r="E6262" t="s">
        <v>89</v>
      </c>
      <c r="F6262">
        <v>15</v>
      </c>
      <c r="G6262" t="s">
        <v>192</v>
      </c>
      <c r="H6262" t="s">
        <v>193</v>
      </c>
      <c r="I6262" t="s">
        <v>1067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171</v>
      </c>
      <c r="D6263" t="s">
        <v>1061</v>
      </c>
      <c r="E6263" t="s">
        <v>89</v>
      </c>
      <c r="F6263">
        <v>15</v>
      </c>
      <c r="G6263" t="s">
        <v>192</v>
      </c>
      <c r="H6263" t="s">
        <v>193</v>
      </c>
      <c r="I6263" t="s">
        <v>184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171</v>
      </c>
      <c r="D6264" t="s">
        <v>1061</v>
      </c>
      <c r="E6264" t="s">
        <v>89</v>
      </c>
      <c r="F6264">
        <v>15</v>
      </c>
      <c r="G6264" t="s">
        <v>192</v>
      </c>
      <c r="H6264" t="s">
        <v>186</v>
      </c>
      <c r="I6264" t="s">
        <v>170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171</v>
      </c>
      <c r="D6265" t="s">
        <v>1061</v>
      </c>
      <c r="E6265" t="s">
        <v>89</v>
      </c>
      <c r="F6265">
        <v>15</v>
      </c>
      <c r="G6265" t="s">
        <v>192</v>
      </c>
      <c r="H6265" t="s">
        <v>186</v>
      </c>
      <c r="I6265" t="s">
        <v>1062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171</v>
      </c>
      <c r="D6266" t="s">
        <v>1061</v>
      </c>
      <c r="E6266" t="s">
        <v>89</v>
      </c>
      <c r="F6266">
        <v>15</v>
      </c>
      <c r="G6266" t="s">
        <v>192</v>
      </c>
      <c r="H6266" t="s">
        <v>186</v>
      </c>
      <c r="I6266" t="s">
        <v>1065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171</v>
      </c>
      <c r="D6267" t="s">
        <v>1061</v>
      </c>
      <c r="E6267" t="s">
        <v>89</v>
      </c>
      <c r="F6267">
        <v>15</v>
      </c>
      <c r="G6267" t="s">
        <v>192</v>
      </c>
      <c r="H6267" t="s">
        <v>186</v>
      </c>
      <c r="I6267" t="s">
        <v>1064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171</v>
      </c>
      <c r="D6268" t="s">
        <v>1061</v>
      </c>
      <c r="E6268" t="s">
        <v>89</v>
      </c>
      <c r="F6268">
        <v>15</v>
      </c>
      <c r="G6268" t="s">
        <v>192</v>
      </c>
      <c r="H6268" t="s">
        <v>186</v>
      </c>
      <c r="I6268" t="s">
        <v>1066</v>
      </c>
      <c r="J6268">
        <v>2</v>
      </c>
    </row>
    <row r="6269" spans="1:10" x14ac:dyDescent="0.25">
      <c r="A6269" s="1" t="s">
        <v>27</v>
      </c>
      <c r="B6269">
        <v>401752936</v>
      </c>
      <c r="C6269" t="s">
        <v>171</v>
      </c>
      <c r="D6269" t="s">
        <v>1061</v>
      </c>
      <c r="E6269" t="s">
        <v>89</v>
      </c>
      <c r="F6269">
        <v>15</v>
      </c>
      <c r="G6269" t="s">
        <v>192</v>
      </c>
      <c r="H6269" t="s">
        <v>186</v>
      </c>
      <c r="I6269" t="s">
        <v>1067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171</v>
      </c>
      <c r="D6270" t="s">
        <v>1061</v>
      </c>
      <c r="E6270" t="s">
        <v>89</v>
      </c>
      <c r="F6270">
        <v>15</v>
      </c>
      <c r="G6270" t="s">
        <v>192</v>
      </c>
      <c r="H6270" t="s">
        <v>186</v>
      </c>
      <c r="I6270" t="s">
        <v>184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171</v>
      </c>
      <c r="D6271" t="s">
        <v>1061</v>
      </c>
      <c r="E6271" t="s">
        <v>89</v>
      </c>
      <c r="F6271">
        <v>15</v>
      </c>
      <c r="G6271" t="s">
        <v>192</v>
      </c>
      <c r="H6271" t="s">
        <v>187</v>
      </c>
      <c r="I6271" t="s">
        <v>170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171</v>
      </c>
      <c r="D6272" t="s">
        <v>1061</v>
      </c>
      <c r="E6272" t="s">
        <v>89</v>
      </c>
      <c r="F6272">
        <v>15</v>
      </c>
      <c r="G6272" t="s">
        <v>192</v>
      </c>
      <c r="H6272" t="s">
        <v>187</v>
      </c>
      <c r="I6272" t="s">
        <v>1062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171</v>
      </c>
      <c r="D6273" t="s">
        <v>1061</v>
      </c>
      <c r="E6273" t="s">
        <v>89</v>
      </c>
      <c r="F6273">
        <v>15</v>
      </c>
      <c r="G6273" t="s">
        <v>192</v>
      </c>
      <c r="H6273" t="s">
        <v>187</v>
      </c>
      <c r="I6273" t="s">
        <v>1065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171</v>
      </c>
      <c r="D6274" t="s">
        <v>1061</v>
      </c>
      <c r="E6274" t="s">
        <v>89</v>
      </c>
      <c r="F6274">
        <v>15</v>
      </c>
      <c r="G6274" t="s">
        <v>192</v>
      </c>
      <c r="H6274" t="s">
        <v>187</v>
      </c>
      <c r="I6274" t="s">
        <v>1064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171</v>
      </c>
      <c r="D6275" t="s">
        <v>1061</v>
      </c>
      <c r="E6275" t="s">
        <v>89</v>
      </c>
      <c r="F6275">
        <v>15</v>
      </c>
      <c r="G6275" t="s">
        <v>192</v>
      </c>
      <c r="H6275" t="s">
        <v>187</v>
      </c>
      <c r="I6275" t="s">
        <v>1066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171</v>
      </c>
      <c r="D6276" t="s">
        <v>1061</v>
      </c>
      <c r="E6276" t="s">
        <v>89</v>
      </c>
      <c r="F6276">
        <v>15</v>
      </c>
      <c r="G6276" t="s">
        <v>192</v>
      </c>
      <c r="H6276" t="s">
        <v>187</v>
      </c>
      <c r="I6276" t="s">
        <v>1067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171</v>
      </c>
      <c r="D6277" t="s">
        <v>1061</v>
      </c>
      <c r="E6277" t="s">
        <v>89</v>
      </c>
      <c r="F6277">
        <v>15</v>
      </c>
      <c r="G6277" t="s">
        <v>192</v>
      </c>
      <c r="H6277" t="s">
        <v>187</v>
      </c>
      <c r="I6277" t="s">
        <v>184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171</v>
      </c>
      <c r="D6278" t="s">
        <v>1061</v>
      </c>
      <c r="E6278" t="s">
        <v>89</v>
      </c>
      <c r="F6278">
        <v>15</v>
      </c>
      <c r="G6278" t="s">
        <v>192</v>
      </c>
      <c r="H6278" t="s">
        <v>188</v>
      </c>
      <c r="I6278" t="s">
        <v>170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171</v>
      </c>
      <c r="D6279" t="s">
        <v>1061</v>
      </c>
      <c r="E6279" t="s">
        <v>89</v>
      </c>
      <c r="F6279">
        <v>15</v>
      </c>
      <c r="G6279" t="s">
        <v>192</v>
      </c>
      <c r="H6279" t="s">
        <v>188</v>
      </c>
      <c r="I6279" t="s">
        <v>1062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171</v>
      </c>
      <c r="D6280" t="s">
        <v>1061</v>
      </c>
      <c r="E6280" t="s">
        <v>89</v>
      </c>
      <c r="F6280">
        <v>15</v>
      </c>
      <c r="G6280" t="s">
        <v>192</v>
      </c>
      <c r="H6280" t="s">
        <v>188</v>
      </c>
      <c r="I6280" t="s">
        <v>1065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171</v>
      </c>
      <c r="D6281" t="s">
        <v>1061</v>
      </c>
      <c r="E6281" t="s">
        <v>89</v>
      </c>
      <c r="F6281">
        <v>15</v>
      </c>
      <c r="G6281" t="s">
        <v>192</v>
      </c>
      <c r="H6281" t="s">
        <v>188</v>
      </c>
      <c r="I6281" t="s">
        <v>1064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171</v>
      </c>
      <c r="D6282" t="s">
        <v>1061</v>
      </c>
      <c r="E6282" t="s">
        <v>89</v>
      </c>
      <c r="F6282">
        <v>15</v>
      </c>
      <c r="G6282" t="s">
        <v>192</v>
      </c>
      <c r="H6282" t="s">
        <v>188</v>
      </c>
      <c r="I6282" t="s">
        <v>1066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171</v>
      </c>
      <c r="D6283" t="s">
        <v>1061</v>
      </c>
      <c r="E6283" t="s">
        <v>89</v>
      </c>
      <c r="F6283">
        <v>15</v>
      </c>
      <c r="G6283" t="s">
        <v>192</v>
      </c>
      <c r="H6283" t="s">
        <v>188</v>
      </c>
      <c r="I6283" t="s">
        <v>1067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171</v>
      </c>
      <c r="D6284" t="s">
        <v>1061</v>
      </c>
      <c r="E6284" t="s">
        <v>89</v>
      </c>
      <c r="F6284">
        <v>15</v>
      </c>
      <c r="G6284" t="s">
        <v>192</v>
      </c>
      <c r="H6284" t="s">
        <v>188</v>
      </c>
      <c r="I6284" t="s">
        <v>184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171</v>
      </c>
      <c r="D6285" t="s">
        <v>1061</v>
      </c>
      <c r="E6285" t="s">
        <v>89</v>
      </c>
      <c r="F6285">
        <v>15</v>
      </c>
      <c r="G6285" t="s">
        <v>192</v>
      </c>
      <c r="H6285" t="s">
        <v>198</v>
      </c>
      <c r="I6285" t="s">
        <v>170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171</v>
      </c>
      <c r="D6286" t="s">
        <v>1061</v>
      </c>
      <c r="E6286" t="s">
        <v>89</v>
      </c>
      <c r="F6286">
        <v>15</v>
      </c>
      <c r="G6286" t="s">
        <v>192</v>
      </c>
      <c r="H6286" t="s">
        <v>198</v>
      </c>
      <c r="I6286" t="s">
        <v>1062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171</v>
      </c>
      <c r="D6287" t="s">
        <v>1061</v>
      </c>
      <c r="E6287" t="s">
        <v>89</v>
      </c>
      <c r="F6287">
        <v>15</v>
      </c>
      <c r="G6287" t="s">
        <v>192</v>
      </c>
      <c r="H6287" t="s">
        <v>198</v>
      </c>
      <c r="I6287" t="s">
        <v>1065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171</v>
      </c>
      <c r="D6288" t="s">
        <v>1061</v>
      </c>
      <c r="E6288" t="s">
        <v>89</v>
      </c>
      <c r="F6288">
        <v>15</v>
      </c>
      <c r="G6288" t="s">
        <v>192</v>
      </c>
      <c r="H6288" t="s">
        <v>198</v>
      </c>
      <c r="I6288" t="s">
        <v>1064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171</v>
      </c>
      <c r="D6289" t="s">
        <v>1061</v>
      </c>
      <c r="E6289" t="s">
        <v>89</v>
      </c>
      <c r="F6289">
        <v>15</v>
      </c>
      <c r="G6289" t="s">
        <v>192</v>
      </c>
      <c r="H6289" t="s">
        <v>198</v>
      </c>
      <c r="I6289" t="s">
        <v>1066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171</v>
      </c>
      <c r="D6290" t="s">
        <v>1061</v>
      </c>
      <c r="E6290" t="s">
        <v>89</v>
      </c>
      <c r="F6290">
        <v>15</v>
      </c>
      <c r="G6290" t="s">
        <v>192</v>
      </c>
      <c r="H6290" t="s">
        <v>198</v>
      </c>
      <c r="I6290" t="s">
        <v>1067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171</v>
      </c>
      <c r="D6291" t="s">
        <v>1061</v>
      </c>
      <c r="E6291" t="s">
        <v>89</v>
      </c>
      <c r="F6291">
        <v>15</v>
      </c>
      <c r="G6291" t="s">
        <v>192</v>
      </c>
      <c r="H6291" t="s">
        <v>198</v>
      </c>
      <c r="I6291" t="s">
        <v>184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171</v>
      </c>
      <c r="D6292" t="s">
        <v>1061</v>
      </c>
      <c r="E6292" t="s">
        <v>89</v>
      </c>
      <c r="F6292">
        <v>15</v>
      </c>
      <c r="G6292" t="s">
        <v>199</v>
      </c>
      <c r="H6292" t="s">
        <v>0</v>
      </c>
      <c r="I6292" t="s">
        <v>1068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171</v>
      </c>
      <c r="D6293" t="s">
        <v>1061</v>
      </c>
      <c r="E6293" t="s">
        <v>89</v>
      </c>
      <c r="F6293">
        <v>15</v>
      </c>
      <c r="G6293" t="s">
        <v>199</v>
      </c>
      <c r="H6293" t="s">
        <v>0</v>
      </c>
      <c r="I6293" t="s">
        <v>170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171</v>
      </c>
      <c r="D6294" t="s">
        <v>1061</v>
      </c>
      <c r="E6294" t="s">
        <v>89</v>
      </c>
      <c r="F6294">
        <v>15</v>
      </c>
      <c r="G6294" t="s">
        <v>199</v>
      </c>
      <c r="H6294" t="s">
        <v>0</v>
      </c>
      <c r="I6294" t="s">
        <v>1066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171</v>
      </c>
      <c r="D6295" t="s">
        <v>1061</v>
      </c>
      <c r="E6295" t="s">
        <v>89</v>
      </c>
      <c r="F6295">
        <v>15</v>
      </c>
      <c r="G6295" t="s">
        <v>199</v>
      </c>
      <c r="H6295" t="s">
        <v>0</v>
      </c>
      <c r="I6295" t="s">
        <v>1069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171</v>
      </c>
      <c r="D6296" t="s">
        <v>1061</v>
      </c>
      <c r="E6296" t="s">
        <v>89</v>
      </c>
      <c r="F6296">
        <v>15</v>
      </c>
      <c r="G6296" t="s">
        <v>199</v>
      </c>
      <c r="H6296" t="s">
        <v>0</v>
      </c>
      <c r="I6296" t="s">
        <v>1070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171</v>
      </c>
      <c r="D6297" t="s">
        <v>1061</v>
      </c>
      <c r="E6297" t="s">
        <v>89</v>
      </c>
      <c r="F6297">
        <v>15</v>
      </c>
      <c r="G6297" t="s">
        <v>199</v>
      </c>
      <c r="H6297" t="s">
        <v>0</v>
      </c>
      <c r="I6297" t="s">
        <v>1067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171</v>
      </c>
      <c r="D6298" t="s">
        <v>1061</v>
      </c>
      <c r="E6298" t="s">
        <v>89</v>
      </c>
      <c r="F6298">
        <v>15</v>
      </c>
      <c r="G6298" t="s">
        <v>199</v>
      </c>
      <c r="H6298" t="s">
        <v>0</v>
      </c>
      <c r="I6298" t="s">
        <v>1071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171</v>
      </c>
      <c r="D6299" t="s">
        <v>1061</v>
      </c>
      <c r="E6299" t="s">
        <v>89</v>
      </c>
      <c r="F6299">
        <v>15</v>
      </c>
      <c r="G6299" t="s">
        <v>199</v>
      </c>
      <c r="H6299" t="s">
        <v>0</v>
      </c>
      <c r="I6299" t="s">
        <v>1072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171</v>
      </c>
      <c r="D6300" t="s">
        <v>1061</v>
      </c>
      <c r="E6300" t="s">
        <v>89</v>
      </c>
      <c r="F6300">
        <v>15</v>
      </c>
      <c r="G6300" t="s">
        <v>199</v>
      </c>
      <c r="H6300" t="s">
        <v>0</v>
      </c>
      <c r="I6300" t="s">
        <v>1065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171</v>
      </c>
      <c r="D6301" t="s">
        <v>1061</v>
      </c>
      <c r="E6301" t="s">
        <v>89</v>
      </c>
      <c r="F6301">
        <v>15</v>
      </c>
      <c r="G6301" t="s">
        <v>199</v>
      </c>
      <c r="H6301" t="s">
        <v>186</v>
      </c>
      <c r="I6301" t="s">
        <v>1068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171</v>
      </c>
      <c r="D6302" t="s">
        <v>1061</v>
      </c>
      <c r="E6302" t="s">
        <v>89</v>
      </c>
      <c r="F6302">
        <v>15</v>
      </c>
      <c r="G6302" t="s">
        <v>199</v>
      </c>
      <c r="H6302" t="s">
        <v>186</v>
      </c>
      <c r="I6302" t="s">
        <v>170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171</v>
      </c>
      <c r="D6303" t="s">
        <v>1061</v>
      </c>
      <c r="E6303" t="s">
        <v>89</v>
      </c>
      <c r="F6303">
        <v>15</v>
      </c>
      <c r="G6303" t="s">
        <v>199</v>
      </c>
      <c r="H6303" t="s">
        <v>186</v>
      </c>
      <c r="I6303" t="s">
        <v>1066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171</v>
      </c>
      <c r="D6304" t="s">
        <v>1061</v>
      </c>
      <c r="E6304" t="s">
        <v>89</v>
      </c>
      <c r="F6304">
        <v>15</v>
      </c>
      <c r="G6304" t="s">
        <v>199</v>
      </c>
      <c r="H6304" t="s">
        <v>186</v>
      </c>
      <c r="I6304" t="s">
        <v>1069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171</v>
      </c>
      <c r="D6305" t="s">
        <v>1061</v>
      </c>
      <c r="E6305" t="s">
        <v>89</v>
      </c>
      <c r="F6305">
        <v>15</v>
      </c>
      <c r="G6305" t="s">
        <v>199</v>
      </c>
      <c r="H6305" t="s">
        <v>186</v>
      </c>
      <c r="I6305" t="s">
        <v>1070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171</v>
      </c>
      <c r="D6306" t="s">
        <v>1061</v>
      </c>
      <c r="E6306" t="s">
        <v>89</v>
      </c>
      <c r="F6306">
        <v>15</v>
      </c>
      <c r="G6306" t="s">
        <v>199</v>
      </c>
      <c r="H6306" t="s">
        <v>186</v>
      </c>
      <c r="I6306" t="s">
        <v>1067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171</v>
      </c>
      <c r="D6307" t="s">
        <v>1061</v>
      </c>
      <c r="E6307" t="s">
        <v>89</v>
      </c>
      <c r="F6307">
        <v>15</v>
      </c>
      <c r="G6307" t="s">
        <v>199</v>
      </c>
      <c r="H6307" t="s">
        <v>186</v>
      </c>
      <c r="I6307" t="s">
        <v>1071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171</v>
      </c>
      <c r="D6308" t="s">
        <v>1061</v>
      </c>
      <c r="E6308" t="s">
        <v>89</v>
      </c>
      <c r="F6308">
        <v>15</v>
      </c>
      <c r="G6308" t="s">
        <v>199</v>
      </c>
      <c r="H6308" t="s">
        <v>186</v>
      </c>
      <c r="I6308" t="s">
        <v>1072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171</v>
      </c>
      <c r="D6309" t="s">
        <v>1061</v>
      </c>
      <c r="E6309" t="s">
        <v>89</v>
      </c>
      <c r="F6309">
        <v>15</v>
      </c>
      <c r="G6309" t="s">
        <v>199</v>
      </c>
      <c r="H6309" t="s">
        <v>186</v>
      </c>
      <c r="I6309" t="s">
        <v>1065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171</v>
      </c>
      <c r="D6310" t="s">
        <v>1061</v>
      </c>
      <c r="E6310" t="s">
        <v>89</v>
      </c>
      <c r="F6310">
        <v>15</v>
      </c>
      <c r="G6310" t="s">
        <v>199</v>
      </c>
      <c r="H6310" t="s">
        <v>187</v>
      </c>
      <c r="I6310" t="s">
        <v>1068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171</v>
      </c>
      <c r="D6311" t="s">
        <v>1061</v>
      </c>
      <c r="E6311" t="s">
        <v>89</v>
      </c>
      <c r="F6311">
        <v>15</v>
      </c>
      <c r="G6311" t="s">
        <v>199</v>
      </c>
      <c r="H6311" t="s">
        <v>187</v>
      </c>
      <c r="I6311" t="s">
        <v>170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171</v>
      </c>
      <c r="D6312" t="s">
        <v>1061</v>
      </c>
      <c r="E6312" t="s">
        <v>89</v>
      </c>
      <c r="F6312">
        <v>15</v>
      </c>
      <c r="G6312" t="s">
        <v>199</v>
      </c>
      <c r="H6312" t="s">
        <v>187</v>
      </c>
      <c r="I6312" t="s">
        <v>1066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171</v>
      </c>
      <c r="D6313" t="s">
        <v>1061</v>
      </c>
      <c r="E6313" t="s">
        <v>89</v>
      </c>
      <c r="F6313">
        <v>15</v>
      </c>
      <c r="G6313" t="s">
        <v>199</v>
      </c>
      <c r="H6313" t="s">
        <v>187</v>
      </c>
      <c r="I6313" t="s">
        <v>1069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171</v>
      </c>
      <c r="D6314" t="s">
        <v>1061</v>
      </c>
      <c r="E6314" t="s">
        <v>89</v>
      </c>
      <c r="F6314">
        <v>15</v>
      </c>
      <c r="G6314" t="s">
        <v>199</v>
      </c>
      <c r="H6314" t="s">
        <v>187</v>
      </c>
      <c r="I6314" t="s">
        <v>1070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171</v>
      </c>
      <c r="D6315" t="s">
        <v>1061</v>
      </c>
      <c r="E6315" t="s">
        <v>89</v>
      </c>
      <c r="F6315">
        <v>15</v>
      </c>
      <c r="G6315" t="s">
        <v>199</v>
      </c>
      <c r="H6315" t="s">
        <v>187</v>
      </c>
      <c r="I6315" t="s">
        <v>1067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171</v>
      </c>
      <c r="D6316" t="s">
        <v>1061</v>
      </c>
      <c r="E6316" t="s">
        <v>89</v>
      </c>
      <c r="F6316">
        <v>15</v>
      </c>
      <c r="G6316" t="s">
        <v>199</v>
      </c>
      <c r="H6316" t="s">
        <v>187</v>
      </c>
      <c r="I6316" t="s">
        <v>1071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171</v>
      </c>
      <c r="D6317" t="s">
        <v>1061</v>
      </c>
      <c r="E6317" t="s">
        <v>89</v>
      </c>
      <c r="F6317">
        <v>15</v>
      </c>
      <c r="G6317" t="s">
        <v>199</v>
      </c>
      <c r="H6317" t="s">
        <v>187</v>
      </c>
      <c r="I6317" t="s">
        <v>1072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171</v>
      </c>
      <c r="D6318" t="s">
        <v>1061</v>
      </c>
      <c r="E6318" t="s">
        <v>89</v>
      </c>
      <c r="F6318">
        <v>15</v>
      </c>
      <c r="G6318" t="s">
        <v>199</v>
      </c>
      <c r="H6318" t="s">
        <v>187</v>
      </c>
      <c r="I6318" t="s">
        <v>1065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171</v>
      </c>
      <c r="D6319" t="s">
        <v>1061</v>
      </c>
      <c r="E6319" t="s">
        <v>89</v>
      </c>
      <c r="F6319">
        <v>15</v>
      </c>
      <c r="G6319" t="s">
        <v>199</v>
      </c>
      <c r="H6319" t="s">
        <v>188</v>
      </c>
      <c r="I6319" t="s">
        <v>1068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171</v>
      </c>
      <c r="D6320" t="s">
        <v>1061</v>
      </c>
      <c r="E6320" t="s">
        <v>89</v>
      </c>
      <c r="F6320">
        <v>15</v>
      </c>
      <c r="G6320" t="s">
        <v>199</v>
      </c>
      <c r="H6320" t="s">
        <v>188</v>
      </c>
      <c r="I6320" t="s">
        <v>170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171</v>
      </c>
      <c r="D6321" t="s">
        <v>1061</v>
      </c>
      <c r="E6321" t="s">
        <v>89</v>
      </c>
      <c r="F6321">
        <v>15</v>
      </c>
      <c r="G6321" t="s">
        <v>199</v>
      </c>
      <c r="H6321" t="s">
        <v>188</v>
      </c>
      <c r="I6321" t="s">
        <v>1066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171</v>
      </c>
      <c r="D6322" t="s">
        <v>1061</v>
      </c>
      <c r="E6322" t="s">
        <v>89</v>
      </c>
      <c r="F6322">
        <v>15</v>
      </c>
      <c r="G6322" t="s">
        <v>199</v>
      </c>
      <c r="H6322" t="s">
        <v>188</v>
      </c>
      <c r="I6322" t="s">
        <v>1069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171</v>
      </c>
      <c r="D6323" t="s">
        <v>1061</v>
      </c>
      <c r="E6323" t="s">
        <v>89</v>
      </c>
      <c r="F6323">
        <v>15</v>
      </c>
      <c r="G6323" t="s">
        <v>199</v>
      </c>
      <c r="H6323" t="s">
        <v>188</v>
      </c>
      <c r="I6323" t="s">
        <v>1070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171</v>
      </c>
      <c r="D6324" t="s">
        <v>1061</v>
      </c>
      <c r="E6324" t="s">
        <v>89</v>
      </c>
      <c r="F6324">
        <v>15</v>
      </c>
      <c r="G6324" t="s">
        <v>199</v>
      </c>
      <c r="H6324" t="s">
        <v>188</v>
      </c>
      <c r="I6324" t="s">
        <v>1067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171</v>
      </c>
      <c r="D6325" t="s">
        <v>1061</v>
      </c>
      <c r="E6325" t="s">
        <v>89</v>
      </c>
      <c r="F6325">
        <v>15</v>
      </c>
      <c r="G6325" t="s">
        <v>199</v>
      </c>
      <c r="H6325" t="s">
        <v>188</v>
      </c>
      <c r="I6325" t="s">
        <v>1071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171</v>
      </c>
      <c r="D6326" t="s">
        <v>1061</v>
      </c>
      <c r="E6326" t="s">
        <v>89</v>
      </c>
      <c r="F6326">
        <v>15</v>
      </c>
      <c r="G6326" t="s">
        <v>199</v>
      </c>
      <c r="H6326" t="s">
        <v>188</v>
      </c>
      <c r="I6326" t="s">
        <v>1072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171</v>
      </c>
      <c r="D6327" t="s">
        <v>1061</v>
      </c>
      <c r="E6327" t="s">
        <v>89</v>
      </c>
      <c r="F6327">
        <v>15</v>
      </c>
      <c r="G6327" t="s">
        <v>199</v>
      </c>
      <c r="H6327" t="s">
        <v>188</v>
      </c>
      <c r="I6327" t="s">
        <v>1065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171</v>
      </c>
      <c r="D6328" t="s">
        <v>1061</v>
      </c>
      <c r="E6328" t="s">
        <v>89</v>
      </c>
      <c r="F6328">
        <v>15</v>
      </c>
      <c r="G6328" t="s">
        <v>199</v>
      </c>
      <c r="H6328" t="s">
        <v>198</v>
      </c>
      <c r="I6328" t="s">
        <v>1068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171</v>
      </c>
      <c r="D6329" t="s">
        <v>1061</v>
      </c>
      <c r="E6329" t="s">
        <v>89</v>
      </c>
      <c r="F6329">
        <v>15</v>
      </c>
      <c r="G6329" t="s">
        <v>199</v>
      </c>
      <c r="H6329" t="s">
        <v>198</v>
      </c>
      <c r="I6329" t="s">
        <v>170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171</v>
      </c>
      <c r="D6330" t="s">
        <v>1061</v>
      </c>
      <c r="E6330" t="s">
        <v>89</v>
      </c>
      <c r="F6330">
        <v>15</v>
      </c>
      <c r="G6330" t="s">
        <v>199</v>
      </c>
      <c r="H6330" t="s">
        <v>198</v>
      </c>
      <c r="I6330" t="s">
        <v>1066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171</v>
      </c>
      <c r="D6331" t="s">
        <v>1061</v>
      </c>
      <c r="E6331" t="s">
        <v>89</v>
      </c>
      <c r="F6331">
        <v>15</v>
      </c>
      <c r="G6331" t="s">
        <v>199</v>
      </c>
      <c r="H6331" t="s">
        <v>198</v>
      </c>
      <c r="I6331" t="s">
        <v>1069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171</v>
      </c>
      <c r="D6332" t="s">
        <v>1061</v>
      </c>
      <c r="E6332" t="s">
        <v>89</v>
      </c>
      <c r="F6332">
        <v>15</v>
      </c>
      <c r="G6332" t="s">
        <v>199</v>
      </c>
      <c r="H6332" t="s">
        <v>198</v>
      </c>
      <c r="I6332" t="s">
        <v>1070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171</v>
      </c>
      <c r="D6333" t="s">
        <v>1061</v>
      </c>
      <c r="E6333" t="s">
        <v>89</v>
      </c>
      <c r="F6333">
        <v>15</v>
      </c>
      <c r="G6333" t="s">
        <v>199</v>
      </c>
      <c r="H6333" t="s">
        <v>198</v>
      </c>
      <c r="I6333" t="s">
        <v>1067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171</v>
      </c>
      <c r="D6334" t="s">
        <v>1061</v>
      </c>
      <c r="E6334" t="s">
        <v>89</v>
      </c>
      <c r="F6334">
        <v>15</v>
      </c>
      <c r="G6334" t="s">
        <v>199</v>
      </c>
      <c r="H6334" t="s">
        <v>198</v>
      </c>
      <c r="I6334" t="s">
        <v>1071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171</v>
      </c>
      <c r="D6335" t="s">
        <v>1061</v>
      </c>
      <c r="E6335" t="s">
        <v>89</v>
      </c>
      <c r="F6335">
        <v>15</v>
      </c>
      <c r="G6335" t="s">
        <v>199</v>
      </c>
      <c r="H6335" t="s">
        <v>198</v>
      </c>
      <c r="I6335" t="s">
        <v>1072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171</v>
      </c>
      <c r="D6336" t="s">
        <v>1061</v>
      </c>
      <c r="E6336" t="s">
        <v>89</v>
      </c>
      <c r="F6336">
        <v>15</v>
      </c>
      <c r="G6336" t="s">
        <v>199</v>
      </c>
      <c r="H6336" t="s">
        <v>198</v>
      </c>
      <c r="I6336" t="s">
        <v>1065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171</v>
      </c>
      <c r="D6337" t="s">
        <v>1061</v>
      </c>
      <c r="E6337" t="s">
        <v>89</v>
      </c>
      <c r="F6337">
        <v>15</v>
      </c>
      <c r="G6337" t="s">
        <v>203</v>
      </c>
      <c r="H6337" t="s">
        <v>204</v>
      </c>
      <c r="I6337" t="s">
        <v>1071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171</v>
      </c>
      <c r="D6338" t="s">
        <v>1061</v>
      </c>
      <c r="E6338" t="s">
        <v>89</v>
      </c>
      <c r="F6338">
        <v>15</v>
      </c>
      <c r="G6338" t="s">
        <v>203</v>
      </c>
      <c r="H6338" t="s">
        <v>204</v>
      </c>
      <c r="I6338" t="s">
        <v>184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171</v>
      </c>
      <c r="D6339" t="s">
        <v>1061</v>
      </c>
      <c r="E6339" t="s">
        <v>89</v>
      </c>
      <c r="F6339">
        <v>15</v>
      </c>
      <c r="G6339" t="s">
        <v>203</v>
      </c>
      <c r="H6339" t="s">
        <v>205</v>
      </c>
      <c r="I6339" t="s">
        <v>1071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171</v>
      </c>
      <c r="D6340" t="s">
        <v>1061</v>
      </c>
      <c r="E6340" t="s">
        <v>89</v>
      </c>
      <c r="F6340">
        <v>15</v>
      </c>
      <c r="G6340" t="s">
        <v>203</v>
      </c>
      <c r="H6340" t="s">
        <v>205</v>
      </c>
      <c r="I6340" t="s">
        <v>184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171</v>
      </c>
      <c r="D6341" t="s">
        <v>1061</v>
      </c>
      <c r="E6341" t="s">
        <v>89</v>
      </c>
      <c r="F6341">
        <v>15</v>
      </c>
      <c r="G6341" t="s">
        <v>203</v>
      </c>
      <c r="H6341" t="s">
        <v>0</v>
      </c>
      <c r="I6341" t="s">
        <v>1071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171</v>
      </c>
      <c r="D6342" t="s">
        <v>1061</v>
      </c>
      <c r="E6342" t="s">
        <v>89</v>
      </c>
      <c r="F6342">
        <v>15</v>
      </c>
      <c r="G6342" t="s">
        <v>203</v>
      </c>
      <c r="H6342" t="s">
        <v>0</v>
      </c>
      <c r="I6342" t="s">
        <v>184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171</v>
      </c>
      <c r="D6343" t="s">
        <v>1061</v>
      </c>
      <c r="E6343" t="s">
        <v>89</v>
      </c>
      <c r="F6343">
        <v>15</v>
      </c>
      <c r="G6343" t="s">
        <v>272</v>
      </c>
      <c r="H6343" t="s">
        <v>232</v>
      </c>
      <c r="I6343" t="s">
        <v>1067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171</v>
      </c>
      <c r="D6344" t="s">
        <v>1061</v>
      </c>
      <c r="E6344" t="s">
        <v>89</v>
      </c>
      <c r="F6344">
        <v>15</v>
      </c>
      <c r="G6344" t="s">
        <v>272</v>
      </c>
      <c r="H6344" t="s">
        <v>186</v>
      </c>
      <c r="I6344" t="s">
        <v>1067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171</v>
      </c>
      <c r="D6345" t="s">
        <v>1061</v>
      </c>
      <c r="E6345" t="s">
        <v>89</v>
      </c>
      <c r="F6345">
        <v>15</v>
      </c>
      <c r="G6345" t="s">
        <v>272</v>
      </c>
      <c r="H6345" t="s">
        <v>187</v>
      </c>
      <c r="I6345" t="s">
        <v>1067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171</v>
      </c>
      <c r="D6346" t="s">
        <v>1061</v>
      </c>
      <c r="E6346" t="s">
        <v>89</v>
      </c>
      <c r="F6346">
        <v>15</v>
      </c>
      <c r="G6346" t="s">
        <v>272</v>
      </c>
      <c r="H6346" t="s">
        <v>198</v>
      </c>
      <c r="I6346" t="s">
        <v>1067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171</v>
      </c>
      <c r="D6347" t="s">
        <v>1061</v>
      </c>
      <c r="E6347" t="s">
        <v>89</v>
      </c>
      <c r="F6347">
        <v>15</v>
      </c>
      <c r="G6347" t="s">
        <v>272</v>
      </c>
      <c r="H6347" t="s">
        <v>188</v>
      </c>
      <c r="I6347" t="s">
        <v>1067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171</v>
      </c>
      <c r="D6348" t="s">
        <v>1061</v>
      </c>
      <c r="E6348" t="s">
        <v>89</v>
      </c>
      <c r="F6348">
        <v>15</v>
      </c>
      <c r="G6348" t="s">
        <v>231</v>
      </c>
      <c r="H6348" t="s">
        <v>232</v>
      </c>
      <c r="I6348" t="s">
        <v>1068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171</v>
      </c>
      <c r="D6349" t="s">
        <v>1061</v>
      </c>
      <c r="E6349" t="s">
        <v>89</v>
      </c>
      <c r="F6349">
        <v>15</v>
      </c>
      <c r="G6349" t="s">
        <v>231</v>
      </c>
      <c r="H6349" t="s">
        <v>186</v>
      </c>
      <c r="I6349" t="s">
        <v>1068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171</v>
      </c>
      <c r="D6350" t="s">
        <v>1061</v>
      </c>
      <c r="E6350" t="s">
        <v>89</v>
      </c>
      <c r="F6350">
        <v>15</v>
      </c>
      <c r="G6350" t="s">
        <v>231</v>
      </c>
      <c r="H6350" t="s">
        <v>187</v>
      </c>
      <c r="I6350" t="s">
        <v>1068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171</v>
      </c>
      <c r="D6351" t="s">
        <v>1061</v>
      </c>
      <c r="E6351" t="s">
        <v>89</v>
      </c>
      <c r="F6351">
        <v>15</v>
      </c>
      <c r="G6351" t="s">
        <v>231</v>
      </c>
      <c r="H6351" t="s">
        <v>198</v>
      </c>
      <c r="I6351" t="s">
        <v>1068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171</v>
      </c>
      <c r="D6352" t="s">
        <v>1061</v>
      </c>
      <c r="E6352" t="s">
        <v>89</v>
      </c>
      <c r="F6352">
        <v>15</v>
      </c>
      <c r="G6352" t="s">
        <v>231</v>
      </c>
      <c r="H6352" t="s">
        <v>188</v>
      </c>
      <c r="I6352" t="s">
        <v>1068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171</v>
      </c>
      <c r="D6353" t="s">
        <v>1061</v>
      </c>
      <c r="E6353" t="s">
        <v>89</v>
      </c>
      <c r="F6353">
        <v>15</v>
      </c>
      <c r="G6353" t="s">
        <v>233</v>
      </c>
      <c r="H6353" t="s">
        <v>234</v>
      </c>
      <c r="I6353" t="s">
        <v>1073</v>
      </c>
      <c r="J6353" s="73">
        <v>45658</v>
      </c>
    </row>
    <row r="6354" spans="1:10" x14ac:dyDescent="0.25">
      <c r="A6354" s="1" t="s">
        <v>27</v>
      </c>
      <c r="B6354">
        <v>401752936</v>
      </c>
      <c r="C6354" t="s">
        <v>171</v>
      </c>
      <c r="D6354" t="s">
        <v>1061</v>
      </c>
      <c r="E6354" t="s">
        <v>89</v>
      </c>
      <c r="F6354">
        <v>15</v>
      </c>
      <c r="G6354" t="s">
        <v>233</v>
      </c>
      <c r="H6354" t="s">
        <v>236</v>
      </c>
      <c r="I6354" t="s">
        <v>1073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171</v>
      </c>
      <c r="D6355" t="s">
        <v>1061</v>
      </c>
      <c r="E6355" t="s">
        <v>89</v>
      </c>
      <c r="F6355">
        <v>15</v>
      </c>
      <c r="G6355" t="s">
        <v>233</v>
      </c>
      <c r="H6355" t="s">
        <v>198</v>
      </c>
      <c r="I6355" t="s">
        <v>1073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171</v>
      </c>
      <c r="D6356" t="s">
        <v>1061</v>
      </c>
      <c r="E6356" t="s">
        <v>89</v>
      </c>
      <c r="F6356">
        <v>15</v>
      </c>
      <c r="G6356" t="s">
        <v>233</v>
      </c>
      <c r="H6356" t="s">
        <v>237</v>
      </c>
      <c r="I6356" t="s">
        <v>1073</v>
      </c>
      <c r="J6356" t="s">
        <v>368</v>
      </c>
    </row>
    <row r="6357" spans="1:10" x14ac:dyDescent="0.25">
      <c r="A6357" s="1" t="s">
        <v>27</v>
      </c>
      <c r="B6357">
        <v>401752936</v>
      </c>
      <c r="C6357" t="s">
        <v>171</v>
      </c>
      <c r="D6357" t="s">
        <v>1061</v>
      </c>
      <c r="E6357" t="s">
        <v>89</v>
      </c>
      <c r="F6357">
        <v>15</v>
      </c>
      <c r="G6357" t="s">
        <v>233</v>
      </c>
      <c r="H6357" t="s">
        <v>238</v>
      </c>
      <c r="I6357" t="s">
        <v>1073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171</v>
      </c>
      <c r="D6358" t="s">
        <v>1061</v>
      </c>
      <c r="E6358" t="s">
        <v>89</v>
      </c>
      <c r="F6358">
        <v>15</v>
      </c>
      <c r="G6358" t="s">
        <v>239</v>
      </c>
      <c r="H6358" t="s">
        <v>232</v>
      </c>
      <c r="I6358" t="s">
        <v>1074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171</v>
      </c>
      <c r="D6359" t="s">
        <v>1061</v>
      </c>
      <c r="E6359" t="s">
        <v>89</v>
      </c>
      <c r="F6359">
        <v>15</v>
      </c>
      <c r="G6359" t="s">
        <v>239</v>
      </c>
      <c r="H6359" t="s">
        <v>186</v>
      </c>
      <c r="I6359" t="s">
        <v>1074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171</v>
      </c>
      <c r="D6360" t="s">
        <v>1061</v>
      </c>
      <c r="E6360" t="s">
        <v>89</v>
      </c>
      <c r="F6360">
        <v>15</v>
      </c>
      <c r="G6360" t="s">
        <v>239</v>
      </c>
      <c r="H6360" t="s">
        <v>187</v>
      </c>
      <c r="I6360" t="s">
        <v>1074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171</v>
      </c>
      <c r="D6361" t="s">
        <v>1061</v>
      </c>
      <c r="E6361" t="s">
        <v>89</v>
      </c>
      <c r="F6361">
        <v>15</v>
      </c>
      <c r="G6361" t="s">
        <v>239</v>
      </c>
      <c r="H6361" t="s">
        <v>241</v>
      </c>
      <c r="I6361" t="s">
        <v>1074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171</v>
      </c>
      <c r="D6362" t="s">
        <v>1061</v>
      </c>
      <c r="E6362" t="s">
        <v>89</v>
      </c>
      <c r="F6362">
        <v>15</v>
      </c>
      <c r="G6362" t="s">
        <v>239</v>
      </c>
      <c r="H6362" t="s">
        <v>242</v>
      </c>
      <c r="I6362" t="s">
        <v>1074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171</v>
      </c>
      <c r="D6363" t="s">
        <v>1061</v>
      </c>
      <c r="E6363" t="s">
        <v>89</v>
      </c>
      <c r="F6363">
        <v>15</v>
      </c>
      <c r="G6363" t="s">
        <v>239</v>
      </c>
      <c r="H6363" t="s">
        <v>198</v>
      </c>
      <c r="I6363" t="s">
        <v>1074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82</v>
      </c>
      <c r="D6364" t="s">
        <v>1075</v>
      </c>
      <c r="E6364" t="s">
        <v>179</v>
      </c>
      <c r="F6364">
        <v>24</v>
      </c>
      <c r="G6364" t="s">
        <v>180</v>
      </c>
      <c r="H6364" t="s">
        <v>181</v>
      </c>
      <c r="I6364" t="s">
        <v>1076</v>
      </c>
      <c r="J6364" t="s">
        <v>1077</v>
      </c>
    </row>
    <row r="6365" spans="1:10" x14ac:dyDescent="0.25">
      <c r="A6365" s="1" t="s">
        <v>27</v>
      </c>
      <c r="B6365">
        <v>401754522</v>
      </c>
      <c r="C6365" t="s">
        <v>82</v>
      </c>
      <c r="D6365" t="s">
        <v>1075</v>
      </c>
      <c r="E6365" t="s">
        <v>179</v>
      </c>
      <c r="F6365">
        <v>24</v>
      </c>
      <c r="G6365" t="s">
        <v>180</v>
      </c>
      <c r="H6365" t="s">
        <v>186</v>
      </c>
      <c r="I6365" t="s">
        <v>1076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82</v>
      </c>
      <c r="D6366" t="s">
        <v>1075</v>
      </c>
      <c r="E6366" t="s">
        <v>179</v>
      </c>
      <c r="F6366">
        <v>24</v>
      </c>
      <c r="G6366" t="s">
        <v>180</v>
      </c>
      <c r="H6366" t="s">
        <v>187</v>
      </c>
      <c r="I6366" t="s">
        <v>1076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82</v>
      </c>
      <c r="D6367" t="s">
        <v>1075</v>
      </c>
      <c r="E6367" t="s">
        <v>179</v>
      </c>
      <c r="F6367">
        <v>24</v>
      </c>
      <c r="G6367" t="s">
        <v>180</v>
      </c>
      <c r="H6367" t="s">
        <v>188</v>
      </c>
      <c r="I6367" t="s">
        <v>1076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82</v>
      </c>
      <c r="D6368" t="s">
        <v>1075</v>
      </c>
      <c r="E6368" t="s">
        <v>179</v>
      </c>
      <c r="F6368">
        <v>24</v>
      </c>
      <c r="G6368" t="s">
        <v>180</v>
      </c>
      <c r="H6368" t="s">
        <v>189</v>
      </c>
      <c r="I6368" t="s">
        <v>1076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82</v>
      </c>
      <c r="D6369" t="s">
        <v>1075</v>
      </c>
      <c r="E6369" t="s">
        <v>179</v>
      </c>
      <c r="F6369">
        <v>24</v>
      </c>
      <c r="G6369" t="s">
        <v>192</v>
      </c>
      <c r="H6369" t="s">
        <v>193</v>
      </c>
      <c r="I6369" t="s">
        <v>1078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82</v>
      </c>
      <c r="D6370" t="s">
        <v>1075</v>
      </c>
      <c r="E6370" t="s">
        <v>179</v>
      </c>
      <c r="F6370">
        <v>24</v>
      </c>
      <c r="G6370" t="s">
        <v>192</v>
      </c>
      <c r="H6370" t="s">
        <v>193</v>
      </c>
      <c r="I6370" t="s">
        <v>87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82</v>
      </c>
      <c r="D6371" t="s">
        <v>1075</v>
      </c>
      <c r="E6371" t="s">
        <v>179</v>
      </c>
      <c r="F6371">
        <v>24</v>
      </c>
      <c r="G6371" t="s">
        <v>192</v>
      </c>
      <c r="H6371" t="s">
        <v>193</v>
      </c>
      <c r="I6371" t="s">
        <v>1076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82</v>
      </c>
      <c r="D6372" t="s">
        <v>1075</v>
      </c>
      <c r="E6372" t="s">
        <v>179</v>
      </c>
      <c r="F6372">
        <v>24</v>
      </c>
      <c r="G6372" t="s">
        <v>192</v>
      </c>
      <c r="H6372" t="s">
        <v>193</v>
      </c>
      <c r="I6372" t="s">
        <v>184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82</v>
      </c>
      <c r="D6373" t="s">
        <v>1075</v>
      </c>
      <c r="E6373" t="s">
        <v>179</v>
      </c>
      <c r="F6373">
        <v>24</v>
      </c>
      <c r="G6373" t="s">
        <v>192</v>
      </c>
      <c r="H6373" t="s">
        <v>186</v>
      </c>
      <c r="I6373" t="s">
        <v>1078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82</v>
      </c>
      <c r="D6374" t="s">
        <v>1075</v>
      </c>
      <c r="E6374" t="s">
        <v>179</v>
      </c>
      <c r="F6374">
        <v>24</v>
      </c>
      <c r="G6374" t="s">
        <v>192</v>
      </c>
      <c r="H6374" t="s">
        <v>186</v>
      </c>
      <c r="I6374" t="s">
        <v>87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82</v>
      </c>
      <c r="D6375" t="s">
        <v>1075</v>
      </c>
      <c r="E6375" t="s">
        <v>179</v>
      </c>
      <c r="F6375">
        <v>24</v>
      </c>
      <c r="G6375" t="s">
        <v>192</v>
      </c>
      <c r="H6375" t="s">
        <v>186</v>
      </c>
      <c r="I6375" t="s">
        <v>1076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82</v>
      </c>
      <c r="D6376" t="s">
        <v>1075</v>
      </c>
      <c r="E6376" t="s">
        <v>179</v>
      </c>
      <c r="F6376">
        <v>24</v>
      </c>
      <c r="G6376" t="s">
        <v>192</v>
      </c>
      <c r="H6376" t="s">
        <v>186</v>
      </c>
      <c r="I6376" t="s">
        <v>184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82</v>
      </c>
      <c r="D6377" t="s">
        <v>1075</v>
      </c>
      <c r="E6377" t="s">
        <v>179</v>
      </c>
      <c r="F6377">
        <v>24</v>
      </c>
      <c r="G6377" t="s">
        <v>192</v>
      </c>
      <c r="H6377" t="s">
        <v>187</v>
      </c>
      <c r="I6377" t="s">
        <v>1078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82</v>
      </c>
      <c r="D6378" t="s">
        <v>1075</v>
      </c>
      <c r="E6378" t="s">
        <v>179</v>
      </c>
      <c r="F6378">
        <v>24</v>
      </c>
      <c r="G6378" t="s">
        <v>192</v>
      </c>
      <c r="H6378" t="s">
        <v>187</v>
      </c>
      <c r="I6378" t="s">
        <v>87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82</v>
      </c>
      <c r="D6379" t="s">
        <v>1075</v>
      </c>
      <c r="E6379" t="s">
        <v>179</v>
      </c>
      <c r="F6379">
        <v>24</v>
      </c>
      <c r="G6379" t="s">
        <v>192</v>
      </c>
      <c r="H6379" t="s">
        <v>187</v>
      </c>
      <c r="I6379" t="s">
        <v>1076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82</v>
      </c>
      <c r="D6380" t="s">
        <v>1075</v>
      </c>
      <c r="E6380" t="s">
        <v>179</v>
      </c>
      <c r="F6380">
        <v>24</v>
      </c>
      <c r="G6380" t="s">
        <v>192</v>
      </c>
      <c r="H6380" t="s">
        <v>187</v>
      </c>
      <c r="I6380" t="s">
        <v>184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82</v>
      </c>
      <c r="D6381" t="s">
        <v>1075</v>
      </c>
      <c r="E6381" t="s">
        <v>179</v>
      </c>
      <c r="F6381">
        <v>24</v>
      </c>
      <c r="G6381" t="s">
        <v>192</v>
      </c>
      <c r="H6381" t="s">
        <v>188</v>
      </c>
      <c r="I6381" t="s">
        <v>1078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82</v>
      </c>
      <c r="D6382" t="s">
        <v>1075</v>
      </c>
      <c r="E6382" t="s">
        <v>179</v>
      </c>
      <c r="F6382">
        <v>24</v>
      </c>
      <c r="G6382" t="s">
        <v>192</v>
      </c>
      <c r="H6382" t="s">
        <v>188</v>
      </c>
      <c r="I6382" t="s">
        <v>87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82</v>
      </c>
      <c r="D6383" t="s">
        <v>1075</v>
      </c>
      <c r="E6383" t="s">
        <v>179</v>
      </c>
      <c r="F6383">
        <v>24</v>
      </c>
      <c r="G6383" t="s">
        <v>192</v>
      </c>
      <c r="H6383" t="s">
        <v>188</v>
      </c>
      <c r="I6383" t="s">
        <v>1076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82</v>
      </c>
      <c r="D6384" t="s">
        <v>1075</v>
      </c>
      <c r="E6384" t="s">
        <v>179</v>
      </c>
      <c r="F6384">
        <v>24</v>
      </c>
      <c r="G6384" t="s">
        <v>192</v>
      </c>
      <c r="H6384" t="s">
        <v>188</v>
      </c>
      <c r="I6384" t="s">
        <v>184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82</v>
      </c>
      <c r="D6385" t="s">
        <v>1075</v>
      </c>
      <c r="E6385" t="s">
        <v>179</v>
      </c>
      <c r="F6385">
        <v>24</v>
      </c>
      <c r="G6385" t="s">
        <v>192</v>
      </c>
      <c r="H6385" t="s">
        <v>198</v>
      </c>
      <c r="I6385" t="s">
        <v>1078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82</v>
      </c>
      <c r="D6386" t="s">
        <v>1075</v>
      </c>
      <c r="E6386" t="s">
        <v>179</v>
      </c>
      <c r="F6386">
        <v>24</v>
      </c>
      <c r="G6386" t="s">
        <v>192</v>
      </c>
      <c r="H6386" t="s">
        <v>198</v>
      </c>
      <c r="I6386" t="s">
        <v>87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82</v>
      </c>
      <c r="D6387" t="s">
        <v>1075</v>
      </c>
      <c r="E6387" t="s">
        <v>179</v>
      </c>
      <c r="F6387">
        <v>24</v>
      </c>
      <c r="G6387" t="s">
        <v>192</v>
      </c>
      <c r="H6387" t="s">
        <v>198</v>
      </c>
      <c r="I6387" t="s">
        <v>1076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82</v>
      </c>
      <c r="D6388" t="s">
        <v>1075</v>
      </c>
      <c r="E6388" t="s">
        <v>179</v>
      </c>
      <c r="F6388">
        <v>24</v>
      </c>
      <c r="G6388" t="s">
        <v>192</v>
      </c>
      <c r="H6388" t="s">
        <v>198</v>
      </c>
      <c r="I6388" t="s">
        <v>184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82</v>
      </c>
      <c r="D6389" t="s">
        <v>1075</v>
      </c>
      <c r="E6389" t="s">
        <v>179</v>
      </c>
      <c r="F6389">
        <v>24</v>
      </c>
      <c r="G6389" t="s">
        <v>199</v>
      </c>
      <c r="H6389" t="s">
        <v>0</v>
      </c>
      <c r="I6389" t="s">
        <v>1079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82</v>
      </c>
      <c r="D6390" t="s">
        <v>1075</v>
      </c>
      <c r="E6390" t="s">
        <v>179</v>
      </c>
      <c r="F6390">
        <v>24</v>
      </c>
      <c r="G6390" t="s">
        <v>199</v>
      </c>
      <c r="H6390" t="s">
        <v>0</v>
      </c>
      <c r="I6390" t="s">
        <v>1080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82</v>
      </c>
      <c r="D6391" t="s">
        <v>1075</v>
      </c>
      <c r="E6391" t="s">
        <v>179</v>
      </c>
      <c r="F6391">
        <v>24</v>
      </c>
      <c r="G6391" t="s">
        <v>199</v>
      </c>
      <c r="H6391" t="s">
        <v>0</v>
      </c>
      <c r="I6391" t="s">
        <v>1081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82</v>
      </c>
      <c r="D6392" t="s">
        <v>1075</v>
      </c>
      <c r="E6392" t="s">
        <v>179</v>
      </c>
      <c r="F6392">
        <v>24</v>
      </c>
      <c r="G6392" t="s">
        <v>199</v>
      </c>
      <c r="H6392" t="s">
        <v>0</v>
      </c>
      <c r="I6392" t="s">
        <v>87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82</v>
      </c>
      <c r="D6393" t="s">
        <v>1075</v>
      </c>
      <c r="E6393" t="s">
        <v>179</v>
      </c>
      <c r="F6393">
        <v>24</v>
      </c>
      <c r="G6393" t="s">
        <v>199</v>
      </c>
      <c r="H6393" t="s">
        <v>0</v>
      </c>
      <c r="I6393" t="s">
        <v>1082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82</v>
      </c>
      <c r="D6394" t="s">
        <v>1075</v>
      </c>
      <c r="E6394" t="s">
        <v>179</v>
      </c>
      <c r="F6394">
        <v>24</v>
      </c>
      <c r="G6394" t="s">
        <v>199</v>
      </c>
      <c r="H6394" t="s">
        <v>186</v>
      </c>
      <c r="I6394" t="s">
        <v>1079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82</v>
      </c>
      <c r="D6395" t="s">
        <v>1075</v>
      </c>
      <c r="E6395" t="s">
        <v>179</v>
      </c>
      <c r="F6395">
        <v>24</v>
      </c>
      <c r="G6395" t="s">
        <v>199</v>
      </c>
      <c r="H6395" t="s">
        <v>186</v>
      </c>
      <c r="I6395" t="s">
        <v>1080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82</v>
      </c>
      <c r="D6396" t="s">
        <v>1075</v>
      </c>
      <c r="E6396" t="s">
        <v>179</v>
      </c>
      <c r="F6396">
        <v>24</v>
      </c>
      <c r="G6396" t="s">
        <v>199</v>
      </c>
      <c r="H6396" t="s">
        <v>186</v>
      </c>
      <c r="I6396" t="s">
        <v>1081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82</v>
      </c>
      <c r="D6397" t="s">
        <v>1075</v>
      </c>
      <c r="E6397" t="s">
        <v>179</v>
      </c>
      <c r="F6397">
        <v>24</v>
      </c>
      <c r="G6397" t="s">
        <v>199</v>
      </c>
      <c r="H6397" t="s">
        <v>186</v>
      </c>
      <c r="I6397" t="s">
        <v>87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82</v>
      </c>
      <c r="D6398" t="s">
        <v>1075</v>
      </c>
      <c r="E6398" t="s">
        <v>179</v>
      </c>
      <c r="F6398">
        <v>24</v>
      </c>
      <c r="G6398" t="s">
        <v>199</v>
      </c>
      <c r="H6398" t="s">
        <v>186</v>
      </c>
      <c r="I6398" t="s">
        <v>1082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82</v>
      </c>
      <c r="D6399" t="s">
        <v>1075</v>
      </c>
      <c r="E6399" t="s">
        <v>179</v>
      </c>
      <c r="F6399">
        <v>24</v>
      </c>
      <c r="G6399" t="s">
        <v>199</v>
      </c>
      <c r="H6399" t="s">
        <v>187</v>
      </c>
      <c r="I6399" t="s">
        <v>1079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82</v>
      </c>
      <c r="D6400" t="s">
        <v>1075</v>
      </c>
      <c r="E6400" t="s">
        <v>179</v>
      </c>
      <c r="F6400">
        <v>24</v>
      </c>
      <c r="G6400" t="s">
        <v>199</v>
      </c>
      <c r="H6400" t="s">
        <v>187</v>
      </c>
      <c r="I6400" t="s">
        <v>1080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82</v>
      </c>
      <c r="D6401" t="s">
        <v>1075</v>
      </c>
      <c r="E6401" t="s">
        <v>179</v>
      </c>
      <c r="F6401">
        <v>24</v>
      </c>
      <c r="G6401" t="s">
        <v>199</v>
      </c>
      <c r="H6401" t="s">
        <v>187</v>
      </c>
      <c r="I6401" t="s">
        <v>1081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82</v>
      </c>
      <c r="D6402" t="s">
        <v>1075</v>
      </c>
      <c r="E6402" t="s">
        <v>179</v>
      </c>
      <c r="F6402">
        <v>24</v>
      </c>
      <c r="G6402" t="s">
        <v>199</v>
      </c>
      <c r="H6402" t="s">
        <v>187</v>
      </c>
      <c r="I6402" t="s">
        <v>87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82</v>
      </c>
      <c r="D6403" t="s">
        <v>1075</v>
      </c>
      <c r="E6403" t="s">
        <v>179</v>
      </c>
      <c r="F6403">
        <v>24</v>
      </c>
      <c r="G6403" t="s">
        <v>199</v>
      </c>
      <c r="H6403" t="s">
        <v>187</v>
      </c>
      <c r="I6403" t="s">
        <v>1082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82</v>
      </c>
      <c r="D6404" t="s">
        <v>1075</v>
      </c>
      <c r="E6404" t="s">
        <v>179</v>
      </c>
      <c r="F6404">
        <v>24</v>
      </c>
      <c r="G6404" t="s">
        <v>199</v>
      </c>
      <c r="H6404" t="s">
        <v>188</v>
      </c>
      <c r="I6404" t="s">
        <v>1079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82</v>
      </c>
      <c r="D6405" t="s">
        <v>1075</v>
      </c>
      <c r="E6405" t="s">
        <v>179</v>
      </c>
      <c r="F6405">
        <v>24</v>
      </c>
      <c r="G6405" t="s">
        <v>199</v>
      </c>
      <c r="H6405" t="s">
        <v>188</v>
      </c>
      <c r="I6405" t="s">
        <v>1080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82</v>
      </c>
      <c r="D6406" t="s">
        <v>1075</v>
      </c>
      <c r="E6406" t="s">
        <v>179</v>
      </c>
      <c r="F6406">
        <v>24</v>
      </c>
      <c r="G6406" t="s">
        <v>199</v>
      </c>
      <c r="H6406" t="s">
        <v>188</v>
      </c>
      <c r="I6406" t="s">
        <v>1081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82</v>
      </c>
      <c r="D6407" t="s">
        <v>1075</v>
      </c>
      <c r="E6407" t="s">
        <v>179</v>
      </c>
      <c r="F6407">
        <v>24</v>
      </c>
      <c r="G6407" t="s">
        <v>199</v>
      </c>
      <c r="H6407" t="s">
        <v>188</v>
      </c>
      <c r="I6407" t="s">
        <v>87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82</v>
      </c>
      <c r="D6408" t="s">
        <v>1075</v>
      </c>
      <c r="E6408" t="s">
        <v>179</v>
      </c>
      <c r="F6408">
        <v>24</v>
      </c>
      <c r="G6408" t="s">
        <v>199</v>
      </c>
      <c r="H6408" t="s">
        <v>188</v>
      </c>
      <c r="I6408" t="s">
        <v>1082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82</v>
      </c>
      <c r="D6409" t="s">
        <v>1075</v>
      </c>
      <c r="E6409" t="s">
        <v>179</v>
      </c>
      <c r="F6409">
        <v>24</v>
      </c>
      <c r="G6409" t="s">
        <v>199</v>
      </c>
      <c r="H6409" t="s">
        <v>198</v>
      </c>
      <c r="I6409" t="s">
        <v>1079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82</v>
      </c>
      <c r="D6410" t="s">
        <v>1075</v>
      </c>
      <c r="E6410" t="s">
        <v>179</v>
      </c>
      <c r="F6410">
        <v>24</v>
      </c>
      <c r="G6410" t="s">
        <v>199</v>
      </c>
      <c r="H6410" t="s">
        <v>198</v>
      </c>
      <c r="I6410" t="s">
        <v>1080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82</v>
      </c>
      <c r="D6411" t="s">
        <v>1075</v>
      </c>
      <c r="E6411" t="s">
        <v>179</v>
      </c>
      <c r="F6411">
        <v>24</v>
      </c>
      <c r="G6411" t="s">
        <v>199</v>
      </c>
      <c r="H6411" t="s">
        <v>198</v>
      </c>
      <c r="I6411" t="s">
        <v>1081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82</v>
      </c>
      <c r="D6412" t="s">
        <v>1075</v>
      </c>
      <c r="E6412" t="s">
        <v>179</v>
      </c>
      <c r="F6412">
        <v>24</v>
      </c>
      <c r="G6412" t="s">
        <v>199</v>
      </c>
      <c r="H6412" t="s">
        <v>198</v>
      </c>
      <c r="I6412" t="s">
        <v>87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82</v>
      </c>
      <c r="D6413" t="s">
        <v>1075</v>
      </c>
      <c r="E6413" t="s">
        <v>179</v>
      </c>
      <c r="F6413">
        <v>24</v>
      </c>
      <c r="G6413" t="s">
        <v>199</v>
      </c>
      <c r="H6413" t="s">
        <v>198</v>
      </c>
      <c r="I6413" t="s">
        <v>1082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82</v>
      </c>
      <c r="D6414" t="s">
        <v>1075</v>
      </c>
      <c r="E6414" t="s">
        <v>179</v>
      </c>
      <c r="F6414">
        <v>24</v>
      </c>
      <c r="G6414" t="s">
        <v>203</v>
      </c>
      <c r="H6414" t="s">
        <v>204</v>
      </c>
      <c r="I6414" t="s">
        <v>1080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82</v>
      </c>
      <c r="D6415" t="s">
        <v>1075</v>
      </c>
      <c r="E6415" t="s">
        <v>179</v>
      </c>
      <c r="F6415">
        <v>24</v>
      </c>
      <c r="G6415" t="s">
        <v>203</v>
      </c>
      <c r="H6415" t="s">
        <v>204</v>
      </c>
      <c r="I6415" t="s">
        <v>1078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82</v>
      </c>
      <c r="D6416" t="s">
        <v>1075</v>
      </c>
      <c r="E6416" t="s">
        <v>179</v>
      </c>
      <c r="F6416">
        <v>24</v>
      </c>
      <c r="G6416" t="s">
        <v>203</v>
      </c>
      <c r="H6416" t="s">
        <v>205</v>
      </c>
      <c r="I6416" t="s">
        <v>1080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82</v>
      </c>
      <c r="D6417" t="s">
        <v>1075</v>
      </c>
      <c r="E6417" t="s">
        <v>179</v>
      </c>
      <c r="F6417">
        <v>24</v>
      </c>
      <c r="G6417" t="s">
        <v>203</v>
      </c>
      <c r="H6417" t="s">
        <v>205</v>
      </c>
      <c r="I6417" t="s">
        <v>1078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82</v>
      </c>
      <c r="D6418" t="s">
        <v>1075</v>
      </c>
      <c r="E6418" t="s">
        <v>179</v>
      </c>
      <c r="F6418">
        <v>24</v>
      </c>
      <c r="G6418" t="s">
        <v>203</v>
      </c>
      <c r="H6418" t="s">
        <v>0</v>
      </c>
      <c r="I6418" t="s">
        <v>1080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82</v>
      </c>
      <c r="D6419" t="s">
        <v>1075</v>
      </c>
      <c r="E6419" t="s">
        <v>179</v>
      </c>
      <c r="F6419">
        <v>24</v>
      </c>
      <c r="G6419" t="s">
        <v>203</v>
      </c>
      <c r="H6419" t="s">
        <v>0</v>
      </c>
      <c r="I6419" t="s">
        <v>1078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82</v>
      </c>
      <c r="D6420" t="s">
        <v>1075</v>
      </c>
      <c r="E6420" t="s">
        <v>179</v>
      </c>
      <c r="F6420">
        <v>24</v>
      </c>
      <c r="G6420" t="s">
        <v>90</v>
      </c>
      <c r="H6420" t="s">
        <v>206</v>
      </c>
      <c r="I6420" t="s">
        <v>1083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82</v>
      </c>
      <c r="D6421" t="s">
        <v>1075</v>
      </c>
      <c r="E6421" t="s">
        <v>179</v>
      </c>
      <c r="F6421">
        <v>24</v>
      </c>
      <c r="G6421" t="s">
        <v>90</v>
      </c>
      <c r="H6421" t="s">
        <v>227</v>
      </c>
      <c r="I6421" t="s">
        <v>1083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82</v>
      </c>
      <c r="D6422" t="s">
        <v>1075</v>
      </c>
      <c r="E6422" t="s">
        <v>179</v>
      </c>
      <c r="F6422">
        <v>24</v>
      </c>
      <c r="G6422" t="s">
        <v>90</v>
      </c>
      <c r="H6422" t="s">
        <v>228</v>
      </c>
      <c r="I6422" t="s">
        <v>1083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82</v>
      </c>
      <c r="D6423" t="s">
        <v>1075</v>
      </c>
      <c r="E6423" t="s">
        <v>179</v>
      </c>
      <c r="F6423">
        <v>24</v>
      </c>
      <c r="G6423" t="s">
        <v>90</v>
      </c>
      <c r="H6423" t="s">
        <v>229</v>
      </c>
      <c r="I6423" t="s">
        <v>1083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82</v>
      </c>
      <c r="D6424" t="s">
        <v>1075</v>
      </c>
      <c r="E6424" t="s">
        <v>179</v>
      </c>
      <c r="F6424">
        <v>24</v>
      </c>
      <c r="G6424" t="s">
        <v>90</v>
      </c>
      <c r="H6424" t="s">
        <v>91</v>
      </c>
      <c r="I6424" t="s">
        <v>1083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82</v>
      </c>
      <c r="D6425" t="s">
        <v>1075</v>
      </c>
      <c r="E6425" t="s">
        <v>179</v>
      </c>
      <c r="F6425">
        <v>24</v>
      </c>
      <c r="G6425" t="s">
        <v>90</v>
      </c>
      <c r="H6425" t="s">
        <v>230</v>
      </c>
      <c r="I6425" t="s">
        <v>1083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82</v>
      </c>
      <c r="D6426" t="s">
        <v>1075</v>
      </c>
      <c r="E6426" t="s">
        <v>179</v>
      </c>
      <c r="F6426">
        <v>24</v>
      </c>
      <c r="G6426" t="s">
        <v>90</v>
      </c>
      <c r="H6426" t="s">
        <v>188</v>
      </c>
      <c r="I6426" t="s">
        <v>1083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82</v>
      </c>
      <c r="D6427" t="s">
        <v>1075</v>
      </c>
      <c r="E6427" t="s">
        <v>179</v>
      </c>
      <c r="F6427">
        <v>24</v>
      </c>
      <c r="G6427" t="s">
        <v>272</v>
      </c>
      <c r="H6427" t="s">
        <v>232</v>
      </c>
      <c r="I6427" t="s">
        <v>1078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82</v>
      </c>
      <c r="D6428" t="s">
        <v>1075</v>
      </c>
      <c r="E6428" t="s">
        <v>179</v>
      </c>
      <c r="F6428">
        <v>24</v>
      </c>
      <c r="G6428" t="s">
        <v>272</v>
      </c>
      <c r="H6428" t="s">
        <v>186</v>
      </c>
      <c r="I6428" t="s">
        <v>1078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82</v>
      </c>
      <c r="D6429" t="s">
        <v>1075</v>
      </c>
      <c r="E6429" t="s">
        <v>179</v>
      </c>
      <c r="F6429">
        <v>24</v>
      </c>
      <c r="G6429" t="s">
        <v>272</v>
      </c>
      <c r="H6429" t="s">
        <v>187</v>
      </c>
      <c r="I6429" t="s">
        <v>1078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82</v>
      </c>
      <c r="D6430" t="s">
        <v>1075</v>
      </c>
      <c r="E6430" t="s">
        <v>179</v>
      </c>
      <c r="F6430">
        <v>24</v>
      </c>
      <c r="G6430" t="s">
        <v>272</v>
      </c>
      <c r="H6430" t="s">
        <v>198</v>
      </c>
      <c r="I6430" t="s">
        <v>1078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82</v>
      </c>
      <c r="D6431" t="s">
        <v>1075</v>
      </c>
      <c r="E6431" t="s">
        <v>179</v>
      </c>
      <c r="F6431">
        <v>24</v>
      </c>
      <c r="G6431" t="s">
        <v>272</v>
      </c>
      <c r="H6431" t="s">
        <v>188</v>
      </c>
      <c r="I6431" t="s">
        <v>1078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82</v>
      </c>
      <c r="D6432" t="s">
        <v>1075</v>
      </c>
      <c r="E6432" t="s">
        <v>179</v>
      </c>
      <c r="F6432">
        <v>24</v>
      </c>
      <c r="G6432" t="s">
        <v>231</v>
      </c>
      <c r="H6432" t="s">
        <v>232</v>
      </c>
      <c r="I6432" t="s">
        <v>1081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82</v>
      </c>
      <c r="D6433" t="s">
        <v>1075</v>
      </c>
      <c r="E6433" t="s">
        <v>179</v>
      </c>
      <c r="F6433">
        <v>24</v>
      </c>
      <c r="G6433" t="s">
        <v>231</v>
      </c>
      <c r="H6433" t="s">
        <v>186</v>
      </c>
      <c r="I6433" t="s">
        <v>1081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82</v>
      </c>
      <c r="D6434" t="s">
        <v>1075</v>
      </c>
      <c r="E6434" t="s">
        <v>179</v>
      </c>
      <c r="F6434">
        <v>24</v>
      </c>
      <c r="G6434" t="s">
        <v>231</v>
      </c>
      <c r="H6434" t="s">
        <v>187</v>
      </c>
      <c r="I6434" t="s">
        <v>1081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82</v>
      </c>
      <c r="D6435" t="s">
        <v>1075</v>
      </c>
      <c r="E6435" t="s">
        <v>179</v>
      </c>
      <c r="F6435">
        <v>24</v>
      </c>
      <c r="G6435" t="s">
        <v>231</v>
      </c>
      <c r="H6435" t="s">
        <v>198</v>
      </c>
      <c r="I6435" t="s">
        <v>1081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82</v>
      </c>
      <c r="D6436" t="s">
        <v>1075</v>
      </c>
      <c r="E6436" t="s">
        <v>179</v>
      </c>
      <c r="F6436">
        <v>24</v>
      </c>
      <c r="G6436" t="s">
        <v>231</v>
      </c>
      <c r="H6436" t="s">
        <v>188</v>
      </c>
      <c r="I6436" t="s">
        <v>1081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82</v>
      </c>
      <c r="D6437" t="s">
        <v>1075</v>
      </c>
      <c r="E6437" t="s">
        <v>179</v>
      </c>
      <c r="F6437">
        <v>24</v>
      </c>
      <c r="G6437" t="s">
        <v>233</v>
      </c>
      <c r="H6437" t="s">
        <v>234</v>
      </c>
      <c r="I6437" t="s">
        <v>1084</v>
      </c>
      <c r="J6437" s="73">
        <v>45658</v>
      </c>
    </row>
    <row r="6438" spans="1:10" x14ac:dyDescent="0.25">
      <c r="A6438" s="1" t="s">
        <v>27</v>
      </c>
      <c r="B6438">
        <v>401754522</v>
      </c>
      <c r="C6438" t="s">
        <v>82</v>
      </c>
      <c r="D6438" t="s">
        <v>1075</v>
      </c>
      <c r="E6438" t="s">
        <v>179</v>
      </c>
      <c r="F6438">
        <v>24</v>
      </c>
      <c r="G6438" t="s">
        <v>233</v>
      </c>
      <c r="H6438" t="s">
        <v>236</v>
      </c>
      <c r="I6438" t="s">
        <v>1084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82</v>
      </c>
      <c r="D6439" t="s">
        <v>1075</v>
      </c>
      <c r="E6439" t="s">
        <v>179</v>
      </c>
      <c r="F6439">
        <v>24</v>
      </c>
      <c r="G6439" t="s">
        <v>233</v>
      </c>
      <c r="H6439" t="s">
        <v>198</v>
      </c>
      <c r="I6439" t="s">
        <v>1084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82</v>
      </c>
      <c r="D6440" t="s">
        <v>1075</v>
      </c>
      <c r="E6440" t="s">
        <v>179</v>
      </c>
      <c r="F6440">
        <v>24</v>
      </c>
      <c r="G6440" t="s">
        <v>233</v>
      </c>
      <c r="H6440" t="s">
        <v>237</v>
      </c>
      <c r="I6440" t="s">
        <v>1084</v>
      </c>
      <c r="J6440" s="73">
        <v>45719</v>
      </c>
    </row>
    <row r="6441" spans="1:10" x14ac:dyDescent="0.25">
      <c r="A6441" s="1" t="s">
        <v>27</v>
      </c>
      <c r="B6441">
        <v>401754522</v>
      </c>
      <c r="C6441" t="s">
        <v>82</v>
      </c>
      <c r="D6441" t="s">
        <v>1075</v>
      </c>
      <c r="E6441" t="s">
        <v>179</v>
      </c>
      <c r="F6441">
        <v>24</v>
      </c>
      <c r="G6441" t="s">
        <v>233</v>
      </c>
      <c r="H6441" t="s">
        <v>238</v>
      </c>
      <c r="I6441" t="s">
        <v>1084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82</v>
      </c>
      <c r="D6442" t="s">
        <v>1075</v>
      </c>
      <c r="E6442" t="s">
        <v>179</v>
      </c>
      <c r="F6442">
        <v>24</v>
      </c>
      <c r="G6442" t="s">
        <v>239</v>
      </c>
      <c r="H6442" t="s">
        <v>232</v>
      </c>
      <c r="I6442" t="s">
        <v>1085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82</v>
      </c>
      <c r="D6443" t="s">
        <v>1075</v>
      </c>
      <c r="E6443" t="s">
        <v>179</v>
      </c>
      <c r="F6443">
        <v>24</v>
      </c>
      <c r="G6443" t="s">
        <v>239</v>
      </c>
      <c r="H6443" t="s">
        <v>186</v>
      </c>
      <c r="I6443" t="s">
        <v>1085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82</v>
      </c>
      <c r="D6444" t="s">
        <v>1075</v>
      </c>
      <c r="E6444" t="s">
        <v>179</v>
      </c>
      <c r="F6444">
        <v>24</v>
      </c>
      <c r="G6444" t="s">
        <v>239</v>
      </c>
      <c r="H6444" t="s">
        <v>187</v>
      </c>
      <c r="I6444" t="s">
        <v>1085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82</v>
      </c>
      <c r="D6445" t="s">
        <v>1075</v>
      </c>
      <c r="E6445" t="s">
        <v>179</v>
      </c>
      <c r="F6445">
        <v>24</v>
      </c>
      <c r="G6445" t="s">
        <v>239</v>
      </c>
      <c r="H6445" t="s">
        <v>241</v>
      </c>
      <c r="I6445" t="s">
        <v>1085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82</v>
      </c>
      <c r="D6446" t="s">
        <v>1075</v>
      </c>
      <c r="E6446" t="s">
        <v>179</v>
      </c>
      <c r="F6446">
        <v>24</v>
      </c>
      <c r="G6446" t="s">
        <v>239</v>
      </c>
      <c r="H6446" t="s">
        <v>242</v>
      </c>
      <c r="I6446" t="s">
        <v>1085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82</v>
      </c>
      <c r="D6447" t="s">
        <v>1075</v>
      </c>
      <c r="E6447" t="s">
        <v>179</v>
      </c>
      <c r="F6447">
        <v>24</v>
      </c>
      <c r="G6447" t="s">
        <v>239</v>
      </c>
      <c r="H6447" t="s">
        <v>198</v>
      </c>
      <c r="I6447" t="s">
        <v>1085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133</v>
      </c>
      <c r="D6448" t="s">
        <v>243</v>
      </c>
      <c r="E6448" t="s">
        <v>89</v>
      </c>
      <c r="F6448">
        <v>38</v>
      </c>
      <c r="G6448" t="s">
        <v>180</v>
      </c>
      <c r="H6448" t="s">
        <v>181</v>
      </c>
      <c r="I6448" t="s">
        <v>1086</v>
      </c>
      <c r="J6448" t="s">
        <v>1087</v>
      </c>
    </row>
    <row r="6449" spans="1:10" x14ac:dyDescent="0.25">
      <c r="A6449" s="1" t="s">
        <v>27</v>
      </c>
      <c r="B6449">
        <v>401752805</v>
      </c>
      <c r="C6449" t="s">
        <v>133</v>
      </c>
      <c r="D6449" t="s">
        <v>243</v>
      </c>
      <c r="E6449" t="s">
        <v>89</v>
      </c>
      <c r="F6449">
        <v>38</v>
      </c>
      <c r="G6449" t="s">
        <v>180</v>
      </c>
      <c r="H6449" t="s">
        <v>186</v>
      </c>
      <c r="I6449" t="s">
        <v>1086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133</v>
      </c>
      <c r="D6450" t="s">
        <v>243</v>
      </c>
      <c r="E6450" t="s">
        <v>89</v>
      </c>
      <c r="F6450">
        <v>38</v>
      </c>
      <c r="G6450" t="s">
        <v>180</v>
      </c>
      <c r="H6450" t="s">
        <v>187</v>
      </c>
      <c r="I6450" t="s">
        <v>1086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133</v>
      </c>
      <c r="D6451" t="s">
        <v>243</v>
      </c>
      <c r="E6451" t="s">
        <v>89</v>
      </c>
      <c r="F6451">
        <v>38</v>
      </c>
      <c r="G6451" t="s">
        <v>180</v>
      </c>
      <c r="H6451" t="s">
        <v>188</v>
      </c>
      <c r="I6451" t="s">
        <v>1086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133</v>
      </c>
      <c r="D6452" t="s">
        <v>243</v>
      </c>
      <c r="E6452" t="s">
        <v>89</v>
      </c>
      <c r="F6452">
        <v>38</v>
      </c>
      <c r="G6452" t="s">
        <v>180</v>
      </c>
      <c r="H6452" t="s">
        <v>189</v>
      </c>
      <c r="I6452" t="s">
        <v>1086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133</v>
      </c>
      <c r="D6453" t="s">
        <v>243</v>
      </c>
      <c r="E6453" t="s">
        <v>89</v>
      </c>
      <c r="F6453">
        <v>38</v>
      </c>
      <c r="G6453" t="s">
        <v>180</v>
      </c>
      <c r="H6453" t="s">
        <v>190</v>
      </c>
      <c r="I6453" t="s">
        <v>1086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133</v>
      </c>
      <c r="D6454" t="s">
        <v>243</v>
      </c>
      <c r="E6454" t="s">
        <v>89</v>
      </c>
      <c r="F6454">
        <v>38</v>
      </c>
      <c r="G6454" t="s">
        <v>192</v>
      </c>
      <c r="H6454" t="s">
        <v>193</v>
      </c>
      <c r="I6454" t="s">
        <v>177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133</v>
      </c>
      <c r="D6455" t="s">
        <v>243</v>
      </c>
      <c r="E6455" t="s">
        <v>89</v>
      </c>
      <c r="F6455">
        <v>38</v>
      </c>
      <c r="G6455" t="s">
        <v>192</v>
      </c>
      <c r="H6455" t="s">
        <v>193</v>
      </c>
      <c r="I6455" t="s">
        <v>1086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133</v>
      </c>
      <c r="D6456" t="s">
        <v>243</v>
      </c>
      <c r="E6456" t="s">
        <v>89</v>
      </c>
      <c r="F6456">
        <v>38</v>
      </c>
      <c r="G6456" t="s">
        <v>192</v>
      </c>
      <c r="H6456" t="s">
        <v>193</v>
      </c>
      <c r="I6456" t="s">
        <v>1088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133</v>
      </c>
      <c r="D6457" t="s">
        <v>243</v>
      </c>
      <c r="E6457" t="s">
        <v>89</v>
      </c>
      <c r="F6457">
        <v>38</v>
      </c>
      <c r="G6457" t="s">
        <v>192</v>
      </c>
      <c r="H6457" t="s">
        <v>193</v>
      </c>
      <c r="I6457" t="s">
        <v>1089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133</v>
      </c>
      <c r="D6458" t="s">
        <v>243</v>
      </c>
      <c r="E6458" t="s">
        <v>89</v>
      </c>
      <c r="F6458">
        <v>38</v>
      </c>
      <c r="G6458" t="s">
        <v>192</v>
      </c>
      <c r="H6458" t="s">
        <v>193</v>
      </c>
      <c r="I6458" t="s">
        <v>1090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133</v>
      </c>
      <c r="D6459" t="s">
        <v>243</v>
      </c>
      <c r="E6459" t="s">
        <v>89</v>
      </c>
      <c r="F6459">
        <v>38</v>
      </c>
      <c r="G6459" t="s">
        <v>192</v>
      </c>
      <c r="H6459" t="s">
        <v>193</v>
      </c>
      <c r="I6459" t="s">
        <v>1091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133</v>
      </c>
      <c r="D6460" t="s">
        <v>243</v>
      </c>
      <c r="E6460" t="s">
        <v>89</v>
      </c>
      <c r="F6460">
        <v>38</v>
      </c>
      <c r="G6460" t="s">
        <v>192</v>
      </c>
      <c r="H6460" t="s">
        <v>186</v>
      </c>
      <c r="I6460" t="s">
        <v>177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133</v>
      </c>
      <c r="D6461" t="s">
        <v>243</v>
      </c>
      <c r="E6461" t="s">
        <v>89</v>
      </c>
      <c r="F6461">
        <v>38</v>
      </c>
      <c r="G6461" t="s">
        <v>192</v>
      </c>
      <c r="H6461" t="s">
        <v>186</v>
      </c>
      <c r="I6461" t="s">
        <v>1086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133</v>
      </c>
      <c r="D6462" t="s">
        <v>243</v>
      </c>
      <c r="E6462" t="s">
        <v>89</v>
      </c>
      <c r="F6462">
        <v>38</v>
      </c>
      <c r="G6462" t="s">
        <v>192</v>
      </c>
      <c r="H6462" t="s">
        <v>186</v>
      </c>
      <c r="I6462" t="s">
        <v>1088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133</v>
      </c>
      <c r="D6463" t="s">
        <v>243</v>
      </c>
      <c r="E6463" t="s">
        <v>89</v>
      </c>
      <c r="F6463">
        <v>38</v>
      </c>
      <c r="G6463" t="s">
        <v>192</v>
      </c>
      <c r="H6463" t="s">
        <v>186</v>
      </c>
      <c r="I6463" t="s">
        <v>1089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133</v>
      </c>
      <c r="D6464" t="s">
        <v>243</v>
      </c>
      <c r="E6464" t="s">
        <v>89</v>
      </c>
      <c r="F6464">
        <v>38</v>
      </c>
      <c r="G6464" t="s">
        <v>192</v>
      </c>
      <c r="H6464" t="s">
        <v>186</v>
      </c>
      <c r="I6464" t="s">
        <v>1090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133</v>
      </c>
      <c r="D6465" t="s">
        <v>243</v>
      </c>
      <c r="E6465" t="s">
        <v>89</v>
      </c>
      <c r="F6465">
        <v>38</v>
      </c>
      <c r="G6465" t="s">
        <v>192</v>
      </c>
      <c r="H6465" t="s">
        <v>186</v>
      </c>
      <c r="I6465" t="s">
        <v>1091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133</v>
      </c>
      <c r="D6466" t="s">
        <v>243</v>
      </c>
      <c r="E6466" t="s">
        <v>89</v>
      </c>
      <c r="F6466">
        <v>38</v>
      </c>
      <c r="G6466" t="s">
        <v>192</v>
      </c>
      <c r="H6466" t="s">
        <v>187</v>
      </c>
      <c r="I6466" t="s">
        <v>177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133</v>
      </c>
      <c r="D6467" t="s">
        <v>243</v>
      </c>
      <c r="E6467" t="s">
        <v>89</v>
      </c>
      <c r="F6467">
        <v>38</v>
      </c>
      <c r="G6467" t="s">
        <v>192</v>
      </c>
      <c r="H6467" t="s">
        <v>187</v>
      </c>
      <c r="I6467" t="s">
        <v>1086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133</v>
      </c>
      <c r="D6468" t="s">
        <v>243</v>
      </c>
      <c r="E6468" t="s">
        <v>89</v>
      </c>
      <c r="F6468">
        <v>38</v>
      </c>
      <c r="G6468" t="s">
        <v>192</v>
      </c>
      <c r="H6468" t="s">
        <v>187</v>
      </c>
      <c r="I6468" t="s">
        <v>1088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133</v>
      </c>
      <c r="D6469" t="s">
        <v>243</v>
      </c>
      <c r="E6469" t="s">
        <v>89</v>
      </c>
      <c r="F6469">
        <v>38</v>
      </c>
      <c r="G6469" t="s">
        <v>192</v>
      </c>
      <c r="H6469" t="s">
        <v>187</v>
      </c>
      <c r="I6469" t="s">
        <v>1089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133</v>
      </c>
      <c r="D6470" t="s">
        <v>243</v>
      </c>
      <c r="E6470" t="s">
        <v>89</v>
      </c>
      <c r="F6470">
        <v>38</v>
      </c>
      <c r="G6470" t="s">
        <v>192</v>
      </c>
      <c r="H6470" t="s">
        <v>187</v>
      </c>
      <c r="I6470" t="s">
        <v>1090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133</v>
      </c>
      <c r="D6471" t="s">
        <v>243</v>
      </c>
      <c r="E6471" t="s">
        <v>89</v>
      </c>
      <c r="F6471">
        <v>38</v>
      </c>
      <c r="G6471" t="s">
        <v>192</v>
      </c>
      <c r="H6471" t="s">
        <v>187</v>
      </c>
      <c r="I6471" t="s">
        <v>1091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133</v>
      </c>
      <c r="D6472" t="s">
        <v>243</v>
      </c>
      <c r="E6472" t="s">
        <v>89</v>
      </c>
      <c r="F6472">
        <v>38</v>
      </c>
      <c r="G6472" t="s">
        <v>192</v>
      </c>
      <c r="H6472" t="s">
        <v>188</v>
      </c>
      <c r="I6472" t="s">
        <v>177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133</v>
      </c>
      <c r="D6473" t="s">
        <v>243</v>
      </c>
      <c r="E6473" t="s">
        <v>89</v>
      </c>
      <c r="F6473">
        <v>38</v>
      </c>
      <c r="G6473" t="s">
        <v>192</v>
      </c>
      <c r="H6473" t="s">
        <v>188</v>
      </c>
      <c r="I6473" t="s">
        <v>1086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133</v>
      </c>
      <c r="D6474" t="s">
        <v>243</v>
      </c>
      <c r="E6474" t="s">
        <v>89</v>
      </c>
      <c r="F6474">
        <v>38</v>
      </c>
      <c r="G6474" t="s">
        <v>192</v>
      </c>
      <c r="H6474" t="s">
        <v>188</v>
      </c>
      <c r="I6474" t="s">
        <v>1088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133</v>
      </c>
      <c r="D6475" t="s">
        <v>243</v>
      </c>
      <c r="E6475" t="s">
        <v>89</v>
      </c>
      <c r="F6475">
        <v>38</v>
      </c>
      <c r="G6475" t="s">
        <v>192</v>
      </c>
      <c r="H6475" t="s">
        <v>188</v>
      </c>
      <c r="I6475" t="s">
        <v>1089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133</v>
      </c>
      <c r="D6476" t="s">
        <v>243</v>
      </c>
      <c r="E6476" t="s">
        <v>89</v>
      </c>
      <c r="F6476">
        <v>38</v>
      </c>
      <c r="G6476" t="s">
        <v>192</v>
      </c>
      <c r="H6476" t="s">
        <v>188</v>
      </c>
      <c r="I6476" t="s">
        <v>1090</v>
      </c>
      <c r="J6476">
        <v>1</v>
      </c>
    </row>
    <row r="6477" spans="1:10" x14ac:dyDescent="0.25">
      <c r="A6477" s="1" t="s">
        <v>27</v>
      </c>
      <c r="B6477">
        <v>401752805</v>
      </c>
      <c r="C6477" t="s">
        <v>133</v>
      </c>
      <c r="D6477" t="s">
        <v>243</v>
      </c>
      <c r="E6477" t="s">
        <v>89</v>
      </c>
      <c r="F6477">
        <v>38</v>
      </c>
      <c r="G6477" t="s">
        <v>192</v>
      </c>
      <c r="H6477" t="s">
        <v>188</v>
      </c>
      <c r="I6477" t="s">
        <v>1091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133</v>
      </c>
      <c r="D6478" t="s">
        <v>243</v>
      </c>
      <c r="E6478" t="s">
        <v>89</v>
      </c>
      <c r="F6478">
        <v>38</v>
      </c>
      <c r="G6478" t="s">
        <v>192</v>
      </c>
      <c r="H6478" t="s">
        <v>198</v>
      </c>
      <c r="I6478" t="s">
        <v>177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133</v>
      </c>
      <c r="D6479" t="s">
        <v>243</v>
      </c>
      <c r="E6479" t="s">
        <v>89</v>
      </c>
      <c r="F6479">
        <v>38</v>
      </c>
      <c r="G6479" t="s">
        <v>192</v>
      </c>
      <c r="H6479" t="s">
        <v>198</v>
      </c>
      <c r="I6479" t="s">
        <v>1086</v>
      </c>
      <c r="J6479">
        <v>28</v>
      </c>
    </row>
    <row r="6480" spans="1:10" x14ac:dyDescent="0.25">
      <c r="A6480" s="1" t="s">
        <v>27</v>
      </c>
      <c r="B6480">
        <v>401752805</v>
      </c>
      <c r="C6480" t="s">
        <v>133</v>
      </c>
      <c r="D6480" t="s">
        <v>243</v>
      </c>
      <c r="E6480" t="s">
        <v>89</v>
      </c>
      <c r="F6480">
        <v>38</v>
      </c>
      <c r="G6480" t="s">
        <v>192</v>
      </c>
      <c r="H6480" t="s">
        <v>198</v>
      </c>
      <c r="I6480" t="s">
        <v>1088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133</v>
      </c>
      <c r="D6481" t="s">
        <v>243</v>
      </c>
      <c r="E6481" t="s">
        <v>89</v>
      </c>
      <c r="F6481">
        <v>38</v>
      </c>
      <c r="G6481" t="s">
        <v>192</v>
      </c>
      <c r="H6481" t="s">
        <v>198</v>
      </c>
      <c r="I6481" t="s">
        <v>1089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133</v>
      </c>
      <c r="D6482" t="s">
        <v>243</v>
      </c>
      <c r="E6482" t="s">
        <v>89</v>
      </c>
      <c r="F6482">
        <v>38</v>
      </c>
      <c r="G6482" t="s">
        <v>192</v>
      </c>
      <c r="H6482" t="s">
        <v>198</v>
      </c>
      <c r="I6482" t="s">
        <v>1090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133</v>
      </c>
      <c r="D6483" t="s">
        <v>243</v>
      </c>
      <c r="E6483" t="s">
        <v>89</v>
      </c>
      <c r="F6483">
        <v>38</v>
      </c>
      <c r="G6483" t="s">
        <v>192</v>
      </c>
      <c r="H6483" t="s">
        <v>198</v>
      </c>
      <c r="I6483" t="s">
        <v>1091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133</v>
      </c>
      <c r="D6484" t="s">
        <v>243</v>
      </c>
      <c r="E6484" t="s">
        <v>89</v>
      </c>
      <c r="F6484">
        <v>38</v>
      </c>
      <c r="G6484" t="s">
        <v>199</v>
      </c>
      <c r="H6484" t="s">
        <v>0</v>
      </c>
      <c r="I6484" t="s">
        <v>173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133</v>
      </c>
      <c r="D6485" t="s">
        <v>243</v>
      </c>
      <c r="E6485" t="s">
        <v>89</v>
      </c>
      <c r="F6485">
        <v>38</v>
      </c>
      <c r="G6485" t="s">
        <v>199</v>
      </c>
      <c r="H6485" t="s">
        <v>0</v>
      </c>
      <c r="I6485" t="s">
        <v>1088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133</v>
      </c>
      <c r="D6486" t="s">
        <v>243</v>
      </c>
      <c r="E6486" t="s">
        <v>89</v>
      </c>
      <c r="F6486">
        <v>38</v>
      </c>
      <c r="G6486" t="s">
        <v>199</v>
      </c>
      <c r="H6486" t="s">
        <v>0</v>
      </c>
      <c r="I6486" t="s">
        <v>1092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133</v>
      </c>
      <c r="D6487" t="s">
        <v>243</v>
      </c>
      <c r="E6487" t="s">
        <v>89</v>
      </c>
      <c r="F6487">
        <v>38</v>
      </c>
      <c r="G6487" t="s">
        <v>199</v>
      </c>
      <c r="H6487" t="s">
        <v>0</v>
      </c>
      <c r="I6487" t="s">
        <v>1093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133</v>
      </c>
      <c r="D6488" t="s">
        <v>243</v>
      </c>
      <c r="E6488" t="s">
        <v>89</v>
      </c>
      <c r="F6488">
        <v>38</v>
      </c>
      <c r="G6488" t="s">
        <v>199</v>
      </c>
      <c r="H6488" t="s">
        <v>0</v>
      </c>
      <c r="I6488" t="s">
        <v>177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133</v>
      </c>
      <c r="D6489" t="s">
        <v>243</v>
      </c>
      <c r="E6489" t="s">
        <v>89</v>
      </c>
      <c r="F6489">
        <v>38</v>
      </c>
      <c r="G6489" t="s">
        <v>199</v>
      </c>
      <c r="H6489" t="s">
        <v>0</v>
      </c>
      <c r="I6489" t="s">
        <v>1094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133</v>
      </c>
      <c r="D6490" t="s">
        <v>243</v>
      </c>
      <c r="E6490" t="s">
        <v>89</v>
      </c>
      <c r="F6490">
        <v>38</v>
      </c>
      <c r="G6490" t="s">
        <v>199</v>
      </c>
      <c r="H6490" t="s">
        <v>186</v>
      </c>
      <c r="I6490" t="s">
        <v>173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133</v>
      </c>
      <c r="D6491" t="s">
        <v>243</v>
      </c>
      <c r="E6491" t="s">
        <v>89</v>
      </c>
      <c r="F6491">
        <v>38</v>
      </c>
      <c r="G6491" t="s">
        <v>199</v>
      </c>
      <c r="H6491" t="s">
        <v>186</v>
      </c>
      <c r="I6491" t="s">
        <v>1088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133</v>
      </c>
      <c r="D6492" t="s">
        <v>243</v>
      </c>
      <c r="E6492" t="s">
        <v>89</v>
      </c>
      <c r="F6492">
        <v>38</v>
      </c>
      <c r="G6492" t="s">
        <v>199</v>
      </c>
      <c r="H6492" t="s">
        <v>186</v>
      </c>
      <c r="I6492" t="s">
        <v>1092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133</v>
      </c>
      <c r="D6493" t="s">
        <v>243</v>
      </c>
      <c r="E6493" t="s">
        <v>89</v>
      </c>
      <c r="F6493">
        <v>38</v>
      </c>
      <c r="G6493" t="s">
        <v>199</v>
      </c>
      <c r="H6493" t="s">
        <v>186</v>
      </c>
      <c r="I6493" t="s">
        <v>1093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133</v>
      </c>
      <c r="D6494" t="s">
        <v>243</v>
      </c>
      <c r="E6494" t="s">
        <v>89</v>
      </c>
      <c r="F6494">
        <v>38</v>
      </c>
      <c r="G6494" t="s">
        <v>199</v>
      </c>
      <c r="H6494" t="s">
        <v>186</v>
      </c>
      <c r="I6494" t="s">
        <v>177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133</v>
      </c>
      <c r="D6495" t="s">
        <v>243</v>
      </c>
      <c r="E6495" t="s">
        <v>89</v>
      </c>
      <c r="F6495">
        <v>38</v>
      </c>
      <c r="G6495" t="s">
        <v>199</v>
      </c>
      <c r="H6495" t="s">
        <v>186</v>
      </c>
      <c r="I6495" t="s">
        <v>1094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133</v>
      </c>
      <c r="D6496" t="s">
        <v>243</v>
      </c>
      <c r="E6496" t="s">
        <v>89</v>
      </c>
      <c r="F6496">
        <v>38</v>
      </c>
      <c r="G6496" t="s">
        <v>199</v>
      </c>
      <c r="H6496" t="s">
        <v>187</v>
      </c>
      <c r="I6496" t="s">
        <v>173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133</v>
      </c>
      <c r="D6497" t="s">
        <v>243</v>
      </c>
      <c r="E6497" t="s">
        <v>89</v>
      </c>
      <c r="F6497">
        <v>38</v>
      </c>
      <c r="G6497" t="s">
        <v>199</v>
      </c>
      <c r="H6497" t="s">
        <v>187</v>
      </c>
      <c r="I6497" t="s">
        <v>1088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133</v>
      </c>
      <c r="D6498" t="s">
        <v>243</v>
      </c>
      <c r="E6498" t="s">
        <v>89</v>
      </c>
      <c r="F6498">
        <v>38</v>
      </c>
      <c r="G6498" t="s">
        <v>199</v>
      </c>
      <c r="H6498" t="s">
        <v>187</v>
      </c>
      <c r="I6498" t="s">
        <v>1092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133</v>
      </c>
      <c r="D6499" t="s">
        <v>243</v>
      </c>
      <c r="E6499" t="s">
        <v>89</v>
      </c>
      <c r="F6499">
        <v>38</v>
      </c>
      <c r="G6499" t="s">
        <v>199</v>
      </c>
      <c r="H6499" t="s">
        <v>187</v>
      </c>
      <c r="I6499" t="s">
        <v>1093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133</v>
      </c>
      <c r="D6500" t="s">
        <v>243</v>
      </c>
      <c r="E6500" t="s">
        <v>89</v>
      </c>
      <c r="F6500">
        <v>38</v>
      </c>
      <c r="G6500" t="s">
        <v>199</v>
      </c>
      <c r="H6500" t="s">
        <v>187</v>
      </c>
      <c r="I6500" t="s">
        <v>177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133</v>
      </c>
      <c r="D6501" t="s">
        <v>243</v>
      </c>
      <c r="E6501" t="s">
        <v>89</v>
      </c>
      <c r="F6501">
        <v>38</v>
      </c>
      <c r="G6501" t="s">
        <v>199</v>
      </c>
      <c r="H6501" t="s">
        <v>187</v>
      </c>
      <c r="I6501" t="s">
        <v>1094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133</v>
      </c>
      <c r="D6502" t="s">
        <v>243</v>
      </c>
      <c r="E6502" t="s">
        <v>89</v>
      </c>
      <c r="F6502">
        <v>38</v>
      </c>
      <c r="G6502" t="s">
        <v>199</v>
      </c>
      <c r="H6502" t="s">
        <v>188</v>
      </c>
      <c r="I6502" t="s">
        <v>173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133</v>
      </c>
      <c r="D6503" t="s">
        <v>243</v>
      </c>
      <c r="E6503" t="s">
        <v>89</v>
      </c>
      <c r="F6503">
        <v>38</v>
      </c>
      <c r="G6503" t="s">
        <v>199</v>
      </c>
      <c r="H6503" t="s">
        <v>188</v>
      </c>
      <c r="I6503" t="s">
        <v>1088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133</v>
      </c>
      <c r="D6504" t="s">
        <v>243</v>
      </c>
      <c r="E6504" t="s">
        <v>89</v>
      </c>
      <c r="F6504">
        <v>38</v>
      </c>
      <c r="G6504" t="s">
        <v>199</v>
      </c>
      <c r="H6504" t="s">
        <v>188</v>
      </c>
      <c r="I6504" t="s">
        <v>1092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133</v>
      </c>
      <c r="D6505" t="s">
        <v>243</v>
      </c>
      <c r="E6505" t="s">
        <v>89</v>
      </c>
      <c r="F6505">
        <v>38</v>
      </c>
      <c r="G6505" t="s">
        <v>199</v>
      </c>
      <c r="H6505" t="s">
        <v>188</v>
      </c>
      <c r="I6505" t="s">
        <v>1093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133</v>
      </c>
      <c r="D6506" t="s">
        <v>243</v>
      </c>
      <c r="E6506" t="s">
        <v>89</v>
      </c>
      <c r="F6506">
        <v>38</v>
      </c>
      <c r="G6506" t="s">
        <v>199</v>
      </c>
      <c r="H6506" t="s">
        <v>188</v>
      </c>
      <c r="I6506" t="s">
        <v>177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133</v>
      </c>
      <c r="D6507" t="s">
        <v>243</v>
      </c>
      <c r="E6507" t="s">
        <v>89</v>
      </c>
      <c r="F6507">
        <v>38</v>
      </c>
      <c r="G6507" t="s">
        <v>199</v>
      </c>
      <c r="H6507" t="s">
        <v>188</v>
      </c>
      <c r="I6507" t="s">
        <v>1094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133</v>
      </c>
      <c r="D6508" t="s">
        <v>243</v>
      </c>
      <c r="E6508" t="s">
        <v>89</v>
      </c>
      <c r="F6508">
        <v>38</v>
      </c>
      <c r="G6508" t="s">
        <v>199</v>
      </c>
      <c r="H6508" t="s">
        <v>198</v>
      </c>
      <c r="I6508" t="s">
        <v>173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133</v>
      </c>
      <c r="D6509" t="s">
        <v>243</v>
      </c>
      <c r="E6509" t="s">
        <v>89</v>
      </c>
      <c r="F6509">
        <v>38</v>
      </c>
      <c r="G6509" t="s">
        <v>199</v>
      </c>
      <c r="H6509" t="s">
        <v>198</v>
      </c>
      <c r="I6509" t="s">
        <v>1088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133</v>
      </c>
      <c r="D6510" t="s">
        <v>243</v>
      </c>
      <c r="E6510" t="s">
        <v>89</v>
      </c>
      <c r="F6510">
        <v>38</v>
      </c>
      <c r="G6510" t="s">
        <v>199</v>
      </c>
      <c r="H6510" t="s">
        <v>198</v>
      </c>
      <c r="I6510" t="s">
        <v>1092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133</v>
      </c>
      <c r="D6511" t="s">
        <v>243</v>
      </c>
      <c r="E6511" t="s">
        <v>89</v>
      </c>
      <c r="F6511">
        <v>38</v>
      </c>
      <c r="G6511" t="s">
        <v>199</v>
      </c>
      <c r="H6511" t="s">
        <v>198</v>
      </c>
      <c r="I6511" t="s">
        <v>1093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133</v>
      </c>
      <c r="D6512" t="s">
        <v>243</v>
      </c>
      <c r="E6512" t="s">
        <v>89</v>
      </c>
      <c r="F6512">
        <v>38</v>
      </c>
      <c r="G6512" t="s">
        <v>199</v>
      </c>
      <c r="H6512" t="s">
        <v>198</v>
      </c>
      <c r="I6512" t="s">
        <v>177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133</v>
      </c>
      <c r="D6513" t="s">
        <v>243</v>
      </c>
      <c r="E6513" t="s">
        <v>89</v>
      </c>
      <c r="F6513">
        <v>38</v>
      </c>
      <c r="G6513" t="s">
        <v>199</v>
      </c>
      <c r="H6513" t="s">
        <v>198</v>
      </c>
      <c r="I6513" t="s">
        <v>1094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133</v>
      </c>
      <c r="D6514" t="s">
        <v>243</v>
      </c>
      <c r="E6514" t="s">
        <v>89</v>
      </c>
      <c r="F6514">
        <v>38</v>
      </c>
      <c r="G6514" t="s">
        <v>203</v>
      </c>
      <c r="H6514" t="s">
        <v>204</v>
      </c>
      <c r="I6514" t="s">
        <v>1086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133</v>
      </c>
      <c r="D6515" t="s">
        <v>243</v>
      </c>
      <c r="E6515" t="s">
        <v>89</v>
      </c>
      <c r="F6515">
        <v>38</v>
      </c>
      <c r="G6515" t="s">
        <v>203</v>
      </c>
      <c r="H6515" t="s">
        <v>205</v>
      </c>
      <c r="I6515" t="s">
        <v>1086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133</v>
      </c>
      <c r="D6516" t="s">
        <v>243</v>
      </c>
      <c r="E6516" t="s">
        <v>89</v>
      </c>
      <c r="F6516">
        <v>38</v>
      </c>
      <c r="G6516" t="s">
        <v>203</v>
      </c>
      <c r="H6516" t="s">
        <v>0</v>
      </c>
      <c r="I6516" t="s">
        <v>1086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133</v>
      </c>
      <c r="D6517" t="s">
        <v>243</v>
      </c>
      <c r="E6517" t="s">
        <v>89</v>
      </c>
      <c r="F6517">
        <v>38</v>
      </c>
      <c r="G6517" t="s">
        <v>90</v>
      </c>
      <c r="H6517" t="s">
        <v>206</v>
      </c>
      <c r="I6517" t="s">
        <v>1095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133</v>
      </c>
      <c r="D6518" t="s">
        <v>243</v>
      </c>
      <c r="E6518" t="s">
        <v>89</v>
      </c>
      <c r="F6518">
        <v>38</v>
      </c>
      <c r="G6518" t="s">
        <v>90</v>
      </c>
      <c r="H6518" t="s">
        <v>206</v>
      </c>
      <c r="I6518" t="s">
        <v>1096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133</v>
      </c>
      <c r="D6519" t="s">
        <v>243</v>
      </c>
      <c r="E6519" t="s">
        <v>89</v>
      </c>
      <c r="F6519">
        <v>38</v>
      </c>
      <c r="G6519" t="s">
        <v>90</v>
      </c>
      <c r="H6519" t="s">
        <v>206</v>
      </c>
      <c r="I6519" t="s">
        <v>1097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133</v>
      </c>
      <c r="D6520" t="s">
        <v>243</v>
      </c>
      <c r="E6520" t="s">
        <v>89</v>
      </c>
      <c r="F6520">
        <v>38</v>
      </c>
      <c r="G6520" t="s">
        <v>90</v>
      </c>
      <c r="H6520" t="s">
        <v>206</v>
      </c>
      <c r="I6520" t="s">
        <v>1098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133</v>
      </c>
      <c r="D6521" t="s">
        <v>243</v>
      </c>
      <c r="E6521" t="s">
        <v>89</v>
      </c>
      <c r="F6521">
        <v>38</v>
      </c>
      <c r="G6521" t="s">
        <v>90</v>
      </c>
      <c r="H6521" t="s">
        <v>206</v>
      </c>
      <c r="I6521" t="s">
        <v>1099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133</v>
      </c>
      <c r="D6522" t="s">
        <v>243</v>
      </c>
      <c r="E6522" t="s">
        <v>89</v>
      </c>
      <c r="F6522">
        <v>38</v>
      </c>
      <c r="G6522" t="s">
        <v>90</v>
      </c>
      <c r="H6522" t="s">
        <v>206</v>
      </c>
      <c r="I6522" t="s">
        <v>1100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133</v>
      </c>
      <c r="D6523" t="s">
        <v>243</v>
      </c>
      <c r="E6523" t="s">
        <v>89</v>
      </c>
      <c r="F6523">
        <v>38</v>
      </c>
      <c r="G6523" t="s">
        <v>90</v>
      </c>
      <c r="H6523" t="s">
        <v>206</v>
      </c>
      <c r="I6523" t="s">
        <v>1101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133</v>
      </c>
      <c r="D6524" t="s">
        <v>243</v>
      </c>
      <c r="E6524" t="s">
        <v>89</v>
      </c>
      <c r="F6524">
        <v>38</v>
      </c>
      <c r="G6524" t="s">
        <v>90</v>
      </c>
      <c r="H6524" t="s">
        <v>206</v>
      </c>
      <c r="I6524" t="s">
        <v>1102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133</v>
      </c>
      <c r="D6525" t="s">
        <v>243</v>
      </c>
      <c r="E6525" t="s">
        <v>89</v>
      </c>
      <c r="F6525">
        <v>38</v>
      </c>
      <c r="G6525" t="s">
        <v>90</v>
      </c>
      <c r="H6525" t="s">
        <v>206</v>
      </c>
      <c r="I6525" t="s">
        <v>1103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133</v>
      </c>
      <c r="D6526" t="s">
        <v>243</v>
      </c>
      <c r="E6526" t="s">
        <v>89</v>
      </c>
      <c r="F6526">
        <v>38</v>
      </c>
      <c r="G6526" t="s">
        <v>90</v>
      </c>
      <c r="H6526" t="s">
        <v>206</v>
      </c>
      <c r="I6526" t="s">
        <v>1104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133</v>
      </c>
      <c r="D6527" t="s">
        <v>243</v>
      </c>
      <c r="E6527" t="s">
        <v>89</v>
      </c>
      <c r="F6527">
        <v>38</v>
      </c>
      <c r="G6527" t="s">
        <v>90</v>
      </c>
      <c r="H6527" t="s">
        <v>206</v>
      </c>
      <c r="I6527" t="s">
        <v>1105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133</v>
      </c>
      <c r="D6528" t="s">
        <v>243</v>
      </c>
      <c r="E6528" t="s">
        <v>89</v>
      </c>
      <c r="F6528">
        <v>38</v>
      </c>
      <c r="G6528" t="s">
        <v>90</v>
      </c>
      <c r="H6528" t="s">
        <v>206</v>
      </c>
      <c r="I6528" t="s">
        <v>1106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133</v>
      </c>
      <c r="D6529" t="s">
        <v>243</v>
      </c>
      <c r="E6529" t="s">
        <v>89</v>
      </c>
      <c r="F6529">
        <v>38</v>
      </c>
      <c r="G6529" t="s">
        <v>90</v>
      </c>
      <c r="H6529" t="s">
        <v>206</v>
      </c>
      <c r="I6529" t="s">
        <v>1107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133</v>
      </c>
      <c r="D6530" t="s">
        <v>243</v>
      </c>
      <c r="E6530" t="s">
        <v>89</v>
      </c>
      <c r="F6530">
        <v>38</v>
      </c>
      <c r="G6530" t="s">
        <v>90</v>
      </c>
      <c r="H6530" t="s">
        <v>227</v>
      </c>
      <c r="I6530" t="s">
        <v>1095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133</v>
      </c>
      <c r="D6531" t="s">
        <v>243</v>
      </c>
      <c r="E6531" t="s">
        <v>89</v>
      </c>
      <c r="F6531">
        <v>38</v>
      </c>
      <c r="G6531" t="s">
        <v>90</v>
      </c>
      <c r="H6531" t="s">
        <v>227</v>
      </c>
      <c r="I6531" t="s">
        <v>1096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133</v>
      </c>
      <c r="D6532" t="s">
        <v>243</v>
      </c>
      <c r="E6532" t="s">
        <v>89</v>
      </c>
      <c r="F6532">
        <v>38</v>
      </c>
      <c r="G6532" t="s">
        <v>90</v>
      </c>
      <c r="H6532" t="s">
        <v>227</v>
      </c>
      <c r="I6532" t="s">
        <v>1097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133</v>
      </c>
      <c r="D6533" t="s">
        <v>243</v>
      </c>
      <c r="E6533" t="s">
        <v>89</v>
      </c>
      <c r="F6533">
        <v>38</v>
      </c>
      <c r="G6533" t="s">
        <v>90</v>
      </c>
      <c r="H6533" t="s">
        <v>227</v>
      </c>
      <c r="I6533" t="s">
        <v>1098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133</v>
      </c>
      <c r="D6534" t="s">
        <v>243</v>
      </c>
      <c r="E6534" t="s">
        <v>89</v>
      </c>
      <c r="F6534">
        <v>38</v>
      </c>
      <c r="G6534" t="s">
        <v>90</v>
      </c>
      <c r="H6534" t="s">
        <v>227</v>
      </c>
      <c r="I6534" t="s">
        <v>1099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133</v>
      </c>
      <c r="D6535" t="s">
        <v>243</v>
      </c>
      <c r="E6535" t="s">
        <v>89</v>
      </c>
      <c r="F6535">
        <v>38</v>
      </c>
      <c r="G6535" t="s">
        <v>90</v>
      </c>
      <c r="H6535" t="s">
        <v>227</v>
      </c>
      <c r="I6535" t="s">
        <v>1100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133</v>
      </c>
      <c r="D6536" t="s">
        <v>243</v>
      </c>
      <c r="E6536" t="s">
        <v>89</v>
      </c>
      <c r="F6536">
        <v>38</v>
      </c>
      <c r="G6536" t="s">
        <v>90</v>
      </c>
      <c r="H6536" t="s">
        <v>227</v>
      </c>
      <c r="I6536" t="s">
        <v>1101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133</v>
      </c>
      <c r="D6537" t="s">
        <v>243</v>
      </c>
      <c r="E6537" t="s">
        <v>89</v>
      </c>
      <c r="F6537">
        <v>38</v>
      </c>
      <c r="G6537" t="s">
        <v>90</v>
      </c>
      <c r="H6537" t="s">
        <v>227</v>
      </c>
      <c r="I6537" t="s">
        <v>1102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133</v>
      </c>
      <c r="D6538" t="s">
        <v>243</v>
      </c>
      <c r="E6538" t="s">
        <v>89</v>
      </c>
      <c r="F6538">
        <v>38</v>
      </c>
      <c r="G6538" t="s">
        <v>90</v>
      </c>
      <c r="H6538" t="s">
        <v>227</v>
      </c>
      <c r="I6538" t="s">
        <v>1103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133</v>
      </c>
      <c r="D6539" t="s">
        <v>243</v>
      </c>
      <c r="E6539" t="s">
        <v>89</v>
      </c>
      <c r="F6539">
        <v>38</v>
      </c>
      <c r="G6539" t="s">
        <v>90</v>
      </c>
      <c r="H6539" t="s">
        <v>227</v>
      </c>
      <c r="I6539" t="s">
        <v>1104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133</v>
      </c>
      <c r="D6540" t="s">
        <v>243</v>
      </c>
      <c r="E6540" t="s">
        <v>89</v>
      </c>
      <c r="F6540">
        <v>38</v>
      </c>
      <c r="G6540" t="s">
        <v>90</v>
      </c>
      <c r="H6540" t="s">
        <v>227</v>
      </c>
      <c r="I6540" t="s">
        <v>1105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133</v>
      </c>
      <c r="D6541" t="s">
        <v>243</v>
      </c>
      <c r="E6541" t="s">
        <v>89</v>
      </c>
      <c r="F6541">
        <v>38</v>
      </c>
      <c r="G6541" t="s">
        <v>90</v>
      </c>
      <c r="H6541" t="s">
        <v>227</v>
      </c>
      <c r="I6541" t="s">
        <v>1106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133</v>
      </c>
      <c r="D6542" t="s">
        <v>243</v>
      </c>
      <c r="E6542" t="s">
        <v>89</v>
      </c>
      <c r="F6542">
        <v>38</v>
      </c>
      <c r="G6542" t="s">
        <v>90</v>
      </c>
      <c r="H6542" t="s">
        <v>227</v>
      </c>
      <c r="I6542" t="s">
        <v>1107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133</v>
      </c>
      <c r="D6543" t="s">
        <v>243</v>
      </c>
      <c r="E6543" t="s">
        <v>89</v>
      </c>
      <c r="F6543">
        <v>38</v>
      </c>
      <c r="G6543" t="s">
        <v>90</v>
      </c>
      <c r="H6543" t="s">
        <v>228</v>
      </c>
      <c r="I6543" t="s">
        <v>1095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133</v>
      </c>
      <c r="D6544" t="s">
        <v>243</v>
      </c>
      <c r="E6544" t="s">
        <v>89</v>
      </c>
      <c r="F6544">
        <v>38</v>
      </c>
      <c r="G6544" t="s">
        <v>90</v>
      </c>
      <c r="H6544" t="s">
        <v>228</v>
      </c>
      <c r="I6544" t="s">
        <v>1096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133</v>
      </c>
      <c r="D6545" t="s">
        <v>243</v>
      </c>
      <c r="E6545" t="s">
        <v>89</v>
      </c>
      <c r="F6545">
        <v>38</v>
      </c>
      <c r="G6545" t="s">
        <v>90</v>
      </c>
      <c r="H6545" t="s">
        <v>228</v>
      </c>
      <c r="I6545" t="s">
        <v>1097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133</v>
      </c>
      <c r="D6546" t="s">
        <v>243</v>
      </c>
      <c r="E6546" t="s">
        <v>89</v>
      </c>
      <c r="F6546">
        <v>38</v>
      </c>
      <c r="G6546" t="s">
        <v>90</v>
      </c>
      <c r="H6546" t="s">
        <v>228</v>
      </c>
      <c r="I6546" t="s">
        <v>1098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133</v>
      </c>
      <c r="D6547" t="s">
        <v>243</v>
      </c>
      <c r="E6547" t="s">
        <v>89</v>
      </c>
      <c r="F6547">
        <v>38</v>
      </c>
      <c r="G6547" t="s">
        <v>90</v>
      </c>
      <c r="H6547" t="s">
        <v>228</v>
      </c>
      <c r="I6547" t="s">
        <v>1099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133</v>
      </c>
      <c r="D6548" t="s">
        <v>243</v>
      </c>
      <c r="E6548" t="s">
        <v>89</v>
      </c>
      <c r="F6548">
        <v>38</v>
      </c>
      <c r="G6548" t="s">
        <v>90</v>
      </c>
      <c r="H6548" t="s">
        <v>228</v>
      </c>
      <c r="I6548" t="s">
        <v>1100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133</v>
      </c>
      <c r="D6549" t="s">
        <v>243</v>
      </c>
      <c r="E6549" t="s">
        <v>89</v>
      </c>
      <c r="F6549">
        <v>38</v>
      </c>
      <c r="G6549" t="s">
        <v>90</v>
      </c>
      <c r="H6549" t="s">
        <v>228</v>
      </c>
      <c r="I6549" t="s">
        <v>1101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133</v>
      </c>
      <c r="D6550" t="s">
        <v>243</v>
      </c>
      <c r="E6550" t="s">
        <v>89</v>
      </c>
      <c r="F6550">
        <v>38</v>
      </c>
      <c r="G6550" t="s">
        <v>90</v>
      </c>
      <c r="H6550" t="s">
        <v>228</v>
      </c>
      <c r="I6550" t="s">
        <v>1102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133</v>
      </c>
      <c r="D6551" t="s">
        <v>243</v>
      </c>
      <c r="E6551" t="s">
        <v>89</v>
      </c>
      <c r="F6551">
        <v>38</v>
      </c>
      <c r="G6551" t="s">
        <v>90</v>
      </c>
      <c r="H6551" t="s">
        <v>228</v>
      </c>
      <c r="I6551" t="s">
        <v>1103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133</v>
      </c>
      <c r="D6552" t="s">
        <v>243</v>
      </c>
      <c r="E6552" t="s">
        <v>89</v>
      </c>
      <c r="F6552">
        <v>38</v>
      </c>
      <c r="G6552" t="s">
        <v>90</v>
      </c>
      <c r="H6552" t="s">
        <v>228</v>
      </c>
      <c r="I6552" t="s">
        <v>1104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133</v>
      </c>
      <c r="D6553" t="s">
        <v>243</v>
      </c>
      <c r="E6553" t="s">
        <v>89</v>
      </c>
      <c r="F6553">
        <v>38</v>
      </c>
      <c r="G6553" t="s">
        <v>90</v>
      </c>
      <c r="H6553" t="s">
        <v>228</v>
      </c>
      <c r="I6553" t="s">
        <v>1105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133</v>
      </c>
      <c r="D6554" t="s">
        <v>243</v>
      </c>
      <c r="E6554" t="s">
        <v>89</v>
      </c>
      <c r="F6554">
        <v>38</v>
      </c>
      <c r="G6554" t="s">
        <v>90</v>
      </c>
      <c r="H6554" t="s">
        <v>228</v>
      </c>
      <c r="I6554" t="s">
        <v>1106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133</v>
      </c>
      <c r="D6555" t="s">
        <v>243</v>
      </c>
      <c r="E6555" t="s">
        <v>89</v>
      </c>
      <c r="F6555">
        <v>38</v>
      </c>
      <c r="G6555" t="s">
        <v>90</v>
      </c>
      <c r="H6555" t="s">
        <v>228</v>
      </c>
      <c r="I6555" t="s">
        <v>1107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133</v>
      </c>
      <c r="D6556" t="s">
        <v>243</v>
      </c>
      <c r="E6556" t="s">
        <v>89</v>
      </c>
      <c r="F6556">
        <v>38</v>
      </c>
      <c r="G6556" t="s">
        <v>90</v>
      </c>
      <c r="H6556" t="s">
        <v>229</v>
      </c>
      <c r="I6556" t="s">
        <v>1095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133</v>
      </c>
      <c r="D6557" t="s">
        <v>243</v>
      </c>
      <c r="E6557" t="s">
        <v>89</v>
      </c>
      <c r="F6557">
        <v>38</v>
      </c>
      <c r="G6557" t="s">
        <v>90</v>
      </c>
      <c r="H6557" t="s">
        <v>229</v>
      </c>
      <c r="I6557" t="s">
        <v>1096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133</v>
      </c>
      <c r="D6558" t="s">
        <v>243</v>
      </c>
      <c r="E6558" t="s">
        <v>89</v>
      </c>
      <c r="F6558">
        <v>38</v>
      </c>
      <c r="G6558" t="s">
        <v>90</v>
      </c>
      <c r="H6558" t="s">
        <v>229</v>
      </c>
      <c r="I6558" t="s">
        <v>1097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133</v>
      </c>
      <c r="D6559" t="s">
        <v>243</v>
      </c>
      <c r="E6559" t="s">
        <v>89</v>
      </c>
      <c r="F6559">
        <v>38</v>
      </c>
      <c r="G6559" t="s">
        <v>90</v>
      </c>
      <c r="H6559" t="s">
        <v>229</v>
      </c>
      <c r="I6559" t="s">
        <v>1098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133</v>
      </c>
      <c r="D6560" t="s">
        <v>243</v>
      </c>
      <c r="E6560" t="s">
        <v>89</v>
      </c>
      <c r="F6560">
        <v>38</v>
      </c>
      <c r="G6560" t="s">
        <v>90</v>
      </c>
      <c r="H6560" t="s">
        <v>229</v>
      </c>
      <c r="I6560" t="s">
        <v>1099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133</v>
      </c>
      <c r="D6561" t="s">
        <v>243</v>
      </c>
      <c r="E6561" t="s">
        <v>89</v>
      </c>
      <c r="F6561">
        <v>38</v>
      </c>
      <c r="G6561" t="s">
        <v>90</v>
      </c>
      <c r="H6561" t="s">
        <v>229</v>
      </c>
      <c r="I6561" t="s">
        <v>1100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133</v>
      </c>
      <c r="D6562" t="s">
        <v>243</v>
      </c>
      <c r="E6562" t="s">
        <v>89</v>
      </c>
      <c r="F6562">
        <v>38</v>
      </c>
      <c r="G6562" t="s">
        <v>90</v>
      </c>
      <c r="H6562" t="s">
        <v>229</v>
      </c>
      <c r="I6562" t="s">
        <v>1101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133</v>
      </c>
      <c r="D6563" t="s">
        <v>243</v>
      </c>
      <c r="E6563" t="s">
        <v>89</v>
      </c>
      <c r="F6563">
        <v>38</v>
      </c>
      <c r="G6563" t="s">
        <v>90</v>
      </c>
      <c r="H6563" t="s">
        <v>229</v>
      </c>
      <c r="I6563" t="s">
        <v>1102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133</v>
      </c>
      <c r="D6564" t="s">
        <v>243</v>
      </c>
      <c r="E6564" t="s">
        <v>89</v>
      </c>
      <c r="F6564">
        <v>38</v>
      </c>
      <c r="G6564" t="s">
        <v>90</v>
      </c>
      <c r="H6564" t="s">
        <v>229</v>
      </c>
      <c r="I6564" t="s">
        <v>1103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133</v>
      </c>
      <c r="D6565" t="s">
        <v>243</v>
      </c>
      <c r="E6565" t="s">
        <v>89</v>
      </c>
      <c r="F6565">
        <v>38</v>
      </c>
      <c r="G6565" t="s">
        <v>90</v>
      </c>
      <c r="H6565" t="s">
        <v>229</v>
      </c>
      <c r="I6565" t="s">
        <v>1104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133</v>
      </c>
      <c r="D6566" t="s">
        <v>243</v>
      </c>
      <c r="E6566" t="s">
        <v>89</v>
      </c>
      <c r="F6566">
        <v>38</v>
      </c>
      <c r="G6566" t="s">
        <v>90</v>
      </c>
      <c r="H6566" t="s">
        <v>229</v>
      </c>
      <c r="I6566" t="s">
        <v>1105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133</v>
      </c>
      <c r="D6567" t="s">
        <v>243</v>
      </c>
      <c r="E6567" t="s">
        <v>89</v>
      </c>
      <c r="F6567">
        <v>38</v>
      </c>
      <c r="G6567" t="s">
        <v>90</v>
      </c>
      <c r="H6567" t="s">
        <v>229</v>
      </c>
      <c r="I6567" t="s">
        <v>1106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133</v>
      </c>
      <c r="D6568" t="s">
        <v>243</v>
      </c>
      <c r="E6568" t="s">
        <v>89</v>
      </c>
      <c r="F6568">
        <v>38</v>
      </c>
      <c r="G6568" t="s">
        <v>90</v>
      </c>
      <c r="H6568" t="s">
        <v>229</v>
      </c>
      <c r="I6568" t="s">
        <v>1107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133</v>
      </c>
      <c r="D6569" t="s">
        <v>243</v>
      </c>
      <c r="E6569" t="s">
        <v>89</v>
      </c>
      <c r="F6569">
        <v>38</v>
      </c>
      <c r="G6569" t="s">
        <v>90</v>
      </c>
      <c r="H6569" t="s">
        <v>91</v>
      </c>
      <c r="I6569" t="s">
        <v>1095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133</v>
      </c>
      <c r="D6570" t="s">
        <v>243</v>
      </c>
      <c r="E6570" t="s">
        <v>89</v>
      </c>
      <c r="F6570">
        <v>38</v>
      </c>
      <c r="G6570" t="s">
        <v>90</v>
      </c>
      <c r="H6570" t="s">
        <v>91</v>
      </c>
      <c r="I6570" t="s">
        <v>1096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133</v>
      </c>
      <c r="D6571" t="s">
        <v>243</v>
      </c>
      <c r="E6571" t="s">
        <v>89</v>
      </c>
      <c r="F6571">
        <v>38</v>
      </c>
      <c r="G6571" t="s">
        <v>90</v>
      </c>
      <c r="H6571" t="s">
        <v>91</v>
      </c>
      <c r="I6571" t="s">
        <v>1097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133</v>
      </c>
      <c r="D6572" t="s">
        <v>243</v>
      </c>
      <c r="E6572" t="s">
        <v>89</v>
      </c>
      <c r="F6572">
        <v>38</v>
      </c>
      <c r="G6572" t="s">
        <v>90</v>
      </c>
      <c r="H6572" t="s">
        <v>91</v>
      </c>
      <c r="I6572" t="s">
        <v>1098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133</v>
      </c>
      <c r="D6573" t="s">
        <v>243</v>
      </c>
      <c r="E6573" t="s">
        <v>89</v>
      </c>
      <c r="F6573">
        <v>38</v>
      </c>
      <c r="G6573" t="s">
        <v>90</v>
      </c>
      <c r="H6573" t="s">
        <v>91</v>
      </c>
      <c r="I6573" t="s">
        <v>1099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133</v>
      </c>
      <c r="D6574" t="s">
        <v>243</v>
      </c>
      <c r="E6574" t="s">
        <v>89</v>
      </c>
      <c r="F6574">
        <v>38</v>
      </c>
      <c r="G6574" t="s">
        <v>90</v>
      </c>
      <c r="H6574" t="s">
        <v>91</v>
      </c>
      <c r="I6574" t="s">
        <v>1100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133</v>
      </c>
      <c r="D6575" t="s">
        <v>243</v>
      </c>
      <c r="E6575" t="s">
        <v>89</v>
      </c>
      <c r="F6575">
        <v>38</v>
      </c>
      <c r="G6575" t="s">
        <v>90</v>
      </c>
      <c r="H6575" t="s">
        <v>91</v>
      </c>
      <c r="I6575" t="s">
        <v>1101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133</v>
      </c>
      <c r="D6576" t="s">
        <v>243</v>
      </c>
      <c r="E6576" t="s">
        <v>89</v>
      </c>
      <c r="F6576">
        <v>38</v>
      </c>
      <c r="G6576" t="s">
        <v>90</v>
      </c>
      <c r="H6576" t="s">
        <v>91</v>
      </c>
      <c r="I6576" t="s">
        <v>1102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133</v>
      </c>
      <c r="D6577" t="s">
        <v>243</v>
      </c>
      <c r="E6577" t="s">
        <v>89</v>
      </c>
      <c r="F6577">
        <v>38</v>
      </c>
      <c r="G6577" t="s">
        <v>90</v>
      </c>
      <c r="H6577" t="s">
        <v>91</v>
      </c>
      <c r="I6577" t="s">
        <v>1103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133</v>
      </c>
      <c r="D6578" t="s">
        <v>243</v>
      </c>
      <c r="E6578" t="s">
        <v>89</v>
      </c>
      <c r="F6578">
        <v>38</v>
      </c>
      <c r="G6578" t="s">
        <v>90</v>
      </c>
      <c r="H6578" t="s">
        <v>91</v>
      </c>
      <c r="I6578" t="s">
        <v>1104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133</v>
      </c>
      <c r="D6579" t="s">
        <v>243</v>
      </c>
      <c r="E6579" t="s">
        <v>89</v>
      </c>
      <c r="F6579">
        <v>38</v>
      </c>
      <c r="G6579" t="s">
        <v>90</v>
      </c>
      <c r="H6579" t="s">
        <v>91</v>
      </c>
      <c r="I6579" t="s">
        <v>1105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133</v>
      </c>
      <c r="D6580" t="s">
        <v>243</v>
      </c>
      <c r="E6580" t="s">
        <v>89</v>
      </c>
      <c r="F6580">
        <v>38</v>
      </c>
      <c r="G6580" t="s">
        <v>90</v>
      </c>
      <c r="H6580" t="s">
        <v>91</v>
      </c>
      <c r="I6580" t="s">
        <v>1106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133</v>
      </c>
      <c r="D6581" t="s">
        <v>243</v>
      </c>
      <c r="E6581" t="s">
        <v>89</v>
      </c>
      <c r="F6581">
        <v>38</v>
      </c>
      <c r="G6581" t="s">
        <v>90</v>
      </c>
      <c r="H6581" t="s">
        <v>91</v>
      </c>
      <c r="I6581" t="s">
        <v>1107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133</v>
      </c>
      <c r="D6582" t="s">
        <v>243</v>
      </c>
      <c r="E6582" t="s">
        <v>89</v>
      </c>
      <c r="F6582">
        <v>38</v>
      </c>
      <c r="G6582" t="s">
        <v>90</v>
      </c>
      <c r="H6582" t="s">
        <v>230</v>
      </c>
      <c r="I6582" t="s">
        <v>1095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133</v>
      </c>
      <c r="D6583" t="s">
        <v>243</v>
      </c>
      <c r="E6583" t="s">
        <v>89</v>
      </c>
      <c r="F6583">
        <v>38</v>
      </c>
      <c r="G6583" t="s">
        <v>90</v>
      </c>
      <c r="H6583" t="s">
        <v>230</v>
      </c>
      <c r="I6583" t="s">
        <v>1096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133</v>
      </c>
      <c r="D6584" t="s">
        <v>243</v>
      </c>
      <c r="E6584" t="s">
        <v>89</v>
      </c>
      <c r="F6584">
        <v>38</v>
      </c>
      <c r="G6584" t="s">
        <v>90</v>
      </c>
      <c r="H6584" t="s">
        <v>230</v>
      </c>
      <c r="I6584" t="s">
        <v>1097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133</v>
      </c>
      <c r="D6585" t="s">
        <v>243</v>
      </c>
      <c r="E6585" t="s">
        <v>89</v>
      </c>
      <c r="F6585">
        <v>38</v>
      </c>
      <c r="G6585" t="s">
        <v>90</v>
      </c>
      <c r="H6585" t="s">
        <v>230</v>
      </c>
      <c r="I6585" t="s">
        <v>1098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133</v>
      </c>
      <c r="D6586" t="s">
        <v>243</v>
      </c>
      <c r="E6586" t="s">
        <v>89</v>
      </c>
      <c r="F6586">
        <v>38</v>
      </c>
      <c r="G6586" t="s">
        <v>90</v>
      </c>
      <c r="H6586" t="s">
        <v>230</v>
      </c>
      <c r="I6586" t="s">
        <v>1099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133</v>
      </c>
      <c r="D6587" t="s">
        <v>243</v>
      </c>
      <c r="E6587" t="s">
        <v>89</v>
      </c>
      <c r="F6587">
        <v>38</v>
      </c>
      <c r="G6587" t="s">
        <v>90</v>
      </c>
      <c r="H6587" t="s">
        <v>230</v>
      </c>
      <c r="I6587" t="s">
        <v>1100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133</v>
      </c>
      <c r="D6588" t="s">
        <v>243</v>
      </c>
      <c r="E6588" t="s">
        <v>89</v>
      </c>
      <c r="F6588">
        <v>38</v>
      </c>
      <c r="G6588" t="s">
        <v>90</v>
      </c>
      <c r="H6588" t="s">
        <v>230</v>
      </c>
      <c r="I6588" t="s">
        <v>1101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133</v>
      </c>
      <c r="D6589" t="s">
        <v>243</v>
      </c>
      <c r="E6589" t="s">
        <v>89</v>
      </c>
      <c r="F6589">
        <v>38</v>
      </c>
      <c r="G6589" t="s">
        <v>90</v>
      </c>
      <c r="H6589" t="s">
        <v>230</v>
      </c>
      <c r="I6589" t="s">
        <v>1102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133</v>
      </c>
      <c r="D6590" t="s">
        <v>243</v>
      </c>
      <c r="E6590" t="s">
        <v>89</v>
      </c>
      <c r="F6590">
        <v>38</v>
      </c>
      <c r="G6590" t="s">
        <v>90</v>
      </c>
      <c r="H6590" t="s">
        <v>230</v>
      </c>
      <c r="I6590" t="s">
        <v>1103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133</v>
      </c>
      <c r="D6591" t="s">
        <v>243</v>
      </c>
      <c r="E6591" t="s">
        <v>89</v>
      </c>
      <c r="F6591">
        <v>38</v>
      </c>
      <c r="G6591" t="s">
        <v>90</v>
      </c>
      <c r="H6591" t="s">
        <v>230</v>
      </c>
      <c r="I6591" t="s">
        <v>1104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133</v>
      </c>
      <c r="D6592" t="s">
        <v>243</v>
      </c>
      <c r="E6592" t="s">
        <v>89</v>
      </c>
      <c r="F6592">
        <v>38</v>
      </c>
      <c r="G6592" t="s">
        <v>90</v>
      </c>
      <c r="H6592" t="s">
        <v>230</v>
      </c>
      <c r="I6592" t="s">
        <v>1105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133</v>
      </c>
      <c r="D6593" t="s">
        <v>243</v>
      </c>
      <c r="E6593" t="s">
        <v>89</v>
      </c>
      <c r="F6593">
        <v>38</v>
      </c>
      <c r="G6593" t="s">
        <v>90</v>
      </c>
      <c r="H6593" t="s">
        <v>230</v>
      </c>
      <c r="I6593" t="s">
        <v>1106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133</v>
      </c>
      <c r="D6594" t="s">
        <v>243</v>
      </c>
      <c r="E6594" t="s">
        <v>89</v>
      </c>
      <c r="F6594">
        <v>38</v>
      </c>
      <c r="G6594" t="s">
        <v>90</v>
      </c>
      <c r="H6594" t="s">
        <v>230</v>
      </c>
      <c r="I6594" t="s">
        <v>1107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133</v>
      </c>
      <c r="D6595" t="s">
        <v>243</v>
      </c>
      <c r="E6595" t="s">
        <v>89</v>
      </c>
      <c r="F6595">
        <v>38</v>
      </c>
      <c r="G6595" t="s">
        <v>90</v>
      </c>
      <c r="H6595" t="s">
        <v>188</v>
      </c>
      <c r="I6595" t="s">
        <v>1095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133</v>
      </c>
      <c r="D6596" t="s">
        <v>243</v>
      </c>
      <c r="E6596" t="s">
        <v>89</v>
      </c>
      <c r="F6596">
        <v>38</v>
      </c>
      <c r="G6596" t="s">
        <v>90</v>
      </c>
      <c r="H6596" t="s">
        <v>188</v>
      </c>
      <c r="I6596" t="s">
        <v>1096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133</v>
      </c>
      <c r="D6597" t="s">
        <v>243</v>
      </c>
      <c r="E6597" t="s">
        <v>89</v>
      </c>
      <c r="F6597">
        <v>38</v>
      </c>
      <c r="G6597" t="s">
        <v>90</v>
      </c>
      <c r="H6597" t="s">
        <v>188</v>
      </c>
      <c r="I6597" t="s">
        <v>1097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133</v>
      </c>
      <c r="D6598" t="s">
        <v>243</v>
      </c>
      <c r="E6598" t="s">
        <v>89</v>
      </c>
      <c r="F6598">
        <v>38</v>
      </c>
      <c r="G6598" t="s">
        <v>90</v>
      </c>
      <c r="H6598" t="s">
        <v>188</v>
      </c>
      <c r="I6598" t="s">
        <v>1098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133</v>
      </c>
      <c r="D6599" t="s">
        <v>243</v>
      </c>
      <c r="E6599" t="s">
        <v>89</v>
      </c>
      <c r="F6599">
        <v>38</v>
      </c>
      <c r="G6599" t="s">
        <v>90</v>
      </c>
      <c r="H6599" t="s">
        <v>188</v>
      </c>
      <c r="I6599" t="s">
        <v>1099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133</v>
      </c>
      <c r="D6600" t="s">
        <v>243</v>
      </c>
      <c r="E6600" t="s">
        <v>89</v>
      </c>
      <c r="F6600">
        <v>38</v>
      </c>
      <c r="G6600" t="s">
        <v>90</v>
      </c>
      <c r="H6600" t="s">
        <v>188</v>
      </c>
      <c r="I6600" t="s">
        <v>1100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133</v>
      </c>
      <c r="D6601" t="s">
        <v>243</v>
      </c>
      <c r="E6601" t="s">
        <v>89</v>
      </c>
      <c r="F6601">
        <v>38</v>
      </c>
      <c r="G6601" t="s">
        <v>90</v>
      </c>
      <c r="H6601" t="s">
        <v>188</v>
      </c>
      <c r="I6601" t="s">
        <v>1101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133</v>
      </c>
      <c r="D6602" t="s">
        <v>243</v>
      </c>
      <c r="E6602" t="s">
        <v>89</v>
      </c>
      <c r="F6602">
        <v>38</v>
      </c>
      <c r="G6602" t="s">
        <v>90</v>
      </c>
      <c r="H6602" t="s">
        <v>188</v>
      </c>
      <c r="I6602" t="s">
        <v>1102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133</v>
      </c>
      <c r="D6603" t="s">
        <v>243</v>
      </c>
      <c r="E6603" t="s">
        <v>89</v>
      </c>
      <c r="F6603">
        <v>38</v>
      </c>
      <c r="G6603" t="s">
        <v>90</v>
      </c>
      <c r="H6603" t="s">
        <v>188</v>
      </c>
      <c r="I6603" t="s">
        <v>1103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133</v>
      </c>
      <c r="D6604" t="s">
        <v>243</v>
      </c>
      <c r="E6604" t="s">
        <v>89</v>
      </c>
      <c r="F6604">
        <v>38</v>
      </c>
      <c r="G6604" t="s">
        <v>90</v>
      </c>
      <c r="H6604" t="s">
        <v>188</v>
      </c>
      <c r="I6604" t="s">
        <v>1104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133</v>
      </c>
      <c r="D6605" t="s">
        <v>243</v>
      </c>
      <c r="E6605" t="s">
        <v>89</v>
      </c>
      <c r="F6605">
        <v>38</v>
      </c>
      <c r="G6605" t="s">
        <v>90</v>
      </c>
      <c r="H6605" t="s">
        <v>188</v>
      </c>
      <c r="I6605" t="s">
        <v>1105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133</v>
      </c>
      <c r="D6606" t="s">
        <v>243</v>
      </c>
      <c r="E6606" t="s">
        <v>89</v>
      </c>
      <c r="F6606">
        <v>38</v>
      </c>
      <c r="G6606" t="s">
        <v>90</v>
      </c>
      <c r="H6606" t="s">
        <v>188</v>
      </c>
      <c r="I6606" t="s">
        <v>1106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133</v>
      </c>
      <c r="D6607" t="s">
        <v>243</v>
      </c>
      <c r="E6607" t="s">
        <v>89</v>
      </c>
      <c r="F6607">
        <v>38</v>
      </c>
      <c r="G6607" t="s">
        <v>90</v>
      </c>
      <c r="H6607" t="s">
        <v>188</v>
      </c>
      <c r="I6607" t="s">
        <v>1107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133</v>
      </c>
      <c r="D6608" t="s">
        <v>243</v>
      </c>
      <c r="E6608" t="s">
        <v>89</v>
      </c>
      <c r="F6608">
        <v>38</v>
      </c>
      <c r="G6608" t="s">
        <v>271</v>
      </c>
      <c r="H6608" t="s">
        <v>189</v>
      </c>
      <c r="I6608" t="s">
        <v>1095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133</v>
      </c>
      <c r="D6609" t="s">
        <v>243</v>
      </c>
      <c r="E6609" t="s">
        <v>89</v>
      </c>
      <c r="F6609">
        <v>38</v>
      </c>
      <c r="G6609" t="s">
        <v>271</v>
      </c>
      <c r="H6609" t="s">
        <v>186</v>
      </c>
      <c r="I6609" t="s">
        <v>1095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133</v>
      </c>
      <c r="D6610" t="s">
        <v>243</v>
      </c>
      <c r="E6610" t="s">
        <v>89</v>
      </c>
      <c r="F6610">
        <v>38</v>
      </c>
      <c r="G6610" t="s">
        <v>271</v>
      </c>
      <c r="H6610" t="s">
        <v>188</v>
      </c>
      <c r="I6610" t="s">
        <v>1095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133</v>
      </c>
      <c r="D6611" t="s">
        <v>243</v>
      </c>
      <c r="E6611" t="s">
        <v>89</v>
      </c>
      <c r="F6611">
        <v>38</v>
      </c>
      <c r="G6611" t="s">
        <v>272</v>
      </c>
      <c r="H6611" t="s">
        <v>232</v>
      </c>
      <c r="I6611" t="s">
        <v>1088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133</v>
      </c>
      <c r="D6612" t="s">
        <v>243</v>
      </c>
      <c r="E6612" t="s">
        <v>89</v>
      </c>
      <c r="F6612">
        <v>38</v>
      </c>
      <c r="G6612" t="s">
        <v>272</v>
      </c>
      <c r="H6612" t="s">
        <v>232</v>
      </c>
      <c r="I6612" t="s">
        <v>177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133</v>
      </c>
      <c r="D6613" t="s">
        <v>243</v>
      </c>
      <c r="E6613" t="s">
        <v>89</v>
      </c>
      <c r="F6613">
        <v>38</v>
      </c>
      <c r="G6613" t="s">
        <v>272</v>
      </c>
      <c r="H6613" t="s">
        <v>186</v>
      </c>
      <c r="I6613" t="s">
        <v>1088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133</v>
      </c>
      <c r="D6614" t="s">
        <v>243</v>
      </c>
      <c r="E6614" t="s">
        <v>89</v>
      </c>
      <c r="F6614">
        <v>38</v>
      </c>
      <c r="G6614" t="s">
        <v>272</v>
      </c>
      <c r="H6614" t="s">
        <v>186</v>
      </c>
      <c r="I6614" t="s">
        <v>177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133</v>
      </c>
      <c r="D6615" t="s">
        <v>243</v>
      </c>
      <c r="E6615" t="s">
        <v>89</v>
      </c>
      <c r="F6615">
        <v>38</v>
      </c>
      <c r="G6615" t="s">
        <v>272</v>
      </c>
      <c r="H6615" t="s">
        <v>187</v>
      </c>
      <c r="I6615" t="s">
        <v>1088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133</v>
      </c>
      <c r="D6616" t="s">
        <v>243</v>
      </c>
      <c r="E6616" t="s">
        <v>89</v>
      </c>
      <c r="F6616">
        <v>38</v>
      </c>
      <c r="G6616" t="s">
        <v>272</v>
      </c>
      <c r="H6616" t="s">
        <v>187</v>
      </c>
      <c r="I6616" t="s">
        <v>177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133</v>
      </c>
      <c r="D6617" t="s">
        <v>243</v>
      </c>
      <c r="E6617" t="s">
        <v>89</v>
      </c>
      <c r="F6617">
        <v>38</v>
      </c>
      <c r="G6617" t="s">
        <v>272</v>
      </c>
      <c r="H6617" t="s">
        <v>198</v>
      </c>
      <c r="I6617" t="s">
        <v>1088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133</v>
      </c>
      <c r="D6618" t="s">
        <v>243</v>
      </c>
      <c r="E6618" t="s">
        <v>89</v>
      </c>
      <c r="F6618">
        <v>38</v>
      </c>
      <c r="G6618" t="s">
        <v>272</v>
      </c>
      <c r="H6618" t="s">
        <v>198</v>
      </c>
      <c r="I6618" t="s">
        <v>177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133</v>
      </c>
      <c r="D6619" t="s">
        <v>243</v>
      </c>
      <c r="E6619" t="s">
        <v>89</v>
      </c>
      <c r="F6619">
        <v>38</v>
      </c>
      <c r="G6619" t="s">
        <v>272</v>
      </c>
      <c r="H6619" t="s">
        <v>188</v>
      </c>
      <c r="I6619" t="s">
        <v>1088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133</v>
      </c>
      <c r="D6620" t="s">
        <v>243</v>
      </c>
      <c r="E6620" t="s">
        <v>89</v>
      </c>
      <c r="F6620">
        <v>38</v>
      </c>
      <c r="G6620" t="s">
        <v>272</v>
      </c>
      <c r="H6620" t="s">
        <v>188</v>
      </c>
      <c r="I6620" t="s">
        <v>177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133</v>
      </c>
      <c r="D6621" t="s">
        <v>243</v>
      </c>
      <c r="E6621" t="s">
        <v>89</v>
      </c>
      <c r="F6621">
        <v>38</v>
      </c>
      <c r="G6621" t="s">
        <v>231</v>
      </c>
      <c r="H6621" t="s">
        <v>232</v>
      </c>
      <c r="I6621" t="s">
        <v>173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133</v>
      </c>
      <c r="D6622" t="s">
        <v>243</v>
      </c>
      <c r="E6622" t="s">
        <v>89</v>
      </c>
      <c r="F6622">
        <v>38</v>
      </c>
      <c r="G6622" t="s">
        <v>231</v>
      </c>
      <c r="H6622" t="s">
        <v>186</v>
      </c>
      <c r="I6622" t="s">
        <v>173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133</v>
      </c>
      <c r="D6623" t="s">
        <v>243</v>
      </c>
      <c r="E6623" t="s">
        <v>89</v>
      </c>
      <c r="F6623">
        <v>38</v>
      </c>
      <c r="G6623" t="s">
        <v>231</v>
      </c>
      <c r="H6623" t="s">
        <v>187</v>
      </c>
      <c r="I6623" t="s">
        <v>173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133</v>
      </c>
      <c r="D6624" t="s">
        <v>243</v>
      </c>
      <c r="E6624" t="s">
        <v>89</v>
      </c>
      <c r="F6624">
        <v>38</v>
      </c>
      <c r="G6624" t="s">
        <v>231</v>
      </c>
      <c r="H6624" t="s">
        <v>198</v>
      </c>
      <c r="I6624" t="s">
        <v>173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133</v>
      </c>
      <c r="D6625" t="s">
        <v>243</v>
      </c>
      <c r="E6625" t="s">
        <v>89</v>
      </c>
      <c r="F6625">
        <v>38</v>
      </c>
      <c r="G6625" t="s">
        <v>231</v>
      </c>
      <c r="H6625" t="s">
        <v>188</v>
      </c>
      <c r="I6625" t="s">
        <v>173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133</v>
      </c>
      <c r="D6626" t="s">
        <v>243</v>
      </c>
      <c r="E6626" t="s">
        <v>89</v>
      </c>
      <c r="F6626">
        <v>38</v>
      </c>
      <c r="G6626" t="s">
        <v>233</v>
      </c>
      <c r="H6626" t="s">
        <v>234</v>
      </c>
      <c r="I6626" t="s">
        <v>1108</v>
      </c>
      <c r="J6626" s="73">
        <v>45658</v>
      </c>
    </row>
    <row r="6627" spans="1:10" x14ac:dyDescent="0.25">
      <c r="A6627" s="1" t="s">
        <v>27</v>
      </c>
      <c r="B6627">
        <v>401752805</v>
      </c>
      <c r="C6627" t="s">
        <v>133</v>
      </c>
      <c r="D6627" t="s">
        <v>243</v>
      </c>
      <c r="E6627" t="s">
        <v>89</v>
      </c>
      <c r="F6627">
        <v>38</v>
      </c>
      <c r="G6627" t="s">
        <v>233</v>
      </c>
      <c r="H6627" t="s">
        <v>236</v>
      </c>
      <c r="I6627" t="s">
        <v>1108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133</v>
      </c>
      <c r="D6628" t="s">
        <v>243</v>
      </c>
      <c r="E6628" t="s">
        <v>89</v>
      </c>
      <c r="F6628">
        <v>38</v>
      </c>
      <c r="G6628" t="s">
        <v>233</v>
      </c>
      <c r="H6628" t="s">
        <v>198</v>
      </c>
      <c r="I6628" t="s">
        <v>1108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133</v>
      </c>
      <c r="D6629" t="s">
        <v>243</v>
      </c>
      <c r="E6629" t="s">
        <v>89</v>
      </c>
      <c r="F6629">
        <v>38</v>
      </c>
      <c r="G6629" t="s">
        <v>233</v>
      </c>
      <c r="H6629" t="s">
        <v>237</v>
      </c>
      <c r="I6629" t="s">
        <v>1108</v>
      </c>
      <c r="J6629" s="73">
        <v>45782</v>
      </c>
    </row>
    <row r="6630" spans="1:10" x14ac:dyDescent="0.25">
      <c r="A6630" s="1" t="s">
        <v>27</v>
      </c>
      <c r="B6630">
        <v>401752805</v>
      </c>
      <c r="C6630" t="s">
        <v>133</v>
      </c>
      <c r="D6630" t="s">
        <v>243</v>
      </c>
      <c r="E6630" t="s">
        <v>89</v>
      </c>
      <c r="F6630">
        <v>38</v>
      </c>
      <c r="G6630" t="s">
        <v>233</v>
      </c>
      <c r="H6630" t="s">
        <v>238</v>
      </c>
      <c r="I6630" t="s">
        <v>1108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133</v>
      </c>
      <c r="D6631" t="s">
        <v>243</v>
      </c>
      <c r="E6631" t="s">
        <v>89</v>
      </c>
      <c r="F6631">
        <v>38</v>
      </c>
      <c r="G6631" t="s">
        <v>239</v>
      </c>
      <c r="H6631" t="s">
        <v>232</v>
      </c>
      <c r="I6631" t="s">
        <v>1109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133</v>
      </c>
      <c r="D6632" t="s">
        <v>243</v>
      </c>
      <c r="E6632" t="s">
        <v>89</v>
      </c>
      <c r="F6632">
        <v>38</v>
      </c>
      <c r="G6632" t="s">
        <v>239</v>
      </c>
      <c r="H6632" t="s">
        <v>186</v>
      </c>
      <c r="I6632" t="s">
        <v>1109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133</v>
      </c>
      <c r="D6633" t="s">
        <v>243</v>
      </c>
      <c r="E6633" t="s">
        <v>89</v>
      </c>
      <c r="F6633">
        <v>38</v>
      </c>
      <c r="G6633" t="s">
        <v>239</v>
      </c>
      <c r="H6633" t="s">
        <v>187</v>
      </c>
      <c r="I6633" t="s">
        <v>1109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133</v>
      </c>
      <c r="D6634" t="s">
        <v>243</v>
      </c>
      <c r="E6634" t="s">
        <v>89</v>
      </c>
      <c r="F6634">
        <v>38</v>
      </c>
      <c r="G6634" t="s">
        <v>239</v>
      </c>
      <c r="H6634" t="s">
        <v>241</v>
      </c>
      <c r="I6634" t="s">
        <v>1109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133</v>
      </c>
      <c r="D6635" t="s">
        <v>243</v>
      </c>
      <c r="E6635" t="s">
        <v>89</v>
      </c>
      <c r="F6635">
        <v>38</v>
      </c>
      <c r="G6635" t="s">
        <v>239</v>
      </c>
      <c r="H6635" t="s">
        <v>242</v>
      </c>
      <c r="I6635" t="s">
        <v>1109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133</v>
      </c>
      <c r="D6636" t="s">
        <v>243</v>
      </c>
      <c r="E6636" t="s">
        <v>89</v>
      </c>
      <c r="F6636">
        <v>38</v>
      </c>
      <c r="G6636" t="s">
        <v>239</v>
      </c>
      <c r="H6636" t="s">
        <v>198</v>
      </c>
      <c r="I6636" t="s">
        <v>1109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167</v>
      </c>
      <c r="D6637" t="s">
        <v>508</v>
      </c>
      <c r="E6637" t="s">
        <v>179</v>
      </c>
      <c r="F6637">
        <v>48</v>
      </c>
      <c r="G6637" t="s">
        <v>180</v>
      </c>
      <c r="H6637" t="s">
        <v>181</v>
      </c>
      <c r="I6637" t="s">
        <v>166</v>
      </c>
      <c r="J6637" t="s">
        <v>1110</v>
      </c>
    </row>
    <row r="6638" spans="1:10" x14ac:dyDescent="0.25">
      <c r="A6638" s="1" t="s">
        <v>27</v>
      </c>
      <c r="B6638">
        <v>401754523</v>
      </c>
      <c r="C6638" t="s">
        <v>167</v>
      </c>
      <c r="D6638" t="s">
        <v>508</v>
      </c>
      <c r="E6638" t="s">
        <v>179</v>
      </c>
      <c r="F6638">
        <v>48</v>
      </c>
      <c r="G6638" t="s">
        <v>180</v>
      </c>
      <c r="H6638" t="s">
        <v>181</v>
      </c>
      <c r="I6638" t="s">
        <v>1111</v>
      </c>
      <c r="J6638" t="s">
        <v>185</v>
      </c>
    </row>
    <row r="6639" spans="1:10" x14ac:dyDescent="0.25">
      <c r="A6639" s="1" t="s">
        <v>27</v>
      </c>
      <c r="B6639">
        <v>401754523</v>
      </c>
      <c r="C6639" t="s">
        <v>167</v>
      </c>
      <c r="D6639" t="s">
        <v>508</v>
      </c>
      <c r="E6639" t="s">
        <v>179</v>
      </c>
      <c r="F6639">
        <v>48</v>
      </c>
      <c r="G6639" t="s">
        <v>180</v>
      </c>
      <c r="H6639" t="s">
        <v>186</v>
      </c>
      <c r="I6639" t="s">
        <v>166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167</v>
      </c>
      <c r="D6640" t="s">
        <v>508</v>
      </c>
      <c r="E6640" t="s">
        <v>179</v>
      </c>
      <c r="F6640">
        <v>48</v>
      </c>
      <c r="G6640" t="s">
        <v>180</v>
      </c>
      <c r="H6640" t="s">
        <v>186</v>
      </c>
      <c r="I6640" t="s">
        <v>1111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167</v>
      </c>
      <c r="D6641" t="s">
        <v>508</v>
      </c>
      <c r="E6641" t="s">
        <v>179</v>
      </c>
      <c r="F6641">
        <v>48</v>
      </c>
      <c r="G6641" t="s">
        <v>180</v>
      </c>
      <c r="H6641" t="s">
        <v>187</v>
      </c>
      <c r="I6641" t="s">
        <v>166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167</v>
      </c>
      <c r="D6642" t="s">
        <v>508</v>
      </c>
      <c r="E6642" t="s">
        <v>179</v>
      </c>
      <c r="F6642">
        <v>48</v>
      </c>
      <c r="G6642" t="s">
        <v>180</v>
      </c>
      <c r="H6642" t="s">
        <v>187</v>
      </c>
      <c r="I6642" t="s">
        <v>1111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167</v>
      </c>
      <c r="D6643" t="s">
        <v>508</v>
      </c>
      <c r="E6643" t="s">
        <v>179</v>
      </c>
      <c r="F6643">
        <v>48</v>
      </c>
      <c r="G6643" t="s">
        <v>180</v>
      </c>
      <c r="H6643" t="s">
        <v>188</v>
      </c>
      <c r="I6643" t="s">
        <v>166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167</v>
      </c>
      <c r="D6644" t="s">
        <v>508</v>
      </c>
      <c r="E6644" t="s">
        <v>179</v>
      </c>
      <c r="F6644">
        <v>48</v>
      </c>
      <c r="G6644" t="s">
        <v>180</v>
      </c>
      <c r="H6644" t="s">
        <v>188</v>
      </c>
      <c r="I6644" t="s">
        <v>1111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167</v>
      </c>
      <c r="D6645" t="s">
        <v>508</v>
      </c>
      <c r="E6645" t="s">
        <v>179</v>
      </c>
      <c r="F6645">
        <v>48</v>
      </c>
      <c r="G6645" t="s">
        <v>180</v>
      </c>
      <c r="H6645" t="s">
        <v>189</v>
      </c>
      <c r="I6645" t="s">
        <v>166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167</v>
      </c>
      <c r="D6646" t="s">
        <v>508</v>
      </c>
      <c r="E6646" t="s">
        <v>179</v>
      </c>
      <c r="F6646">
        <v>48</v>
      </c>
      <c r="G6646" t="s">
        <v>180</v>
      </c>
      <c r="H6646" t="s">
        <v>189</v>
      </c>
      <c r="I6646" t="s">
        <v>1111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167</v>
      </c>
      <c r="D6647" t="s">
        <v>508</v>
      </c>
      <c r="E6647" t="s">
        <v>179</v>
      </c>
      <c r="F6647">
        <v>48</v>
      </c>
      <c r="G6647" t="s">
        <v>192</v>
      </c>
      <c r="H6647" t="s">
        <v>193</v>
      </c>
      <c r="I6647" t="s">
        <v>1112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167</v>
      </c>
      <c r="D6648" t="s">
        <v>508</v>
      </c>
      <c r="E6648" t="s">
        <v>179</v>
      </c>
      <c r="F6648">
        <v>48</v>
      </c>
      <c r="G6648" t="s">
        <v>192</v>
      </c>
      <c r="H6648" t="s">
        <v>193</v>
      </c>
      <c r="I6648" t="s">
        <v>1113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167</v>
      </c>
      <c r="D6649" t="s">
        <v>508</v>
      </c>
      <c r="E6649" t="s">
        <v>179</v>
      </c>
      <c r="F6649">
        <v>48</v>
      </c>
      <c r="G6649" t="s">
        <v>192</v>
      </c>
      <c r="H6649" t="s">
        <v>193</v>
      </c>
      <c r="I6649" t="s">
        <v>1114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167</v>
      </c>
      <c r="D6650" t="s">
        <v>508</v>
      </c>
      <c r="E6650" t="s">
        <v>179</v>
      </c>
      <c r="F6650">
        <v>48</v>
      </c>
      <c r="G6650" t="s">
        <v>192</v>
      </c>
      <c r="H6650" t="s">
        <v>193</v>
      </c>
      <c r="I6650" t="s">
        <v>1115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167</v>
      </c>
      <c r="D6651" t="s">
        <v>508</v>
      </c>
      <c r="E6651" t="s">
        <v>179</v>
      </c>
      <c r="F6651">
        <v>48</v>
      </c>
      <c r="G6651" t="s">
        <v>192</v>
      </c>
      <c r="H6651" t="s">
        <v>193</v>
      </c>
      <c r="I6651" t="s">
        <v>1116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167</v>
      </c>
      <c r="D6652" t="s">
        <v>508</v>
      </c>
      <c r="E6652" t="s">
        <v>179</v>
      </c>
      <c r="F6652">
        <v>48</v>
      </c>
      <c r="G6652" t="s">
        <v>192</v>
      </c>
      <c r="H6652" t="s">
        <v>193</v>
      </c>
      <c r="I6652" t="s">
        <v>166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167</v>
      </c>
      <c r="D6653" t="s">
        <v>508</v>
      </c>
      <c r="E6653" t="s">
        <v>179</v>
      </c>
      <c r="F6653">
        <v>48</v>
      </c>
      <c r="G6653" t="s">
        <v>192</v>
      </c>
      <c r="H6653" t="s">
        <v>193</v>
      </c>
      <c r="I6653" t="s">
        <v>184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167</v>
      </c>
      <c r="D6654" t="s">
        <v>508</v>
      </c>
      <c r="E6654" t="s">
        <v>179</v>
      </c>
      <c r="F6654">
        <v>48</v>
      </c>
      <c r="G6654" t="s">
        <v>192</v>
      </c>
      <c r="H6654" t="s">
        <v>186</v>
      </c>
      <c r="I6654" t="s">
        <v>1112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167</v>
      </c>
      <c r="D6655" t="s">
        <v>508</v>
      </c>
      <c r="E6655" t="s">
        <v>179</v>
      </c>
      <c r="F6655">
        <v>48</v>
      </c>
      <c r="G6655" t="s">
        <v>192</v>
      </c>
      <c r="H6655" t="s">
        <v>186</v>
      </c>
      <c r="I6655" t="s">
        <v>1113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167</v>
      </c>
      <c r="D6656" t="s">
        <v>508</v>
      </c>
      <c r="E6656" t="s">
        <v>179</v>
      </c>
      <c r="F6656">
        <v>48</v>
      </c>
      <c r="G6656" t="s">
        <v>192</v>
      </c>
      <c r="H6656" t="s">
        <v>186</v>
      </c>
      <c r="I6656" t="s">
        <v>1114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167</v>
      </c>
      <c r="D6657" t="s">
        <v>508</v>
      </c>
      <c r="E6657" t="s">
        <v>179</v>
      </c>
      <c r="F6657">
        <v>48</v>
      </c>
      <c r="G6657" t="s">
        <v>192</v>
      </c>
      <c r="H6657" t="s">
        <v>186</v>
      </c>
      <c r="I6657" t="s">
        <v>1115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167</v>
      </c>
      <c r="D6658" t="s">
        <v>508</v>
      </c>
      <c r="E6658" t="s">
        <v>179</v>
      </c>
      <c r="F6658">
        <v>48</v>
      </c>
      <c r="G6658" t="s">
        <v>192</v>
      </c>
      <c r="H6658" t="s">
        <v>186</v>
      </c>
      <c r="I6658" t="s">
        <v>1116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167</v>
      </c>
      <c r="D6659" t="s">
        <v>508</v>
      </c>
      <c r="E6659" t="s">
        <v>179</v>
      </c>
      <c r="F6659">
        <v>48</v>
      </c>
      <c r="G6659" t="s">
        <v>192</v>
      </c>
      <c r="H6659" t="s">
        <v>186</v>
      </c>
      <c r="I6659" t="s">
        <v>166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167</v>
      </c>
      <c r="D6660" t="s">
        <v>508</v>
      </c>
      <c r="E6660" t="s">
        <v>179</v>
      </c>
      <c r="F6660">
        <v>48</v>
      </c>
      <c r="G6660" t="s">
        <v>192</v>
      </c>
      <c r="H6660" t="s">
        <v>186</v>
      </c>
      <c r="I6660" t="s">
        <v>184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167</v>
      </c>
      <c r="D6661" t="s">
        <v>508</v>
      </c>
      <c r="E6661" t="s">
        <v>179</v>
      </c>
      <c r="F6661">
        <v>48</v>
      </c>
      <c r="G6661" t="s">
        <v>192</v>
      </c>
      <c r="H6661" t="s">
        <v>187</v>
      </c>
      <c r="I6661" t="s">
        <v>1112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167</v>
      </c>
      <c r="D6662" t="s">
        <v>508</v>
      </c>
      <c r="E6662" t="s">
        <v>179</v>
      </c>
      <c r="F6662">
        <v>48</v>
      </c>
      <c r="G6662" t="s">
        <v>192</v>
      </c>
      <c r="H6662" t="s">
        <v>187</v>
      </c>
      <c r="I6662" t="s">
        <v>1113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167</v>
      </c>
      <c r="D6663" t="s">
        <v>508</v>
      </c>
      <c r="E6663" t="s">
        <v>179</v>
      </c>
      <c r="F6663">
        <v>48</v>
      </c>
      <c r="G6663" t="s">
        <v>192</v>
      </c>
      <c r="H6663" t="s">
        <v>187</v>
      </c>
      <c r="I6663" t="s">
        <v>1114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167</v>
      </c>
      <c r="D6664" t="s">
        <v>508</v>
      </c>
      <c r="E6664" t="s">
        <v>179</v>
      </c>
      <c r="F6664">
        <v>48</v>
      </c>
      <c r="G6664" t="s">
        <v>192</v>
      </c>
      <c r="H6664" t="s">
        <v>187</v>
      </c>
      <c r="I6664" t="s">
        <v>1115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167</v>
      </c>
      <c r="D6665" t="s">
        <v>508</v>
      </c>
      <c r="E6665" t="s">
        <v>179</v>
      </c>
      <c r="F6665">
        <v>48</v>
      </c>
      <c r="G6665" t="s">
        <v>192</v>
      </c>
      <c r="H6665" t="s">
        <v>187</v>
      </c>
      <c r="I6665" t="s">
        <v>1116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167</v>
      </c>
      <c r="D6666" t="s">
        <v>508</v>
      </c>
      <c r="E6666" t="s">
        <v>179</v>
      </c>
      <c r="F6666">
        <v>48</v>
      </c>
      <c r="G6666" t="s">
        <v>192</v>
      </c>
      <c r="H6666" t="s">
        <v>187</v>
      </c>
      <c r="I6666" t="s">
        <v>166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167</v>
      </c>
      <c r="D6667" t="s">
        <v>508</v>
      </c>
      <c r="E6667" t="s">
        <v>179</v>
      </c>
      <c r="F6667">
        <v>48</v>
      </c>
      <c r="G6667" t="s">
        <v>192</v>
      </c>
      <c r="H6667" t="s">
        <v>187</v>
      </c>
      <c r="I6667" t="s">
        <v>184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167</v>
      </c>
      <c r="D6668" t="s">
        <v>508</v>
      </c>
      <c r="E6668" t="s">
        <v>179</v>
      </c>
      <c r="F6668">
        <v>48</v>
      </c>
      <c r="G6668" t="s">
        <v>192</v>
      </c>
      <c r="H6668" t="s">
        <v>188</v>
      </c>
      <c r="I6668" t="s">
        <v>1112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167</v>
      </c>
      <c r="D6669" t="s">
        <v>508</v>
      </c>
      <c r="E6669" t="s">
        <v>179</v>
      </c>
      <c r="F6669">
        <v>48</v>
      </c>
      <c r="G6669" t="s">
        <v>192</v>
      </c>
      <c r="H6669" t="s">
        <v>188</v>
      </c>
      <c r="I6669" t="s">
        <v>1113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167</v>
      </c>
      <c r="D6670" t="s">
        <v>508</v>
      </c>
      <c r="E6670" t="s">
        <v>179</v>
      </c>
      <c r="F6670">
        <v>48</v>
      </c>
      <c r="G6670" t="s">
        <v>192</v>
      </c>
      <c r="H6670" t="s">
        <v>188</v>
      </c>
      <c r="I6670" t="s">
        <v>1114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167</v>
      </c>
      <c r="D6671" t="s">
        <v>508</v>
      </c>
      <c r="E6671" t="s">
        <v>179</v>
      </c>
      <c r="F6671">
        <v>48</v>
      </c>
      <c r="G6671" t="s">
        <v>192</v>
      </c>
      <c r="H6671" t="s">
        <v>188</v>
      </c>
      <c r="I6671" t="s">
        <v>1115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167</v>
      </c>
      <c r="D6672" t="s">
        <v>508</v>
      </c>
      <c r="E6672" t="s">
        <v>179</v>
      </c>
      <c r="F6672">
        <v>48</v>
      </c>
      <c r="G6672" t="s">
        <v>192</v>
      </c>
      <c r="H6672" t="s">
        <v>188</v>
      </c>
      <c r="I6672" t="s">
        <v>1116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167</v>
      </c>
      <c r="D6673" t="s">
        <v>508</v>
      </c>
      <c r="E6673" t="s">
        <v>179</v>
      </c>
      <c r="F6673">
        <v>48</v>
      </c>
      <c r="G6673" t="s">
        <v>192</v>
      </c>
      <c r="H6673" t="s">
        <v>188</v>
      </c>
      <c r="I6673" t="s">
        <v>166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167</v>
      </c>
      <c r="D6674" t="s">
        <v>508</v>
      </c>
      <c r="E6674" t="s">
        <v>179</v>
      </c>
      <c r="F6674">
        <v>48</v>
      </c>
      <c r="G6674" t="s">
        <v>192</v>
      </c>
      <c r="H6674" t="s">
        <v>188</v>
      </c>
      <c r="I6674" t="s">
        <v>184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167</v>
      </c>
      <c r="D6675" t="s">
        <v>508</v>
      </c>
      <c r="E6675" t="s">
        <v>179</v>
      </c>
      <c r="F6675">
        <v>48</v>
      </c>
      <c r="G6675" t="s">
        <v>192</v>
      </c>
      <c r="H6675" t="s">
        <v>198</v>
      </c>
      <c r="I6675" t="s">
        <v>1112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167</v>
      </c>
      <c r="D6676" t="s">
        <v>508</v>
      </c>
      <c r="E6676" t="s">
        <v>179</v>
      </c>
      <c r="F6676">
        <v>48</v>
      </c>
      <c r="G6676" t="s">
        <v>192</v>
      </c>
      <c r="H6676" t="s">
        <v>198</v>
      </c>
      <c r="I6676" t="s">
        <v>1113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167</v>
      </c>
      <c r="D6677" t="s">
        <v>508</v>
      </c>
      <c r="E6677" t="s">
        <v>179</v>
      </c>
      <c r="F6677">
        <v>48</v>
      </c>
      <c r="G6677" t="s">
        <v>192</v>
      </c>
      <c r="H6677" t="s">
        <v>198</v>
      </c>
      <c r="I6677" t="s">
        <v>1114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167</v>
      </c>
      <c r="D6678" t="s">
        <v>508</v>
      </c>
      <c r="E6678" t="s">
        <v>179</v>
      </c>
      <c r="F6678">
        <v>48</v>
      </c>
      <c r="G6678" t="s">
        <v>192</v>
      </c>
      <c r="H6678" t="s">
        <v>198</v>
      </c>
      <c r="I6678" t="s">
        <v>1115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167</v>
      </c>
      <c r="D6679" t="s">
        <v>508</v>
      </c>
      <c r="E6679" t="s">
        <v>179</v>
      </c>
      <c r="F6679">
        <v>48</v>
      </c>
      <c r="G6679" t="s">
        <v>192</v>
      </c>
      <c r="H6679" t="s">
        <v>198</v>
      </c>
      <c r="I6679" t="s">
        <v>1116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167</v>
      </c>
      <c r="D6680" t="s">
        <v>508</v>
      </c>
      <c r="E6680" t="s">
        <v>179</v>
      </c>
      <c r="F6680">
        <v>48</v>
      </c>
      <c r="G6680" t="s">
        <v>192</v>
      </c>
      <c r="H6680" t="s">
        <v>198</v>
      </c>
      <c r="I6680" t="s">
        <v>166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167</v>
      </c>
      <c r="D6681" t="s">
        <v>508</v>
      </c>
      <c r="E6681" t="s">
        <v>179</v>
      </c>
      <c r="F6681">
        <v>48</v>
      </c>
      <c r="G6681" t="s">
        <v>192</v>
      </c>
      <c r="H6681" t="s">
        <v>198</v>
      </c>
      <c r="I6681" t="s">
        <v>184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167</v>
      </c>
      <c r="D6682" t="s">
        <v>508</v>
      </c>
      <c r="E6682" t="s">
        <v>179</v>
      </c>
      <c r="F6682">
        <v>48</v>
      </c>
      <c r="G6682" t="s">
        <v>199</v>
      </c>
      <c r="H6682" t="s">
        <v>0</v>
      </c>
      <c r="I6682" t="s">
        <v>1117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167</v>
      </c>
      <c r="D6683" t="s">
        <v>508</v>
      </c>
      <c r="E6683" t="s">
        <v>179</v>
      </c>
      <c r="F6683">
        <v>48</v>
      </c>
      <c r="G6683" t="s">
        <v>199</v>
      </c>
      <c r="H6683" t="s">
        <v>0</v>
      </c>
      <c r="I6683" t="s">
        <v>1118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167</v>
      </c>
      <c r="D6684" t="s">
        <v>508</v>
      </c>
      <c r="E6684" t="s">
        <v>179</v>
      </c>
      <c r="F6684">
        <v>48</v>
      </c>
      <c r="G6684" t="s">
        <v>199</v>
      </c>
      <c r="H6684" t="s">
        <v>0</v>
      </c>
      <c r="I6684" t="s">
        <v>1119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167</v>
      </c>
      <c r="D6685" t="s">
        <v>508</v>
      </c>
      <c r="E6685" t="s">
        <v>179</v>
      </c>
      <c r="F6685">
        <v>48</v>
      </c>
      <c r="G6685" t="s">
        <v>199</v>
      </c>
      <c r="H6685" t="s">
        <v>0</v>
      </c>
      <c r="I6685" t="s">
        <v>1112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167</v>
      </c>
      <c r="D6686" t="s">
        <v>508</v>
      </c>
      <c r="E6686" t="s">
        <v>179</v>
      </c>
      <c r="F6686">
        <v>48</v>
      </c>
      <c r="G6686" t="s">
        <v>199</v>
      </c>
      <c r="H6686" t="s">
        <v>0</v>
      </c>
      <c r="I6686" t="s">
        <v>1120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167</v>
      </c>
      <c r="D6687" t="s">
        <v>508</v>
      </c>
      <c r="E6687" t="s">
        <v>179</v>
      </c>
      <c r="F6687">
        <v>48</v>
      </c>
      <c r="G6687" t="s">
        <v>199</v>
      </c>
      <c r="H6687" t="s">
        <v>0</v>
      </c>
      <c r="I6687" t="s">
        <v>1121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167</v>
      </c>
      <c r="D6688" t="s">
        <v>508</v>
      </c>
      <c r="E6688" t="s">
        <v>179</v>
      </c>
      <c r="F6688">
        <v>48</v>
      </c>
      <c r="G6688" t="s">
        <v>199</v>
      </c>
      <c r="H6688" t="s">
        <v>0</v>
      </c>
      <c r="I6688" t="s">
        <v>1115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167</v>
      </c>
      <c r="D6689" t="s">
        <v>508</v>
      </c>
      <c r="E6689" t="s">
        <v>179</v>
      </c>
      <c r="F6689">
        <v>48</v>
      </c>
      <c r="G6689" t="s">
        <v>199</v>
      </c>
      <c r="H6689" t="s">
        <v>0</v>
      </c>
      <c r="I6689" t="s">
        <v>1122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167</v>
      </c>
      <c r="D6690" t="s">
        <v>508</v>
      </c>
      <c r="E6690" t="s">
        <v>179</v>
      </c>
      <c r="F6690">
        <v>48</v>
      </c>
      <c r="G6690" t="s">
        <v>199</v>
      </c>
      <c r="H6690" t="s">
        <v>186</v>
      </c>
      <c r="I6690" t="s">
        <v>1117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167</v>
      </c>
      <c r="D6691" t="s">
        <v>508</v>
      </c>
      <c r="E6691" t="s">
        <v>179</v>
      </c>
      <c r="F6691">
        <v>48</v>
      </c>
      <c r="G6691" t="s">
        <v>199</v>
      </c>
      <c r="H6691" t="s">
        <v>186</v>
      </c>
      <c r="I6691" t="s">
        <v>1118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167</v>
      </c>
      <c r="D6692" t="s">
        <v>508</v>
      </c>
      <c r="E6692" t="s">
        <v>179</v>
      </c>
      <c r="F6692">
        <v>48</v>
      </c>
      <c r="G6692" t="s">
        <v>199</v>
      </c>
      <c r="H6692" t="s">
        <v>186</v>
      </c>
      <c r="I6692" t="s">
        <v>1119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167</v>
      </c>
      <c r="D6693" t="s">
        <v>508</v>
      </c>
      <c r="E6693" t="s">
        <v>179</v>
      </c>
      <c r="F6693">
        <v>48</v>
      </c>
      <c r="G6693" t="s">
        <v>199</v>
      </c>
      <c r="H6693" t="s">
        <v>186</v>
      </c>
      <c r="I6693" t="s">
        <v>1112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167</v>
      </c>
      <c r="D6694" t="s">
        <v>508</v>
      </c>
      <c r="E6694" t="s">
        <v>179</v>
      </c>
      <c r="F6694">
        <v>48</v>
      </c>
      <c r="G6694" t="s">
        <v>199</v>
      </c>
      <c r="H6694" t="s">
        <v>186</v>
      </c>
      <c r="I6694" t="s">
        <v>1120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167</v>
      </c>
      <c r="D6695" t="s">
        <v>508</v>
      </c>
      <c r="E6695" t="s">
        <v>179</v>
      </c>
      <c r="F6695">
        <v>48</v>
      </c>
      <c r="G6695" t="s">
        <v>199</v>
      </c>
      <c r="H6695" t="s">
        <v>186</v>
      </c>
      <c r="I6695" t="s">
        <v>1121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167</v>
      </c>
      <c r="D6696" t="s">
        <v>508</v>
      </c>
      <c r="E6696" t="s">
        <v>179</v>
      </c>
      <c r="F6696">
        <v>48</v>
      </c>
      <c r="G6696" t="s">
        <v>199</v>
      </c>
      <c r="H6696" t="s">
        <v>186</v>
      </c>
      <c r="I6696" t="s">
        <v>1115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167</v>
      </c>
      <c r="D6697" t="s">
        <v>508</v>
      </c>
      <c r="E6697" t="s">
        <v>179</v>
      </c>
      <c r="F6697">
        <v>48</v>
      </c>
      <c r="G6697" t="s">
        <v>199</v>
      </c>
      <c r="H6697" t="s">
        <v>186</v>
      </c>
      <c r="I6697" t="s">
        <v>1122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167</v>
      </c>
      <c r="D6698" t="s">
        <v>508</v>
      </c>
      <c r="E6698" t="s">
        <v>179</v>
      </c>
      <c r="F6698">
        <v>48</v>
      </c>
      <c r="G6698" t="s">
        <v>199</v>
      </c>
      <c r="H6698" t="s">
        <v>187</v>
      </c>
      <c r="I6698" t="s">
        <v>1117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167</v>
      </c>
      <c r="D6699" t="s">
        <v>508</v>
      </c>
      <c r="E6699" t="s">
        <v>179</v>
      </c>
      <c r="F6699">
        <v>48</v>
      </c>
      <c r="G6699" t="s">
        <v>199</v>
      </c>
      <c r="H6699" t="s">
        <v>187</v>
      </c>
      <c r="I6699" t="s">
        <v>1118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167</v>
      </c>
      <c r="D6700" t="s">
        <v>508</v>
      </c>
      <c r="E6700" t="s">
        <v>179</v>
      </c>
      <c r="F6700">
        <v>48</v>
      </c>
      <c r="G6700" t="s">
        <v>199</v>
      </c>
      <c r="H6700" t="s">
        <v>187</v>
      </c>
      <c r="I6700" t="s">
        <v>1119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167</v>
      </c>
      <c r="D6701" t="s">
        <v>508</v>
      </c>
      <c r="E6701" t="s">
        <v>179</v>
      </c>
      <c r="F6701">
        <v>48</v>
      </c>
      <c r="G6701" t="s">
        <v>199</v>
      </c>
      <c r="H6701" t="s">
        <v>187</v>
      </c>
      <c r="I6701" t="s">
        <v>1112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167</v>
      </c>
      <c r="D6702" t="s">
        <v>508</v>
      </c>
      <c r="E6702" t="s">
        <v>179</v>
      </c>
      <c r="F6702">
        <v>48</v>
      </c>
      <c r="G6702" t="s">
        <v>199</v>
      </c>
      <c r="H6702" t="s">
        <v>187</v>
      </c>
      <c r="I6702" t="s">
        <v>1120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167</v>
      </c>
      <c r="D6703" t="s">
        <v>508</v>
      </c>
      <c r="E6703" t="s">
        <v>179</v>
      </c>
      <c r="F6703">
        <v>48</v>
      </c>
      <c r="G6703" t="s">
        <v>199</v>
      </c>
      <c r="H6703" t="s">
        <v>187</v>
      </c>
      <c r="I6703" t="s">
        <v>1121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167</v>
      </c>
      <c r="D6704" t="s">
        <v>508</v>
      </c>
      <c r="E6704" t="s">
        <v>179</v>
      </c>
      <c r="F6704">
        <v>48</v>
      </c>
      <c r="G6704" t="s">
        <v>199</v>
      </c>
      <c r="H6704" t="s">
        <v>187</v>
      </c>
      <c r="I6704" t="s">
        <v>1115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167</v>
      </c>
      <c r="D6705" t="s">
        <v>508</v>
      </c>
      <c r="E6705" t="s">
        <v>179</v>
      </c>
      <c r="F6705">
        <v>48</v>
      </c>
      <c r="G6705" t="s">
        <v>199</v>
      </c>
      <c r="H6705" t="s">
        <v>187</v>
      </c>
      <c r="I6705" t="s">
        <v>1122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167</v>
      </c>
      <c r="D6706" t="s">
        <v>508</v>
      </c>
      <c r="E6706" t="s">
        <v>179</v>
      </c>
      <c r="F6706">
        <v>48</v>
      </c>
      <c r="G6706" t="s">
        <v>199</v>
      </c>
      <c r="H6706" t="s">
        <v>188</v>
      </c>
      <c r="I6706" t="s">
        <v>1117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167</v>
      </c>
      <c r="D6707" t="s">
        <v>508</v>
      </c>
      <c r="E6707" t="s">
        <v>179</v>
      </c>
      <c r="F6707">
        <v>48</v>
      </c>
      <c r="G6707" t="s">
        <v>199</v>
      </c>
      <c r="H6707" t="s">
        <v>188</v>
      </c>
      <c r="I6707" t="s">
        <v>1118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167</v>
      </c>
      <c r="D6708" t="s">
        <v>508</v>
      </c>
      <c r="E6708" t="s">
        <v>179</v>
      </c>
      <c r="F6708">
        <v>48</v>
      </c>
      <c r="G6708" t="s">
        <v>199</v>
      </c>
      <c r="H6708" t="s">
        <v>188</v>
      </c>
      <c r="I6708" t="s">
        <v>1119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167</v>
      </c>
      <c r="D6709" t="s">
        <v>508</v>
      </c>
      <c r="E6709" t="s">
        <v>179</v>
      </c>
      <c r="F6709">
        <v>48</v>
      </c>
      <c r="G6709" t="s">
        <v>199</v>
      </c>
      <c r="H6709" t="s">
        <v>188</v>
      </c>
      <c r="I6709" t="s">
        <v>1112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167</v>
      </c>
      <c r="D6710" t="s">
        <v>508</v>
      </c>
      <c r="E6710" t="s">
        <v>179</v>
      </c>
      <c r="F6710">
        <v>48</v>
      </c>
      <c r="G6710" t="s">
        <v>199</v>
      </c>
      <c r="H6710" t="s">
        <v>188</v>
      </c>
      <c r="I6710" t="s">
        <v>1120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167</v>
      </c>
      <c r="D6711" t="s">
        <v>508</v>
      </c>
      <c r="E6711" t="s">
        <v>179</v>
      </c>
      <c r="F6711">
        <v>48</v>
      </c>
      <c r="G6711" t="s">
        <v>199</v>
      </c>
      <c r="H6711" t="s">
        <v>188</v>
      </c>
      <c r="I6711" t="s">
        <v>1121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167</v>
      </c>
      <c r="D6712" t="s">
        <v>508</v>
      </c>
      <c r="E6712" t="s">
        <v>179</v>
      </c>
      <c r="F6712">
        <v>48</v>
      </c>
      <c r="G6712" t="s">
        <v>199</v>
      </c>
      <c r="H6712" t="s">
        <v>188</v>
      </c>
      <c r="I6712" t="s">
        <v>1115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167</v>
      </c>
      <c r="D6713" t="s">
        <v>508</v>
      </c>
      <c r="E6713" t="s">
        <v>179</v>
      </c>
      <c r="F6713">
        <v>48</v>
      </c>
      <c r="G6713" t="s">
        <v>199</v>
      </c>
      <c r="H6713" t="s">
        <v>188</v>
      </c>
      <c r="I6713" t="s">
        <v>1122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167</v>
      </c>
      <c r="D6714" t="s">
        <v>508</v>
      </c>
      <c r="E6714" t="s">
        <v>179</v>
      </c>
      <c r="F6714">
        <v>48</v>
      </c>
      <c r="G6714" t="s">
        <v>199</v>
      </c>
      <c r="H6714" t="s">
        <v>198</v>
      </c>
      <c r="I6714" t="s">
        <v>1117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167</v>
      </c>
      <c r="D6715" t="s">
        <v>508</v>
      </c>
      <c r="E6715" t="s">
        <v>179</v>
      </c>
      <c r="F6715">
        <v>48</v>
      </c>
      <c r="G6715" t="s">
        <v>199</v>
      </c>
      <c r="H6715" t="s">
        <v>198</v>
      </c>
      <c r="I6715" t="s">
        <v>1118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167</v>
      </c>
      <c r="D6716" t="s">
        <v>508</v>
      </c>
      <c r="E6716" t="s">
        <v>179</v>
      </c>
      <c r="F6716">
        <v>48</v>
      </c>
      <c r="G6716" t="s">
        <v>199</v>
      </c>
      <c r="H6716" t="s">
        <v>198</v>
      </c>
      <c r="I6716" t="s">
        <v>1119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167</v>
      </c>
      <c r="D6717" t="s">
        <v>508</v>
      </c>
      <c r="E6717" t="s">
        <v>179</v>
      </c>
      <c r="F6717">
        <v>48</v>
      </c>
      <c r="G6717" t="s">
        <v>199</v>
      </c>
      <c r="H6717" t="s">
        <v>198</v>
      </c>
      <c r="I6717" t="s">
        <v>1112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167</v>
      </c>
      <c r="D6718" t="s">
        <v>508</v>
      </c>
      <c r="E6718" t="s">
        <v>179</v>
      </c>
      <c r="F6718">
        <v>48</v>
      </c>
      <c r="G6718" t="s">
        <v>199</v>
      </c>
      <c r="H6718" t="s">
        <v>198</v>
      </c>
      <c r="I6718" t="s">
        <v>1120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167</v>
      </c>
      <c r="D6719" t="s">
        <v>508</v>
      </c>
      <c r="E6719" t="s">
        <v>179</v>
      </c>
      <c r="F6719">
        <v>48</v>
      </c>
      <c r="G6719" t="s">
        <v>199</v>
      </c>
      <c r="H6719" t="s">
        <v>198</v>
      </c>
      <c r="I6719" t="s">
        <v>1121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167</v>
      </c>
      <c r="D6720" t="s">
        <v>508</v>
      </c>
      <c r="E6720" t="s">
        <v>179</v>
      </c>
      <c r="F6720">
        <v>48</v>
      </c>
      <c r="G6720" t="s">
        <v>199</v>
      </c>
      <c r="H6720" t="s">
        <v>198</v>
      </c>
      <c r="I6720" t="s">
        <v>1115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167</v>
      </c>
      <c r="D6721" t="s">
        <v>508</v>
      </c>
      <c r="E6721" t="s">
        <v>179</v>
      </c>
      <c r="F6721">
        <v>48</v>
      </c>
      <c r="G6721" t="s">
        <v>199</v>
      </c>
      <c r="H6721" t="s">
        <v>198</v>
      </c>
      <c r="I6721" t="s">
        <v>1122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167</v>
      </c>
      <c r="D6722" t="s">
        <v>508</v>
      </c>
      <c r="E6722" t="s">
        <v>179</v>
      </c>
      <c r="F6722">
        <v>48</v>
      </c>
      <c r="G6722" t="s">
        <v>203</v>
      </c>
      <c r="H6722" t="s">
        <v>204</v>
      </c>
      <c r="I6722" t="s">
        <v>1123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167</v>
      </c>
      <c r="D6723" t="s">
        <v>508</v>
      </c>
      <c r="E6723" t="s">
        <v>179</v>
      </c>
      <c r="F6723">
        <v>48</v>
      </c>
      <c r="G6723" t="s">
        <v>203</v>
      </c>
      <c r="H6723" t="s">
        <v>204</v>
      </c>
      <c r="I6723" t="s">
        <v>1124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167</v>
      </c>
      <c r="D6724" t="s">
        <v>508</v>
      </c>
      <c r="E6724" t="s">
        <v>179</v>
      </c>
      <c r="F6724">
        <v>48</v>
      </c>
      <c r="G6724" t="s">
        <v>203</v>
      </c>
      <c r="H6724" t="s">
        <v>205</v>
      </c>
      <c r="I6724" t="s">
        <v>1123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167</v>
      </c>
      <c r="D6725" t="s">
        <v>508</v>
      </c>
      <c r="E6725" t="s">
        <v>179</v>
      </c>
      <c r="F6725">
        <v>48</v>
      </c>
      <c r="G6725" t="s">
        <v>203</v>
      </c>
      <c r="H6725" t="s">
        <v>205</v>
      </c>
      <c r="I6725" t="s">
        <v>1124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167</v>
      </c>
      <c r="D6726" t="s">
        <v>508</v>
      </c>
      <c r="E6726" t="s">
        <v>179</v>
      </c>
      <c r="F6726">
        <v>48</v>
      </c>
      <c r="G6726" t="s">
        <v>203</v>
      </c>
      <c r="H6726" t="s">
        <v>0</v>
      </c>
      <c r="I6726" t="s">
        <v>1123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167</v>
      </c>
      <c r="D6727" t="s">
        <v>508</v>
      </c>
      <c r="E6727" t="s">
        <v>179</v>
      </c>
      <c r="F6727">
        <v>48</v>
      </c>
      <c r="G6727" t="s">
        <v>203</v>
      </c>
      <c r="H6727" t="s">
        <v>0</v>
      </c>
      <c r="I6727" t="s">
        <v>1124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167</v>
      </c>
      <c r="D6728" t="s">
        <v>508</v>
      </c>
      <c r="E6728" t="s">
        <v>179</v>
      </c>
      <c r="F6728">
        <v>48</v>
      </c>
      <c r="G6728" t="s">
        <v>90</v>
      </c>
      <c r="H6728" t="s">
        <v>206</v>
      </c>
      <c r="I6728" t="s">
        <v>1124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167</v>
      </c>
      <c r="D6729" t="s">
        <v>508</v>
      </c>
      <c r="E6729" t="s">
        <v>179</v>
      </c>
      <c r="F6729">
        <v>48</v>
      </c>
      <c r="G6729" t="s">
        <v>90</v>
      </c>
      <c r="H6729" t="s">
        <v>206</v>
      </c>
      <c r="I6729" t="s">
        <v>1125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167</v>
      </c>
      <c r="D6730" t="s">
        <v>508</v>
      </c>
      <c r="E6730" t="s">
        <v>179</v>
      </c>
      <c r="F6730">
        <v>48</v>
      </c>
      <c r="G6730" t="s">
        <v>90</v>
      </c>
      <c r="H6730" t="s">
        <v>206</v>
      </c>
      <c r="I6730" t="s">
        <v>1126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167</v>
      </c>
      <c r="D6731" t="s">
        <v>508</v>
      </c>
      <c r="E6731" t="s">
        <v>179</v>
      </c>
      <c r="F6731">
        <v>48</v>
      </c>
      <c r="G6731" t="s">
        <v>90</v>
      </c>
      <c r="H6731" t="s">
        <v>206</v>
      </c>
      <c r="I6731" t="s">
        <v>1123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167</v>
      </c>
      <c r="D6732" t="s">
        <v>508</v>
      </c>
      <c r="E6732" t="s">
        <v>179</v>
      </c>
      <c r="F6732">
        <v>48</v>
      </c>
      <c r="G6732" t="s">
        <v>90</v>
      </c>
      <c r="H6732" t="s">
        <v>227</v>
      </c>
      <c r="I6732" t="s">
        <v>1124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167</v>
      </c>
      <c r="D6733" t="s">
        <v>508</v>
      </c>
      <c r="E6733" t="s">
        <v>179</v>
      </c>
      <c r="F6733">
        <v>48</v>
      </c>
      <c r="G6733" t="s">
        <v>90</v>
      </c>
      <c r="H6733" t="s">
        <v>227</v>
      </c>
      <c r="I6733" t="s">
        <v>1125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167</v>
      </c>
      <c r="D6734" t="s">
        <v>508</v>
      </c>
      <c r="E6734" t="s">
        <v>179</v>
      </c>
      <c r="F6734">
        <v>48</v>
      </c>
      <c r="G6734" t="s">
        <v>90</v>
      </c>
      <c r="H6734" t="s">
        <v>227</v>
      </c>
      <c r="I6734" t="s">
        <v>1126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167</v>
      </c>
      <c r="D6735" t="s">
        <v>508</v>
      </c>
      <c r="E6735" t="s">
        <v>179</v>
      </c>
      <c r="F6735">
        <v>48</v>
      </c>
      <c r="G6735" t="s">
        <v>90</v>
      </c>
      <c r="H6735" t="s">
        <v>227</v>
      </c>
      <c r="I6735" t="s">
        <v>1123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167</v>
      </c>
      <c r="D6736" t="s">
        <v>508</v>
      </c>
      <c r="E6736" t="s">
        <v>179</v>
      </c>
      <c r="F6736">
        <v>48</v>
      </c>
      <c r="G6736" t="s">
        <v>90</v>
      </c>
      <c r="H6736" t="s">
        <v>228</v>
      </c>
      <c r="I6736" t="s">
        <v>1124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167</v>
      </c>
      <c r="D6737" t="s">
        <v>508</v>
      </c>
      <c r="E6737" t="s">
        <v>179</v>
      </c>
      <c r="F6737">
        <v>48</v>
      </c>
      <c r="G6737" t="s">
        <v>90</v>
      </c>
      <c r="H6737" t="s">
        <v>228</v>
      </c>
      <c r="I6737" t="s">
        <v>1125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167</v>
      </c>
      <c r="D6738" t="s">
        <v>508</v>
      </c>
      <c r="E6738" t="s">
        <v>179</v>
      </c>
      <c r="F6738">
        <v>48</v>
      </c>
      <c r="G6738" t="s">
        <v>90</v>
      </c>
      <c r="H6738" t="s">
        <v>228</v>
      </c>
      <c r="I6738" t="s">
        <v>1126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167</v>
      </c>
      <c r="D6739" t="s">
        <v>508</v>
      </c>
      <c r="E6739" t="s">
        <v>179</v>
      </c>
      <c r="F6739">
        <v>48</v>
      </c>
      <c r="G6739" t="s">
        <v>90</v>
      </c>
      <c r="H6739" t="s">
        <v>228</v>
      </c>
      <c r="I6739" t="s">
        <v>1123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167</v>
      </c>
      <c r="D6740" t="s">
        <v>508</v>
      </c>
      <c r="E6740" t="s">
        <v>179</v>
      </c>
      <c r="F6740">
        <v>48</v>
      </c>
      <c r="G6740" t="s">
        <v>90</v>
      </c>
      <c r="H6740" t="s">
        <v>229</v>
      </c>
      <c r="I6740" t="s">
        <v>1124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167</v>
      </c>
      <c r="D6741" t="s">
        <v>508</v>
      </c>
      <c r="E6741" t="s">
        <v>179</v>
      </c>
      <c r="F6741">
        <v>48</v>
      </c>
      <c r="G6741" t="s">
        <v>90</v>
      </c>
      <c r="H6741" t="s">
        <v>229</v>
      </c>
      <c r="I6741" t="s">
        <v>1125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167</v>
      </c>
      <c r="D6742" t="s">
        <v>508</v>
      </c>
      <c r="E6742" t="s">
        <v>179</v>
      </c>
      <c r="F6742">
        <v>48</v>
      </c>
      <c r="G6742" t="s">
        <v>90</v>
      </c>
      <c r="H6742" t="s">
        <v>229</v>
      </c>
      <c r="I6742" t="s">
        <v>1126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167</v>
      </c>
      <c r="D6743" t="s">
        <v>508</v>
      </c>
      <c r="E6743" t="s">
        <v>179</v>
      </c>
      <c r="F6743">
        <v>48</v>
      </c>
      <c r="G6743" t="s">
        <v>90</v>
      </c>
      <c r="H6743" t="s">
        <v>229</v>
      </c>
      <c r="I6743" t="s">
        <v>1123</v>
      </c>
      <c r="J6743">
        <v>0</v>
      </c>
    </row>
    <row r="6744" spans="1:10" x14ac:dyDescent="0.25">
      <c r="A6744" s="1" t="s">
        <v>27</v>
      </c>
      <c r="B6744">
        <v>401754523</v>
      </c>
      <c r="C6744" t="s">
        <v>167</v>
      </c>
      <c r="D6744" t="s">
        <v>508</v>
      </c>
      <c r="E6744" t="s">
        <v>179</v>
      </c>
      <c r="F6744">
        <v>48</v>
      </c>
      <c r="G6744" t="s">
        <v>90</v>
      </c>
      <c r="H6744" t="s">
        <v>91</v>
      </c>
      <c r="I6744" t="s">
        <v>1124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167</v>
      </c>
      <c r="D6745" t="s">
        <v>508</v>
      </c>
      <c r="E6745" t="s">
        <v>179</v>
      </c>
      <c r="F6745">
        <v>48</v>
      </c>
      <c r="G6745" t="s">
        <v>90</v>
      </c>
      <c r="H6745" t="s">
        <v>91</v>
      </c>
      <c r="I6745" t="s">
        <v>1125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167</v>
      </c>
      <c r="D6746" t="s">
        <v>508</v>
      </c>
      <c r="E6746" t="s">
        <v>179</v>
      </c>
      <c r="F6746">
        <v>48</v>
      </c>
      <c r="G6746" t="s">
        <v>90</v>
      </c>
      <c r="H6746" t="s">
        <v>91</v>
      </c>
      <c r="I6746" t="s">
        <v>1126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167</v>
      </c>
      <c r="D6747" t="s">
        <v>508</v>
      </c>
      <c r="E6747" t="s">
        <v>179</v>
      </c>
      <c r="F6747">
        <v>48</v>
      </c>
      <c r="G6747" t="s">
        <v>90</v>
      </c>
      <c r="H6747" t="s">
        <v>91</v>
      </c>
      <c r="I6747" t="s">
        <v>1123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167</v>
      </c>
      <c r="D6748" t="s">
        <v>508</v>
      </c>
      <c r="E6748" t="s">
        <v>179</v>
      </c>
      <c r="F6748">
        <v>48</v>
      </c>
      <c r="G6748" t="s">
        <v>90</v>
      </c>
      <c r="H6748" t="s">
        <v>230</v>
      </c>
      <c r="I6748" t="s">
        <v>1124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167</v>
      </c>
      <c r="D6749" t="s">
        <v>508</v>
      </c>
      <c r="E6749" t="s">
        <v>179</v>
      </c>
      <c r="F6749">
        <v>48</v>
      </c>
      <c r="G6749" t="s">
        <v>90</v>
      </c>
      <c r="H6749" t="s">
        <v>230</v>
      </c>
      <c r="I6749" t="s">
        <v>1125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167</v>
      </c>
      <c r="D6750" t="s">
        <v>508</v>
      </c>
      <c r="E6750" t="s">
        <v>179</v>
      </c>
      <c r="F6750">
        <v>48</v>
      </c>
      <c r="G6750" t="s">
        <v>90</v>
      </c>
      <c r="H6750" t="s">
        <v>230</v>
      </c>
      <c r="I6750" t="s">
        <v>1126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167</v>
      </c>
      <c r="D6751" t="s">
        <v>508</v>
      </c>
      <c r="E6751" t="s">
        <v>179</v>
      </c>
      <c r="F6751">
        <v>48</v>
      </c>
      <c r="G6751" t="s">
        <v>90</v>
      </c>
      <c r="H6751" t="s">
        <v>230</v>
      </c>
      <c r="I6751" t="s">
        <v>1123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167</v>
      </c>
      <c r="D6752" t="s">
        <v>508</v>
      </c>
      <c r="E6752" t="s">
        <v>179</v>
      </c>
      <c r="F6752">
        <v>48</v>
      </c>
      <c r="G6752" t="s">
        <v>90</v>
      </c>
      <c r="H6752" t="s">
        <v>188</v>
      </c>
      <c r="I6752" t="s">
        <v>1124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167</v>
      </c>
      <c r="D6753" t="s">
        <v>508</v>
      </c>
      <c r="E6753" t="s">
        <v>179</v>
      </c>
      <c r="F6753">
        <v>48</v>
      </c>
      <c r="G6753" t="s">
        <v>90</v>
      </c>
      <c r="H6753" t="s">
        <v>188</v>
      </c>
      <c r="I6753" t="s">
        <v>1125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167</v>
      </c>
      <c r="D6754" t="s">
        <v>508</v>
      </c>
      <c r="E6754" t="s">
        <v>179</v>
      </c>
      <c r="F6754">
        <v>48</v>
      </c>
      <c r="G6754" t="s">
        <v>90</v>
      </c>
      <c r="H6754" t="s">
        <v>188</v>
      </c>
      <c r="I6754" t="s">
        <v>1126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167</v>
      </c>
      <c r="D6755" t="s">
        <v>508</v>
      </c>
      <c r="E6755" t="s">
        <v>179</v>
      </c>
      <c r="F6755">
        <v>48</v>
      </c>
      <c r="G6755" t="s">
        <v>90</v>
      </c>
      <c r="H6755" t="s">
        <v>188</v>
      </c>
      <c r="I6755" t="s">
        <v>1123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167</v>
      </c>
      <c r="D6756" t="s">
        <v>508</v>
      </c>
      <c r="E6756" t="s">
        <v>179</v>
      </c>
      <c r="F6756">
        <v>48</v>
      </c>
      <c r="G6756" t="s">
        <v>271</v>
      </c>
      <c r="H6756" t="s">
        <v>189</v>
      </c>
      <c r="I6756" t="s">
        <v>1126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167</v>
      </c>
      <c r="D6757" t="s">
        <v>508</v>
      </c>
      <c r="E6757" t="s">
        <v>179</v>
      </c>
      <c r="F6757">
        <v>48</v>
      </c>
      <c r="G6757" t="s">
        <v>271</v>
      </c>
      <c r="H6757" t="s">
        <v>186</v>
      </c>
      <c r="I6757" t="s">
        <v>1126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167</v>
      </c>
      <c r="D6758" t="s">
        <v>508</v>
      </c>
      <c r="E6758" t="s">
        <v>179</v>
      </c>
      <c r="F6758">
        <v>48</v>
      </c>
      <c r="G6758" t="s">
        <v>271</v>
      </c>
      <c r="H6758" t="s">
        <v>188</v>
      </c>
      <c r="I6758" t="s">
        <v>1126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167</v>
      </c>
      <c r="D6759" t="s">
        <v>508</v>
      </c>
      <c r="E6759" t="s">
        <v>179</v>
      </c>
      <c r="F6759">
        <v>48</v>
      </c>
      <c r="G6759" t="s">
        <v>233</v>
      </c>
      <c r="H6759" t="s">
        <v>234</v>
      </c>
      <c r="I6759" t="s">
        <v>1127</v>
      </c>
      <c r="J6759" s="73">
        <v>45690</v>
      </c>
    </row>
    <row r="6760" spans="1:10" x14ac:dyDescent="0.25">
      <c r="A6760" s="1" t="s">
        <v>27</v>
      </c>
      <c r="B6760">
        <v>401754523</v>
      </c>
      <c r="C6760" t="s">
        <v>167</v>
      </c>
      <c r="D6760" t="s">
        <v>508</v>
      </c>
      <c r="E6760" t="s">
        <v>179</v>
      </c>
      <c r="F6760">
        <v>48</v>
      </c>
      <c r="G6760" t="s">
        <v>233</v>
      </c>
      <c r="H6760" t="s">
        <v>236</v>
      </c>
      <c r="I6760" t="s">
        <v>1127</v>
      </c>
      <c r="J6760">
        <v>100</v>
      </c>
    </row>
    <row r="6761" spans="1:10" x14ac:dyDescent="0.25">
      <c r="A6761" s="1" t="s">
        <v>27</v>
      </c>
      <c r="B6761">
        <v>401754523</v>
      </c>
      <c r="C6761" t="s">
        <v>167</v>
      </c>
      <c r="D6761" t="s">
        <v>508</v>
      </c>
      <c r="E6761" t="s">
        <v>179</v>
      </c>
      <c r="F6761">
        <v>48</v>
      </c>
      <c r="G6761" t="s">
        <v>233</v>
      </c>
      <c r="H6761" t="s">
        <v>198</v>
      </c>
      <c r="I6761" t="s">
        <v>1127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167</v>
      </c>
      <c r="D6762" t="s">
        <v>508</v>
      </c>
      <c r="E6762" t="s">
        <v>179</v>
      </c>
      <c r="F6762">
        <v>48</v>
      </c>
      <c r="G6762" t="s">
        <v>233</v>
      </c>
      <c r="H6762" t="s">
        <v>237</v>
      </c>
      <c r="I6762" t="s">
        <v>1127</v>
      </c>
      <c r="J6762" s="73">
        <v>45814</v>
      </c>
    </row>
    <row r="6763" spans="1:10" x14ac:dyDescent="0.25">
      <c r="A6763" s="1" t="s">
        <v>27</v>
      </c>
      <c r="B6763">
        <v>401754523</v>
      </c>
      <c r="C6763" t="s">
        <v>167</v>
      </c>
      <c r="D6763" t="s">
        <v>508</v>
      </c>
      <c r="E6763" t="s">
        <v>179</v>
      </c>
      <c r="F6763">
        <v>48</v>
      </c>
      <c r="G6763" t="s">
        <v>233</v>
      </c>
      <c r="H6763" t="s">
        <v>238</v>
      </c>
      <c r="I6763" t="s">
        <v>1127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167</v>
      </c>
      <c r="D6764" t="s">
        <v>508</v>
      </c>
      <c r="E6764" t="s">
        <v>179</v>
      </c>
      <c r="F6764">
        <v>48</v>
      </c>
      <c r="G6764" t="s">
        <v>239</v>
      </c>
      <c r="H6764" t="s">
        <v>232</v>
      </c>
      <c r="I6764" t="s">
        <v>1128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167</v>
      </c>
      <c r="D6765" t="s">
        <v>508</v>
      </c>
      <c r="E6765" t="s">
        <v>179</v>
      </c>
      <c r="F6765">
        <v>48</v>
      </c>
      <c r="G6765" t="s">
        <v>239</v>
      </c>
      <c r="H6765" t="s">
        <v>186</v>
      </c>
      <c r="I6765" t="s">
        <v>1128</v>
      </c>
      <c r="J6765">
        <v>60</v>
      </c>
    </row>
    <row r="6766" spans="1:10" x14ac:dyDescent="0.25">
      <c r="A6766" s="1" t="s">
        <v>27</v>
      </c>
      <c r="B6766">
        <v>401754523</v>
      </c>
      <c r="C6766" t="s">
        <v>167</v>
      </c>
      <c r="D6766" t="s">
        <v>508</v>
      </c>
      <c r="E6766" t="s">
        <v>179</v>
      </c>
      <c r="F6766">
        <v>48</v>
      </c>
      <c r="G6766" t="s">
        <v>239</v>
      </c>
      <c r="H6766" t="s">
        <v>187</v>
      </c>
      <c r="I6766" t="s">
        <v>1128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167</v>
      </c>
      <c r="D6767" t="s">
        <v>508</v>
      </c>
      <c r="E6767" t="s">
        <v>179</v>
      </c>
      <c r="F6767">
        <v>48</v>
      </c>
      <c r="G6767" t="s">
        <v>239</v>
      </c>
      <c r="H6767" t="s">
        <v>241</v>
      </c>
      <c r="I6767" t="s">
        <v>1128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167</v>
      </c>
      <c r="D6768" t="s">
        <v>508</v>
      </c>
      <c r="E6768" t="s">
        <v>179</v>
      </c>
      <c r="F6768">
        <v>48</v>
      </c>
      <c r="G6768" t="s">
        <v>239</v>
      </c>
      <c r="H6768" t="s">
        <v>242</v>
      </c>
      <c r="I6768" t="s">
        <v>1128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167</v>
      </c>
      <c r="D6769" t="s">
        <v>508</v>
      </c>
      <c r="E6769" t="s">
        <v>179</v>
      </c>
      <c r="F6769">
        <v>48</v>
      </c>
      <c r="G6769" t="s">
        <v>239</v>
      </c>
      <c r="H6769" t="s">
        <v>198</v>
      </c>
      <c r="I6769" t="s">
        <v>1128</v>
      </c>
      <c r="J6769">
        <v>35</v>
      </c>
    </row>
  </sheetData>
  <phoneticPr fontId="2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38D72-66B0-4112-9861-E63E80290C47}">
  <dimension ref="A1:G990"/>
  <sheetViews>
    <sheetView topLeftCell="A46" workbookViewId="0">
      <selection activeCell="E53" sqref="E53"/>
    </sheetView>
  </sheetViews>
  <sheetFormatPr defaultRowHeight="15" x14ac:dyDescent="0.25"/>
  <cols>
    <col min="2" max="2" width="9" bestFit="1" customWidth="1"/>
    <col min="3" max="3" width="8.5703125" bestFit="1" customWidth="1"/>
    <col min="4" max="4" width="10" bestFit="1" customWidth="1"/>
    <col min="5" max="5" width="18.7109375" bestFit="1" customWidth="1"/>
    <col min="6" max="6" width="15.85546875" bestFit="1" customWidth="1"/>
    <col min="7" max="7" width="15.28515625" bestFit="1" customWidth="1"/>
  </cols>
  <sheetData>
    <row r="1" spans="1:7" x14ac:dyDescent="0.25">
      <c r="B1" t="s">
        <v>8</v>
      </c>
      <c r="C1" t="s">
        <v>9</v>
      </c>
      <c r="D1" t="s">
        <v>10</v>
      </c>
      <c r="E1" t="s">
        <v>11</v>
      </c>
      <c r="F1" t="s">
        <v>3</v>
      </c>
      <c r="G1" t="s">
        <v>71</v>
      </c>
    </row>
    <row r="2" spans="1:7" x14ac:dyDescent="0.25">
      <c r="A2" t="str">
        <f>Data_Transform[[#This Row],[Player]]&amp;Data_Transform[[#This Row],[Week]]&amp;Data_Transform[[#This Row],[Role]]</f>
        <v>BrianWeek 1Defensive</v>
      </c>
      <c r="B2" t="s">
        <v>5</v>
      </c>
      <c r="C2" t="s">
        <v>27</v>
      </c>
      <c r="D2" t="s">
        <v>20</v>
      </c>
      <c r="E2" t="s">
        <v>111</v>
      </c>
      <c r="F2" t="s">
        <v>80</v>
      </c>
      <c r="G2" t="s">
        <v>83</v>
      </c>
    </row>
    <row r="3" spans="1:7" x14ac:dyDescent="0.25">
      <c r="A3" t="str">
        <f>Data_Transform[[#This Row],[Player]]&amp;Data_Transform[[#This Row],[Week]]&amp;Data_Transform[[#This Row],[Role]]</f>
        <v>BrianWeek 1Passing</v>
      </c>
      <c r="B3" t="s">
        <v>5</v>
      </c>
      <c r="C3" t="s">
        <v>27</v>
      </c>
      <c r="D3" t="s">
        <v>16</v>
      </c>
      <c r="E3" t="s">
        <v>112</v>
      </c>
      <c r="F3" t="s">
        <v>113</v>
      </c>
      <c r="G3" t="s">
        <v>114</v>
      </c>
    </row>
    <row r="4" spans="1:7" x14ac:dyDescent="0.25">
      <c r="A4" t="str">
        <f>Data_Transform[[#This Row],[Player]]&amp;Data_Transform[[#This Row],[Week]]&amp;Data_Transform[[#This Row],[Role]]</f>
        <v>BrianWeek 1Receiving</v>
      </c>
      <c r="B4" t="s">
        <v>5</v>
      </c>
      <c r="C4" t="s">
        <v>27</v>
      </c>
      <c r="D4" t="s">
        <v>17</v>
      </c>
      <c r="E4" t="s">
        <v>115</v>
      </c>
      <c r="F4" t="s">
        <v>97</v>
      </c>
      <c r="G4" t="s">
        <v>81</v>
      </c>
    </row>
    <row r="5" spans="1:7" x14ac:dyDescent="0.25">
      <c r="A5" t="str">
        <f>Data_Transform[[#This Row],[Player]]&amp;Data_Transform[[#This Row],[Week]]&amp;Data_Transform[[#This Row],[Role]]</f>
        <v>BrianWeek 1Rushing</v>
      </c>
      <c r="B5" t="s">
        <v>5</v>
      </c>
      <c r="C5" t="s">
        <v>27</v>
      </c>
      <c r="D5" t="s">
        <v>6</v>
      </c>
      <c r="E5" t="s">
        <v>116</v>
      </c>
      <c r="F5" t="s">
        <v>117</v>
      </c>
      <c r="G5" t="s">
        <v>118</v>
      </c>
    </row>
    <row r="6" spans="1:7" x14ac:dyDescent="0.25">
      <c r="A6" t="str">
        <f>Data_Transform[[#This Row],[Player]]&amp;Data_Transform[[#This Row],[Week]]&amp;Data_Transform[[#This Row],[Role]]</f>
        <v>ChapaWeek 1Defensive</v>
      </c>
      <c r="B6" t="s">
        <v>43</v>
      </c>
      <c r="C6" t="s">
        <v>27</v>
      </c>
      <c r="D6" t="s">
        <v>20</v>
      </c>
      <c r="E6" t="s">
        <v>119</v>
      </c>
      <c r="F6" t="s">
        <v>96</v>
      </c>
      <c r="G6" t="s">
        <v>98</v>
      </c>
    </row>
    <row r="7" spans="1:7" x14ac:dyDescent="0.25">
      <c r="A7" t="str">
        <f>Data_Transform[[#This Row],[Player]]&amp;Data_Transform[[#This Row],[Week]]&amp;Data_Transform[[#This Row],[Role]]</f>
        <v>ChapaWeek 1Passing</v>
      </c>
      <c r="B7" t="s">
        <v>43</v>
      </c>
      <c r="C7" t="s">
        <v>27</v>
      </c>
      <c r="D7" t="s">
        <v>16</v>
      </c>
      <c r="E7" t="s">
        <v>120</v>
      </c>
      <c r="F7" t="s">
        <v>121</v>
      </c>
      <c r="G7" t="s">
        <v>122</v>
      </c>
    </row>
    <row r="8" spans="1:7" x14ac:dyDescent="0.25">
      <c r="A8" t="str">
        <f>Data_Transform[[#This Row],[Player]]&amp;Data_Transform[[#This Row],[Week]]&amp;Data_Transform[[#This Row],[Role]]</f>
        <v>ChapaWeek 1Receiving</v>
      </c>
      <c r="B8" t="s">
        <v>43</v>
      </c>
      <c r="C8" t="s">
        <v>27</v>
      </c>
      <c r="D8" t="s">
        <v>17</v>
      </c>
      <c r="E8" t="s">
        <v>123</v>
      </c>
      <c r="F8" t="s">
        <v>124</v>
      </c>
      <c r="G8" t="s">
        <v>125</v>
      </c>
    </row>
    <row r="9" spans="1:7" x14ac:dyDescent="0.25">
      <c r="A9" t="str">
        <f>Data_Transform[[#This Row],[Player]]&amp;Data_Transform[[#This Row],[Week]]&amp;Data_Transform[[#This Row],[Role]]</f>
        <v>ChapaWeek 1Rushing</v>
      </c>
      <c r="B9" t="s">
        <v>43</v>
      </c>
      <c r="C9" t="s">
        <v>27</v>
      </c>
      <c r="D9" t="s">
        <v>6</v>
      </c>
      <c r="E9" t="s">
        <v>126</v>
      </c>
      <c r="F9" t="s">
        <v>127</v>
      </c>
      <c r="G9" t="s">
        <v>128</v>
      </c>
    </row>
    <row r="10" spans="1:7" x14ac:dyDescent="0.25">
      <c r="A10" t="str">
        <f>Data_Transform[[#This Row],[Player]]&amp;Data_Transform[[#This Row],[Week]]&amp;Data_Transform[[#This Row],[Role]]</f>
        <v>ChrisWeek 1Defensive</v>
      </c>
      <c r="B10" t="s">
        <v>106</v>
      </c>
      <c r="C10" t="s">
        <v>27</v>
      </c>
      <c r="D10" t="s">
        <v>20</v>
      </c>
      <c r="E10" t="s">
        <v>956</v>
      </c>
      <c r="F10" t="s">
        <v>97</v>
      </c>
      <c r="G10" t="s">
        <v>81</v>
      </c>
    </row>
    <row r="11" spans="1:7" x14ac:dyDescent="0.25">
      <c r="A11" t="str">
        <f>Data_Transform[[#This Row],[Player]]&amp;Data_Transform[[#This Row],[Week]]&amp;Data_Transform[[#This Row],[Role]]</f>
        <v>ChrisWeek 1Passing</v>
      </c>
      <c r="B11" t="s">
        <v>106</v>
      </c>
      <c r="C11" t="s">
        <v>27</v>
      </c>
      <c r="D11" t="s">
        <v>16</v>
      </c>
      <c r="E11" t="s">
        <v>147</v>
      </c>
      <c r="F11" t="s">
        <v>127</v>
      </c>
      <c r="G11" t="s">
        <v>128</v>
      </c>
    </row>
    <row r="12" spans="1:7" x14ac:dyDescent="0.25">
      <c r="A12" t="str">
        <f>Data_Transform[[#This Row],[Player]]&amp;Data_Transform[[#This Row],[Week]]&amp;Data_Transform[[#This Row],[Role]]</f>
        <v>ChrisWeek 1Receiving</v>
      </c>
      <c r="B12" t="s">
        <v>106</v>
      </c>
      <c r="C12" t="s">
        <v>27</v>
      </c>
      <c r="D12" t="s">
        <v>17</v>
      </c>
      <c r="E12" t="s">
        <v>706</v>
      </c>
      <c r="F12" t="s">
        <v>129</v>
      </c>
      <c r="G12" t="s">
        <v>130</v>
      </c>
    </row>
    <row r="13" spans="1:7" x14ac:dyDescent="0.25">
      <c r="A13" t="str">
        <f>Data_Transform[[#This Row],[Player]]&amp;Data_Transform[[#This Row],[Week]]&amp;Data_Transform[[#This Row],[Role]]</f>
        <v>ChrisWeek 1Rushing</v>
      </c>
      <c r="B13" t="s">
        <v>106</v>
      </c>
      <c r="C13" t="s">
        <v>27</v>
      </c>
      <c r="D13" t="s">
        <v>6</v>
      </c>
      <c r="E13" t="s">
        <v>629</v>
      </c>
      <c r="F13" t="s">
        <v>131</v>
      </c>
      <c r="G13" t="s">
        <v>132</v>
      </c>
    </row>
    <row r="14" spans="1:7" x14ac:dyDescent="0.25">
      <c r="A14" t="str">
        <f>Data_Transform[[#This Row],[Player]]&amp;Data_Transform[[#This Row],[Week]]&amp;Data_Transform[[#This Row],[Role]]</f>
        <v>DarioWeek 1Defensive</v>
      </c>
      <c r="B14" t="s">
        <v>60</v>
      </c>
      <c r="C14" t="s">
        <v>27</v>
      </c>
      <c r="D14" t="s">
        <v>20</v>
      </c>
      <c r="E14" t="s">
        <v>150</v>
      </c>
      <c r="F14" t="s">
        <v>84</v>
      </c>
      <c r="G14" t="s">
        <v>86</v>
      </c>
    </row>
    <row r="15" spans="1:7" x14ac:dyDescent="0.25">
      <c r="A15" t="str">
        <f>Data_Transform[[#This Row],[Player]]&amp;Data_Transform[[#This Row],[Week]]&amp;Data_Transform[[#This Row],[Role]]</f>
        <v>DarioWeek 1Passing</v>
      </c>
      <c r="B15" t="s">
        <v>60</v>
      </c>
      <c r="C15" t="s">
        <v>27</v>
      </c>
      <c r="D15" t="s">
        <v>16</v>
      </c>
      <c r="E15" t="s">
        <v>145</v>
      </c>
      <c r="F15" t="s">
        <v>129</v>
      </c>
      <c r="G15" t="s">
        <v>130</v>
      </c>
    </row>
    <row r="16" spans="1:7" x14ac:dyDescent="0.25">
      <c r="A16" t="str">
        <f>Data_Transform[[#This Row],[Player]]&amp;Data_Transform[[#This Row],[Week]]&amp;Data_Transform[[#This Row],[Role]]</f>
        <v>DarioWeek 1Receiving</v>
      </c>
      <c r="B16" t="s">
        <v>60</v>
      </c>
      <c r="C16" t="s">
        <v>27</v>
      </c>
      <c r="D16" t="s">
        <v>17</v>
      </c>
      <c r="E16" t="s">
        <v>173</v>
      </c>
      <c r="F16" t="s">
        <v>133</v>
      </c>
      <c r="G16" t="s">
        <v>134</v>
      </c>
    </row>
    <row r="17" spans="1:7" x14ac:dyDescent="0.25">
      <c r="A17" t="str">
        <f>Data_Transform[[#This Row],[Player]]&amp;Data_Transform[[#This Row],[Week]]&amp;Data_Transform[[#This Row],[Role]]</f>
        <v>DarioWeek 1Rushing</v>
      </c>
      <c r="B17" t="s">
        <v>60</v>
      </c>
      <c r="C17" t="s">
        <v>27</v>
      </c>
      <c r="D17" t="s">
        <v>6</v>
      </c>
      <c r="E17" t="s">
        <v>135</v>
      </c>
      <c r="F17" t="s">
        <v>127</v>
      </c>
      <c r="G17" t="s">
        <v>128</v>
      </c>
    </row>
    <row r="18" spans="1:7" x14ac:dyDescent="0.25">
      <c r="A18" t="str">
        <f>Data_Transform[[#This Row],[Player]]&amp;Data_Transform[[#This Row],[Week]]&amp;Data_Transform[[#This Row],[Role]]</f>
        <v>GrantWeek 1Defensive</v>
      </c>
      <c r="B18" t="s">
        <v>62</v>
      </c>
      <c r="C18" t="s">
        <v>27</v>
      </c>
      <c r="D18" t="s">
        <v>20</v>
      </c>
      <c r="E18" t="s">
        <v>178</v>
      </c>
      <c r="F18" t="s">
        <v>178</v>
      </c>
      <c r="G18" t="s">
        <v>178</v>
      </c>
    </row>
    <row r="19" spans="1:7" x14ac:dyDescent="0.25">
      <c r="A19" t="str">
        <f>Data_Transform[[#This Row],[Player]]&amp;Data_Transform[[#This Row],[Week]]&amp;Data_Transform[[#This Row],[Role]]</f>
        <v>GrantWeek 1Passing</v>
      </c>
      <c r="B19" t="s">
        <v>62</v>
      </c>
      <c r="C19" t="s">
        <v>27</v>
      </c>
      <c r="D19" t="s">
        <v>16</v>
      </c>
      <c r="E19" t="s">
        <v>178</v>
      </c>
      <c r="F19" t="s">
        <v>178</v>
      </c>
      <c r="G19" t="s">
        <v>178</v>
      </c>
    </row>
    <row r="20" spans="1:7" x14ac:dyDescent="0.25">
      <c r="A20" t="str">
        <f>Data_Transform[[#This Row],[Player]]&amp;Data_Transform[[#This Row],[Week]]&amp;Data_Transform[[#This Row],[Role]]</f>
        <v>GrantWeek 1Receiving</v>
      </c>
      <c r="B20" t="s">
        <v>62</v>
      </c>
      <c r="C20" t="s">
        <v>27</v>
      </c>
      <c r="D20" t="s">
        <v>17</v>
      </c>
      <c r="E20" t="s">
        <v>178</v>
      </c>
      <c r="F20" t="s">
        <v>178</v>
      </c>
      <c r="G20" t="s">
        <v>178</v>
      </c>
    </row>
    <row r="21" spans="1:7" x14ac:dyDescent="0.25">
      <c r="A21" t="str">
        <f>Data_Transform[[#This Row],[Player]]&amp;Data_Transform[[#This Row],[Week]]&amp;Data_Transform[[#This Row],[Role]]</f>
        <v>GrantWeek 1Rushing</v>
      </c>
      <c r="B21" t="s">
        <v>62</v>
      </c>
      <c r="C21" t="s">
        <v>27</v>
      </c>
      <c r="D21" t="s">
        <v>6</v>
      </c>
      <c r="E21" t="s">
        <v>178</v>
      </c>
      <c r="F21" t="s">
        <v>178</v>
      </c>
      <c r="G21" t="s">
        <v>178</v>
      </c>
    </row>
    <row r="22" spans="1:7" x14ac:dyDescent="0.25">
      <c r="A22" t="str">
        <f>Data_Transform[[#This Row],[Player]]&amp;Data_Transform[[#This Row],[Week]]&amp;Data_Transform[[#This Row],[Role]]</f>
        <v>HollieWeek 1Defensive</v>
      </c>
      <c r="B22" t="s">
        <v>19</v>
      </c>
      <c r="C22" t="s">
        <v>27</v>
      </c>
      <c r="D22" t="s">
        <v>20</v>
      </c>
      <c r="E22" t="s">
        <v>94</v>
      </c>
      <c r="F22" t="s">
        <v>95</v>
      </c>
      <c r="G22" t="s">
        <v>108</v>
      </c>
    </row>
    <row r="23" spans="1:7" x14ac:dyDescent="0.25">
      <c r="A23" t="str">
        <f>Data_Transform[[#This Row],[Player]]&amp;Data_Transform[[#This Row],[Week]]&amp;Data_Transform[[#This Row],[Role]]</f>
        <v>HollieWeek 1Passing</v>
      </c>
      <c r="B23" t="s">
        <v>19</v>
      </c>
      <c r="C23" t="s">
        <v>27</v>
      </c>
      <c r="D23" t="s">
        <v>16</v>
      </c>
      <c r="E23" t="s">
        <v>103</v>
      </c>
      <c r="F23" t="s">
        <v>86</v>
      </c>
      <c r="G23" t="s">
        <v>84</v>
      </c>
    </row>
    <row r="24" spans="1:7" x14ac:dyDescent="0.25">
      <c r="A24" t="str">
        <f>Data_Transform[[#This Row],[Player]]&amp;Data_Transform[[#This Row],[Week]]&amp;Data_Transform[[#This Row],[Role]]</f>
        <v>HollieWeek 1Receiving</v>
      </c>
      <c r="B24" t="s">
        <v>19</v>
      </c>
      <c r="C24" t="s">
        <v>27</v>
      </c>
      <c r="D24" t="s">
        <v>17</v>
      </c>
      <c r="E24" t="s">
        <v>92</v>
      </c>
      <c r="F24" t="s">
        <v>83</v>
      </c>
      <c r="G24" t="s">
        <v>80</v>
      </c>
    </row>
    <row r="25" spans="1:7" x14ac:dyDescent="0.25">
      <c r="A25" t="str">
        <f>Data_Transform[[#This Row],[Player]]&amp;Data_Transform[[#This Row],[Week]]&amp;Data_Transform[[#This Row],[Role]]</f>
        <v>HollieWeek 1Rushing</v>
      </c>
      <c r="B25" t="s">
        <v>19</v>
      </c>
      <c r="C25" t="s">
        <v>27</v>
      </c>
      <c r="D25" t="s">
        <v>6</v>
      </c>
      <c r="E25" t="s">
        <v>87</v>
      </c>
      <c r="F25" t="s">
        <v>82</v>
      </c>
      <c r="G25" t="s">
        <v>107</v>
      </c>
    </row>
    <row r="26" spans="1:7" x14ac:dyDescent="0.25">
      <c r="A26" t="str">
        <f>Data_Transform[[#This Row],[Player]]&amp;Data_Transform[[#This Row],[Week]]&amp;Data_Transform[[#This Row],[Role]]</f>
        <v>IanWeek 1Defensive</v>
      </c>
      <c r="B26" t="s">
        <v>26</v>
      </c>
      <c r="C26" t="s">
        <v>27</v>
      </c>
      <c r="D26" t="s">
        <v>20</v>
      </c>
      <c r="E26" t="s">
        <v>136</v>
      </c>
      <c r="F26" t="s">
        <v>113</v>
      </c>
      <c r="G26" t="s">
        <v>114</v>
      </c>
    </row>
    <row r="27" spans="1:7" x14ac:dyDescent="0.25">
      <c r="A27" t="str">
        <f>Data_Transform[[#This Row],[Player]]&amp;Data_Transform[[#This Row],[Week]]&amp;Data_Transform[[#This Row],[Role]]</f>
        <v>IanWeek 1Passing</v>
      </c>
      <c r="B27" t="s">
        <v>26</v>
      </c>
      <c r="C27" t="s">
        <v>27</v>
      </c>
      <c r="D27" t="s">
        <v>16</v>
      </c>
      <c r="E27" t="s">
        <v>137</v>
      </c>
      <c r="F27" t="s">
        <v>114</v>
      </c>
      <c r="G27" t="s">
        <v>113</v>
      </c>
    </row>
    <row r="28" spans="1:7" x14ac:dyDescent="0.25">
      <c r="A28" t="str">
        <f>Data_Transform[[#This Row],[Player]]&amp;Data_Transform[[#This Row],[Week]]&amp;Data_Transform[[#This Row],[Role]]</f>
        <v>IanWeek 1Receiving</v>
      </c>
      <c r="B28" t="s">
        <v>26</v>
      </c>
      <c r="C28" t="s">
        <v>27</v>
      </c>
      <c r="D28" t="s">
        <v>17</v>
      </c>
      <c r="E28" t="s">
        <v>138</v>
      </c>
      <c r="F28" t="s">
        <v>114</v>
      </c>
      <c r="G28" t="s">
        <v>113</v>
      </c>
    </row>
    <row r="29" spans="1:7" x14ac:dyDescent="0.25">
      <c r="A29" t="str">
        <f>Data_Transform[[#This Row],[Player]]&amp;Data_Transform[[#This Row],[Week]]&amp;Data_Transform[[#This Row],[Role]]</f>
        <v>IanWeek 1Rushing</v>
      </c>
      <c r="B29" t="s">
        <v>26</v>
      </c>
      <c r="C29" t="s">
        <v>27</v>
      </c>
      <c r="D29" t="s">
        <v>6</v>
      </c>
      <c r="E29" t="s">
        <v>139</v>
      </c>
      <c r="F29" t="s">
        <v>113</v>
      </c>
      <c r="G29" t="s">
        <v>114</v>
      </c>
    </row>
    <row r="30" spans="1:7" x14ac:dyDescent="0.25">
      <c r="A30" t="str">
        <f>Data_Transform[[#This Row],[Player]]&amp;Data_Transform[[#This Row],[Week]]&amp;Data_Transform[[#This Row],[Role]]</f>
        <v>JacksonWeek 1Defensive</v>
      </c>
      <c r="B30" t="s">
        <v>4</v>
      </c>
      <c r="C30" t="s">
        <v>27</v>
      </c>
      <c r="D30" t="s">
        <v>20</v>
      </c>
      <c r="E30" t="s">
        <v>140</v>
      </c>
      <c r="F30" t="s">
        <v>86</v>
      </c>
      <c r="G30" t="s">
        <v>84</v>
      </c>
    </row>
    <row r="31" spans="1:7" x14ac:dyDescent="0.25">
      <c r="A31" t="str">
        <f>Data_Transform[[#This Row],[Player]]&amp;Data_Transform[[#This Row],[Week]]&amp;Data_Transform[[#This Row],[Role]]</f>
        <v>JacksonWeek 1Passing</v>
      </c>
      <c r="B31" t="s">
        <v>4</v>
      </c>
      <c r="C31" t="s">
        <v>27</v>
      </c>
      <c r="D31" t="s">
        <v>16</v>
      </c>
      <c r="E31" t="s">
        <v>141</v>
      </c>
      <c r="F31" t="s">
        <v>142</v>
      </c>
      <c r="G31" t="s">
        <v>143</v>
      </c>
    </row>
    <row r="32" spans="1:7" x14ac:dyDescent="0.25">
      <c r="A32" t="str">
        <f>Data_Transform[[#This Row],[Player]]&amp;Data_Transform[[#This Row],[Week]]&amp;Data_Transform[[#This Row],[Role]]</f>
        <v>JacksonWeek 1Receiving</v>
      </c>
      <c r="B32" t="s">
        <v>4</v>
      </c>
      <c r="C32" t="s">
        <v>27</v>
      </c>
      <c r="D32" t="s">
        <v>17</v>
      </c>
      <c r="E32" t="s">
        <v>138</v>
      </c>
      <c r="F32" t="s">
        <v>114</v>
      </c>
      <c r="G32" t="s">
        <v>113</v>
      </c>
    </row>
    <row r="33" spans="1:7" x14ac:dyDescent="0.25">
      <c r="A33" t="str">
        <f>Data_Transform[[#This Row],[Player]]&amp;Data_Transform[[#This Row],[Week]]&amp;Data_Transform[[#This Row],[Role]]</f>
        <v>JacksonWeek 1Rushing</v>
      </c>
      <c r="B33" t="s">
        <v>4</v>
      </c>
      <c r="C33" t="s">
        <v>27</v>
      </c>
      <c r="D33" t="s">
        <v>6</v>
      </c>
      <c r="E33" t="s">
        <v>135</v>
      </c>
      <c r="F33" t="s">
        <v>127</v>
      </c>
      <c r="G33" t="s">
        <v>128</v>
      </c>
    </row>
    <row r="34" spans="1:7" x14ac:dyDescent="0.25">
      <c r="A34" t="str">
        <f>Data_Transform[[#This Row],[Player]]&amp;Data_Transform[[#This Row],[Week]]&amp;Data_Transform[[#This Row],[Role]]</f>
        <v>JacobWeek 1Defensive</v>
      </c>
      <c r="B34" t="s">
        <v>2</v>
      </c>
      <c r="C34" t="s">
        <v>27</v>
      </c>
      <c r="D34" t="s">
        <v>20</v>
      </c>
      <c r="E34" t="s">
        <v>102</v>
      </c>
      <c r="F34" t="s">
        <v>101</v>
      </c>
      <c r="G34" t="s">
        <v>100</v>
      </c>
    </row>
    <row r="35" spans="1:7" x14ac:dyDescent="0.25">
      <c r="A35" t="str">
        <f>Data_Transform[[#This Row],[Player]]&amp;Data_Transform[[#This Row],[Week]]&amp;Data_Transform[[#This Row],[Role]]</f>
        <v>JacobWeek 1Passing</v>
      </c>
      <c r="B35" t="s">
        <v>2</v>
      </c>
      <c r="C35" t="s">
        <v>27</v>
      </c>
      <c r="D35" t="s">
        <v>16</v>
      </c>
      <c r="E35" t="s">
        <v>109</v>
      </c>
      <c r="F35" t="s">
        <v>110</v>
      </c>
      <c r="G35" t="s">
        <v>104</v>
      </c>
    </row>
    <row r="36" spans="1:7" x14ac:dyDescent="0.25">
      <c r="A36" t="str">
        <f>Data_Transform[[#This Row],[Player]]&amp;Data_Transform[[#This Row],[Week]]&amp;Data_Transform[[#This Row],[Role]]</f>
        <v>JacobWeek 1Receiving</v>
      </c>
      <c r="B36" t="s">
        <v>2</v>
      </c>
      <c r="C36" t="s">
        <v>27</v>
      </c>
      <c r="D36" t="s">
        <v>17</v>
      </c>
      <c r="E36" t="s">
        <v>99</v>
      </c>
      <c r="F36" t="s">
        <v>97</v>
      </c>
      <c r="G36" t="s">
        <v>81</v>
      </c>
    </row>
    <row r="37" spans="1:7" x14ac:dyDescent="0.25">
      <c r="A37" t="str">
        <f>Data_Transform[[#This Row],[Player]]&amp;Data_Transform[[#This Row],[Week]]&amp;Data_Transform[[#This Row],[Role]]</f>
        <v>JacobWeek 1Rushing</v>
      </c>
      <c r="B37" t="s">
        <v>2</v>
      </c>
      <c r="C37" t="s">
        <v>27</v>
      </c>
      <c r="D37" t="s">
        <v>6</v>
      </c>
      <c r="E37" t="s">
        <v>105</v>
      </c>
      <c r="F37" t="s">
        <v>96</v>
      </c>
      <c r="G37" t="s">
        <v>98</v>
      </c>
    </row>
    <row r="38" spans="1:7" x14ac:dyDescent="0.25">
      <c r="A38" t="str">
        <f>Data_Transform[[#This Row],[Player]]&amp;Data_Transform[[#This Row],[Week]]&amp;Data_Transform[[#This Row],[Role]]</f>
        <v>JonathanWeek 1Defensive</v>
      </c>
      <c r="B38" t="s">
        <v>144</v>
      </c>
      <c r="C38" t="s">
        <v>27</v>
      </c>
      <c r="D38" t="s">
        <v>20</v>
      </c>
      <c r="E38" t="s">
        <v>111</v>
      </c>
      <c r="F38" t="s">
        <v>80</v>
      </c>
      <c r="G38" t="s">
        <v>83</v>
      </c>
    </row>
    <row r="39" spans="1:7" x14ac:dyDescent="0.25">
      <c r="A39" t="str">
        <f>Data_Transform[[#This Row],[Player]]&amp;Data_Transform[[#This Row],[Week]]&amp;Data_Transform[[#This Row],[Role]]</f>
        <v>JonathanWeek 1Passing</v>
      </c>
      <c r="B39" t="s">
        <v>144</v>
      </c>
      <c r="C39" t="s">
        <v>27</v>
      </c>
      <c r="D39" t="s">
        <v>16</v>
      </c>
      <c r="E39" t="s">
        <v>145</v>
      </c>
      <c r="F39" t="s">
        <v>129</v>
      </c>
      <c r="G39" t="s">
        <v>130</v>
      </c>
    </row>
    <row r="40" spans="1:7" x14ac:dyDescent="0.25">
      <c r="A40" t="str">
        <f>Data_Transform[[#This Row],[Player]]&amp;Data_Transform[[#This Row],[Week]]&amp;Data_Transform[[#This Row],[Role]]</f>
        <v>JonathanWeek 1Receiving</v>
      </c>
      <c r="B40" t="s">
        <v>144</v>
      </c>
      <c r="C40" t="s">
        <v>27</v>
      </c>
      <c r="D40" t="s">
        <v>17</v>
      </c>
      <c r="E40" t="s">
        <v>146</v>
      </c>
      <c r="F40" t="s">
        <v>124</v>
      </c>
      <c r="G40" t="s">
        <v>125</v>
      </c>
    </row>
    <row r="41" spans="1:7" x14ac:dyDescent="0.25">
      <c r="A41" t="str">
        <f>Data_Transform[[#This Row],[Player]]&amp;Data_Transform[[#This Row],[Week]]&amp;Data_Transform[[#This Row],[Role]]</f>
        <v>JonathanWeek 1Rushing</v>
      </c>
      <c r="B41" t="s">
        <v>144</v>
      </c>
      <c r="C41" t="s">
        <v>27</v>
      </c>
      <c r="D41" t="s">
        <v>6</v>
      </c>
      <c r="E41" t="s">
        <v>126</v>
      </c>
      <c r="F41" t="s">
        <v>127</v>
      </c>
      <c r="G41" t="s">
        <v>128</v>
      </c>
    </row>
    <row r="42" spans="1:7" x14ac:dyDescent="0.25">
      <c r="A42" t="str">
        <f>Data_Transform[[#This Row],[Player]]&amp;Data_Transform[[#This Row],[Week]]&amp;Data_Transform[[#This Row],[Role]]</f>
        <v>LoganWeek 1Defensive</v>
      </c>
      <c r="B42" t="s">
        <v>79</v>
      </c>
      <c r="C42" t="s">
        <v>27</v>
      </c>
      <c r="D42" t="s">
        <v>20</v>
      </c>
      <c r="E42" t="s">
        <v>429</v>
      </c>
      <c r="F42" t="s">
        <v>142</v>
      </c>
      <c r="G42" t="s">
        <v>143</v>
      </c>
    </row>
    <row r="43" spans="1:7" x14ac:dyDescent="0.25">
      <c r="A43" t="str">
        <f>Data_Transform[[#This Row],[Player]]&amp;Data_Transform[[#This Row],[Week]]&amp;Data_Transform[[#This Row],[Role]]</f>
        <v>LoganWeek 1Passing</v>
      </c>
      <c r="B43" t="s">
        <v>79</v>
      </c>
      <c r="C43" t="s">
        <v>27</v>
      </c>
      <c r="D43" t="s">
        <v>16</v>
      </c>
      <c r="E43" t="s">
        <v>147</v>
      </c>
      <c r="F43" t="s">
        <v>127</v>
      </c>
      <c r="G43" t="s">
        <v>128</v>
      </c>
    </row>
    <row r="44" spans="1:7" x14ac:dyDescent="0.25">
      <c r="A44" t="str">
        <f>Data_Transform[[#This Row],[Player]]&amp;Data_Transform[[#This Row],[Week]]&amp;Data_Transform[[#This Row],[Role]]</f>
        <v>LoganWeek 1Receiving</v>
      </c>
      <c r="B44" t="s">
        <v>79</v>
      </c>
      <c r="C44" t="s">
        <v>27</v>
      </c>
      <c r="D44" t="s">
        <v>17</v>
      </c>
      <c r="E44" t="s">
        <v>148</v>
      </c>
      <c r="F44" t="s">
        <v>127</v>
      </c>
      <c r="G44" t="s">
        <v>128</v>
      </c>
    </row>
    <row r="45" spans="1:7" x14ac:dyDescent="0.25">
      <c r="A45" t="str">
        <f>Data_Transform[[#This Row],[Player]]&amp;Data_Transform[[#This Row],[Week]]&amp;Data_Transform[[#This Row],[Role]]</f>
        <v>LoganWeek 1Rushing</v>
      </c>
      <c r="B45" t="s">
        <v>79</v>
      </c>
      <c r="C45" t="s">
        <v>27</v>
      </c>
      <c r="D45" t="s">
        <v>6</v>
      </c>
      <c r="E45" t="s">
        <v>149</v>
      </c>
      <c r="F45" t="s">
        <v>142</v>
      </c>
      <c r="G45" t="s">
        <v>143</v>
      </c>
    </row>
    <row r="46" spans="1:7" x14ac:dyDescent="0.25">
      <c r="A46" t="str">
        <f>Data_Transform[[#This Row],[Player]]&amp;Data_Transform[[#This Row],[Week]]&amp;Data_Transform[[#This Row],[Role]]</f>
        <v>MarcWeek 1Defensive</v>
      </c>
      <c r="B46" t="s">
        <v>7</v>
      </c>
      <c r="C46" t="s">
        <v>27</v>
      </c>
      <c r="D46" t="s">
        <v>20</v>
      </c>
      <c r="E46" t="s">
        <v>150</v>
      </c>
      <c r="F46" t="s">
        <v>84</v>
      </c>
      <c r="G46" t="s">
        <v>86</v>
      </c>
    </row>
    <row r="47" spans="1:7" x14ac:dyDescent="0.25">
      <c r="A47" t="str">
        <f>Data_Transform[[#This Row],[Player]]&amp;Data_Transform[[#This Row],[Week]]&amp;Data_Transform[[#This Row],[Role]]</f>
        <v>MarcWeek 1Passing</v>
      </c>
      <c r="B47" t="s">
        <v>7</v>
      </c>
      <c r="C47" t="s">
        <v>27</v>
      </c>
      <c r="D47" t="s">
        <v>16</v>
      </c>
      <c r="E47" t="s">
        <v>120</v>
      </c>
      <c r="F47" t="s">
        <v>121</v>
      </c>
      <c r="G47" t="s">
        <v>122</v>
      </c>
    </row>
    <row r="48" spans="1:7" x14ac:dyDescent="0.25">
      <c r="A48" t="str">
        <f>Data_Transform[[#This Row],[Player]]&amp;Data_Transform[[#This Row],[Week]]&amp;Data_Transform[[#This Row],[Role]]</f>
        <v>MarcWeek 1Receiving</v>
      </c>
      <c r="B48" t="s">
        <v>7</v>
      </c>
      <c r="C48" t="s">
        <v>27</v>
      </c>
      <c r="D48" t="s">
        <v>17</v>
      </c>
      <c r="E48" t="s">
        <v>151</v>
      </c>
      <c r="F48" t="s">
        <v>85</v>
      </c>
      <c r="G48" t="s">
        <v>152</v>
      </c>
    </row>
    <row r="49" spans="1:7" x14ac:dyDescent="0.25">
      <c r="A49" t="str">
        <f>Data_Transform[[#This Row],[Player]]&amp;Data_Transform[[#This Row],[Week]]&amp;Data_Transform[[#This Row],[Role]]</f>
        <v>MarcWeek 1Rushing</v>
      </c>
      <c r="B49" t="s">
        <v>7</v>
      </c>
      <c r="C49" t="s">
        <v>27</v>
      </c>
      <c r="D49" t="s">
        <v>6</v>
      </c>
      <c r="E49" t="s">
        <v>153</v>
      </c>
      <c r="F49" t="s">
        <v>86</v>
      </c>
      <c r="G49" t="s">
        <v>84</v>
      </c>
    </row>
    <row r="50" spans="1:7" x14ac:dyDescent="0.25">
      <c r="A50" t="str">
        <f>Data_Transform[[#This Row],[Player]]&amp;Data_Transform[[#This Row],[Week]]&amp;Data_Transform[[#This Row],[Role]]</f>
        <v>Mike G.Week 1Defensive</v>
      </c>
      <c r="B50" t="s">
        <v>59</v>
      </c>
      <c r="C50" t="s">
        <v>27</v>
      </c>
      <c r="D50" t="s">
        <v>20</v>
      </c>
      <c r="E50" t="s">
        <v>154</v>
      </c>
      <c r="F50" t="s">
        <v>155</v>
      </c>
      <c r="G50" t="s">
        <v>156</v>
      </c>
    </row>
    <row r="51" spans="1:7" x14ac:dyDescent="0.25">
      <c r="A51" t="str">
        <f>Data_Transform[[#This Row],[Player]]&amp;Data_Transform[[#This Row],[Week]]&amp;Data_Transform[[#This Row],[Role]]</f>
        <v>Mike G.Week 1Passing</v>
      </c>
      <c r="B51" t="s">
        <v>59</v>
      </c>
      <c r="C51" t="s">
        <v>27</v>
      </c>
      <c r="D51" t="s">
        <v>16</v>
      </c>
      <c r="E51" t="s">
        <v>157</v>
      </c>
      <c r="F51" t="s">
        <v>117</v>
      </c>
      <c r="G51" t="s">
        <v>118</v>
      </c>
    </row>
    <row r="52" spans="1:7" x14ac:dyDescent="0.25">
      <c r="A52" t="str">
        <f>Data_Transform[[#This Row],[Player]]&amp;Data_Transform[[#This Row],[Week]]&amp;Data_Transform[[#This Row],[Role]]</f>
        <v>Mike G.Week 1Receiving</v>
      </c>
      <c r="B52" t="s">
        <v>59</v>
      </c>
      <c r="C52" t="s">
        <v>27</v>
      </c>
      <c r="D52" t="s">
        <v>17</v>
      </c>
      <c r="E52" t="s">
        <v>158</v>
      </c>
      <c r="F52" t="s">
        <v>159</v>
      </c>
      <c r="G52" t="s">
        <v>160</v>
      </c>
    </row>
    <row r="53" spans="1:7" x14ac:dyDescent="0.25">
      <c r="A53" t="str">
        <f>Data_Transform[[#This Row],[Player]]&amp;Data_Transform[[#This Row],[Week]]&amp;Data_Transform[[#This Row],[Role]]</f>
        <v>Mike G.Week 1Rushing</v>
      </c>
      <c r="B53" t="s">
        <v>59</v>
      </c>
      <c r="C53" t="s">
        <v>27</v>
      </c>
      <c r="D53" t="s">
        <v>6</v>
      </c>
      <c r="E53" t="s">
        <v>161</v>
      </c>
      <c r="F53" t="s">
        <v>162</v>
      </c>
      <c r="G53" t="s">
        <v>163</v>
      </c>
    </row>
    <row r="54" spans="1:7" x14ac:dyDescent="0.25">
      <c r="A54" t="str">
        <f>Data_Transform[[#This Row],[Player]]&amp;Data_Transform[[#This Row],[Week]]&amp;Data_Transform[[#This Row],[Role]]</f>
        <v>Mike M.Week 1Defensive</v>
      </c>
      <c r="B54" t="s">
        <v>58</v>
      </c>
      <c r="C54" t="s">
        <v>27</v>
      </c>
      <c r="D54" t="s">
        <v>20</v>
      </c>
      <c r="E54" t="s">
        <v>641</v>
      </c>
      <c r="F54" t="s">
        <v>131</v>
      </c>
      <c r="G54" t="s">
        <v>132</v>
      </c>
    </row>
    <row r="55" spans="1:7" x14ac:dyDescent="0.25">
      <c r="A55" t="str">
        <f>Data_Transform[[#This Row],[Player]]&amp;Data_Transform[[#This Row],[Week]]&amp;Data_Transform[[#This Row],[Role]]</f>
        <v>Mike M.Week 1Passing</v>
      </c>
      <c r="B55" t="s">
        <v>58</v>
      </c>
      <c r="C55" t="s">
        <v>27</v>
      </c>
      <c r="D55" t="s">
        <v>16</v>
      </c>
      <c r="E55" t="s">
        <v>174</v>
      </c>
      <c r="F55" t="s">
        <v>160</v>
      </c>
      <c r="G55" t="s">
        <v>175</v>
      </c>
    </row>
    <row r="56" spans="1:7" x14ac:dyDescent="0.25">
      <c r="A56" t="str">
        <f>Data_Transform[[#This Row],[Player]]&amp;Data_Transform[[#This Row],[Week]]&amp;Data_Transform[[#This Row],[Role]]</f>
        <v>Mike M.Week 1Receiving</v>
      </c>
      <c r="B56" t="s">
        <v>58</v>
      </c>
      <c r="C56" t="s">
        <v>27</v>
      </c>
      <c r="D56" t="s">
        <v>17</v>
      </c>
      <c r="E56" t="s">
        <v>176</v>
      </c>
      <c r="F56" t="s">
        <v>172</v>
      </c>
      <c r="G56" t="s">
        <v>171</v>
      </c>
    </row>
    <row r="57" spans="1:7" x14ac:dyDescent="0.25">
      <c r="A57" t="str">
        <f>Data_Transform[[#This Row],[Player]]&amp;Data_Transform[[#This Row],[Week]]&amp;Data_Transform[[#This Row],[Role]]</f>
        <v>Mike M.Week 1Rushing</v>
      </c>
      <c r="B57" t="s">
        <v>58</v>
      </c>
      <c r="C57" t="s">
        <v>27</v>
      </c>
      <c r="D57" t="s">
        <v>6</v>
      </c>
      <c r="E57" t="s">
        <v>177</v>
      </c>
      <c r="F57" t="s">
        <v>133</v>
      </c>
      <c r="G57" t="s">
        <v>134</v>
      </c>
    </row>
    <row r="58" spans="1:7" x14ac:dyDescent="0.25">
      <c r="A58" t="str">
        <f>Data_Transform[[#This Row],[Player]]&amp;Data_Transform[[#This Row],[Week]]&amp;Data_Transform[[#This Row],[Role]]</f>
        <v>MoniWeek 1Defensive</v>
      </c>
      <c r="B58" t="s">
        <v>18</v>
      </c>
      <c r="C58" t="s">
        <v>27</v>
      </c>
      <c r="D58" t="s">
        <v>20</v>
      </c>
      <c r="E58" t="s">
        <v>643</v>
      </c>
      <c r="F58" t="s">
        <v>131</v>
      </c>
      <c r="G58" t="s">
        <v>132</v>
      </c>
    </row>
    <row r="59" spans="1:7" x14ac:dyDescent="0.25">
      <c r="A59" t="str">
        <f>Data_Transform[[#This Row],[Player]]&amp;Data_Transform[[#This Row],[Week]]&amp;Data_Transform[[#This Row],[Role]]</f>
        <v>MoniWeek 1Passing</v>
      </c>
      <c r="B59" t="s">
        <v>18</v>
      </c>
      <c r="C59" t="s">
        <v>27</v>
      </c>
      <c r="D59" t="s">
        <v>16</v>
      </c>
      <c r="E59" t="s">
        <v>164</v>
      </c>
      <c r="F59" t="s">
        <v>131</v>
      </c>
      <c r="G59" t="s">
        <v>132</v>
      </c>
    </row>
    <row r="60" spans="1:7" x14ac:dyDescent="0.25">
      <c r="A60" t="str">
        <f>Data_Transform[[#This Row],[Player]]&amp;Data_Transform[[#This Row],[Week]]&amp;Data_Transform[[#This Row],[Role]]</f>
        <v>MoniWeek 1Receiving</v>
      </c>
      <c r="B60" t="s">
        <v>18</v>
      </c>
      <c r="C60" t="s">
        <v>27</v>
      </c>
      <c r="D60" t="s">
        <v>17</v>
      </c>
      <c r="E60" t="s">
        <v>633</v>
      </c>
      <c r="F60" t="s">
        <v>131</v>
      </c>
      <c r="G60" t="s">
        <v>132</v>
      </c>
    </row>
    <row r="61" spans="1:7" x14ac:dyDescent="0.25">
      <c r="A61" t="str">
        <f>Data_Transform[[#This Row],[Player]]&amp;Data_Transform[[#This Row],[Week]]&amp;Data_Transform[[#This Row],[Role]]</f>
        <v>MoniWeek 1Rushing</v>
      </c>
      <c r="B61" t="s">
        <v>18</v>
      </c>
      <c r="C61" t="s">
        <v>27</v>
      </c>
      <c r="D61" t="s">
        <v>6</v>
      </c>
      <c r="E61" t="s">
        <v>629</v>
      </c>
      <c r="F61" t="s">
        <v>131</v>
      </c>
      <c r="G61" t="s">
        <v>132</v>
      </c>
    </row>
    <row r="62" spans="1:7" x14ac:dyDescent="0.25">
      <c r="A62" t="str">
        <f>Data_Transform[[#This Row],[Player]]&amp;Data_Transform[[#This Row],[Week]]&amp;Data_Transform[[#This Row],[Role]]</f>
        <v>SamWeek 1Defensive</v>
      </c>
      <c r="B62" t="s">
        <v>68</v>
      </c>
      <c r="C62" t="s">
        <v>27</v>
      </c>
      <c r="D62" t="s">
        <v>20</v>
      </c>
      <c r="E62" t="s">
        <v>165</v>
      </c>
      <c r="F62" t="s">
        <v>125</v>
      </c>
      <c r="G62" t="s">
        <v>124</v>
      </c>
    </row>
    <row r="63" spans="1:7" x14ac:dyDescent="0.25">
      <c r="A63" t="str">
        <f>Data_Transform[[#This Row],[Player]]&amp;Data_Transform[[#This Row],[Week]]&amp;Data_Transform[[#This Row],[Role]]</f>
        <v>SamWeek 1Passing</v>
      </c>
      <c r="B63" t="s">
        <v>68</v>
      </c>
      <c r="C63" t="s">
        <v>27</v>
      </c>
      <c r="D63" t="s">
        <v>16</v>
      </c>
      <c r="E63" t="s">
        <v>166</v>
      </c>
      <c r="F63" t="s">
        <v>167</v>
      </c>
      <c r="G63" t="s">
        <v>168</v>
      </c>
    </row>
    <row r="64" spans="1:7" x14ac:dyDescent="0.25">
      <c r="A64" t="str">
        <f>Data_Transform[[#This Row],[Player]]&amp;Data_Transform[[#This Row],[Week]]&amp;Data_Transform[[#This Row],[Role]]</f>
        <v>SamWeek 1Receiving</v>
      </c>
      <c r="B64" t="s">
        <v>68</v>
      </c>
      <c r="C64" t="s">
        <v>27</v>
      </c>
      <c r="D64" t="s">
        <v>17</v>
      </c>
      <c r="E64" t="s">
        <v>169</v>
      </c>
      <c r="F64" t="s">
        <v>127</v>
      </c>
      <c r="G64" t="s">
        <v>128</v>
      </c>
    </row>
    <row r="65" spans="1:7" x14ac:dyDescent="0.25">
      <c r="A65" t="str">
        <f>Data_Transform[[#This Row],[Player]]&amp;Data_Transform[[#This Row],[Week]]&amp;Data_Transform[[#This Row],[Role]]</f>
        <v>SamWeek 1Rushing</v>
      </c>
      <c r="B65" t="s">
        <v>68</v>
      </c>
      <c r="C65" t="s">
        <v>27</v>
      </c>
      <c r="D65" t="s">
        <v>6</v>
      </c>
      <c r="E65" t="s">
        <v>170</v>
      </c>
      <c r="F65" t="s">
        <v>171</v>
      </c>
      <c r="G65" t="s">
        <v>172</v>
      </c>
    </row>
    <row r="66" spans="1:7" x14ac:dyDescent="0.25">
      <c r="A66" t="str">
        <f>Data_Transform[[#This Row],[Player]]&amp;Data_Transform[[#This Row],[Week]]&amp;Data_Transform[[#This Row],[Role]]</f>
        <v>SpencerWeek 1Defensive</v>
      </c>
      <c r="B66" t="s">
        <v>61</v>
      </c>
      <c r="C66" t="s">
        <v>27</v>
      </c>
      <c r="D66" t="s">
        <v>20</v>
      </c>
      <c r="E66" t="s">
        <v>490</v>
      </c>
      <c r="F66" t="s">
        <v>84</v>
      </c>
      <c r="G66" t="s">
        <v>86</v>
      </c>
    </row>
    <row r="67" spans="1:7" x14ac:dyDescent="0.25">
      <c r="A67" t="str">
        <f>Data_Transform[[#This Row],[Player]]&amp;Data_Transform[[#This Row],[Week]]&amp;Data_Transform[[#This Row],[Role]]</f>
        <v>SpencerWeek 1Passing</v>
      </c>
      <c r="B67" t="s">
        <v>61</v>
      </c>
      <c r="C67" t="s">
        <v>27</v>
      </c>
      <c r="D67" t="s">
        <v>16</v>
      </c>
      <c r="E67" t="s">
        <v>310</v>
      </c>
      <c r="F67" t="s">
        <v>124</v>
      </c>
      <c r="G67" t="s">
        <v>125</v>
      </c>
    </row>
    <row r="68" spans="1:7" x14ac:dyDescent="0.25">
      <c r="A68" t="str">
        <f>Data_Transform[[#This Row],[Player]]&amp;Data_Transform[[#This Row],[Week]]&amp;Data_Transform[[#This Row],[Role]]</f>
        <v>SpencerWeek 1Receiving</v>
      </c>
      <c r="B68" t="s">
        <v>61</v>
      </c>
      <c r="C68" t="s">
        <v>27</v>
      </c>
      <c r="D68" t="s">
        <v>17</v>
      </c>
      <c r="E68" t="s">
        <v>173</v>
      </c>
      <c r="F68" t="s">
        <v>133</v>
      </c>
      <c r="G68" t="s">
        <v>134</v>
      </c>
    </row>
    <row r="69" spans="1:7" x14ac:dyDescent="0.25">
      <c r="A69" t="str">
        <f>Data_Transform[[#This Row],[Player]]&amp;Data_Transform[[#This Row],[Week]]&amp;Data_Transform[[#This Row],[Role]]</f>
        <v>SpencerWeek 1Rushing</v>
      </c>
      <c r="B69" t="s">
        <v>61</v>
      </c>
      <c r="C69" t="s">
        <v>27</v>
      </c>
      <c r="D69" t="s">
        <v>6</v>
      </c>
      <c r="E69" t="s">
        <v>135</v>
      </c>
      <c r="F69" t="s">
        <v>127</v>
      </c>
      <c r="G69" t="s">
        <v>128</v>
      </c>
    </row>
    <row r="70" spans="1:7" x14ac:dyDescent="0.25">
      <c r="A70" t="e">
        <f>Data_Transform[[#This Row],[Player]]&amp;Data_Transform[[#This Row],[Week]]&amp;Data_Transform[[#This Row],[Role]]</f>
        <v>#VALUE!</v>
      </c>
    </row>
    <row r="71" spans="1:7" x14ac:dyDescent="0.25">
      <c r="A71" t="e">
        <f>Data_Transform[[#This Row],[Player]]&amp;Data_Transform[[#This Row],[Week]]&amp;Data_Transform[[#This Row],[Role]]</f>
        <v>#VALUE!</v>
      </c>
    </row>
    <row r="72" spans="1:7" x14ac:dyDescent="0.25">
      <c r="A72" t="e">
        <f>Data_Transform[[#This Row],[Player]]&amp;Data_Transform[[#This Row],[Week]]&amp;Data_Transform[[#This Row],[Role]]</f>
        <v>#VALUE!</v>
      </c>
    </row>
    <row r="73" spans="1:7" x14ac:dyDescent="0.25">
      <c r="A73" t="e">
        <f>Data_Transform[[#This Row],[Player]]&amp;Data_Transform[[#This Row],[Week]]&amp;Data_Transform[[#This Row],[Role]]</f>
        <v>#VALUE!</v>
      </c>
    </row>
    <row r="74" spans="1:7" x14ac:dyDescent="0.25">
      <c r="A74" t="e">
        <f>Data_Transform[[#This Row],[Player]]&amp;Data_Transform[[#This Row],[Week]]&amp;Data_Transform[[#This Row],[Role]]</f>
        <v>#VALUE!</v>
      </c>
    </row>
    <row r="75" spans="1:7" x14ac:dyDescent="0.25">
      <c r="A75" t="e">
        <f>Data_Transform[[#This Row],[Player]]&amp;Data_Transform[[#This Row],[Week]]&amp;Data_Transform[[#This Row],[Role]]</f>
        <v>#VALUE!</v>
      </c>
    </row>
    <row r="76" spans="1:7" x14ac:dyDescent="0.25">
      <c r="A76" t="e">
        <f>Data_Transform[[#This Row],[Player]]&amp;Data_Transform[[#This Row],[Week]]&amp;Data_Transform[[#This Row],[Role]]</f>
        <v>#VALUE!</v>
      </c>
    </row>
    <row r="77" spans="1:7" x14ac:dyDescent="0.25">
      <c r="A77" t="e">
        <f>Data_Transform[[#This Row],[Player]]&amp;Data_Transform[[#This Row],[Week]]&amp;Data_Transform[[#This Row],[Role]]</f>
        <v>#VALUE!</v>
      </c>
    </row>
    <row r="78" spans="1:7" x14ac:dyDescent="0.25">
      <c r="A78" t="e">
        <f>Data_Transform[[#This Row],[Player]]&amp;Data_Transform[[#This Row],[Week]]&amp;Data_Transform[[#This Row],[Role]]</f>
        <v>#VALUE!</v>
      </c>
    </row>
    <row r="79" spans="1:7" x14ac:dyDescent="0.25">
      <c r="A79" t="e">
        <f>Data_Transform[[#This Row],[Player]]&amp;Data_Transform[[#This Row],[Week]]&amp;Data_Transform[[#This Row],[Role]]</f>
        <v>#VALUE!</v>
      </c>
    </row>
    <row r="80" spans="1:7" x14ac:dyDescent="0.25">
      <c r="A80" t="e">
        <f>Data_Transform[[#This Row],[Player]]&amp;Data_Transform[[#This Row],[Week]]&amp;Data_Transform[[#This Row],[Role]]</f>
        <v>#VALUE!</v>
      </c>
    </row>
    <row r="81" spans="1:1" x14ac:dyDescent="0.25">
      <c r="A81" t="e">
        <f>Data_Transform[[#This Row],[Player]]&amp;Data_Transform[[#This Row],[Week]]&amp;Data_Transform[[#This Row],[Role]]</f>
        <v>#VALUE!</v>
      </c>
    </row>
    <row r="82" spans="1:1" x14ac:dyDescent="0.25">
      <c r="A82" t="e">
        <f>Data_Transform[[#This Row],[Player]]&amp;Data_Transform[[#This Row],[Week]]&amp;Data_Transform[[#This Row],[Role]]</f>
        <v>#VALUE!</v>
      </c>
    </row>
    <row r="83" spans="1:1" x14ac:dyDescent="0.25">
      <c r="A83" t="e">
        <f>Data_Transform[[#This Row],[Player]]&amp;Data_Transform[[#This Row],[Week]]&amp;Data_Transform[[#This Row],[Role]]</f>
        <v>#VALUE!</v>
      </c>
    </row>
    <row r="84" spans="1:1" x14ac:dyDescent="0.25">
      <c r="A84" t="e">
        <f>Data_Transform[[#This Row],[Player]]&amp;Data_Transform[[#This Row],[Week]]&amp;Data_Transform[[#This Row],[Role]]</f>
        <v>#VALUE!</v>
      </c>
    </row>
    <row r="85" spans="1:1" x14ac:dyDescent="0.25">
      <c r="A85" t="e">
        <f>Data_Transform[[#This Row],[Player]]&amp;Data_Transform[[#This Row],[Week]]&amp;Data_Transform[[#This Row],[Role]]</f>
        <v>#VALUE!</v>
      </c>
    </row>
    <row r="86" spans="1:1" x14ac:dyDescent="0.25">
      <c r="A86" t="e">
        <f>Data_Transform[[#This Row],[Player]]&amp;Data_Transform[[#This Row],[Week]]&amp;Data_Transform[[#This Row],[Role]]</f>
        <v>#VALUE!</v>
      </c>
    </row>
    <row r="87" spans="1:1" x14ac:dyDescent="0.25">
      <c r="A87" t="e">
        <f>Data_Transform[[#This Row],[Player]]&amp;Data_Transform[[#This Row],[Week]]&amp;Data_Transform[[#This Row],[Role]]</f>
        <v>#VALUE!</v>
      </c>
    </row>
    <row r="88" spans="1:1" x14ac:dyDescent="0.25">
      <c r="A88" t="e">
        <f>Data_Transform[[#This Row],[Player]]&amp;Data_Transform[[#This Row],[Week]]&amp;Data_Transform[[#This Row],[Role]]</f>
        <v>#VALUE!</v>
      </c>
    </row>
    <row r="89" spans="1:1" x14ac:dyDescent="0.25">
      <c r="A89" t="e">
        <f>Data_Transform[[#This Row],[Player]]&amp;Data_Transform[[#This Row],[Week]]&amp;Data_Transform[[#This Row],[Role]]</f>
        <v>#VALUE!</v>
      </c>
    </row>
    <row r="90" spans="1:1" x14ac:dyDescent="0.25">
      <c r="A90" t="e">
        <f>Data_Transform[[#This Row],[Player]]&amp;Data_Transform[[#This Row],[Week]]&amp;Data_Transform[[#This Row],[Role]]</f>
        <v>#VALUE!</v>
      </c>
    </row>
    <row r="91" spans="1:1" x14ac:dyDescent="0.25">
      <c r="A91" t="e">
        <f>Data_Transform[[#This Row],[Player]]&amp;Data_Transform[[#This Row],[Week]]&amp;Data_Transform[[#This Row],[Role]]</f>
        <v>#VALUE!</v>
      </c>
    </row>
    <row r="92" spans="1:1" x14ac:dyDescent="0.25">
      <c r="A92" t="e">
        <f>Data_Transform[[#This Row],[Player]]&amp;Data_Transform[[#This Row],[Week]]&amp;Data_Transform[[#This Row],[Role]]</f>
        <v>#VALUE!</v>
      </c>
    </row>
    <row r="93" spans="1:1" x14ac:dyDescent="0.25">
      <c r="A93" t="e">
        <f>Data_Transform[[#This Row],[Player]]&amp;Data_Transform[[#This Row],[Week]]&amp;Data_Transform[[#This Row],[Role]]</f>
        <v>#VALUE!</v>
      </c>
    </row>
    <row r="94" spans="1:1" x14ac:dyDescent="0.25">
      <c r="A94" t="e">
        <f>Data_Transform[[#This Row],[Player]]&amp;Data_Transform[[#This Row],[Week]]&amp;Data_Transform[[#This Row],[Role]]</f>
        <v>#VALUE!</v>
      </c>
    </row>
    <row r="95" spans="1:1" x14ac:dyDescent="0.25">
      <c r="A95" t="e">
        <f>Data_Transform[[#This Row],[Player]]&amp;Data_Transform[[#This Row],[Week]]&amp;Data_Transform[[#This Row],[Role]]</f>
        <v>#VALUE!</v>
      </c>
    </row>
    <row r="96" spans="1:1" x14ac:dyDescent="0.25">
      <c r="A96" t="e">
        <f>Data_Transform[[#This Row],[Player]]&amp;Data_Transform[[#This Row],[Week]]&amp;Data_Transform[[#This Row],[Role]]</f>
        <v>#VALUE!</v>
      </c>
    </row>
    <row r="97" spans="1:1" x14ac:dyDescent="0.25">
      <c r="A97" t="e">
        <f>Data_Transform[[#This Row],[Player]]&amp;Data_Transform[[#This Row],[Week]]&amp;Data_Transform[[#This Row],[Role]]</f>
        <v>#VALUE!</v>
      </c>
    </row>
    <row r="98" spans="1:1" x14ac:dyDescent="0.25">
      <c r="A98" t="e">
        <f>Data_Transform[[#This Row],[Player]]&amp;Data_Transform[[#This Row],[Week]]&amp;Data_Transform[[#This Row],[Role]]</f>
        <v>#VALUE!</v>
      </c>
    </row>
    <row r="99" spans="1:1" x14ac:dyDescent="0.25">
      <c r="A99" t="e">
        <f>Data_Transform[[#This Row],[Player]]&amp;Data_Transform[[#This Row],[Week]]&amp;Data_Transform[[#This Row],[Role]]</f>
        <v>#VALUE!</v>
      </c>
    </row>
    <row r="100" spans="1:1" x14ac:dyDescent="0.25">
      <c r="A100" t="e">
        <f>Data_Transform[[#This Row],[Player]]&amp;Data_Transform[[#This Row],[Week]]&amp;Data_Transform[[#This Row],[Role]]</f>
        <v>#VALUE!</v>
      </c>
    </row>
    <row r="101" spans="1:1" x14ac:dyDescent="0.25">
      <c r="A101" t="e">
        <f>Data_Transform[[#This Row],[Player]]&amp;Data_Transform[[#This Row],[Week]]&amp;Data_Transform[[#This Row],[Role]]</f>
        <v>#VALUE!</v>
      </c>
    </row>
    <row r="102" spans="1:1" x14ac:dyDescent="0.25">
      <c r="A102" t="e">
        <f>Data_Transform[[#This Row],[Player]]&amp;Data_Transform[[#This Row],[Week]]&amp;Data_Transform[[#This Row],[Role]]</f>
        <v>#VALUE!</v>
      </c>
    </row>
    <row r="103" spans="1:1" x14ac:dyDescent="0.25">
      <c r="A103" t="e">
        <f>Data_Transform[[#This Row],[Player]]&amp;Data_Transform[[#This Row],[Week]]&amp;Data_Transform[[#This Row],[Role]]</f>
        <v>#VALUE!</v>
      </c>
    </row>
    <row r="104" spans="1:1" x14ac:dyDescent="0.25">
      <c r="A104" t="e">
        <f>Data_Transform[[#This Row],[Player]]&amp;Data_Transform[[#This Row],[Week]]&amp;Data_Transform[[#This Row],[Role]]</f>
        <v>#VALUE!</v>
      </c>
    </row>
    <row r="105" spans="1:1" x14ac:dyDescent="0.25">
      <c r="A105" t="e">
        <f>Data_Transform[[#This Row],[Player]]&amp;Data_Transform[[#This Row],[Week]]&amp;Data_Transform[[#This Row],[Role]]</f>
        <v>#VALUE!</v>
      </c>
    </row>
    <row r="106" spans="1:1" x14ac:dyDescent="0.25">
      <c r="A106" t="e">
        <f>Data_Transform[[#This Row],[Player]]&amp;Data_Transform[[#This Row],[Week]]&amp;Data_Transform[[#This Row],[Role]]</f>
        <v>#VALUE!</v>
      </c>
    </row>
    <row r="107" spans="1:1" x14ac:dyDescent="0.25">
      <c r="A107" t="e">
        <f>Data_Transform[[#This Row],[Player]]&amp;Data_Transform[[#This Row],[Week]]&amp;Data_Transform[[#This Row],[Role]]</f>
        <v>#VALUE!</v>
      </c>
    </row>
    <row r="108" spans="1:1" x14ac:dyDescent="0.25">
      <c r="A108" t="e">
        <f>Data_Transform[[#This Row],[Player]]&amp;Data_Transform[[#This Row],[Week]]&amp;Data_Transform[[#This Row],[Role]]</f>
        <v>#VALUE!</v>
      </c>
    </row>
    <row r="109" spans="1:1" x14ac:dyDescent="0.25">
      <c r="A109" t="e">
        <f>Data_Transform[[#This Row],[Player]]&amp;Data_Transform[[#This Row],[Week]]&amp;Data_Transform[[#This Row],[Role]]</f>
        <v>#VALUE!</v>
      </c>
    </row>
    <row r="110" spans="1:1" x14ac:dyDescent="0.25">
      <c r="A110" t="e">
        <f>Data_Transform[[#This Row],[Player]]&amp;Data_Transform[[#This Row],[Week]]&amp;Data_Transform[[#This Row],[Role]]</f>
        <v>#VALUE!</v>
      </c>
    </row>
    <row r="111" spans="1:1" x14ac:dyDescent="0.25">
      <c r="A111" t="e">
        <f>Data_Transform[[#This Row],[Player]]&amp;Data_Transform[[#This Row],[Week]]&amp;Data_Transform[[#This Row],[Role]]</f>
        <v>#VALUE!</v>
      </c>
    </row>
    <row r="112" spans="1:1" x14ac:dyDescent="0.25">
      <c r="A112" t="e">
        <f>Data_Transform[[#This Row],[Player]]&amp;Data_Transform[[#This Row],[Week]]&amp;Data_Transform[[#This Row],[Role]]</f>
        <v>#VALUE!</v>
      </c>
    </row>
    <row r="113" spans="1:1" x14ac:dyDescent="0.25">
      <c r="A113" t="e">
        <f>Data_Transform[[#This Row],[Player]]&amp;Data_Transform[[#This Row],[Week]]&amp;Data_Transform[[#This Row],[Role]]</f>
        <v>#VALUE!</v>
      </c>
    </row>
    <row r="114" spans="1:1" x14ac:dyDescent="0.25">
      <c r="A114" t="e">
        <f>Data_Transform[[#This Row],[Player]]&amp;Data_Transform[[#This Row],[Week]]&amp;Data_Transform[[#This Row],[Role]]</f>
        <v>#VALUE!</v>
      </c>
    </row>
    <row r="115" spans="1:1" x14ac:dyDescent="0.25">
      <c r="A115" t="e">
        <f>Data_Transform[[#This Row],[Player]]&amp;Data_Transform[[#This Row],[Week]]&amp;Data_Transform[[#This Row],[Role]]</f>
        <v>#VALUE!</v>
      </c>
    </row>
    <row r="116" spans="1:1" x14ac:dyDescent="0.25">
      <c r="A116" t="e">
        <f>Data_Transform[[#This Row],[Player]]&amp;Data_Transform[[#This Row],[Week]]&amp;Data_Transform[[#This Row],[Role]]</f>
        <v>#VALUE!</v>
      </c>
    </row>
    <row r="117" spans="1:1" x14ac:dyDescent="0.25">
      <c r="A117" t="e">
        <f>Data_Transform[[#This Row],[Player]]&amp;Data_Transform[[#This Row],[Week]]&amp;Data_Transform[[#This Row],[Role]]</f>
        <v>#VALUE!</v>
      </c>
    </row>
    <row r="118" spans="1:1" x14ac:dyDescent="0.25">
      <c r="A118" t="e">
        <f>Data_Transform[[#This Row],[Player]]&amp;Data_Transform[[#This Row],[Week]]&amp;Data_Transform[[#This Row],[Role]]</f>
        <v>#VALUE!</v>
      </c>
    </row>
    <row r="119" spans="1:1" x14ac:dyDescent="0.25">
      <c r="A119" t="e">
        <f>Data_Transform[[#This Row],[Player]]&amp;Data_Transform[[#This Row],[Week]]&amp;Data_Transform[[#This Row],[Role]]</f>
        <v>#VALUE!</v>
      </c>
    </row>
    <row r="120" spans="1:1" x14ac:dyDescent="0.25">
      <c r="A120" t="e">
        <f>Data_Transform[[#This Row],[Player]]&amp;Data_Transform[[#This Row],[Week]]&amp;Data_Transform[[#This Row],[Role]]</f>
        <v>#VALUE!</v>
      </c>
    </row>
    <row r="121" spans="1:1" x14ac:dyDescent="0.25">
      <c r="A121" t="e">
        <f>Data_Transform[[#This Row],[Player]]&amp;Data_Transform[[#This Row],[Week]]&amp;Data_Transform[[#This Row],[Role]]</f>
        <v>#VALUE!</v>
      </c>
    </row>
    <row r="122" spans="1:1" x14ac:dyDescent="0.25">
      <c r="A122" t="e">
        <f>Data_Transform[[#This Row],[Player]]&amp;Data_Transform[[#This Row],[Week]]&amp;Data_Transform[[#This Row],[Role]]</f>
        <v>#VALUE!</v>
      </c>
    </row>
    <row r="123" spans="1:1" x14ac:dyDescent="0.25">
      <c r="A123" t="e">
        <f>Data_Transform[[#This Row],[Player]]&amp;Data_Transform[[#This Row],[Week]]&amp;Data_Transform[[#This Row],[Role]]</f>
        <v>#VALUE!</v>
      </c>
    </row>
    <row r="124" spans="1:1" x14ac:dyDescent="0.25">
      <c r="A124" t="e">
        <f>Data_Transform[[#This Row],[Player]]&amp;Data_Transform[[#This Row],[Week]]&amp;Data_Transform[[#This Row],[Role]]</f>
        <v>#VALUE!</v>
      </c>
    </row>
    <row r="125" spans="1:1" x14ac:dyDescent="0.25">
      <c r="A125" t="e">
        <f>Data_Transform[[#This Row],[Player]]&amp;Data_Transform[[#This Row],[Week]]&amp;Data_Transform[[#This Row],[Role]]</f>
        <v>#VALUE!</v>
      </c>
    </row>
    <row r="126" spans="1:1" x14ac:dyDescent="0.25">
      <c r="A126" t="e">
        <f>Data_Transform[[#This Row],[Player]]&amp;Data_Transform[[#This Row],[Week]]&amp;Data_Transform[[#This Row],[Role]]</f>
        <v>#VALUE!</v>
      </c>
    </row>
    <row r="127" spans="1:1" x14ac:dyDescent="0.25">
      <c r="A127" t="e">
        <f>Data_Transform[[#This Row],[Player]]&amp;Data_Transform[[#This Row],[Week]]&amp;Data_Transform[[#This Row],[Role]]</f>
        <v>#VALUE!</v>
      </c>
    </row>
    <row r="128" spans="1:1" x14ac:dyDescent="0.25">
      <c r="A128" t="e">
        <f>Data_Transform[[#This Row],[Player]]&amp;Data_Transform[[#This Row],[Week]]&amp;Data_Transform[[#This Row],[Role]]</f>
        <v>#VALUE!</v>
      </c>
    </row>
    <row r="129" spans="1:1" x14ac:dyDescent="0.25">
      <c r="A129" t="e">
        <f>Data_Transform[[#This Row],[Player]]&amp;Data_Transform[[#This Row],[Week]]&amp;Data_Transform[[#This Row],[Role]]</f>
        <v>#VALUE!</v>
      </c>
    </row>
    <row r="130" spans="1:1" x14ac:dyDescent="0.25">
      <c r="A130" t="e">
        <f>Data_Transform[[#This Row],[Player]]&amp;Data_Transform[[#This Row],[Week]]&amp;Data_Transform[[#This Row],[Role]]</f>
        <v>#VALUE!</v>
      </c>
    </row>
    <row r="131" spans="1:1" x14ac:dyDescent="0.25">
      <c r="A131" t="e">
        <f>Data_Transform[[#This Row],[Player]]&amp;Data_Transform[[#This Row],[Week]]&amp;Data_Transform[[#This Row],[Role]]</f>
        <v>#VALUE!</v>
      </c>
    </row>
    <row r="132" spans="1:1" x14ac:dyDescent="0.25">
      <c r="A132" t="e">
        <f>Data_Transform[[#This Row],[Player]]&amp;Data_Transform[[#This Row],[Week]]&amp;Data_Transform[[#This Row],[Role]]</f>
        <v>#VALUE!</v>
      </c>
    </row>
    <row r="133" spans="1:1" x14ac:dyDescent="0.25">
      <c r="A133" t="e">
        <f>Data_Transform[[#This Row],[Player]]&amp;Data_Transform[[#This Row],[Week]]&amp;Data_Transform[[#This Row],[Role]]</f>
        <v>#VALUE!</v>
      </c>
    </row>
    <row r="134" spans="1:1" x14ac:dyDescent="0.25">
      <c r="A134" t="e">
        <f>Data_Transform[[#This Row],[Player]]&amp;Data_Transform[[#This Row],[Week]]&amp;Data_Transform[[#This Row],[Role]]</f>
        <v>#VALUE!</v>
      </c>
    </row>
    <row r="135" spans="1:1" x14ac:dyDescent="0.25">
      <c r="A135" t="e">
        <f>Data_Transform[[#This Row],[Player]]&amp;Data_Transform[[#This Row],[Week]]&amp;Data_Transform[[#This Row],[Role]]</f>
        <v>#VALUE!</v>
      </c>
    </row>
    <row r="136" spans="1:1" x14ac:dyDescent="0.25">
      <c r="A136" t="e">
        <f>Data_Transform[[#This Row],[Player]]&amp;Data_Transform[[#This Row],[Week]]&amp;Data_Transform[[#This Row],[Role]]</f>
        <v>#VALUE!</v>
      </c>
    </row>
    <row r="137" spans="1:1" x14ac:dyDescent="0.25">
      <c r="A137" t="e">
        <f>Data_Transform[[#This Row],[Player]]&amp;Data_Transform[[#This Row],[Week]]&amp;Data_Transform[[#This Row],[Role]]</f>
        <v>#VALUE!</v>
      </c>
    </row>
    <row r="138" spans="1:1" x14ac:dyDescent="0.25">
      <c r="A138" t="e">
        <f>Data_Transform[[#This Row],[Player]]&amp;Data_Transform[[#This Row],[Week]]&amp;Data_Transform[[#This Row],[Role]]</f>
        <v>#VALUE!</v>
      </c>
    </row>
    <row r="139" spans="1:1" x14ac:dyDescent="0.25">
      <c r="A139" t="e">
        <f>Data_Transform[[#This Row],[Player]]&amp;Data_Transform[[#This Row],[Week]]&amp;Data_Transform[[#This Row],[Role]]</f>
        <v>#VALUE!</v>
      </c>
    </row>
    <row r="140" spans="1:1" x14ac:dyDescent="0.25">
      <c r="A140" t="e">
        <f>Data_Transform[[#This Row],[Player]]&amp;Data_Transform[[#This Row],[Week]]&amp;Data_Transform[[#This Row],[Role]]</f>
        <v>#VALUE!</v>
      </c>
    </row>
    <row r="141" spans="1:1" x14ac:dyDescent="0.25">
      <c r="A141" t="e">
        <f>Data_Transform[[#This Row],[Player]]&amp;Data_Transform[[#This Row],[Week]]&amp;Data_Transform[[#This Row],[Role]]</f>
        <v>#VALUE!</v>
      </c>
    </row>
    <row r="142" spans="1:1" x14ac:dyDescent="0.25">
      <c r="A142" t="e">
        <f>Data_Transform[[#This Row],[Player]]&amp;Data_Transform[[#This Row],[Week]]&amp;Data_Transform[[#This Row],[Role]]</f>
        <v>#VALUE!</v>
      </c>
    </row>
    <row r="143" spans="1:1" x14ac:dyDescent="0.25">
      <c r="A143" t="e">
        <f>Data_Transform[[#This Row],[Player]]&amp;Data_Transform[[#This Row],[Week]]&amp;Data_Transform[[#This Row],[Role]]</f>
        <v>#VALUE!</v>
      </c>
    </row>
    <row r="144" spans="1:1" x14ac:dyDescent="0.25">
      <c r="A144" t="e">
        <f>Data_Transform[[#This Row],[Player]]&amp;Data_Transform[[#This Row],[Week]]&amp;Data_Transform[[#This Row],[Role]]</f>
        <v>#VALUE!</v>
      </c>
    </row>
    <row r="145" spans="1:1" x14ac:dyDescent="0.25">
      <c r="A145" t="e">
        <f>Data_Transform[[#This Row],[Player]]&amp;Data_Transform[[#This Row],[Week]]&amp;Data_Transform[[#This Row],[Role]]</f>
        <v>#VALUE!</v>
      </c>
    </row>
    <row r="146" spans="1:1" x14ac:dyDescent="0.25">
      <c r="A146" t="e">
        <f>Data_Transform[[#This Row],[Player]]&amp;Data_Transform[[#This Row],[Week]]&amp;Data_Transform[[#This Row],[Role]]</f>
        <v>#VALUE!</v>
      </c>
    </row>
    <row r="147" spans="1:1" x14ac:dyDescent="0.25">
      <c r="A147" t="e">
        <f>Data_Transform[[#This Row],[Player]]&amp;Data_Transform[[#This Row],[Week]]&amp;Data_Transform[[#This Row],[Role]]</f>
        <v>#VALUE!</v>
      </c>
    </row>
    <row r="148" spans="1:1" x14ac:dyDescent="0.25">
      <c r="A148" t="e">
        <f>Data_Transform[[#This Row],[Player]]&amp;Data_Transform[[#This Row],[Week]]&amp;Data_Transform[[#This Row],[Role]]</f>
        <v>#VALUE!</v>
      </c>
    </row>
    <row r="149" spans="1:1" x14ac:dyDescent="0.25">
      <c r="A149" t="e">
        <f>Data_Transform[[#This Row],[Player]]&amp;Data_Transform[[#This Row],[Week]]&amp;Data_Transform[[#This Row],[Role]]</f>
        <v>#VALUE!</v>
      </c>
    </row>
    <row r="150" spans="1:1" x14ac:dyDescent="0.25">
      <c r="A150" t="e">
        <f>Data_Transform[[#This Row],[Player]]&amp;Data_Transform[[#This Row],[Week]]&amp;Data_Transform[[#This Row],[Role]]</f>
        <v>#VALUE!</v>
      </c>
    </row>
    <row r="151" spans="1:1" x14ac:dyDescent="0.25">
      <c r="A151" t="e">
        <f>Data_Transform[[#This Row],[Player]]&amp;Data_Transform[[#This Row],[Week]]&amp;Data_Transform[[#This Row],[Role]]</f>
        <v>#VALUE!</v>
      </c>
    </row>
    <row r="152" spans="1:1" x14ac:dyDescent="0.25">
      <c r="A152" t="e">
        <f>Data_Transform[[#This Row],[Player]]&amp;Data_Transform[[#This Row],[Week]]&amp;Data_Transform[[#This Row],[Role]]</f>
        <v>#VALUE!</v>
      </c>
    </row>
    <row r="153" spans="1:1" x14ac:dyDescent="0.25">
      <c r="A153" t="e">
        <f>Data_Transform[[#This Row],[Player]]&amp;Data_Transform[[#This Row],[Week]]&amp;Data_Transform[[#This Row],[Role]]</f>
        <v>#VALUE!</v>
      </c>
    </row>
    <row r="154" spans="1:1" x14ac:dyDescent="0.25">
      <c r="A154" t="e">
        <f>Data_Transform[[#This Row],[Player]]&amp;Data_Transform[[#This Row],[Week]]&amp;Data_Transform[[#This Row],[Role]]</f>
        <v>#VALUE!</v>
      </c>
    </row>
    <row r="155" spans="1:1" x14ac:dyDescent="0.25">
      <c r="A155" t="e">
        <f>Data_Transform[[#This Row],[Player]]&amp;Data_Transform[[#This Row],[Week]]&amp;Data_Transform[[#This Row],[Role]]</f>
        <v>#VALUE!</v>
      </c>
    </row>
    <row r="156" spans="1:1" x14ac:dyDescent="0.25">
      <c r="A156" t="e">
        <f>Data_Transform[[#This Row],[Player]]&amp;Data_Transform[[#This Row],[Week]]&amp;Data_Transform[[#This Row],[Role]]</f>
        <v>#VALUE!</v>
      </c>
    </row>
    <row r="157" spans="1:1" x14ac:dyDescent="0.25">
      <c r="A157" t="e">
        <f>Data_Transform[[#This Row],[Player]]&amp;Data_Transform[[#This Row],[Week]]&amp;Data_Transform[[#This Row],[Role]]</f>
        <v>#VALUE!</v>
      </c>
    </row>
    <row r="158" spans="1:1" x14ac:dyDescent="0.25">
      <c r="A158" t="e">
        <f>Data_Transform[[#This Row],[Player]]&amp;Data_Transform[[#This Row],[Week]]&amp;Data_Transform[[#This Row],[Role]]</f>
        <v>#VALUE!</v>
      </c>
    </row>
    <row r="159" spans="1:1" x14ac:dyDescent="0.25">
      <c r="A159" t="e">
        <f>Data_Transform[[#This Row],[Player]]&amp;Data_Transform[[#This Row],[Week]]&amp;Data_Transform[[#This Row],[Role]]</f>
        <v>#VALUE!</v>
      </c>
    </row>
    <row r="160" spans="1:1" x14ac:dyDescent="0.25">
      <c r="A160" t="e">
        <f>Data_Transform[[#This Row],[Player]]&amp;Data_Transform[[#This Row],[Week]]&amp;Data_Transform[[#This Row],[Role]]</f>
        <v>#VALUE!</v>
      </c>
    </row>
    <row r="161" spans="1:1" x14ac:dyDescent="0.25">
      <c r="A161" t="e">
        <f>Data_Transform[[#This Row],[Player]]&amp;Data_Transform[[#This Row],[Week]]&amp;Data_Transform[[#This Row],[Role]]</f>
        <v>#VALUE!</v>
      </c>
    </row>
    <row r="162" spans="1:1" x14ac:dyDescent="0.25">
      <c r="A162" t="e">
        <f>Data_Transform[[#This Row],[Player]]&amp;Data_Transform[[#This Row],[Week]]&amp;Data_Transform[[#This Row],[Role]]</f>
        <v>#VALUE!</v>
      </c>
    </row>
    <row r="163" spans="1:1" x14ac:dyDescent="0.25">
      <c r="A163" t="e">
        <f>Data_Transform[[#This Row],[Player]]&amp;Data_Transform[[#This Row],[Week]]&amp;Data_Transform[[#This Row],[Role]]</f>
        <v>#VALUE!</v>
      </c>
    </row>
    <row r="164" spans="1:1" x14ac:dyDescent="0.25">
      <c r="A164" t="e">
        <f>Data_Transform[[#This Row],[Player]]&amp;Data_Transform[[#This Row],[Week]]&amp;Data_Transform[[#This Row],[Role]]</f>
        <v>#VALUE!</v>
      </c>
    </row>
    <row r="165" spans="1:1" x14ac:dyDescent="0.25">
      <c r="A165" t="e">
        <f>Data_Transform[[#This Row],[Player]]&amp;Data_Transform[[#This Row],[Week]]&amp;Data_Transform[[#This Row],[Role]]</f>
        <v>#VALUE!</v>
      </c>
    </row>
    <row r="166" spans="1:1" x14ac:dyDescent="0.25">
      <c r="A166" t="e">
        <f>Data_Transform[[#This Row],[Player]]&amp;Data_Transform[[#This Row],[Week]]&amp;Data_Transform[[#This Row],[Role]]</f>
        <v>#VALUE!</v>
      </c>
    </row>
    <row r="167" spans="1:1" x14ac:dyDescent="0.25">
      <c r="A167" t="e">
        <f>Data_Transform[[#This Row],[Player]]&amp;Data_Transform[[#This Row],[Week]]&amp;Data_Transform[[#This Row],[Role]]</f>
        <v>#VALUE!</v>
      </c>
    </row>
    <row r="168" spans="1:1" x14ac:dyDescent="0.25">
      <c r="A168" t="e">
        <f>Data_Transform[[#This Row],[Player]]&amp;Data_Transform[[#This Row],[Week]]&amp;Data_Transform[[#This Row],[Role]]</f>
        <v>#VALUE!</v>
      </c>
    </row>
    <row r="169" spans="1:1" x14ac:dyDescent="0.25">
      <c r="A169" t="e">
        <f>Data_Transform[[#This Row],[Player]]&amp;Data_Transform[[#This Row],[Week]]&amp;Data_Transform[[#This Row],[Role]]</f>
        <v>#VALUE!</v>
      </c>
    </row>
    <row r="170" spans="1:1" x14ac:dyDescent="0.25">
      <c r="A170" t="e">
        <f>Data_Transform[[#This Row],[Player]]&amp;Data_Transform[[#This Row],[Week]]&amp;Data_Transform[[#This Row],[Role]]</f>
        <v>#VALUE!</v>
      </c>
    </row>
    <row r="171" spans="1:1" x14ac:dyDescent="0.25">
      <c r="A171" t="e">
        <f>Data_Transform[[#This Row],[Player]]&amp;Data_Transform[[#This Row],[Week]]&amp;Data_Transform[[#This Row],[Role]]</f>
        <v>#VALUE!</v>
      </c>
    </row>
    <row r="172" spans="1:1" x14ac:dyDescent="0.25">
      <c r="A172" t="e">
        <f>Data_Transform[[#This Row],[Player]]&amp;Data_Transform[[#This Row],[Week]]&amp;Data_Transform[[#This Row],[Role]]</f>
        <v>#VALUE!</v>
      </c>
    </row>
    <row r="173" spans="1:1" x14ac:dyDescent="0.25">
      <c r="A173" t="e">
        <f>Data_Transform[[#This Row],[Player]]&amp;Data_Transform[[#This Row],[Week]]&amp;Data_Transform[[#This Row],[Role]]</f>
        <v>#VALUE!</v>
      </c>
    </row>
    <row r="174" spans="1:1" x14ac:dyDescent="0.25">
      <c r="A174" t="e">
        <f>Data_Transform[[#This Row],[Player]]&amp;Data_Transform[[#This Row],[Week]]&amp;Data_Transform[[#This Row],[Role]]</f>
        <v>#VALUE!</v>
      </c>
    </row>
    <row r="175" spans="1:1" x14ac:dyDescent="0.25">
      <c r="A175" t="e">
        <f>Data_Transform[[#This Row],[Player]]&amp;Data_Transform[[#This Row],[Week]]&amp;Data_Transform[[#This Row],[Role]]</f>
        <v>#VALUE!</v>
      </c>
    </row>
    <row r="176" spans="1:1" x14ac:dyDescent="0.25">
      <c r="A176" t="e">
        <f>Data_Transform[[#This Row],[Player]]&amp;Data_Transform[[#This Row],[Week]]&amp;Data_Transform[[#This Row],[Role]]</f>
        <v>#VALUE!</v>
      </c>
    </row>
    <row r="177" spans="1:1" x14ac:dyDescent="0.25">
      <c r="A177" t="e">
        <f>Data_Transform[[#This Row],[Player]]&amp;Data_Transform[[#This Row],[Week]]&amp;Data_Transform[[#This Row],[Role]]</f>
        <v>#VALUE!</v>
      </c>
    </row>
    <row r="178" spans="1:1" x14ac:dyDescent="0.25">
      <c r="A178" t="e">
        <f>Data_Transform[[#This Row],[Player]]&amp;Data_Transform[[#This Row],[Week]]&amp;Data_Transform[[#This Row],[Role]]</f>
        <v>#VALUE!</v>
      </c>
    </row>
    <row r="179" spans="1:1" x14ac:dyDescent="0.25">
      <c r="A179" t="e">
        <f>Data_Transform[[#This Row],[Player]]&amp;Data_Transform[[#This Row],[Week]]&amp;Data_Transform[[#This Row],[Role]]</f>
        <v>#VALUE!</v>
      </c>
    </row>
    <row r="180" spans="1:1" x14ac:dyDescent="0.25">
      <c r="A180" t="e">
        <f>Data_Transform[[#This Row],[Player]]&amp;Data_Transform[[#This Row],[Week]]&amp;Data_Transform[[#This Row],[Role]]</f>
        <v>#VALUE!</v>
      </c>
    </row>
    <row r="181" spans="1:1" x14ac:dyDescent="0.25">
      <c r="A181" t="e">
        <f>Data_Transform[[#This Row],[Player]]&amp;Data_Transform[[#This Row],[Week]]&amp;Data_Transform[[#This Row],[Role]]</f>
        <v>#VALUE!</v>
      </c>
    </row>
    <row r="182" spans="1:1" x14ac:dyDescent="0.25">
      <c r="A182" t="e">
        <f>Data_Transform[[#This Row],[Player]]&amp;Data_Transform[[#This Row],[Week]]&amp;Data_Transform[[#This Row],[Role]]</f>
        <v>#VALUE!</v>
      </c>
    </row>
    <row r="183" spans="1:1" x14ac:dyDescent="0.25">
      <c r="A183" t="e">
        <f>Data_Transform[[#This Row],[Player]]&amp;Data_Transform[[#This Row],[Week]]&amp;Data_Transform[[#This Row],[Role]]</f>
        <v>#VALUE!</v>
      </c>
    </row>
    <row r="184" spans="1:1" x14ac:dyDescent="0.25">
      <c r="A184" t="e">
        <f>Data_Transform[[#This Row],[Player]]&amp;Data_Transform[[#This Row],[Week]]&amp;Data_Transform[[#This Row],[Role]]</f>
        <v>#VALUE!</v>
      </c>
    </row>
    <row r="185" spans="1:1" x14ac:dyDescent="0.25">
      <c r="A185" t="e">
        <f>Data_Transform[[#This Row],[Player]]&amp;Data_Transform[[#This Row],[Week]]&amp;Data_Transform[[#This Row],[Role]]</f>
        <v>#VALUE!</v>
      </c>
    </row>
    <row r="186" spans="1:1" x14ac:dyDescent="0.25">
      <c r="A186" t="e">
        <f>Data_Transform[[#This Row],[Player]]&amp;Data_Transform[[#This Row],[Week]]&amp;Data_Transform[[#This Row],[Role]]</f>
        <v>#VALUE!</v>
      </c>
    </row>
    <row r="187" spans="1:1" x14ac:dyDescent="0.25">
      <c r="A187" t="e">
        <f>Data_Transform[[#This Row],[Player]]&amp;Data_Transform[[#This Row],[Week]]&amp;Data_Transform[[#This Row],[Role]]</f>
        <v>#VALUE!</v>
      </c>
    </row>
    <row r="188" spans="1:1" x14ac:dyDescent="0.25">
      <c r="A188" t="e">
        <f>Data_Transform[[#This Row],[Player]]&amp;Data_Transform[[#This Row],[Week]]&amp;Data_Transform[[#This Row],[Role]]</f>
        <v>#VALUE!</v>
      </c>
    </row>
    <row r="189" spans="1:1" x14ac:dyDescent="0.25">
      <c r="A189" t="e">
        <f>Data_Transform[[#This Row],[Player]]&amp;Data_Transform[[#This Row],[Week]]&amp;Data_Transform[[#This Row],[Role]]</f>
        <v>#VALUE!</v>
      </c>
    </row>
    <row r="190" spans="1:1" x14ac:dyDescent="0.25">
      <c r="A190" t="e">
        <f>Data_Transform[[#This Row],[Player]]&amp;Data_Transform[[#This Row],[Week]]&amp;Data_Transform[[#This Row],[Role]]</f>
        <v>#VALUE!</v>
      </c>
    </row>
    <row r="191" spans="1:1" x14ac:dyDescent="0.25">
      <c r="A191" t="e">
        <f>Data_Transform[[#This Row],[Player]]&amp;Data_Transform[[#This Row],[Week]]&amp;Data_Transform[[#This Row],[Role]]</f>
        <v>#VALUE!</v>
      </c>
    </row>
    <row r="192" spans="1:1" x14ac:dyDescent="0.25">
      <c r="A192" t="e">
        <f>Data_Transform[[#This Row],[Player]]&amp;Data_Transform[[#This Row],[Week]]&amp;Data_Transform[[#This Row],[Role]]</f>
        <v>#VALUE!</v>
      </c>
    </row>
    <row r="193" spans="1:1" x14ac:dyDescent="0.25">
      <c r="A193" t="e">
        <f>Data_Transform[[#This Row],[Player]]&amp;Data_Transform[[#This Row],[Week]]&amp;Data_Transform[[#This Row],[Role]]</f>
        <v>#VALUE!</v>
      </c>
    </row>
    <row r="194" spans="1:1" x14ac:dyDescent="0.25">
      <c r="A194" t="e">
        <f>Data_Transform[[#This Row],[Player]]&amp;Data_Transform[[#This Row],[Week]]&amp;Data_Transform[[#This Row],[Role]]</f>
        <v>#VALUE!</v>
      </c>
    </row>
    <row r="195" spans="1:1" x14ac:dyDescent="0.25">
      <c r="A195" t="e">
        <f>Data_Transform[[#This Row],[Player]]&amp;Data_Transform[[#This Row],[Week]]&amp;Data_Transform[[#This Row],[Role]]</f>
        <v>#VALUE!</v>
      </c>
    </row>
    <row r="196" spans="1:1" x14ac:dyDescent="0.25">
      <c r="A196" t="e">
        <f>Data_Transform[[#This Row],[Player]]&amp;Data_Transform[[#This Row],[Week]]&amp;Data_Transform[[#This Row],[Role]]</f>
        <v>#VALUE!</v>
      </c>
    </row>
    <row r="197" spans="1:1" x14ac:dyDescent="0.25">
      <c r="A197" t="e">
        <f>Data_Transform[[#This Row],[Player]]&amp;Data_Transform[[#This Row],[Week]]&amp;Data_Transform[[#This Row],[Role]]</f>
        <v>#VALUE!</v>
      </c>
    </row>
    <row r="198" spans="1:1" x14ac:dyDescent="0.25">
      <c r="A198" t="e">
        <f>Data_Transform[[#This Row],[Player]]&amp;Data_Transform[[#This Row],[Week]]&amp;Data_Transform[[#This Row],[Role]]</f>
        <v>#VALUE!</v>
      </c>
    </row>
    <row r="199" spans="1:1" x14ac:dyDescent="0.25">
      <c r="A199" t="e">
        <f>Data_Transform[[#This Row],[Player]]&amp;Data_Transform[[#This Row],[Week]]&amp;Data_Transform[[#This Row],[Role]]</f>
        <v>#VALUE!</v>
      </c>
    </row>
    <row r="200" spans="1:1" x14ac:dyDescent="0.25">
      <c r="A200" t="e">
        <f>Data_Transform[[#This Row],[Player]]&amp;Data_Transform[[#This Row],[Week]]&amp;Data_Transform[[#This Row],[Role]]</f>
        <v>#VALUE!</v>
      </c>
    </row>
    <row r="201" spans="1:1" x14ac:dyDescent="0.25">
      <c r="A201" t="e">
        <f>Data_Transform[[#This Row],[Player]]&amp;Data_Transform[[#This Row],[Week]]&amp;Data_Transform[[#This Row],[Role]]</f>
        <v>#VALUE!</v>
      </c>
    </row>
    <row r="202" spans="1:1" x14ac:dyDescent="0.25">
      <c r="A202" t="e">
        <f>Data_Transform[[#This Row],[Player]]&amp;Data_Transform[[#This Row],[Week]]&amp;Data_Transform[[#This Row],[Role]]</f>
        <v>#VALUE!</v>
      </c>
    </row>
    <row r="203" spans="1:1" x14ac:dyDescent="0.25">
      <c r="A203" t="e">
        <f>Data_Transform[[#This Row],[Player]]&amp;Data_Transform[[#This Row],[Week]]&amp;Data_Transform[[#This Row],[Role]]</f>
        <v>#VALUE!</v>
      </c>
    </row>
    <row r="204" spans="1:1" x14ac:dyDescent="0.25">
      <c r="A204" t="e">
        <f>Data_Transform[[#This Row],[Player]]&amp;Data_Transform[[#This Row],[Week]]&amp;Data_Transform[[#This Row],[Role]]</f>
        <v>#VALUE!</v>
      </c>
    </row>
    <row r="205" spans="1:1" x14ac:dyDescent="0.25">
      <c r="A205" t="e">
        <f>Data_Transform[[#This Row],[Player]]&amp;Data_Transform[[#This Row],[Week]]&amp;Data_Transform[[#This Row],[Role]]</f>
        <v>#VALUE!</v>
      </c>
    </row>
    <row r="206" spans="1:1" x14ac:dyDescent="0.25">
      <c r="A206" t="e">
        <f>Data_Transform[[#This Row],[Player]]&amp;Data_Transform[[#This Row],[Week]]&amp;Data_Transform[[#This Row],[Role]]</f>
        <v>#VALUE!</v>
      </c>
    </row>
    <row r="207" spans="1:1" x14ac:dyDescent="0.25">
      <c r="A207" t="e">
        <f>Data_Transform[[#This Row],[Player]]&amp;Data_Transform[[#This Row],[Week]]&amp;Data_Transform[[#This Row],[Role]]</f>
        <v>#VALUE!</v>
      </c>
    </row>
    <row r="208" spans="1:1" x14ac:dyDescent="0.25">
      <c r="A208" t="e">
        <f>Data_Transform[[#This Row],[Player]]&amp;Data_Transform[[#This Row],[Week]]&amp;Data_Transform[[#This Row],[Role]]</f>
        <v>#VALUE!</v>
      </c>
    </row>
    <row r="209" spans="1:1" x14ac:dyDescent="0.25">
      <c r="A209" t="e">
        <f>Data_Transform[[#This Row],[Player]]&amp;Data_Transform[[#This Row],[Week]]&amp;Data_Transform[[#This Row],[Role]]</f>
        <v>#VALUE!</v>
      </c>
    </row>
    <row r="210" spans="1:1" x14ac:dyDescent="0.25">
      <c r="A210" t="e">
        <f>Data_Transform[[#This Row],[Player]]&amp;Data_Transform[[#This Row],[Week]]&amp;Data_Transform[[#This Row],[Role]]</f>
        <v>#VALUE!</v>
      </c>
    </row>
    <row r="211" spans="1:1" x14ac:dyDescent="0.25">
      <c r="A211" t="e">
        <f>Data_Transform[[#This Row],[Player]]&amp;Data_Transform[[#This Row],[Week]]&amp;Data_Transform[[#This Row],[Role]]</f>
        <v>#VALUE!</v>
      </c>
    </row>
    <row r="212" spans="1:1" x14ac:dyDescent="0.25">
      <c r="A212" t="e">
        <f>Data_Transform[[#This Row],[Player]]&amp;Data_Transform[[#This Row],[Week]]&amp;Data_Transform[[#This Row],[Role]]</f>
        <v>#VALUE!</v>
      </c>
    </row>
    <row r="213" spans="1:1" x14ac:dyDescent="0.25">
      <c r="A213" t="e">
        <f>Data_Transform[[#This Row],[Player]]&amp;Data_Transform[[#This Row],[Week]]&amp;Data_Transform[[#This Row],[Role]]</f>
        <v>#VALUE!</v>
      </c>
    </row>
    <row r="214" spans="1:1" x14ac:dyDescent="0.25">
      <c r="A214" t="e">
        <f>Data_Transform[[#This Row],[Player]]&amp;Data_Transform[[#This Row],[Week]]&amp;Data_Transform[[#This Row],[Role]]</f>
        <v>#VALUE!</v>
      </c>
    </row>
    <row r="215" spans="1:1" x14ac:dyDescent="0.25">
      <c r="A215" t="e">
        <f>Data_Transform[[#This Row],[Player]]&amp;Data_Transform[[#This Row],[Week]]&amp;Data_Transform[[#This Row],[Role]]</f>
        <v>#VALUE!</v>
      </c>
    </row>
    <row r="216" spans="1:1" x14ac:dyDescent="0.25">
      <c r="A216" t="e">
        <f>Data_Transform[[#This Row],[Player]]&amp;Data_Transform[[#This Row],[Week]]&amp;Data_Transform[[#This Row],[Role]]</f>
        <v>#VALUE!</v>
      </c>
    </row>
    <row r="217" spans="1:1" x14ac:dyDescent="0.25">
      <c r="A217" t="e">
        <f>Data_Transform[[#This Row],[Player]]&amp;Data_Transform[[#This Row],[Week]]&amp;Data_Transform[[#This Row],[Role]]</f>
        <v>#VALUE!</v>
      </c>
    </row>
    <row r="218" spans="1:1" x14ac:dyDescent="0.25">
      <c r="A218" t="e">
        <f>Data_Transform[[#This Row],[Player]]&amp;Data_Transform[[#This Row],[Week]]&amp;Data_Transform[[#This Row],[Role]]</f>
        <v>#VALUE!</v>
      </c>
    </row>
    <row r="219" spans="1:1" x14ac:dyDescent="0.25">
      <c r="A219" t="e">
        <f>Data_Transform[[#This Row],[Player]]&amp;Data_Transform[[#This Row],[Week]]&amp;Data_Transform[[#This Row],[Role]]</f>
        <v>#VALUE!</v>
      </c>
    </row>
    <row r="220" spans="1:1" x14ac:dyDescent="0.25">
      <c r="A220" t="e">
        <f>Data_Transform[[#This Row],[Player]]&amp;Data_Transform[[#This Row],[Week]]&amp;Data_Transform[[#This Row],[Role]]</f>
        <v>#VALUE!</v>
      </c>
    </row>
    <row r="221" spans="1:1" x14ac:dyDescent="0.25">
      <c r="A221" t="e">
        <f>Data_Transform[[#This Row],[Player]]&amp;Data_Transform[[#This Row],[Week]]&amp;Data_Transform[[#This Row],[Role]]</f>
        <v>#VALUE!</v>
      </c>
    </row>
    <row r="222" spans="1:1" x14ac:dyDescent="0.25">
      <c r="A222" t="e">
        <f>Data_Transform[[#This Row],[Player]]&amp;Data_Transform[[#This Row],[Week]]&amp;Data_Transform[[#This Row],[Role]]</f>
        <v>#VALUE!</v>
      </c>
    </row>
    <row r="223" spans="1:1" x14ac:dyDescent="0.25">
      <c r="A223" t="e">
        <f>Data_Transform[[#This Row],[Player]]&amp;Data_Transform[[#This Row],[Week]]&amp;Data_Transform[[#This Row],[Role]]</f>
        <v>#VALUE!</v>
      </c>
    </row>
    <row r="224" spans="1:1" x14ac:dyDescent="0.25">
      <c r="A224" t="e">
        <f>Data_Transform[[#This Row],[Player]]&amp;Data_Transform[[#This Row],[Week]]&amp;Data_Transform[[#This Row],[Role]]</f>
        <v>#VALUE!</v>
      </c>
    </row>
    <row r="225" spans="1:1" x14ac:dyDescent="0.25">
      <c r="A225" t="e">
        <f>Data_Transform[[#This Row],[Player]]&amp;Data_Transform[[#This Row],[Week]]&amp;Data_Transform[[#This Row],[Role]]</f>
        <v>#VALUE!</v>
      </c>
    </row>
    <row r="226" spans="1:1" x14ac:dyDescent="0.25">
      <c r="A226" t="e">
        <f>Data_Transform[[#This Row],[Player]]&amp;Data_Transform[[#This Row],[Week]]&amp;Data_Transform[[#This Row],[Role]]</f>
        <v>#VALUE!</v>
      </c>
    </row>
    <row r="227" spans="1:1" x14ac:dyDescent="0.25">
      <c r="A227" t="e">
        <f>Data_Transform[[#This Row],[Player]]&amp;Data_Transform[[#This Row],[Week]]&amp;Data_Transform[[#This Row],[Role]]</f>
        <v>#VALUE!</v>
      </c>
    </row>
    <row r="228" spans="1:1" x14ac:dyDescent="0.25">
      <c r="A228" t="e">
        <f>Data_Transform[[#This Row],[Player]]&amp;Data_Transform[[#This Row],[Week]]&amp;Data_Transform[[#This Row],[Role]]</f>
        <v>#VALUE!</v>
      </c>
    </row>
    <row r="229" spans="1:1" x14ac:dyDescent="0.25">
      <c r="A229" t="e">
        <f>Data_Transform[[#This Row],[Player]]&amp;Data_Transform[[#This Row],[Week]]&amp;Data_Transform[[#This Row],[Role]]</f>
        <v>#VALUE!</v>
      </c>
    </row>
    <row r="230" spans="1:1" x14ac:dyDescent="0.25">
      <c r="A230" t="e">
        <f>Data_Transform[[#This Row],[Player]]&amp;Data_Transform[[#This Row],[Week]]&amp;Data_Transform[[#This Row],[Role]]</f>
        <v>#VALUE!</v>
      </c>
    </row>
    <row r="231" spans="1:1" x14ac:dyDescent="0.25">
      <c r="A231" t="e">
        <f>Data_Transform[[#This Row],[Player]]&amp;Data_Transform[[#This Row],[Week]]&amp;Data_Transform[[#This Row],[Role]]</f>
        <v>#VALUE!</v>
      </c>
    </row>
    <row r="232" spans="1:1" x14ac:dyDescent="0.25">
      <c r="A232" t="e">
        <f>Data_Transform[[#This Row],[Player]]&amp;Data_Transform[[#This Row],[Week]]&amp;Data_Transform[[#This Row],[Role]]</f>
        <v>#VALUE!</v>
      </c>
    </row>
    <row r="233" spans="1:1" x14ac:dyDescent="0.25">
      <c r="A233" t="e">
        <f>Data_Transform[[#This Row],[Player]]&amp;Data_Transform[[#This Row],[Week]]&amp;Data_Transform[[#This Row],[Role]]</f>
        <v>#VALUE!</v>
      </c>
    </row>
    <row r="234" spans="1:1" x14ac:dyDescent="0.25">
      <c r="A234" t="e">
        <f>Data_Transform[[#This Row],[Player]]&amp;Data_Transform[[#This Row],[Week]]&amp;Data_Transform[[#This Row],[Role]]</f>
        <v>#VALUE!</v>
      </c>
    </row>
    <row r="235" spans="1:1" x14ac:dyDescent="0.25">
      <c r="A235" t="e">
        <f>Data_Transform[[#This Row],[Player]]&amp;Data_Transform[[#This Row],[Week]]&amp;Data_Transform[[#This Row],[Role]]</f>
        <v>#VALUE!</v>
      </c>
    </row>
    <row r="236" spans="1:1" x14ac:dyDescent="0.25">
      <c r="A236" t="e">
        <f>Data_Transform[[#This Row],[Player]]&amp;Data_Transform[[#This Row],[Week]]&amp;Data_Transform[[#This Row],[Role]]</f>
        <v>#VALUE!</v>
      </c>
    </row>
    <row r="237" spans="1:1" x14ac:dyDescent="0.25">
      <c r="A237" t="e">
        <f>Data_Transform[[#This Row],[Player]]&amp;Data_Transform[[#This Row],[Week]]&amp;Data_Transform[[#This Row],[Role]]</f>
        <v>#VALUE!</v>
      </c>
    </row>
    <row r="238" spans="1:1" x14ac:dyDescent="0.25">
      <c r="A238" t="e">
        <f>Data_Transform[[#This Row],[Player]]&amp;Data_Transform[[#This Row],[Week]]&amp;Data_Transform[[#This Row],[Role]]</f>
        <v>#VALUE!</v>
      </c>
    </row>
    <row r="239" spans="1:1" x14ac:dyDescent="0.25">
      <c r="A239" t="e">
        <f>Data_Transform[[#This Row],[Player]]&amp;Data_Transform[[#This Row],[Week]]&amp;Data_Transform[[#This Row],[Role]]</f>
        <v>#VALUE!</v>
      </c>
    </row>
    <row r="240" spans="1:1" x14ac:dyDescent="0.25">
      <c r="A240" t="e">
        <f>Data_Transform[[#This Row],[Player]]&amp;Data_Transform[[#This Row],[Week]]&amp;Data_Transform[[#This Row],[Role]]</f>
        <v>#VALUE!</v>
      </c>
    </row>
    <row r="241" spans="1:1" x14ac:dyDescent="0.25">
      <c r="A241" t="e">
        <f>Data_Transform[[#This Row],[Player]]&amp;Data_Transform[[#This Row],[Week]]&amp;Data_Transform[[#This Row],[Role]]</f>
        <v>#VALUE!</v>
      </c>
    </row>
    <row r="242" spans="1:1" x14ac:dyDescent="0.25">
      <c r="A242" t="e">
        <f>Data_Transform[[#This Row],[Player]]&amp;Data_Transform[[#This Row],[Week]]&amp;Data_Transform[[#This Row],[Role]]</f>
        <v>#VALUE!</v>
      </c>
    </row>
    <row r="243" spans="1:1" x14ac:dyDescent="0.25">
      <c r="A243" t="e">
        <f>Data_Transform[[#This Row],[Player]]&amp;Data_Transform[[#This Row],[Week]]&amp;Data_Transform[[#This Row],[Role]]</f>
        <v>#VALUE!</v>
      </c>
    </row>
    <row r="244" spans="1:1" x14ac:dyDescent="0.25">
      <c r="A244" t="e">
        <f>Data_Transform[[#This Row],[Player]]&amp;Data_Transform[[#This Row],[Week]]&amp;Data_Transform[[#This Row],[Role]]</f>
        <v>#VALUE!</v>
      </c>
    </row>
    <row r="245" spans="1:1" x14ac:dyDescent="0.25">
      <c r="A245" t="e">
        <f>Data_Transform[[#This Row],[Player]]&amp;Data_Transform[[#This Row],[Week]]&amp;Data_Transform[[#This Row],[Role]]</f>
        <v>#VALUE!</v>
      </c>
    </row>
    <row r="246" spans="1:1" x14ac:dyDescent="0.25">
      <c r="A246" t="e">
        <f>Data_Transform[[#This Row],[Player]]&amp;Data_Transform[[#This Row],[Week]]&amp;Data_Transform[[#This Row],[Role]]</f>
        <v>#VALUE!</v>
      </c>
    </row>
    <row r="247" spans="1:1" x14ac:dyDescent="0.25">
      <c r="A247" t="e">
        <f>Data_Transform[[#This Row],[Player]]&amp;Data_Transform[[#This Row],[Week]]&amp;Data_Transform[[#This Row],[Role]]</f>
        <v>#VALUE!</v>
      </c>
    </row>
    <row r="248" spans="1:1" x14ac:dyDescent="0.25">
      <c r="A248" t="e">
        <f>Data_Transform[[#This Row],[Player]]&amp;Data_Transform[[#This Row],[Week]]&amp;Data_Transform[[#This Row],[Role]]</f>
        <v>#VALUE!</v>
      </c>
    </row>
    <row r="249" spans="1:1" x14ac:dyDescent="0.25">
      <c r="A249" t="e">
        <f>Data_Transform[[#This Row],[Player]]&amp;Data_Transform[[#This Row],[Week]]&amp;Data_Transform[[#This Row],[Role]]</f>
        <v>#VALUE!</v>
      </c>
    </row>
    <row r="250" spans="1:1" x14ac:dyDescent="0.25">
      <c r="A250" t="e">
        <f>Data_Transform[[#This Row],[Player]]&amp;Data_Transform[[#This Row],[Week]]&amp;Data_Transform[[#This Row],[Role]]</f>
        <v>#VALUE!</v>
      </c>
    </row>
    <row r="251" spans="1:1" x14ac:dyDescent="0.25">
      <c r="A251" t="e">
        <f>Data_Transform[[#This Row],[Player]]&amp;Data_Transform[[#This Row],[Week]]&amp;Data_Transform[[#This Row],[Role]]</f>
        <v>#VALUE!</v>
      </c>
    </row>
    <row r="252" spans="1:1" x14ac:dyDescent="0.25">
      <c r="A252" t="e">
        <f>Data_Transform[[#This Row],[Player]]&amp;Data_Transform[[#This Row],[Week]]&amp;Data_Transform[[#This Row],[Role]]</f>
        <v>#VALUE!</v>
      </c>
    </row>
    <row r="253" spans="1:1" x14ac:dyDescent="0.25">
      <c r="A253" t="e">
        <f>Data_Transform[[#This Row],[Player]]&amp;Data_Transform[[#This Row],[Week]]&amp;Data_Transform[[#This Row],[Role]]</f>
        <v>#VALUE!</v>
      </c>
    </row>
    <row r="254" spans="1:1" x14ac:dyDescent="0.25">
      <c r="A254" t="e">
        <f>Data_Transform[[#This Row],[Player]]&amp;Data_Transform[[#This Row],[Week]]&amp;Data_Transform[[#This Row],[Role]]</f>
        <v>#VALUE!</v>
      </c>
    </row>
    <row r="255" spans="1:1" x14ac:dyDescent="0.25">
      <c r="A255" t="e">
        <f>Data_Transform[[#This Row],[Player]]&amp;Data_Transform[[#This Row],[Week]]&amp;Data_Transform[[#This Row],[Role]]</f>
        <v>#VALUE!</v>
      </c>
    </row>
    <row r="256" spans="1:1" x14ac:dyDescent="0.25">
      <c r="A256" t="e">
        <f>Data_Transform[[#This Row],[Player]]&amp;Data_Transform[[#This Row],[Week]]&amp;Data_Transform[[#This Row],[Role]]</f>
        <v>#VALUE!</v>
      </c>
    </row>
    <row r="257" spans="1:1" x14ac:dyDescent="0.25">
      <c r="A257" t="e">
        <f>Data_Transform[[#This Row],[Player]]&amp;Data_Transform[[#This Row],[Week]]&amp;Data_Transform[[#This Row],[Role]]</f>
        <v>#VALUE!</v>
      </c>
    </row>
    <row r="258" spans="1:1" x14ac:dyDescent="0.25">
      <c r="A258" t="e">
        <f>Data_Transform[[#This Row],[Player]]&amp;Data_Transform[[#This Row],[Week]]&amp;Data_Transform[[#This Row],[Role]]</f>
        <v>#VALUE!</v>
      </c>
    </row>
    <row r="259" spans="1:1" x14ac:dyDescent="0.25">
      <c r="A259" t="e">
        <f>Data_Transform[[#This Row],[Player]]&amp;Data_Transform[[#This Row],[Week]]&amp;Data_Transform[[#This Row],[Role]]</f>
        <v>#VALUE!</v>
      </c>
    </row>
    <row r="260" spans="1:1" x14ac:dyDescent="0.25">
      <c r="A260" t="e">
        <f>Data_Transform[[#This Row],[Player]]&amp;Data_Transform[[#This Row],[Week]]&amp;Data_Transform[[#This Row],[Role]]</f>
        <v>#VALUE!</v>
      </c>
    </row>
    <row r="261" spans="1:1" x14ac:dyDescent="0.25">
      <c r="A261" t="e">
        <f>Data_Transform[[#This Row],[Player]]&amp;Data_Transform[[#This Row],[Week]]&amp;Data_Transform[[#This Row],[Role]]</f>
        <v>#VALUE!</v>
      </c>
    </row>
    <row r="262" spans="1:1" x14ac:dyDescent="0.25">
      <c r="A262" t="e">
        <f>Data_Transform[[#This Row],[Player]]&amp;Data_Transform[[#This Row],[Week]]&amp;Data_Transform[[#This Row],[Role]]</f>
        <v>#VALUE!</v>
      </c>
    </row>
    <row r="263" spans="1:1" x14ac:dyDescent="0.25">
      <c r="A263" t="e">
        <f>Data_Transform[[#This Row],[Player]]&amp;Data_Transform[[#This Row],[Week]]&amp;Data_Transform[[#This Row],[Role]]</f>
        <v>#VALUE!</v>
      </c>
    </row>
    <row r="264" spans="1:1" x14ac:dyDescent="0.25">
      <c r="A264" t="e">
        <f>Data_Transform[[#This Row],[Player]]&amp;Data_Transform[[#This Row],[Week]]&amp;Data_Transform[[#This Row],[Role]]</f>
        <v>#VALUE!</v>
      </c>
    </row>
    <row r="265" spans="1:1" x14ac:dyDescent="0.25">
      <c r="A265" t="e">
        <f>Data_Transform[[#This Row],[Player]]&amp;Data_Transform[[#This Row],[Week]]&amp;Data_Transform[[#This Row],[Role]]</f>
        <v>#VALUE!</v>
      </c>
    </row>
    <row r="266" spans="1:1" x14ac:dyDescent="0.25">
      <c r="A266" t="e">
        <f>Data_Transform[[#This Row],[Player]]&amp;Data_Transform[[#This Row],[Week]]&amp;Data_Transform[[#This Row],[Role]]</f>
        <v>#VALUE!</v>
      </c>
    </row>
    <row r="267" spans="1:1" x14ac:dyDescent="0.25">
      <c r="A267" t="e">
        <f>Data_Transform[[#This Row],[Player]]&amp;Data_Transform[[#This Row],[Week]]&amp;Data_Transform[[#This Row],[Role]]</f>
        <v>#VALUE!</v>
      </c>
    </row>
    <row r="268" spans="1:1" x14ac:dyDescent="0.25">
      <c r="A268" t="e">
        <f>Data_Transform[[#This Row],[Player]]&amp;Data_Transform[[#This Row],[Week]]&amp;Data_Transform[[#This Row],[Role]]</f>
        <v>#VALUE!</v>
      </c>
    </row>
    <row r="269" spans="1:1" x14ac:dyDescent="0.25">
      <c r="A269" t="e">
        <f>Data_Transform[[#This Row],[Player]]&amp;Data_Transform[[#This Row],[Week]]&amp;Data_Transform[[#This Row],[Role]]</f>
        <v>#VALUE!</v>
      </c>
    </row>
    <row r="270" spans="1:1" x14ac:dyDescent="0.25">
      <c r="A270" t="e">
        <f>Data_Transform[[#This Row],[Player]]&amp;Data_Transform[[#This Row],[Week]]&amp;Data_Transform[[#This Row],[Role]]</f>
        <v>#VALUE!</v>
      </c>
    </row>
    <row r="271" spans="1:1" x14ac:dyDescent="0.25">
      <c r="A271" t="e">
        <f>Data_Transform[[#This Row],[Player]]&amp;Data_Transform[[#This Row],[Week]]&amp;Data_Transform[[#This Row],[Role]]</f>
        <v>#VALUE!</v>
      </c>
    </row>
    <row r="272" spans="1:1" x14ac:dyDescent="0.25">
      <c r="A272" t="e">
        <f>Data_Transform[[#This Row],[Player]]&amp;Data_Transform[[#This Row],[Week]]&amp;Data_Transform[[#This Row],[Role]]</f>
        <v>#VALUE!</v>
      </c>
    </row>
    <row r="273" spans="1:1" x14ac:dyDescent="0.25">
      <c r="A273" t="e">
        <f>Data_Transform[[#This Row],[Player]]&amp;Data_Transform[[#This Row],[Week]]&amp;Data_Transform[[#This Row],[Role]]</f>
        <v>#VALUE!</v>
      </c>
    </row>
    <row r="274" spans="1:1" x14ac:dyDescent="0.25">
      <c r="A274" t="e">
        <f>Data_Transform[[#This Row],[Player]]&amp;Data_Transform[[#This Row],[Week]]&amp;Data_Transform[[#This Row],[Role]]</f>
        <v>#VALUE!</v>
      </c>
    </row>
    <row r="275" spans="1:1" x14ac:dyDescent="0.25">
      <c r="A275" t="e">
        <f>Data_Transform[[#This Row],[Player]]&amp;Data_Transform[[#This Row],[Week]]&amp;Data_Transform[[#This Row],[Role]]</f>
        <v>#VALUE!</v>
      </c>
    </row>
    <row r="276" spans="1:1" x14ac:dyDescent="0.25">
      <c r="A276" t="e">
        <f>Data_Transform[[#This Row],[Player]]&amp;Data_Transform[[#This Row],[Week]]&amp;Data_Transform[[#This Row],[Role]]</f>
        <v>#VALUE!</v>
      </c>
    </row>
    <row r="277" spans="1:1" x14ac:dyDescent="0.25">
      <c r="A277" t="e">
        <f>Data_Transform[[#This Row],[Player]]&amp;Data_Transform[[#This Row],[Week]]&amp;Data_Transform[[#This Row],[Role]]</f>
        <v>#VALUE!</v>
      </c>
    </row>
    <row r="278" spans="1:1" x14ac:dyDescent="0.25">
      <c r="A278" t="e">
        <f>Data_Transform[[#This Row],[Player]]&amp;Data_Transform[[#This Row],[Week]]&amp;Data_Transform[[#This Row],[Role]]</f>
        <v>#VALUE!</v>
      </c>
    </row>
    <row r="279" spans="1:1" x14ac:dyDescent="0.25">
      <c r="A279" t="e">
        <f>Data_Transform[[#This Row],[Player]]&amp;Data_Transform[[#This Row],[Week]]&amp;Data_Transform[[#This Row],[Role]]</f>
        <v>#VALUE!</v>
      </c>
    </row>
    <row r="280" spans="1:1" x14ac:dyDescent="0.25">
      <c r="A280" t="e">
        <f>Data_Transform[[#This Row],[Player]]&amp;Data_Transform[[#This Row],[Week]]&amp;Data_Transform[[#This Row],[Role]]</f>
        <v>#VALUE!</v>
      </c>
    </row>
    <row r="281" spans="1:1" x14ac:dyDescent="0.25">
      <c r="A281" t="e">
        <f>Data_Transform[[#This Row],[Player]]&amp;Data_Transform[[#This Row],[Week]]&amp;Data_Transform[[#This Row],[Role]]</f>
        <v>#VALUE!</v>
      </c>
    </row>
    <row r="282" spans="1:1" x14ac:dyDescent="0.25">
      <c r="A282" t="e">
        <f>Data_Transform[[#This Row],[Player]]&amp;Data_Transform[[#This Row],[Week]]&amp;Data_Transform[[#This Row],[Role]]</f>
        <v>#VALUE!</v>
      </c>
    </row>
    <row r="283" spans="1:1" x14ac:dyDescent="0.25">
      <c r="A283" t="e">
        <f>Data_Transform[[#This Row],[Player]]&amp;Data_Transform[[#This Row],[Week]]&amp;Data_Transform[[#This Row],[Role]]</f>
        <v>#VALUE!</v>
      </c>
    </row>
    <row r="284" spans="1:1" x14ac:dyDescent="0.25">
      <c r="A284" t="e">
        <f>Data_Transform[[#This Row],[Player]]&amp;Data_Transform[[#This Row],[Week]]&amp;Data_Transform[[#This Row],[Role]]</f>
        <v>#VALUE!</v>
      </c>
    </row>
    <row r="285" spans="1:1" x14ac:dyDescent="0.25">
      <c r="A285" t="e">
        <f>Data_Transform[[#This Row],[Player]]&amp;Data_Transform[[#This Row],[Week]]&amp;Data_Transform[[#This Row],[Role]]</f>
        <v>#VALUE!</v>
      </c>
    </row>
    <row r="286" spans="1:1" x14ac:dyDescent="0.25">
      <c r="A286" t="e">
        <f>Data_Transform[[#This Row],[Player]]&amp;Data_Transform[[#This Row],[Week]]&amp;Data_Transform[[#This Row],[Role]]</f>
        <v>#VALUE!</v>
      </c>
    </row>
    <row r="287" spans="1:1" x14ac:dyDescent="0.25">
      <c r="A287" t="e">
        <f>Data_Transform[[#This Row],[Player]]&amp;Data_Transform[[#This Row],[Week]]&amp;Data_Transform[[#This Row],[Role]]</f>
        <v>#VALUE!</v>
      </c>
    </row>
    <row r="288" spans="1:1" x14ac:dyDescent="0.25">
      <c r="A288" t="e">
        <f>Data_Transform[[#This Row],[Player]]&amp;Data_Transform[[#This Row],[Week]]&amp;Data_Transform[[#This Row],[Role]]</f>
        <v>#VALUE!</v>
      </c>
    </row>
    <row r="289" spans="1:1" x14ac:dyDescent="0.25">
      <c r="A289" t="e">
        <f>Data_Transform[[#This Row],[Player]]&amp;Data_Transform[[#This Row],[Week]]&amp;Data_Transform[[#This Row],[Role]]</f>
        <v>#VALUE!</v>
      </c>
    </row>
    <row r="290" spans="1:1" x14ac:dyDescent="0.25">
      <c r="A290" t="e">
        <f>Data_Transform[[#This Row],[Player]]&amp;Data_Transform[[#This Row],[Week]]&amp;Data_Transform[[#This Row],[Role]]</f>
        <v>#VALUE!</v>
      </c>
    </row>
    <row r="291" spans="1:1" x14ac:dyDescent="0.25">
      <c r="A291" t="e">
        <f>Data_Transform[[#This Row],[Player]]&amp;Data_Transform[[#This Row],[Week]]&amp;Data_Transform[[#This Row],[Role]]</f>
        <v>#VALUE!</v>
      </c>
    </row>
    <row r="292" spans="1:1" x14ac:dyDescent="0.25">
      <c r="A292" t="e">
        <f>Data_Transform[[#This Row],[Player]]&amp;Data_Transform[[#This Row],[Week]]&amp;Data_Transform[[#This Row],[Role]]</f>
        <v>#VALUE!</v>
      </c>
    </row>
    <row r="293" spans="1:1" x14ac:dyDescent="0.25">
      <c r="A293" t="e">
        <f>Data_Transform[[#This Row],[Player]]&amp;Data_Transform[[#This Row],[Week]]&amp;Data_Transform[[#This Row],[Role]]</f>
        <v>#VALUE!</v>
      </c>
    </row>
    <row r="294" spans="1:1" x14ac:dyDescent="0.25">
      <c r="A294" t="e">
        <f>Data_Transform[[#This Row],[Player]]&amp;Data_Transform[[#This Row],[Week]]&amp;Data_Transform[[#This Row],[Role]]</f>
        <v>#VALUE!</v>
      </c>
    </row>
    <row r="295" spans="1:1" x14ac:dyDescent="0.25">
      <c r="A295" t="e">
        <f>Data_Transform[[#This Row],[Player]]&amp;Data_Transform[[#This Row],[Week]]&amp;Data_Transform[[#This Row],[Role]]</f>
        <v>#VALUE!</v>
      </c>
    </row>
    <row r="296" spans="1:1" x14ac:dyDescent="0.25">
      <c r="A296" t="e">
        <f>Data_Transform[[#This Row],[Player]]&amp;Data_Transform[[#This Row],[Week]]&amp;Data_Transform[[#This Row],[Role]]</f>
        <v>#VALUE!</v>
      </c>
    </row>
    <row r="297" spans="1:1" x14ac:dyDescent="0.25">
      <c r="A297" t="e">
        <f>Data_Transform[[#This Row],[Player]]&amp;Data_Transform[[#This Row],[Week]]&amp;Data_Transform[[#This Row],[Role]]</f>
        <v>#VALUE!</v>
      </c>
    </row>
    <row r="298" spans="1:1" x14ac:dyDescent="0.25">
      <c r="A298" t="e">
        <f>Data_Transform[[#This Row],[Player]]&amp;Data_Transform[[#This Row],[Week]]&amp;Data_Transform[[#This Row],[Role]]</f>
        <v>#VALUE!</v>
      </c>
    </row>
    <row r="299" spans="1:1" x14ac:dyDescent="0.25">
      <c r="A299" t="e">
        <f>Data_Transform[[#This Row],[Player]]&amp;Data_Transform[[#This Row],[Week]]&amp;Data_Transform[[#This Row],[Role]]</f>
        <v>#VALUE!</v>
      </c>
    </row>
    <row r="300" spans="1:1" x14ac:dyDescent="0.25">
      <c r="A300" t="e">
        <f>Data_Transform[[#This Row],[Player]]&amp;Data_Transform[[#This Row],[Week]]&amp;Data_Transform[[#This Row],[Role]]</f>
        <v>#VALUE!</v>
      </c>
    </row>
    <row r="301" spans="1:1" x14ac:dyDescent="0.25">
      <c r="A301" t="e">
        <f>Data_Transform[[#This Row],[Player]]&amp;Data_Transform[[#This Row],[Week]]&amp;Data_Transform[[#This Row],[Role]]</f>
        <v>#VALUE!</v>
      </c>
    </row>
    <row r="302" spans="1:1" x14ac:dyDescent="0.25">
      <c r="A302" t="e">
        <f>Data_Transform[[#This Row],[Player]]&amp;Data_Transform[[#This Row],[Week]]&amp;Data_Transform[[#This Row],[Role]]</f>
        <v>#VALUE!</v>
      </c>
    </row>
    <row r="303" spans="1:1" x14ac:dyDescent="0.25">
      <c r="A303" t="e">
        <f>Data_Transform[[#This Row],[Player]]&amp;Data_Transform[[#This Row],[Week]]&amp;Data_Transform[[#This Row],[Role]]</f>
        <v>#VALUE!</v>
      </c>
    </row>
    <row r="304" spans="1:1" x14ac:dyDescent="0.25">
      <c r="A304" t="e">
        <f>Data_Transform[[#This Row],[Player]]&amp;Data_Transform[[#This Row],[Week]]&amp;Data_Transform[[#This Row],[Role]]</f>
        <v>#VALUE!</v>
      </c>
    </row>
    <row r="305" spans="1:1" x14ac:dyDescent="0.25">
      <c r="A305" t="e">
        <f>Data_Transform[[#This Row],[Player]]&amp;Data_Transform[[#This Row],[Week]]&amp;Data_Transform[[#This Row],[Role]]</f>
        <v>#VALUE!</v>
      </c>
    </row>
    <row r="306" spans="1:1" x14ac:dyDescent="0.25">
      <c r="A306" t="e">
        <f>Data_Transform[[#This Row],[Player]]&amp;Data_Transform[[#This Row],[Week]]&amp;Data_Transform[[#This Row],[Role]]</f>
        <v>#VALUE!</v>
      </c>
    </row>
    <row r="307" spans="1:1" x14ac:dyDescent="0.25">
      <c r="A307" t="e">
        <f>Data_Transform[[#This Row],[Player]]&amp;Data_Transform[[#This Row],[Week]]&amp;Data_Transform[[#This Row],[Role]]</f>
        <v>#VALUE!</v>
      </c>
    </row>
    <row r="308" spans="1:1" x14ac:dyDescent="0.25">
      <c r="A308" t="e">
        <f>Data_Transform[[#This Row],[Player]]&amp;Data_Transform[[#This Row],[Week]]&amp;Data_Transform[[#This Row],[Role]]</f>
        <v>#VALUE!</v>
      </c>
    </row>
    <row r="309" spans="1:1" x14ac:dyDescent="0.25">
      <c r="A309" t="e">
        <f>Data_Transform[[#This Row],[Player]]&amp;Data_Transform[[#This Row],[Week]]&amp;Data_Transform[[#This Row],[Role]]</f>
        <v>#VALUE!</v>
      </c>
    </row>
    <row r="310" spans="1:1" x14ac:dyDescent="0.25">
      <c r="A310" t="e">
        <f>Data_Transform[[#This Row],[Player]]&amp;Data_Transform[[#This Row],[Week]]&amp;Data_Transform[[#This Row],[Role]]</f>
        <v>#VALUE!</v>
      </c>
    </row>
    <row r="311" spans="1:1" x14ac:dyDescent="0.25">
      <c r="A311" t="e">
        <f>Data_Transform[[#This Row],[Player]]&amp;Data_Transform[[#This Row],[Week]]&amp;Data_Transform[[#This Row],[Role]]</f>
        <v>#VALUE!</v>
      </c>
    </row>
    <row r="312" spans="1:1" x14ac:dyDescent="0.25">
      <c r="A312" t="e">
        <f>Data_Transform[[#This Row],[Player]]&amp;Data_Transform[[#This Row],[Week]]&amp;Data_Transform[[#This Row],[Role]]</f>
        <v>#VALUE!</v>
      </c>
    </row>
    <row r="313" spans="1:1" x14ac:dyDescent="0.25">
      <c r="A313" t="e">
        <f>Data_Transform[[#This Row],[Player]]&amp;Data_Transform[[#This Row],[Week]]&amp;Data_Transform[[#This Row],[Role]]</f>
        <v>#VALUE!</v>
      </c>
    </row>
    <row r="314" spans="1:1" x14ac:dyDescent="0.25">
      <c r="A314" t="e">
        <f>Data_Transform[[#This Row],[Player]]&amp;Data_Transform[[#This Row],[Week]]&amp;Data_Transform[[#This Row],[Role]]</f>
        <v>#VALUE!</v>
      </c>
    </row>
    <row r="315" spans="1:1" x14ac:dyDescent="0.25">
      <c r="A315" t="e">
        <f>Data_Transform[[#This Row],[Player]]&amp;Data_Transform[[#This Row],[Week]]&amp;Data_Transform[[#This Row],[Role]]</f>
        <v>#VALUE!</v>
      </c>
    </row>
    <row r="316" spans="1:1" x14ac:dyDescent="0.25">
      <c r="A316" t="e">
        <f>Data_Transform[[#This Row],[Player]]&amp;Data_Transform[[#This Row],[Week]]&amp;Data_Transform[[#This Row],[Role]]</f>
        <v>#VALUE!</v>
      </c>
    </row>
    <row r="317" spans="1:1" x14ac:dyDescent="0.25">
      <c r="A317" t="e">
        <f>Data_Transform[[#This Row],[Player]]&amp;Data_Transform[[#This Row],[Week]]&amp;Data_Transform[[#This Row],[Role]]</f>
        <v>#VALUE!</v>
      </c>
    </row>
    <row r="318" spans="1:1" x14ac:dyDescent="0.25">
      <c r="A318" t="e">
        <f>Data_Transform[[#This Row],[Player]]&amp;Data_Transform[[#This Row],[Week]]&amp;Data_Transform[[#This Row],[Role]]</f>
        <v>#VALUE!</v>
      </c>
    </row>
    <row r="319" spans="1:1" x14ac:dyDescent="0.25">
      <c r="A319" t="e">
        <f>Data_Transform[[#This Row],[Player]]&amp;Data_Transform[[#This Row],[Week]]&amp;Data_Transform[[#This Row],[Role]]</f>
        <v>#VALUE!</v>
      </c>
    </row>
    <row r="320" spans="1:1" x14ac:dyDescent="0.25">
      <c r="A320" t="e">
        <f>Data_Transform[[#This Row],[Player]]&amp;Data_Transform[[#This Row],[Week]]&amp;Data_Transform[[#This Row],[Role]]</f>
        <v>#VALUE!</v>
      </c>
    </row>
    <row r="321" spans="1:1" x14ac:dyDescent="0.25">
      <c r="A321" t="e">
        <f>Data_Transform[[#This Row],[Player]]&amp;Data_Transform[[#This Row],[Week]]&amp;Data_Transform[[#This Row],[Role]]</f>
        <v>#VALUE!</v>
      </c>
    </row>
    <row r="322" spans="1:1" x14ac:dyDescent="0.25">
      <c r="A322" t="e">
        <f>Data_Transform[[#This Row],[Player]]&amp;Data_Transform[[#This Row],[Week]]&amp;Data_Transform[[#This Row],[Role]]</f>
        <v>#VALUE!</v>
      </c>
    </row>
    <row r="323" spans="1:1" x14ac:dyDescent="0.25">
      <c r="A323" t="e">
        <f>Data_Transform[[#This Row],[Player]]&amp;Data_Transform[[#This Row],[Week]]&amp;Data_Transform[[#This Row],[Role]]</f>
        <v>#VALUE!</v>
      </c>
    </row>
    <row r="324" spans="1:1" x14ac:dyDescent="0.25">
      <c r="A324" t="e">
        <f>Data_Transform[[#This Row],[Player]]&amp;Data_Transform[[#This Row],[Week]]&amp;Data_Transform[[#This Row],[Role]]</f>
        <v>#VALUE!</v>
      </c>
    </row>
    <row r="325" spans="1:1" x14ac:dyDescent="0.25">
      <c r="A325" t="e">
        <f>Data_Transform[[#This Row],[Player]]&amp;Data_Transform[[#This Row],[Week]]&amp;Data_Transform[[#This Row],[Role]]</f>
        <v>#VALUE!</v>
      </c>
    </row>
    <row r="326" spans="1:1" x14ac:dyDescent="0.25">
      <c r="A326" t="e">
        <f>Data_Transform[[#This Row],[Player]]&amp;Data_Transform[[#This Row],[Week]]&amp;Data_Transform[[#This Row],[Role]]</f>
        <v>#VALUE!</v>
      </c>
    </row>
    <row r="327" spans="1:1" x14ac:dyDescent="0.25">
      <c r="A327" t="e">
        <f>Data_Transform[[#This Row],[Player]]&amp;Data_Transform[[#This Row],[Week]]&amp;Data_Transform[[#This Row],[Role]]</f>
        <v>#VALUE!</v>
      </c>
    </row>
    <row r="328" spans="1:1" x14ac:dyDescent="0.25">
      <c r="A328" t="e">
        <f>Data_Transform[[#This Row],[Player]]&amp;Data_Transform[[#This Row],[Week]]&amp;Data_Transform[[#This Row],[Role]]</f>
        <v>#VALUE!</v>
      </c>
    </row>
    <row r="329" spans="1:1" x14ac:dyDescent="0.25">
      <c r="A329" t="e">
        <f>Data_Transform[[#This Row],[Player]]&amp;Data_Transform[[#This Row],[Week]]&amp;Data_Transform[[#This Row],[Role]]</f>
        <v>#VALUE!</v>
      </c>
    </row>
    <row r="330" spans="1:1" x14ac:dyDescent="0.25">
      <c r="A330" t="e">
        <f>Data_Transform[[#This Row],[Player]]&amp;Data_Transform[[#This Row],[Week]]&amp;Data_Transform[[#This Row],[Role]]</f>
        <v>#VALUE!</v>
      </c>
    </row>
    <row r="331" spans="1:1" x14ac:dyDescent="0.25">
      <c r="A331" t="e">
        <f>Data_Transform[[#This Row],[Player]]&amp;Data_Transform[[#This Row],[Week]]&amp;Data_Transform[[#This Row],[Role]]</f>
        <v>#VALUE!</v>
      </c>
    </row>
    <row r="332" spans="1:1" x14ac:dyDescent="0.25">
      <c r="A332" t="e">
        <f>Data_Transform[[#This Row],[Player]]&amp;Data_Transform[[#This Row],[Week]]&amp;Data_Transform[[#This Row],[Role]]</f>
        <v>#VALUE!</v>
      </c>
    </row>
    <row r="333" spans="1:1" x14ac:dyDescent="0.25">
      <c r="A333" t="e">
        <f>Data_Transform[[#This Row],[Player]]&amp;Data_Transform[[#This Row],[Week]]&amp;Data_Transform[[#This Row],[Role]]</f>
        <v>#VALUE!</v>
      </c>
    </row>
    <row r="334" spans="1:1" x14ac:dyDescent="0.25">
      <c r="A334" t="e">
        <f>Data_Transform[[#This Row],[Player]]&amp;Data_Transform[[#This Row],[Week]]&amp;Data_Transform[[#This Row],[Role]]</f>
        <v>#VALUE!</v>
      </c>
    </row>
    <row r="335" spans="1:1" x14ac:dyDescent="0.25">
      <c r="A335" t="e">
        <f>Data_Transform[[#This Row],[Player]]&amp;Data_Transform[[#This Row],[Week]]&amp;Data_Transform[[#This Row],[Role]]</f>
        <v>#VALUE!</v>
      </c>
    </row>
    <row r="336" spans="1:1" x14ac:dyDescent="0.25">
      <c r="A336" t="e">
        <f>Data_Transform[[#This Row],[Player]]&amp;Data_Transform[[#This Row],[Week]]&amp;Data_Transform[[#This Row],[Role]]</f>
        <v>#VALUE!</v>
      </c>
    </row>
    <row r="337" spans="1:1" x14ac:dyDescent="0.25">
      <c r="A337" t="e">
        <f>Data_Transform[[#This Row],[Player]]&amp;Data_Transform[[#This Row],[Week]]&amp;Data_Transform[[#This Row],[Role]]</f>
        <v>#VALUE!</v>
      </c>
    </row>
    <row r="338" spans="1:1" x14ac:dyDescent="0.25">
      <c r="A338" t="e">
        <f>Data_Transform[[#This Row],[Player]]&amp;Data_Transform[[#This Row],[Week]]&amp;Data_Transform[[#This Row],[Role]]</f>
        <v>#VALUE!</v>
      </c>
    </row>
    <row r="339" spans="1:1" x14ac:dyDescent="0.25">
      <c r="A339" t="e">
        <f>Data_Transform[[#This Row],[Player]]&amp;Data_Transform[[#This Row],[Week]]&amp;Data_Transform[[#This Row],[Role]]</f>
        <v>#VALUE!</v>
      </c>
    </row>
    <row r="340" spans="1:1" x14ac:dyDescent="0.25">
      <c r="A340" t="e">
        <f>Data_Transform[[#This Row],[Player]]&amp;Data_Transform[[#This Row],[Week]]&amp;Data_Transform[[#This Row],[Role]]</f>
        <v>#VALUE!</v>
      </c>
    </row>
    <row r="341" spans="1:1" x14ac:dyDescent="0.25">
      <c r="A341" t="e">
        <f>Data_Transform[[#This Row],[Player]]&amp;Data_Transform[[#This Row],[Week]]&amp;Data_Transform[[#This Row],[Role]]</f>
        <v>#VALUE!</v>
      </c>
    </row>
    <row r="342" spans="1:1" x14ac:dyDescent="0.25">
      <c r="A342" t="e">
        <f>Data_Transform[[#This Row],[Player]]&amp;Data_Transform[[#This Row],[Week]]&amp;Data_Transform[[#This Row],[Role]]</f>
        <v>#VALUE!</v>
      </c>
    </row>
    <row r="343" spans="1:1" x14ac:dyDescent="0.25">
      <c r="A343" t="e">
        <f>Data_Transform[[#This Row],[Player]]&amp;Data_Transform[[#This Row],[Week]]&amp;Data_Transform[[#This Row],[Role]]</f>
        <v>#VALUE!</v>
      </c>
    </row>
    <row r="344" spans="1:1" x14ac:dyDescent="0.25">
      <c r="A344" t="e">
        <f>Data_Transform[[#This Row],[Player]]&amp;Data_Transform[[#This Row],[Week]]&amp;Data_Transform[[#This Row],[Role]]</f>
        <v>#VALUE!</v>
      </c>
    </row>
    <row r="345" spans="1:1" x14ac:dyDescent="0.25">
      <c r="A345" t="e">
        <f>Data_Transform[[#This Row],[Player]]&amp;Data_Transform[[#This Row],[Week]]&amp;Data_Transform[[#This Row],[Role]]</f>
        <v>#VALUE!</v>
      </c>
    </row>
    <row r="346" spans="1:1" x14ac:dyDescent="0.25">
      <c r="A346" t="e">
        <f>Data_Transform[[#This Row],[Player]]&amp;Data_Transform[[#This Row],[Week]]&amp;Data_Transform[[#This Row],[Role]]</f>
        <v>#VALUE!</v>
      </c>
    </row>
    <row r="347" spans="1:1" x14ac:dyDescent="0.25">
      <c r="A347" t="e">
        <f>Data_Transform[[#This Row],[Player]]&amp;Data_Transform[[#This Row],[Week]]&amp;Data_Transform[[#This Row],[Role]]</f>
        <v>#VALUE!</v>
      </c>
    </row>
    <row r="348" spans="1:1" x14ac:dyDescent="0.25">
      <c r="A348" t="e">
        <f>Data_Transform[[#This Row],[Player]]&amp;Data_Transform[[#This Row],[Week]]&amp;Data_Transform[[#This Row],[Role]]</f>
        <v>#VALUE!</v>
      </c>
    </row>
    <row r="349" spans="1:1" x14ac:dyDescent="0.25">
      <c r="A349" t="e">
        <f>Data_Transform[[#This Row],[Player]]&amp;Data_Transform[[#This Row],[Week]]&amp;Data_Transform[[#This Row],[Role]]</f>
        <v>#VALUE!</v>
      </c>
    </row>
    <row r="350" spans="1:1" x14ac:dyDescent="0.25">
      <c r="A350" t="e">
        <f>Data_Transform[[#This Row],[Player]]&amp;Data_Transform[[#This Row],[Week]]&amp;Data_Transform[[#This Row],[Role]]</f>
        <v>#VALUE!</v>
      </c>
    </row>
    <row r="351" spans="1:1" x14ac:dyDescent="0.25">
      <c r="A351" t="e">
        <f>Data_Transform[[#This Row],[Player]]&amp;Data_Transform[[#This Row],[Week]]&amp;Data_Transform[[#This Row],[Role]]</f>
        <v>#VALUE!</v>
      </c>
    </row>
    <row r="352" spans="1:1" x14ac:dyDescent="0.25">
      <c r="A352" t="e">
        <f>Data_Transform[[#This Row],[Player]]&amp;Data_Transform[[#This Row],[Week]]&amp;Data_Transform[[#This Row],[Role]]</f>
        <v>#VALUE!</v>
      </c>
    </row>
    <row r="353" spans="1:1" x14ac:dyDescent="0.25">
      <c r="A353" t="e">
        <f>Data_Transform[[#This Row],[Player]]&amp;Data_Transform[[#This Row],[Week]]&amp;Data_Transform[[#This Row],[Role]]</f>
        <v>#VALUE!</v>
      </c>
    </row>
    <row r="354" spans="1:1" x14ac:dyDescent="0.25">
      <c r="A354" t="e">
        <f>Data_Transform[[#This Row],[Player]]&amp;Data_Transform[[#This Row],[Week]]&amp;Data_Transform[[#This Row],[Role]]</f>
        <v>#VALUE!</v>
      </c>
    </row>
    <row r="355" spans="1:1" x14ac:dyDescent="0.25">
      <c r="A355" t="e">
        <f>Data_Transform[[#This Row],[Player]]&amp;Data_Transform[[#This Row],[Week]]&amp;Data_Transform[[#This Row],[Role]]</f>
        <v>#VALUE!</v>
      </c>
    </row>
    <row r="356" spans="1:1" x14ac:dyDescent="0.25">
      <c r="A356" t="e">
        <f>Data_Transform[[#This Row],[Player]]&amp;Data_Transform[[#This Row],[Week]]&amp;Data_Transform[[#This Row],[Role]]</f>
        <v>#VALUE!</v>
      </c>
    </row>
    <row r="357" spans="1:1" x14ac:dyDescent="0.25">
      <c r="A357" t="e">
        <f>Data_Transform[[#This Row],[Player]]&amp;Data_Transform[[#This Row],[Week]]&amp;Data_Transform[[#This Row],[Role]]</f>
        <v>#VALUE!</v>
      </c>
    </row>
    <row r="358" spans="1:1" x14ac:dyDescent="0.25">
      <c r="A358" t="e">
        <f>Data_Transform[[#This Row],[Player]]&amp;Data_Transform[[#This Row],[Week]]&amp;Data_Transform[[#This Row],[Role]]</f>
        <v>#VALUE!</v>
      </c>
    </row>
    <row r="359" spans="1:1" x14ac:dyDescent="0.25">
      <c r="A359" t="e">
        <f>Data_Transform[[#This Row],[Player]]&amp;Data_Transform[[#This Row],[Week]]&amp;Data_Transform[[#This Row],[Role]]</f>
        <v>#VALUE!</v>
      </c>
    </row>
    <row r="360" spans="1:1" x14ac:dyDescent="0.25">
      <c r="A360" t="e">
        <f>Data_Transform[[#This Row],[Player]]&amp;Data_Transform[[#This Row],[Week]]&amp;Data_Transform[[#This Row],[Role]]</f>
        <v>#VALUE!</v>
      </c>
    </row>
    <row r="361" spans="1:1" x14ac:dyDescent="0.25">
      <c r="A361" t="e">
        <f>Data_Transform[[#This Row],[Player]]&amp;Data_Transform[[#This Row],[Week]]&amp;Data_Transform[[#This Row],[Role]]</f>
        <v>#VALUE!</v>
      </c>
    </row>
    <row r="362" spans="1:1" x14ac:dyDescent="0.25">
      <c r="A362" t="e">
        <f>Data_Transform[[#This Row],[Player]]&amp;Data_Transform[[#This Row],[Week]]&amp;Data_Transform[[#This Row],[Role]]</f>
        <v>#VALUE!</v>
      </c>
    </row>
    <row r="363" spans="1:1" x14ac:dyDescent="0.25">
      <c r="A363" t="e">
        <f>Data_Transform[[#This Row],[Player]]&amp;Data_Transform[[#This Row],[Week]]&amp;Data_Transform[[#This Row],[Role]]</f>
        <v>#VALUE!</v>
      </c>
    </row>
    <row r="364" spans="1:1" x14ac:dyDescent="0.25">
      <c r="A364" t="e">
        <f>Data_Transform[[#This Row],[Player]]&amp;Data_Transform[[#This Row],[Week]]&amp;Data_Transform[[#This Row],[Role]]</f>
        <v>#VALUE!</v>
      </c>
    </row>
    <row r="365" spans="1:1" x14ac:dyDescent="0.25">
      <c r="A365" t="e">
        <f>Data_Transform[[#This Row],[Player]]&amp;Data_Transform[[#This Row],[Week]]&amp;Data_Transform[[#This Row],[Role]]</f>
        <v>#VALUE!</v>
      </c>
    </row>
    <row r="366" spans="1:1" x14ac:dyDescent="0.25">
      <c r="A366" t="e">
        <f>Data_Transform[[#This Row],[Player]]&amp;Data_Transform[[#This Row],[Week]]&amp;Data_Transform[[#This Row],[Role]]</f>
        <v>#VALUE!</v>
      </c>
    </row>
    <row r="367" spans="1:1" x14ac:dyDescent="0.25">
      <c r="A367" t="e">
        <f>Data_Transform[[#This Row],[Player]]&amp;Data_Transform[[#This Row],[Week]]&amp;Data_Transform[[#This Row],[Role]]</f>
        <v>#VALUE!</v>
      </c>
    </row>
    <row r="368" spans="1:1" x14ac:dyDescent="0.25">
      <c r="A368" t="e">
        <f>Data_Transform[[#This Row],[Player]]&amp;Data_Transform[[#This Row],[Week]]&amp;Data_Transform[[#This Row],[Role]]</f>
        <v>#VALUE!</v>
      </c>
    </row>
    <row r="369" spans="1:1" x14ac:dyDescent="0.25">
      <c r="A369" t="e">
        <f>Data_Transform[[#This Row],[Player]]&amp;Data_Transform[[#This Row],[Week]]&amp;Data_Transform[[#This Row],[Role]]</f>
        <v>#VALUE!</v>
      </c>
    </row>
    <row r="370" spans="1:1" x14ac:dyDescent="0.25">
      <c r="A370" t="e">
        <f>Data_Transform[[#This Row],[Player]]&amp;Data_Transform[[#This Row],[Week]]&amp;Data_Transform[[#This Row],[Role]]</f>
        <v>#VALUE!</v>
      </c>
    </row>
    <row r="371" spans="1:1" x14ac:dyDescent="0.25">
      <c r="A371" t="e">
        <f>Data_Transform[[#This Row],[Player]]&amp;Data_Transform[[#This Row],[Week]]&amp;Data_Transform[[#This Row],[Role]]</f>
        <v>#VALUE!</v>
      </c>
    </row>
    <row r="372" spans="1:1" x14ac:dyDescent="0.25">
      <c r="A372" t="e">
        <f>Data_Transform[[#This Row],[Player]]&amp;Data_Transform[[#This Row],[Week]]&amp;Data_Transform[[#This Row],[Role]]</f>
        <v>#VALUE!</v>
      </c>
    </row>
    <row r="373" spans="1:1" x14ac:dyDescent="0.25">
      <c r="A373" t="e">
        <f>Data_Transform[[#This Row],[Player]]&amp;Data_Transform[[#This Row],[Week]]&amp;Data_Transform[[#This Row],[Role]]</f>
        <v>#VALUE!</v>
      </c>
    </row>
    <row r="374" spans="1:1" x14ac:dyDescent="0.25">
      <c r="A374" t="e">
        <f>Data_Transform[[#This Row],[Player]]&amp;Data_Transform[[#This Row],[Week]]&amp;Data_Transform[[#This Row],[Role]]</f>
        <v>#VALUE!</v>
      </c>
    </row>
    <row r="375" spans="1:1" x14ac:dyDescent="0.25">
      <c r="A375" t="e">
        <f>Data_Transform[[#This Row],[Player]]&amp;Data_Transform[[#This Row],[Week]]&amp;Data_Transform[[#This Row],[Role]]</f>
        <v>#VALUE!</v>
      </c>
    </row>
    <row r="376" spans="1:1" x14ac:dyDescent="0.25">
      <c r="A376" t="e">
        <f>Data_Transform[[#This Row],[Player]]&amp;Data_Transform[[#This Row],[Week]]&amp;Data_Transform[[#This Row],[Role]]</f>
        <v>#VALUE!</v>
      </c>
    </row>
    <row r="377" spans="1:1" x14ac:dyDescent="0.25">
      <c r="A377" t="e">
        <f>Data_Transform[[#This Row],[Player]]&amp;Data_Transform[[#This Row],[Week]]&amp;Data_Transform[[#This Row],[Role]]</f>
        <v>#VALUE!</v>
      </c>
    </row>
    <row r="378" spans="1:1" x14ac:dyDescent="0.25">
      <c r="A378" t="e">
        <f>Data_Transform[[#This Row],[Player]]&amp;Data_Transform[[#This Row],[Week]]&amp;Data_Transform[[#This Row],[Role]]</f>
        <v>#VALUE!</v>
      </c>
    </row>
    <row r="379" spans="1:1" x14ac:dyDescent="0.25">
      <c r="A379" t="e">
        <f>Data_Transform[[#This Row],[Player]]&amp;Data_Transform[[#This Row],[Week]]&amp;Data_Transform[[#This Row],[Role]]</f>
        <v>#VALUE!</v>
      </c>
    </row>
    <row r="380" spans="1:1" x14ac:dyDescent="0.25">
      <c r="A380" t="e">
        <f>Data_Transform[[#This Row],[Player]]&amp;Data_Transform[[#This Row],[Week]]&amp;Data_Transform[[#This Row],[Role]]</f>
        <v>#VALUE!</v>
      </c>
    </row>
    <row r="381" spans="1:1" x14ac:dyDescent="0.25">
      <c r="A381" t="e">
        <f>Data_Transform[[#This Row],[Player]]&amp;Data_Transform[[#This Row],[Week]]&amp;Data_Transform[[#This Row],[Role]]</f>
        <v>#VALUE!</v>
      </c>
    </row>
    <row r="382" spans="1:1" x14ac:dyDescent="0.25">
      <c r="A382" t="e">
        <f>Data_Transform[[#This Row],[Player]]&amp;Data_Transform[[#This Row],[Week]]&amp;Data_Transform[[#This Row],[Role]]</f>
        <v>#VALUE!</v>
      </c>
    </row>
    <row r="383" spans="1:1" x14ac:dyDescent="0.25">
      <c r="A383" t="e">
        <f>Data_Transform[[#This Row],[Player]]&amp;Data_Transform[[#This Row],[Week]]&amp;Data_Transform[[#This Row],[Role]]</f>
        <v>#VALUE!</v>
      </c>
    </row>
    <row r="384" spans="1:1" x14ac:dyDescent="0.25">
      <c r="A384" t="e">
        <f>Data_Transform[[#This Row],[Player]]&amp;Data_Transform[[#This Row],[Week]]&amp;Data_Transform[[#This Row],[Role]]</f>
        <v>#VALUE!</v>
      </c>
    </row>
    <row r="385" spans="1:1" x14ac:dyDescent="0.25">
      <c r="A385" t="e">
        <f>Data_Transform[[#This Row],[Player]]&amp;Data_Transform[[#This Row],[Week]]&amp;Data_Transform[[#This Row],[Role]]</f>
        <v>#VALUE!</v>
      </c>
    </row>
    <row r="386" spans="1:1" x14ac:dyDescent="0.25">
      <c r="A386" t="e">
        <f>Data_Transform[[#This Row],[Player]]&amp;Data_Transform[[#This Row],[Week]]&amp;Data_Transform[[#This Row],[Role]]</f>
        <v>#VALUE!</v>
      </c>
    </row>
    <row r="387" spans="1:1" x14ac:dyDescent="0.25">
      <c r="A387" t="e">
        <f>Data_Transform[[#This Row],[Player]]&amp;Data_Transform[[#This Row],[Week]]&amp;Data_Transform[[#This Row],[Role]]</f>
        <v>#VALUE!</v>
      </c>
    </row>
    <row r="388" spans="1:1" x14ac:dyDescent="0.25">
      <c r="A388" t="e">
        <f>Data_Transform[[#This Row],[Player]]&amp;Data_Transform[[#This Row],[Week]]&amp;Data_Transform[[#This Row],[Role]]</f>
        <v>#VALUE!</v>
      </c>
    </row>
    <row r="389" spans="1:1" x14ac:dyDescent="0.25">
      <c r="A389" t="e">
        <f>Data_Transform[[#This Row],[Player]]&amp;Data_Transform[[#This Row],[Week]]&amp;Data_Transform[[#This Row],[Role]]</f>
        <v>#VALUE!</v>
      </c>
    </row>
    <row r="390" spans="1:1" x14ac:dyDescent="0.25">
      <c r="A390" t="e">
        <f>Data_Transform[[#This Row],[Player]]&amp;Data_Transform[[#This Row],[Week]]&amp;Data_Transform[[#This Row],[Role]]</f>
        <v>#VALUE!</v>
      </c>
    </row>
    <row r="391" spans="1:1" x14ac:dyDescent="0.25">
      <c r="A391" t="e">
        <f>Data_Transform[[#This Row],[Player]]&amp;Data_Transform[[#This Row],[Week]]&amp;Data_Transform[[#This Row],[Role]]</f>
        <v>#VALUE!</v>
      </c>
    </row>
    <row r="392" spans="1:1" x14ac:dyDescent="0.25">
      <c r="A392" t="e">
        <f>Data_Transform[[#This Row],[Player]]&amp;Data_Transform[[#This Row],[Week]]&amp;Data_Transform[[#This Row],[Role]]</f>
        <v>#VALUE!</v>
      </c>
    </row>
    <row r="393" spans="1:1" x14ac:dyDescent="0.25">
      <c r="A393" t="e">
        <f>Data_Transform[[#This Row],[Player]]&amp;Data_Transform[[#This Row],[Week]]&amp;Data_Transform[[#This Row],[Role]]</f>
        <v>#VALUE!</v>
      </c>
    </row>
    <row r="394" spans="1:1" x14ac:dyDescent="0.25">
      <c r="A394" t="e">
        <f>Data_Transform[[#This Row],[Player]]&amp;Data_Transform[[#This Row],[Week]]&amp;Data_Transform[[#This Row],[Role]]</f>
        <v>#VALUE!</v>
      </c>
    </row>
    <row r="395" spans="1:1" x14ac:dyDescent="0.25">
      <c r="A395" t="e">
        <f>Data_Transform[[#This Row],[Player]]&amp;Data_Transform[[#This Row],[Week]]&amp;Data_Transform[[#This Row],[Role]]</f>
        <v>#VALUE!</v>
      </c>
    </row>
    <row r="396" spans="1:1" x14ac:dyDescent="0.25">
      <c r="A396" t="e">
        <f>Data_Transform[[#This Row],[Player]]&amp;Data_Transform[[#This Row],[Week]]&amp;Data_Transform[[#This Row],[Role]]</f>
        <v>#VALUE!</v>
      </c>
    </row>
    <row r="397" spans="1:1" x14ac:dyDescent="0.25">
      <c r="A397" t="e">
        <f>Data_Transform[[#This Row],[Player]]&amp;Data_Transform[[#This Row],[Week]]&amp;Data_Transform[[#This Row],[Role]]</f>
        <v>#VALUE!</v>
      </c>
    </row>
    <row r="398" spans="1:1" x14ac:dyDescent="0.25">
      <c r="A398" t="e">
        <f>Data_Transform[[#This Row],[Player]]&amp;Data_Transform[[#This Row],[Week]]&amp;Data_Transform[[#This Row],[Role]]</f>
        <v>#VALUE!</v>
      </c>
    </row>
    <row r="399" spans="1:1" x14ac:dyDescent="0.25">
      <c r="A399" t="e">
        <f>Data_Transform[[#This Row],[Player]]&amp;Data_Transform[[#This Row],[Week]]&amp;Data_Transform[[#This Row],[Role]]</f>
        <v>#VALUE!</v>
      </c>
    </row>
    <row r="400" spans="1:1" x14ac:dyDescent="0.25">
      <c r="A400" t="e">
        <f>Data_Transform[[#This Row],[Player]]&amp;Data_Transform[[#This Row],[Week]]&amp;Data_Transform[[#This Row],[Role]]</f>
        <v>#VALUE!</v>
      </c>
    </row>
    <row r="401" spans="1:1" x14ac:dyDescent="0.25">
      <c r="A401" t="e">
        <f>Data_Transform[[#This Row],[Player]]&amp;Data_Transform[[#This Row],[Week]]&amp;Data_Transform[[#This Row],[Role]]</f>
        <v>#VALUE!</v>
      </c>
    </row>
    <row r="402" spans="1:1" x14ac:dyDescent="0.25">
      <c r="A402" t="e">
        <f>Data_Transform[[#This Row],[Player]]&amp;Data_Transform[[#This Row],[Week]]&amp;Data_Transform[[#This Row],[Role]]</f>
        <v>#VALUE!</v>
      </c>
    </row>
    <row r="403" spans="1:1" x14ac:dyDescent="0.25">
      <c r="A403" t="e">
        <f>Data_Transform[[#This Row],[Player]]&amp;Data_Transform[[#This Row],[Week]]&amp;Data_Transform[[#This Row],[Role]]</f>
        <v>#VALUE!</v>
      </c>
    </row>
    <row r="404" spans="1:1" x14ac:dyDescent="0.25">
      <c r="A404" t="e">
        <f>Data_Transform[[#This Row],[Player]]&amp;Data_Transform[[#This Row],[Week]]&amp;Data_Transform[[#This Row],[Role]]</f>
        <v>#VALUE!</v>
      </c>
    </row>
    <row r="405" spans="1:1" x14ac:dyDescent="0.25">
      <c r="A405" t="e">
        <f>Data_Transform[[#This Row],[Player]]&amp;Data_Transform[[#This Row],[Week]]&amp;Data_Transform[[#This Row],[Role]]</f>
        <v>#VALUE!</v>
      </c>
    </row>
    <row r="406" spans="1:1" x14ac:dyDescent="0.25">
      <c r="A406" t="e">
        <f>Data_Transform[[#This Row],[Player]]&amp;Data_Transform[[#This Row],[Week]]&amp;Data_Transform[[#This Row],[Role]]</f>
        <v>#VALUE!</v>
      </c>
    </row>
    <row r="407" spans="1:1" x14ac:dyDescent="0.25">
      <c r="A407" t="e">
        <f>Data_Transform[[#This Row],[Player]]&amp;Data_Transform[[#This Row],[Week]]&amp;Data_Transform[[#This Row],[Role]]</f>
        <v>#VALUE!</v>
      </c>
    </row>
    <row r="408" spans="1:1" x14ac:dyDescent="0.25">
      <c r="A408" t="e">
        <f>Data_Transform[[#This Row],[Player]]&amp;Data_Transform[[#This Row],[Week]]&amp;Data_Transform[[#This Row],[Role]]</f>
        <v>#VALUE!</v>
      </c>
    </row>
    <row r="409" spans="1:1" x14ac:dyDescent="0.25">
      <c r="A409" t="e">
        <f>Data_Transform[[#This Row],[Player]]&amp;Data_Transform[[#This Row],[Week]]&amp;Data_Transform[[#This Row],[Role]]</f>
        <v>#VALUE!</v>
      </c>
    </row>
    <row r="410" spans="1:1" x14ac:dyDescent="0.25">
      <c r="A410" t="e">
        <f>Data_Transform[[#This Row],[Player]]&amp;Data_Transform[[#This Row],[Week]]&amp;Data_Transform[[#This Row],[Role]]</f>
        <v>#VALUE!</v>
      </c>
    </row>
    <row r="411" spans="1:1" x14ac:dyDescent="0.25">
      <c r="A411" t="e">
        <f>Data_Transform[[#This Row],[Player]]&amp;Data_Transform[[#This Row],[Week]]&amp;Data_Transform[[#This Row],[Role]]</f>
        <v>#VALUE!</v>
      </c>
    </row>
    <row r="412" spans="1:1" x14ac:dyDescent="0.25">
      <c r="A412" t="e">
        <f>Data_Transform[[#This Row],[Player]]&amp;Data_Transform[[#This Row],[Week]]&amp;Data_Transform[[#This Row],[Role]]</f>
        <v>#VALUE!</v>
      </c>
    </row>
    <row r="413" spans="1:1" x14ac:dyDescent="0.25">
      <c r="A413" t="e">
        <f>Data_Transform[[#This Row],[Player]]&amp;Data_Transform[[#This Row],[Week]]&amp;Data_Transform[[#This Row],[Role]]</f>
        <v>#VALUE!</v>
      </c>
    </row>
    <row r="414" spans="1:1" x14ac:dyDescent="0.25">
      <c r="A414" t="e">
        <f>Data_Transform[[#This Row],[Player]]&amp;Data_Transform[[#This Row],[Week]]&amp;Data_Transform[[#This Row],[Role]]</f>
        <v>#VALUE!</v>
      </c>
    </row>
    <row r="415" spans="1:1" x14ac:dyDescent="0.25">
      <c r="A415" t="e">
        <f>Data_Transform[[#This Row],[Player]]&amp;Data_Transform[[#This Row],[Week]]&amp;Data_Transform[[#This Row],[Role]]</f>
        <v>#VALUE!</v>
      </c>
    </row>
    <row r="416" spans="1:1" x14ac:dyDescent="0.25">
      <c r="A416" t="e">
        <f>Data_Transform[[#This Row],[Player]]&amp;Data_Transform[[#This Row],[Week]]&amp;Data_Transform[[#This Row],[Role]]</f>
        <v>#VALUE!</v>
      </c>
    </row>
    <row r="417" spans="1:1" x14ac:dyDescent="0.25">
      <c r="A417" t="e">
        <f>Data_Transform[[#This Row],[Player]]&amp;Data_Transform[[#This Row],[Week]]&amp;Data_Transform[[#This Row],[Role]]</f>
        <v>#VALUE!</v>
      </c>
    </row>
    <row r="418" spans="1:1" x14ac:dyDescent="0.25">
      <c r="A418" t="e">
        <f>Data_Transform[[#This Row],[Player]]&amp;Data_Transform[[#This Row],[Week]]&amp;Data_Transform[[#This Row],[Role]]</f>
        <v>#VALUE!</v>
      </c>
    </row>
    <row r="419" spans="1:1" x14ac:dyDescent="0.25">
      <c r="A419" t="e">
        <f>Data_Transform[[#This Row],[Player]]&amp;Data_Transform[[#This Row],[Week]]&amp;Data_Transform[[#This Row],[Role]]</f>
        <v>#VALUE!</v>
      </c>
    </row>
    <row r="420" spans="1:1" x14ac:dyDescent="0.25">
      <c r="A420" t="e">
        <f>Data_Transform[[#This Row],[Player]]&amp;Data_Transform[[#This Row],[Week]]&amp;Data_Transform[[#This Row],[Role]]</f>
        <v>#VALUE!</v>
      </c>
    </row>
    <row r="421" spans="1:1" x14ac:dyDescent="0.25">
      <c r="A421" t="e">
        <f>Data_Transform[[#This Row],[Player]]&amp;Data_Transform[[#This Row],[Week]]&amp;Data_Transform[[#This Row],[Role]]</f>
        <v>#VALUE!</v>
      </c>
    </row>
    <row r="422" spans="1:1" x14ac:dyDescent="0.25">
      <c r="A422" t="e">
        <f>Data_Transform[[#This Row],[Player]]&amp;Data_Transform[[#This Row],[Week]]&amp;Data_Transform[[#This Row],[Role]]</f>
        <v>#VALUE!</v>
      </c>
    </row>
    <row r="423" spans="1:1" x14ac:dyDescent="0.25">
      <c r="A423" t="e">
        <f>Data_Transform[[#This Row],[Player]]&amp;Data_Transform[[#This Row],[Week]]&amp;Data_Transform[[#This Row],[Role]]</f>
        <v>#VALUE!</v>
      </c>
    </row>
    <row r="424" spans="1:1" x14ac:dyDescent="0.25">
      <c r="A424" t="e">
        <f>Data_Transform[[#This Row],[Player]]&amp;Data_Transform[[#This Row],[Week]]&amp;Data_Transform[[#This Row],[Role]]</f>
        <v>#VALUE!</v>
      </c>
    </row>
    <row r="425" spans="1:1" x14ac:dyDescent="0.25">
      <c r="A425" t="e">
        <f>Data_Transform[[#This Row],[Player]]&amp;Data_Transform[[#This Row],[Week]]&amp;Data_Transform[[#This Row],[Role]]</f>
        <v>#VALUE!</v>
      </c>
    </row>
    <row r="426" spans="1:1" x14ac:dyDescent="0.25">
      <c r="A426" t="e">
        <f>Data_Transform[[#This Row],[Player]]&amp;Data_Transform[[#This Row],[Week]]&amp;Data_Transform[[#This Row],[Role]]</f>
        <v>#VALUE!</v>
      </c>
    </row>
    <row r="427" spans="1:1" x14ac:dyDescent="0.25">
      <c r="A427" t="e">
        <f>Data_Transform[[#This Row],[Player]]&amp;Data_Transform[[#This Row],[Week]]&amp;Data_Transform[[#This Row],[Role]]</f>
        <v>#VALUE!</v>
      </c>
    </row>
    <row r="428" spans="1:1" x14ac:dyDescent="0.25">
      <c r="A428" t="e">
        <f>Data_Transform[[#This Row],[Player]]&amp;Data_Transform[[#This Row],[Week]]&amp;Data_Transform[[#This Row],[Role]]</f>
        <v>#VALUE!</v>
      </c>
    </row>
    <row r="429" spans="1:1" x14ac:dyDescent="0.25">
      <c r="A429" t="e">
        <f>Data_Transform[[#This Row],[Player]]&amp;Data_Transform[[#This Row],[Week]]&amp;Data_Transform[[#This Row],[Role]]</f>
        <v>#VALUE!</v>
      </c>
    </row>
    <row r="430" spans="1:1" x14ac:dyDescent="0.25">
      <c r="A430" t="e">
        <f>Data_Transform[[#This Row],[Player]]&amp;Data_Transform[[#This Row],[Week]]&amp;Data_Transform[[#This Row],[Role]]</f>
        <v>#VALUE!</v>
      </c>
    </row>
    <row r="431" spans="1:1" x14ac:dyDescent="0.25">
      <c r="A431" t="e">
        <f>Data_Transform[[#This Row],[Player]]&amp;Data_Transform[[#This Row],[Week]]&amp;Data_Transform[[#This Row],[Role]]</f>
        <v>#VALUE!</v>
      </c>
    </row>
    <row r="432" spans="1:1" x14ac:dyDescent="0.25">
      <c r="A432" t="e">
        <f>Data_Transform[[#This Row],[Player]]&amp;Data_Transform[[#This Row],[Week]]&amp;Data_Transform[[#This Row],[Role]]</f>
        <v>#VALUE!</v>
      </c>
    </row>
    <row r="433" spans="1:1" x14ac:dyDescent="0.25">
      <c r="A433" t="e">
        <f>Data_Transform[[#This Row],[Player]]&amp;Data_Transform[[#This Row],[Week]]&amp;Data_Transform[[#This Row],[Role]]</f>
        <v>#VALUE!</v>
      </c>
    </row>
    <row r="434" spans="1:1" x14ac:dyDescent="0.25">
      <c r="A434" t="e">
        <f>Data_Transform[[#This Row],[Player]]&amp;Data_Transform[[#This Row],[Week]]&amp;Data_Transform[[#This Row],[Role]]</f>
        <v>#VALUE!</v>
      </c>
    </row>
    <row r="435" spans="1:1" x14ac:dyDescent="0.25">
      <c r="A435" t="e">
        <f>Data_Transform[[#This Row],[Player]]&amp;Data_Transform[[#This Row],[Week]]&amp;Data_Transform[[#This Row],[Role]]</f>
        <v>#VALUE!</v>
      </c>
    </row>
    <row r="436" spans="1:1" x14ac:dyDescent="0.25">
      <c r="A436" t="e">
        <f>Data_Transform[[#This Row],[Player]]&amp;Data_Transform[[#This Row],[Week]]&amp;Data_Transform[[#This Row],[Role]]</f>
        <v>#VALUE!</v>
      </c>
    </row>
    <row r="437" spans="1:1" x14ac:dyDescent="0.25">
      <c r="A437" t="e">
        <f>Data_Transform[[#This Row],[Player]]&amp;Data_Transform[[#This Row],[Week]]&amp;Data_Transform[[#This Row],[Role]]</f>
        <v>#VALUE!</v>
      </c>
    </row>
    <row r="438" spans="1:1" x14ac:dyDescent="0.25">
      <c r="A438" t="e">
        <f>Data_Transform[[#This Row],[Player]]&amp;Data_Transform[[#This Row],[Week]]&amp;Data_Transform[[#This Row],[Role]]</f>
        <v>#VALUE!</v>
      </c>
    </row>
    <row r="439" spans="1:1" x14ac:dyDescent="0.25">
      <c r="A439" t="e">
        <f>Data_Transform[[#This Row],[Player]]&amp;Data_Transform[[#This Row],[Week]]&amp;Data_Transform[[#This Row],[Role]]</f>
        <v>#VALUE!</v>
      </c>
    </row>
    <row r="440" spans="1:1" x14ac:dyDescent="0.25">
      <c r="A440" t="e">
        <f>Data_Transform[[#This Row],[Player]]&amp;Data_Transform[[#This Row],[Week]]&amp;Data_Transform[[#This Row],[Role]]</f>
        <v>#VALUE!</v>
      </c>
    </row>
    <row r="441" spans="1:1" x14ac:dyDescent="0.25">
      <c r="A441" t="e">
        <f>Data_Transform[[#This Row],[Player]]&amp;Data_Transform[[#This Row],[Week]]&amp;Data_Transform[[#This Row],[Role]]</f>
        <v>#VALUE!</v>
      </c>
    </row>
    <row r="442" spans="1:1" x14ac:dyDescent="0.25">
      <c r="A442" t="e">
        <f>Data_Transform[[#This Row],[Player]]&amp;Data_Transform[[#This Row],[Week]]&amp;Data_Transform[[#This Row],[Role]]</f>
        <v>#VALUE!</v>
      </c>
    </row>
    <row r="443" spans="1:1" x14ac:dyDescent="0.25">
      <c r="A443" t="e">
        <f>Data_Transform[[#This Row],[Player]]&amp;Data_Transform[[#This Row],[Week]]&amp;Data_Transform[[#This Row],[Role]]</f>
        <v>#VALUE!</v>
      </c>
    </row>
    <row r="444" spans="1:1" x14ac:dyDescent="0.25">
      <c r="A444" t="e">
        <f>Data_Transform[[#This Row],[Player]]&amp;Data_Transform[[#This Row],[Week]]&amp;Data_Transform[[#This Row],[Role]]</f>
        <v>#VALUE!</v>
      </c>
    </row>
    <row r="445" spans="1:1" x14ac:dyDescent="0.25">
      <c r="A445" t="e">
        <f>Data_Transform[[#This Row],[Player]]&amp;Data_Transform[[#This Row],[Week]]&amp;Data_Transform[[#This Row],[Role]]</f>
        <v>#VALUE!</v>
      </c>
    </row>
    <row r="446" spans="1:1" x14ac:dyDescent="0.25">
      <c r="A446" t="e">
        <f>Data_Transform[[#This Row],[Player]]&amp;Data_Transform[[#This Row],[Week]]&amp;Data_Transform[[#This Row],[Role]]</f>
        <v>#VALUE!</v>
      </c>
    </row>
    <row r="447" spans="1:1" x14ac:dyDescent="0.25">
      <c r="A447" t="e">
        <f>Data_Transform[[#This Row],[Player]]&amp;Data_Transform[[#This Row],[Week]]&amp;Data_Transform[[#This Row],[Role]]</f>
        <v>#VALUE!</v>
      </c>
    </row>
    <row r="448" spans="1:1" x14ac:dyDescent="0.25">
      <c r="A448" t="e">
        <f>Data_Transform[[#This Row],[Player]]&amp;Data_Transform[[#This Row],[Week]]&amp;Data_Transform[[#This Row],[Role]]</f>
        <v>#VALUE!</v>
      </c>
    </row>
    <row r="449" spans="1:1" x14ac:dyDescent="0.25">
      <c r="A449" t="e">
        <f>Data_Transform[[#This Row],[Player]]&amp;Data_Transform[[#This Row],[Week]]&amp;Data_Transform[[#This Row],[Role]]</f>
        <v>#VALUE!</v>
      </c>
    </row>
    <row r="450" spans="1:1" x14ac:dyDescent="0.25">
      <c r="A450" t="e">
        <f>Data_Transform[[#This Row],[Player]]&amp;Data_Transform[[#This Row],[Week]]&amp;Data_Transform[[#This Row],[Role]]</f>
        <v>#VALUE!</v>
      </c>
    </row>
    <row r="451" spans="1:1" x14ac:dyDescent="0.25">
      <c r="A451" t="e">
        <f>Data_Transform[[#This Row],[Player]]&amp;Data_Transform[[#This Row],[Week]]&amp;Data_Transform[[#This Row],[Role]]</f>
        <v>#VALUE!</v>
      </c>
    </row>
    <row r="452" spans="1:1" x14ac:dyDescent="0.25">
      <c r="A452" t="e">
        <f>Data_Transform[[#This Row],[Player]]&amp;Data_Transform[[#This Row],[Week]]&amp;Data_Transform[[#This Row],[Role]]</f>
        <v>#VALUE!</v>
      </c>
    </row>
    <row r="453" spans="1:1" x14ac:dyDescent="0.25">
      <c r="A453" t="e">
        <f>Data_Transform[[#This Row],[Player]]&amp;Data_Transform[[#This Row],[Week]]&amp;Data_Transform[[#This Row],[Role]]</f>
        <v>#VALUE!</v>
      </c>
    </row>
    <row r="454" spans="1:1" x14ac:dyDescent="0.25">
      <c r="A454" t="e">
        <f>Data_Transform[[#This Row],[Player]]&amp;Data_Transform[[#This Row],[Week]]&amp;Data_Transform[[#This Row],[Role]]</f>
        <v>#VALUE!</v>
      </c>
    </row>
    <row r="455" spans="1:1" x14ac:dyDescent="0.25">
      <c r="A455" t="e">
        <f>Data_Transform[[#This Row],[Player]]&amp;Data_Transform[[#This Row],[Week]]&amp;Data_Transform[[#This Row],[Role]]</f>
        <v>#VALUE!</v>
      </c>
    </row>
    <row r="456" spans="1:1" x14ac:dyDescent="0.25">
      <c r="A456" t="e">
        <f>Data_Transform[[#This Row],[Player]]&amp;Data_Transform[[#This Row],[Week]]&amp;Data_Transform[[#This Row],[Role]]</f>
        <v>#VALUE!</v>
      </c>
    </row>
    <row r="457" spans="1:1" x14ac:dyDescent="0.25">
      <c r="A457" t="e">
        <f>Data_Transform[[#This Row],[Player]]&amp;Data_Transform[[#This Row],[Week]]&amp;Data_Transform[[#This Row],[Role]]</f>
        <v>#VALUE!</v>
      </c>
    </row>
    <row r="458" spans="1:1" x14ac:dyDescent="0.25">
      <c r="A458" t="e">
        <f>Data_Transform[[#This Row],[Player]]&amp;Data_Transform[[#This Row],[Week]]&amp;Data_Transform[[#This Row],[Role]]</f>
        <v>#VALUE!</v>
      </c>
    </row>
    <row r="459" spans="1:1" x14ac:dyDescent="0.25">
      <c r="A459" t="e">
        <f>Data_Transform[[#This Row],[Player]]&amp;Data_Transform[[#This Row],[Week]]&amp;Data_Transform[[#This Row],[Role]]</f>
        <v>#VALUE!</v>
      </c>
    </row>
    <row r="460" spans="1:1" x14ac:dyDescent="0.25">
      <c r="A460" t="e">
        <f>Data_Transform[[#This Row],[Player]]&amp;Data_Transform[[#This Row],[Week]]&amp;Data_Transform[[#This Row],[Role]]</f>
        <v>#VALUE!</v>
      </c>
    </row>
    <row r="461" spans="1:1" x14ac:dyDescent="0.25">
      <c r="A461" t="e">
        <f>Data_Transform[[#This Row],[Player]]&amp;Data_Transform[[#This Row],[Week]]&amp;Data_Transform[[#This Row],[Role]]</f>
        <v>#VALUE!</v>
      </c>
    </row>
    <row r="462" spans="1:1" x14ac:dyDescent="0.25">
      <c r="A462" t="e">
        <f>Data_Transform[[#This Row],[Player]]&amp;Data_Transform[[#This Row],[Week]]&amp;Data_Transform[[#This Row],[Role]]</f>
        <v>#VALUE!</v>
      </c>
    </row>
    <row r="463" spans="1:1" x14ac:dyDescent="0.25">
      <c r="A463" t="e">
        <f>Data_Transform[[#This Row],[Player]]&amp;Data_Transform[[#This Row],[Week]]&amp;Data_Transform[[#This Row],[Role]]</f>
        <v>#VALUE!</v>
      </c>
    </row>
    <row r="464" spans="1:1" x14ac:dyDescent="0.25">
      <c r="A464" t="e">
        <f>Data_Transform[[#This Row],[Player]]&amp;Data_Transform[[#This Row],[Week]]&amp;Data_Transform[[#This Row],[Role]]</f>
        <v>#VALUE!</v>
      </c>
    </row>
    <row r="465" spans="1:1" x14ac:dyDescent="0.25">
      <c r="A465" t="e">
        <f>Data_Transform[[#This Row],[Player]]&amp;Data_Transform[[#This Row],[Week]]&amp;Data_Transform[[#This Row],[Role]]</f>
        <v>#VALUE!</v>
      </c>
    </row>
    <row r="466" spans="1:1" x14ac:dyDescent="0.25">
      <c r="A466" t="e">
        <f>Data_Transform[[#This Row],[Player]]&amp;Data_Transform[[#This Row],[Week]]&amp;Data_Transform[[#This Row],[Role]]</f>
        <v>#VALUE!</v>
      </c>
    </row>
    <row r="467" spans="1:1" x14ac:dyDescent="0.25">
      <c r="A467" t="e">
        <f>Data_Transform[[#This Row],[Player]]&amp;Data_Transform[[#This Row],[Week]]&amp;Data_Transform[[#This Row],[Role]]</f>
        <v>#VALUE!</v>
      </c>
    </row>
    <row r="468" spans="1:1" x14ac:dyDescent="0.25">
      <c r="A468" t="e">
        <f>Data_Transform[[#This Row],[Player]]&amp;Data_Transform[[#This Row],[Week]]&amp;Data_Transform[[#This Row],[Role]]</f>
        <v>#VALUE!</v>
      </c>
    </row>
    <row r="469" spans="1:1" x14ac:dyDescent="0.25">
      <c r="A469" t="e">
        <f>Data_Transform[[#This Row],[Player]]&amp;Data_Transform[[#This Row],[Week]]&amp;Data_Transform[[#This Row],[Role]]</f>
        <v>#VALUE!</v>
      </c>
    </row>
    <row r="470" spans="1:1" x14ac:dyDescent="0.25">
      <c r="A470" t="e">
        <f>Data_Transform[[#This Row],[Player]]&amp;Data_Transform[[#This Row],[Week]]&amp;Data_Transform[[#This Row],[Role]]</f>
        <v>#VALUE!</v>
      </c>
    </row>
    <row r="471" spans="1:1" x14ac:dyDescent="0.25">
      <c r="A471" t="e">
        <f>Data_Transform[[#This Row],[Player]]&amp;Data_Transform[[#This Row],[Week]]&amp;Data_Transform[[#This Row],[Role]]</f>
        <v>#VALUE!</v>
      </c>
    </row>
    <row r="472" spans="1:1" x14ac:dyDescent="0.25">
      <c r="A472" t="e">
        <f>Data_Transform[[#This Row],[Player]]&amp;Data_Transform[[#This Row],[Week]]&amp;Data_Transform[[#This Row],[Role]]</f>
        <v>#VALUE!</v>
      </c>
    </row>
    <row r="473" spans="1:1" x14ac:dyDescent="0.25">
      <c r="A473" t="e">
        <f>Data_Transform[[#This Row],[Player]]&amp;Data_Transform[[#This Row],[Week]]&amp;Data_Transform[[#This Row],[Role]]</f>
        <v>#VALUE!</v>
      </c>
    </row>
    <row r="474" spans="1:1" x14ac:dyDescent="0.25">
      <c r="A474" t="e">
        <f>Data_Transform[[#This Row],[Player]]&amp;Data_Transform[[#This Row],[Week]]&amp;Data_Transform[[#This Row],[Role]]</f>
        <v>#VALUE!</v>
      </c>
    </row>
    <row r="475" spans="1:1" x14ac:dyDescent="0.25">
      <c r="A475" t="e">
        <f>Data_Transform[[#This Row],[Player]]&amp;Data_Transform[[#This Row],[Week]]&amp;Data_Transform[[#This Row],[Role]]</f>
        <v>#VALUE!</v>
      </c>
    </row>
    <row r="476" spans="1:1" x14ac:dyDescent="0.25">
      <c r="A476" t="e">
        <f>Data_Transform[[#This Row],[Player]]&amp;Data_Transform[[#This Row],[Week]]&amp;Data_Transform[[#This Row],[Role]]</f>
        <v>#VALUE!</v>
      </c>
    </row>
    <row r="477" spans="1:1" x14ac:dyDescent="0.25">
      <c r="A477" t="e">
        <f>Data_Transform[[#This Row],[Player]]&amp;Data_Transform[[#This Row],[Week]]&amp;Data_Transform[[#This Row],[Role]]</f>
        <v>#VALUE!</v>
      </c>
    </row>
    <row r="478" spans="1:1" x14ac:dyDescent="0.25">
      <c r="A478" t="e">
        <f>Data_Transform[[#This Row],[Player]]&amp;Data_Transform[[#This Row],[Week]]&amp;Data_Transform[[#This Row],[Role]]</f>
        <v>#VALUE!</v>
      </c>
    </row>
    <row r="479" spans="1:1" x14ac:dyDescent="0.25">
      <c r="A479" t="e">
        <f>Data_Transform[[#This Row],[Player]]&amp;Data_Transform[[#This Row],[Week]]&amp;Data_Transform[[#This Row],[Role]]</f>
        <v>#VALUE!</v>
      </c>
    </row>
    <row r="480" spans="1:1" x14ac:dyDescent="0.25">
      <c r="A480" t="e">
        <f>Data_Transform[[#This Row],[Player]]&amp;Data_Transform[[#This Row],[Week]]&amp;Data_Transform[[#This Row],[Role]]</f>
        <v>#VALUE!</v>
      </c>
    </row>
    <row r="481" spans="1:1" x14ac:dyDescent="0.25">
      <c r="A481" t="e">
        <f>Data_Transform[[#This Row],[Player]]&amp;Data_Transform[[#This Row],[Week]]&amp;Data_Transform[[#This Row],[Role]]</f>
        <v>#VALUE!</v>
      </c>
    </row>
    <row r="482" spans="1:1" x14ac:dyDescent="0.25">
      <c r="A482" t="e">
        <f>Data_Transform[[#This Row],[Player]]&amp;Data_Transform[[#This Row],[Week]]&amp;Data_Transform[[#This Row],[Role]]</f>
        <v>#VALUE!</v>
      </c>
    </row>
    <row r="483" spans="1:1" x14ac:dyDescent="0.25">
      <c r="A483" t="e">
        <f>Data_Transform[[#This Row],[Player]]&amp;Data_Transform[[#This Row],[Week]]&amp;Data_Transform[[#This Row],[Role]]</f>
        <v>#VALUE!</v>
      </c>
    </row>
    <row r="484" spans="1:1" x14ac:dyDescent="0.25">
      <c r="A484" t="e">
        <f>Data_Transform[[#This Row],[Player]]&amp;Data_Transform[[#This Row],[Week]]&amp;Data_Transform[[#This Row],[Role]]</f>
        <v>#VALUE!</v>
      </c>
    </row>
    <row r="485" spans="1:1" x14ac:dyDescent="0.25">
      <c r="A485" t="e">
        <f>Data_Transform[[#This Row],[Player]]&amp;Data_Transform[[#This Row],[Week]]&amp;Data_Transform[[#This Row],[Role]]</f>
        <v>#VALUE!</v>
      </c>
    </row>
    <row r="486" spans="1:1" x14ac:dyDescent="0.25">
      <c r="A486" t="e">
        <f>Data_Transform[[#This Row],[Player]]&amp;Data_Transform[[#This Row],[Week]]&amp;Data_Transform[[#This Row],[Role]]</f>
        <v>#VALUE!</v>
      </c>
    </row>
    <row r="487" spans="1:1" x14ac:dyDescent="0.25">
      <c r="A487" t="e">
        <f>Data_Transform[[#This Row],[Player]]&amp;Data_Transform[[#This Row],[Week]]&amp;Data_Transform[[#This Row],[Role]]</f>
        <v>#VALUE!</v>
      </c>
    </row>
    <row r="488" spans="1:1" x14ac:dyDescent="0.25">
      <c r="A488" t="e">
        <f>Data_Transform[[#This Row],[Player]]&amp;Data_Transform[[#This Row],[Week]]&amp;Data_Transform[[#This Row],[Role]]</f>
        <v>#VALUE!</v>
      </c>
    </row>
    <row r="489" spans="1:1" x14ac:dyDescent="0.25">
      <c r="A489" t="e">
        <f>Data_Transform[[#This Row],[Player]]&amp;Data_Transform[[#This Row],[Week]]&amp;Data_Transform[[#This Row],[Role]]</f>
        <v>#VALUE!</v>
      </c>
    </row>
    <row r="490" spans="1:1" x14ac:dyDescent="0.25">
      <c r="A490" t="e">
        <f>Data_Transform[[#This Row],[Player]]&amp;Data_Transform[[#This Row],[Week]]&amp;Data_Transform[[#This Row],[Role]]</f>
        <v>#VALUE!</v>
      </c>
    </row>
    <row r="491" spans="1:1" x14ac:dyDescent="0.25">
      <c r="A491" t="e">
        <f>Data_Transform[[#This Row],[Player]]&amp;Data_Transform[[#This Row],[Week]]&amp;Data_Transform[[#This Row],[Role]]</f>
        <v>#VALUE!</v>
      </c>
    </row>
    <row r="492" spans="1:1" x14ac:dyDescent="0.25">
      <c r="A492" t="e">
        <f>Data_Transform[[#This Row],[Player]]&amp;Data_Transform[[#This Row],[Week]]&amp;Data_Transform[[#This Row],[Role]]</f>
        <v>#VALUE!</v>
      </c>
    </row>
    <row r="493" spans="1:1" x14ac:dyDescent="0.25">
      <c r="A493" t="e">
        <f>Data_Transform[[#This Row],[Player]]&amp;Data_Transform[[#This Row],[Week]]&amp;Data_Transform[[#This Row],[Role]]</f>
        <v>#VALUE!</v>
      </c>
    </row>
    <row r="494" spans="1:1" x14ac:dyDescent="0.25">
      <c r="A494" t="e">
        <f>Data_Transform[[#This Row],[Player]]&amp;Data_Transform[[#This Row],[Week]]&amp;Data_Transform[[#This Row],[Role]]</f>
        <v>#VALUE!</v>
      </c>
    </row>
    <row r="495" spans="1:1" x14ac:dyDescent="0.25">
      <c r="A495" t="e">
        <f>Data_Transform[[#This Row],[Player]]&amp;Data_Transform[[#This Row],[Week]]&amp;Data_Transform[[#This Row],[Role]]</f>
        <v>#VALUE!</v>
      </c>
    </row>
    <row r="496" spans="1:1" x14ac:dyDescent="0.25">
      <c r="A496" t="e">
        <f>Data_Transform[[#This Row],[Player]]&amp;Data_Transform[[#This Row],[Week]]&amp;Data_Transform[[#This Row],[Role]]</f>
        <v>#VALUE!</v>
      </c>
    </row>
    <row r="497" spans="1:1" x14ac:dyDescent="0.25">
      <c r="A497" t="e">
        <f>Data_Transform[[#This Row],[Player]]&amp;Data_Transform[[#This Row],[Week]]&amp;Data_Transform[[#This Row],[Role]]</f>
        <v>#VALUE!</v>
      </c>
    </row>
    <row r="498" spans="1:1" x14ac:dyDescent="0.25">
      <c r="A498" t="e">
        <f>Data_Transform[[#This Row],[Player]]&amp;Data_Transform[[#This Row],[Week]]&amp;Data_Transform[[#This Row],[Role]]</f>
        <v>#VALUE!</v>
      </c>
    </row>
    <row r="499" spans="1:1" x14ac:dyDescent="0.25">
      <c r="A499" t="e">
        <f>Data_Transform[[#This Row],[Player]]&amp;Data_Transform[[#This Row],[Week]]&amp;Data_Transform[[#This Row],[Role]]</f>
        <v>#VALUE!</v>
      </c>
    </row>
    <row r="500" spans="1:1" x14ac:dyDescent="0.25">
      <c r="A500" t="e">
        <f>Data_Transform[[#This Row],[Player]]&amp;Data_Transform[[#This Row],[Week]]&amp;Data_Transform[[#This Row],[Role]]</f>
        <v>#VALUE!</v>
      </c>
    </row>
    <row r="501" spans="1:1" x14ac:dyDescent="0.25">
      <c r="A501" t="e">
        <f>Data_Transform[[#This Row],[Player]]&amp;Data_Transform[[#This Row],[Week]]&amp;Data_Transform[[#This Row],[Role]]</f>
        <v>#VALUE!</v>
      </c>
    </row>
    <row r="502" spans="1:1" x14ac:dyDescent="0.25">
      <c r="A502" t="e">
        <f>Data_Transform[[#This Row],[Player]]&amp;Data_Transform[[#This Row],[Week]]&amp;Data_Transform[[#This Row],[Role]]</f>
        <v>#VALUE!</v>
      </c>
    </row>
    <row r="503" spans="1:1" x14ac:dyDescent="0.25">
      <c r="A503" t="e">
        <f>Data_Transform[[#This Row],[Player]]&amp;Data_Transform[[#This Row],[Week]]&amp;Data_Transform[[#This Row],[Role]]</f>
        <v>#VALUE!</v>
      </c>
    </row>
    <row r="504" spans="1:1" x14ac:dyDescent="0.25">
      <c r="A504" t="e">
        <f>Data_Transform[[#This Row],[Player]]&amp;Data_Transform[[#This Row],[Week]]&amp;Data_Transform[[#This Row],[Role]]</f>
        <v>#VALUE!</v>
      </c>
    </row>
    <row r="505" spans="1:1" x14ac:dyDescent="0.25">
      <c r="A505" t="e">
        <f>Data_Transform[[#This Row],[Player]]&amp;Data_Transform[[#This Row],[Week]]&amp;Data_Transform[[#This Row],[Role]]</f>
        <v>#VALUE!</v>
      </c>
    </row>
    <row r="506" spans="1:1" x14ac:dyDescent="0.25">
      <c r="A506" t="e">
        <f>Data_Transform[[#This Row],[Player]]&amp;Data_Transform[[#This Row],[Week]]&amp;Data_Transform[[#This Row],[Role]]</f>
        <v>#VALUE!</v>
      </c>
    </row>
    <row r="507" spans="1:1" x14ac:dyDescent="0.25">
      <c r="A507" t="e">
        <f>Data_Transform[[#This Row],[Player]]&amp;Data_Transform[[#This Row],[Week]]&amp;Data_Transform[[#This Row],[Role]]</f>
        <v>#VALUE!</v>
      </c>
    </row>
    <row r="508" spans="1:1" x14ac:dyDescent="0.25">
      <c r="A508" t="e">
        <f>Data_Transform[[#This Row],[Player]]&amp;Data_Transform[[#This Row],[Week]]&amp;Data_Transform[[#This Row],[Role]]</f>
        <v>#VALUE!</v>
      </c>
    </row>
    <row r="509" spans="1:1" x14ac:dyDescent="0.25">
      <c r="A509" t="e">
        <f>Data_Transform[[#This Row],[Player]]&amp;Data_Transform[[#This Row],[Week]]&amp;Data_Transform[[#This Row],[Role]]</f>
        <v>#VALUE!</v>
      </c>
    </row>
    <row r="510" spans="1:1" x14ac:dyDescent="0.25">
      <c r="A510" t="e">
        <f>Data_Transform[[#This Row],[Player]]&amp;Data_Transform[[#This Row],[Week]]&amp;Data_Transform[[#This Row],[Role]]</f>
        <v>#VALUE!</v>
      </c>
    </row>
    <row r="511" spans="1:1" x14ac:dyDescent="0.25">
      <c r="A511" t="e">
        <f>Data_Transform[[#This Row],[Player]]&amp;Data_Transform[[#This Row],[Week]]&amp;Data_Transform[[#This Row],[Role]]</f>
        <v>#VALUE!</v>
      </c>
    </row>
    <row r="512" spans="1:1" x14ac:dyDescent="0.25">
      <c r="A512" t="e">
        <f>Data_Transform[[#This Row],[Player]]&amp;Data_Transform[[#This Row],[Week]]&amp;Data_Transform[[#This Row],[Role]]</f>
        <v>#VALUE!</v>
      </c>
    </row>
    <row r="513" spans="1:1" x14ac:dyDescent="0.25">
      <c r="A513" t="e">
        <f>Data_Transform[[#This Row],[Player]]&amp;Data_Transform[[#This Row],[Week]]&amp;Data_Transform[[#This Row],[Role]]</f>
        <v>#VALUE!</v>
      </c>
    </row>
    <row r="514" spans="1:1" x14ac:dyDescent="0.25">
      <c r="A514" t="e">
        <f>Data_Transform[[#This Row],[Player]]&amp;Data_Transform[[#This Row],[Week]]&amp;Data_Transform[[#This Row],[Role]]</f>
        <v>#VALUE!</v>
      </c>
    </row>
    <row r="515" spans="1:1" x14ac:dyDescent="0.25">
      <c r="A515" t="e">
        <f>Data_Transform[[#This Row],[Player]]&amp;Data_Transform[[#This Row],[Week]]&amp;Data_Transform[[#This Row],[Role]]</f>
        <v>#VALUE!</v>
      </c>
    </row>
    <row r="516" spans="1:1" x14ac:dyDescent="0.25">
      <c r="A516" t="e">
        <f>Data_Transform[[#This Row],[Player]]&amp;Data_Transform[[#This Row],[Week]]&amp;Data_Transform[[#This Row],[Role]]</f>
        <v>#VALUE!</v>
      </c>
    </row>
    <row r="517" spans="1:1" x14ac:dyDescent="0.25">
      <c r="A517" t="e">
        <f>Data_Transform[[#This Row],[Player]]&amp;Data_Transform[[#This Row],[Week]]&amp;Data_Transform[[#This Row],[Role]]</f>
        <v>#VALUE!</v>
      </c>
    </row>
    <row r="518" spans="1:1" x14ac:dyDescent="0.25">
      <c r="A518" t="e">
        <f>Data_Transform[[#This Row],[Player]]&amp;Data_Transform[[#This Row],[Week]]&amp;Data_Transform[[#This Row],[Role]]</f>
        <v>#VALUE!</v>
      </c>
    </row>
    <row r="519" spans="1:1" x14ac:dyDescent="0.25">
      <c r="A519" t="e">
        <f>Data_Transform[[#This Row],[Player]]&amp;Data_Transform[[#This Row],[Week]]&amp;Data_Transform[[#This Row],[Role]]</f>
        <v>#VALUE!</v>
      </c>
    </row>
    <row r="520" spans="1:1" x14ac:dyDescent="0.25">
      <c r="A520" t="e">
        <f>Data_Transform[[#This Row],[Player]]&amp;Data_Transform[[#This Row],[Week]]&amp;Data_Transform[[#This Row],[Role]]</f>
        <v>#VALUE!</v>
      </c>
    </row>
    <row r="521" spans="1:1" x14ac:dyDescent="0.25">
      <c r="A521" t="e">
        <f>Data_Transform[[#This Row],[Player]]&amp;Data_Transform[[#This Row],[Week]]&amp;Data_Transform[[#This Row],[Role]]</f>
        <v>#VALUE!</v>
      </c>
    </row>
    <row r="522" spans="1:1" x14ac:dyDescent="0.25">
      <c r="A522" t="e">
        <f>Data_Transform[[#This Row],[Player]]&amp;Data_Transform[[#This Row],[Week]]&amp;Data_Transform[[#This Row],[Role]]</f>
        <v>#VALUE!</v>
      </c>
    </row>
    <row r="523" spans="1:1" x14ac:dyDescent="0.25">
      <c r="A523" t="e">
        <f>Data_Transform[[#This Row],[Player]]&amp;Data_Transform[[#This Row],[Week]]&amp;Data_Transform[[#This Row],[Role]]</f>
        <v>#VALUE!</v>
      </c>
    </row>
    <row r="524" spans="1:1" x14ac:dyDescent="0.25">
      <c r="A524" t="e">
        <f>Data_Transform[[#This Row],[Player]]&amp;Data_Transform[[#This Row],[Week]]&amp;Data_Transform[[#This Row],[Role]]</f>
        <v>#VALUE!</v>
      </c>
    </row>
    <row r="525" spans="1:1" x14ac:dyDescent="0.25">
      <c r="A525" t="e">
        <f>Data_Transform[[#This Row],[Player]]&amp;Data_Transform[[#This Row],[Week]]&amp;Data_Transform[[#This Row],[Role]]</f>
        <v>#VALUE!</v>
      </c>
    </row>
    <row r="526" spans="1:1" x14ac:dyDescent="0.25">
      <c r="A526" t="e">
        <f>Data_Transform[[#This Row],[Player]]&amp;Data_Transform[[#This Row],[Week]]&amp;Data_Transform[[#This Row],[Role]]</f>
        <v>#VALUE!</v>
      </c>
    </row>
    <row r="527" spans="1:1" x14ac:dyDescent="0.25">
      <c r="A527" t="e">
        <f>Data_Transform[[#This Row],[Player]]&amp;Data_Transform[[#This Row],[Week]]&amp;Data_Transform[[#This Row],[Role]]</f>
        <v>#VALUE!</v>
      </c>
    </row>
    <row r="528" spans="1:1" x14ac:dyDescent="0.25">
      <c r="A528" t="e">
        <f>Data_Transform[[#This Row],[Player]]&amp;Data_Transform[[#This Row],[Week]]&amp;Data_Transform[[#This Row],[Role]]</f>
        <v>#VALUE!</v>
      </c>
    </row>
    <row r="529" spans="1:1" x14ac:dyDescent="0.25">
      <c r="A529" t="e">
        <f>Data_Transform[[#This Row],[Player]]&amp;Data_Transform[[#This Row],[Week]]&amp;Data_Transform[[#This Row],[Role]]</f>
        <v>#VALUE!</v>
      </c>
    </row>
    <row r="530" spans="1:1" x14ac:dyDescent="0.25">
      <c r="A530" t="e">
        <f>Data_Transform[[#This Row],[Player]]&amp;Data_Transform[[#This Row],[Week]]&amp;Data_Transform[[#This Row],[Role]]</f>
        <v>#VALUE!</v>
      </c>
    </row>
    <row r="531" spans="1:1" x14ac:dyDescent="0.25">
      <c r="A531" t="e">
        <f>Data_Transform[[#This Row],[Player]]&amp;Data_Transform[[#This Row],[Week]]&amp;Data_Transform[[#This Row],[Role]]</f>
        <v>#VALUE!</v>
      </c>
    </row>
    <row r="532" spans="1:1" x14ac:dyDescent="0.25">
      <c r="A532" t="e">
        <f>Data_Transform[[#This Row],[Player]]&amp;Data_Transform[[#This Row],[Week]]&amp;Data_Transform[[#This Row],[Role]]</f>
        <v>#VALUE!</v>
      </c>
    </row>
    <row r="533" spans="1:1" x14ac:dyDescent="0.25">
      <c r="A533" t="e">
        <f>Data_Transform[[#This Row],[Player]]&amp;Data_Transform[[#This Row],[Week]]&amp;Data_Transform[[#This Row],[Role]]</f>
        <v>#VALUE!</v>
      </c>
    </row>
    <row r="534" spans="1:1" x14ac:dyDescent="0.25">
      <c r="A534" t="e">
        <f>Data_Transform[[#This Row],[Player]]&amp;Data_Transform[[#This Row],[Week]]&amp;Data_Transform[[#This Row],[Role]]</f>
        <v>#VALUE!</v>
      </c>
    </row>
    <row r="535" spans="1:1" x14ac:dyDescent="0.25">
      <c r="A535" t="e">
        <f>Data_Transform[[#This Row],[Player]]&amp;Data_Transform[[#This Row],[Week]]&amp;Data_Transform[[#This Row],[Role]]</f>
        <v>#VALUE!</v>
      </c>
    </row>
    <row r="536" spans="1:1" x14ac:dyDescent="0.25">
      <c r="A536" t="e">
        <f>Data_Transform[[#This Row],[Player]]&amp;Data_Transform[[#This Row],[Week]]&amp;Data_Transform[[#This Row],[Role]]</f>
        <v>#VALUE!</v>
      </c>
    </row>
    <row r="537" spans="1:1" x14ac:dyDescent="0.25">
      <c r="A537" t="e">
        <f>Data_Transform[[#This Row],[Player]]&amp;Data_Transform[[#This Row],[Week]]&amp;Data_Transform[[#This Row],[Role]]</f>
        <v>#VALUE!</v>
      </c>
    </row>
    <row r="538" spans="1:1" x14ac:dyDescent="0.25">
      <c r="A538" t="e">
        <f>Data_Transform[[#This Row],[Player]]&amp;Data_Transform[[#This Row],[Week]]&amp;Data_Transform[[#This Row],[Role]]</f>
        <v>#VALUE!</v>
      </c>
    </row>
    <row r="539" spans="1:1" x14ac:dyDescent="0.25">
      <c r="A539" t="e">
        <f>Data_Transform[[#This Row],[Player]]&amp;Data_Transform[[#This Row],[Week]]&amp;Data_Transform[[#This Row],[Role]]</f>
        <v>#VALUE!</v>
      </c>
    </row>
    <row r="540" spans="1:1" x14ac:dyDescent="0.25">
      <c r="A540" t="e">
        <f>Data_Transform[[#This Row],[Player]]&amp;Data_Transform[[#This Row],[Week]]&amp;Data_Transform[[#This Row],[Role]]</f>
        <v>#VALUE!</v>
      </c>
    </row>
    <row r="541" spans="1:1" x14ac:dyDescent="0.25">
      <c r="A541" t="e">
        <f>Data_Transform[[#This Row],[Player]]&amp;Data_Transform[[#This Row],[Week]]&amp;Data_Transform[[#This Row],[Role]]</f>
        <v>#VALUE!</v>
      </c>
    </row>
    <row r="542" spans="1:1" x14ac:dyDescent="0.25">
      <c r="A542" t="e">
        <f>Data_Transform[[#This Row],[Player]]&amp;Data_Transform[[#This Row],[Week]]&amp;Data_Transform[[#This Row],[Role]]</f>
        <v>#VALUE!</v>
      </c>
    </row>
    <row r="543" spans="1:1" x14ac:dyDescent="0.25">
      <c r="A543" t="e">
        <f>Data_Transform[[#This Row],[Player]]&amp;Data_Transform[[#This Row],[Week]]&amp;Data_Transform[[#This Row],[Role]]</f>
        <v>#VALUE!</v>
      </c>
    </row>
    <row r="544" spans="1:1" x14ac:dyDescent="0.25">
      <c r="A544" t="e">
        <f>Data_Transform[[#This Row],[Player]]&amp;Data_Transform[[#This Row],[Week]]&amp;Data_Transform[[#This Row],[Role]]</f>
        <v>#VALUE!</v>
      </c>
    </row>
    <row r="545" spans="1:1" x14ac:dyDescent="0.25">
      <c r="A545" t="e">
        <f>Data_Transform[[#This Row],[Player]]&amp;Data_Transform[[#This Row],[Week]]&amp;Data_Transform[[#This Row],[Role]]</f>
        <v>#VALUE!</v>
      </c>
    </row>
    <row r="546" spans="1:1" x14ac:dyDescent="0.25">
      <c r="A546" t="e">
        <f>Data_Transform[[#This Row],[Player]]&amp;Data_Transform[[#This Row],[Week]]&amp;Data_Transform[[#This Row],[Role]]</f>
        <v>#VALUE!</v>
      </c>
    </row>
    <row r="547" spans="1:1" x14ac:dyDescent="0.25">
      <c r="A547" t="e">
        <f>Data_Transform[[#This Row],[Player]]&amp;Data_Transform[[#This Row],[Week]]&amp;Data_Transform[[#This Row],[Role]]</f>
        <v>#VALUE!</v>
      </c>
    </row>
    <row r="548" spans="1:1" x14ac:dyDescent="0.25">
      <c r="A548" t="e">
        <f>Data_Transform[[#This Row],[Player]]&amp;Data_Transform[[#This Row],[Week]]&amp;Data_Transform[[#This Row],[Role]]</f>
        <v>#VALUE!</v>
      </c>
    </row>
    <row r="549" spans="1:1" x14ac:dyDescent="0.25">
      <c r="A549" t="e">
        <f>Data_Transform[[#This Row],[Player]]&amp;Data_Transform[[#This Row],[Week]]&amp;Data_Transform[[#This Row],[Role]]</f>
        <v>#VALUE!</v>
      </c>
    </row>
    <row r="550" spans="1:1" x14ac:dyDescent="0.25">
      <c r="A550" t="e">
        <f>Data_Transform[[#This Row],[Player]]&amp;Data_Transform[[#This Row],[Week]]&amp;Data_Transform[[#This Row],[Role]]</f>
        <v>#VALUE!</v>
      </c>
    </row>
    <row r="551" spans="1:1" x14ac:dyDescent="0.25">
      <c r="A551" t="e">
        <f>Data_Transform[[#This Row],[Player]]&amp;Data_Transform[[#This Row],[Week]]&amp;Data_Transform[[#This Row],[Role]]</f>
        <v>#VALUE!</v>
      </c>
    </row>
    <row r="552" spans="1:1" x14ac:dyDescent="0.25">
      <c r="A552" t="e">
        <f>Data_Transform[[#This Row],[Player]]&amp;Data_Transform[[#This Row],[Week]]&amp;Data_Transform[[#This Row],[Role]]</f>
        <v>#VALUE!</v>
      </c>
    </row>
    <row r="553" spans="1:1" x14ac:dyDescent="0.25">
      <c r="A553" t="e">
        <f>Data_Transform[[#This Row],[Player]]&amp;Data_Transform[[#This Row],[Week]]&amp;Data_Transform[[#This Row],[Role]]</f>
        <v>#VALUE!</v>
      </c>
    </row>
    <row r="554" spans="1:1" x14ac:dyDescent="0.25">
      <c r="A554" t="e">
        <f>Data_Transform[[#This Row],[Player]]&amp;Data_Transform[[#This Row],[Week]]&amp;Data_Transform[[#This Row],[Role]]</f>
        <v>#VALUE!</v>
      </c>
    </row>
    <row r="555" spans="1:1" x14ac:dyDescent="0.25">
      <c r="A555" t="e">
        <f>Data_Transform[[#This Row],[Player]]&amp;Data_Transform[[#This Row],[Week]]&amp;Data_Transform[[#This Row],[Role]]</f>
        <v>#VALUE!</v>
      </c>
    </row>
    <row r="556" spans="1:1" x14ac:dyDescent="0.25">
      <c r="A556" t="e">
        <f>Data_Transform[[#This Row],[Player]]&amp;Data_Transform[[#This Row],[Week]]&amp;Data_Transform[[#This Row],[Role]]</f>
        <v>#VALUE!</v>
      </c>
    </row>
    <row r="557" spans="1:1" x14ac:dyDescent="0.25">
      <c r="A557" t="e">
        <f>Data_Transform[[#This Row],[Player]]&amp;Data_Transform[[#This Row],[Week]]&amp;Data_Transform[[#This Row],[Role]]</f>
        <v>#VALUE!</v>
      </c>
    </row>
    <row r="558" spans="1:1" x14ac:dyDescent="0.25">
      <c r="A558" t="e">
        <f>Data_Transform[[#This Row],[Player]]&amp;Data_Transform[[#This Row],[Week]]&amp;Data_Transform[[#This Row],[Role]]</f>
        <v>#VALUE!</v>
      </c>
    </row>
    <row r="559" spans="1:1" x14ac:dyDescent="0.25">
      <c r="A559" t="e">
        <f>Data_Transform[[#This Row],[Player]]&amp;Data_Transform[[#This Row],[Week]]&amp;Data_Transform[[#This Row],[Role]]</f>
        <v>#VALUE!</v>
      </c>
    </row>
    <row r="560" spans="1:1" x14ac:dyDescent="0.25">
      <c r="A560" t="e">
        <f>Data_Transform[[#This Row],[Player]]&amp;Data_Transform[[#This Row],[Week]]&amp;Data_Transform[[#This Row],[Role]]</f>
        <v>#VALUE!</v>
      </c>
    </row>
    <row r="561" spans="1:1" x14ac:dyDescent="0.25">
      <c r="A561" t="e">
        <f>Data_Transform[[#This Row],[Player]]&amp;Data_Transform[[#This Row],[Week]]&amp;Data_Transform[[#This Row],[Role]]</f>
        <v>#VALUE!</v>
      </c>
    </row>
    <row r="562" spans="1:1" x14ac:dyDescent="0.25">
      <c r="A562" t="e">
        <f>Data_Transform[[#This Row],[Player]]&amp;Data_Transform[[#This Row],[Week]]&amp;Data_Transform[[#This Row],[Role]]</f>
        <v>#VALUE!</v>
      </c>
    </row>
    <row r="563" spans="1:1" x14ac:dyDescent="0.25">
      <c r="A563" t="e">
        <f>Data_Transform[[#This Row],[Player]]&amp;Data_Transform[[#This Row],[Week]]&amp;Data_Transform[[#This Row],[Role]]</f>
        <v>#VALUE!</v>
      </c>
    </row>
    <row r="564" spans="1:1" x14ac:dyDescent="0.25">
      <c r="A564" t="e">
        <f>Data_Transform[[#This Row],[Player]]&amp;Data_Transform[[#This Row],[Week]]&amp;Data_Transform[[#This Row],[Role]]</f>
        <v>#VALUE!</v>
      </c>
    </row>
    <row r="565" spans="1:1" x14ac:dyDescent="0.25">
      <c r="A565" t="e">
        <f>Data_Transform[[#This Row],[Player]]&amp;Data_Transform[[#This Row],[Week]]&amp;Data_Transform[[#This Row],[Role]]</f>
        <v>#VALUE!</v>
      </c>
    </row>
    <row r="566" spans="1:1" x14ac:dyDescent="0.25">
      <c r="A566" t="e">
        <f>Data_Transform[[#This Row],[Player]]&amp;Data_Transform[[#This Row],[Week]]&amp;Data_Transform[[#This Row],[Role]]</f>
        <v>#VALUE!</v>
      </c>
    </row>
    <row r="567" spans="1:1" x14ac:dyDescent="0.25">
      <c r="A567" t="e">
        <f>Data_Transform[[#This Row],[Player]]&amp;Data_Transform[[#This Row],[Week]]&amp;Data_Transform[[#This Row],[Role]]</f>
        <v>#VALUE!</v>
      </c>
    </row>
    <row r="568" spans="1:1" x14ac:dyDescent="0.25">
      <c r="A568" t="e">
        <f>Data_Transform[[#This Row],[Player]]&amp;Data_Transform[[#This Row],[Week]]&amp;Data_Transform[[#This Row],[Role]]</f>
        <v>#VALUE!</v>
      </c>
    </row>
    <row r="569" spans="1:1" x14ac:dyDescent="0.25">
      <c r="A569" t="e">
        <f>Data_Transform[[#This Row],[Player]]&amp;Data_Transform[[#This Row],[Week]]&amp;Data_Transform[[#This Row],[Role]]</f>
        <v>#VALUE!</v>
      </c>
    </row>
    <row r="570" spans="1:1" x14ac:dyDescent="0.25">
      <c r="A570" t="e">
        <f>Data_Transform[[#This Row],[Player]]&amp;Data_Transform[[#This Row],[Week]]&amp;Data_Transform[[#This Row],[Role]]</f>
        <v>#VALUE!</v>
      </c>
    </row>
    <row r="571" spans="1:1" x14ac:dyDescent="0.25">
      <c r="A571" t="e">
        <f>Data_Transform[[#This Row],[Player]]&amp;Data_Transform[[#This Row],[Week]]&amp;Data_Transform[[#This Row],[Role]]</f>
        <v>#VALUE!</v>
      </c>
    </row>
    <row r="572" spans="1:1" x14ac:dyDescent="0.25">
      <c r="A572" t="e">
        <f>Data_Transform[[#This Row],[Player]]&amp;Data_Transform[[#This Row],[Week]]&amp;Data_Transform[[#This Row],[Role]]</f>
        <v>#VALUE!</v>
      </c>
    </row>
    <row r="573" spans="1:1" x14ac:dyDescent="0.25">
      <c r="A573" t="e">
        <f>Data_Transform[[#This Row],[Player]]&amp;Data_Transform[[#This Row],[Week]]&amp;Data_Transform[[#This Row],[Role]]</f>
        <v>#VALUE!</v>
      </c>
    </row>
    <row r="574" spans="1:1" x14ac:dyDescent="0.25">
      <c r="A574" t="e">
        <f>Data_Transform[[#This Row],[Player]]&amp;Data_Transform[[#This Row],[Week]]&amp;Data_Transform[[#This Row],[Role]]</f>
        <v>#VALUE!</v>
      </c>
    </row>
    <row r="575" spans="1:1" x14ac:dyDescent="0.25">
      <c r="A575" t="e">
        <f>Data_Transform[[#This Row],[Player]]&amp;Data_Transform[[#This Row],[Week]]&amp;Data_Transform[[#This Row],[Role]]</f>
        <v>#VALUE!</v>
      </c>
    </row>
    <row r="576" spans="1:1" x14ac:dyDescent="0.25">
      <c r="A576" t="e">
        <f>Data_Transform[[#This Row],[Player]]&amp;Data_Transform[[#This Row],[Week]]&amp;Data_Transform[[#This Row],[Role]]</f>
        <v>#VALUE!</v>
      </c>
    </row>
    <row r="577" spans="1:1" x14ac:dyDescent="0.25">
      <c r="A577" t="e">
        <f>Data_Transform[[#This Row],[Player]]&amp;Data_Transform[[#This Row],[Week]]&amp;Data_Transform[[#This Row],[Role]]</f>
        <v>#VALUE!</v>
      </c>
    </row>
    <row r="578" spans="1:1" x14ac:dyDescent="0.25">
      <c r="A578" t="e">
        <f>Data_Transform[[#This Row],[Player]]&amp;Data_Transform[[#This Row],[Week]]&amp;Data_Transform[[#This Row],[Role]]</f>
        <v>#VALUE!</v>
      </c>
    </row>
    <row r="579" spans="1:1" x14ac:dyDescent="0.25">
      <c r="A579" t="e">
        <f>Data_Transform[[#This Row],[Player]]&amp;Data_Transform[[#This Row],[Week]]&amp;Data_Transform[[#This Row],[Role]]</f>
        <v>#VALUE!</v>
      </c>
    </row>
    <row r="580" spans="1:1" x14ac:dyDescent="0.25">
      <c r="A580" t="e">
        <f>Data_Transform[[#This Row],[Player]]&amp;Data_Transform[[#This Row],[Week]]&amp;Data_Transform[[#This Row],[Role]]</f>
        <v>#VALUE!</v>
      </c>
    </row>
    <row r="581" spans="1:1" x14ac:dyDescent="0.25">
      <c r="A581" t="e">
        <f>Data_Transform[[#This Row],[Player]]&amp;Data_Transform[[#This Row],[Week]]&amp;Data_Transform[[#This Row],[Role]]</f>
        <v>#VALUE!</v>
      </c>
    </row>
    <row r="582" spans="1:1" x14ac:dyDescent="0.25">
      <c r="A582" t="e">
        <f>Data_Transform[[#This Row],[Player]]&amp;Data_Transform[[#This Row],[Week]]&amp;Data_Transform[[#This Row],[Role]]</f>
        <v>#VALUE!</v>
      </c>
    </row>
    <row r="583" spans="1:1" x14ac:dyDescent="0.25">
      <c r="A583" t="e">
        <f>Data_Transform[[#This Row],[Player]]&amp;Data_Transform[[#This Row],[Week]]&amp;Data_Transform[[#This Row],[Role]]</f>
        <v>#VALUE!</v>
      </c>
    </row>
    <row r="584" spans="1:1" x14ac:dyDescent="0.25">
      <c r="A584" t="e">
        <f>Data_Transform[[#This Row],[Player]]&amp;Data_Transform[[#This Row],[Week]]&amp;Data_Transform[[#This Row],[Role]]</f>
        <v>#VALUE!</v>
      </c>
    </row>
    <row r="585" spans="1:1" x14ac:dyDescent="0.25">
      <c r="A585" t="e">
        <f>Data_Transform[[#This Row],[Player]]&amp;Data_Transform[[#This Row],[Week]]&amp;Data_Transform[[#This Row],[Role]]</f>
        <v>#VALUE!</v>
      </c>
    </row>
    <row r="586" spans="1:1" x14ac:dyDescent="0.25">
      <c r="A586" t="e">
        <f>Data_Transform[[#This Row],[Player]]&amp;Data_Transform[[#This Row],[Week]]&amp;Data_Transform[[#This Row],[Role]]</f>
        <v>#VALUE!</v>
      </c>
    </row>
    <row r="587" spans="1:1" x14ac:dyDescent="0.25">
      <c r="A587" t="e">
        <f>Data_Transform[[#This Row],[Player]]&amp;Data_Transform[[#This Row],[Week]]&amp;Data_Transform[[#This Row],[Role]]</f>
        <v>#VALUE!</v>
      </c>
    </row>
    <row r="588" spans="1:1" x14ac:dyDescent="0.25">
      <c r="A588" t="e">
        <f>Data_Transform[[#This Row],[Player]]&amp;Data_Transform[[#This Row],[Week]]&amp;Data_Transform[[#This Row],[Role]]</f>
        <v>#VALUE!</v>
      </c>
    </row>
    <row r="589" spans="1:1" x14ac:dyDescent="0.25">
      <c r="A589" t="e">
        <f>Data_Transform[[#This Row],[Player]]&amp;Data_Transform[[#This Row],[Week]]&amp;Data_Transform[[#This Row],[Role]]</f>
        <v>#VALUE!</v>
      </c>
    </row>
    <row r="590" spans="1:1" x14ac:dyDescent="0.25">
      <c r="A590" t="e">
        <f>Data_Transform[[#This Row],[Player]]&amp;Data_Transform[[#This Row],[Week]]&amp;Data_Transform[[#This Row],[Role]]</f>
        <v>#VALUE!</v>
      </c>
    </row>
    <row r="591" spans="1:1" x14ac:dyDescent="0.25">
      <c r="A591" t="e">
        <f>Data_Transform[[#This Row],[Player]]&amp;Data_Transform[[#This Row],[Week]]&amp;Data_Transform[[#This Row],[Role]]</f>
        <v>#VALUE!</v>
      </c>
    </row>
    <row r="592" spans="1:1" x14ac:dyDescent="0.25">
      <c r="A592" t="e">
        <f>Data_Transform[[#This Row],[Player]]&amp;Data_Transform[[#This Row],[Week]]&amp;Data_Transform[[#This Row],[Role]]</f>
        <v>#VALUE!</v>
      </c>
    </row>
    <row r="593" spans="1:1" x14ac:dyDescent="0.25">
      <c r="A593" t="e">
        <f>Data_Transform[[#This Row],[Player]]&amp;Data_Transform[[#This Row],[Week]]&amp;Data_Transform[[#This Row],[Role]]</f>
        <v>#VALUE!</v>
      </c>
    </row>
    <row r="594" spans="1:1" x14ac:dyDescent="0.25">
      <c r="A594" t="e">
        <f>Data_Transform[[#This Row],[Player]]&amp;Data_Transform[[#This Row],[Week]]&amp;Data_Transform[[#This Row],[Role]]</f>
        <v>#VALUE!</v>
      </c>
    </row>
    <row r="595" spans="1:1" x14ac:dyDescent="0.25">
      <c r="A595" t="e">
        <f>Data_Transform[[#This Row],[Player]]&amp;Data_Transform[[#This Row],[Week]]&amp;Data_Transform[[#This Row],[Role]]</f>
        <v>#VALUE!</v>
      </c>
    </row>
    <row r="596" spans="1:1" x14ac:dyDescent="0.25">
      <c r="A596" t="e">
        <f>Data_Transform[[#This Row],[Player]]&amp;Data_Transform[[#This Row],[Week]]&amp;Data_Transform[[#This Row],[Role]]</f>
        <v>#VALUE!</v>
      </c>
    </row>
    <row r="597" spans="1:1" x14ac:dyDescent="0.25">
      <c r="A597" t="e">
        <f>Data_Transform[[#This Row],[Player]]&amp;Data_Transform[[#This Row],[Week]]&amp;Data_Transform[[#This Row],[Role]]</f>
        <v>#VALUE!</v>
      </c>
    </row>
    <row r="598" spans="1:1" x14ac:dyDescent="0.25">
      <c r="A598" t="e">
        <f>Data_Transform[[#This Row],[Player]]&amp;Data_Transform[[#This Row],[Week]]&amp;Data_Transform[[#This Row],[Role]]</f>
        <v>#VALUE!</v>
      </c>
    </row>
    <row r="599" spans="1:1" x14ac:dyDescent="0.25">
      <c r="A599" t="e">
        <f>Data_Transform[[#This Row],[Player]]&amp;Data_Transform[[#This Row],[Week]]&amp;Data_Transform[[#This Row],[Role]]</f>
        <v>#VALUE!</v>
      </c>
    </row>
    <row r="600" spans="1:1" x14ac:dyDescent="0.25">
      <c r="A600" t="e">
        <f>Data_Transform[[#This Row],[Player]]&amp;Data_Transform[[#This Row],[Week]]&amp;Data_Transform[[#This Row],[Role]]</f>
        <v>#VALUE!</v>
      </c>
    </row>
    <row r="601" spans="1:1" x14ac:dyDescent="0.25">
      <c r="A601" t="e">
        <f>Data_Transform[[#This Row],[Player]]&amp;Data_Transform[[#This Row],[Week]]&amp;Data_Transform[[#This Row],[Role]]</f>
        <v>#VALUE!</v>
      </c>
    </row>
    <row r="602" spans="1:1" x14ac:dyDescent="0.25">
      <c r="A602" t="e">
        <f>Data_Transform[[#This Row],[Player]]&amp;Data_Transform[[#This Row],[Week]]&amp;Data_Transform[[#This Row],[Role]]</f>
        <v>#VALUE!</v>
      </c>
    </row>
    <row r="603" spans="1:1" x14ac:dyDescent="0.25">
      <c r="A603" t="e">
        <f>Data_Transform[[#This Row],[Player]]&amp;Data_Transform[[#This Row],[Week]]&amp;Data_Transform[[#This Row],[Role]]</f>
        <v>#VALUE!</v>
      </c>
    </row>
    <row r="604" spans="1:1" x14ac:dyDescent="0.25">
      <c r="A604" t="e">
        <f>Data_Transform[[#This Row],[Player]]&amp;Data_Transform[[#This Row],[Week]]&amp;Data_Transform[[#This Row],[Role]]</f>
        <v>#VALUE!</v>
      </c>
    </row>
    <row r="605" spans="1:1" x14ac:dyDescent="0.25">
      <c r="A605" t="e">
        <f>Data_Transform[[#This Row],[Player]]&amp;Data_Transform[[#This Row],[Week]]&amp;Data_Transform[[#This Row],[Role]]</f>
        <v>#VALUE!</v>
      </c>
    </row>
    <row r="606" spans="1:1" x14ac:dyDescent="0.25">
      <c r="A606" t="e">
        <f>Data_Transform[[#This Row],[Player]]&amp;Data_Transform[[#This Row],[Week]]&amp;Data_Transform[[#This Row],[Role]]</f>
        <v>#VALUE!</v>
      </c>
    </row>
    <row r="607" spans="1:1" x14ac:dyDescent="0.25">
      <c r="A607" t="e">
        <f>Data_Transform[[#This Row],[Player]]&amp;Data_Transform[[#This Row],[Week]]&amp;Data_Transform[[#This Row],[Role]]</f>
        <v>#VALUE!</v>
      </c>
    </row>
    <row r="608" spans="1:1" x14ac:dyDescent="0.25">
      <c r="A608" t="e">
        <f>Data_Transform[[#This Row],[Player]]&amp;Data_Transform[[#This Row],[Week]]&amp;Data_Transform[[#This Row],[Role]]</f>
        <v>#VALUE!</v>
      </c>
    </row>
    <row r="609" spans="1:1" x14ac:dyDescent="0.25">
      <c r="A609" t="e">
        <f>Data_Transform[[#This Row],[Player]]&amp;Data_Transform[[#This Row],[Week]]&amp;Data_Transform[[#This Row],[Role]]</f>
        <v>#VALUE!</v>
      </c>
    </row>
    <row r="610" spans="1:1" x14ac:dyDescent="0.25">
      <c r="A610" t="e">
        <f>Data_Transform[[#This Row],[Player]]&amp;Data_Transform[[#This Row],[Week]]&amp;Data_Transform[[#This Row],[Role]]</f>
        <v>#VALUE!</v>
      </c>
    </row>
    <row r="611" spans="1:1" x14ac:dyDescent="0.25">
      <c r="A611" t="e">
        <f>Data_Transform[[#This Row],[Player]]&amp;Data_Transform[[#This Row],[Week]]&amp;Data_Transform[[#This Row],[Role]]</f>
        <v>#VALUE!</v>
      </c>
    </row>
    <row r="612" spans="1:1" x14ac:dyDescent="0.25">
      <c r="A612" t="e">
        <f>Data_Transform[[#This Row],[Player]]&amp;Data_Transform[[#This Row],[Week]]&amp;Data_Transform[[#This Row],[Role]]</f>
        <v>#VALUE!</v>
      </c>
    </row>
    <row r="613" spans="1:1" x14ac:dyDescent="0.25">
      <c r="A613" t="e">
        <f>Data_Transform[[#This Row],[Player]]&amp;Data_Transform[[#This Row],[Week]]&amp;Data_Transform[[#This Row],[Role]]</f>
        <v>#VALUE!</v>
      </c>
    </row>
    <row r="614" spans="1:1" x14ac:dyDescent="0.25">
      <c r="A614" t="e">
        <f>Data_Transform[[#This Row],[Player]]&amp;Data_Transform[[#This Row],[Week]]&amp;Data_Transform[[#This Row],[Role]]</f>
        <v>#VALUE!</v>
      </c>
    </row>
    <row r="615" spans="1:1" x14ac:dyDescent="0.25">
      <c r="A615" t="e">
        <f>Data_Transform[[#This Row],[Player]]&amp;Data_Transform[[#This Row],[Week]]&amp;Data_Transform[[#This Row],[Role]]</f>
        <v>#VALUE!</v>
      </c>
    </row>
    <row r="616" spans="1:1" x14ac:dyDescent="0.25">
      <c r="A616" t="e">
        <f>Data_Transform[[#This Row],[Player]]&amp;Data_Transform[[#This Row],[Week]]&amp;Data_Transform[[#This Row],[Role]]</f>
        <v>#VALUE!</v>
      </c>
    </row>
    <row r="617" spans="1:1" x14ac:dyDescent="0.25">
      <c r="A617" t="e">
        <f>Data_Transform[[#This Row],[Player]]&amp;Data_Transform[[#This Row],[Week]]&amp;Data_Transform[[#This Row],[Role]]</f>
        <v>#VALUE!</v>
      </c>
    </row>
    <row r="618" spans="1:1" x14ac:dyDescent="0.25">
      <c r="A618" t="e">
        <f>Data_Transform[[#This Row],[Player]]&amp;Data_Transform[[#This Row],[Week]]&amp;Data_Transform[[#This Row],[Role]]</f>
        <v>#VALUE!</v>
      </c>
    </row>
    <row r="619" spans="1:1" x14ac:dyDescent="0.25">
      <c r="A619" t="e">
        <f>Data_Transform[[#This Row],[Player]]&amp;Data_Transform[[#This Row],[Week]]&amp;Data_Transform[[#This Row],[Role]]</f>
        <v>#VALUE!</v>
      </c>
    </row>
    <row r="620" spans="1:1" x14ac:dyDescent="0.25">
      <c r="A620" t="e">
        <f>Data_Transform[[#This Row],[Player]]&amp;Data_Transform[[#This Row],[Week]]&amp;Data_Transform[[#This Row],[Role]]</f>
        <v>#VALUE!</v>
      </c>
    </row>
    <row r="621" spans="1:1" x14ac:dyDescent="0.25">
      <c r="A621" t="e">
        <f>Data_Transform[[#This Row],[Player]]&amp;Data_Transform[[#This Row],[Week]]&amp;Data_Transform[[#This Row],[Role]]</f>
        <v>#VALUE!</v>
      </c>
    </row>
    <row r="622" spans="1:1" x14ac:dyDescent="0.25">
      <c r="A622" t="e">
        <f>Data_Transform[[#This Row],[Player]]&amp;Data_Transform[[#This Row],[Week]]&amp;Data_Transform[[#This Row],[Role]]</f>
        <v>#VALUE!</v>
      </c>
    </row>
    <row r="623" spans="1:1" x14ac:dyDescent="0.25">
      <c r="A623" t="e">
        <f>Data_Transform[[#This Row],[Player]]&amp;Data_Transform[[#This Row],[Week]]&amp;Data_Transform[[#This Row],[Role]]</f>
        <v>#VALUE!</v>
      </c>
    </row>
    <row r="624" spans="1:1" x14ac:dyDescent="0.25">
      <c r="A624" t="e">
        <f>Data_Transform[[#This Row],[Player]]&amp;Data_Transform[[#This Row],[Week]]&amp;Data_Transform[[#This Row],[Role]]</f>
        <v>#VALUE!</v>
      </c>
    </row>
    <row r="625" spans="1:1" x14ac:dyDescent="0.25">
      <c r="A625" t="e">
        <f>Data_Transform[[#This Row],[Player]]&amp;Data_Transform[[#This Row],[Week]]&amp;Data_Transform[[#This Row],[Role]]</f>
        <v>#VALUE!</v>
      </c>
    </row>
    <row r="626" spans="1:1" x14ac:dyDescent="0.25">
      <c r="A626" t="e">
        <f>Data_Transform[[#This Row],[Player]]&amp;Data_Transform[[#This Row],[Week]]&amp;Data_Transform[[#This Row],[Role]]</f>
        <v>#VALUE!</v>
      </c>
    </row>
    <row r="627" spans="1:1" x14ac:dyDescent="0.25">
      <c r="A627" t="e">
        <f>Data_Transform[[#This Row],[Player]]&amp;Data_Transform[[#This Row],[Week]]&amp;Data_Transform[[#This Row],[Role]]</f>
        <v>#VALUE!</v>
      </c>
    </row>
    <row r="628" spans="1:1" x14ac:dyDescent="0.25">
      <c r="A628" t="e">
        <f>Data_Transform[[#This Row],[Player]]&amp;Data_Transform[[#This Row],[Week]]&amp;Data_Transform[[#This Row],[Role]]</f>
        <v>#VALUE!</v>
      </c>
    </row>
    <row r="629" spans="1:1" x14ac:dyDescent="0.25">
      <c r="A629" t="e">
        <f>Data_Transform[[#This Row],[Player]]&amp;Data_Transform[[#This Row],[Week]]&amp;Data_Transform[[#This Row],[Role]]</f>
        <v>#VALUE!</v>
      </c>
    </row>
    <row r="630" spans="1:1" x14ac:dyDescent="0.25">
      <c r="A630" t="e">
        <f>Data_Transform[[#This Row],[Player]]&amp;Data_Transform[[#This Row],[Week]]&amp;Data_Transform[[#This Row],[Role]]</f>
        <v>#VALUE!</v>
      </c>
    </row>
    <row r="631" spans="1:1" x14ac:dyDescent="0.25">
      <c r="A631" t="e">
        <f>Data_Transform[[#This Row],[Player]]&amp;Data_Transform[[#This Row],[Week]]&amp;Data_Transform[[#This Row],[Role]]</f>
        <v>#VALUE!</v>
      </c>
    </row>
    <row r="632" spans="1:1" x14ac:dyDescent="0.25">
      <c r="A632" t="e">
        <f>Data_Transform[[#This Row],[Player]]&amp;Data_Transform[[#This Row],[Week]]&amp;Data_Transform[[#This Row],[Role]]</f>
        <v>#VALUE!</v>
      </c>
    </row>
    <row r="633" spans="1:1" x14ac:dyDescent="0.25">
      <c r="A633" t="e">
        <f>Data_Transform[[#This Row],[Player]]&amp;Data_Transform[[#This Row],[Week]]&amp;Data_Transform[[#This Row],[Role]]</f>
        <v>#VALUE!</v>
      </c>
    </row>
    <row r="634" spans="1:1" x14ac:dyDescent="0.25">
      <c r="A634" t="e">
        <f>Data_Transform[[#This Row],[Player]]&amp;Data_Transform[[#This Row],[Week]]&amp;Data_Transform[[#This Row],[Role]]</f>
        <v>#VALUE!</v>
      </c>
    </row>
    <row r="635" spans="1:1" x14ac:dyDescent="0.25">
      <c r="A635" t="e">
        <f>Data_Transform[[#This Row],[Player]]&amp;Data_Transform[[#This Row],[Week]]&amp;Data_Transform[[#This Row],[Role]]</f>
        <v>#VALUE!</v>
      </c>
    </row>
    <row r="636" spans="1:1" x14ac:dyDescent="0.25">
      <c r="A636" t="e">
        <f>Data_Transform[[#This Row],[Player]]&amp;Data_Transform[[#This Row],[Week]]&amp;Data_Transform[[#This Row],[Role]]</f>
        <v>#VALUE!</v>
      </c>
    </row>
    <row r="637" spans="1:1" x14ac:dyDescent="0.25">
      <c r="A637" t="e">
        <f>Data_Transform[[#This Row],[Player]]&amp;Data_Transform[[#This Row],[Week]]&amp;Data_Transform[[#This Row],[Role]]</f>
        <v>#VALUE!</v>
      </c>
    </row>
    <row r="638" spans="1:1" x14ac:dyDescent="0.25">
      <c r="A638" t="e">
        <f>Data_Transform[[#This Row],[Player]]&amp;Data_Transform[[#This Row],[Week]]&amp;Data_Transform[[#This Row],[Role]]</f>
        <v>#VALUE!</v>
      </c>
    </row>
    <row r="639" spans="1:1" x14ac:dyDescent="0.25">
      <c r="A639" t="e">
        <f>Data_Transform[[#This Row],[Player]]&amp;Data_Transform[[#This Row],[Week]]&amp;Data_Transform[[#This Row],[Role]]</f>
        <v>#VALUE!</v>
      </c>
    </row>
    <row r="640" spans="1:1" x14ac:dyDescent="0.25">
      <c r="A640" t="e">
        <f>Data_Transform[[#This Row],[Player]]&amp;Data_Transform[[#This Row],[Week]]&amp;Data_Transform[[#This Row],[Role]]</f>
        <v>#VALUE!</v>
      </c>
    </row>
    <row r="641" spans="1:1" x14ac:dyDescent="0.25">
      <c r="A641" t="e">
        <f>Data_Transform[[#This Row],[Player]]&amp;Data_Transform[[#This Row],[Week]]&amp;Data_Transform[[#This Row],[Role]]</f>
        <v>#VALUE!</v>
      </c>
    </row>
    <row r="642" spans="1:1" x14ac:dyDescent="0.25">
      <c r="A642" t="e">
        <f>Data_Transform[[#This Row],[Player]]&amp;Data_Transform[[#This Row],[Week]]&amp;Data_Transform[[#This Row],[Role]]</f>
        <v>#VALUE!</v>
      </c>
    </row>
    <row r="643" spans="1:1" x14ac:dyDescent="0.25">
      <c r="A643" t="e">
        <f>Data_Transform[[#This Row],[Player]]&amp;Data_Transform[[#This Row],[Week]]&amp;Data_Transform[[#This Row],[Role]]</f>
        <v>#VALUE!</v>
      </c>
    </row>
    <row r="644" spans="1:1" x14ac:dyDescent="0.25">
      <c r="A644" t="e">
        <f>Data_Transform[[#This Row],[Player]]&amp;Data_Transform[[#This Row],[Week]]&amp;Data_Transform[[#This Row],[Role]]</f>
        <v>#VALUE!</v>
      </c>
    </row>
    <row r="645" spans="1:1" x14ac:dyDescent="0.25">
      <c r="A645" t="e">
        <f>Data_Transform[[#This Row],[Player]]&amp;Data_Transform[[#This Row],[Week]]&amp;Data_Transform[[#This Row],[Role]]</f>
        <v>#VALUE!</v>
      </c>
    </row>
    <row r="646" spans="1:1" x14ac:dyDescent="0.25">
      <c r="A646" t="e">
        <f>Data_Transform[[#This Row],[Player]]&amp;Data_Transform[[#This Row],[Week]]&amp;Data_Transform[[#This Row],[Role]]</f>
        <v>#VALUE!</v>
      </c>
    </row>
    <row r="647" spans="1:1" x14ac:dyDescent="0.25">
      <c r="A647" t="e">
        <f>Data_Transform[[#This Row],[Player]]&amp;Data_Transform[[#This Row],[Week]]&amp;Data_Transform[[#This Row],[Role]]</f>
        <v>#VALUE!</v>
      </c>
    </row>
    <row r="648" spans="1:1" x14ac:dyDescent="0.25">
      <c r="A648" t="e">
        <f>Data_Transform[[#This Row],[Player]]&amp;Data_Transform[[#This Row],[Week]]&amp;Data_Transform[[#This Row],[Role]]</f>
        <v>#VALUE!</v>
      </c>
    </row>
    <row r="649" spans="1:1" x14ac:dyDescent="0.25">
      <c r="A649" t="e">
        <f>Data_Transform[[#This Row],[Player]]&amp;Data_Transform[[#This Row],[Week]]&amp;Data_Transform[[#This Row],[Role]]</f>
        <v>#VALUE!</v>
      </c>
    </row>
    <row r="650" spans="1:1" x14ac:dyDescent="0.25">
      <c r="A650" t="e">
        <f>Data_Transform[[#This Row],[Player]]&amp;Data_Transform[[#This Row],[Week]]&amp;Data_Transform[[#This Row],[Role]]</f>
        <v>#VALUE!</v>
      </c>
    </row>
    <row r="651" spans="1:1" x14ac:dyDescent="0.25">
      <c r="A651" t="e">
        <f>Data_Transform[[#This Row],[Player]]&amp;Data_Transform[[#This Row],[Week]]&amp;Data_Transform[[#This Row],[Role]]</f>
        <v>#VALUE!</v>
      </c>
    </row>
    <row r="652" spans="1:1" x14ac:dyDescent="0.25">
      <c r="A652" t="e">
        <f>Data_Transform[[#This Row],[Player]]&amp;Data_Transform[[#This Row],[Week]]&amp;Data_Transform[[#This Row],[Role]]</f>
        <v>#VALUE!</v>
      </c>
    </row>
    <row r="653" spans="1:1" x14ac:dyDescent="0.25">
      <c r="A653" t="e">
        <f>Data_Transform[[#This Row],[Player]]&amp;Data_Transform[[#This Row],[Week]]&amp;Data_Transform[[#This Row],[Role]]</f>
        <v>#VALUE!</v>
      </c>
    </row>
    <row r="654" spans="1:1" x14ac:dyDescent="0.25">
      <c r="A654" t="e">
        <f>Data_Transform[[#This Row],[Player]]&amp;Data_Transform[[#This Row],[Week]]&amp;Data_Transform[[#This Row],[Role]]</f>
        <v>#VALUE!</v>
      </c>
    </row>
    <row r="655" spans="1:1" x14ac:dyDescent="0.25">
      <c r="A655" t="e">
        <f>Data_Transform[[#This Row],[Player]]&amp;Data_Transform[[#This Row],[Week]]&amp;Data_Transform[[#This Row],[Role]]</f>
        <v>#VALUE!</v>
      </c>
    </row>
    <row r="656" spans="1:1" x14ac:dyDescent="0.25">
      <c r="A656" t="e">
        <f>Data_Transform[[#This Row],[Player]]&amp;Data_Transform[[#This Row],[Week]]&amp;Data_Transform[[#This Row],[Role]]</f>
        <v>#VALUE!</v>
      </c>
    </row>
    <row r="657" spans="1:1" x14ac:dyDescent="0.25">
      <c r="A657" t="e">
        <f>Data_Transform[[#This Row],[Player]]&amp;Data_Transform[[#This Row],[Week]]&amp;Data_Transform[[#This Row],[Role]]</f>
        <v>#VALUE!</v>
      </c>
    </row>
    <row r="658" spans="1:1" x14ac:dyDescent="0.25">
      <c r="A658" t="e">
        <f>Data_Transform[[#This Row],[Player]]&amp;Data_Transform[[#This Row],[Week]]&amp;Data_Transform[[#This Row],[Role]]</f>
        <v>#VALUE!</v>
      </c>
    </row>
    <row r="659" spans="1:1" x14ac:dyDescent="0.25">
      <c r="A659" t="e">
        <f>Data_Transform[[#This Row],[Player]]&amp;Data_Transform[[#This Row],[Week]]&amp;Data_Transform[[#This Row],[Role]]</f>
        <v>#VALUE!</v>
      </c>
    </row>
    <row r="660" spans="1:1" x14ac:dyDescent="0.25">
      <c r="A660" t="e">
        <f>Data_Transform[[#This Row],[Player]]&amp;Data_Transform[[#This Row],[Week]]&amp;Data_Transform[[#This Row],[Role]]</f>
        <v>#VALUE!</v>
      </c>
    </row>
    <row r="661" spans="1:1" x14ac:dyDescent="0.25">
      <c r="A661" t="e">
        <f>Data_Transform[[#This Row],[Player]]&amp;Data_Transform[[#This Row],[Week]]&amp;Data_Transform[[#This Row],[Role]]</f>
        <v>#VALUE!</v>
      </c>
    </row>
    <row r="662" spans="1:1" x14ac:dyDescent="0.25">
      <c r="A662" t="e">
        <f>Data_Transform[[#This Row],[Player]]&amp;Data_Transform[[#This Row],[Week]]&amp;Data_Transform[[#This Row],[Role]]</f>
        <v>#VALUE!</v>
      </c>
    </row>
    <row r="663" spans="1:1" x14ac:dyDescent="0.25">
      <c r="A663" t="e">
        <f>Data_Transform[[#This Row],[Player]]&amp;Data_Transform[[#This Row],[Week]]&amp;Data_Transform[[#This Row],[Role]]</f>
        <v>#VALUE!</v>
      </c>
    </row>
    <row r="664" spans="1:1" x14ac:dyDescent="0.25">
      <c r="A664" t="e">
        <f>Data_Transform[[#This Row],[Player]]&amp;Data_Transform[[#This Row],[Week]]&amp;Data_Transform[[#This Row],[Role]]</f>
        <v>#VALUE!</v>
      </c>
    </row>
    <row r="665" spans="1:1" x14ac:dyDescent="0.25">
      <c r="A665" t="e">
        <f>Data_Transform[[#This Row],[Player]]&amp;Data_Transform[[#This Row],[Week]]&amp;Data_Transform[[#This Row],[Role]]</f>
        <v>#VALUE!</v>
      </c>
    </row>
    <row r="666" spans="1:1" x14ac:dyDescent="0.25">
      <c r="A666" t="e">
        <f>Data_Transform[[#This Row],[Player]]&amp;Data_Transform[[#This Row],[Week]]&amp;Data_Transform[[#This Row],[Role]]</f>
        <v>#VALUE!</v>
      </c>
    </row>
    <row r="667" spans="1:1" x14ac:dyDescent="0.25">
      <c r="A667" t="e">
        <f>Data_Transform[[#This Row],[Player]]&amp;Data_Transform[[#This Row],[Week]]&amp;Data_Transform[[#This Row],[Role]]</f>
        <v>#VALUE!</v>
      </c>
    </row>
    <row r="668" spans="1:1" x14ac:dyDescent="0.25">
      <c r="A668" t="e">
        <f>Data_Transform[[#This Row],[Player]]&amp;Data_Transform[[#This Row],[Week]]&amp;Data_Transform[[#This Row],[Role]]</f>
        <v>#VALUE!</v>
      </c>
    </row>
    <row r="669" spans="1:1" x14ac:dyDescent="0.25">
      <c r="A669" t="e">
        <f>Data_Transform[[#This Row],[Player]]&amp;Data_Transform[[#This Row],[Week]]&amp;Data_Transform[[#This Row],[Role]]</f>
        <v>#VALUE!</v>
      </c>
    </row>
    <row r="670" spans="1:1" x14ac:dyDescent="0.25">
      <c r="A670" t="e">
        <f>Data_Transform[[#This Row],[Player]]&amp;Data_Transform[[#This Row],[Week]]&amp;Data_Transform[[#This Row],[Role]]</f>
        <v>#VALUE!</v>
      </c>
    </row>
    <row r="671" spans="1:1" x14ac:dyDescent="0.25">
      <c r="A671" t="e">
        <f>Data_Transform[[#This Row],[Player]]&amp;Data_Transform[[#This Row],[Week]]&amp;Data_Transform[[#This Row],[Role]]</f>
        <v>#VALUE!</v>
      </c>
    </row>
    <row r="672" spans="1:1" x14ac:dyDescent="0.25">
      <c r="A672" t="e">
        <f>Data_Transform[[#This Row],[Player]]&amp;Data_Transform[[#This Row],[Week]]&amp;Data_Transform[[#This Row],[Role]]</f>
        <v>#VALUE!</v>
      </c>
    </row>
    <row r="673" spans="1:1" x14ac:dyDescent="0.25">
      <c r="A673" t="e">
        <f>Data_Transform[[#This Row],[Player]]&amp;Data_Transform[[#This Row],[Week]]&amp;Data_Transform[[#This Row],[Role]]</f>
        <v>#VALUE!</v>
      </c>
    </row>
    <row r="674" spans="1:1" x14ac:dyDescent="0.25">
      <c r="A674" t="e">
        <f>Data_Transform[[#This Row],[Player]]&amp;Data_Transform[[#This Row],[Week]]&amp;Data_Transform[[#This Row],[Role]]</f>
        <v>#VALUE!</v>
      </c>
    </row>
    <row r="675" spans="1:1" x14ac:dyDescent="0.25">
      <c r="A675" t="e">
        <f>Data_Transform[[#This Row],[Player]]&amp;Data_Transform[[#This Row],[Week]]&amp;Data_Transform[[#This Row],[Role]]</f>
        <v>#VALUE!</v>
      </c>
    </row>
    <row r="676" spans="1:1" x14ac:dyDescent="0.25">
      <c r="A676" t="e">
        <f>Data_Transform[[#This Row],[Player]]&amp;Data_Transform[[#This Row],[Week]]&amp;Data_Transform[[#This Row],[Role]]</f>
        <v>#VALUE!</v>
      </c>
    </row>
    <row r="677" spans="1:1" x14ac:dyDescent="0.25">
      <c r="A677" t="e">
        <f>Data_Transform[[#This Row],[Player]]&amp;Data_Transform[[#This Row],[Week]]&amp;Data_Transform[[#This Row],[Role]]</f>
        <v>#VALUE!</v>
      </c>
    </row>
    <row r="678" spans="1:1" x14ac:dyDescent="0.25">
      <c r="A678" t="e">
        <f>Data_Transform[[#This Row],[Player]]&amp;Data_Transform[[#This Row],[Week]]&amp;Data_Transform[[#This Row],[Role]]</f>
        <v>#VALUE!</v>
      </c>
    </row>
    <row r="679" spans="1:1" x14ac:dyDescent="0.25">
      <c r="A679" t="e">
        <f>Data_Transform[[#This Row],[Player]]&amp;Data_Transform[[#This Row],[Week]]&amp;Data_Transform[[#This Row],[Role]]</f>
        <v>#VALUE!</v>
      </c>
    </row>
    <row r="680" spans="1:1" x14ac:dyDescent="0.25">
      <c r="A680" t="e">
        <f>Data_Transform[[#This Row],[Player]]&amp;Data_Transform[[#This Row],[Week]]&amp;Data_Transform[[#This Row],[Role]]</f>
        <v>#VALUE!</v>
      </c>
    </row>
    <row r="681" spans="1:1" x14ac:dyDescent="0.25">
      <c r="A681" t="e">
        <f>Data_Transform[[#This Row],[Player]]&amp;Data_Transform[[#This Row],[Week]]&amp;Data_Transform[[#This Row],[Role]]</f>
        <v>#VALUE!</v>
      </c>
    </row>
    <row r="682" spans="1:1" x14ac:dyDescent="0.25">
      <c r="A682" t="e">
        <f>Data_Transform[[#This Row],[Player]]&amp;Data_Transform[[#This Row],[Week]]&amp;Data_Transform[[#This Row],[Role]]</f>
        <v>#VALUE!</v>
      </c>
    </row>
    <row r="683" spans="1:1" x14ac:dyDescent="0.25">
      <c r="A683" t="e">
        <f>Data_Transform[[#This Row],[Player]]&amp;Data_Transform[[#This Row],[Week]]&amp;Data_Transform[[#This Row],[Role]]</f>
        <v>#VALUE!</v>
      </c>
    </row>
    <row r="684" spans="1:1" x14ac:dyDescent="0.25">
      <c r="A684" t="e">
        <f>Data_Transform[[#This Row],[Player]]&amp;Data_Transform[[#This Row],[Week]]&amp;Data_Transform[[#This Row],[Role]]</f>
        <v>#VALUE!</v>
      </c>
    </row>
    <row r="685" spans="1:1" x14ac:dyDescent="0.25">
      <c r="A685" t="e">
        <f>Data_Transform[[#This Row],[Player]]&amp;Data_Transform[[#This Row],[Week]]&amp;Data_Transform[[#This Row],[Role]]</f>
        <v>#VALUE!</v>
      </c>
    </row>
    <row r="686" spans="1:1" x14ac:dyDescent="0.25">
      <c r="A686" t="e">
        <f>Data_Transform[[#This Row],[Player]]&amp;Data_Transform[[#This Row],[Week]]&amp;Data_Transform[[#This Row],[Role]]</f>
        <v>#VALUE!</v>
      </c>
    </row>
    <row r="687" spans="1:1" x14ac:dyDescent="0.25">
      <c r="A687" t="e">
        <f>Data_Transform[[#This Row],[Player]]&amp;Data_Transform[[#This Row],[Week]]&amp;Data_Transform[[#This Row],[Role]]</f>
        <v>#VALUE!</v>
      </c>
    </row>
    <row r="688" spans="1:1" x14ac:dyDescent="0.25">
      <c r="A688" t="e">
        <f>Data_Transform[[#This Row],[Player]]&amp;Data_Transform[[#This Row],[Week]]&amp;Data_Transform[[#This Row],[Role]]</f>
        <v>#VALUE!</v>
      </c>
    </row>
    <row r="689" spans="1:1" x14ac:dyDescent="0.25">
      <c r="A689" t="e">
        <f>Data_Transform[[#This Row],[Player]]&amp;Data_Transform[[#This Row],[Week]]&amp;Data_Transform[[#This Row],[Role]]</f>
        <v>#VALUE!</v>
      </c>
    </row>
    <row r="690" spans="1:1" x14ac:dyDescent="0.25">
      <c r="A690" t="e">
        <f>Data_Transform[[#This Row],[Player]]&amp;Data_Transform[[#This Row],[Week]]&amp;Data_Transform[[#This Row],[Role]]</f>
        <v>#VALUE!</v>
      </c>
    </row>
    <row r="691" spans="1:1" x14ac:dyDescent="0.25">
      <c r="A691" t="e">
        <f>Data_Transform[[#This Row],[Player]]&amp;Data_Transform[[#This Row],[Week]]&amp;Data_Transform[[#This Row],[Role]]</f>
        <v>#VALUE!</v>
      </c>
    </row>
    <row r="692" spans="1:1" x14ac:dyDescent="0.25">
      <c r="A692" t="e">
        <f>Data_Transform[[#This Row],[Player]]&amp;Data_Transform[[#This Row],[Week]]&amp;Data_Transform[[#This Row],[Role]]</f>
        <v>#VALUE!</v>
      </c>
    </row>
    <row r="693" spans="1:1" x14ac:dyDescent="0.25">
      <c r="A693" t="e">
        <f>Data_Transform[[#This Row],[Player]]&amp;Data_Transform[[#This Row],[Week]]&amp;Data_Transform[[#This Row],[Role]]</f>
        <v>#VALUE!</v>
      </c>
    </row>
    <row r="694" spans="1:1" x14ac:dyDescent="0.25">
      <c r="A694" t="e">
        <f>Data_Transform[[#This Row],[Player]]&amp;Data_Transform[[#This Row],[Week]]&amp;Data_Transform[[#This Row],[Role]]</f>
        <v>#VALUE!</v>
      </c>
    </row>
    <row r="695" spans="1:1" x14ac:dyDescent="0.25">
      <c r="A695" t="e">
        <f>Data_Transform[[#This Row],[Player]]&amp;Data_Transform[[#This Row],[Week]]&amp;Data_Transform[[#This Row],[Role]]</f>
        <v>#VALUE!</v>
      </c>
    </row>
    <row r="696" spans="1:1" x14ac:dyDescent="0.25">
      <c r="A696" t="e">
        <f>Data_Transform[[#This Row],[Player]]&amp;Data_Transform[[#This Row],[Week]]&amp;Data_Transform[[#This Row],[Role]]</f>
        <v>#VALUE!</v>
      </c>
    </row>
    <row r="697" spans="1:1" x14ac:dyDescent="0.25">
      <c r="A697" t="e">
        <f>Data_Transform[[#This Row],[Player]]&amp;Data_Transform[[#This Row],[Week]]&amp;Data_Transform[[#This Row],[Role]]</f>
        <v>#VALUE!</v>
      </c>
    </row>
    <row r="698" spans="1:1" x14ac:dyDescent="0.25">
      <c r="A698" t="e">
        <f>Data_Transform[[#This Row],[Player]]&amp;Data_Transform[[#This Row],[Week]]&amp;Data_Transform[[#This Row],[Role]]</f>
        <v>#VALUE!</v>
      </c>
    </row>
    <row r="699" spans="1:1" x14ac:dyDescent="0.25">
      <c r="A699" t="e">
        <f>Data_Transform[[#This Row],[Player]]&amp;Data_Transform[[#This Row],[Week]]&amp;Data_Transform[[#This Row],[Role]]</f>
        <v>#VALUE!</v>
      </c>
    </row>
    <row r="700" spans="1:1" x14ac:dyDescent="0.25">
      <c r="A700" t="e">
        <f>Data_Transform[[#This Row],[Player]]&amp;Data_Transform[[#This Row],[Week]]&amp;Data_Transform[[#This Row],[Role]]</f>
        <v>#VALUE!</v>
      </c>
    </row>
    <row r="701" spans="1:1" x14ac:dyDescent="0.25">
      <c r="A701" t="e">
        <f>Data_Transform[[#This Row],[Player]]&amp;Data_Transform[[#This Row],[Week]]&amp;Data_Transform[[#This Row],[Role]]</f>
        <v>#VALUE!</v>
      </c>
    </row>
    <row r="702" spans="1:1" x14ac:dyDescent="0.25">
      <c r="A702" t="e">
        <f>Data_Transform[[#This Row],[Player]]&amp;Data_Transform[[#This Row],[Week]]&amp;Data_Transform[[#This Row],[Role]]</f>
        <v>#VALUE!</v>
      </c>
    </row>
    <row r="703" spans="1:1" x14ac:dyDescent="0.25">
      <c r="A703" t="e">
        <f>Data_Transform[[#This Row],[Player]]&amp;Data_Transform[[#This Row],[Week]]&amp;Data_Transform[[#This Row],[Role]]</f>
        <v>#VALUE!</v>
      </c>
    </row>
    <row r="704" spans="1:1" x14ac:dyDescent="0.25">
      <c r="A704" t="e">
        <f>Data_Transform[[#This Row],[Player]]&amp;Data_Transform[[#This Row],[Week]]&amp;Data_Transform[[#This Row],[Role]]</f>
        <v>#VALUE!</v>
      </c>
    </row>
    <row r="705" spans="1:1" x14ac:dyDescent="0.25">
      <c r="A705" t="e">
        <f>Data_Transform[[#This Row],[Player]]&amp;Data_Transform[[#This Row],[Week]]&amp;Data_Transform[[#This Row],[Role]]</f>
        <v>#VALUE!</v>
      </c>
    </row>
    <row r="706" spans="1:1" x14ac:dyDescent="0.25">
      <c r="A706" t="e">
        <f>Data_Transform[[#This Row],[Player]]&amp;Data_Transform[[#This Row],[Week]]&amp;Data_Transform[[#This Row],[Role]]</f>
        <v>#VALUE!</v>
      </c>
    </row>
    <row r="707" spans="1:1" x14ac:dyDescent="0.25">
      <c r="A707" t="e">
        <f>Data_Transform[[#This Row],[Player]]&amp;Data_Transform[[#This Row],[Week]]&amp;Data_Transform[[#This Row],[Role]]</f>
        <v>#VALUE!</v>
      </c>
    </row>
    <row r="708" spans="1:1" x14ac:dyDescent="0.25">
      <c r="A708" t="e">
        <f>Data_Transform[[#This Row],[Player]]&amp;Data_Transform[[#This Row],[Week]]&amp;Data_Transform[[#This Row],[Role]]</f>
        <v>#VALUE!</v>
      </c>
    </row>
    <row r="709" spans="1:1" x14ac:dyDescent="0.25">
      <c r="A709" t="e">
        <f>Data_Transform[[#This Row],[Player]]&amp;Data_Transform[[#This Row],[Week]]&amp;Data_Transform[[#This Row],[Role]]</f>
        <v>#VALUE!</v>
      </c>
    </row>
    <row r="710" spans="1:1" x14ac:dyDescent="0.25">
      <c r="A710" t="e">
        <f>Data_Transform[[#This Row],[Player]]&amp;Data_Transform[[#This Row],[Week]]&amp;Data_Transform[[#This Row],[Role]]</f>
        <v>#VALUE!</v>
      </c>
    </row>
    <row r="711" spans="1:1" x14ac:dyDescent="0.25">
      <c r="A711" t="e">
        <f>Data_Transform[[#This Row],[Player]]&amp;Data_Transform[[#This Row],[Week]]&amp;Data_Transform[[#This Row],[Role]]</f>
        <v>#VALUE!</v>
      </c>
    </row>
    <row r="712" spans="1:1" x14ac:dyDescent="0.25">
      <c r="A712" t="e">
        <f>Data_Transform[[#This Row],[Player]]&amp;Data_Transform[[#This Row],[Week]]&amp;Data_Transform[[#This Row],[Role]]</f>
        <v>#VALUE!</v>
      </c>
    </row>
    <row r="713" spans="1:1" x14ac:dyDescent="0.25">
      <c r="A713" t="e">
        <f>Data_Transform[[#This Row],[Player]]&amp;Data_Transform[[#This Row],[Week]]&amp;Data_Transform[[#This Row],[Role]]</f>
        <v>#VALUE!</v>
      </c>
    </row>
    <row r="714" spans="1:1" x14ac:dyDescent="0.25">
      <c r="A714" t="e">
        <f>Data_Transform[[#This Row],[Player]]&amp;Data_Transform[[#This Row],[Week]]&amp;Data_Transform[[#This Row],[Role]]</f>
        <v>#VALUE!</v>
      </c>
    </row>
    <row r="715" spans="1:1" x14ac:dyDescent="0.25">
      <c r="A715" t="e">
        <f>Data_Transform[[#This Row],[Player]]&amp;Data_Transform[[#This Row],[Week]]&amp;Data_Transform[[#This Row],[Role]]</f>
        <v>#VALUE!</v>
      </c>
    </row>
    <row r="716" spans="1:1" x14ac:dyDescent="0.25">
      <c r="A716" t="e">
        <f>Data_Transform[[#This Row],[Player]]&amp;Data_Transform[[#This Row],[Week]]&amp;Data_Transform[[#This Row],[Role]]</f>
        <v>#VALUE!</v>
      </c>
    </row>
    <row r="717" spans="1:1" x14ac:dyDescent="0.25">
      <c r="A717" t="e">
        <f>Data_Transform[[#This Row],[Player]]&amp;Data_Transform[[#This Row],[Week]]&amp;Data_Transform[[#This Row],[Role]]</f>
        <v>#VALUE!</v>
      </c>
    </row>
    <row r="718" spans="1:1" x14ac:dyDescent="0.25">
      <c r="A718" t="e">
        <f>Data_Transform[[#This Row],[Player]]&amp;Data_Transform[[#This Row],[Week]]&amp;Data_Transform[[#This Row],[Role]]</f>
        <v>#VALUE!</v>
      </c>
    </row>
    <row r="719" spans="1:1" x14ac:dyDescent="0.25">
      <c r="A719" t="e">
        <f>Data_Transform[[#This Row],[Player]]&amp;Data_Transform[[#This Row],[Week]]&amp;Data_Transform[[#This Row],[Role]]</f>
        <v>#VALUE!</v>
      </c>
    </row>
    <row r="720" spans="1:1" x14ac:dyDescent="0.25">
      <c r="A720" t="e">
        <f>Data_Transform[[#This Row],[Player]]&amp;Data_Transform[[#This Row],[Week]]&amp;Data_Transform[[#This Row],[Role]]</f>
        <v>#VALUE!</v>
      </c>
    </row>
    <row r="721" spans="1:1" x14ac:dyDescent="0.25">
      <c r="A721" t="e">
        <f>Data_Transform[[#This Row],[Player]]&amp;Data_Transform[[#This Row],[Week]]&amp;Data_Transform[[#This Row],[Role]]</f>
        <v>#VALUE!</v>
      </c>
    </row>
    <row r="722" spans="1:1" x14ac:dyDescent="0.25">
      <c r="A722" t="e">
        <f>Data_Transform[[#This Row],[Player]]&amp;Data_Transform[[#This Row],[Week]]&amp;Data_Transform[[#This Row],[Role]]</f>
        <v>#VALUE!</v>
      </c>
    </row>
    <row r="723" spans="1:1" x14ac:dyDescent="0.25">
      <c r="A723" t="e">
        <f>Data_Transform[[#This Row],[Player]]&amp;Data_Transform[[#This Row],[Week]]&amp;Data_Transform[[#This Row],[Role]]</f>
        <v>#VALUE!</v>
      </c>
    </row>
    <row r="724" spans="1:1" x14ac:dyDescent="0.25">
      <c r="A724" t="e">
        <f>Data_Transform[[#This Row],[Player]]&amp;Data_Transform[[#This Row],[Week]]&amp;Data_Transform[[#This Row],[Role]]</f>
        <v>#VALUE!</v>
      </c>
    </row>
    <row r="725" spans="1:1" x14ac:dyDescent="0.25">
      <c r="A725" t="e">
        <f>Data_Transform[[#This Row],[Player]]&amp;Data_Transform[[#This Row],[Week]]&amp;Data_Transform[[#This Row],[Role]]</f>
        <v>#VALUE!</v>
      </c>
    </row>
    <row r="726" spans="1:1" x14ac:dyDescent="0.25">
      <c r="A726" t="e">
        <f>Data_Transform[[#This Row],[Player]]&amp;Data_Transform[[#This Row],[Week]]&amp;Data_Transform[[#This Row],[Role]]</f>
        <v>#VALUE!</v>
      </c>
    </row>
    <row r="727" spans="1:1" x14ac:dyDescent="0.25">
      <c r="A727" t="e">
        <f>Data_Transform[[#This Row],[Player]]&amp;Data_Transform[[#This Row],[Week]]&amp;Data_Transform[[#This Row],[Role]]</f>
        <v>#VALUE!</v>
      </c>
    </row>
    <row r="728" spans="1:1" x14ac:dyDescent="0.25">
      <c r="A728" t="e">
        <f>Data_Transform[[#This Row],[Player]]&amp;Data_Transform[[#This Row],[Week]]&amp;Data_Transform[[#This Row],[Role]]</f>
        <v>#VALUE!</v>
      </c>
    </row>
    <row r="729" spans="1:1" x14ac:dyDescent="0.25">
      <c r="A729" t="e">
        <f>Data_Transform[[#This Row],[Player]]&amp;Data_Transform[[#This Row],[Week]]&amp;Data_Transform[[#This Row],[Role]]</f>
        <v>#VALUE!</v>
      </c>
    </row>
    <row r="730" spans="1:1" x14ac:dyDescent="0.25">
      <c r="A730" t="e">
        <f>Data_Transform[[#This Row],[Player]]&amp;Data_Transform[[#This Row],[Week]]&amp;Data_Transform[[#This Row],[Role]]</f>
        <v>#VALUE!</v>
      </c>
    </row>
    <row r="731" spans="1:1" x14ac:dyDescent="0.25">
      <c r="A731" t="e">
        <f>Data_Transform[[#This Row],[Player]]&amp;Data_Transform[[#This Row],[Week]]&amp;Data_Transform[[#This Row],[Role]]</f>
        <v>#VALUE!</v>
      </c>
    </row>
    <row r="732" spans="1:1" x14ac:dyDescent="0.25">
      <c r="A732" t="e">
        <f>Data_Transform[[#This Row],[Player]]&amp;Data_Transform[[#This Row],[Week]]&amp;Data_Transform[[#This Row],[Role]]</f>
        <v>#VALUE!</v>
      </c>
    </row>
    <row r="733" spans="1:1" x14ac:dyDescent="0.25">
      <c r="A733" t="e">
        <f>Data_Transform[[#This Row],[Player]]&amp;Data_Transform[[#This Row],[Week]]&amp;Data_Transform[[#This Row],[Role]]</f>
        <v>#VALUE!</v>
      </c>
    </row>
    <row r="734" spans="1:1" x14ac:dyDescent="0.25">
      <c r="A734" t="e">
        <f>Data_Transform[[#This Row],[Player]]&amp;Data_Transform[[#This Row],[Week]]&amp;Data_Transform[[#This Row],[Role]]</f>
        <v>#VALUE!</v>
      </c>
    </row>
    <row r="735" spans="1:1" x14ac:dyDescent="0.25">
      <c r="A735" t="e">
        <f>Data_Transform[[#This Row],[Player]]&amp;Data_Transform[[#This Row],[Week]]&amp;Data_Transform[[#This Row],[Role]]</f>
        <v>#VALUE!</v>
      </c>
    </row>
    <row r="736" spans="1:1" x14ac:dyDescent="0.25">
      <c r="A736" t="e">
        <f>Data_Transform[[#This Row],[Player]]&amp;Data_Transform[[#This Row],[Week]]&amp;Data_Transform[[#This Row],[Role]]</f>
        <v>#VALUE!</v>
      </c>
    </row>
    <row r="737" spans="1:1" x14ac:dyDescent="0.25">
      <c r="A737" t="e">
        <f>Data_Transform[[#This Row],[Player]]&amp;Data_Transform[[#This Row],[Week]]&amp;Data_Transform[[#This Row],[Role]]</f>
        <v>#VALUE!</v>
      </c>
    </row>
    <row r="738" spans="1:1" x14ac:dyDescent="0.25">
      <c r="A738" t="e">
        <f>Data_Transform[[#This Row],[Player]]&amp;Data_Transform[[#This Row],[Week]]&amp;Data_Transform[[#This Row],[Role]]</f>
        <v>#VALUE!</v>
      </c>
    </row>
    <row r="739" spans="1:1" x14ac:dyDescent="0.25">
      <c r="A739" t="e">
        <f>Data_Transform[[#This Row],[Player]]&amp;Data_Transform[[#This Row],[Week]]&amp;Data_Transform[[#This Row],[Role]]</f>
        <v>#VALUE!</v>
      </c>
    </row>
    <row r="740" spans="1:1" x14ac:dyDescent="0.25">
      <c r="A740" t="e">
        <f>Data_Transform[[#This Row],[Player]]&amp;Data_Transform[[#This Row],[Week]]&amp;Data_Transform[[#This Row],[Role]]</f>
        <v>#VALUE!</v>
      </c>
    </row>
    <row r="741" spans="1:1" x14ac:dyDescent="0.25">
      <c r="A741" t="e">
        <f>Data_Transform[[#This Row],[Player]]&amp;Data_Transform[[#This Row],[Week]]&amp;Data_Transform[[#This Row],[Role]]</f>
        <v>#VALUE!</v>
      </c>
    </row>
    <row r="742" spans="1:1" x14ac:dyDescent="0.25">
      <c r="A742" t="e">
        <f>Data_Transform[[#This Row],[Player]]&amp;Data_Transform[[#This Row],[Week]]&amp;Data_Transform[[#This Row],[Role]]</f>
        <v>#VALUE!</v>
      </c>
    </row>
    <row r="743" spans="1:1" x14ac:dyDescent="0.25">
      <c r="A743" t="e">
        <f>Data_Transform[[#This Row],[Player]]&amp;Data_Transform[[#This Row],[Week]]&amp;Data_Transform[[#This Row],[Role]]</f>
        <v>#VALUE!</v>
      </c>
    </row>
    <row r="744" spans="1:1" x14ac:dyDescent="0.25">
      <c r="A744" t="e">
        <f>Data_Transform[[#This Row],[Player]]&amp;Data_Transform[[#This Row],[Week]]&amp;Data_Transform[[#This Row],[Role]]</f>
        <v>#VALUE!</v>
      </c>
    </row>
    <row r="745" spans="1:1" x14ac:dyDescent="0.25">
      <c r="A745" t="e">
        <f>Data_Transform[[#This Row],[Player]]&amp;Data_Transform[[#This Row],[Week]]&amp;Data_Transform[[#This Row],[Role]]</f>
        <v>#VALUE!</v>
      </c>
    </row>
    <row r="746" spans="1:1" x14ac:dyDescent="0.25">
      <c r="A746" t="e">
        <f>Data_Transform[[#This Row],[Player]]&amp;Data_Transform[[#This Row],[Week]]&amp;Data_Transform[[#This Row],[Role]]</f>
        <v>#VALUE!</v>
      </c>
    </row>
    <row r="747" spans="1:1" x14ac:dyDescent="0.25">
      <c r="A747" t="e">
        <f>Data_Transform[[#This Row],[Player]]&amp;Data_Transform[[#This Row],[Week]]&amp;Data_Transform[[#This Row],[Role]]</f>
        <v>#VALUE!</v>
      </c>
    </row>
    <row r="748" spans="1:1" x14ac:dyDescent="0.25">
      <c r="A748" t="e">
        <f>Data_Transform[[#This Row],[Player]]&amp;Data_Transform[[#This Row],[Week]]&amp;Data_Transform[[#This Row],[Role]]</f>
        <v>#VALUE!</v>
      </c>
    </row>
    <row r="749" spans="1:1" x14ac:dyDescent="0.25">
      <c r="A749" t="e">
        <f>Data_Transform[[#This Row],[Player]]&amp;Data_Transform[[#This Row],[Week]]&amp;Data_Transform[[#This Row],[Role]]</f>
        <v>#VALUE!</v>
      </c>
    </row>
    <row r="750" spans="1:1" x14ac:dyDescent="0.25">
      <c r="A750" t="e">
        <f>Data_Transform[[#This Row],[Player]]&amp;Data_Transform[[#This Row],[Week]]&amp;Data_Transform[[#This Row],[Role]]</f>
        <v>#VALUE!</v>
      </c>
    </row>
    <row r="751" spans="1:1" x14ac:dyDescent="0.25">
      <c r="A751" t="e">
        <f>Data_Transform[[#This Row],[Player]]&amp;Data_Transform[[#This Row],[Week]]&amp;Data_Transform[[#This Row],[Role]]</f>
        <v>#VALUE!</v>
      </c>
    </row>
    <row r="752" spans="1:1" x14ac:dyDescent="0.25">
      <c r="A752" t="e">
        <f>Data_Transform[[#This Row],[Player]]&amp;Data_Transform[[#This Row],[Week]]&amp;Data_Transform[[#This Row],[Role]]</f>
        <v>#VALUE!</v>
      </c>
    </row>
    <row r="753" spans="1:1" x14ac:dyDescent="0.25">
      <c r="A753" t="e">
        <f>Data_Transform[[#This Row],[Player]]&amp;Data_Transform[[#This Row],[Week]]&amp;Data_Transform[[#This Row],[Role]]</f>
        <v>#VALUE!</v>
      </c>
    </row>
    <row r="754" spans="1:1" x14ac:dyDescent="0.25">
      <c r="A754" t="e">
        <f>Data_Transform[[#This Row],[Player]]&amp;Data_Transform[[#This Row],[Week]]&amp;Data_Transform[[#This Row],[Role]]</f>
        <v>#VALUE!</v>
      </c>
    </row>
    <row r="755" spans="1:1" x14ac:dyDescent="0.25">
      <c r="A755" t="e">
        <f>Data_Transform[[#This Row],[Player]]&amp;Data_Transform[[#This Row],[Week]]&amp;Data_Transform[[#This Row],[Role]]</f>
        <v>#VALUE!</v>
      </c>
    </row>
    <row r="756" spans="1:1" x14ac:dyDescent="0.25">
      <c r="A756" t="e">
        <f>Data_Transform[[#This Row],[Player]]&amp;Data_Transform[[#This Row],[Week]]&amp;Data_Transform[[#This Row],[Role]]</f>
        <v>#VALUE!</v>
      </c>
    </row>
    <row r="757" spans="1:1" x14ac:dyDescent="0.25">
      <c r="A757" t="e">
        <f>Data_Transform[[#This Row],[Player]]&amp;Data_Transform[[#This Row],[Week]]&amp;Data_Transform[[#This Row],[Role]]</f>
        <v>#VALUE!</v>
      </c>
    </row>
    <row r="758" spans="1:1" x14ac:dyDescent="0.25">
      <c r="A758" t="e">
        <f>Data_Transform[[#This Row],[Player]]&amp;Data_Transform[[#This Row],[Week]]&amp;Data_Transform[[#This Row],[Role]]</f>
        <v>#VALUE!</v>
      </c>
    </row>
    <row r="759" spans="1:1" x14ac:dyDescent="0.25">
      <c r="A759" t="e">
        <f>Data_Transform[[#This Row],[Player]]&amp;Data_Transform[[#This Row],[Week]]&amp;Data_Transform[[#This Row],[Role]]</f>
        <v>#VALUE!</v>
      </c>
    </row>
    <row r="760" spans="1:1" x14ac:dyDescent="0.25">
      <c r="A760" t="e">
        <f>Data_Transform[[#This Row],[Player]]&amp;Data_Transform[[#This Row],[Week]]&amp;Data_Transform[[#This Row],[Role]]</f>
        <v>#VALUE!</v>
      </c>
    </row>
    <row r="761" spans="1:1" x14ac:dyDescent="0.25">
      <c r="A761" t="e">
        <f>Data_Transform[[#This Row],[Player]]&amp;Data_Transform[[#This Row],[Week]]&amp;Data_Transform[[#This Row],[Role]]</f>
        <v>#VALUE!</v>
      </c>
    </row>
    <row r="762" spans="1:1" x14ac:dyDescent="0.25">
      <c r="A762" t="e">
        <f>Data_Transform[[#This Row],[Player]]&amp;Data_Transform[[#This Row],[Week]]&amp;Data_Transform[[#This Row],[Role]]</f>
        <v>#VALUE!</v>
      </c>
    </row>
    <row r="763" spans="1:1" x14ac:dyDescent="0.25">
      <c r="A763" t="e">
        <f>Data_Transform[[#This Row],[Player]]&amp;Data_Transform[[#This Row],[Week]]&amp;Data_Transform[[#This Row],[Role]]</f>
        <v>#VALUE!</v>
      </c>
    </row>
    <row r="764" spans="1:1" x14ac:dyDescent="0.25">
      <c r="A764" t="e">
        <f>Data_Transform[[#This Row],[Player]]&amp;Data_Transform[[#This Row],[Week]]&amp;Data_Transform[[#This Row],[Role]]</f>
        <v>#VALUE!</v>
      </c>
    </row>
    <row r="765" spans="1:1" x14ac:dyDescent="0.25">
      <c r="A765" t="e">
        <f>Data_Transform[[#This Row],[Player]]&amp;Data_Transform[[#This Row],[Week]]&amp;Data_Transform[[#This Row],[Role]]</f>
        <v>#VALUE!</v>
      </c>
    </row>
    <row r="766" spans="1:1" x14ac:dyDescent="0.25">
      <c r="A766" t="e">
        <f>Data_Transform[[#This Row],[Player]]&amp;Data_Transform[[#This Row],[Week]]&amp;Data_Transform[[#This Row],[Role]]</f>
        <v>#VALUE!</v>
      </c>
    </row>
    <row r="767" spans="1:1" x14ac:dyDescent="0.25">
      <c r="A767" t="e">
        <f>Data_Transform[[#This Row],[Player]]&amp;Data_Transform[[#This Row],[Week]]&amp;Data_Transform[[#This Row],[Role]]</f>
        <v>#VALUE!</v>
      </c>
    </row>
    <row r="768" spans="1:1" x14ac:dyDescent="0.25">
      <c r="A768" t="e">
        <f>Data_Transform[[#This Row],[Player]]&amp;Data_Transform[[#This Row],[Week]]&amp;Data_Transform[[#This Row],[Role]]</f>
        <v>#VALUE!</v>
      </c>
    </row>
    <row r="769" spans="1:1" x14ac:dyDescent="0.25">
      <c r="A769" t="e">
        <f>Data_Transform[[#This Row],[Player]]&amp;Data_Transform[[#This Row],[Week]]&amp;Data_Transform[[#This Row],[Role]]</f>
        <v>#VALUE!</v>
      </c>
    </row>
    <row r="770" spans="1:1" x14ac:dyDescent="0.25">
      <c r="A770" t="e">
        <f>Data_Transform[[#This Row],[Player]]&amp;Data_Transform[[#This Row],[Week]]&amp;Data_Transform[[#This Row],[Role]]</f>
        <v>#VALUE!</v>
      </c>
    </row>
    <row r="771" spans="1:1" x14ac:dyDescent="0.25">
      <c r="A771" t="e">
        <f>Data_Transform[[#This Row],[Player]]&amp;Data_Transform[[#This Row],[Week]]&amp;Data_Transform[[#This Row],[Role]]</f>
        <v>#VALUE!</v>
      </c>
    </row>
    <row r="772" spans="1:1" x14ac:dyDescent="0.25">
      <c r="A772" t="e">
        <f>Data_Transform[[#This Row],[Player]]&amp;Data_Transform[[#This Row],[Week]]&amp;Data_Transform[[#This Row],[Role]]</f>
        <v>#VALUE!</v>
      </c>
    </row>
    <row r="773" spans="1:1" x14ac:dyDescent="0.25">
      <c r="A773" t="e">
        <f>Data_Transform[[#This Row],[Player]]&amp;Data_Transform[[#This Row],[Week]]&amp;Data_Transform[[#This Row],[Role]]</f>
        <v>#VALUE!</v>
      </c>
    </row>
    <row r="774" spans="1:1" x14ac:dyDescent="0.25">
      <c r="A774" t="e">
        <f>Data_Transform[[#This Row],[Player]]&amp;Data_Transform[[#This Row],[Week]]&amp;Data_Transform[[#This Row],[Role]]</f>
        <v>#VALUE!</v>
      </c>
    </row>
    <row r="775" spans="1:1" x14ac:dyDescent="0.25">
      <c r="A775" t="e">
        <f>Data_Transform[[#This Row],[Player]]&amp;Data_Transform[[#This Row],[Week]]&amp;Data_Transform[[#This Row],[Role]]</f>
        <v>#VALUE!</v>
      </c>
    </row>
    <row r="776" spans="1:1" x14ac:dyDescent="0.25">
      <c r="A776" t="e">
        <f>Data_Transform[[#This Row],[Player]]&amp;Data_Transform[[#This Row],[Week]]&amp;Data_Transform[[#This Row],[Role]]</f>
        <v>#VALUE!</v>
      </c>
    </row>
    <row r="777" spans="1:1" x14ac:dyDescent="0.25">
      <c r="A777" t="e">
        <f>Data_Transform[[#This Row],[Player]]&amp;Data_Transform[[#This Row],[Week]]&amp;Data_Transform[[#This Row],[Role]]</f>
        <v>#VALUE!</v>
      </c>
    </row>
    <row r="778" spans="1:1" x14ac:dyDescent="0.25">
      <c r="A778" t="e">
        <f>Data_Transform[[#This Row],[Player]]&amp;Data_Transform[[#This Row],[Week]]&amp;Data_Transform[[#This Row],[Role]]</f>
        <v>#VALUE!</v>
      </c>
    </row>
    <row r="779" spans="1:1" x14ac:dyDescent="0.25">
      <c r="A779" t="e">
        <f>Data_Transform[[#This Row],[Player]]&amp;Data_Transform[[#This Row],[Week]]&amp;Data_Transform[[#This Row],[Role]]</f>
        <v>#VALUE!</v>
      </c>
    </row>
    <row r="780" spans="1:1" x14ac:dyDescent="0.25">
      <c r="A780" t="e">
        <f>Data_Transform[[#This Row],[Player]]&amp;Data_Transform[[#This Row],[Week]]&amp;Data_Transform[[#This Row],[Role]]</f>
        <v>#VALUE!</v>
      </c>
    </row>
    <row r="781" spans="1:1" x14ac:dyDescent="0.25">
      <c r="A781" t="e">
        <f>Data_Transform[[#This Row],[Player]]&amp;Data_Transform[[#This Row],[Week]]&amp;Data_Transform[[#This Row],[Role]]</f>
        <v>#VALUE!</v>
      </c>
    </row>
    <row r="782" spans="1:1" x14ac:dyDescent="0.25">
      <c r="A782" t="e">
        <f>Data_Transform[[#This Row],[Player]]&amp;Data_Transform[[#This Row],[Week]]&amp;Data_Transform[[#This Row],[Role]]</f>
        <v>#VALUE!</v>
      </c>
    </row>
    <row r="783" spans="1:1" x14ac:dyDescent="0.25">
      <c r="A783" t="e">
        <f>Data_Transform[[#This Row],[Player]]&amp;Data_Transform[[#This Row],[Week]]&amp;Data_Transform[[#This Row],[Role]]</f>
        <v>#VALUE!</v>
      </c>
    </row>
    <row r="784" spans="1:1" x14ac:dyDescent="0.25">
      <c r="A784" t="e">
        <f>Data_Transform[[#This Row],[Player]]&amp;Data_Transform[[#This Row],[Week]]&amp;Data_Transform[[#This Row],[Role]]</f>
        <v>#VALUE!</v>
      </c>
    </row>
    <row r="785" spans="1:1" x14ac:dyDescent="0.25">
      <c r="A785" t="e">
        <f>Data_Transform[[#This Row],[Player]]&amp;Data_Transform[[#This Row],[Week]]&amp;Data_Transform[[#This Row],[Role]]</f>
        <v>#VALUE!</v>
      </c>
    </row>
    <row r="786" spans="1:1" x14ac:dyDescent="0.25">
      <c r="A786" t="e">
        <f>Data_Transform[[#This Row],[Player]]&amp;Data_Transform[[#This Row],[Week]]&amp;Data_Transform[[#This Row],[Role]]</f>
        <v>#VALUE!</v>
      </c>
    </row>
    <row r="787" spans="1:1" x14ac:dyDescent="0.25">
      <c r="A787" t="e">
        <f>Data_Transform[[#This Row],[Player]]&amp;Data_Transform[[#This Row],[Week]]&amp;Data_Transform[[#This Row],[Role]]</f>
        <v>#VALUE!</v>
      </c>
    </row>
    <row r="788" spans="1:1" x14ac:dyDescent="0.25">
      <c r="A788" t="e">
        <f>Data_Transform[[#This Row],[Player]]&amp;Data_Transform[[#This Row],[Week]]&amp;Data_Transform[[#This Row],[Role]]</f>
        <v>#VALUE!</v>
      </c>
    </row>
    <row r="789" spans="1:1" x14ac:dyDescent="0.25">
      <c r="A789" t="e">
        <f>Data_Transform[[#This Row],[Player]]&amp;Data_Transform[[#This Row],[Week]]&amp;Data_Transform[[#This Row],[Role]]</f>
        <v>#VALUE!</v>
      </c>
    </row>
    <row r="790" spans="1:1" x14ac:dyDescent="0.25">
      <c r="A790" t="e">
        <f>Data_Transform[[#This Row],[Player]]&amp;Data_Transform[[#This Row],[Week]]&amp;Data_Transform[[#This Row],[Role]]</f>
        <v>#VALUE!</v>
      </c>
    </row>
    <row r="791" spans="1:1" x14ac:dyDescent="0.25">
      <c r="A791" t="e">
        <f>Data_Transform[[#This Row],[Player]]&amp;Data_Transform[[#This Row],[Week]]&amp;Data_Transform[[#This Row],[Role]]</f>
        <v>#VALUE!</v>
      </c>
    </row>
    <row r="792" spans="1:1" x14ac:dyDescent="0.25">
      <c r="A792" t="e">
        <f>Data_Transform[[#This Row],[Player]]&amp;Data_Transform[[#This Row],[Week]]&amp;Data_Transform[[#This Row],[Role]]</f>
        <v>#VALUE!</v>
      </c>
    </row>
    <row r="793" spans="1:1" x14ac:dyDescent="0.25">
      <c r="A793" t="e">
        <f>Data_Transform[[#This Row],[Player]]&amp;Data_Transform[[#This Row],[Week]]&amp;Data_Transform[[#This Row],[Role]]</f>
        <v>#VALUE!</v>
      </c>
    </row>
    <row r="794" spans="1:1" x14ac:dyDescent="0.25">
      <c r="A794" t="e">
        <f>Data_Transform[[#This Row],[Player]]&amp;Data_Transform[[#This Row],[Week]]&amp;Data_Transform[[#This Row],[Role]]</f>
        <v>#VALUE!</v>
      </c>
    </row>
    <row r="795" spans="1:1" x14ac:dyDescent="0.25">
      <c r="A795" t="e">
        <f>Data_Transform[[#This Row],[Player]]&amp;Data_Transform[[#This Row],[Week]]&amp;Data_Transform[[#This Row],[Role]]</f>
        <v>#VALUE!</v>
      </c>
    </row>
    <row r="796" spans="1:1" x14ac:dyDescent="0.25">
      <c r="A796" t="e">
        <f>Data_Transform[[#This Row],[Player]]&amp;Data_Transform[[#This Row],[Week]]&amp;Data_Transform[[#This Row],[Role]]</f>
        <v>#VALUE!</v>
      </c>
    </row>
    <row r="797" spans="1:1" x14ac:dyDescent="0.25">
      <c r="A797" t="e">
        <f>Data_Transform[[#This Row],[Player]]&amp;Data_Transform[[#This Row],[Week]]&amp;Data_Transform[[#This Row],[Role]]</f>
        <v>#VALUE!</v>
      </c>
    </row>
    <row r="798" spans="1:1" x14ac:dyDescent="0.25">
      <c r="A798" t="e">
        <f>Data_Transform[[#This Row],[Player]]&amp;Data_Transform[[#This Row],[Week]]&amp;Data_Transform[[#This Row],[Role]]</f>
        <v>#VALUE!</v>
      </c>
    </row>
    <row r="799" spans="1:1" x14ac:dyDescent="0.25">
      <c r="A799" t="e">
        <f>Data_Transform[[#This Row],[Player]]&amp;Data_Transform[[#This Row],[Week]]&amp;Data_Transform[[#This Row],[Role]]</f>
        <v>#VALUE!</v>
      </c>
    </row>
    <row r="800" spans="1:1" x14ac:dyDescent="0.25">
      <c r="A800" t="e">
        <f>Data_Transform[[#This Row],[Player]]&amp;Data_Transform[[#This Row],[Week]]&amp;Data_Transform[[#This Row],[Role]]</f>
        <v>#VALUE!</v>
      </c>
    </row>
    <row r="801" spans="1:1" x14ac:dyDescent="0.25">
      <c r="A801" t="e">
        <f>Data_Transform[[#This Row],[Player]]&amp;Data_Transform[[#This Row],[Week]]&amp;Data_Transform[[#This Row],[Role]]</f>
        <v>#VALUE!</v>
      </c>
    </row>
    <row r="802" spans="1:1" x14ac:dyDescent="0.25">
      <c r="A802" t="e">
        <f>Data_Transform[[#This Row],[Player]]&amp;Data_Transform[[#This Row],[Week]]&amp;Data_Transform[[#This Row],[Role]]</f>
        <v>#VALUE!</v>
      </c>
    </row>
    <row r="803" spans="1:1" x14ac:dyDescent="0.25">
      <c r="A803" t="e">
        <f>Data_Transform[[#This Row],[Player]]&amp;Data_Transform[[#This Row],[Week]]&amp;Data_Transform[[#This Row],[Role]]</f>
        <v>#VALUE!</v>
      </c>
    </row>
    <row r="804" spans="1:1" x14ac:dyDescent="0.25">
      <c r="A804" t="e">
        <f>Data_Transform[[#This Row],[Player]]&amp;Data_Transform[[#This Row],[Week]]&amp;Data_Transform[[#This Row],[Role]]</f>
        <v>#VALUE!</v>
      </c>
    </row>
    <row r="805" spans="1:1" x14ac:dyDescent="0.25">
      <c r="A805" t="e">
        <f>Data_Transform[[#This Row],[Player]]&amp;Data_Transform[[#This Row],[Week]]&amp;Data_Transform[[#This Row],[Role]]</f>
        <v>#VALUE!</v>
      </c>
    </row>
    <row r="806" spans="1:1" x14ac:dyDescent="0.25">
      <c r="A806" t="e">
        <f>Data_Transform[[#This Row],[Player]]&amp;Data_Transform[[#This Row],[Week]]&amp;Data_Transform[[#This Row],[Role]]</f>
        <v>#VALUE!</v>
      </c>
    </row>
    <row r="807" spans="1:1" x14ac:dyDescent="0.25">
      <c r="A807" t="e">
        <f>Data_Transform[[#This Row],[Player]]&amp;Data_Transform[[#This Row],[Week]]&amp;Data_Transform[[#This Row],[Role]]</f>
        <v>#VALUE!</v>
      </c>
    </row>
    <row r="808" spans="1:1" x14ac:dyDescent="0.25">
      <c r="A808" t="e">
        <f>Data_Transform[[#This Row],[Player]]&amp;Data_Transform[[#This Row],[Week]]&amp;Data_Transform[[#This Row],[Role]]</f>
        <v>#VALUE!</v>
      </c>
    </row>
    <row r="809" spans="1:1" x14ac:dyDescent="0.25">
      <c r="A809" t="e">
        <f>Data_Transform[[#This Row],[Player]]&amp;Data_Transform[[#This Row],[Week]]&amp;Data_Transform[[#This Row],[Role]]</f>
        <v>#VALUE!</v>
      </c>
    </row>
    <row r="810" spans="1:1" x14ac:dyDescent="0.25">
      <c r="A810" t="e">
        <f>Data_Transform[[#This Row],[Player]]&amp;Data_Transform[[#This Row],[Week]]&amp;Data_Transform[[#This Row],[Role]]</f>
        <v>#VALUE!</v>
      </c>
    </row>
    <row r="811" spans="1:1" x14ac:dyDescent="0.25">
      <c r="A811" t="e">
        <f>Data_Transform[[#This Row],[Player]]&amp;Data_Transform[[#This Row],[Week]]&amp;Data_Transform[[#This Row],[Role]]</f>
        <v>#VALUE!</v>
      </c>
    </row>
    <row r="812" spans="1:1" x14ac:dyDescent="0.25">
      <c r="A812" t="e">
        <f>Data_Transform[[#This Row],[Player]]&amp;Data_Transform[[#This Row],[Week]]&amp;Data_Transform[[#This Row],[Role]]</f>
        <v>#VALUE!</v>
      </c>
    </row>
    <row r="813" spans="1:1" x14ac:dyDescent="0.25">
      <c r="A813" t="e">
        <f>Data_Transform[[#This Row],[Player]]&amp;Data_Transform[[#This Row],[Week]]&amp;Data_Transform[[#This Row],[Role]]</f>
        <v>#VALUE!</v>
      </c>
    </row>
    <row r="814" spans="1:1" x14ac:dyDescent="0.25">
      <c r="A814" t="e">
        <f>Data_Transform[[#This Row],[Player]]&amp;Data_Transform[[#This Row],[Week]]&amp;Data_Transform[[#This Row],[Role]]</f>
        <v>#VALUE!</v>
      </c>
    </row>
    <row r="815" spans="1:1" x14ac:dyDescent="0.25">
      <c r="A815" t="e">
        <f>Data_Transform[[#This Row],[Player]]&amp;Data_Transform[[#This Row],[Week]]&amp;Data_Transform[[#This Row],[Role]]</f>
        <v>#VALUE!</v>
      </c>
    </row>
    <row r="816" spans="1:1" x14ac:dyDescent="0.25">
      <c r="A816" t="e">
        <f>Data_Transform[[#This Row],[Player]]&amp;Data_Transform[[#This Row],[Week]]&amp;Data_Transform[[#This Row],[Role]]</f>
        <v>#VALUE!</v>
      </c>
    </row>
    <row r="817" spans="1:1" x14ac:dyDescent="0.25">
      <c r="A817" t="e">
        <f>Data_Transform[[#This Row],[Player]]&amp;Data_Transform[[#This Row],[Week]]&amp;Data_Transform[[#This Row],[Role]]</f>
        <v>#VALUE!</v>
      </c>
    </row>
    <row r="818" spans="1:1" x14ac:dyDescent="0.25">
      <c r="A818" t="e">
        <f>Data_Transform[[#This Row],[Player]]&amp;Data_Transform[[#This Row],[Week]]&amp;Data_Transform[[#This Row],[Role]]</f>
        <v>#VALUE!</v>
      </c>
    </row>
    <row r="819" spans="1:1" x14ac:dyDescent="0.25">
      <c r="A819" t="e">
        <f>Data_Transform[[#This Row],[Player]]&amp;Data_Transform[[#This Row],[Week]]&amp;Data_Transform[[#This Row],[Role]]</f>
        <v>#VALUE!</v>
      </c>
    </row>
    <row r="820" spans="1:1" x14ac:dyDescent="0.25">
      <c r="A820" t="e">
        <f>Data_Transform[[#This Row],[Player]]&amp;Data_Transform[[#This Row],[Week]]&amp;Data_Transform[[#This Row],[Role]]</f>
        <v>#VALUE!</v>
      </c>
    </row>
    <row r="821" spans="1:1" x14ac:dyDescent="0.25">
      <c r="A821" t="e">
        <f>Data_Transform[[#This Row],[Player]]&amp;Data_Transform[[#This Row],[Week]]&amp;Data_Transform[[#This Row],[Role]]</f>
        <v>#VALUE!</v>
      </c>
    </row>
    <row r="822" spans="1:1" x14ac:dyDescent="0.25">
      <c r="A822" t="e">
        <f>Data_Transform[[#This Row],[Player]]&amp;Data_Transform[[#This Row],[Week]]&amp;Data_Transform[[#This Row],[Role]]</f>
        <v>#VALUE!</v>
      </c>
    </row>
    <row r="823" spans="1:1" x14ac:dyDescent="0.25">
      <c r="A823" t="e">
        <f>Data_Transform[[#This Row],[Player]]&amp;Data_Transform[[#This Row],[Week]]&amp;Data_Transform[[#This Row],[Role]]</f>
        <v>#VALUE!</v>
      </c>
    </row>
    <row r="824" spans="1:1" x14ac:dyDescent="0.25">
      <c r="A824" t="e">
        <f>Data_Transform[[#This Row],[Player]]&amp;Data_Transform[[#This Row],[Week]]&amp;Data_Transform[[#This Row],[Role]]</f>
        <v>#VALUE!</v>
      </c>
    </row>
    <row r="825" spans="1:1" x14ac:dyDescent="0.25">
      <c r="A825" t="e">
        <f>Data_Transform[[#This Row],[Player]]&amp;Data_Transform[[#This Row],[Week]]&amp;Data_Transform[[#This Row],[Role]]</f>
        <v>#VALUE!</v>
      </c>
    </row>
    <row r="826" spans="1:1" x14ac:dyDescent="0.25">
      <c r="A826" t="e">
        <f>Data_Transform[[#This Row],[Player]]&amp;Data_Transform[[#This Row],[Week]]&amp;Data_Transform[[#This Row],[Role]]</f>
        <v>#VALUE!</v>
      </c>
    </row>
    <row r="827" spans="1:1" x14ac:dyDescent="0.25">
      <c r="A827" t="e">
        <f>Data_Transform[[#This Row],[Player]]&amp;Data_Transform[[#This Row],[Week]]&amp;Data_Transform[[#This Row],[Role]]</f>
        <v>#VALUE!</v>
      </c>
    </row>
    <row r="828" spans="1:1" x14ac:dyDescent="0.25">
      <c r="A828" t="e">
        <f>Data_Transform[[#This Row],[Player]]&amp;Data_Transform[[#This Row],[Week]]&amp;Data_Transform[[#This Row],[Role]]</f>
        <v>#VALUE!</v>
      </c>
    </row>
    <row r="829" spans="1:1" x14ac:dyDescent="0.25">
      <c r="A829" t="e">
        <f>Data_Transform[[#This Row],[Player]]&amp;Data_Transform[[#This Row],[Week]]&amp;Data_Transform[[#This Row],[Role]]</f>
        <v>#VALUE!</v>
      </c>
    </row>
    <row r="830" spans="1:1" x14ac:dyDescent="0.25">
      <c r="A830" t="e">
        <f>Data_Transform[[#This Row],[Player]]&amp;Data_Transform[[#This Row],[Week]]&amp;Data_Transform[[#This Row],[Role]]</f>
        <v>#VALUE!</v>
      </c>
    </row>
    <row r="831" spans="1:1" x14ac:dyDescent="0.25">
      <c r="A831" t="e">
        <f>Data_Transform[[#This Row],[Player]]&amp;Data_Transform[[#This Row],[Week]]&amp;Data_Transform[[#This Row],[Role]]</f>
        <v>#VALUE!</v>
      </c>
    </row>
    <row r="832" spans="1:1" x14ac:dyDescent="0.25">
      <c r="A832" t="e">
        <f>Data_Transform[[#This Row],[Player]]&amp;Data_Transform[[#This Row],[Week]]&amp;Data_Transform[[#This Row],[Role]]</f>
        <v>#VALUE!</v>
      </c>
    </row>
    <row r="833" spans="1:1" x14ac:dyDescent="0.25">
      <c r="A833" t="e">
        <f>Data_Transform[[#This Row],[Player]]&amp;Data_Transform[[#This Row],[Week]]&amp;Data_Transform[[#This Row],[Role]]</f>
        <v>#VALUE!</v>
      </c>
    </row>
    <row r="834" spans="1:1" x14ac:dyDescent="0.25">
      <c r="A834" t="e">
        <f>Data_Transform[[#This Row],[Player]]&amp;Data_Transform[[#This Row],[Week]]&amp;Data_Transform[[#This Row],[Role]]</f>
        <v>#VALUE!</v>
      </c>
    </row>
    <row r="835" spans="1:1" x14ac:dyDescent="0.25">
      <c r="A835" t="e">
        <f>Data_Transform[[#This Row],[Player]]&amp;Data_Transform[[#This Row],[Week]]&amp;Data_Transform[[#This Row],[Role]]</f>
        <v>#VALUE!</v>
      </c>
    </row>
    <row r="836" spans="1:1" x14ac:dyDescent="0.25">
      <c r="A836" t="e">
        <f>Data_Transform[[#This Row],[Player]]&amp;Data_Transform[[#This Row],[Week]]&amp;Data_Transform[[#This Row],[Role]]</f>
        <v>#VALUE!</v>
      </c>
    </row>
    <row r="837" spans="1:1" x14ac:dyDescent="0.25">
      <c r="A837" t="e">
        <f>Data_Transform[[#This Row],[Player]]&amp;Data_Transform[[#This Row],[Week]]&amp;Data_Transform[[#This Row],[Role]]</f>
        <v>#VALUE!</v>
      </c>
    </row>
    <row r="838" spans="1:1" x14ac:dyDescent="0.25">
      <c r="A838" t="e">
        <f>Data_Transform[[#This Row],[Player]]&amp;Data_Transform[[#This Row],[Week]]&amp;Data_Transform[[#This Row],[Role]]</f>
        <v>#VALUE!</v>
      </c>
    </row>
    <row r="839" spans="1:1" x14ac:dyDescent="0.25">
      <c r="A839" t="e">
        <f>Data_Transform[[#This Row],[Player]]&amp;Data_Transform[[#This Row],[Week]]&amp;Data_Transform[[#This Row],[Role]]</f>
        <v>#VALUE!</v>
      </c>
    </row>
    <row r="840" spans="1:1" x14ac:dyDescent="0.25">
      <c r="A840" t="e">
        <f>Data_Transform[[#This Row],[Player]]&amp;Data_Transform[[#This Row],[Week]]&amp;Data_Transform[[#This Row],[Role]]</f>
        <v>#VALUE!</v>
      </c>
    </row>
    <row r="841" spans="1:1" x14ac:dyDescent="0.25">
      <c r="A841" t="e">
        <f>Data_Transform[[#This Row],[Player]]&amp;Data_Transform[[#This Row],[Week]]&amp;Data_Transform[[#This Row],[Role]]</f>
        <v>#VALUE!</v>
      </c>
    </row>
    <row r="842" spans="1:1" x14ac:dyDescent="0.25">
      <c r="A842" t="e">
        <f>Data_Transform[[#This Row],[Player]]&amp;Data_Transform[[#This Row],[Week]]&amp;Data_Transform[[#This Row],[Role]]</f>
        <v>#VALUE!</v>
      </c>
    </row>
    <row r="843" spans="1:1" x14ac:dyDescent="0.25">
      <c r="A843" t="e">
        <f>Data_Transform[[#This Row],[Player]]&amp;Data_Transform[[#This Row],[Week]]&amp;Data_Transform[[#This Row],[Role]]</f>
        <v>#VALUE!</v>
      </c>
    </row>
    <row r="844" spans="1:1" x14ac:dyDescent="0.25">
      <c r="A844" t="e">
        <f>Data_Transform[[#This Row],[Player]]&amp;Data_Transform[[#This Row],[Week]]&amp;Data_Transform[[#This Row],[Role]]</f>
        <v>#VALUE!</v>
      </c>
    </row>
    <row r="845" spans="1:1" x14ac:dyDescent="0.25">
      <c r="A845" t="e">
        <f>Data_Transform[[#This Row],[Player]]&amp;Data_Transform[[#This Row],[Week]]&amp;Data_Transform[[#This Row],[Role]]</f>
        <v>#VALUE!</v>
      </c>
    </row>
    <row r="846" spans="1:1" x14ac:dyDescent="0.25">
      <c r="A846" t="e">
        <f>Data_Transform[[#This Row],[Player]]&amp;Data_Transform[[#This Row],[Week]]&amp;Data_Transform[[#This Row],[Role]]</f>
        <v>#VALUE!</v>
      </c>
    </row>
    <row r="847" spans="1:1" x14ac:dyDescent="0.25">
      <c r="A847" t="e">
        <f>Data_Transform[[#This Row],[Player]]&amp;Data_Transform[[#This Row],[Week]]&amp;Data_Transform[[#This Row],[Role]]</f>
        <v>#VALUE!</v>
      </c>
    </row>
    <row r="848" spans="1:1" x14ac:dyDescent="0.25">
      <c r="A848" t="e">
        <f>Data_Transform[[#This Row],[Player]]&amp;Data_Transform[[#This Row],[Week]]&amp;Data_Transform[[#This Row],[Role]]</f>
        <v>#VALUE!</v>
      </c>
    </row>
    <row r="849" spans="1:1" x14ac:dyDescent="0.25">
      <c r="A849" t="e">
        <f>Data_Transform[[#This Row],[Player]]&amp;Data_Transform[[#This Row],[Week]]&amp;Data_Transform[[#This Row],[Role]]</f>
        <v>#VALUE!</v>
      </c>
    </row>
    <row r="850" spans="1:1" x14ac:dyDescent="0.25">
      <c r="A850" t="e">
        <f>Data_Transform[[#This Row],[Player]]&amp;Data_Transform[[#This Row],[Week]]&amp;Data_Transform[[#This Row],[Role]]</f>
        <v>#VALUE!</v>
      </c>
    </row>
    <row r="851" spans="1:1" x14ac:dyDescent="0.25">
      <c r="A851" t="e">
        <f>Data_Transform[[#This Row],[Player]]&amp;Data_Transform[[#This Row],[Week]]&amp;Data_Transform[[#This Row],[Role]]</f>
        <v>#VALUE!</v>
      </c>
    </row>
    <row r="852" spans="1:1" x14ac:dyDescent="0.25">
      <c r="A852" t="e">
        <f>Data_Transform[[#This Row],[Player]]&amp;Data_Transform[[#This Row],[Week]]&amp;Data_Transform[[#This Row],[Role]]</f>
        <v>#VALUE!</v>
      </c>
    </row>
    <row r="853" spans="1:1" x14ac:dyDescent="0.25">
      <c r="A853" t="e">
        <f>Data_Transform[[#This Row],[Player]]&amp;Data_Transform[[#This Row],[Week]]&amp;Data_Transform[[#This Row],[Role]]</f>
        <v>#VALUE!</v>
      </c>
    </row>
    <row r="854" spans="1:1" x14ac:dyDescent="0.25">
      <c r="A854" t="e">
        <f>Data_Transform[[#This Row],[Player]]&amp;Data_Transform[[#This Row],[Week]]&amp;Data_Transform[[#This Row],[Role]]</f>
        <v>#VALUE!</v>
      </c>
    </row>
    <row r="855" spans="1:1" x14ac:dyDescent="0.25">
      <c r="A855" t="e">
        <f>Data_Transform[[#This Row],[Player]]&amp;Data_Transform[[#This Row],[Week]]&amp;Data_Transform[[#This Row],[Role]]</f>
        <v>#VALUE!</v>
      </c>
    </row>
    <row r="856" spans="1:1" x14ac:dyDescent="0.25">
      <c r="A856" t="e">
        <f>Data_Transform[[#This Row],[Player]]&amp;Data_Transform[[#This Row],[Week]]&amp;Data_Transform[[#This Row],[Role]]</f>
        <v>#VALUE!</v>
      </c>
    </row>
    <row r="857" spans="1:1" x14ac:dyDescent="0.25">
      <c r="A857" t="e">
        <f>Data_Transform[[#This Row],[Player]]&amp;Data_Transform[[#This Row],[Week]]&amp;Data_Transform[[#This Row],[Role]]</f>
        <v>#VALUE!</v>
      </c>
    </row>
    <row r="858" spans="1:1" x14ac:dyDescent="0.25">
      <c r="A858" t="e">
        <f>Data_Transform[[#This Row],[Player]]&amp;Data_Transform[[#This Row],[Week]]&amp;Data_Transform[[#This Row],[Role]]</f>
        <v>#VALUE!</v>
      </c>
    </row>
    <row r="859" spans="1:1" x14ac:dyDescent="0.25">
      <c r="A859" t="e">
        <f>Data_Transform[[#This Row],[Player]]&amp;Data_Transform[[#This Row],[Week]]&amp;Data_Transform[[#This Row],[Role]]</f>
        <v>#VALUE!</v>
      </c>
    </row>
    <row r="860" spans="1:1" x14ac:dyDescent="0.25">
      <c r="A860" t="e">
        <f>Data_Transform[[#This Row],[Player]]&amp;Data_Transform[[#This Row],[Week]]&amp;Data_Transform[[#This Row],[Role]]</f>
        <v>#VALUE!</v>
      </c>
    </row>
    <row r="861" spans="1:1" x14ac:dyDescent="0.25">
      <c r="A861" t="e">
        <f>Data_Transform[[#This Row],[Player]]&amp;Data_Transform[[#This Row],[Week]]&amp;Data_Transform[[#This Row],[Role]]</f>
        <v>#VALUE!</v>
      </c>
    </row>
    <row r="862" spans="1:1" x14ac:dyDescent="0.25">
      <c r="A862" t="e">
        <f>Data_Transform[[#This Row],[Player]]&amp;Data_Transform[[#This Row],[Week]]&amp;Data_Transform[[#This Row],[Role]]</f>
        <v>#VALUE!</v>
      </c>
    </row>
    <row r="863" spans="1:1" x14ac:dyDescent="0.25">
      <c r="A863" t="e">
        <f>Data_Transform[[#This Row],[Player]]&amp;Data_Transform[[#This Row],[Week]]&amp;Data_Transform[[#This Row],[Role]]</f>
        <v>#VALUE!</v>
      </c>
    </row>
    <row r="864" spans="1:1" x14ac:dyDescent="0.25">
      <c r="A864" t="e">
        <f>Data_Transform[[#This Row],[Player]]&amp;Data_Transform[[#This Row],[Week]]&amp;Data_Transform[[#This Row],[Role]]</f>
        <v>#VALUE!</v>
      </c>
    </row>
    <row r="865" spans="1:1" x14ac:dyDescent="0.25">
      <c r="A865" t="e">
        <f>Data_Transform[[#This Row],[Player]]&amp;Data_Transform[[#This Row],[Week]]&amp;Data_Transform[[#This Row],[Role]]</f>
        <v>#VALUE!</v>
      </c>
    </row>
    <row r="866" spans="1:1" x14ac:dyDescent="0.25">
      <c r="A866" t="e">
        <f>Data_Transform[[#This Row],[Player]]&amp;Data_Transform[[#This Row],[Week]]&amp;Data_Transform[[#This Row],[Role]]</f>
        <v>#VALUE!</v>
      </c>
    </row>
    <row r="867" spans="1:1" x14ac:dyDescent="0.25">
      <c r="A867" t="e">
        <f>Data_Transform[[#This Row],[Player]]&amp;Data_Transform[[#This Row],[Week]]&amp;Data_Transform[[#This Row],[Role]]</f>
        <v>#VALUE!</v>
      </c>
    </row>
    <row r="868" spans="1:1" x14ac:dyDescent="0.25">
      <c r="A868" t="e">
        <f>Data_Transform[[#This Row],[Player]]&amp;Data_Transform[[#This Row],[Week]]&amp;Data_Transform[[#This Row],[Role]]</f>
        <v>#VALUE!</v>
      </c>
    </row>
    <row r="869" spans="1:1" x14ac:dyDescent="0.25">
      <c r="A869" t="e">
        <f>Data_Transform[[#This Row],[Player]]&amp;Data_Transform[[#This Row],[Week]]&amp;Data_Transform[[#This Row],[Role]]</f>
        <v>#VALUE!</v>
      </c>
    </row>
    <row r="870" spans="1:1" x14ac:dyDescent="0.25">
      <c r="A870" t="e">
        <f>Data_Transform[[#This Row],[Player]]&amp;Data_Transform[[#This Row],[Week]]&amp;Data_Transform[[#This Row],[Role]]</f>
        <v>#VALUE!</v>
      </c>
    </row>
    <row r="871" spans="1:1" x14ac:dyDescent="0.25">
      <c r="A871" t="e">
        <f>Data_Transform[[#This Row],[Player]]&amp;Data_Transform[[#This Row],[Week]]&amp;Data_Transform[[#This Row],[Role]]</f>
        <v>#VALUE!</v>
      </c>
    </row>
    <row r="872" spans="1:1" x14ac:dyDescent="0.25">
      <c r="A872" t="e">
        <f>Data_Transform[[#This Row],[Player]]&amp;Data_Transform[[#This Row],[Week]]&amp;Data_Transform[[#This Row],[Role]]</f>
        <v>#VALUE!</v>
      </c>
    </row>
    <row r="873" spans="1:1" x14ac:dyDescent="0.25">
      <c r="A873" t="e">
        <f>Data_Transform[[#This Row],[Player]]&amp;Data_Transform[[#This Row],[Week]]&amp;Data_Transform[[#This Row],[Role]]</f>
        <v>#VALUE!</v>
      </c>
    </row>
    <row r="874" spans="1:1" x14ac:dyDescent="0.25">
      <c r="A874" t="e">
        <f>Data_Transform[[#This Row],[Player]]&amp;Data_Transform[[#This Row],[Week]]&amp;Data_Transform[[#This Row],[Role]]</f>
        <v>#VALUE!</v>
      </c>
    </row>
    <row r="875" spans="1:1" x14ac:dyDescent="0.25">
      <c r="A875" t="e">
        <f>Data_Transform[[#This Row],[Player]]&amp;Data_Transform[[#This Row],[Week]]&amp;Data_Transform[[#This Row],[Role]]</f>
        <v>#VALUE!</v>
      </c>
    </row>
    <row r="876" spans="1:1" x14ac:dyDescent="0.25">
      <c r="A876" t="e">
        <f>Data_Transform[[#This Row],[Player]]&amp;Data_Transform[[#This Row],[Week]]&amp;Data_Transform[[#This Row],[Role]]</f>
        <v>#VALUE!</v>
      </c>
    </row>
    <row r="877" spans="1:1" x14ac:dyDescent="0.25">
      <c r="A877" t="e">
        <f>Data_Transform[[#This Row],[Player]]&amp;Data_Transform[[#This Row],[Week]]&amp;Data_Transform[[#This Row],[Role]]</f>
        <v>#VALUE!</v>
      </c>
    </row>
    <row r="878" spans="1:1" x14ac:dyDescent="0.25">
      <c r="A878" t="e">
        <f>Data_Transform[[#This Row],[Player]]&amp;Data_Transform[[#This Row],[Week]]&amp;Data_Transform[[#This Row],[Role]]</f>
        <v>#VALUE!</v>
      </c>
    </row>
    <row r="879" spans="1:1" x14ac:dyDescent="0.25">
      <c r="A879" t="e">
        <f>Data_Transform[[#This Row],[Player]]&amp;Data_Transform[[#This Row],[Week]]&amp;Data_Transform[[#This Row],[Role]]</f>
        <v>#VALUE!</v>
      </c>
    </row>
    <row r="880" spans="1:1" x14ac:dyDescent="0.25">
      <c r="A880" t="e">
        <f>Data_Transform[[#This Row],[Player]]&amp;Data_Transform[[#This Row],[Week]]&amp;Data_Transform[[#This Row],[Role]]</f>
        <v>#VALUE!</v>
      </c>
    </row>
    <row r="881" spans="1:1" x14ac:dyDescent="0.25">
      <c r="A881" t="e">
        <f>Data_Transform[[#This Row],[Player]]&amp;Data_Transform[[#This Row],[Week]]&amp;Data_Transform[[#This Row],[Role]]</f>
        <v>#VALUE!</v>
      </c>
    </row>
    <row r="882" spans="1:1" x14ac:dyDescent="0.25">
      <c r="A882" t="e">
        <f>Data_Transform[[#This Row],[Player]]&amp;Data_Transform[[#This Row],[Week]]&amp;Data_Transform[[#This Row],[Role]]</f>
        <v>#VALUE!</v>
      </c>
    </row>
    <row r="883" spans="1:1" x14ac:dyDescent="0.25">
      <c r="A883" t="e">
        <f>Data_Transform[[#This Row],[Player]]&amp;Data_Transform[[#This Row],[Week]]&amp;Data_Transform[[#This Row],[Role]]</f>
        <v>#VALUE!</v>
      </c>
    </row>
    <row r="884" spans="1:1" x14ac:dyDescent="0.25">
      <c r="A884" t="e">
        <f>Data_Transform[[#This Row],[Player]]&amp;Data_Transform[[#This Row],[Week]]&amp;Data_Transform[[#This Row],[Role]]</f>
        <v>#VALUE!</v>
      </c>
    </row>
    <row r="885" spans="1:1" x14ac:dyDescent="0.25">
      <c r="A885" t="e">
        <f>Data_Transform[[#This Row],[Player]]&amp;Data_Transform[[#This Row],[Week]]&amp;Data_Transform[[#This Row],[Role]]</f>
        <v>#VALUE!</v>
      </c>
    </row>
    <row r="886" spans="1:1" x14ac:dyDescent="0.25">
      <c r="A886" t="e">
        <f>Data_Transform[[#This Row],[Player]]&amp;Data_Transform[[#This Row],[Week]]&amp;Data_Transform[[#This Row],[Role]]</f>
        <v>#VALUE!</v>
      </c>
    </row>
    <row r="887" spans="1:1" x14ac:dyDescent="0.25">
      <c r="A887" t="e">
        <f>Data_Transform[[#This Row],[Player]]&amp;Data_Transform[[#This Row],[Week]]&amp;Data_Transform[[#This Row],[Role]]</f>
        <v>#VALUE!</v>
      </c>
    </row>
    <row r="888" spans="1:1" x14ac:dyDescent="0.25">
      <c r="A888" t="e">
        <f>Data_Transform[[#This Row],[Player]]&amp;Data_Transform[[#This Row],[Week]]&amp;Data_Transform[[#This Row],[Role]]</f>
        <v>#VALUE!</v>
      </c>
    </row>
    <row r="889" spans="1:1" x14ac:dyDescent="0.25">
      <c r="A889" t="e">
        <f>Data_Transform[[#This Row],[Player]]&amp;Data_Transform[[#This Row],[Week]]&amp;Data_Transform[[#This Row],[Role]]</f>
        <v>#VALUE!</v>
      </c>
    </row>
    <row r="890" spans="1:1" x14ac:dyDescent="0.25">
      <c r="A890" t="e">
        <f>Data_Transform[[#This Row],[Player]]&amp;Data_Transform[[#This Row],[Week]]&amp;Data_Transform[[#This Row],[Role]]</f>
        <v>#VALUE!</v>
      </c>
    </row>
    <row r="891" spans="1:1" x14ac:dyDescent="0.25">
      <c r="A891" t="e">
        <f>Data_Transform[[#This Row],[Player]]&amp;Data_Transform[[#This Row],[Week]]&amp;Data_Transform[[#This Row],[Role]]</f>
        <v>#VALUE!</v>
      </c>
    </row>
    <row r="892" spans="1:1" x14ac:dyDescent="0.25">
      <c r="A892" t="e">
        <f>Data_Transform[[#This Row],[Player]]&amp;Data_Transform[[#This Row],[Week]]&amp;Data_Transform[[#This Row],[Role]]</f>
        <v>#VALUE!</v>
      </c>
    </row>
    <row r="893" spans="1:1" x14ac:dyDescent="0.25">
      <c r="A893" t="e">
        <f>Data_Transform[[#This Row],[Player]]&amp;Data_Transform[[#This Row],[Week]]&amp;Data_Transform[[#This Row],[Role]]</f>
        <v>#VALUE!</v>
      </c>
    </row>
    <row r="894" spans="1:1" x14ac:dyDescent="0.25">
      <c r="A894" t="e">
        <f>Data_Transform[[#This Row],[Player]]&amp;Data_Transform[[#This Row],[Week]]&amp;Data_Transform[[#This Row],[Role]]</f>
        <v>#VALUE!</v>
      </c>
    </row>
    <row r="895" spans="1:1" x14ac:dyDescent="0.25">
      <c r="A895" t="e">
        <f>Data_Transform[[#This Row],[Player]]&amp;Data_Transform[[#This Row],[Week]]&amp;Data_Transform[[#This Row],[Role]]</f>
        <v>#VALUE!</v>
      </c>
    </row>
    <row r="896" spans="1:1" x14ac:dyDescent="0.25">
      <c r="A896" t="e">
        <f>Data_Transform[[#This Row],[Player]]&amp;Data_Transform[[#This Row],[Week]]&amp;Data_Transform[[#This Row],[Role]]</f>
        <v>#VALUE!</v>
      </c>
    </row>
    <row r="897" spans="1:1" x14ac:dyDescent="0.25">
      <c r="A897" t="e">
        <f>Data_Transform[[#This Row],[Player]]&amp;Data_Transform[[#This Row],[Week]]&amp;Data_Transform[[#This Row],[Role]]</f>
        <v>#VALUE!</v>
      </c>
    </row>
    <row r="898" spans="1:1" x14ac:dyDescent="0.25">
      <c r="A898" t="e">
        <f>Data_Transform[[#This Row],[Player]]&amp;Data_Transform[[#This Row],[Week]]&amp;Data_Transform[[#This Row],[Role]]</f>
        <v>#VALUE!</v>
      </c>
    </row>
    <row r="899" spans="1:1" x14ac:dyDescent="0.25">
      <c r="A899" t="e">
        <f>Data_Transform[[#This Row],[Player]]&amp;Data_Transform[[#This Row],[Week]]&amp;Data_Transform[[#This Row],[Role]]</f>
        <v>#VALUE!</v>
      </c>
    </row>
    <row r="900" spans="1:1" x14ac:dyDescent="0.25">
      <c r="A900" t="e">
        <f>Data_Transform[[#This Row],[Player]]&amp;Data_Transform[[#This Row],[Week]]&amp;Data_Transform[[#This Row],[Role]]</f>
        <v>#VALUE!</v>
      </c>
    </row>
    <row r="901" spans="1:1" x14ac:dyDescent="0.25">
      <c r="A901" t="e">
        <f>Data_Transform[[#This Row],[Player]]&amp;Data_Transform[[#This Row],[Week]]&amp;Data_Transform[[#This Row],[Role]]</f>
        <v>#VALUE!</v>
      </c>
    </row>
    <row r="902" spans="1:1" x14ac:dyDescent="0.25">
      <c r="A902" t="e">
        <f>Data_Transform[[#This Row],[Player]]&amp;Data_Transform[[#This Row],[Week]]&amp;Data_Transform[[#This Row],[Role]]</f>
        <v>#VALUE!</v>
      </c>
    </row>
    <row r="903" spans="1:1" x14ac:dyDescent="0.25">
      <c r="A903" t="e">
        <f>Data_Transform[[#This Row],[Player]]&amp;Data_Transform[[#This Row],[Week]]&amp;Data_Transform[[#This Row],[Role]]</f>
        <v>#VALUE!</v>
      </c>
    </row>
    <row r="904" spans="1:1" x14ac:dyDescent="0.25">
      <c r="A904" t="e">
        <f>Data_Transform[[#This Row],[Player]]&amp;Data_Transform[[#This Row],[Week]]&amp;Data_Transform[[#This Row],[Role]]</f>
        <v>#VALUE!</v>
      </c>
    </row>
    <row r="905" spans="1:1" x14ac:dyDescent="0.25">
      <c r="A905" t="e">
        <f>Data_Transform[[#This Row],[Player]]&amp;Data_Transform[[#This Row],[Week]]&amp;Data_Transform[[#This Row],[Role]]</f>
        <v>#VALUE!</v>
      </c>
    </row>
    <row r="906" spans="1:1" x14ac:dyDescent="0.25">
      <c r="A906" t="e">
        <f>Data_Transform[[#This Row],[Player]]&amp;Data_Transform[[#This Row],[Week]]&amp;Data_Transform[[#This Row],[Role]]</f>
        <v>#VALUE!</v>
      </c>
    </row>
    <row r="907" spans="1:1" x14ac:dyDescent="0.25">
      <c r="A907" t="e">
        <f>Data_Transform[[#This Row],[Player]]&amp;Data_Transform[[#This Row],[Week]]&amp;Data_Transform[[#This Row],[Role]]</f>
        <v>#VALUE!</v>
      </c>
    </row>
    <row r="908" spans="1:1" x14ac:dyDescent="0.25">
      <c r="A908" t="e">
        <f>Data_Transform[[#This Row],[Player]]&amp;Data_Transform[[#This Row],[Week]]&amp;Data_Transform[[#This Row],[Role]]</f>
        <v>#VALUE!</v>
      </c>
    </row>
    <row r="909" spans="1:1" x14ac:dyDescent="0.25">
      <c r="A909" t="e">
        <f>Data_Transform[[#This Row],[Player]]&amp;Data_Transform[[#This Row],[Week]]&amp;Data_Transform[[#This Row],[Role]]</f>
        <v>#VALUE!</v>
      </c>
    </row>
    <row r="910" spans="1:1" x14ac:dyDescent="0.25">
      <c r="A910" t="e">
        <f>Data_Transform[[#This Row],[Player]]&amp;Data_Transform[[#This Row],[Week]]&amp;Data_Transform[[#This Row],[Role]]</f>
        <v>#VALUE!</v>
      </c>
    </row>
    <row r="911" spans="1:1" x14ac:dyDescent="0.25">
      <c r="A911" t="e">
        <f>Data_Transform[[#This Row],[Player]]&amp;Data_Transform[[#This Row],[Week]]&amp;Data_Transform[[#This Row],[Role]]</f>
        <v>#VALUE!</v>
      </c>
    </row>
    <row r="912" spans="1:1" x14ac:dyDescent="0.25">
      <c r="A912" t="e">
        <f>Data_Transform[[#This Row],[Player]]&amp;Data_Transform[[#This Row],[Week]]&amp;Data_Transform[[#This Row],[Role]]</f>
        <v>#VALUE!</v>
      </c>
    </row>
    <row r="913" spans="1:1" x14ac:dyDescent="0.25">
      <c r="A913" t="e">
        <f>Data_Transform[[#This Row],[Player]]&amp;Data_Transform[[#This Row],[Week]]&amp;Data_Transform[[#This Row],[Role]]</f>
        <v>#VALUE!</v>
      </c>
    </row>
    <row r="914" spans="1:1" x14ac:dyDescent="0.25">
      <c r="A914" t="e">
        <f>Data_Transform[[#This Row],[Player]]&amp;Data_Transform[[#This Row],[Week]]&amp;Data_Transform[[#This Row],[Role]]</f>
        <v>#VALUE!</v>
      </c>
    </row>
    <row r="915" spans="1:1" x14ac:dyDescent="0.25">
      <c r="A915" t="e">
        <f>Data_Transform[[#This Row],[Player]]&amp;Data_Transform[[#This Row],[Week]]&amp;Data_Transform[[#This Row],[Role]]</f>
        <v>#VALUE!</v>
      </c>
    </row>
    <row r="916" spans="1:1" x14ac:dyDescent="0.25">
      <c r="A916" t="e">
        <f>Data_Transform[[#This Row],[Player]]&amp;Data_Transform[[#This Row],[Week]]&amp;Data_Transform[[#This Row],[Role]]</f>
        <v>#VALUE!</v>
      </c>
    </row>
    <row r="917" spans="1:1" x14ac:dyDescent="0.25">
      <c r="A917" t="e">
        <f>Data_Transform[[#This Row],[Player]]&amp;Data_Transform[[#This Row],[Week]]&amp;Data_Transform[[#This Row],[Role]]</f>
        <v>#VALUE!</v>
      </c>
    </row>
    <row r="918" spans="1:1" x14ac:dyDescent="0.25">
      <c r="A918" t="e">
        <f>Data_Transform[[#This Row],[Player]]&amp;Data_Transform[[#This Row],[Week]]&amp;Data_Transform[[#This Row],[Role]]</f>
        <v>#VALUE!</v>
      </c>
    </row>
    <row r="919" spans="1:1" x14ac:dyDescent="0.25">
      <c r="A919" t="e">
        <f>Data_Transform[[#This Row],[Player]]&amp;Data_Transform[[#This Row],[Week]]&amp;Data_Transform[[#This Row],[Role]]</f>
        <v>#VALUE!</v>
      </c>
    </row>
    <row r="920" spans="1:1" x14ac:dyDescent="0.25">
      <c r="A920" t="e">
        <f>Data_Transform[[#This Row],[Player]]&amp;Data_Transform[[#This Row],[Week]]&amp;Data_Transform[[#This Row],[Role]]</f>
        <v>#VALUE!</v>
      </c>
    </row>
    <row r="921" spans="1:1" x14ac:dyDescent="0.25">
      <c r="A921" t="e">
        <f>Data_Transform[[#This Row],[Player]]&amp;Data_Transform[[#This Row],[Week]]&amp;Data_Transform[[#This Row],[Role]]</f>
        <v>#VALUE!</v>
      </c>
    </row>
    <row r="922" spans="1:1" x14ac:dyDescent="0.25">
      <c r="A922" t="e">
        <f>Data_Transform[[#This Row],[Player]]&amp;Data_Transform[[#This Row],[Week]]&amp;Data_Transform[[#This Row],[Role]]</f>
        <v>#VALUE!</v>
      </c>
    </row>
    <row r="923" spans="1:1" x14ac:dyDescent="0.25">
      <c r="A923" t="e">
        <f>Data_Transform[[#This Row],[Player]]&amp;Data_Transform[[#This Row],[Week]]&amp;Data_Transform[[#This Row],[Role]]</f>
        <v>#VALUE!</v>
      </c>
    </row>
    <row r="924" spans="1:1" x14ac:dyDescent="0.25">
      <c r="A924" t="e">
        <f>Data_Transform[[#This Row],[Player]]&amp;Data_Transform[[#This Row],[Week]]&amp;Data_Transform[[#This Row],[Role]]</f>
        <v>#VALUE!</v>
      </c>
    </row>
    <row r="925" spans="1:1" x14ac:dyDescent="0.25">
      <c r="A925" t="e">
        <f>Data_Transform[[#This Row],[Player]]&amp;Data_Transform[[#This Row],[Week]]&amp;Data_Transform[[#This Row],[Role]]</f>
        <v>#VALUE!</v>
      </c>
    </row>
    <row r="926" spans="1:1" x14ac:dyDescent="0.25">
      <c r="A926" t="e">
        <f>Data_Transform[[#This Row],[Player]]&amp;Data_Transform[[#This Row],[Week]]&amp;Data_Transform[[#This Row],[Role]]</f>
        <v>#VALUE!</v>
      </c>
    </row>
    <row r="927" spans="1:1" x14ac:dyDescent="0.25">
      <c r="A927" t="e">
        <f>Data_Transform[[#This Row],[Player]]&amp;Data_Transform[[#This Row],[Week]]&amp;Data_Transform[[#This Row],[Role]]</f>
        <v>#VALUE!</v>
      </c>
    </row>
    <row r="928" spans="1:1" x14ac:dyDescent="0.25">
      <c r="A928" t="e">
        <f>Data_Transform[[#This Row],[Player]]&amp;Data_Transform[[#This Row],[Week]]&amp;Data_Transform[[#This Row],[Role]]</f>
        <v>#VALUE!</v>
      </c>
    </row>
    <row r="929" spans="1:1" x14ac:dyDescent="0.25">
      <c r="A929" t="e">
        <f>Data_Transform[[#This Row],[Player]]&amp;Data_Transform[[#This Row],[Week]]&amp;Data_Transform[[#This Row],[Role]]</f>
        <v>#VALUE!</v>
      </c>
    </row>
    <row r="930" spans="1:1" x14ac:dyDescent="0.25">
      <c r="A930" t="e">
        <f>Data_Transform[[#This Row],[Player]]&amp;Data_Transform[[#This Row],[Week]]&amp;Data_Transform[[#This Row],[Role]]</f>
        <v>#VALUE!</v>
      </c>
    </row>
    <row r="931" spans="1:1" x14ac:dyDescent="0.25">
      <c r="A931" t="e">
        <f>Data_Transform[[#This Row],[Player]]&amp;Data_Transform[[#This Row],[Week]]&amp;Data_Transform[[#This Row],[Role]]</f>
        <v>#VALUE!</v>
      </c>
    </row>
    <row r="932" spans="1:1" x14ac:dyDescent="0.25">
      <c r="A932" t="e">
        <f>Data_Transform[[#This Row],[Player]]&amp;Data_Transform[[#This Row],[Week]]&amp;Data_Transform[[#This Row],[Role]]</f>
        <v>#VALUE!</v>
      </c>
    </row>
    <row r="933" spans="1:1" x14ac:dyDescent="0.25">
      <c r="A933" t="e">
        <f>Data_Transform[[#This Row],[Player]]&amp;Data_Transform[[#This Row],[Week]]&amp;Data_Transform[[#This Row],[Role]]</f>
        <v>#VALUE!</v>
      </c>
    </row>
    <row r="934" spans="1:1" x14ac:dyDescent="0.25">
      <c r="A934" t="e">
        <f>Data_Transform[[#This Row],[Player]]&amp;Data_Transform[[#This Row],[Week]]&amp;Data_Transform[[#This Row],[Role]]</f>
        <v>#VALUE!</v>
      </c>
    </row>
    <row r="935" spans="1:1" x14ac:dyDescent="0.25">
      <c r="A935" t="e">
        <f>Data_Transform[[#This Row],[Player]]&amp;Data_Transform[[#This Row],[Week]]&amp;Data_Transform[[#This Row],[Role]]</f>
        <v>#VALUE!</v>
      </c>
    </row>
    <row r="936" spans="1:1" x14ac:dyDescent="0.25">
      <c r="A936" t="e">
        <f>Data_Transform[[#This Row],[Player]]&amp;Data_Transform[[#This Row],[Week]]&amp;Data_Transform[[#This Row],[Role]]</f>
        <v>#VALUE!</v>
      </c>
    </row>
    <row r="937" spans="1:1" x14ac:dyDescent="0.25">
      <c r="A937" t="e">
        <f>Data_Transform[[#This Row],[Player]]&amp;Data_Transform[[#This Row],[Week]]&amp;Data_Transform[[#This Row],[Role]]</f>
        <v>#VALUE!</v>
      </c>
    </row>
    <row r="938" spans="1:1" x14ac:dyDescent="0.25">
      <c r="A938" t="e">
        <f>Data_Transform[[#This Row],[Player]]&amp;Data_Transform[[#This Row],[Week]]&amp;Data_Transform[[#This Row],[Role]]</f>
        <v>#VALUE!</v>
      </c>
    </row>
    <row r="939" spans="1:1" x14ac:dyDescent="0.25">
      <c r="A939" t="e">
        <f>Data_Transform[[#This Row],[Player]]&amp;Data_Transform[[#This Row],[Week]]&amp;Data_Transform[[#This Row],[Role]]</f>
        <v>#VALUE!</v>
      </c>
    </row>
    <row r="940" spans="1:1" x14ac:dyDescent="0.25">
      <c r="A940" t="e">
        <f>Data_Transform[[#This Row],[Player]]&amp;Data_Transform[[#This Row],[Week]]&amp;Data_Transform[[#This Row],[Role]]</f>
        <v>#VALUE!</v>
      </c>
    </row>
    <row r="941" spans="1:1" x14ac:dyDescent="0.25">
      <c r="A941" t="e">
        <f>Data_Transform[[#This Row],[Player]]&amp;Data_Transform[[#This Row],[Week]]&amp;Data_Transform[[#This Row],[Role]]</f>
        <v>#VALUE!</v>
      </c>
    </row>
    <row r="942" spans="1:1" x14ac:dyDescent="0.25">
      <c r="A942" t="e">
        <f>Data_Transform[[#This Row],[Player]]&amp;Data_Transform[[#This Row],[Week]]&amp;Data_Transform[[#This Row],[Role]]</f>
        <v>#VALUE!</v>
      </c>
    </row>
    <row r="943" spans="1:1" x14ac:dyDescent="0.25">
      <c r="A943" t="e">
        <f>Data_Transform[[#This Row],[Player]]&amp;Data_Transform[[#This Row],[Week]]&amp;Data_Transform[[#This Row],[Role]]</f>
        <v>#VALUE!</v>
      </c>
    </row>
    <row r="944" spans="1:1" x14ac:dyDescent="0.25">
      <c r="A944" t="e">
        <f>Data_Transform[[#This Row],[Player]]&amp;Data_Transform[[#This Row],[Week]]&amp;Data_Transform[[#This Row],[Role]]</f>
        <v>#VALUE!</v>
      </c>
    </row>
    <row r="945" spans="1:1" x14ac:dyDescent="0.25">
      <c r="A945" t="e">
        <f>Data_Transform[[#This Row],[Player]]&amp;Data_Transform[[#This Row],[Week]]&amp;Data_Transform[[#This Row],[Role]]</f>
        <v>#VALUE!</v>
      </c>
    </row>
    <row r="946" spans="1:1" x14ac:dyDescent="0.25">
      <c r="A946" t="e">
        <f>Data_Transform[[#This Row],[Player]]&amp;Data_Transform[[#This Row],[Week]]&amp;Data_Transform[[#This Row],[Role]]</f>
        <v>#VALUE!</v>
      </c>
    </row>
    <row r="947" spans="1:1" x14ac:dyDescent="0.25">
      <c r="A947" t="e">
        <f>Data_Transform[[#This Row],[Player]]&amp;Data_Transform[[#This Row],[Week]]&amp;Data_Transform[[#This Row],[Role]]</f>
        <v>#VALUE!</v>
      </c>
    </row>
    <row r="948" spans="1:1" x14ac:dyDescent="0.25">
      <c r="A948" t="e">
        <f>Data_Transform[[#This Row],[Player]]&amp;Data_Transform[[#This Row],[Week]]&amp;Data_Transform[[#This Row],[Role]]</f>
        <v>#VALUE!</v>
      </c>
    </row>
    <row r="949" spans="1:1" x14ac:dyDescent="0.25">
      <c r="A949" t="e">
        <f>Data_Transform[[#This Row],[Player]]&amp;Data_Transform[[#This Row],[Week]]&amp;Data_Transform[[#This Row],[Role]]</f>
        <v>#VALUE!</v>
      </c>
    </row>
    <row r="950" spans="1:1" x14ac:dyDescent="0.25">
      <c r="A950" t="e">
        <f>Data_Transform[[#This Row],[Player]]&amp;Data_Transform[[#This Row],[Week]]&amp;Data_Transform[[#This Row],[Role]]</f>
        <v>#VALUE!</v>
      </c>
    </row>
    <row r="951" spans="1:1" x14ac:dyDescent="0.25">
      <c r="A951" t="e">
        <f>Data_Transform[[#This Row],[Player]]&amp;Data_Transform[[#This Row],[Week]]&amp;Data_Transform[[#This Row],[Role]]</f>
        <v>#VALUE!</v>
      </c>
    </row>
    <row r="952" spans="1:1" x14ac:dyDescent="0.25">
      <c r="A952" t="e">
        <f>Data_Transform[[#This Row],[Player]]&amp;Data_Transform[[#This Row],[Week]]&amp;Data_Transform[[#This Row],[Role]]</f>
        <v>#VALUE!</v>
      </c>
    </row>
    <row r="953" spans="1:1" x14ac:dyDescent="0.25">
      <c r="A953" t="e">
        <f>Data_Transform[[#This Row],[Player]]&amp;Data_Transform[[#This Row],[Week]]&amp;Data_Transform[[#This Row],[Role]]</f>
        <v>#VALUE!</v>
      </c>
    </row>
    <row r="954" spans="1:1" x14ac:dyDescent="0.25">
      <c r="A954" t="e">
        <f>Data_Transform[[#This Row],[Player]]&amp;Data_Transform[[#This Row],[Week]]&amp;Data_Transform[[#This Row],[Role]]</f>
        <v>#VALUE!</v>
      </c>
    </row>
    <row r="955" spans="1:1" x14ac:dyDescent="0.25">
      <c r="A955" t="e">
        <f>Data_Transform[[#This Row],[Player]]&amp;Data_Transform[[#This Row],[Week]]&amp;Data_Transform[[#This Row],[Role]]</f>
        <v>#VALUE!</v>
      </c>
    </row>
    <row r="956" spans="1:1" x14ac:dyDescent="0.25">
      <c r="A956" t="e">
        <f>Data_Transform[[#This Row],[Player]]&amp;Data_Transform[[#This Row],[Week]]&amp;Data_Transform[[#This Row],[Role]]</f>
        <v>#VALUE!</v>
      </c>
    </row>
    <row r="957" spans="1:1" x14ac:dyDescent="0.25">
      <c r="A957" t="e">
        <f>Data_Transform[[#This Row],[Player]]&amp;Data_Transform[[#This Row],[Week]]&amp;Data_Transform[[#This Row],[Role]]</f>
        <v>#VALUE!</v>
      </c>
    </row>
    <row r="958" spans="1:1" x14ac:dyDescent="0.25">
      <c r="A958" t="e">
        <f>Data_Transform[[#This Row],[Player]]&amp;Data_Transform[[#This Row],[Week]]&amp;Data_Transform[[#This Row],[Role]]</f>
        <v>#VALUE!</v>
      </c>
    </row>
    <row r="959" spans="1:1" x14ac:dyDescent="0.25">
      <c r="A959" t="e">
        <f>Data_Transform[[#This Row],[Player]]&amp;Data_Transform[[#This Row],[Week]]&amp;Data_Transform[[#This Row],[Role]]</f>
        <v>#VALUE!</v>
      </c>
    </row>
    <row r="960" spans="1:1" x14ac:dyDescent="0.25">
      <c r="A960" t="e">
        <f>Data_Transform[[#This Row],[Player]]&amp;Data_Transform[[#This Row],[Week]]&amp;Data_Transform[[#This Row],[Role]]</f>
        <v>#VALUE!</v>
      </c>
    </row>
    <row r="961" spans="1:1" x14ac:dyDescent="0.25">
      <c r="A961" t="e">
        <f>Data_Transform[[#This Row],[Player]]&amp;Data_Transform[[#This Row],[Week]]&amp;Data_Transform[[#This Row],[Role]]</f>
        <v>#VALUE!</v>
      </c>
    </row>
    <row r="962" spans="1:1" x14ac:dyDescent="0.25">
      <c r="A962" t="e">
        <f>Data_Transform[[#This Row],[Player]]&amp;Data_Transform[[#This Row],[Week]]&amp;Data_Transform[[#This Row],[Role]]</f>
        <v>#VALUE!</v>
      </c>
    </row>
    <row r="963" spans="1:1" x14ac:dyDescent="0.25">
      <c r="A963" t="e">
        <f>Data_Transform[[#This Row],[Player]]&amp;Data_Transform[[#This Row],[Week]]&amp;Data_Transform[[#This Row],[Role]]</f>
        <v>#VALUE!</v>
      </c>
    </row>
    <row r="964" spans="1:1" x14ac:dyDescent="0.25">
      <c r="A964" t="e">
        <f>Data_Transform[[#This Row],[Player]]&amp;Data_Transform[[#This Row],[Week]]&amp;Data_Transform[[#This Row],[Role]]</f>
        <v>#VALUE!</v>
      </c>
    </row>
    <row r="965" spans="1:1" x14ac:dyDescent="0.25">
      <c r="A965" t="e">
        <f>Data_Transform[[#This Row],[Player]]&amp;Data_Transform[[#This Row],[Week]]&amp;Data_Transform[[#This Row],[Role]]</f>
        <v>#VALUE!</v>
      </c>
    </row>
    <row r="966" spans="1:1" x14ac:dyDescent="0.25">
      <c r="A966" t="e">
        <f>Data_Transform[[#This Row],[Player]]&amp;Data_Transform[[#This Row],[Week]]&amp;Data_Transform[[#This Row],[Role]]</f>
        <v>#VALUE!</v>
      </c>
    </row>
    <row r="967" spans="1:1" x14ac:dyDescent="0.25">
      <c r="A967" t="e">
        <f>Data_Transform[[#This Row],[Player]]&amp;Data_Transform[[#This Row],[Week]]&amp;Data_Transform[[#This Row],[Role]]</f>
        <v>#VALUE!</v>
      </c>
    </row>
    <row r="968" spans="1:1" x14ac:dyDescent="0.25">
      <c r="A968" t="e">
        <f>Data_Transform[[#This Row],[Player]]&amp;Data_Transform[[#This Row],[Week]]&amp;Data_Transform[[#This Row],[Role]]</f>
        <v>#VALUE!</v>
      </c>
    </row>
    <row r="969" spans="1:1" x14ac:dyDescent="0.25">
      <c r="A969" t="e">
        <f>Data_Transform[[#This Row],[Player]]&amp;Data_Transform[[#This Row],[Week]]&amp;Data_Transform[[#This Row],[Role]]</f>
        <v>#VALUE!</v>
      </c>
    </row>
    <row r="970" spans="1:1" x14ac:dyDescent="0.25">
      <c r="A970" t="e">
        <f>Data_Transform[[#This Row],[Player]]&amp;Data_Transform[[#This Row],[Week]]&amp;Data_Transform[[#This Row],[Role]]</f>
        <v>#VALUE!</v>
      </c>
    </row>
    <row r="971" spans="1:1" x14ac:dyDescent="0.25">
      <c r="A971" t="e">
        <f>Data_Transform[[#This Row],[Player]]&amp;Data_Transform[[#This Row],[Week]]&amp;Data_Transform[[#This Row],[Role]]</f>
        <v>#VALUE!</v>
      </c>
    </row>
    <row r="972" spans="1:1" x14ac:dyDescent="0.25">
      <c r="A972" t="e">
        <f>Data_Transform[[#This Row],[Player]]&amp;Data_Transform[[#This Row],[Week]]&amp;Data_Transform[[#This Row],[Role]]</f>
        <v>#VALUE!</v>
      </c>
    </row>
    <row r="973" spans="1:1" x14ac:dyDescent="0.25">
      <c r="A973" t="e">
        <f>Data_Transform[[#This Row],[Player]]&amp;Data_Transform[[#This Row],[Week]]&amp;Data_Transform[[#This Row],[Role]]</f>
        <v>#VALUE!</v>
      </c>
    </row>
    <row r="974" spans="1:1" x14ac:dyDescent="0.25">
      <c r="A974" t="e">
        <f>Data_Transform[[#This Row],[Player]]&amp;Data_Transform[[#This Row],[Week]]&amp;Data_Transform[[#This Row],[Role]]</f>
        <v>#VALUE!</v>
      </c>
    </row>
    <row r="975" spans="1:1" x14ac:dyDescent="0.25">
      <c r="A975" t="e">
        <f>Data_Transform[[#This Row],[Player]]&amp;Data_Transform[[#This Row],[Week]]&amp;Data_Transform[[#This Row],[Role]]</f>
        <v>#VALUE!</v>
      </c>
    </row>
    <row r="976" spans="1:1" x14ac:dyDescent="0.25">
      <c r="A976" t="e">
        <f>Data_Transform[[#This Row],[Player]]&amp;Data_Transform[[#This Row],[Week]]&amp;Data_Transform[[#This Row],[Role]]</f>
        <v>#VALUE!</v>
      </c>
    </row>
    <row r="977" spans="1:1" x14ac:dyDescent="0.25">
      <c r="A977" t="e">
        <f>Data_Transform[[#This Row],[Player]]&amp;Data_Transform[[#This Row],[Week]]&amp;Data_Transform[[#This Row],[Role]]</f>
        <v>#VALUE!</v>
      </c>
    </row>
    <row r="978" spans="1:1" x14ac:dyDescent="0.25">
      <c r="A978" t="e">
        <f>Data_Transform[[#This Row],[Player]]&amp;Data_Transform[[#This Row],[Week]]&amp;Data_Transform[[#This Row],[Role]]</f>
        <v>#VALUE!</v>
      </c>
    </row>
    <row r="979" spans="1:1" x14ac:dyDescent="0.25">
      <c r="A979" t="e">
        <f>Data_Transform[[#This Row],[Player]]&amp;Data_Transform[[#This Row],[Week]]&amp;Data_Transform[[#This Row],[Role]]</f>
        <v>#VALUE!</v>
      </c>
    </row>
    <row r="980" spans="1:1" x14ac:dyDescent="0.25">
      <c r="A980" t="e">
        <f>Data_Transform[[#This Row],[Player]]&amp;Data_Transform[[#This Row],[Week]]&amp;Data_Transform[[#This Row],[Role]]</f>
        <v>#VALUE!</v>
      </c>
    </row>
    <row r="981" spans="1:1" x14ac:dyDescent="0.25">
      <c r="A981" t="e">
        <f>Data_Transform[[#This Row],[Player]]&amp;Data_Transform[[#This Row],[Week]]&amp;Data_Transform[[#This Row],[Role]]</f>
        <v>#VALUE!</v>
      </c>
    </row>
    <row r="982" spans="1:1" x14ac:dyDescent="0.25">
      <c r="A982" t="e">
        <f>Data_Transform[[#This Row],[Player]]&amp;Data_Transform[[#This Row],[Week]]&amp;Data_Transform[[#This Row],[Role]]</f>
        <v>#VALUE!</v>
      </c>
    </row>
    <row r="983" spans="1:1" x14ac:dyDescent="0.25">
      <c r="A983" t="e">
        <f>Data_Transform[[#This Row],[Player]]&amp;Data_Transform[[#This Row],[Week]]&amp;Data_Transform[[#This Row],[Role]]</f>
        <v>#VALUE!</v>
      </c>
    </row>
    <row r="984" spans="1:1" x14ac:dyDescent="0.25">
      <c r="A984" t="e">
        <f>Data_Transform[[#This Row],[Player]]&amp;Data_Transform[[#This Row],[Week]]&amp;Data_Transform[[#This Row],[Role]]</f>
        <v>#VALUE!</v>
      </c>
    </row>
    <row r="985" spans="1:1" x14ac:dyDescent="0.25">
      <c r="A985" t="e">
        <f>Data_Transform[[#This Row],[Player]]&amp;Data_Transform[[#This Row],[Week]]&amp;Data_Transform[[#This Row],[Role]]</f>
        <v>#VALUE!</v>
      </c>
    </row>
    <row r="986" spans="1:1" x14ac:dyDescent="0.25">
      <c r="A986" t="e">
        <f>Data_Transform[[#This Row],[Player]]&amp;Data_Transform[[#This Row],[Week]]&amp;Data_Transform[[#This Row],[Role]]</f>
        <v>#VALUE!</v>
      </c>
    </row>
    <row r="987" spans="1:1" x14ac:dyDescent="0.25">
      <c r="A987" t="e">
        <f>Data_Transform[[#This Row],[Player]]&amp;Data_Transform[[#This Row],[Week]]&amp;Data_Transform[[#This Row],[Role]]</f>
        <v>#VALUE!</v>
      </c>
    </row>
    <row r="988" spans="1:1" x14ac:dyDescent="0.25">
      <c r="A988" t="e">
        <f>Data_Transform[[#This Row],[Player]]&amp;Data_Transform[[#This Row],[Week]]&amp;Data_Transform[[#This Row],[Role]]</f>
        <v>#VALUE!</v>
      </c>
    </row>
    <row r="989" spans="1:1" x14ac:dyDescent="0.25">
      <c r="A989" t="e">
        <f>Data_Transform[[#This Row],[Player]]&amp;Data_Transform[[#This Row],[Week]]&amp;Data_Transform[[#This Row],[Role]]</f>
        <v>#VALUE!</v>
      </c>
    </row>
    <row r="990" spans="1:1" x14ac:dyDescent="0.25">
      <c r="A990" t="e">
        <f>Data_Transform[[#This Row],[Player]]&amp;Data_Transform[[#This Row],[Week]]&amp;Data_Transform[[#This Row],[Role]]</f>
        <v>#VALUE!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2F8E96-D0D7-4F82-8579-C0A0ED47C21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Overview</vt:lpstr>
      <vt:lpstr>By Week</vt:lpstr>
      <vt:lpstr>Top Performers</vt:lpstr>
      <vt:lpstr>Info</vt:lpstr>
      <vt:lpstr>Data</vt:lpstr>
      <vt:lpstr>Google Form Transform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2025-09-02T13:18:03Z</dcterms:modified>
</cp:coreProperties>
</file>